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8_{EE25A17A-2398-0849-90A1-C889A56ABAAC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1 PRODUCTO" sheetId="6" r:id="rId5"/>
  </sheets>
  <externalReferences>
    <externalReference r:id="rId6"/>
  </externalReferences>
  <definedNames>
    <definedName name="PROD">'[1]BASE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0" i="3" l="1"/>
  <c r="S930" i="1"/>
  <c r="F930" i="1"/>
  <c r="S929" i="1"/>
  <c r="F929" i="1"/>
  <c r="S928" i="1"/>
  <c r="F928" i="1"/>
  <c r="S927" i="1"/>
  <c r="F927" i="1"/>
  <c r="S926" i="1"/>
  <c r="F926" i="1"/>
  <c r="S925" i="1"/>
  <c r="F925" i="1"/>
  <c r="S924" i="1"/>
  <c r="F924" i="1"/>
  <c r="S923" i="1"/>
  <c r="F923" i="1"/>
  <c r="S922" i="1"/>
  <c r="F922" i="1"/>
  <c r="S921" i="1"/>
  <c r="F921" i="1"/>
  <c r="S920" i="1"/>
  <c r="F920" i="1"/>
  <c r="S919" i="1"/>
  <c r="F919" i="1"/>
  <c r="S918" i="1"/>
  <c r="F918" i="1"/>
  <c r="S917" i="1"/>
  <c r="F917" i="1"/>
  <c r="S916" i="1"/>
  <c r="F916" i="1"/>
  <c r="S915" i="1"/>
  <c r="F915" i="1"/>
  <c r="S914" i="1"/>
  <c r="F914" i="1"/>
  <c r="S913" i="1"/>
  <c r="F913" i="1"/>
  <c r="S912" i="1"/>
  <c r="F912" i="1"/>
  <c r="S911" i="1"/>
  <c r="F911" i="1"/>
  <c r="S910" i="1"/>
  <c r="F910" i="1"/>
  <c r="S909" i="1"/>
  <c r="F909" i="1"/>
  <c r="S908" i="1"/>
  <c r="F908" i="1"/>
  <c r="S907" i="1"/>
  <c r="F907" i="1"/>
  <c r="S906" i="1"/>
  <c r="F906" i="1"/>
  <c r="S905" i="1"/>
  <c r="F905" i="1"/>
  <c r="S904" i="1"/>
  <c r="F904" i="1"/>
  <c r="S903" i="1"/>
  <c r="F903" i="1"/>
  <c r="S902" i="1"/>
  <c r="F902" i="1"/>
  <c r="S901" i="1"/>
  <c r="F901" i="1"/>
  <c r="S900" i="1"/>
  <c r="F900" i="1"/>
  <c r="S899" i="1"/>
  <c r="F899" i="1"/>
  <c r="S898" i="1"/>
  <c r="F898" i="1"/>
  <c r="S897" i="1"/>
  <c r="F897" i="1"/>
  <c r="S896" i="1"/>
  <c r="F896" i="1"/>
  <c r="S895" i="1"/>
  <c r="F895" i="1"/>
  <c r="S894" i="1"/>
  <c r="F894" i="1"/>
  <c r="S893" i="1"/>
  <c r="F893" i="1"/>
  <c r="S892" i="1"/>
  <c r="F892" i="1"/>
  <c r="S891" i="1"/>
  <c r="F891" i="1"/>
  <c r="S890" i="1"/>
  <c r="F890" i="1"/>
  <c r="S889" i="1"/>
  <c r="F889" i="1"/>
  <c r="S888" i="1"/>
  <c r="F888" i="1"/>
  <c r="S887" i="1"/>
  <c r="F887" i="1"/>
  <c r="S886" i="1"/>
  <c r="F886" i="1"/>
  <c r="S885" i="1"/>
  <c r="F885" i="1"/>
  <c r="S884" i="1"/>
  <c r="F884" i="1"/>
  <c r="S883" i="1"/>
  <c r="F883" i="1"/>
  <c r="S882" i="1"/>
  <c r="F882" i="1"/>
  <c r="S881" i="1"/>
  <c r="F881" i="1"/>
  <c r="S880" i="1"/>
  <c r="F880" i="1"/>
  <c r="S879" i="1"/>
  <c r="F879" i="1"/>
  <c r="S878" i="1"/>
  <c r="F878" i="1"/>
  <c r="S877" i="1"/>
  <c r="F877" i="1"/>
  <c r="S876" i="1"/>
  <c r="F876" i="1"/>
  <c r="S875" i="1"/>
  <c r="F875" i="1"/>
  <c r="S874" i="1"/>
  <c r="F874" i="1"/>
  <c r="S873" i="1"/>
  <c r="F873" i="1"/>
  <c r="S872" i="1"/>
  <c r="F872" i="1"/>
  <c r="S871" i="1"/>
  <c r="F871" i="1"/>
  <c r="S870" i="1"/>
  <c r="F870" i="1"/>
  <c r="S869" i="1"/>
  <c r="F869" i="1"/>
  <c r="S868" i="1"/>
  <c r="F868" i="1"/>
  <c r="S867" i="1"/>
  <c r="F867" i="1"/>
  <c r="S866" i="1"/>
  <c r="F866" i="1"/>
  <c r="S865" i="1"/>
  <c r="F865" i="1"/>
  <c r="S864" i="1"/>
  <c r="F864" i="1"/>
  <c r="S863" i="1"/>
  <c r="F863" i="1"/>
  <c r="S862" i="1"/>
  <c r="F862" i="1"/>
  <c r="S861" i="1"/>
  <c r="F861" i="1"/>
  <c r="S860" i="1"/>
  <c r="F860" i="1"/>
  <c r="S859" i="1"/>
  <c r="F859" i="1"/>
  <c r="S858" i="1"/>
  <c r="F858" i="1"/>
  <c r="S857" i="1"/>
  <c r="F857" i="1"/>
  <c r="S856" i="1"/>
  <c r="F856" i="1"/>
  <c r="S855" i="1"/>
  <c r="F855" i="1"/>
  <c r="S854" i="1"/>
  <c r="F854" i="1"/>
  <c r="S853" i="1"/>
  <c r="F853" i="1"/>
  <c r="S852" i="1"/>
  <c r="F852" i="1"/>
  <c r="S851" i="1"/>
  <c r="F851" i="1"/>
  <c r="S850" i="1"/>
  <c r="F850" i="1"/>
  <c r="S849" i="1"/>
  <c r="F849" i="1"/>
  <c r="S848" i="1"/>
  <c r="F848" i="1"/>
  <c r="S847" i="1"/>
  <c r="F847" i="1"/>
  <c r="S846" i="1"/>
  <c r="F846" i="1"/>
  <c r="S845" i="1"/>
  <c r="F845" i="1"/>
  <c r="S844" i="1"/>
  <c r="F844" i="1"/>
  <c r="S843" i="1"/>
  <c r="F843" i="1"/>
  <c r="S842" i="1"/>
  <c r="F842" i="1"/>
  <c r="S841" i="1"/>
  <c r="F841" i="1"/>
  <c r="S840" i="1"/>
  <c r="F840" i="1"/>
  <c r="S839" i="1"/>
  <c r="F839" i="1"/>
  <c r="S838" i="1"/>
  <c r="F838" i="1"/>
  <c r="S837" i="1"/>
  <c r="F837" i="1"/>
  <c r="S836" i="1"/>
  <c r="F836" i="1"/>
  <c r="S835" i="1"/>
  <c r="F835" i="1"/>
  <c r="S834" i="1"/>
  <c r="F834" i="1"/>
  <c r="S833" i="1"/>
  <c r="F833" i="1"/>
  <c r="S832" i="1"/>
  <c r="F832" i="1"/>
  <c r="S831" i="1"/>
  <c r="F831" i="1"/>
  <c r="S830" i="1"/>
  <c r="F830" i="1"/>
  <c r="S829" i="1"/>
  <c r="F829" i="1"/>
  <c r="S828" i="1"/>
  <c r="F828" i="1"/>
  <c r="S827" i="1"/>
  <c r="F827" i="1"/>
  <c r="S826" i="1"/>
  <c r="F826" i="1"/>
  <c r="S825" i="1"/>
  <c r="F825" i="1"/>
  <c r="S824" i="1"/>
  <c r="F824" i="1"/>
  <c r="S823" i="1"/>
  <c r="F823" i="1"/>
  <c r="S822" i="1"/>
  <c r="F822" i="1"/>
  <c r="S821" i="1"/>
  <c r="F821" i="1"/>
  <c r="S820" i="1"/>
  <c r="F820" i="1"/>
  <c r="S819" i="1"/>
  <c r="F819" i="1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S293" i="6" l="1"/>
  <c r="G293" i="6"/>
  <c r="S292" i="6"/>
  <c r="G292" i="6"/>
  <c r="S291" i="6"/>
  <c r="G291" i="6"/>
  <c r="S290" i="6"/>
  <c r="G290" i="6"/>
  <c r="S289" i="6"/>
  <c r="G289" i="6"/>
  <c r="S288" i="6"/>
  <c r="G288" i="6"/>
  <c r="S287" i="6"/>
  <c r="G287" i="6"/>
  <c r="S286" i="6"/>
  <c r="G286" i="6"/>
  <c r="S285" i="6"/>
  <c r="G285" i="6"/>
  <c r="S284" i="6"/>
  <c r="G284" i="6"/>
  <c r="S283" i="6"/>
  <c r="G283" i="6"/>
  <c r="S282" i="6"/>
  <c r="G282" i="6"/>
  <c r="S281" i="6"/>
  <c r="G281" i="6"/>
  <c r="S280" i="6"/>
  <c r="G280" i="6"/>
  <c r="S279" i="6"/>
  <c r="G279" i="6"/>
  <c r="S278" i="6"/>
  <c r="G278" i="6"/>
  <c r="S277" i="6"/>
  <c r="G277" i="6"/>
  <c r="S276" i="6"/>
  <c r="G276" i="6"/>
  <c r="S275" i="6"/>
  <c r="G275" i="6"/>
  <c r="S274" i="6"/>
  <c r="G274" i="6"/>
  <c r="S273" i="6"/>
  <c r="G273" i="6"/>
  <c r="S272" i="6"/>
  <c r="G272" i="6"/>
  <c r="S271" i="6"/>
  <c r="G271" i="6"/>
  <c r="S270" i="6"/>
  <c r="G270" i="6"/>
  <c r="S269" i="6"/>
  <c r="G269" i="6"/>
  <c r="S268" i="6"/>
  <c r="G268" i="6"/>
  <c r="S267" i="6"/>
  <c r="G267" i="6"/>
  <c r="S266" i="6"/>
  <c r="G266" i="6"/>
  <c r="S265" i="6"/>
  <c r="G265" i="6"/>
  <c r="S264" i="6"/>
  <c r="G264" i="6"/>
  <c r="S263" i="6"/>
  <c r="G263" i="6"/>
  <c r="S262" i="6"/>
  <c r="G262" i="6"/>
  <c r="S261" i="6"/>
  <c r="G261" i="6"/>
  <c r="S260" i="6"/>
  <c r="G260" i="6"/>
  <c r="S259" i="6"/>
  <c r="G259" i="6"/>
  <c r="S258" i="6"/>
  <c r="G258" i="6"/>
  <c r="S818" i="1"/>
  <c r="F818" i="1"/>
  <c r="S817" i="1"/>
  <c r="F817" i="1"/>
  <c r="S816" i="1"/>
  <c r="F816" i="1"/>
  <c r="S815" i="1"/>
  <c r="F815" i="1"/>
  <c r="S814" i="1"/>
  <c r="F814" i="1"/>
  <c r="S813" i="1"/>
  <c r="F813" i="1"/>
  <c r="S812" i="1"/>
  <c r="F812" i="1"/>
  <c r="S811" i="1"/>
  <c r="F811" i="1"/>
  <c r="S810" i="1"/>
  <c r="F810" i="1"/>
  <c r="S809" i="1"/>
  <c r="F809" i="1"/>
  <c r="S808" i="1"/>
  <c r="F808" i="1"/>
  <c r="S807" i="1"/>
  <c r="F807" i="1"/>
  <c r="S806" i="1"/>
  <c r="F806" i="1"/>
  <c r="S805" i="1"/>
  <c r="F805" i="1"/>
  <c r="S804" i="1"/>
  <c r="F804" i="1"/>
  <c r="S803" i="1"/>
  <c r="F803" i="1"/>
  <c r="S802" i="1"/>
  <c r="F802" i="1"/>
  <c r="S801" i="1"/>
  <c r="F801" i="1"/>
  <c r="S800" i="1"/>
  <c r="F800" i="1"/>
  <c r="S799" i="1"/>
  <c r="F799" i="1"/>
  <c r="S798" i="1"/>
  <c r="F798" i="1"/>
  <c r="S797" i="1"/>
  <c r="F797" i="1"/>
  <c r="S796" i="1"/>
  <c r="F796" i="1"/>
  <c r="S795" i="1"/>
  <c r="F795" i="1"/>
  <c r="S794" i="1"/>
  <c r="F794" i="1"/>
  <c r="S793" i="1"/>
  <c r="F793" i="1"/>
  <c r="S792" i="1"/>
  <c r="F792" i="1"/>
  <c r="S791" i="1"/>
  <c r="F791" i="1"/>
  <c r="S790" i="1"/>
  <c r="F790" i="1"/>
  <c r="S789" i="1"/>
  <c r="F789" i="1"/>
  <c r="S788" i="1"/>
  <c r="F788" i="1"/>
  <c r="S787" i="1"/>
  <c r="F787" i="1"/>
  <c r="S786" i="1"/>
  <c r="F786" i="1"/>
  <c r="S785" i="1"/>
  <c r="F785" i="1"/>
  <c r="S784" i="1"/>
  <c r="F784" i="1"/>
  <c r="S783" i="1"/>
  <c r="F783" i="1"/>
  <c r="S782" i="1"/>
  <c r="F782" i="1"/>
  <c r="S781" i="1"/>
  <c r="F781" i="1"/>
  <c r="S780" i="1"/>
  <c r="F780" i="1"/>
  <c r="S779" i="1"/>
  <c r="F779" i="1"/>
  <c r="S778" i="1"/>
  <c r="F778" i="1"/>
  <c r="S777" i="1"/>
  <c r="F777" i="1"/>
  <c r="S776" i="1"/>
  <c r="F776" i="1"/>
  <c r="S775" i="1"/>
  <c r="F775" i="1"/>
  <c r="S774" i="1"/>
  <c r="F774" i="1"/>
  <c r="S773" i="1"/>
  <c r="F773" i="1"/>
  <c r="S772" i="1"/>
  <c r="F772" i="1"/>
  <c r="S771" i="1"/>
  <c r="F771" i="1"/>
  <c r="S770" i="1"/>
  <c r="F770" i="1"/>
  <c r="S769" i="1"/>
  <c r="F769" i="1"/>
  <c r="S768" i="1"/>
  <c r="F768" i="1"/>
  <c r="S767" i="1"/>
  <c r="F767" i="1"/>
  <c r="S766" i="1"/>
  <c r="F766" i="1"/>
  <c r="S765" i="1"/>
  <c r="F765" i="1"/>
  <c r="S764" i="1"/>
  <c r="F764" i="1"/>
  <c r="S763" i="1"/>
  <c r="F763" i="1"/>
  <c r="S762" i="1"/>
  <c r="F762" i="1"/>
  <c r="S761" i="1"/>
  <c r="F761" i="1"/>
  <c r="S760" i="1"/>
  <c r="F760" i="1"/>
  <c r="S759" i="1"/>
  <c r="F759" i="1"/>
  <c r="S758" i="1"/>
  <c r="F758" i="1"/>
  <c r="S757" i="1"/>
  <c r="F757" i="1"/>
  <c r="S756" i="1"/>
  <c r="F756" i="1"/>
  <c r="S755" i="1"/>
  <c r="F755" i="1"/>
  <c r="S754" i="1"/>
  <c r="F754" i="1"/>
  <c r="S753" i="1"/>
  <c r="F753" i="1"/>
  <c r="S752" i="1"/>
  <c r="F752" i="1"/>
  <c r="S751" i="1"/>
  <c r="F751" i="1"/>
  <c r="S750" i="1"/>
  <c r="F750" i="1"/>
  <c r="S749" i="1"/>
  <c r="F749" i="1"/>
  <c r="S748" i="1"/>
  <c r="F748" i="1"/>
  <c r="S747" i="1"/>
  <c r="F747" i="1"/>
  <c r="S746" i="1"/>
  <c r="F746" i="1"/>
  <c r="S745" i="1"/>
  <c r="F745" i="1"/>
  <c r="S744" i="1"/>
  <c r="F744" i="1"/>
  <c r="S743" i="1"/>
  <c r="F743" i="1"/>
  <c r="S742" i="1"/>
  <c r="F742" i="1"/>
  <c r="S741" i="1"/>
  <c r="F741" i="1"/>
  <c r="S740" i="1"/>
  <c r="F740" i="1"/>
  <c r="S739" i="1"/>
  <c r="F739" i="1"/>
  <c r="S738" i="1"/>
  <c r="F738" i="1"/>
  <c r="S737" i="1"/>
  <c r="F737" i="1"/>
  <c r="S736" i="1"/>
  <c r="F736" i="1"/>
  <c r="S735" i="1"/>
  <c r="F735" i="1"/>
  <c r="S734" i="1"/>
  <c r="F734" i="1"/>
  <c r="S733" i="1"/>
  <c r="F733" i="1"/>
  <c r="S732" i="1"/>
  <c r="F732" i="1"/>
  <c r="S731" i="1"/>
  <c r="F731" i="1"/>
  <c r="S730" i="1"/>
  <c r="F730" i="1"/>
  <c r="S729" i="1"/>
  <c r="F729" i="1"/>
  <c r="S728" i="1"/>
  <c r="F728" i="1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F31" i="4" l="1"/>
  <c r="F30" i="4"/>
  <c r="F29" i="4"/>
  <c r="F28" i="4"/>
  <c r="F27" i="4"/>
  <c r="F26" i="4"/>
  <c r="F25" i="4"/>
  <c r="S62" i="3"/>
  <c r="F62" i="3"/>
  <c r="S61" i="3"/>
  <c r="F61" i="3"/>
  <c r="S60" i="3"/>
  <c r="F60" i="3"/>
  <c r="S59" i="3"/>
  <c r="F59" i="3"/>
  <c r="S58" i="3"/>
  <c r="F58" i="3"/>
  <c r="S57" i="3"/>
  <c r="F57" i="3"/>
  <c r="S56" i="3"/>
  <c r="F56" i="3"/>
  <c r="S55" i="3"/>
  <c r="F55" i="3"/>
  <c r="S727" i="1"/>
  <c r="F727" i="1"/>
  <c r="S726" i="1"/>
  <c r="F726" i="1"/>
  <c r="S725" i="1"/>
  <c r="F725" i="1"/>
  <c r="S724" i="1"/>
  <c r="F724" i="1"/>
  <c r="S723" i="1"/>
  <c r="F723" i="1"/>
  <c r="S722" i="1"/>
  <c r="F722" i="1"/>
  <c r="S721" i="1"/>
  <c r="F721" i="1"/>
  <c r="S720" i="1"/>
  <c r="F720" i="1"/>
  <c r="S719" i="1"/>
  <c r="F719" i="1"/>
  <c r="S718" i="1"/>
  <c r="F718" i="1"/>
  <c r="S717" i="1"/>
  <c r="F717" i="1"/>
  <c r="S716" i="1"/>
  <c r="F716" i="1"/>
  <c r="S715" i="1"/>
  <c r="F715" i="1"/>
  <c r="S714" i="1"/>
  <c r="F714" i="1"/>
  <c r="S713" i="1"/>
  <c r="F713" i="1"/>
  <c r="S712" i="1"/>
  <c r="F712" i="1"/>
  <c r="S711" i="1"/>
  <c r="F711" i="1"/>
  <c r="S710" i="1"/>
  <c r="F710" i="1"/>
  <c r="S709" i="1"/>
  <c r="F709" i="1"/>
  <c r="S708" i="1"/>
  <c r="F708" i="1"/>
  <c r="S707" i="1"/>
  <c r="F707" i="1"/>
  <c r="S706" i="1"/>
  <c r="F706" i="1"/>
  <c r="S705" i="1"/>
  <c r="F705" i="1"/>
  <c r="S704" i="1"/>
  <c r="F704" i="1"/>
  <c r="S703" i="1"/>
  <c r="F703" i="1"/>
  <c r="S702" i="1"/>
  <c r="F702" i="1"/>
  <c r="S701" i="1"/>
  <c r="F701" i="1"/>
  <c r="S700" i="1"/>
  <c r="F700" i="1"/>
  <c r="S699" i="1"/>
  <c r="F699" i="1"/>
  <c r="S698" i="1"/>
  <c r="F698" i="1"/>
  <c r="S697" i="1"/>
  <c r="F697" i="1"/>
  <c r="S696" i="1"/>
  <c r="F696" i="1"/>
  <c r="S695" i="1"/>
  <c r="F695" i="1"/>
  <c r="S694" i="1"/>
  <c r="F694" i="1"/>
  <c r="S693" i="1"/>
  <c r="F693" i="1"/>
  <c r="S692" i="1"/>
  <c r="F692" i="1"/>
  <c r="S691" i="1"/>
  <c r="F691" i="1"/>
  <c r="S690" i="1"/>
  <c r="F690" i="1"/>
  <c r="S689" i="1"/>
  <c r="F689" i="1"/>
  <c r="S688" i="1"/>
  <c r="F688" i="1"/>
  <c r="S687" i="1"/>
  <c r="F687" i="1"/>
  <c r="S686" i="1"/>
  <c r="F686" i="1"/>
  <c r="S685" i="1"/>
  <c r="F685" i="1"/>
  <c r="S684" i="1"/>
  <c r="F684" i="1"/>
  <c r="S683" i="1"/>
  <c r="F683" i="1"/>
  <c r="S682" i="1"/>
  <c r="F682" i="1"/>
  <c r="S681" i="1"/>
  <c r="F681" i="1"/>
  <c r="S680" i="1"/>
  <c r="F680" i="1"/>
  <c r="S679" i="1"/>
  <c r="F679" i="1"/>
  <c r="S678" i="1"/>
  <c r="F678" i="1"/>
  <c r="S677" i="1"/>
  <c r="F677" i="1"/>
  <c r="S676" i="1"/>
  <c r="F676" i="1"/>
  <c r="S675" i="1"/>
  <c r="F675" i="1"/>
  <c r="S674" i="1"/>
  <c r="F674" i="1"/>
  <c r="S673" i="1"/>
  <c r="F673" i="1"/>
  <c r="S672" i="1"/>
  <c r="F672" i="1"/>
  <c r="S671" i="1"/>
  <c r="F671" i="1"/>
  <c r="S670" i="1"/>
  <c r="F670" i="1"/>
  <c r="F669" i="1"/>
  <c r="S668" i="1"/>
  <c r="F668" i="1"/>
  <c r="S667" i="1"/>
  <c r="F667" i="1"/>
  <c r="S666" i="1"/>
  <c r="F666" i="1"/>
  <c r="S665" i="1"/>
  <c r="F665" i="1"/>
  <c r="S664" i="1"/>
  <c r="F664" i="1"/>
  <c r="S663" i="1"/>
  <c r="F663" i="1"/>
  <c r="S662" i="1"/>
  <c r="F662" i="1"/>
  <c r="S661" i="1"/>
  <c r="F661" i="1"/>
  <c r="S660" i="1"/>
  <c r="F660" i="1"/>
  <c r="S659" i="1"/>
  <c r="F659" i="1"/>
  <c r="S658" i="1"/>
  <c r="F658" i="1"/>
  <c r="F657" i="1"/>
  <c r="S656" i="1"/>
  <c r="F656" i="1"/>
  <c r="S655" i="1"/>
  <c r="F655" i="1"/>
  <c r="S654" i="1"/>
  <c r="F654" i="1"/>
  <c r="S653" i="1"/>
  <c r="F653" i="1"/>
  <c r="S652" i="1"/>
  <c r="F652" i="1"/>
  <c r="S651" i="1"/>
  <c r="F651" i="1"/>
  <c r="S650" i="1"/>
  <c r="F650" i="1"/>
  <c r="S649" i="1"/>
  <c r="F649" i="1"/>
  <c r="S648" i="1"/>
  <c r="F648" i="1"/>
  <c r="S647" i="1"/>
  <c r="F647" i="1"/>
  <c r="S646" i="1"/>
  <c r="F646" i="1"/>
  <c r="S645" i="1"/>
  <c r="F645" i="1"/>
  <c r="S644" i="1"/>
  <c r="F644" i="1"/>
  <c r="S643" i="1"/>
  <c r="F643" i="1"/>
  <c r="S642" i="1"/>
  <c r="F642" i="1"/>
  <c r="S641" i="1"/>
  <c r="F641" i="1"/>
  <c r="S640" i="1"/>
  <c r="F640" i="1"/>
  <c r="S639" i="1"/>
  <c r="F639" i="1"/>
  <c r="S638" i="1"/>
  <c r="F638" i="1"/>
  <c r="S637" i="1"/>
  <c r="F637" i="1"/>
  <c r="F636" i="1"/>
  <c r="S635" i="1"/>
  <c r="F635" i="1"/>
  <c r="S634" i="1"/>
  <c r="F634" i="1"/>
  <c r="S633" i="1"/>
  <c r="F633" i="1"/>
  <c r="S632" i="1"/>
  <c r="F632" i="1"/>
  <c r="S631" i="1"/>
  <c r="F631" i="1"/>
  <c r="S630" i="1"/>
  <c r="F630" i="1"/>
  <c r="S629" i="1"/>
  <c r="F629" i="1"/>
  <c r="S628" i="1"/>
  <c r="F628" i="1"/>
  <c r="S627" i="1"/>
  <c r="F627" i="1"/>
  <c r="S626" i="1"/>
  <c r="F626" i="1"/>
  <c r="S625" i="1"/>
  <c r="F625" i="1"/>
  <c r="S624" i="1"/>
  <c r="F624" i="1"/>
  <c r="S623" i="1"/>
  <c r="F623" i="1"/>
  <c r="S622" i="1"/>
  <c r="F622" i="1"/>
  <c r="S621" i="1"/>
  <c r="F621" i="1"/>
  <c r="S620" i="1"/>
  <c r="F620" i="1"/>
  <c r="S619" i="1"/>
  <c r="F619" i="1"/>
  <c r="S618" i="1"/>
  <c r="F618" i="1"/>
  <c r="S617" i="1"/>
  <c r="F617" i="1"/>
  <c r="S616" i="1"/>
  <c r="F616" i="1"/>
  <c r="S615" i="1"/>
  <c r="F615" i="1"/>
  <c r="S614" i="1"/>
  <c r="F614" i="1"/>
  <c r="S613" i="1"/>
  <c r="F613" i="1"/>
  <c r="S612" i="1"/>
  <c r="F612" i="1"/>
  <c r="G214" i="6" l="1"/>
  <c r="G213" i="6"/>
  <c r="S212" i="6"/>
  <c r="G212" i="6"/>
  <c r="S211" i="6"/>
  <c r="G211" i="6"/>
  <c r="S210" i="6"/>
  <c r="G210" i="6"/>
  <c r="S209" i="6"/>
  <c r="G209" i="6"/>
  <c r="S208" i="6"/>
  <c r="G208" i="6"/>
  <c r="S207" i="6"/>
  <c r="G207" i="6"/>
  <c r="S206" i="6"/>
  <c r="G206" i="6"/>
  <c r="S205" i="6"/>
  <c r="G205" i="6"/>
  <c r="S204" i="6"/>
  <c r="G204" i="6"/>
  <c r="S203" i="6"/>
  <c r="G203" i="6"/>
  <c r="S202" i="6"/>
  <c r="G202" i="6"/>
  <c r="S201" i="6"/>
  <c r="G201" i="6"/>
  <c r="S200" i="6"/>
  <c r="G200" i="6"/>
  <c r="S199" i="6"/>
  <c r="G199" i="6"/>
  <c r="S198" i="6"/>
  <c r="G198" i="6"/>
  <c r="S197" i="6"/>
  <c r="G197" i="6"/>
  <c r="S196" i="6"/>
  <c r="G196" i="6"/>
  <c r="S195" i="6"/>
  <c r="G195" i="6"/>
  <c r="S194" i="6"/>
  <c r="G194" i="6"/>
  <c r="S193" i="6"/>
  <c r="G193" i="6"/>
  <c r="S192" i="6"/>
  <c r="G192" i="6"/>
  <c r="S191" i="6"/>
  <c r="G191" i="6"/>
  <c r="S190" i="6"/>
  <c r="G190" i="6"/>
  <c r="S189" i="6"/>
  <c r="G189" i="6"/>
  <c r="S188" i="6"/>
  <c r="G188" i="6"/>
  <c r="S187" i="6"/>
  <c r="G187" i="6"/>
  <c r="S186" i="6"/>
  <c r="G186" i="6"/>
  <c r="S185" i="6"/>
  <c r="G185" i="6"/>
  <c r="S184" i="6"/>
  <c r="G184" i="6"/>
  <c r="S183" i="6"/>
  <c r="G183" i="6"/>
  <c r="S182" i="6"/>
  <c r="G182" i="6"/>
  <c r="S181" i="6"/>
  <c r="G181" i="6"/>
  <c r="S180" i="6"/>
  <c r="G180" i="6"/>
  <c r="F24" i="4"/>
  <c r="F23" i="4"/>
  <c r="S54" i="3"/>
  <c r="F54" i="3"/>
  <c r="S53" i="3"/>
  <c r="F53" i="3"/>
  <c r="S52" i="3"/>
  <c r="F52" i="3"/>
  <c r="S611" i="1"/>
  <c r="F611" i="1"/>
  <c r="S610" i="1"/>
  <c r="F610" i="1"/>
  <c r="S609" i="1"/>
  <c r="F609" i="1"/>
  <c r="S608" i="1"/>
  <c r="F608" i="1"/>
  <c r="S607" i="1"/>
  <c r="F607" i="1"/>
  <c r="S606" i="1"/>
  <c r="F606" i="1"/>
  <c r="S605" i="1"/>
  <c r="F605" i="1"/>
  <c r="S604" i="1"/>
  <c r="F604" i="1"/>
  <c r="S603" i="1"/>
  <c r="F603" i="1"/>
  <c r="S602" i="1"/>
  <c r="F602" i="1"/>
  <c r="S601" i="1"/>
  <c r="F601" i="1"/>
  <c r="S600" i="1"/>
  <c r="F600" i="1"/>
  <c r="S599" i="1"/>
  <c r="F599" i="1"/>
  <c r="S598" i="1"/>
  <c r="F598" i="1"/>
  <c r="S597" i="1"/>
  <c r="F597" i="1"/>
  <c r="S596" i="1"/>
  <c r="F596" i="1"/>
  <c r="S595" i="1"/>
  <c r="F595" i="1"/>
  <c r="S594" i="1"/>
  <c r="F594" i="1"/>
  <c r="S593" i="1"/>
  <c r="F593" i="1"/>
  <c r="S592" i="1"/>
  <c r="F592" i="1"/>
  <c r="S591" i="1"/>
  <c r="F591" i="1"/>
  <c r="S590" i="1"/>
  <c r="F590" i="1"/>
  <c r="S589" i="1"/>
  <c r="F589" i="1"/>
  <c r="S588" i="1"/>
  <c r="F588" i="1"/>
  <c r="S587" i="1"/>
  <c r="F587" i="1"/>
  <c r="S586" i="1"/>
  <c r="F586" i="1"/>
  <c r="S585" i="1"/>
  <c r="F585" i="1"/>
  <c r="S584" i="1"/>
  <c r="F584" i="1"/>
  <c r="S583" i="1"/>
  <c r="F583" i="1"/>
  <c r="S582" i="1"/>
  <c r="F582" i="1"/>
  <c r="S581" i="1"/>
  <c r="F581" i="1"/>
  <c r="S580" i="1"/>
  <c r="F580" i="1"/>
  <c r="S579" i="1"/>
  <c r="F579" i="1"/>
  <c r="S578" i="1"/>
  <c r="F578" i="1"/>
  <c r="S577" i="1"/>
  <c r="F577" i="1"/>
  <c r="S576" i="1"/>
  <c r="F576" i="1"/>
  <c r="S575" i="1"/>
  <c r="F575" i="1"/>
  <c r="S574" i="1"/>
  <c r="F574" i="1"/>
  <c r="S573" i="1"/>
  <c r="F573" i="1"/>
  <c r="S572" i="1"/>
  <c r="F572" i="1"/>
  <c r="S571" i="1"/>
  <c r="F571" i="1"/>
  <c r="S570" i="1"/>
  <c r="F570" i="1"/>
  <c r="S569" i="1"/>
  <c r="F569" i="1"/>
  <c r="S568" i="1"/>
  <c r="F568" i="1"/>
  <c r="S567" i="1"/>
  <c r="F567" i="1"/>
  <c r="S566" i="1"/>
  <c r="F566" i="1"/>
  <c r="S565" i="1"/>
  <c r="F565" i="1"/>
  <c r="S564" i="1"/>
  <c r="F564" i="1"/>
  <c r="S563" i="1"/>
  <c r="F563" i="1"/>
  <c r="S562" i="1"/>
  <c r="F562" i="1"/>
  <c r="S561" i="1"/>
  <c r="F561" i="1"/>
  <c r="S560" i="1"/>
  <c r="F560" i="1"/>
  <c r="S559" i="1"/>
  <c r="F559" i="1"/>
  <c r="S558" i="1"/>
  <c r="F558" i="1"/>
  <c r="S557" i="1"/>
  <c r="F557" i="1"/>
  <c r="S556" i="1"/>
  <c r="F556" i="1"/>
  <c r="S555" i="1"/>
  <c r="F555" i="1"/>
  <c r="S554" i="1"/>
  <c r="F554" i="1"/>
  <c r="S553" i="1"/>
  <c r="F553" i="1"/>
  <c r="S552" i="1"/>
  <c r="F552" i="1"/>
  <c r="S551" i="1"/>
  <c r="F551" i="1"/>
  <c r="S550" i="1"/>
  <c r="F550" i="1"/>
  <c r="S549" i="1"/>
  <c r="F549" i="1"/>
  <c r="S548" i="1"/>
  <c r="F548" i="1"/>
  <c r="S547" i="1"/>
  <c r="F547" i="1"/>
  <c r="S546" i="1"/>
  <c r="F546" i="1"/>
  <c r="S545" i="1"/>
  <c r="F545" i="1"/>
  <c r="S544" i="1"/>
  <c r="F544" i="1"/>
  <c r="S543" i="1"/>
  <c r="F543" i="1"/>
  <c r="S542" i="1"/>
  <c r="F542" i="1"/>
  <c r="S541" i="1"/>
  <c r="F541" i="1"/>
  <c r="S540" i="1"/>
  <c r="F540" i="1"/>
  <c r="S539" i="1"/>
  <c r="F539" i="1"/>
  <c r="S538" i="1"/>
  <c r="F538" i="1"/>
  <c r="S537" i="1"/>
  <c r="F537" i="1"/>
  <c r="S536" i="1"/>
  <c r="F536" i="1"/>
  <c r="S535" i="1"/>
  <c r="F535" i="1"/>
  <c r="S534" i="1"/>
  <c r="F534" i="1"/>
  <c r="S533" i="1"/>
  <c r="F533" i="1"/>
  <c r="S532" i="1"/>
  <c r="F532" i="1"/>
  <c r="S531" i="1"/>
  <c r="F531" i="1"/>
  <c r="S530" i="1"/>
  <c r="F530" i="1"/>
  <c r="S529" i="1"/>
  <c r="F529" i="1"/>
  <c r="S528" i="1"/>
  <c r="F528" i="1"/>
  <c r="S527" i="1"/>
  <c r="F527" i="1"/>
  <c r="S526" i="1"/>
  <c r="F526" i="1"/>
  <c r="S525" i="1"/>
  <c r="F525" i="1"/>
  <c r="S524" i="1"/>
  <c r="F524" i="1"/>
  <c r="S523" i="1"/>
  <c r="F523" i="1"/>
  <c r="S522" i="1"/>
  <c r="F522" i="1"/>
  <c r="S521" i="1"/>
  <c r="F521" i="1"/>
  <c r="S520" i="1"/>
  <c r="F520" i="1"/>
  <c r="S519" i="1"/>
  <c r="F519" i="1"/>
  <c r="S518" i="1"/>
  <c r="F518" i="1"/>
  <c r="S517" i="1"/>
  <c r="F517" i="1"/>
  <c r="S516" i="1"/>
  <c r="F516" i="1"/>
  <c r="S515" i="1"/>
  <c r="F515" i="1"/>
  <c r="S514" i="1"/>
  <c r="F514" i="1"/>
  <c r="S513" i="1"/>
  <c r="F513" i="1"/>
  <c r="S512" i="1"/>
  <c r="F512" i="1"/>
  <c r="S511" i="1"/>
  <c r="F511" i="1"/>
  <c r="S510" i="1"/>
  <c r="F510" i="1"/>
  <c r="S509" i="1"/>
  <c r="F509" i="1"/>
  <c r="S508" i="1"/>
  <c r="F508" i="1"/>
  <c r="S507" i="1"/>
  <c r="F507" i="1"/>
  <c r="S506" i="1"/>
  <c r="F506" i="1"/>
  <c r="S505" i="1"/>
  <c r="F505" i="1"/>
  <c r="S504" i="1"/>
  <c r="F504" i="1"/>
  <c r="S503" i="1"/>
  <c r="F503" i="1"/>
  <c r="S502" i="1"/>
  <c r="F502" i="1"/>
  <c r="S501" i="1"/>
  <c r="F501" i="1"/>
  <c r="S500" i="1"/>
  <c r="F500" i="1"/>
  <c r="S499" i="1"/>
  <c r="F499" i="1"/>
  <c r="S498" i="1"/>
  <c r="F498" i="1"/>
  <c r="S497" i="1"/>
  <c r="F497" i="1"/>
  <c r="S496" i="1"/>
  <c r="F496" i="1"/>
  <c r="S495" i="1"/>
  <c r="F495" i="1"/>
  <c r="S494" i="1"/>
  <c r="F494" i="1"/>
  <c r="S493" i="1"/>
  <c r="F493" i="1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S179" i="6" l="1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51" i="3"/>
  <c r="S50" i="3"/>
  <c r="S49" i="3"/>
  <c r="S48" i="3"/>
  <c r="S47" i="3"/>
  <c r="S162" i="6" l="1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43" i="3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128" i="6" l="1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100" i="6" l="1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24" i="3" l="1"/>
  <c r="S23" i="3"/>
  <c r="S22" i="3"/>
  <c r="S21" i="3"/>
  <c r="S20" i="3"/>
  <c r="S19" i="3"/>
  <c r="S18" i="3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17" i="3" l="1"/>
  <c r="S16" i="3"/>
  <c r="S15" i="3"/>
  <c r="S13" i="3"/>
  <c r="S12" i="3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 l="1"/>
  <c r="S32" i="1"/>
  <c r="S31" i="1"/>
  <c r="S20" i="6" l="1"/>
  <c r="S23" i="1"/>
  <c r="S22" i="1"/>
  <c r="S18" i="1"/>
  <c r="S9" i="3"/>
  <c r="S8" i="3"/>
  <c r="S19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5" i="6"/>
  <c r="S11" i="1" l="1"/>
  <c r="S10" i="1"/>
  <c r="S7" i="1" l="1"/>
  <c r="S8" i="1"/>
  <c r="S9" i="1"/>
  <c r="S12" i="1"/>
  <c r="S13" i="1"/>
  <c r="S14" i="1"/>
  <c r="S15" i="1"/>
  <c r="S16" i="1"/>
  <c r="S17" i="1"/>
  <c r="S19" i="1"/>
  <c r="S20" i="1"/>
  <c r="S21" i="1"/>
  <c r="S24" i="1"/>
  <c r="S25" i="1"/>
  <c r="S26" i="1"/>
  <c r="S27" i="1"/>
  <c r="S29" i="1"/>
  <c r="S30" i="1"/>
  <c r="S6" i="1"/>
</calcChain>
</file>

<file path=xl/sharedStrings.xml><?xml version="1.0" encoding="utf-8"?>
<sst xmlns="http://schemas.openxmlformats.org/spreadsheetml/2006/main" count="18576" uniqueCount="5838">
  <si>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</si>
  <si>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</si>
  <si>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</si>
  <si>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</si>
  <si>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</si>
  <si>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</si>
  <si>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</si>
  <si>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</si>
  <si>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</si>
  <si>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</si>
  <si>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</si>
  <si>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</si>
  <si>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</si>
  <si>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</si>
  <si>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</si>
  <si>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</si>
  <si>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</si>
  <si>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</si>
  <si>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</si>
  <si>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</si>
  <si>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</si>
  <si>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</si>
  <si>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</si>
  <si>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</si>
  <si>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</si>
  <si>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</si>
  <si>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</si>
  <si>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</si>
  <si>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</si>
  <si>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</si>
  <si>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</si>
  <si>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</si>
  <si>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</si>
  <si>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</si>
  <si>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</si>
  <si>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</si>
  <si>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</si>
  <si>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</si>
  <si>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</si>
  <si>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</si>
  <si>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</si>
  <si>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</si>
  <si>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</si>
  <si>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</si>
  <si>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</si>
  <si>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</si>
  <si>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</si>
  <si>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</si>
  <si>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</si>
  <si>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</si>
  <si>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</si>
  <si>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</si>
  <si>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</si>
  <si>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</si>
  <si>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</si>
  <si>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</si>
  <si>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</si>
  <si>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</si>
  <si>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</si>
  <si>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</si>
  <si>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</si>
  <si>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</si>
  <si>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</si>
  <si>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</si>
  <si>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</si>
  <si>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</si>
  <si>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</si>
  <si>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</si>
  <si>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</si>
  <si>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</si>
  <si>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</si>
  <si>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>Cristian Capelo</t>
  </si>
  <si>
    <t>Al 16 de DICIEMBRE del 2024</t>
  </si>
  <si>
    <t>Barbacoa a Gas T-BBQ 3100</t>
  </si>
  <si>
    <t>≥≥≥≥≥≥≥≥</t>
  </si>
  <si>
    <t>MERCARD</t>
  </si>
  <si>
    <t>001-001-000000456</t>
  </si>
  <si>
    <t>CO249E00586</t>
  </si>
  <si>
    <t xml:space="preserve">ANAIS MARTINEZ </t>
  </si>
  <si>
    <t>LOS FRESNOS 2</t>
  </si>
  <si>
    <t>0982508949</t>
  </si>
  <si>
    <t>0104984687</t>
  </si>
  <si>
    <t>palaciosmorenod@yahoo.com</t>
  </si>
  <si>
    <t>KIWI</t>
  </si>
  <si>
    <t>043-904-000056765</t>
  </si>
  <si>
    <t>CO249E00398</t>
  </si>
  <si>
    <t>ELISABETH ANCHUNDIA</t>
  </si>
  <si>
    <t>REGISTRO CIVIL BATAN</t>
  </si>
  <si>
    <t>0902344357</t>
  </si>
  <si>
    <t>jaxstory@gmail.com</t>
  </si>
  <si>
    <t>001-001-000000277</t>
  </si>
  <si>
    <t>COCINA IZC 64010 MSS BK</t>
  </si>
  <si>
    <t>ZP23A200221</t>
  </si>
  <si>
    <t>ALEXIS SCHULMAN</t>
  </si>
  <si>
    <t>EL VADO</t>
  </si>
  <si>
    <t>0999838129</t>
  </si>
  <si>
    <t>1750902486</t>
  </si>
  <si>
    <t>schulman.alexis@gmail.com</t>
  </si>
  <si>
    <t xml:space="preserve">HORNO HBB 510 BK </t>
  </si>
  <si>
    <t>TZ244524962</t>
  </si>
  <si>
    <t>COMERCIAL SOLIS</t>
  </si>
  <si>
    <t>001-501-000001305</t>
  </si>
  <si>
    <t>MICROONDAS ML 822 BIS L</t>
  </si>
  <si>
    <t>TP247904247</t>
  </si>
  <si>
    <t>FRANCISCO GUERRERO</t>
  </si>
  <si>
    <t>COMPLEJO RESIDENCIAL CIUDAD DEL RIO</t>
  </si>
  <si>
    <t>0999895136</t>
  </si>
  <si>
    <t>0103552147</t>
  </si>
  <si>
    <t>panchog1980@hotmail.com</t>
  </si>
  <si>
    <t>HORNO HLB 8416</t>
  </si>
  <si>
    <t>COCINA GZC 95320 XBB</t>
  </si>
  <si>
    <t>CAMPANA CC480</t>
  </si>
  <si>
    <t>TZ247202318</t>
  </si>
  <si>
    <t>ZP23A600127</t>
  </si>
  <si>
    <t>PX23BN00512</t>
  </si>
  <si>
    <t>001-001-000000275</t>
  </si>
  <si>
    <t>PLACA POTENCIA 1100 IZQ 2BH7 LAYOUT (IFX)</t>
  </si>
  <si>
    <t>COCINA IZS 88630 MST BK</t>
  </si>
  <si>
    <t>ZP242900869</t>
  </si>
  <si>
    <t>PATRICIA GUZÑAY</t>
  </si>
  <si>
    <t>PLACA POTENCIA IZQUIERDA QUEMADA</t>
  </si>
  <si>
    <t>0103649505</t>
  </si>
  <si>
    <t>juanisebastian2006@gmail.com</t>
  </si>
  <si>
    <t>0987719907</t>
  </si>
  <si>
    <t>007-006-000132856</t>
  </si>
  <si>
    <t>KYWI</t>
  </si>
  <si>
    <t>043-903-000050987</t>
  </si>
  <si>
    <t>40467304</t>
  </si>
  <si>
    <t>CAMPANA C710</t>
  </si>
  <si>
    <t>TP246B00591</t>
  </si>
  <si>
    <t>PILAR CRESPO</t>
  </si>
  <si>
    <t>EDIFICIO LOS ARUPOS</t>
  </si>
  <si>
    <t>0997108734</t>
  </si>
  <si>
    <t>0102513041</t>
  </si>
  <si>
    <t>pilarcrespo69@hotmail.com</t>
  </si>
  <si>
    <t>043-903-000050722</t>
  </si>
  <si>
    <t>111000051</t>
  </si>
  <si>
    <t>HORNO HLB 8416 BK</t>
  </si>
  <si>
    <t>TZ249P16588</t>
  </si>
  <si>
    <t>GUSTAVO CORDERO</t>
  </si>
  <si>
    <t>MEDIO EJIDO</t>
  </si>
  <si>
    <t>0984547779</t>
  </si>
  <si>
    <t>0104130091</t>
  </si>
  <si>
    <t>gustavoecordero@gmail.com</t>
  </si>
  <si>
    <t>112570075</t>
  </si>
  <si>
    <t>COCINA GZC96310 XBB</t>
  </si>
  <si>
    <t>ZP242L00271</t>
  </si>
  <si>
    <t>ALFREDO NARANJO</t>
  </si>
  <si>
    <t>TOTORACOCHA</t>
  </si>
  <si>
    <t>0995505313</t>
  </si>
  <si>
    <t>0300756012</t>
  </si>
  <si>
    <t>manuelnaranjobermeo1958@gmail.com</t>
  </si>
  <si>
    <t>043-906-000032740</t>
  </si>
  <si>
    <t>40782128</t>
  </si>
  <si>
    <t>LAVAVAJILLAS DW857 FIM-D</t>
  </si>
  <si>
    <t>MD247L00330</t>
  </si>
  <si>
    <t>CRISTIAN FLORES</t>
  </si>
  <si>
    <t>EDIFICIO RECORD DENTAL</t>
  </si>
  <si>
    <t>0998370527</t>
  </si>
  <si>
    <t>0302087309</t>
  </si>
  <si>
    <t>andresfv@gmail.com</t>
  </si>
  <si>
    <t>SUKASA</t>
  </si>
  <si>
    <t>040-104-000008828</t>
  </si>
  <si>
    <t>LAVAVAJILLAS OFI46900</t>
  </si>
  <si>
    <t>AW232800162</t>
  </si>
  <si>
    <t>MIRIAM GUAYASAMIN</t>
  </si>
  <si>
    <t>DESMONTE MOTOR,AJUSTE TERMINALES Y CONECTORES DE TARJETA ELECTRONICA</t>
  </si>
  <si>
    <t>1720187333</t>
  </si>
  <si>
    <t>mguayasamin56@hotmail.com</t>
  </si>
  <si>
    <t>0998289010</t>
  </si>
  <si>
    <t>006-002-000154907</t>
  </si>
  <si>
    <t>CONJUNTO MODULO INDUCCION TEKA I200 DOMINO (I224)</t>
  </si>
  <si>
    <t>COCINAIZF 99700 MSI BK</t>
  </si>
  <si>
    <t>ZP229100003</t>
  </si>
  <si>
    <t xml:space="preserve">KATHERINE LUDENA </t>
  </si>
  <si>
    <t>NO FUNCIONAN INDUCTORES DEL LADO DERECHO</t>
  </si>
  <si>
    <t>0105956445</t>
  </si>
  <si>
    <t>alextapia12@hotmail.com</t>
  </si>
  <si>
    <t>0992875927</t>
  </si>
  <si>
    <t>001-500-000050038</t>
  </si>
  <si>
    <t>043-905-000052666</t>
  </si>
  <si>
    <t>CO249E00404</t>
  </si>
  <si>
    <t>CARLOS SUAREZ</t>
  </si>
  <si>
    <t>UCUBAMBA</t>
  </si>
  <si>
    <t>0987663967</t>
  </si>
  <si>
    <t>0218800646</t>
  </si>
  <si>
    <t>carlosd123123123@gmail.com</t>
  </si>
  <si>
    <t>COMO HOGAR</t>
  </si>
  <si>
    <t>040-103-000006778</t>
  </si>
  <si>
    <t>018-002-001151235</t>
  </si>
  <si>
    <t>HOME VEGA</t>
  </si>
  <si>
    <t>HORNO IOVEN 55</t>
  </si>
  <si>
    <t>TZ247F13165</t>
  </si>
  <si>
    <t>ALBERTO LANDY</t>
  </si>
  <si>
    <t>MIGUEL MORENO Y LUIS MORENO MORA</t>
  </si>
  <si>
    <t>0998627974</t>
  </si>
  <si>
    <t>0101205128</t>
  </si>
  <si>
    <t>a.landy@hotmail.com</t>
  </si>
  <si>
    <t>COCINA GZC 96310 XBB</t>
  </si>
  <si>
    <t>ZP243U00087</t>
  </si>
  <si>
    <t>VINERA RVF 10032 GBK</t>
  </si>
  <si>
    <t>YH243V00190</t>
  </si>
  <si>
    <t>BOYACA</t>
  </si>
  <si>
    <t>007-007-000031524</t>
  </si>
  <si>
    <t>112510035</t>
  </si>
  <si>
    <t>COCINA IZF64440MPS BK</t>
  </si>
  <si>
    <t>ZP243600254</t>
  </si>
  <si>
    <t>NANCY COLLAGUAZO</t>
  </si>
  <si>
    <t>LAS CHIRIMOYAS</t>
  </si>
  <si>
    <t>0998886630</t>
  </si>
  <si>
    <t>0102174273</t>
  </si>
  <si>
    <t>naneycolla1962@gmail.com</t>
  </si>
  <si>
    <t>016-907-000233652</t>
  </si>
  <si>
    <t>40466241</t>
  </si>
  <si>
    <t>CAMPANA C9310</t>
  </si>
  <si>
    <t>TP245P077981</t>
  </si>
  <si>
    <t>EFREN VELEZ</t>
  </si>
  <si>
    <t>LAS LADERAS 3-57</t>
  </si>
  <si>
    <t>0998586642</t>
  </si>
  <si>
    <t>0102668779</t>
  </si>
  <si>
    <t>efrenvelez1967@hotmail.com</t>
  </si>
  <si>
    <t>COCINA FBC 64000 TTC BK</t>
  </si>
  <si>
    <t>ZP226Q00123</t>
  </si>
  <si>
    <t xml:space="preserve">GABRIELA MOLINA </t>
  </si>
  <si>
    <t>0103619383</t>
  </si>
  <si>
    <t>gamolinaa@hotmail.com</t>
  </si>
  <si>
    <t>0999953675</t>
  </si>
  <si>
    <t>002-103-000002832</t>
  </si>
  <si>
    <t>COCINA GBC 64000 KBB</t>
  </si>
  <si>
    <t>ZP214500045</t>
  </si>
  <si>
    <t>ANA PALACIOS</t>
  </si>
  <si>
    <t>EDIFICIO CARRARA 6B</t>
  </si>
  <si>
    <t>0102540905</t>
  </si>
  <si>
    <t>obepulape@hotmail.com</t>
  </si>
  <si>
    <t>0992617656</t>
  </si>
  <si>
    <t>001-001-000016996</t>
  </si>
  <si>
    <t>TRITURADOR TR 510 I</t>
  </si>
  <si>
    <t>230710AF1910</t>
  </si>
  <si>
    <t>CLAUDIA DOMINGUEZ</t>
  </si>
  <si>
    <t>0102403474</t>
  </si>
  <si>
    <t>klevervamega@hotmail.com</t>
  </si>
  <si>
    <t>0998277269</t>
  </si>
  <si>
    <t>040-103-000001878</t>
  </si>
  <si>
    <t>040-103-000010079</t>
  </si>
  <si>
    <t>TZ249P16632</t>
  </si>
  <si>
    <t>ZOILA ORTIZ</t>
  </si>
  <si>
    <t>LATINOAMERICANO Y PUERTO RICO</t>
  </si>
  <si>
    <t>0993838222</t>
  </si>
  <si>
    <t>0102570322</t>
  </si>
  <si>
    <t>anivalalvear@hotmail.com</t>
  </si>
  <si>
    <t>016-902-000493252</t>
  </si>
  <si>
    <t>40466111</t>
  </si>
  <si>
    <t>CAMPANA C910</t>
  </si>
  <si>
    <t>TP244K11592</t>
  </si>
  <si>
    <t>JORGE SANCHEZ</t>
  </si>
  <si>
    <t>BAÑOS</t>
  </si>
  <si>
    <t>0983858571</t>
  </si>
  <si>
    <t>0106568884</t>
  </si>
  <si>
    <t>jorgesanchezvanegas@mail.com</t>
  </si>
  <si>
    <t>001-501-000002015</t>
  </si>
  <si>
    <t>111040006</t>
  </si>
  <si>
    <t>HORNO HSB 750 GL6 E10</t>
  </si>
  <si>
    <t>TZ245806322</t>
  </si>
  <si>
    <t>ERMEL GODOY</t>
  </si>
  <si>
    <t>VEGA MUNOZ 4-90</t>
  </si>
  <si>
    <t>0991899911</t>
  </si>
  <si>
    <t>0102363059</t>
  </si>
  <si>
    <t>deaustral3@gmail.com</t>
  </si>
  <si>
    <t>001-500-000069974</t>
  </si>
  <si>
    <t>TP24AR07913</t>
  </si>
  <si>
    <t>HARTMAN PINEDA</t>
  </si>
  <si>
    <t>LOS JOYEROS</t>
  </si>
  <si>
    <t>0985979160</t>
  </si>
  <si>
    <t>1104059397</t>
  </si>
  <si>
    <t>hartman.pineda@gmail.com</t>
  </si>
  <si>
    <t>MICROONDAS MWG 14X</t>
  </si>
  <si>
    <t>MW247A00202</t>
  </si>
  <si>
    <t>COMERCIAL LUNA PAZMINO</t>
  </si>
  <si>
    <t>CO249E00480</t>
  </si>
  <si>
    <t>AV. LOJA</t>
  </si>
  <si>
    <t>0983146040</t>
  </si>
  <si>
    <t>0190168824001</t>
  </si>
  <si>
    <t>comlupazmino@gmail.com</t>
  </si>
  <si>
    <t>conjunto touch control auxislaider</t>
  </si>
  <si>
    <t>COCINA IZF 99700 MST BK</t>
  </si>
  <si>
    <t>ZP23BW00545</t>
  </si>
  <si>
    <t>JENNIFER VALDIVIEZO</t>
  </si>
  <si>
    <t>EL MANDO SE ACCIONA SOLO</t>
  </si>
  <si>
    <t>0103318341</t>
  </si>
  <si>
    <t>jeniffervaldiviezo@gmail.com</t>
  </si>
  <si>
    <t>09980913525</t>
  </si>
  <si>
    <t>006-002-000155669</t>
  </si>
  <si>
    <t>043-904-000053680</t>
  </si>
  <si>
    <t>111910000</t>
  </si>
  <si>
    <t>MICROONDAS ML4 845 SS</t>
  </si>
  <si>
    <t>ROSA CORDOVA</t>
  </si>
  <si>
    <t>CALLE RIOBAMBA</t>
  </si>
  <si>
    <t>0985469950</t>
  </si>
  <si>
    <t>0101181865</t>
  </si>
  <si>
    <t>rosacordova@hotmail.com</t>
  </si>
  <si>
    <t>112960004</t>
  </si>
  <si>
    <t>CAMPANA DPL 980 T</t>
  </si>
  <si>
    <t>TP249L09342</t>
  </si>
  <si>
    <t>LAMAR Y THOMAS ORDONEZ</t>
  </si>
  <si>
    <t>0987665567</t>
  </si>
  <si>
    <t>ventas@comercialsolis.com.ec</t>
  </si>
  <si>
    <t>112950019</t>
  </si>
  <si>
    <t>DVN 64030 TCL BK</t>
  </si>
  <si>
    <t>112950020</t>
  </si>
  <si>
    <t>DVN 74030 TCL BK</t>
  </si>
  <si>
    <t>EK241B00119</t>
  </si>
  <si>
    <t>EK245400030</t>
  </si>
  <si>
    <t>NO ENCIENDE, SE CAMBIA PUNSANTE NEUMATICO</t>
  </si>
  <si>
    <t xml:space="preserve">MANDO DISPLAY SE PROGRAMA SOLO </t>
  </si>
  <si>
    <t xml:space="preserve">CONJUNTO TOUCH  </t>
  </si>
  <si>
    <t>043-908-000043358</t>
  </si>
  <si>
    <t>TP245L01574</t>
  </si>
  <si>
    <t>TZ243N23460</t>
  </si>
  <si>
    <t>EULALIA CEDILLO</t>
  </si>
  <si>
    <t>URBANIZACION EL RECREO</t>
  </si>
  <si>
    <t>0984974625</t>
  </si>
  <si>
    <t>0100733963</t>
  </si>
  <si>
    <t>taly-cg@hotmail.com</t>
  </si>
  <si>
    <t>MICROONDAS ML 8220 BIS L</t>
  </si>
  <si>
    <t>HLB 8400 FBK</t>
  </si>
  <si>
    <t>TP245SE04541</t>
  </si>
  <si>
    <t>TZ24AW24298</t>
  </si>
  <si>
    <t>BEATRIZ PALADINES</t>
  </si>
  <si>
    <t>AZOGUES</t>
  </si>
  <si>
    <t>0995961630</t>
  </si>
  <si>
    <t>0300812286</t>
  </si>
  <si>
    <t>biachi2309@hotmail.com</t>
  </si>
  <si>
    <t>043-903-000053187</t>
  </si>
  <si>
    <t>TP244K11621</t>
  </si>
  <si>
    <t>COCINA GBC 95030 KBB</t>
  </si>
  <si>
    <t>ZP247400650</t>
  </si>
  <si>
    <t>HORNO HLB 760 G</t>
  </si>
  <si>
    <t>TZ248829679</t>
  </si>
  <si>
    <t>JORGE MEZA</t>
  </si>
  <si>
    <t>BALZAY</t>
  </si>
  <si>
    <t>0992429566</t>
  </si>
  <si>
    <t>010765096</t>
  </si>
  <si>
    <t>jorge.alvarado1992@hotmail.com</t>
  </si>
  <si>
    <t>006-002-000157349</t>
  </si>
  <si>
    <t>043-904-000054826</t>
  </si>
  <si>
    <t>40212070</t>
  </si>
  <si>
    <t>COCINA EX90.156HI DR LEFT CI</t>
  </si>
  <si>
    <t>ZP245600094</t>
  </si>
  <si>
    <t>MARIA SALAMEA</t>
  </si>
  <si>
    <t>SAN JOAQUIN</t>
  </si>
  <si>
    <t>0999293360</t>
  </si>
  <si>
    <t>0102131950001</t>
  </si>
  <si>
    <t>augustasalamea@gmail.com</t>
  </si>
  <si>
    <t>040-103-000011113</t>
  </si>
  <si>
    <t>113430018</t>
  </si>
  <si>
    <t>REFRIFERADOR RLF 74920 SS</t>
  </si>
  <si>
    <t>MC24B100006</t>
  </si>
  <si>
    <t>PATRICIA SOLIS</t>
  </si>
  <si>
    <t>PUERTAS DEL SOL</t>
  </si>
  <si>
    <t>0997438391</t>
  </si>
  <si>
    <t>0102866928</t>
  </si>
  <si>
    <t>p.solis@hotmail.com</t>
  </si>
  <si>
    <t>016-907-000234265</t>
  </si>
  <si>
    <t>040415406</t>
  </si>
  <si>
    <t>CAMPANA C610</t>
  </si>
  <si>
    <t>TP21BH04207</t>
  </si>
  <si>
    <t>FATIMA AVILA</t>
  </si>
  <si>
    <t>OBRERO Y EL ARTESANO</t>
  </si>
  <si>
    <t>0991968295</t>
  </si>
  <si>
    <t>0302140777</t>
  </si>
  <si>
    <t>orellana.102@outlook.com</t>
  </si>
  <si>
    <t>016-902-000493658</t>
  </si>
  <si>
    <t>40466624</t>
  </si>
  <si>
    <t>TP24AR07838</t>
  </si>
  <si>
    <t>LAS LADERAS 3 57</t>
  </si>
  <si>
    <t>112580027</t>
  </si>
  <si>
    <t>COCINA 75030 KBB</t>
  </si>
  <si>
    <t>ZP244T00165</t>
  </si>
  <si>
    <t>EL CEBOLLAR</t>
  </si>
  <si>
    <t>0994050384</t>
  </si>
  <si>
    <t>0102088333</t>
  </si>
  <si>
    <t>jjuca1964@hotmail.com</t>
  </si>
  <si>
    <t>JUAN PATRICIO JARA</t>
  </si>
  <si>
    <t>001-500-000070174</t>
  </si>
  <si>
    <t>001-500-000068098</t>
  </si>
  <si>
    <t>E12308033TKMDVI</t>
  </si>
  <si>
    <t>CAMPANA DVI 98-61 EO5BM</t>
  </si>
  <si>
    <t>0104447461</t>
  </si>
  <si>
    <t>patriciom.nieves80@gmail.com</t>
  </si>
  <si>
    <t>001-101-000002847</t>
  </si>
  <si>
    <t>COCINA JZC 63312 DBB BK</t>
  </si>
  <si>
    <t>ZP213R00015</t>
  </si>
  <si>
    <t>MARIA MERCHAN</t>
  </si>
  <si>
    <t>AV CAYANBE</t>
  </si>
  <si>
    <t>0999488767</t>
  </si>
  <si>
    <t>001-101-000003219</t>
  </si>
  <si>
    <t>0105254395</t>
  </si>
  <si>
    <t>jossmerchan@hotmail.com</t>
  </si>
  <si>
    <t>MICROONDAS ML 820 BIS</t>
  </si>
  <si>
    <t>LAVAVAJILLAS DFI 46950</t>
  </si>
  <si>
    <t>TP241Q04899</t>
  </si>
  <si>
    <t>TZ23BF14520</t>
  </si>
  <si>
    <t>AW233800488</t>
  </si>
  <si>
    <t>TP245809080</t>
  </si>
  <si>
    <t>ZOILA HERRAES</t>
  </si>
  <si>
    <t>LA PINTA Y JUAN CABRERA</t>
  </si>
  <si>
    <t>0979693961</t>
  </si>
  <si>
    <t>0101647758</t>
  </si>
  <si>
    <t>mary52189@gmail.com</t>
  </si>
  <si>
    <t>PATRICIO MARCA</t>
  </si>
  <si>
    <t>AV ORDONEZ LASSO</t>
  </si>
  <si>
    <t>07489419</t>
  </si>
  <si>
    <t>043-902-600036642</t>
  </si>
  <si>
    <t>COCINA IZC 96324 DBB</t>
  </si>
  <si>
    <t>ZP22AE00052</t>
  </si>
  <si>
    <t>016-907-000233808</t>
  </si>
  <si>
    <t>016-902-000491241</t>
  </si>
  <si>
    <t>REFRIGERADOR RFL 74920 SS</t>
  </si>
  <si>
    <t>MC234H00011</t>
  </si>
  <si>
    <t>JORGE GUILLERMO</t>
  </si>
  <si>
    <t>EL PROGRESO</t>
  </si>
  <si>
    <t>0999520630</t>
  </si>
  <si>
    <t>0101342707</t>
  </si>
  <si>
    <t>jorgeguillermod@hotmail.com</t>
  </si>
  <si>
    <t>HORNO HSB 750 6</t>
  </si>
  <si>
    <t>TZ245W29984</t>
  </si>
  <si>
    <t>ALMACENES ESPANA</t>
  </si>
  <si>
    <t>001-500-000052578</t>
  </si>
  <si>
    <t>CAMPANA C 6310</t>
  </si>
  <si>
    <t>TP236704450</t>
  </si>
  <si>
    <t>MARIANA SZABADICS</t>
  </si>
  <si>
    <t>LA CRUZ 13-40</t>
  </si>
  <si>
    <t>0998742009</t>
  </si>
  <si>
    <t>0151732690</t>
  </si>
  <si>
    <t>marianaszabadiccs@gmail.com</t>
  </si>
  <si>
    <t>016-902-000458996</t>
  </si>
  <si>
    <t>ZP23B200172</t>
  </si>
  <si>
    <t>016-902-000491240</t>
  </si>
  <si>
    <t>ENERO 2025</t>
  </si>
  <si>
    <t>CAPELO ENERO 2025</t>
  </si>
  <si>
    <t>ELSA JARA</t>
  </si>
  <si>
    <t>PRADOS DE SAN JOSE</t>
  </si>
  <si>
    <t>Cliente final</t>
  </si>
  <si>
    <t>jossmedrchan@hotmail.com</t>
  </si>
  <si>
    <t>MICROONDAS ML B20 BIS</t>
  </si>
  <si>
    <t>COCINA JZC 63312 ABB</t>
  </si>
  <si>
    <t>COMOHOGAR</t>
  </si>
  <si>
    <t>040-103-000009707</t>
  </si>
  <si>
    <t>HORNO HCF 824 C</t>
  </si>
  <si>
    <t>TZ248U36099</t>
  </si>
  <si>
    <t>FERNANDO NARVAEZ</t>
  </si>
  <si>
    <t>CDLA JACARANDA</t>
  </si>
  <si>
    <t>0998697511</t>
  </si>
  <si>
    <t>agustinajara74@hotmail.com</t>
  </si>
  <si>
    <t>040-103-000006905</t>
  </si>
  <si>
    <t>JZC 96324 ABB</t>
  </si>
  <si>
    <t>ZP243P00592</t>
  </si>
  <si>
    <t>CUERPO DPL ISLA 1180</t>
  </si>
  <si>
    <t>PX2461400049</t>
  </si>
  <si>
    <t>001-500-000068460</t>
  </si>
  <si>
    <t>ZP247H00663</t>
  </si>
  <si>
    <t xml:space="preserve">JOSE VAZQUEZ </t>
  </si>
  <si>
    <t>0992615314</t>
  </si>
  <si>
    <t>prillav58Qgmail.com</t>
  </si>
  <si>
    <t>MICROONDAS ML 8220 BIS</t>
  </si>
  <si>
    <t>TP24SE04581</t>
  </si>
  <si>
    <t>TZ244JL9302</t>
  </si>
  <si>
    <t>001-500-000070264</t>
  </si>
  <si>
    <t>CAMPANA GFM 73</t>
  </si>
  <si>
    <t>TP249505015</t>
  </si>
  <si>
    <t>040-103-000009042</t>
  </si>
  <si>
    <t>LAVAVAJILLAS DWB 57FIM-D</t>
  </si>
  <si>
    <t>MD247L00261</t>
  </si>
  <si>
    <t>XAVIER BARRERA</t>
  </si>
  <si>
    <t>CONDOMINIO VIENA</t>
  </si>
  <si>
    <t>0998164417</t>
  </si>
  <si>
    <t>txavierbarrera@hotmail.com</t>
  </si>
  <si>
    <t>TZ247202315</t>
  </si>
  <si>
    <t>001-500-000068937</t>
  </si>
  <si>
    <t>COCINA GBC 75-G1-GBA BM</t>
  </si>
  <si>
    <t>ZP246K00193</t>
  </si>
  <si>
    <t>GABRIEL ENDERICA</t>
  </si>
  <si>
    <t>0992836075</t>
  </si>
  <si>
    <t>contabilidad@euroagroec.com</t>
  </si>
  <si>
    <t>HORNO HLB 85-61 PBM</t>
  </si>
  <si>
    <t>TZ246502069</t>
  </si>
  <si>
    <t>007-006-000132846</t>
  </si>
  <si>
    <t>VINERA RVU20046 GKB</t>
  </si>
  <si>
    <t>NS244P00023</t>
  </si>
  <si>
    <t>KENY MOSCOSO</t>
  </si>
  <si>
    <t>EDIFICIO NAVARRA</t>
  </si>
  <si>
    <t>0998094121</t>
  </si>
  <si>
    <t>kennymoscosomiranda@gmail.com</t>
  </si>
  <si>
    <t>ALMAESPAÑA</t>
  </si>
  <si>
    <t>008-501-000007944</t>
  </si>
  <si>
    <t>REFRIGERADOR RFO77820 GKB</t>
  </si>
  <si>
    <t>MC234000029</t>
  </si>
  <si>
    <t>ZP23AQ00097</t>
  </si>
  <si>
    <t>TZ249P116585</t>
  </si>
  <si>
    <t>TP249900024</t>
  </si>
  <si>
    <t>001-500-000070452</t>
  </si>
  <si>
    <t>COCINA GBC 75 G1GBA BM</t>
  </si>
  <si>
    <t>ZP246400599</t>
  </si>
  <si>
    <t>MARLENE PAUTA</t>
  </si>
  <si>
    <t>BENIGNO MALO 11 98</t>
  </si>
  <si>
    <t>0987206773</t>
  </si>
  <si>
    <t>marlenebravo96@gmail.com</t>
  </si>
  <si>
    <t>HORNO HLB 760 G LPG</t>
  </si>
  <si>
    <t>TZ247C12564</t>
  </si>
  <si>
    <t>YH22BR00076</t>
  </si>
  <si>
    <t>001-500-000068660</t>
  </si>
  <si>
    <t>HORNO HLB 8400 FBK</t>
  </si>
  <si>
    <t>TZ246A06409</t>
  </si>
  <si>
    <t>ANDRES PALOMEQUE</t>
  </si>
  <si>
    <t>ZHULLIN</t>
  </si>
  <si>
    <t>0992060130</t>
  </si>
  <si>
    <t>andresmks15@gmail.com</t>
  </si>
  <si>
    <t>COCINA GBC 75030 KBB</t>
  </si>
  <si>
    <t>ZP49T00126</t>
  </si>
  <si>
    <t>CAMPANA GFH 73</t>
  </si>
  <si>
    <t>TP246E08438</t>
  </si>
  <si>
    <t>001-500-000069604</t>
  </si>
  <si>
    <t>CAMPANA DVN 94030 TCL BK</t>
  </si>
  <si>
    <t>EK246100063</t>
  </si>
  <si>
    <t>SILVIA MURILLO</t>
  </si>
  <si>
    <t>CAÑAR</t>
  </si>
  <si>
    <t>0983218931</t>
  </si>
  <si>
    <t>crisocho32@yahoo.es</t>
  </si>
  <si>
    <t>ZP247H00678</t>
  </si>
  <si>
    <t>043-904-000026432</t>
  </si>
  <si>
    <t>HORNO HSB 646 SS</t>
  </si>
  <si>
    <t>TZ2431032669</t>
  </si>
  <si>
    <t>ALFREDO TOSI</t>
  </si>
  <si>
    <t>CHALLUABAMBA</t>
  </si>
  <si>
    <t>alfredotosimurillo@gmail.com</t>
  </si>
  <si>
    <t>MICROONDAS MS 620 BIS</t>
  </si>
  <si>
    <t>TP243KO4143</t>
  </si>
  <si>
    <t>ZP242500145</t>
  </si>
  <si>
    <t>TRITURADOR TR 710.1</t>
  </si>
  <si>
    <t>230710AF1807</t>
  </si>
  <si>
    <t>001-500-000070416</t>
  </si>
  <si>
    <t>ZP245H00399</t>
  </si>
  <si>
    <t>JHONATHAN SACA</t>
  </si>
  <si>
    <t>jonnathans35@hotmail.com</t>
  </si>
  <si>
    <t>TP246B02142</t>
  </si>
  <si>
    <t>006-0001589946</t>
  </si>
  <si>
    <t>CAMPANA DVT PRO 88660 TRL BK</t>
  </si>
  <si>
    <t>PX24SE00033</t>
  </si>
  <si>
    <t>JORGE ENCALADA</t>
  </si>
  <si>
    <t>098790720</t>
  </si>
  <si>
    <t>jorgeluis350000@hotmail.com</t>
  </si>
  <si>
    <t>ZP249T00085</t>
  </si>
  <si>
    <t>MICROOONDAS ML B22BIS L</t>
  </si>
  <si>
    <t>TP249900027</t>
  </si>
  <si>
    <t>HORNO IOVEN</t>
  </si>
  <si>
    <t>TZ249C08079</t>
  </si>
  <si>
    <t>REFRI RMF 77960 GBK MX</t>
  </si>
  <si>
    <t>TKAZC4618520015</t>
  </si>
  <si>
    <t>040-104-000008328</t>
  </si>
  <si>
    <t>TZ245Q24127</t>
  </si>
  <si>
    <t>MONICA SINCHI</t>
  </si>
  <si>
    <t>AV HURTADO DE MENDOZA</t>
  </si>
  <si>
    <t>pjarabluejeans@hotmail.com</t>
  </si>
  <si>
    <t>040-104-000008609</t>
  </si>
  <si>
    <t>NS244100037</t>
  </si>
  <si>
    <t>001-500-000065243</t>
  </si>
  <si>
    <t>COCINA GBC 95030 KBBBK</t>
  </si>
  <si>
    <t>ZP242P00820</t>
  </si>
  <si>
    <t>PRISCILA ORTIZ</t>
  </si>
  <si>
    <t>dp.ortizc@hotmail.com</t>
  </si>
  <si>
    <t>TP245002379</t>
  </si>
  <si>
    <t>dp.ortiz@hotmail.com</t>
  </si>
  <si>
    <t>001-500-000068295</t>
  </si>
  <si>
    <t>COCINA IZF 6444OMSPBK</t>
  </si>
  <si>
    <t>ZP243600233</t>
  </si>
  <si>
    <t>JUAN COELLAR</t>
  </si>
  <si>
    <t>DELEG</t>
  </si>
  <si>
    <t>jcoellar66@gmail.com</t>
  </si>
  <si>
    <t>HORNO HSB 610</t>
  </si>
  <si>
    <t>TZ243K19023</t>
  </si>
  <si>
    <t>001-001-000000521</t>
  </si>
  <si>
    <t>HORNO ML 820 BIS(SA)</t>
  </si>
  <si>
    <t>TP247JO7129</t>
  </si>
  <si>
    <t>MARCELO FIGUEROA</t>
  </si>
  <si>
    <t>YUNGUILLA</t>
  </si>
  <si>
    <t>0104795125</t>
  </si>
  <si>
    <t>byronl8@yahoo.es</t>
  </si>
  <si>
    <t>LAVAJILLAS DW8 57 FIN-D</t>
  </si>
  <si>
    <t>MD247L00356</t>
  </si>
  <si>
    <t>HORNO HBB 510 BK</t>
  </si>
  <si>
    <t>TZ245V29034</t>
  </si>
  <si>
    <t>001-001-000000522</t>
  </si>
  <si>
    <t>COCINA G2C 96310 XBB</t>
  </si>
  <si>
    <t>ZP24AQ00069</t>
  </si>
  <si>
    <t>001-500-000046179</t>
  </si>
  <si>
    <t>COCINA GSC 963205BA IX</t>
  </si>
  <si>
    <t>ZP244F00088</t>
  </si>
  <si>
    <t>FABIOLA ANCHUNDIA</t>
  </si>
  <si>
    <t>DULCAMARA Y ORD. LASSO</t>
  </si>
  <si>
    <t>1305883959</t>
  </si>
  <si>
    <t>janchundiaheredia@gmail.com</t>
  </si>
  <si>
    <t>TP24AR07876</t>
  </si>
  <si>
    <t>MICROONDA MWG IIX</t>
  </si>
  <si>
    <t>MW247A00151</t>
  </si>
  <si>
    <t>TZ249519428</t>
  </si>
  <si>
    <t>IMP. VEGA</t>
  </si>
  <si>
    <t>006-002-000156802</t>
  </si>
  <si>
    <t>ZP243R00043</t>
  </si>
  <si>
    <t>PAUL MACANCELA</t>
  </si>
  <si>
    <t>paulmacancelasant@gmail.com</t>
  </si>
  <si>
    <t>TKAZC4G1852001</t>
  </si>
  <si>
    <t>TZ247202314</t>
  </si>
  <si>
    <t>TP243N09665</t>
  </si>
  <si>
    <t>001-500-000070163</t>
  </si>
  <si>
    <t>TP246H03229</t>
  </si>
  <si>
    <t>MICAELA CHALCO</t>
  </si>
  <si>
    <t>JARDINES DE BALZAY</t>
  </si>
  <si>
    <t>mikachales@hotmail.com</t>
  </si>
  <si>
    <t>COCINA GBC 75030KBB</t>
  </si>
  <si>
    <t>ZP249T00121</t>
  </si>
  <si>
    <t>040-104-000004319</t>
  </si>
  <si>
    <t>ZP23BW00554</t>
  </si>
  <si>
    <t>JULIO MENESES</t>
  </si>
  <si>
    <t>URB. ALVARADO</t>
  </si>
  <si>
    <t>martinomiotto43@gmail.com</t>
  </si>
  <si>
    <t>016-907-000239058</t>
  </si>
  <si>
    <t>TP243PO6809</t>
  </si>
  <si>
    <t>PLACA POTENCIA I100 DERECHA 2B M7 LAYOUT</t>
  </si>
  <si>
    <t>COCINA JZS86630 MTS BK</t>
  </si>
  <si>
    <t>ZP22BG00039</t>
  </si>
  <si>
    <t>FRANK TAPIA X SUSANA MERCHAN</t>
  </si>
  <si>
    <t>LA PLACA DE POTENCIA ESTA QUEMADA, SE CAMBIA PLACA</t>
  </si>
  <si>
    <t>franctapia13@hotmail.com</t>
  </si>
  <si>
    <t>043-904-000013141</t>
  </si>
  <si>
    <t>COCINA BBC 75030 KBB</t>
  </si>
  <si>
    <t>ZP24480027</t>
  </si>
  <si>
    <t>ANDREA ESPINOZA</t>
  </si>
  <si>
    <t>EL SENSOR TERMOPAR ESTA FUERA DE POSICION, SE  SOLUCIONA</t>
  </si>
  <si>
    <t>andre.18.ae@gmail.com</t>
  </si>
  <si>
    <t>001-001-000020457</t>
  </si>
  <si>
    <t>CAMPANA LED 3W DPL 90</t>
  </si>
  <si>
    <t>CAMPANA DG 780</t>
  </si>
  <si>
    <t>PX100P00063</t>
  </si>
  <si>
    <t>JUAN JOSE ARTEAGA</t>
  </si>
  <si>
    <t>SE DEBE REALIZAR EL CAMBIO DE LA CAMPANA LED QUEMADA</t>
  </si>
  <si>
    <t>0101384519</t>
  </si>
  <si>
    <t>jjarteaga58@gmail.co</t>
  </si>
  <si>
    <t>002-109-000026485</t>
  </si>
  <si>
    <t>CONJUNTO ELECTRON CC40 INOX (100V/60HZ)</t>
  </si>
  <si>
    <t>PX22BH00690</t>
  </si>
  <si>
    <t>FERNANDO VINTIMILLA</t>
  </si>
  <si>
    <t>CIRCUITO ELECTRONICO DE POTENCIA RECIBE ALIMENTACION PERO NO ENCIENDE.</t>
  </si>
  <si>
    <t>fernandojsev86gmail.com</t>
  </si>
  <si>
    <t>008-501-000006875</t>
  </si>
  <si>
    <t>RELOJ TC HLB 8510P</t>
  </si>
  <si>
    <t>HORNO HLB 8510 P BK</t>
  </si>
  <si>
    <t>TZ227V24051</t>
  </si>
  <si>
    <t>FERNANDO VASQUEZ</t>
  </si>
  <si>
    <t>EL RELOJ DIGITAL TIENE SEGMENTOS INCOMPLETOS</t>
  </si>
  <si>
    <t>0102298866</t>
  </si>
  <si>
    <t>fervazcal@hotmail.com</t>
  </si>
  <si>
    <t>001-500-000060717</t>
  </si>
  <si>
    <t>REFRIGERADOR RFL 74920 SS BSS</t>
  </si>
  <si>
    <t>MC23R00088</t>
  </si>
  <si>
    <t>ENRIQUE TAPIA</t>
  </si>
  <si>
    <t xml:space="preserve">NO ENFRIA POR FALTA DE GAS, SE REALIZA CAMBIO DE PRODUCTO </t>
  </si>
  <si>
    <t>091064873</t>
  </si>
  <si>
    <t>enaltos@gmail.com</t>
  </si>
  <si>
    <t>001-001-000000153</t>
  </si>
  <si>
    <t>LAVAVAJILLAS DW8 57 FIM D</t>
  </si>
  <si>
    <t>MD247100250</t>
  </si>
  <si>
    <t>PEDRO CABRERA</t>
  </si>
  <si>
    <t>FILTRA AGUA POR LA JUNTA DE LA BOMBA DE DRENADO, SE SOLUCIONA</t>
  </si>
  <si>
    <t>0103784335</t>
  </si>
  <si>
    <t>facturaspedroc@gmail.com</t>
  </si>
  <si>
    <t>001-001-000003382</t>
  </si>
  <si>
    <t>Barbacoa a Gas T-BBQ 3100 GBK SS</t>
  </si>
  <si>
    <t>CO249E00819</t>
  </si>
  <si>
    <t>DORIS MORA</t>
  </si>
  <si>
    <t>WAYRA PLAZA</t>
  </si>
  <si>
    <t>1790746119001</t>
  </si>
  <si>
    <t>skwayra@sukasa.com</t>
  </si>
  <si>
    <t>CO249E00225</t>
  </si>
  <si>
    <t>043-905-000048978</t>
  </si>
  <si>
    <t>CO249E00546</t>
  </si>
  <si>
    <t>RAIZA GAVILANEZ</t>
  </si>
  <si>
    <t>AV DON BOSCO</t>
  </si>
  <si>
    <t>boris.tipan.barros@gmail.com</t>
  </si>
  <si>
    <t>CO249E00989</t>
  </si>
  <si>
    <t>YANAHUURCO</t>
  </si>
  <si>
    <t>pkbluejean@hotmail.com</t>
  </si>
  <si>
    <t>CO225R00077</t>
  </si>
  <si>
    <t>ISRAEL PALACIOS</t>
  </si>
  <si>
    <t>LAMAR</t>
  </si>
  <si>
    <t>040-104-000009831</t>
  </si>
  <si>
    <t>CO249E00905</t>
  </si>
  <si>
    <t>NICOLAS CORTAZAR</t>
  </si>
  <si>
    <t>rosichica30@hotmail.com</t>
  </si>
  <si>
    <t>043-104-000005458</t>
  </si>
  <si>
    <t>CO249E00483</t>
  </si>
  <si>
    <t>PAOLA SERPENTEGUI</t>
  </si>
  <si>
    <t>EDIFICIO AYER</t>
  </si>
  <si>
    <t>paulinasemperteguiv@hotmail.com</t>
  </si>
  <si>
    <t>040-104-000009848</t>
  </si>
  <si>
    <t>CO249E00109</t>
  </si>
  <si>
    <t>ANDRES VERA</t>
  </si>
  <si>
    <t>AV RICARDO DURAN</t>
  </si>
  <si>
    <t>abg.andresverar@hotmail.com</t>
  </si>
  <si>
    <t>FREGADREO-E60 950.510 1B1D</t>
  </si>
  <si>
    <t>TK244F60263</t>
  </si>
  <si>
    <t>COMERCIAL KYWI</t>
  </si>
  <si>
    <t>BODEGA SECTOR CHAULLAYACU</t>
  </si>
  <si>
    <t>0984651354</t>
  </si>
  <si>
    <t>TK23C591887</t>
  </si>
  <si>
    <t>TK23C560138</t>
  </si>
  <si>
    <t>TK23C591869</t>
  </si>
  <si>
    <t>016-902-000494155</t>
  </si>
  <si>
    <t>CAMPANA C9510</t>
  </si>
  <si>
    <t>TP24AR07834</t>
  </si>
  <si>
    <t>GUSTAVO BAUTISTA</t>
  </si>
  <si>
    <t>RICAURTE</t>
  </si>
  <si>
    <t>0991675266</t>
  </si>
  <si>
    <t>01055514681</t>
  </si>
  <si>
    <t>gustavobautista1988@hotmail.com</t>
  </si>
  <si>
    <t>001-500-000070305</t>
  </si>
  <si>
    <t>40390830</t>
  </si>
  <si>
    <t>MICROONDAS MWG IIX</t>
  </si>
  <si>
    <t>MW247A00030</t>
  </si>
  <si>
    <t>LAURO CAÑIZARES</t>
  </si>
  <si>
    <t>MONAY, MARTINA DE OLBA 2</t>
  </si>
  <si>
    <t>0989729145</t>
  </si>
  <si>
    <t>01055514682</t>
  </si>
  <si>
    <t>oswaldo1958@yahoo.com</t>
  </si>
  <si>
    <t>COM. LUNA PAZMIÑO</t>
  </si>
  <si>
    <t>002-201-00004019</t>
  </si>
  <si>
    <t>40455334</t>
  </si>
  <si>
    <t>CAMPANA NC 980</t>
  </si>
  <si>
    <t>PX222E00105</t>
  </si>
  <si>
    <t>MARIA ORELLANA</t>
  </si>
  <si>
    <t>UNIDAD NACIONAL</t>
  </si>
  <si>
    <t>0993838468</t>
  </si>
  <si>
    <t>01055514683</t>
  </si>
  <si>
    <t>a.azuayas@gmail.com</t>
  </si>
  <si>
    <t>006-002-00015677</t>
  </si>
  <si>
    <t>112500048</t>
  </si>
  <si>
    <t>COCINA IZ597630MST BK</t>
  </si>
  <si>
    <t>ZP243N00403</t>
  </si>
  <si>
    <t>MAURICIO ULLOA</t>
  </si>
  <si>
    <t>EDIFICIO TERRA</t>
  </si>
  <si>
    <t>0995422469</t>
  </si>
  <si>
    <t>01055514684</t>
  </si>
  <si>
    <t>mauroulloa90@hotmail.com</t>
  </si>
  <si>
    <t>006-002-000157093</t>
  </si>
  <si>
    <t>11260067</t>
  </si>
  <si>
    <t>COCINA GSC96320 SBA IX</t>
  </si>
  <si>
    <t>ZP246400565</t>
  </si>
  <si>
    <t>MILTON SERRANO</t>
  </si>
  <si>
    <t>0995318050</t>
  </si>
  <si>
    <t>01055514685</t>
  </si>
  <si>
    <t>gata_serrano@hotmail.com</t>
  </si>
  <si>
    <t>043-905-000054256</t>
  </si>
  <si>
    <t>TP244K11615</t>
  </si>
  <si>
    <t>FREDDY ARIZAGA</t>
  </si>
  <si>
    <t>BANOS LA UNION ALTA</t>
  </si>
  <si>
    <t>0999273823</t>
  </si>
  <si>
    <t>01055514686</t>
  </si>
  <si>
    <t>patoarizaga13@gmail.com</t>
  </si>
  <si>
    <t>016-907-000235881</t>
  </si>
  <si>
    <t>112950021</t>
  </si>
  <si>
    <t>EK 244200050</t>
  </si>
  <si>
    <t>YULI MOROCHO</t>
  </si>
  <si>
    <t>BARRIO EL QUINCHI</t>
  </si>
  <si>
    <t>0968663061</t>
  </si>
  <si>
    <t>0105824064</t>
  </si>
  <si>
    <t>mabel2.morocho@gmail.com</t>
  </si>
  <si>
    <t>MACAOFERTAS</t>
  </si>
  <si>
    <t>001-501-000003442</t>
  </si>
  <si>
    <t>40446712</t>
  </si>
  <si>
    <t>TP249505050</t>
  </si>
  <si>
    <t>GABRIELA SINCHI</t>
  </si>
  <si>
    <t>SOL DE BURGOS</t>
  </si>
  <si>
    <t>0995465919</t>
  </si>
  <si>
    <t>0195096988</t>
  </si>
  <si>
    <t>orellanaconstructores@hotmail.com</t>
  </si>
  <si>
    <t>001-500-000070579</t>
  </si>
  <si>
    <t>40590835</t>
  </si>
  <si>
    <t>MW247A00600</t>
  </si>
  <si>
    <t>ANA ALBARRACIN</t>
  </si>
  <si>
    <t>RICAURTE LA UNION</t>
  </si>
  <si>
    <t>0980105713</t>
  </si>
  <si>
    <t>0101395267</t>
  </si>
  <si>
    <t>anicecyalba1957@gmail.com</t>
  </si>
  <si>
    <t>043-903-000050370</t>
  </si>
  <si>
    <t>112580058</t>
  </si>
  <si>
    <t>ZP247H00643</t>
  </si>
  <si>
    <t>JHONATHAN RIVERA</t>
  </si>
  <si>
    <t>CRUCE DEL CARMEN</t>
  </si>
  <si>
    <t>0958610363</t>
  </si>
  <si>
    <t>0107165128</t>
  </si>
  <si>
    <t>jhonnathanmr@gmail.com</t>
  </si>
  <si>
    <t>006-002-000157310</t>
  </si>
  <si>
    <t>111010028</t>
  </si>
  <si>
    <t>HORNO HSB 696 SS</t>
  </si>
  <si>
    <t>TZ24A806844</t>
  </si>
  <si>
    <t>RUTH MORA</t>
  </si>
  <si>
    <t>EDIFICION ALTAVISTA 3</t>
  </si>
  <si>
    <t>0984975555</t>
  </si>
  <si>
    <t>0101547990</t>
  </si>
  <si>
    <t>boodoko25@yahoo.com</t>
  </si>
  <si>
    <t>1129347</t>
  </si>
  <si>
    <t>CAMPANA DVT PRO 98660 TRL</t>
  </si>
  <si>
    <t>PX246500212</t>
  </si>
  <si>
    <t>URBANIZACION ALVARADO</t>
  </si>
  <si>
    <t>0999200775</t>
  </si>
  <si>
    <t>0100948488</t>
  </si>
  <si>
    <t>martinamiotto@gmail.com</t>
  </si>
  <si>
    <t>044-013-000012807</t>
  </si>
  <si>
    <t>111020071</t>
  </si>
  <si>
    <t>TZ24AU21965</t>
  </si>
  <si>
    <t>VERONICA ORDOÑEZ</t>
  </si>
  <si>
    <t xml:space="preserve">JARDIN YANUNCAY </t>
  </si>
  <si>
    <t>0998171791</t>
  </si>
  <si>
    <t>0103417820</t>
  </si>
  <si>
    <t>veronica.ordoñez.a@gmail.com</t>
  </si>
  <si>
    <t>043-905-000050733</t>
  </si>
  <si>
    <t>TZ245Q24041</t>
  </si>
  <si>
    <t>WALTER MORA</t>
  </si>
  <si>
    <t>0962987653</t>
  </si>
  <si>
    <t>0102747516001</t>
  </si>
  <si>
    <t>jonnathansba1200@gmail.com</t>
  </si>
  <si>
    <t>040-105-000001748</t>
  </si>
  <si>
    <t>COCINA IZF99700 MTS BK</t>
  </si>
  <si>
    <t>ZP244900393</t>
  </si>
  <si>
    <t>09999200775</t>
  </si>
  <si>
    <t>0101773992</t>
  </si>
  <si>
    <t>distagrg@hotmail.com</t>
  </si>
  <si>
    <t>001-500-000070569</t>
  </si>
  <si>
    <t>40782127</t>
  </si>
  <si>
    <t>LAVAVAJILLAS DW8 57 FIM</t>
  </si>
  <si>
    <t>MD249205995</t>
  </si>
  <si>
    <t>GABRIEL CORREA</t>
  </si>
  <si>
    <t>0987235504</t>
  </si>
  <si>
    <t>0101251429</t>
  </si>
  <si>
    <t>mbarzallo65@hotmail.com</t>
  </si>
  <si>
    <t>040-103-000011676</t>
  </si>
  <si>
    <t>112610063</t>
  </si>
  <si>
    <t>COCINA GSC 95330 SBA IX</t>
  </si>
  <si>
    <t>ZP24BN00489</t>
  </si>
  <si>
    <t>MARCO RIVERA</t>
  </si>
  <si>
    <t>SANTIAGO CARRASCO 4 128</t>
  </si>
  <si>
    <t>0999543108</t>
  </si>
  <si>
    <t>0104235890</t>
  </si>
  <si>
    <t>mriverol@hotmail.com</t>
  </si>
  <si>
    <t>007-006-00013564</t>
  </si>
  <si>
    <t>40467320</t>
  </si>
  <si>
    <t>CAMPANA C7310</t>
  </si>
  <si>
    <t>TP249A01868</t>
  </si>
  <si>
    <t>ADRIANA ASTUDILLO</t>
  </si>
  <si>
    <t>AV DEL MIGRANTE</t>
  </si>
  <si>
    <t>0999726617</t>
  </si>
  <si>
    <t>0103871356</t>
  </si>
  <si>
    <t>adrianaastudillo@hotmail.com</t>
  </si>
  <si>
    <t>LUNA PAZMINO</t>
  </si>
  <si>
    <t>002-201-00004403</t>
  </si>
  <si>
    <t>40466110</t>
  </si>
  <si>
    <t>EXTRACTOR C910</t>
  </si>
  <si>
    <t>TP241F00381</t>
  </si>
  <si>
    <t>MARIBEL URGILES</t>
  </si>
  <si>
    <t>GONZALES SUAREZ</t>
  </si>
  <si>
    <t>0997041502</t>
  </si>
  <si>
    <t>0301020541</t>
  </si>
  <si>
    <t>urgilescu@gmail.com</t>
  </si>
  <si>
    <t>043-903-000053369</t>
  </si>
  <si>
    <t>111010040</t>
  </si>
  <si>
    <t>TZ243K19021</t>
  </si>
  <si>
    <t>RONALD GUAMAN</t>
  </si>
  <si>
    <t>AV AMERICAS</t>
  </si>
  <si>
    <t>0997347579</t>
  </si>
  <si>
    <t>1400658611</t>
  </si>
  <si>
    <t>ronald.msg@outlook.com</t>
  </si>
  <si>
    <t>043-904-000057136</t>
  </si>
  <si>
    <t>112570126</t>
  </si>
  <si>
    <t>COCINA JZC 96324</t>
  </si>
  <si>
    <t>JZC9624ABB</t>
  </si>
  <si>
    <t>ALEXIS CRESPO</t>
  </si>
  <si>
    <t>LAS ORQUIDEAS</t>
  </si>
  <si>
    <t>0986886433</t>
  </si>
  <si>
    <t>0106080203</t>
  </si>
  <si>
    <t>kathisamis@gmail.com</t>
  </si>
  <si>
    <t>044-013-000013285</t>
  </si>
  <si>
    <t>40297052</t>
  </si>
  <si>
    <t>COCINA FS3RL966666X</t>
  </si>
  <si>
    <t>824011284</t>
  </si>
  <si>
    <t>ROBERT BURTON</t>
  </si>
  <si>
    <t>TUTUPALI</t>
  </si>
  <si>
    <t>0985672412</t>
  </si>
  <si>
    <t>1751454396</t>
  </si>
  <si>
    <t>robertoburton@gmail.com</t>
  </si>
  <si>
    <t>043-903-000055308</t>
  </si>
  <si>
    <t>111000050</t>
  </si>
  <si>
    <t>HORNO 8510P</t>
  </si>
  <si>
    <t>TZ246009813</t>
  </si>
  <si>
    <t>GABRIEL LOJA</t>
  </si>
  <si>
    <t>AV 10 DE AGOSTO</t>
  </si>
  <si>
    <t>0984811012</t>
  </si>
  <si>
    <t>0105365829001</t>
  </si>
  <si>
    <t>gabolr94@gmail.com</t>
  </si>
  <si>
    <t>043-903-000030579</t>
  </si>
  <si>
    <t>ZP244800197</t>
  </si>
  <si>
    <t>FERNANDA HIDALGO</t>
  </si>
  <si>
    <t>CHARASOL</t>
  </si>
  <si>
    <t>0978853442</t>
  </si>
  <si>
    <t>0302470752</t>
  </si>
  <si>
    <t>maferhidalgo73@hotmail.com</t>
  </si>
  <si>
    <t>001-101-000003637</t>
  </si>
  <si>
    <t>TZ245B29075</t>
  </si>
  <si>
    <t>TEFA SACOTO</t>
  </si>
  <si>
    <t>0995963017</t>
  </si>
  <si>
    <t>0302046779</t>
  </si>
  <si>
    <t>fabiancrespo16@gmail.com</t>
  </si>
  <si>
    <t>001-500-000070769</t>
  </si>
  <si>
    <t>40467305</t>
  </si>
  <si>
    <t>CAMPANA C 710</t>
  </si>
  <si>
    <t>TP246H03238</t>
  </si>
  <si>
    <t>CRISTIAN COLLAGUAZO</t>
  </si>
  <si>
    <t>MARISCAL LAMAR 3 27</t>
  </si>
  <si>
    <t>0959228217</t>
  </si>
  <si>
    <t>0704266170</t>
  </si>
  <si>
    <t>bayu1582@gmail.com</t>
  </si>
  <si>
    <t>016-904-000185084</t>
  </si>
  <si>
    <t>TP232006290</t>
  </si>
  <si>
    <t>MANUEL GARNICA</t>
  </si>
  <si>
    <t>0987107662</t>
  </si>
  <si>
    <t>010150753</t>
  </si>
  <si>
    <t>churostiti@hotmail.com</t>
  </si>
  <si>
    <t>29-10-24</t>
  </si>
  <si>
    <t>006-002-000156947</t>
  </si>
  <si>
    <t>TZ244519339</t>
  </si>
  <si>
    <t>MIGUEL CARDENAS</t>
  </si>
  <si>
    <t>0984488242</t>
  </si>
  <si>
    <t>0300475241</t>
  </si>
  <si>
    <t>cardenasmiguel60@yahoo.com</t>
  </si>
  <si>
    <t>COCINA IZS 86630 MST BK</t>
  </si>
  <si>
    <t>ZP243B00012</t>
  </si>
  <si>
    <t>043-903-00056842</t>
  </si>
  <si>
    <t>COCINA GSC 96320 SBA IX</t>
  </si>
  <si>
    <t>ZP24AF00504</t>
  </si>
  <si>
    <t>KELLY REMACHE</t>
  </si>
  <si>
    <t>COND. ASUNCION</t>
  </si>
  <si>
    <t>0988356126</t>
  </si>
  <si>
    <t>0104736665</t>
  </si>
  <si>
    <t>keli98flor@gmail.com</t>
  </si>
  <si>
    <t>MW247A00233</t>
  </si>
  <si>
    <t>CON. ASUNCION</t>
  </si>
  <si>
    <t>006-002-000157260</t>
  </si>
  <si>
    <t>ZP244A00399</t>
  </si>
  <si>
    <t>GUILLERMO LOYOLA</t>
  </si>
  <si>
    <t>098481702</t>
  </si>
  <si>
    <t>0101398642</t>
  </si>
  <si>
    <t>loydon9@yahoo.es</t>
  </si>
  <si>
    <t>TZ247H16502</t>
  </si>
  <si>
    <t>002-101-000112176</t>
  </si>
  <si>
    <t>ZP242L00261</t>
  </si>
  <si>
    <t>ANGEL GARCIA</t>
  </si>
  <si>
    <t>AURELIO MAPELLI</t>
  </si>
  <si>
    <t>0986710772</t>
  </si>
  <si>
    <t>01203958556</t>
  </si>
  <si>
    <t>log8356401@gmail.com</t>
  </si>
  <si>
    <t>HORNO HBB 535</t>
  </si>
  <si>
    <t>TZ216W49989</t>
  </si>
  <si>
    <t>PX213F00273</t>
  </si>
  <si>
    <t>001-501-000006096</t>
  </si>
  <si>
    <t>IPZ49T00110</t>
  </si>
  <si>
    <t>DANIEL CALLE</t>
  </si>
  <si>
    <t>MARIANA DE JESUS</t>
  </si>
  <si>
    <t>0992863036</t>
  </si>
  <si>
    <t>0301753026</t>
  </si>
  <si>
    <t>danielcallecerras@gmail.com</t>
  </si>
  <si>
    <t>TZ247202370</t>
  </si>
  <si>
    <t>001-500-000071190</t>
  </si>
  <si>
    <t>CAMPANA C6310</t>
  </si>
  <si>
    <t>TP246301464</t>
  </si>
  <si>
    <t>MARIA AGUILAR</t>
  </si>
  <si>
    <t>PRESIDENTE CORDOVA Y M VEGA</t>
  </si>
  <si>
    <t>0987233336</t>
  </si>
  <si>
    <t>0704431980</t>
  </si>
  <si>
    <t>ma5252360@gmail.com</t>
  </si>
  <si>
    <t>TP222204397</t>
  </si>
  <si>
    <t>040-103-000007443</t>
  </si>
  <si>
    <t>PX22B600609</t>
  </si>
  <si>
    <t>PEDRO ANDRADE</t>
  </si>
  <si>
    <t>ZHAPACAL</t>
  </si>
  <si>
    <t>0989262202</t>
  </si>
  <si>
    <t>0302454657</t>
  </si>
  <si>
    <t>vale-11@hotmail.com</t>
  </si>
  <si>
    <t>ZP245H00543</t>
  </si>
  <si>
    <t>HORNO HSB 630 BK</t>
  </si>
  <si>
    <t>TZ243T28511</t>
  </si>
  <si>
    <t>001-500-000070969</t>
  </si>
  <si>
    <t>ZP24AG00422</t>
  </si>
  <si>
    <t>RAMIRO GAVILANES</t>
  </si>
  <si>
    <t>CANAR</t>
  </si>
  <si>
    <t>0999986770</t>
  </si>
  <si>
    <t>0301562419</t>
  </si>
  <si>
    <t>mirotaxi@live.com</t>
  </si>
  <si>
    <t>TP249H02845</t>
  </si>
  <si>
    <t>001-500-000070384</t>
  </si>
  <si>
    <t>COCINA GSC 75330 SBA IX</t>
  </si>
  <si>
    <t>ZP24AF00541</t>
  </si>
  <si>
    <t>EDISON RODRIGUEZ</t>
  </si>
  <si>
    <t>AV. GIL RAMIREZ DAVALOS</t>
  </si>
  <si>
    <t>0980046028</t>
  </si>
  <si>
    <t>0100750264</t>
  </si>
  <si>
    <t>distribuidoracampeon@live.com</t>
  </si>
  <si>
    <t>HORNO HLF 824 G</t>
  </si>
  <si>
    <t>TZ228225841</t>
  </si>
  <si>
    <t>001-500-000069931</t>
  </si>
  <si>
    <t>CAMPANA C 910</t>
  </si>
  <si>
    <t>TP246B02147</t>
  </si>
  <si>
    <t>LUIS ARGUDO</t>
  </si>
  <si>
    <t>NARANCAY</t>
  </si>
  <si>
    <t>0962128059</t>
  </si>
  <si>
    <t>0104590792</t>
  </si>
  <si>
    <t>argudoim@hotmail.com</t>
  </si>
  <si>
    <t>ZP24AG00366</t>
  </si>
  <si>
    <t>001-500-000071215</t>
  </si>
  <si>
    <t>EK246100009</t>
  </si>
  <si>
    <t>RICARDO ALARCON</t>
  </si>
  <si>
    <t>0993407115</t>
  </si>
  <si>
    <t>010380032</t>
  </si>
  <si>
    <t>ricardoalarconvelez@yahoo.ec</t>
  </si>
  <si>
    <t>COCINA IZS 97630 MST BK</t>
  </si>
  <si>
    <t>ZP244W00590</t>
  </si>
  <si>
    <t>001-500-000070170</t>
  </si>
  <si>
    <t>ZP24A600370</t>
  </si>
  <si>
    <t>MARIA JOSE PEREZ</t>
  </si>
  <si>
    <t>URB. LAS MARIAS</t>
  </si>
  <si>
    <t>0978940839</t>
  </si>
  <si>
    <t>0101506285</t>
  </si>
  <si>
    <t>analutorresp@gmail.com</t>
  </si>
  <si>
    <t>HORNO 610 BK</t>
  </si>
  <si>
    <t>TZ243T28334</t>
  </si>
  <si>
    <t>016-902-000499261</t>
  </si>
  <si>
    <t>TP245L01625</t>
  </si>
  <si>
    <t>ANDRES ARGUDO</t>
  </si>
  <si>
    <t>SININCAY</t>
  </si>
  <si>
    <t>0984392818</t>
  </si>
  <si>
    <t>0106051305</t>
  </si>
  <si>
    <t>gerandresargudo@gmail.com</t>
  </si>
  <si>
    <t>ZP24C200851</t>
  </si>
  <si>
    <t>040-103-000012164</t>
  </si>
  <si>
    <t>CAMPANA DG3 ISLA 980</t>
  </si>
  <si>
    <t>PX244400027</t>
  </si>
  <si>
    <t>RODERICK TAYLOR</t>
  </si>
  <si>
    <t>9728499671</t>
  </si>
  <si>
    <t>0152821153</t>
  </si>
  <si>
    <t>roderickt@hotmail.com</t>
  </si>
  <si>
    <t>ZP24AV00475</t>
  </si>
  <si>
    <t>HORNO HSB 64655</t>
  </si>
  <si>
    <t>TZ24AB06855</t>
  </si>
  <si>
    <t>043-901-000007056</t>
  </si>
  <si>
    <t>TP241405578</t>
  </si>
  <si>
    <t>SAMIRA ILLESCAS</t>
  </si>
  <si>
    <t>0959948837</t>
  </si>
  <si>
    <t>0105254858</t>
  </si>
  <si>
    <t>sami4.3@hotmail.com</t>
  </si>
  <si>
    <t>COCINA GSC 963200SBA IX</t>
  </si>
  <si>
    <t>ZP23AD00058</t>
  </si>
  <si>
    <t>001-502-000000133</t>
  </si>
  <si>
    <t>CAMPANA DVN 74030 TCL</t>
  </si>
  <si>
    <t>LENNIN LEON</t>
  </si>
  <si>
    <t>GUALACEO</t>
  </si>
  <si>
    <t>0984725949</t>
  </si>
  <si>
    <t>0104618798</t>
  </si>
  <si>
    <t>l_xavier_l@hotmail.com</t>
  </si>
  <si>
    <t>COCINA GZC7533OXBB</t>
  </si>
  <si>
    <t>ZP247600726</t>
  </si>
  <si>
    <t>TZ247202356</t>
  </si>
  <si>
    <t>001-500-000053028</t>
  </si>
  <si>
    <t>REGRIGERADOR RFD 77820 GBK</t>
  </si>
  <si>
    <t>MC22CG00038</t>
  </si>
  <si>
    <t>JUAN CORNEJO</t>
  </si>
  <si>
    <t>TERRAZAS MISICATA</t>
  </si>
  <si>
    <t>0992512633</t>
  </si>
  <si>
    <t>0100024207</t>
  </si>
  <si>
    <t>juanccornejo9@gmail.com</t>
  </si>
  <si>
    <t>TP22BN03129</t>
  </si>
  <si>
    <t>CAMPANA DPL ISLA 1180</t>
  </si>
  <si>
    <t>PX214N00030</t>
  </si>
  <si>
    <t>ZP229600030</t>
  </si>
  <si>
    <t>HORNO STEAKMASTER</t>
  </si>
  <si>
    <t>TZ219610367</t>
  </si>
  <si>
    <t>001-500-000067591</t>
  </si>
  <si>
    <t>ZP245400603</t>
  </si>
  <si>
    <t>ANGEL ROLDAN</t>
  </si>
  <si>
    <t>SAYAUSI BELLAVISTA</t>
  </si>
  <si>
    <t>0985188487</t>
  </si>
  <si>
    <t>0104604566</t>
  </si>
  <si>
    <t>edwinrin@hotmail.com</t>
  </si>
  <si>
    <t>EK241F00121</t>
  </si>
  <si>
    <t>043-904-000059090</t>
  </si>
  <si>
    <t>ZP247H00641</t>
  </si>
  <si>
    <t>CRISTIAN GUAMAN</t>
  </si>
  <si>
    <t>DE LA BANDOLINA</t>
  </si>
  <si>
    <t>0993362024</t>
  </si>
  <si>
    <t>0301843843</t>
  </si>
  <si>
    <t>lissethalcivar1998@hotmail.com</t>
  </si>
  <si>
    <t>006-002-000157366</t>
  </si>
  <si>
    <t>ZP24C300177</t>
  </si>
  <si>
    <t>BLANCA AUCAPIÑA</t>
  </si>
  <si>
    <t>MISICATA</t>
  </si>
  <si>
    <t>0963239977</t>
  </si>
  <si>
    <t>0102273729</t>
  </si>
  <si>
    <t>saraluzparrac@gmail.com</t>
  </si>
  <si>
    <t>LAVAVAJILLAS DW8 57 FAM</t>
  </si>
  <si>
    <t>MD249L05977</t>
  </si>
  <si>
    <t>TZ2413J15133</t>
  </si>
  <si>
    <t>RELOJ TC HLB 840</t>
  </si>
  <si>
    <t>TZ233A10096</t>
  </si>
  <si>
    <t>MARIA JOSE ROJAS</t>
  </si>
  <si>
    <t>SE VERIFICA QUE EL DISPLAY NO ENCIENDE POR COMPLETO, SE CAMBIA REPUESTO.</t>
  </si>
  <si>
    <t>majoserojascordero@hotmail.com</t>
  </si>
  <si>
    <t>001-501-000000263</t>
  </si>
  <si>
    <t>COCINA GBC 64-G1 GBA BM</t>
  </si>
  <si>
    <t>ZP241X00227</t>
  </si>
  <si>
    <t>ANGEL MEJIA</t>
  </si>
  <si>
    <t>SECTOR TERMOPAR NO DETECTA FLAMA, SE AJUSTA</t>
  </si>
  <si>
    <t>elguchito86@hotmail.com</t>
  </si>
  <si>
    <t>016-907-000218298</t>
  </si>
  <si>
    <t>INTERRUPTOR NEUMATICO TR 510.1</t>
  </si>
  <si>
    <t>TRITURADOR TR710.1</t>
  </si>
  <si>
    <t>240115AF1273</t>
  </si>
  <si>
    <t>CRISTINA FEHRS</t>
  </si>
  <si>
    <t>SE TRASLADA A TALLER, SE DEBE CAMBIAR EL INTERRUPTOR NEUMATICO</t>
  </si>
  <si>
    <t>0102311263</t>
  </si>
  <si>
    <t>crisfehrs@hotmail.com</t>
  </si>
  <si>
    <t>007-006-000128736</t>
  </si>
  <si>
    <t>PLACA DE POT. 1100 IZQUIERDA ZB M7</t>
  </si>
  <si>
    <t>ZP22BG00040</t>
  </si>
  <si>
    <t>SUSANA MARCHAN</t>
  </si>
  <si>
    <t>PLACA DE POTENCIA IZQUIERDA QUEMADA</t>
  </si>
  <si>
    <t>jeannete.velastegui@hotmail.com</t>
  </si>
  <si>
    <t>001-501-000054715</t>
  </si>
  <si>
    <t>ZP212H00095</t>
  </si>
  <si>
    <t>DIEGO MERCHAN</t>
  </si>
  <si>
    <t>VENTILADOR TRABADO, SE REALIZA LA LIMPIEZA DE PARTICULAS QUE OBSTRUYEN EL VENTILADOR</t>
  </si>
  <si>
    <t>0105257737</t>
  </si>
  <si>
    <t>luismerchanh@gmail.com</t>
  </si>
  <si>
    <t>001-500-000043125</t>
  </si>
  <si>
    <t>210530af1870</t>
  </si>
  <si>
    <t>ROSALIA MUÑOZ</t>
  </si>
  <si>
    <t>EL PULSADOR NEUMATICO ESTA TRABAJO, SE DA SOLUCION</t>
  </si>
  <si>
    <t>0104081252</t>
  </si>
  <si>
    <t>gtamariz@hotmail.com</t>
  </si>
  <si>
    <t>001-001-000001495</t>
  </si>
  <si>
    <t>230710af1802</t>
  </si>
  <si>
    <t>ESTEBAN DONOSO</t>
  </si>
  <si>
    <t>0190380475</t>
  </si>
  <si>
    <t>ocabrera@homedeko.com.ec</t>
  </si>
  <si>
    <t>001-501-000001333</t>
  </si>
  <si>
    <t>038-904-000188199</t>
  </si>
  <si>
    <t>CO249E00711</t>
  </si>
  <si>
    <t>GLORIA VALLEJO</t>
  </si>
  <si>
    <t>LORENZO PIEDRA</t>
  </si>
  <si>
    <t>Cliente Final</t>
  </si>
  <si>
    <t>gloria-vallejo@hotmail.com</t>
  </si>
  <si>
    <t>040-104-000009993</t>
  </si>
  <si>
    <t>CO249E00261</t>
  </si>
  <si>
    <t>ELSA SOTO</t>
  </si>
  <si>
    <t>RAFAEL ESTRELLA Y AMERICAS</t>
  </si>
  <si>
    <t>martinlazzarini@outlook.com</t>
  </si>
  <si>
    <t>001-502-000000162</t>
  </si>
  <si>
    <t>CO225R00705</t>
  </si>
  <si>
    <t>LUNA RODRIGUEZ</t>
  </si>
  <si>
    <t>stefany-tacuri@hotmail.com</t>
  </si>
  <si>
    <t>Exhibicion Almacen</t>
  </si>
  <si>
    <t>Sap Teka</t>
  </si>
  <si>
    <t>CO249E00580</t>
  </si>
  <si>
    <t>KYWI WAYRA</t>
  </si>
  <si>
    <t>AV 24 DE MAYO</t>
  </si>
  <si>
    <t>freddyn@kywi.com.ec</t>
  </si>
  <si>
    <t>CO249E00667</t>
  </si>
  <si>
    <t>CO249E00233</t>
  </si>
  <si>
    <t>CO249E00391</t>
  </si>
  <si>
    <t>SAP TEKA</t>
  </si>
  <si>
    <t>STOCK</t>
  </si>
  <si>
    <t>CAMPANA DVN 74030</t>
  </si>
  <si>
    <t>EK244200043</t>
  </si>
  <si>
    <t>21/02/25</t>
  </si>
  <si>
    <t>MARISCAL LAMAR</t>
  </si>
  <si>
    <t>TP249402856</t>
  </si>
  <si>
    <t>MAC OFERTAS</t>
  </si>
  <si>
    <t>001-001-000003449</t>
  </si>
  <si>
    <t>TP24A000157</t>
  </si>
  <si>
    <t>CONSTRUCTORA ORELLANA</t>
  </si>
  <si>
    <t>EDIFICIO HORIZONTE</t>
  </si>
  <si>
    <t>constructoraorellanaoficina@gmail.com</t>
  </si>
  <si>
    <t>043-903-000057808</t>
  </si>
  <si>
    <t>LAVAVAJILLAS DW 57 FIM I</t>
  </si>
  <si>
    <t>MD249L05953</t>
  </si>
  <si>
    <t>JUAN PABLO ORDOÑEZ</t>
  </si>
  <si>
    <t>12 DE ABRIL</t>
  </si>
  <si>
    <t>juanpabloordonezf@gmail.com</t>
  </si>
  <si>
    <t>001-001-000000541</t>
  </si>
  <si>
    <t>TP249L09343</t>
  </si>
  <si>
    <t>NELSON IDROVO</t>
  </si>
  <si>
    <t>gracevelastestegui@yahoo.com</t>
  </si>
  <si>
    <t>001-500-000070702</t>
  </si>
  <si>
    <t>COCINA GSC 9632205BA IX</t>
  </si>
  <si>
    <t>ZP249P00294</t>
  </si>
  <si>
    <t>MARIANA RODRIGUEZ</t>
  </si>
  <si>
    <t>AV. LAS PALOMAS</t>
  </si>
  <si>
    <t>gynobs.sinai627@gmail.com</t>
  </si>
  <si>
    <t>ALM. BOYACA</t>
  </si>
  <si>
    <t>007-006-000136086</t>
  </si>
  <si>
    <t>COCINA JZC 96342 BBB</t>
  </si>
  <si>
    <t>ZP24C500189</t>
  </si>
  <si>
    <t>PABLO PCHECO</t>
  </si>
  <si>
    <t>JAVIER LOYOLA</t>
  </si>
  <si>
    <t>pablopacheco@gmail.com</t>
  </si>
  <si>
    <t>001-500-000070719</t>
  </si>
  <si>
    <t>CAMPANA C 610</t>
  </si>
  <si>
    <t>TP245Q09817</t>
  </si>
  <si>
    <t>GABRIELA LITUMA</t>
  </si>
  <si>
    <t>PAUTE</t>
  </si>
  <si>
    <t>juandiegomora01@hotmail.com</t>
  </si>
  <si>
    <t>SANDRA UYAGUARI</t>
  </si>
  <si>
    <t>001-500-000046863</t>
  </si>
  <si>
    <t>COCINA JZC64322 ABB</t>
  </si>
  <si>
    <t>ZPZ1C900024</t>
  </si>
  <si>
    <t>SAN BARTOLO</t>
  </si>
  <si>
    <t>sandrauyaguarit@gmail.com</t>
  </si>
  <si>
    <t>006-002-000157399</t>
  </si>
  <si>
    <t>HORNO HBB 535 SS</t>
  </si>
  <si>
    <t>TZ2499039977</t>
  </si>
  <si>
    <t>MAX BERNAL</t>
  </si>
  <si>
    <t>EL TEJAR</t>
  </si>
  <si>
    <t>max.bernal@ucuenca.edu.ec</t>
  </si>
  <si>
    <t>040-104-000008299</t>
  </si>
  <si>
    <t>COCINA FS3RL966GGX</t>
  </si>
  <si>
    <t>ZS24040566</t>
  </si>
  <si>
    <t>PAOLA IDROVO</t>
  </si>
  <si>
    <t>JOSE PENAHERRERA</t>
  </si>
  <si>
    <t>gerencia@ecuatablet.com</t>
  </si>
  <si>
    <t>006-002-000157599</t>
  </si>
  <si>
    <t>MICRONDAS MS620BIS</t>
  </si>
  <si>
    <t>TP243KO4152</t>
  </si>
  <si>
    <t>MARIA TORRES</t>
  </si>
  <si>
    <t>EDIFICIO SANTA LUCIA</t>
  </si>
  <si>
    <t>maluti@hotmail.com</t>
  </si>
  <si>
    <t>001-500-000071026</t>
  </si>
  <si>
    <t>ZP24BL00370</t>
  </si>
  <si>
    <t>WILMER GUILLERMO</t>
  </si>
  <si>
    <t>soluciona@etapa.net.net</t>
  </si>
  <si>
    <t>043-903-000055942</t>
  </si>
  <si>
    <t>ZP23CI01169</t>
  </si>
  <si>
    <t>SEBASTIAN ARRIETA</t>
  </si>
  <si>
    <t>CONDOMINIO MALAGA</t>
  </si>
  <si>
    <t>arrietasebastian@gmail.com</t>
  </si>
  <si>
    <t>040-104-000008274</t>
  </si>
  <si>
    <t>ZP249W00261</t>
  </si>
  <si>
    <t>CARLOS POZO</t>
  </si>
  <si>
    <t>AV. 1 DE MAYO</t>
  </si>
  <si>
    <t>carlospozo85@hotmail.com</t>
  </si>
  <si>
    <t>043-905-000058086</t>
  </si>
  <si>
    <t>COCINA GBC 95-GBA BM</t>
  </si>
  <si>
    <t>ZP24BT00888</t>
  </si>
  <si>
    <t>FRANCISCO FAJARDO</t>
  </si>
  <si>
    <t>MACHANGARA</t>
  </si>
  <si>
    <t>panchofajardo@hotmail.com</t>
  </si>
  <si>
    <t>043-904-000063595</t>
  </si>
  <si>
    <t>HORNO HSB 750 G</t>
  </si>
  <si>
    <t>TZ245W29981</t>
  </si>
  <si>
    <t>LORENA SANCHEZ</t>
  </si>
  <si>
    <t>AV PANCHO VILLA</t>
  </si>
  <si>
    <t>loresanche1970@outlook.com</t>
  </si>
  <si>
    <t>043-906-000038760</t>
  </si>
  <si>
    <t>ZP24AN00561</t>
  </si>
  <si>
    <t>JUAN MENDIETA</t>
  </si>
  <si>
    <t>JUAN JOSE FLORES</t>
  </si>
  <si>
    <t>sebastianmendietar@gmail.com</t>
  </si>
  <si>
    <t>LUNA PAZMIÑO</t>
  </si>
  <si>
    <t>002-201-000005914</t>
  </si>
  <si>
    <t>TP245411245</t>
  </si>
  <si>
    <t>LIGIA CRIOLLO</t>
  </si>
  <si>
    <t>ligiacriollo112014@gmail.com</t>
  </si>
  <si>
    <t>043-905-000061951</t>
  </si>
  <si>
    <t>TP24AR09420</t>
  </si>
  <si>
    <t>JULIETA JARAMILLO</t>
  </si>
  <si>
    <t>RAFAEL FAJARDO 544</t>
  </si>
  <si>
    <t>julietajaramilloa@hotmail.com</t>
  </si>
  <si>
    <t>kywi</t>
  </si>
  <si>
    <t>016-902-000496751</t>
  </si>
  <si>
    <t>TP242LO3459</t>
  </si>
  <si>
    <t>INES BACULIMA</t>
  </si>
  <si>
    <t>URB. LOS SAUCES</t>
  </si>
  <si>
    <t>cmaluna2018@gmail.com</t>
  </si>
  <si>
    <t>001-502-000000107</t>
  </si>
  <si>
    <t>TZ247202334</t>
  </si>
  <si>
    <t>MARIA VASQUEZ</t>
  </si>
  <si>
    <t>INGALOMA</t>
  </si>
  <si>
    <t>americorodast@gmail.com</t>
  </si>
  <si>
    <t>016-907-000242127</t>
  </si>
  <si>
    <t>TP24AR09414</t>
  </si>
  <si>
    <t>DAVID OTAVALO</t>
  </si>
  <si>
    <t>1ERO DE SEPTIEMBRE</t>
  </si>
  <si>
    <t>josedavid.otavalo@gmail.com</t>
  </si>
  <si>
    <t>043-903-000057064</t>
  </si>
  <si>
    <t>ZP24C200791</t>
  </si>
  <si>
    <t>RAFAEL CORNEJO</t>
  </si>
  <si>
    <t>PARQUE IBERIA</t>
  </si>
  <si>
    <t>rrcb2009@hotmail.com</t>
  </si>
  <si>
    <t>001-500-000071580</t>
  </si>
  <si>
    <t>HORNO HSB G15 SS</t>
  </si>
  <si>
    <t>TZ247N18933</t>
  </si>
  <si>
    <t>CAROLINA SEADE</t>
  </si>
  <si>
    <t>CONDOMINIO MONTEVERDE</t>
  </si>
  <si>
    <t>caroseadem@gmail.com</t>
  </si>
  <si>
    <t>043-902-000048985</t>
  </si>
  <si>
    <t>ZP247500427</t>
  </si>
  <si>
    <t>CARLA BUITRON</t>
  </si>
  <si>
    <t>CONDOMINIO FIRENZA</t>
  </si>
  <si>
    <t>blsura.83@gmail.com</t>
  </si>
  <si>
    <t>043-907-000020954</t>
  </si>
  <si>
    <t>COCINA GZC 95320 KBB</t>
  </si>
  <si>
    <t>ZP242506132</t>
  </si>
  <si>
    <t>LUIS CAMPOVERDE</t>
  </si>
  <si>
    <t xml:space="preserve">GONZALO PIZARRO </t>
  </si>
  <si>
    <t>0993544876</t>
  </si>
  <si>
    <t>0104473426</t>
  </si>
  <si>
    <t>luiscampoverderivera@gmail.com</t>
  </si>
  <si>
    <t>EK244200037</t>
  </si>
  <si>
    <t>043-905-000061359</t>
  </si>
  <si>
    <t>TZ24B526969</t>
  </si>
  <si>
    <t>MICROONDA HL 820 BIS</t>
  </si>
  <si>
    <t>TP247J07119</t>
  </si>
  <si>
    <t>001-500-000061515</t>
  </si>
  <si>
    <t>HORNO HLB 8510P</t>
  </si>
  <si>
    <t>TZ242032239</t>
  </si>
  <si>
    <t>ANDRES ABRIL</t>
  </si>
  <si>
    <t>CIEZA DE LEON</t>
  </si>
  <si>
    <t>0983231336</t>
  </si>
  <si>
    <t>0104156195</t>
  </si>
  <si>
    <t>andresabril304@gmail.com</t>
  </si>
  <si>
    <t>MICROONDA HL 822 BIS L</t>
  </si>
  <si>
    <t>TP235C09527</t>
  </si>
  <si>
    <t>002-201-00006009</t>
  </si>
  <si>
    <t>ZP249T00149</t>
  </si>
  <si>
    <t>NIXXON ANGAMARCA</t>
  </si>
  <si>
    <t>BATAN 1 71</t>
  </si>
  <si>
    <t>0993769081</t>
  </si>
  <si>
    <t>1103247001</t>
  </si>
  <si>
    <t>nixxonangam@gmail.com</t>
  </si>
  <si>
    <t>016-902-03050470</t>
  </si>
  <si>
    <t>TZ246502733</t>
  </si>
  <si>
    <t>MICROONDA MWGIIX</t>
  </si>
  <si>
    <t>MW247A00092</t>
  </si>
  <si>
    <t>001-500-000067752</t>
  </si>
  <si>
    <t>COCINA GZC 64320 XBB</t>
  </si>
  <si>
    <t>ZP246000126</t>
  </si>
  <si>
    <t>JULIA ESPINOZA</t>
  </si>
  <si>
    <t>YANUNCAY</t>
  </si>
  <si>
    <t>0995881228</t>
  </si>
  <si>
    <t>1709391898</t>
  </si>
  <si>
    <t>yados_ing99@hotmail.com</t>
  </si>
  <si>
    <t>TZ249519426</t>
  </si>
  <si>
    <t>001-500-000071548</t>
  </si>
  <si>
    <t>TZ247202388</t>
  </si>
  <si>
    <t>DANIEL RUIZ</t>
  </si>
  <si>
    <t>LUIS MORENO MORA</t>
  </si>
  <si>
    <t>0998602858</t>
  </si>
  <si>
    <t>0104147525</t>
  </si>
  <si>
    <t>oscardanielruiz25@gmail.com</t>
  </si>
  <si>
    <t>MICROONDAS 8820 BIS L</t>
  </si>
  <si>
    <t>TP245E04565</t>
  </si>
  <si>
    <t>001-500-000064639</t>
  </si>
  <si>
    <t>MICROCAMPANA MLH 845 SS</t>
  </si>
  <si>
    <t>111910000000157</t>
  </si>
  <si>
    <t>MARTHA COBOS</t>
  </si>
  <si>
    <t>AV. LAS AMERICAS</t>
  </si>
  <si>
    <t>0999851042</t>
  </si>
  <si>
    <t>0102431251</t>
  </si>
  <si>
    <t>marthacobosm@hotmail.com</t>
  </si>
  <si>
    <t>COCINA EX 70.1 5 GAIDRCL</t>
  </si>
  <si>
    <t>ZP217R00004</t>
  </si>
  <si>
    <t>016-902-000502096</t>
  </si>
  <si>
    <t>TP24AR07941</t>
  </si>
  <si>
    <t>MANUEL CAJAMARCA</t>
  </si>
  <si>
    <t>0991447570</t>
  </si>
  <si>
    <t>013060703</t>
  </si>
  <si>
    <t>m.cajamarcaq@gmail.com</t>
  </si>
  <si>
    <t>TP24ARO7939</t>
  </si>
  <si>
    <t>001-500-00006977</t>
  </si>
  <si>
    <t>ZP246K00216</t>
  </si>
  <si>
    <t>BYRON NARVAEZ</t>
  </si>
  <si>
    <t>0995909160</t>
  </si>
  <si>
    <t>0300244027</t>
  </si>
  <si>
    <t>byronnv@gmail.com</t>
  </si>
  <si>
    <t>TP24AR07917</t>
  </si>
  <si>
    <t>BERMAT</t>
  </si>
  <si>
    <t>001-002-000368421</t>
  </si>
  <si>
    <t>TZ23BT25093</t>
  </si>
  <si>
    <t>HUGO QUEZADA</t>
  </si>
  <si>
    <t>099340209</t>
  </si>
  <si>
    <t>0104714019</t>
  </si>
  <si>
    <t>grupo_caminar@hotmail.com</t>
  </si>
  <si>
    <t>MICROONDA ML 822 BIS L</t>
  </si>
  <si>
    <t>TP233H09146</t>
  </si>
  <si>
    <t>COCINA AFF 87601</t>
  </si>
  <si>
    <t>ZP23BMOO331</t>
  </si>
  <si>
    <t>001-002-000348083</t>
  </si>
  <si>
    <t>CAFETERA CLC 855 GM INOX</t>
  </si>
  <si>
    <t>AP2450980055</t>
  </si>
  <si>
    <t>YH243000151</t>
  </si>
  <si>
    <t>PRADO ALTO</t>
  </si>
  <si>
    <t>040-101-000000254</t>
  </si>
  <si>
    <t>TZ242619696</t>
  </si>
  <si>
    <t>INES ARIAS DE IDROVO</t>
  </si>
  <si>
    <t>0984884651</t>
  </si>
  <si>
    <t>0102416660</t>
  </si>
  <si>
    <t>inesarias@gmail.com</t>
  </si>
  <si>
    <t>112550R6</t>
  </si>
  <si>
    <t>COCINA JZC 96324 ABB</t>
  </si>
  <si>
    <t>ZP244300165</t>
  </si>
  <si>
    <t>001-501-000057694</t>
  </si>
  <si>
    <t>MICROONDA ML 820 BIS</t>
  </si>
  <si>
    <t>TP249R04054</t>
  </si>
  <si>
    <t>ANTISANA 487</t>
  </si>
  <si>
    <t>010364377001</t>
  </si>
  <si>
    <t>jmeneses@techovid.com</t>
  </si>
  <si>
    <t>TP249R04010</t>
  </si>
  <si>
    <t>25/03/225</t>
  </si>
  <si>
    <t>016-907-000242064</t>
  </si>
  <si>
    <t>CAMPANA DLV 98660 TRL</t>
  </si>
  <si>
    <t>TP249505757</t>
  </si>
  <si>
    <t>DIGNA SALTO</t>
  </si>
  <si>
    <t>CHUNCHI</t>
  </si>
  <si>
    <t>0989380283</t>
  </si>
  <si>
    <t>1711594760</t>
  </si>
  <si>
    <t>dignasaltoc@gmail.com</t>
  </si>
  <si>
    <t>039-903-000160057</t>
  </si>
  <si>
    <t>ZP245FC0226</t>
  </si>
  <si>
    <t>001-101-000003407</t>
  </si>
  <si>
    <t>H&amp;H AFC 87628 MST BK</t>
  </si>
  <si>
    <t>ZP245600428</t>
  </si>
  <si>
    <t>SILVANA CORDERO</t>
  </si>
  <si>
    <t>0995305580</t>
  </si>
  <si>
    <t>0603336801001</t>
  </si>
  <si>
    <t>fedecordero@yahoo.com</t>
  </si>
  <si>
    <t>TZ247H16170</t>
  </si>
  <si>
    <t>AP2450980046</t>
  </si>
  <si>
    <t>VINERA RVF 10024 GBK</t>
  </si>
  <si>
    <t>NS239N00059</t>
  </si>
  <si>
    <t>TP242501557</t>
  </si>
  <si>
    <t>TP233H09142</t>
  </si>
  <si>
    <t>COCINA GZC 32300</t>
  </si>
  <si>
    <t>ZP239500577</t>
  </si>
  <si>
    <t>MA247200357</t>
  </si>
  <si>
    <t>043-903-000059915</t>
  </si>
  <si>
    <t>HORNO 8416</t>
  </si>
  <si>
    <t>TZ24B526975</t>
  </si>
  <si>
    <t>JUAN SANCHEZ</t>
  </si>
  <si>
    <t>CALLE DEL TEJAR</t>
  </si>
  <si>
    <t>0999954326</t>
  </si>
  <si>
    <t>0916092976</t>
  </si>
  <si>
    <t>josd@gmail.com</t>
  </si>
  <si>
    <t>TP246R01804</t>
  </si>
  <si>
    <t>001-500-00061515</t>
  </si>
  <si>
    <t>MD24BL0000406</t>
  </si>
  <si>
    <t>AV LOJA</t>
  </si>
  <si>
    <t>andresabril3011@gmail.com</t>
  </si>
  <si>
    <t>PX23BN00501</t>
  </si>
  <si>
    <t>COCINA GZC 75330 KBB</t>
  </si>
  <si>
    <t>ZP243600407</t>
  </si>
  <si>
    <t>006-002-000137366</t>
  </si>
  <si>
    <t>HORNO HLB 760 S</t>
  </si>
  <si>
    <t>TZ24BJ15133</t>
  </si>
  <si>
    <t>EDIFICIO MONTECARLO</t>
  </si>
  <si>
    <t>963239977</t>
  </si>
  <si>
    <t>COCINA GZC 75330 XBB</t>
  </si>
  <si>
    <t>ZP242300177</t>
  </si>
  <si>
    <t>040-103-00012635</t>
  </si>
  <si>
    <t>HORNO HSB 610 BK</t>
  </si>
  <si>
    <t>TZ24BD10703</t>
  </si>
  <si>
    <t>JULIANA MALDONADO</t>
  </si>
  <si>
    <t>DE LOS ALBARICOQUES</t>
  </si>
  <si>
    <t>0984191609</t>
  </si>
  <si>
    <t>0701739518</t>
  </si>
  <si>
    <t>julianamaldonado@yahoo.com</t>
  </si>
  <si>
    <t>TP249R04019</t>
  </si>
  <si>
    <t>001-500-000068461</t>
  </si>
  <si>
    <t>ZP246K00151</t>
  </si>
  <si>
    <t>LOURDES COLLAGUAZO</t>
  </si>
  <si>
    <t>0984333098</t>
  </si>
  <si>
    <t>0104095385</t>
  </si>
  <si>
    <t>lourdeseliana@icloud.com</t>
  </si>
  <si>
    <t>TP246208032</t>
  </si>
  <si>
    <t>TZ249519436</t>
  </si>
  <si>
    <t xml:space="preserve"> MICROONDAS 622 BIS L</t>
  </si>
  <si>
    <t>TP232702629</t>
  </si>
  <si>
    <t>040-103-000005832</t>
  </si>
  <si>
    <t>ZP242700318</t>
  </si>
  <si>
    <t>EMILIA CORDERO</t>
  </si>
  <si>
    <t>AV SOLANO 10 73</t>
  </si>
  <si>
    <t>0993998537</t>
  </si>
  <si>
    <t>0103807178</t>
  </si>
  <si>
    <t>andyeljuri@msn.com</t>
  </si>
  <si>
    <t>HORNO HLF 940</t>
  </si>
  <si>
    <t>TZ243M21381</t>
  </si>
  <si>
    <t>CAMPANA GFH 73 INOX</t>
  </si>
  <si>
    <t>20//03/25</t>
  </si>
  <si>
    <t>001-500-000071774</t>
  </si>
  <si>
    <t>HORNO H313 635</t>
  </si>
  <si>
    <t>TZ241R25486</t>
  </si>
  <si>
    <t>WILSON OCHOA</t>
  </si>
  <si>
    <t>PACHAMAMA 5 61</t>
  </si>
  <si>
    <t>0987236404</t>
  </si>
  <si>
    <t>0103802203</t>
  </si>
  <si>
    <t>wilson2587@hotmail.com</t>
  </si>
  <si>
    <t>COCINA IZC 64010 MSS</t>
  </si>
  <si>
    <t>ZP24A660624</t>
  </si>
  <si>
    <t>VICTORIA HOGAR</t>
  </si>
  <si>
    <t>001-001-000001112</t>
  </si>
  <si>
    <t>TZ24BL17916</t>
  </si>
  <si>
    <t>MARIA ELISA CORDERO</t>
  </si>
  <si>
    <t>PASEO 3 NOVIEMBRE</t>
  </si>
  <si>
    <t>0986314548</t>
  </si>
  <si>
    <t>0190499332</t>
  </si>
  <si>
    <t>ventas@iglaceec.com</t>
  </si>
  <si>
    <t>TZ24BL17904</t>
  </si>
  <si>
    <t>001-500-000071682</t>
  </si>
  <si>
    <t>ZP24CL00250</t>
  </si>
  <si>
    <t>MARIA PAULA PIEDRA</t>
  </si>
  <si>
    <t>RETAMAS Y HERRERIA</t>
  </si>
  <si>
    <t>0987664897</t>
  </si>
  <si>
    <t>ad.paulapiedra@gmail.com</t>
  </si>
  <si>
    <t>001-500-000071888</t>
  </si>
  <si>
    <t>TZ245N21980</t>
  </si>
  <si>
    <t>001-500-000070972</t>
  </si>
  <si>
    <t>TP246H03236</t>
  </si>
  <si>
    <t>MARIA VAZQUEZ BRAVO</t>
  </si>
  <si>
    <t>0984768038</t>
  </si>
  <si>
    <t>andradecallecristian@gmail.com</t>
  </si>
  <si>
    <t>ZP246C00210</t>
  </si>
  <si>
    <t>001-500-000065138</t>
  </si>
  <si>
    <t>COCINA AFF 87601 MST BK</t>
  </si>
  <si>
    <t>ZP241B00482</t>
  </si>
  <si>
    <t>RODRIGO FLORES</t>
  </si>
  <si>
    <t>AUTOPISTA CUENCA</t>
  </si>
  <si>
    <t>0994058325</t>
  </si>
  <si>
    <t>0195126151</t>
  </si>
  <si>
    <t>gerencia@comexmi.com</t>
  </si>
  <si>
    <t>HORNO HLB 840 SS</t>
  </si>
  <si>
    <t>TZ233E12976</t>
  </si>
  <si>
    <t>MICROONDA ML 8220 BIS L</t>
  </si>
  <si>
    <t>TP245E04593</t>
  </si>
  <si>
    <t>YH243000021</t>
  </si>
  <si>
    <t>001-500-000071940</t>
  </si>
  <si>
    <t>MD249L05936</t>
  </si>
  <si>
    <t>PAOLA DURAN</t>
  </si>
  <si>
    <t>0996617249</t>
  </si>
  <si>
    <t>0103940730</t>
  </si>
  <si>
    <t>pao.duran@gmail.com</t>
  </si>
  <si>
    <t>TZ247614586</t>
  </si>
  <si>
    <t>002-201-00006242</t>
  </si>
  <si>
    <t>IVAN PARRA</t>
  </si>
  <si>
    <t>AV PASEO DE LOS CANARIS</t>
  </si>
  <si>
    <t>0991444408</t>
  </si>
  <si>
    <t>0704558337</t>
  </si>
  <si>
    <t>ivanmau1590@gmail.com</t>
  </si>
  <si>
    <t>ZP249T00198</t>
  </si>
  <si>
    <t>016-907-000239435</t>
  </si>
  <si>
    <t>TP249H02918</t>
  </si>
  <si>
    <t>GIMENA TAPIA</t>
  </si>
  <si>
    <t>0995159418</t>
  </si>
  <si>
    <t>0301949004</t>
  </si>
  <si>
    <t>gimenasta@yahoo.com</t>
  </si>
  <si>
    <t>ZP242N00506</t>
  </si>
  <si>
    <t>001-001-000000463</t>
  </si>
  <si>
    <t>TP247Q1498</t>
  </si>
  <si>
    <t>SUSANA BORJA</t>
  </si>
  <si>
    <t>EDIFICIO RUBIK</t>
  </si>
  <si>
    <t>0997473993</t>
  </si>
  <si>
    <t>0201509783</t>
  </si>
  <si>
    <t>susy_borja@yahoo.com</t>
  </si>
  <si>
    <t>VINERA RVI 10029 GBK</t>
  </si>
  <si>
    <t>NS239N00051</t>
  </si>
  <si>
    <t>043-905-000063995</t>
  </si>
  <si>
    <t>ZP247KB0277</t>
  </si>
  <si>
    <t>PEDRO VAZQUES</t>
  </si>
  <si>
    <t>MACHALA Y ACHIPULLAS</t>
  </si>
  <si>
    <t>0998951177</t>
  </si>
  <si>
    <t>0103523320</t>
  </si>
  <si>
    <t>pgus25@hotmail.com</t>
  </si>
  <si>
    <t>TP244W02665</t>
  </si>
  <si>
    <t>001-500-000071628</t>
  </si>
  <si>
    <t>ZP251900555</t>
  </si>
  <si>
    <t>CARLOS ABRIL</t>
  </si>
  <si>
    <t>PLAYAS MISICATA</t>
  </si>
  <si>
    <t>0995857406</t>
  </si>
  <si>
    <t>0104657283</t>
  </si>
  <si>
    <t>tanjo_21@hotmail.com</t>
  </si>
  <si>
    <t>HORNO HSB 630</t>
  </si>
  <si>
    <t>TZ243T28461</t>
  </si>
  <si>
    <t>043-904-000067179</t>
  </si>
  <si>
    <t>MICROMWG 14X</t>
  </si>
  <si>
    <t>MW243T01877</t>
  </si>
  <si>
    <t>043-901-000020191</t>
  </si>
  <si>
    <t>TZ24B526967</t>
  </si>
  <si>
    <t>YOLANDA MOREJON</t>
  </si>
  <si>
    <t>BERNANDO D ELEYARDA</t>
  </si>
  <si>
    <t>099843284</t>
  </si>
  <si>
    <t>0101237279</t>
  </si>
  <si>
    <t>yolandamore7@hotmail.com</t>
  </si>
  <si>
    <t>ML 8220 BIS L</t>
  </si>
  <si>
    <t>TP245E04570</t>
  </si>
  <si>
    <t>044-012-000002143</t>
  </si>
  <si>
    <t>ZP245600322</t>
  </si>
  <si>
    <t>EDIFICIO EL ARCO</t>
  </si>
  <si>
    <t>0105482640</t>
  </si>
  <si>
    <t>silvanacordero1992@gmail.com</t>
  </si>
  <si>
    <t>HORNO HBB 510</t>
  </si>
  <si>
    <t>TZ243T28410</t>
  </si>
  <si>
    <t>CAMPANA GFH SS</t>
  </si>
  <si>
    <t>TP243003493</t>
  </si>
  <si>
    <t>043-405-000062718</t>
  </si>
  <si>
    <t>MICROONDA MS 620 BIS</t>
  </si>
  <si>
    <t>TP24AQ05736</t>
  </si>
  <si>
    <t>DAYANNA CASTILLO</t>
  </si>
  <si>
    <t>EDICIFICO TERRAZA</t>
  </si>
  <si>
    <t>0963651211</t>
  </si>
  <si>
    <t>0105079818</t>
  </si>
  <si>
    <t>danilomusic15@hotmail.com</t>
  </si>
  <si>
    <t>TZ232P19906</t>
  </si>
  <si>
    <t>043-903-000050982</t>
  </si>
  <si>
    <t>ZP24BM00316</t>
  </si>
  <si>
    <t>MIRIAM ORTEGA</t>
  </si>
  <si>
    <t>CONDOMIONIO LAS MARIA</t>
  </si>
  <si>
    <t>0999086799</t>
  </si>
  <si>
    <t>0100218544</t>
  </si>
  <si>
    <t>miriamrocio@hotmail.com</t>
  </si>
  <si>
    <t>TZ24AE09863</t>
  </si>
  <si>
    <t>001-500-000065582</t>
  </si>
  <si>
    <t>ZP242N00443</t>
  </si>
  <si>
    <t>DIEGO CARDENAS</t>
  </si>
  <si>
    <t>099738942</t>
  </si>
  <si>
    <t>0102340866</t>
  </si>
  <si>
    <t>dcardenas1964@gmail.com</t>
  </si>
  <si>
    <t>TZ241405489</t>
  </si>
  <si>
    <t>001-500-000070390</t>
  </si>
  <si>
    <t>ZP24BLOO375</t>
  </si>
  <si>
    <t>DANIEL MOURAT</t>
  </si>
  <si>
    <t>AV. GUAPONDELIG Y ROLDOS</t>
  </si>
  <si>
    <t>0979221675</t>
  </si>
  <si>
    <t>0105770648</t>
  </si>
  <si>
    <t>jessica.alvarezmonroy@gmail.com</t>
  </si>
  <si>
    <t>001-500-000070523</t>
  </si>
  <si>
    <t>ZP24BLOO376</t>
  </si>
  <si>
    <t>ZP24BLOO373</t>
  </si>
  <si>
    <t>ZP24BLOO371</t>
  </si>
  <si>
    <t>ZP24BLOO377</t>
  </si>
  <si>
    <t>ZP24BLOO367</t>
  </si>
  <si>
    <t>ZP249T00029</t>
  </si>
  <si>
    <t>TP24BV07370</t>
  </si>
  <si>
    <t>TP24B705749</t>
  </si>
  <si>
    <t>TP24BV07366</t>
  </si>
  <si>
    <t>TP24BV07376</t>
  </si>
  <si>
    <t>TP24BV07369</t>
  </si>
  <si>
    <t>TP24B705702</t>
  </si>
  <si>
    <t>TP24BV07371</t>
  </si>
  <si>
    <t>001-001-00000319</t>
  </si>
  <si>
    <t>TZ247H16146</t>
  </si>
  <si>
    <t>REMIGIO AMOROSO</t>
  </si>
  <si>
    <t>0982262694</t>
  </si>
  <si>
    <t>0302220132001</t>
  </si>
  <si>
    <t>amorosoremigio@gmail.com</t>
  </si>
  <si>
    <t>TP247507122</t>
  </si>
  <si>
    <t>2P24AQ00051</t>
  </si>
  <si>
    <t>CAMPANA CC 480</t>
  </si>
  <si>
    <t>PX2AC400660</t>
  </si>
  <si>
    <t>043-905-000062718</t>
  </si>
  <si>
    <t>ZP24A600696</t>
  </si>
  <si>
    <t>DAYANA CASTILLO</t>
  </si>
  <si>
    <t>EDIFICIO TERRAZA</t>
  </si>
  <si>
    <t>0963681211</t>
  </si>
  <si>
    <t>PX24BR00526</t>
  </si>
  <si>
    <t>040-103-000010855</t>
  </si>
  <si>
    <t>ZP247K00275</t>
  </si>
  <si>
    <t>WILSON NAULAWARI</t>
  </si>
  <si>
    <t>PAUTE Y GIRON</t>
  </si>
  <si>
    <t>0995329878</t>
  </si>
  <si>
    <t>0103701546</t>
  </si>
  <si>
    <t>wilsonnaula@gmail.com</t>
  </si>
  <si>
    <t>014-004-000065316</t>
  </si>
  <si>
    <t>TP246L07472</t>
  </si>
  <si>
    <t>CIRC. PUT. IPC (SSCONFIG) IND TEK 61+(stanby)</t>
  </si>
  <si>
    <t>COCINA IR 9530</t>
  </si>
  <si>
    <t>ZP21AROOO11</t>
  </si>
  <si>
    <t>CAMILA VAZQUES</t>
  </si>
  <si>
    <t>MUESTRA CODIGO F47 SE DEBE CAMBIAR LA TARJETA PARA SOLUCIONAR</t>
  </si>
  <si>
    <t>0301678645</t>
  </si>
  <si>
    <t>c-ami-vazquez@hotmail.com</t>
  </si>
  <si>
    <t>0987102174</t>
  </si>
  <si>
    <t>001-001-000000486</t>
  </si>
  <si>
    <t>001-501-000054713</t>
  </si>
  <si>
    <t>COCINA FS3RL966 GGX</t>
  </si>
  <si>
    <t xml:space="preserve">SE CALIBRA LA MEZCLA AIRE/GAS </t>
  </si>
  <si>
    <t>0102517257</t>
  </si>
  <si>
    <t>idrovopaola76@gmail.com</t>
  </si>
  <si>
    <t>0992524876</t>
  </si>
  <si>
    <t>REFRIGERADOR RLF 74920 SS</t>
  </si>
  <si>
    <t>MOTOR DE FABRICA DE HIELOS ESTA TRABAJO, SE DESTRABA EL MECANISMO.</t>
  </si>
  <si>
    <t>0101895761</t>
  </si>
  <si>
    <t>jpidrovo@hotmail.com</t>
  </si>
  <si>
    <t>072853469</t>
  </si>
  <si>
    <t>R1218200</t>
  </si>
  <si>
    <t>REPUESTO GRIFERIA</t>
  </si>
  <si>
    <t>MONOMANDO COCINA EXTRAIBLE MYL CR TEKA</t>
  </si>
  <si>
    <t>JUAN VICUÑA</t>
  </si>
  <si>
    <t>SE CAMBIA JUNTAS Y SELLOS</t>
  </si>
  <si>
    <t>0101205540001</t>
  </si>
  <si>
    <t>juanvicuna@gmail.com</t>
  </si>
  <si>
    <t>0998343581</t>
  </si>
  <si>
    <t>017-901-000088581</t>
  </si>
  <si>
    <t>COCINA GBC 75-G1 GBA BM</t>
  </si>
  <si>
    <t>ZP23B800543</t>
  </si>
  <si>
    <t>ANA PEÑAFIEL</t>
  </si>
  <si>
    <t>SE REVISA CATEENARIA Y SE AJUSTAN LAS CONEXIONES ELECTRICAS</t>
  </si>
  <si>
    <t>0301524617</t>
  </si>
  <si>
    <t>sacmicas@gmail.com</t>
  </si>
  <si>
    <t>0987239131</t>
  </si>
  <si>
    <t>001-500-000066741</t>
  </si>
  <si>
    <t>210530AF1870</t>
  </si>
  <si>
    <t>PROGRAMADOR ELECTRONICO HWS BIS INOX</t>
  </si>
  <si>
    <t>MICROONDAS 820 BIS</t>
  </si>
  <si>
    <t>TP241Q09829</t>
  </si>
  <si>
    <t>SE DETECTA QUE LA PLACA DE POTENCIA NO FUNCIONA</t>
  </si>
  <si>
    <t>fortizmorales@hotmail.com</t>
  </si>
  <si>
    <t>0980913525</t>
  </si>
  <si>
    <t>040-103-000004210</t>
  </si>
  <si>
    <t>230710AF1802</t>
  </si>
  <si>
    <t>220315AF0006</t>
  </si>
  <si>
    <t>JHON GIL</t>
  </si>
  <si>
    <t>INTERRUPTOR NEUMATICO TRABADO, SE SOLUCIONA</t>
  </si>
  <si>
    <t>0101161461</t>
  </si>
  <si>
    <t>jhongila@gmail.com</t>
  </si>
  <si>
    <t>0999513248</t>
  </si>
  <si>
    <t>016-907-000154470</t>
  </si>
  <si>
    <t>BUJIA FGA 820 SS</t>
  </si>
  <si>
    <t>HORNO HLF 924 G</t>
  </si>
  <si>
    <t>TZ232125176</t>
  </si>
  <si>
    <t>DIANA CASTILLO</t>
  </si>
  <si>
    <t>SE VERIFICA QUE LA BUJIA FGA NO FUNCIONA</t>
  </si>
  <si>
    <t>0103017125</t>
  </si>
  <si>
    <t>catalinacambi1611@hotmail.com</t>
  </si>
  <si>
    <t>0983595176</t>
  </si>
  <si>
    <t>040-104-000000133</t>
  </si>
  <si>
    <t>CONJUNTO INDUCCION I100 DOMINO (VR EXCLAVA)</t>
  </si>
  <si>
    <t>COCINA IZS 97630 MTS BK</t>
  </si>
  <si>
    <t>ZP226Q00032</t>
  </si>
  <si>
    <t>DANIELA CUESTA</t>
  </si>
  <si>
    <t>CODIGO F47, QUEMADORES DEL LADO DERECHO NO FUNCIONAN</t>
  </si>
  <si>
    <t>1707868620001</t>
  </si>
  <si>
    <t>colminitreum@abccomercioexterior.com</t>
  </si>
  <si>
    <t>0995112354</t>
  </si>
  <si>
    <t>040-103-000005007</t>
  </si>
  <si>
    <t>TRITURADOR 710.1</t>
  </si>
  <si>
    <t>240428AF0772</t>
  </si>
  <si>
    <t>JUAN LANDY</t>
  </si>
  <si>
    <t>PROBLEMA EN BOBINADO DE ARRANQUE DEL MOTOR. SE SOLICITA CAMBIO DE EQUIPO</t>
  </si>
  <si>
    <t>0105500862001</t>
  </si>
  <si>
    <t>juanpablolandym@gmail.com</t>
  </si>
  <si>
    <t>0995388169</t>
  </si>
  <si>
    <t>006-002-0000137215</t>
  </si>
  <si>
    <t>ZP22AEOO107</t>
  </si>
  <si>
    <t>MARIA VIDAL CORONEL</t>
  </si>
  <si>
    <t>SE RECONECTAN TERMINALES Y BUJIAS</t>
  </si>
  <si>
    <t>0100000967</t>
  </si>
  <si>
    <t>alisas321@hotmail.com</t>
  </si>
  <si>
    <t>0998089495</t>
  </si>
  <si>
    <t>002-102-000079298</t>
  </si>
  <si>
    <t>HORNO HLF 8246</t>
  </si>
  <si>
    <t>TZ24B217916</t>
  </si>
  <si>
    <t>SENSOR TERMOPAR FUERA DE POSICION</t>
  </si>
  <si>
    <t>0190499332001</t>
  </si>
  <si>
    <t>0984670598</t>
  </si>
  <si>
    <t>TARJETA ELECTRONICA DESCONECTADA</t>
  </si>
  <si>
    <t>01013442707</t>
  </si>
  <si>
    <t>PLACA DE POTENCIA P100 IZQDA 2B H7 LAYOUT (IFX0</t>
  </si>
  <si>
    <t>ZP236L00063</t>
  </si>
  <si>
    <t>PAOLO PURUNCAJAS</t>
  </si>
  <si>
    <t>LA PLACA DE POTENCIA IZQUIERDA ESTA QUEMADA</t>
  </si>
  <si>
    <t>0103811394</t>
  </si>
  <si>
    <t>paolopuruncajasc@gmail.com</t>
  </si>
  <si>
    <t>0987210017</t>
  </si>
  <si>
    <t>001-101-000002894</t>
  </si>
  <si>
    <t>REFRIGERADOR 77960 GBK MX</t>
  </si>
  <si>
    <t>TKAZC461852001</t>
  </si>
  <si>
    <t>MOTOR VENTILADOR CONDENSADOR FALSO CONTACTO</t>
  </si>
  <si>
    <t>0301755286</t>
  </si>
  <si>
    <t>paulmacancelaant@gmail.com</t>
  </si>
  <si>
    <t>0993838213</t>
  </si>
  <si>
    <t>RELOJ TC HLB 8550 SC BK</t>
  </si>
  <si>
    <t>HORNO HLB 8550 SC BK</t>
  </si>
  <si>
    <t>TZ23BE12434</t>
  </si>
  <si>
    <t>FABIOLA CUEVA</t>
  </si>
  <si>
    <t xml:space="preserve">SISPLAY NO PERMITE CONTROLAR EL HORNO </t>
  </si>
  <si>
    <t>0101553956</t>
  </si>
  <si>
    <t>fabcue5@hotmail.com</t>
  </si>
  <si>
    <t>0986403109</t>
  </si>
  <si>
    <t>043-909-000000153</t>
  </si>
  <si>
    <t>JOSE VAZQUES</t>
  </si>
  <si>
    <t>MOTOR REFRIGERACION CENTRIFUGO FUSIBLE QUEMADO</t>
  </si>
  <si>
    <t>0300776812</t>
  </si>
  <si>
    <t>prvivlla58@gmail.com</t>
  </si>
  <si>
    <t>ZP23BP00194</t>
  </si>
  <si>
    <t>BELGIUS VELAZQUEZ</t>
  </si>
  <si>
    <t>CABLES BUJIAS ROBAN CORRIENTE, SE REAJUSTAN LOS CABLES</t>
  </si>
  <si>
    <t>1722836283</t>
  </si>
  <si>
    <t>edbeke@gmail.com</t>
  </si>
  <si>
    <t>0986408069</t>
  </si>
  <si>
    <t>001-500-000006443</t>
  </si>
  <si>
    <t>001-500-000071771</t>
  </si>
  <si>
    <t>CO249E000243</t>
  </si>
  <si>
    <t>GEOVANNY FLORES</t>
  </si>
  <si>
    <t>LOS OLIVOS Y ORD. LASSO</t>
  </si>
  <si>
    <t xml:space="preserve"> 001-500-000071771 </t>
  </si>
  <si>
    <t>cgflores28@hotmail.com</t>
  </si>
  <si>
    <t>001-502-000000185</t>
  </si>
  <si>
    <t>CO249E00316</t>
  </si>
  <si>
    <t>DANIELA PEÑA</t>
  </si>
  <si>
    <t>ROBLE 1-29</t>
  </si>
  <si>
    <t xml:space="preserve"> 001-502-000000185 </t>
  </si>
  <si>
    <t>danielapu85@gmail.com</t>
  </si>
  <si>
    <t>001-500-000071772</t>
  </si>
  <si>
    <t>CO249E00200</t>
  </si>
  <si>
    <t>MARIA CEVALLOS</t>
  </si>
  <si>
    <t>ORTIGA Y ORDONEZ LASSO</t>
  </si>
  <si>
    <t xml:space="preserve"> 001-500-000071772 </t>
  </si>
  <si>
    <t>CO249E00314</t>
  </si>
  <si>
    <t xml:space="preserve">                                                        -  </t>
  </si>
  <si>
    <t xml:space="preserve">BBBQ T-BBQ 3100 G BK SS </t>
  </si>
  <si>
    <t>CO249E00522</t>
  </si>
  <si>
    <t>GALME ELECTRODOMESTICOS</t>
  </si>
  <si>
    <t>002-002-000000888</t>
  </si>
  <si>
    <t>CO249E00659</t>
  </si>
  <si>
    <t>MARIA DUMAS</t>
  </si>
  <si>
    <t>1ERO MAYO Y SIG SIG</t>
  </si>
  <si>
    <t xml:space="preserve"> 002-002-000000888 </t>
  </si>
  <si>
    <t>oximaldonado@hotmail.com</t>
  </si>
  <si>
    <t>CO249E00244</t>
  </si>
  <si>
    <t>ALMACENES KYWI</t>
  </si>
  <si>
    <t>043-903-000662794</t>
  </si>
  <si>
    <t>CQ249E00645</t>
  </si>
  <si>
    <t>ANA ORDOÑEZ</t>
  </si>
  <si>
    <t xml:space="preserve"> 043-903-000662794 </t>
  </si>
  <si>
    <t>chao8019@yahoo.com</t>
  </si>
  <si>
    <t>CAMPANA DVN 64030 TCL BK</t>
  </si>
  <si>
    <t>EK24720012</t>
  </si>
  <si>
    <t xml:space="preserve">COMERCIAL SOLIS </t>
  </si>
  <si>
    <t>0987665867</t>
  </si>
  <si>
    <t>016-907-000241302</t>
  </si>
  <si>
    <t>ZP24C200790</t>
  </si>
  <si>
    <t>NADIA MOSCOSO</t>
  </si>
  <si>
    <t>0992515597</t>
  </si>
  <si>
    <t>0105784615</t>
  </si>
  <si>
    <t>nmoscoso@gaiman.com</t>
  </si>
  <si>
    <t>COM. SOLIS</t>
  </si>
  <si>
    <t>001-502-000000108</t>
  </si>
  <si>
    <t>CAMPANA HLM 845 SS MX</t>
  </si>
  <si>
    <t>111910000156</t>
  </si>
  <si>
    <t>CARLOS VIMOS</t>
  </si>
  <si>
    <t>PAN. NORTE KM 5 1/2</t>
  </si>
  <si>
    <t>0998462939</t>
  </si>
  <si>
    <t>0103064150</t>
  </si>
  <si>
    <t>carlosvimos2024@outlook.com</t>
  </si>
  <si>
    <t>001-001-000000684</t>
  </si>
  <si>
    <t>41560041</t>
  </si>
  <si>
    <t>TZ22BW33502</t>
  </si>
  <si>
    <t>PEGGY MORELL</t>
  </si>
  <si>
    <t>EDIFICIO PORTA</t>
  </si>
  <si>
    <t>0999321376</t>
  </si>
  <si>
    <t>01527825504</t>
  </si>
  <si>
    <t>pumorell9971@gmail.com</t>
  </si>
  <si>
    <t>KARINA ABAD</t>
  </si>
  <si>
    <t>001-500-000070206</t>
  </si>
  <si>
    <t>TZ235G15537</t>
  </si>
  <si>
    <t>CONTROL SUR</t>
  </si>
  <si>
    <t>0984210041</t>
  </si>
  <si>
    <t>0105669683</t>
  </si>
  <si>
    <t>fernando.bac03@hotmail.com</t>
  </si>
  <si>
    <t>018-002-001152078</t>
  </si>
  <si>
    <t>112570093</t>
  </si>
  <si>
    <t>COCINA GZC 75030 XBB</t>
  </si>
  <si>
    <t>ZP247600731</t>
  </si>
  <si>
    <t>DIEGO CHICAIZA</t>
  </si>
  <si>
    <t>CRISTO DEL CONSUELO</t>
  </si>
  <si>
    <t>0987976117</t>
  </si>
  <si>
    <t>0190412857</t>
  </si>
  <si>
    <t>diego.arqlloivisaca@gmail.com</t>
  </si>
  <si>
    <t>043-903-000063578</t>
  </si>
  <si>
    <t>112570073</t>
  </si>
  <si>
    <t>ZP239C00261</t>
  </si>
  <si>
    <t>GONZALO PELAEZ</t>
  </si>
  <si>
    <t>MARIA AUXILIADORA</t>
  </si>
  <si>
    <t>0987112299</t>
  </si>
  <si>
    <t>gonzape@hotmail.com</t>
  </si>
  <si>
    <t>001-500-000071132</t>
  </si>
  <si>
    <t>113430051</t>
  </si>
  <si>
    <t>REFRIGERADOR RMF 77960 GBK MX</t>
  </si>
  <si>
    <t>TKAZC4C5564001</t>
  </si>
  <si>
    <t>MARIBEL ARGUDO</t>
  </si>
  <si>
    <t>MANUEL VEGA 10 46</t>
  </si>
  <si>
    <t>0987427633</t>
  </si>
  <si>
    <t>0103678710</t>
  </si>
  <si>
    <t>repair-repuestos@hotmail.com</t>
  </si>
  <si>
    <t>008-501-000009097</t>
  </si>
  <si>
    <t>111000078</t>
  </si>
  <si>
    <t>HORNO 8400 FBK</t>
  </si>
  <si>
    <t>TZ24AW24270</t>
  </si>
  <si>
    <t>MARCELO VAZQUEZ</t>
  </si>
  <si>
    <t>URBANIZACION ALANI</t>
  </si>
  <si>
    <t>0999790558</t>
  </si>
  <si>
    <t>0101349520</t>
  </si>
  <si>
    <t>mvazquez@gmail.com</t>
  </si>
  <si>
    <t>001-500-000071300</t>
  </si>
  <si>
    <t>11570068</t>
  </si>
  <si>
    <t>ZP243R00032</t>
  </si>
  <si>
    <t>JUAN MATUTE</t>
  </si>
  <si>
    <t>0984408677</t>
  </si>
  <si>
    <t>0105098784</t>
  </si>
  <si>
    <t>juanmatuteayala@outlook.com</t>
  </si>
  <si>
    <t>001-500-000071895</t>
  </si>
  <si>
    <t>ZP227L00012</t>
  </si>
  <si>
    <t>MARCO MARTINEZ</t>
  </si>
  <si>
    <t>CONDOMINIO LOS ARUPOS</t>
  </si>
  <si>
    <t>0999774544</t>
  </si>
  <si>
    <t>0100764679</t>
  </si>
  <si>
    <t>marcom697@gmail.com</t>
  </si>
  <si>
    <t>043-911-000001384</t>
  </si>
  <si>
    <t>TZ242505197</t>
  </si>
  <si>
    <t>ISABEL CACERES</t>
  </si>
  <si>
    <t>AV. PASEO DE LOS CAÑARIS</t>
  </si>
  <si>
    <t>0995102541</t>
  </si>
  <si>
    <t>0100682608</t>
  </si>
  <si>
    <t>isacocbos2000@gmail.com</t>
  </si>
  <si>
    <t>016-907-000245989</t>
  </si>
  <si>
    <t>TP246R01797</t>
  </si>
  <si>
    <t>CARMEN DE NAREA</t>
  </si>
  <si>
    <t>0984101292</t>
  </si>
  <si>
    <t>0103654182</t>
  </si>
  <si>
    <t>panab24@gmail.com</t>
  </si>
  <si>
    <t>001-502-000000167</t>
  </si>
  <si>
    <t>ZP24A600368</t>
  </si>
  <si>
    <t>AUGUSTA ROMERO</t>
  </si>
  <si>
    <t>EL MOLLE 3 58</t>
  </si>
  <si>
    <t>314-7571</t>
  </si>
  <si>
    <t>0100705714</t>
  </si>
  <si>
    <t>berthavillacisv@gmail.com</t>
  </si>
  <si>
    <t>002-201-00007908</t>
  </si>
  <si>
    <t>111010091</t>
  </si>
  <si>
    <t>TZ295N21933</t>
  </si>
  <si>
    <t>MARIA MEDINA</t>
  </si>
  <si>
    <t>AV. RICARDO DURAN</t>
  </si>
  <si>
    <t>0939272910</t>
  </si>
  <si>
    <t>0105883797</t>
  </si>
  <si>
    <t>mariamedinaur@gmail.com</t>
  </si>
  <si>
    <t>016-902-000498249</t>
  </si>
  <si>
    <t>ZP24C200787</t>
  </si>
  <si>
    <t xml:space="preserve">JAIME ANGAMARCA </t>
  </si>
  <si>
    <t>0992252534</t>
  </si>
  <si>
    <t>0301554291</t>
  </si>
  <si>
    <t>jeac7791@gmail.com</t>
  </si>
  <si>
    <t>043-905-000053080</t>
  </si>
  <si>
    <t>TP242L03416</t>
  </si>
  <si>
    <t>BERTHA GONZALES</t>
  </si>
  <si>
    <t>0982992550</t>
  </si>
  <si>
    <t>0102378973</t>
  </si>
  <si>
    <t>berthaganza@gmail.com</t>
  </si>
  <si>
    <t>001-500-000072067</t>
  </si>
  <si>
    <t>TKAZC4M1992001</t>
  </si>
  <si>
    <t>DANIELA ESPINOZA</t>
  </si>
  <si>
    <t>EL DESCANSO</t>
  </si>
  <si>
    <t>0999823400</t>
  </si>
  <si>
    <t>0104251673</t>
  </si>
  <si>
    <t>juanenrique1988@gmail.com</t>
  </si>
  <si>
    <t>001-500-000072080</t>
  </si>
  <si>
    <t>TP249B03571</t>
  </si>
  <si>
    <t>KARINA PADILLA</t>
  </si>
  <si>
    <t>CAMINO A MISICATA</t>
  </si>
  <si>
    <t>0992712802</t>
  </si>
  <si>
    <t>0915577589</t>
  </si>
  <si>
    <t>karin-pad@hotmail.com</t>
  </si>
  <si>
    <t>090-105-000001649</t>
  </si>
  <si>
    <t>112610067</t>
  </si>
  <si>
    <t>COCINA GSC 96320 SBA XX</t>
  </si>
  <si>
    <t>ZP244F00030</t>
  </si>
  <si>
    <t>JULIA CASTRO</t>
  </si>
  <si>
    <t>VAZCO NUÑEZ</t>
  </si>
  <si>
    <t>0999071616</t>
  </si>
  <si>
    <t>0102003167</t>
  </si>
  <si>
    <t>julycastrokpesantez@outlook.com</t>
  </si>
  <si>
    <t>HOME HOGAR</t>
  </si>
  <si>
    <t>006-000157790</t>
  </si>
  <si>
    <t>112570041</t>
  </si>
  <si>
    <t>ZP24AV00372</t>
  </si>
  <si>
    <t>JUSTO VASQUEZ</t>
  </si>
  <si>
    <t>0995597623</t>
  </si>
  <si>
    <t>0103667382</t>
  </si>
  <si>
    <t>justovazquez49@hotmail.com</t>
  </si>
  <si>
    <t>043-985-000066908</t>
  </si>
  <si>
    <t>ZP24CL00381</t>
  </si>
  <si>
    <t>DANIEL VILLA</t>
  </si>
  <si>
    <t>0994911644</t>
  </si>
  <si>
    <t>0105165419</t>
  </si>
  <si>
    <t>infodvark@gmail.com</t>
  </si>
  <si>
    <t>007-006-000136872</t>
  </si>
  <si>
    <t>112570068</t>
  </si>
  <si>
    <t>ZP24C500231</t>
  </si>
  <si>
    <t>PATRICIA CASTRO</t>
  </si>
  <si>
    <t>0995241249</t>
  </si>
  <si>
    <t>0102314176</t>
  </si>
  <si>
    <t>quintapomele@hotmail.com</t>
  </si>
  <si>
    <t>017-003-000054224</t>
  </si>
  <si>
    <t>112520025</t>
  </si>
  <si>
    <t>ZP24A00619</t>
  </si>
  <si>
    <t>RENE RAMIREZ</t>
  </si>
  <si>
    <t>LAS ALMENDRAS</t>
  </si>
  <si>
    <t>0995141013</t>
  </si>
  <si>
    <t>0101950863</t>
  </si>
  <si>
    <t>marc75@live.com</t>
  </si>
  <si>
    <t>001-500-000072224</t>
  </si>
  <si>
    <t>ZP251T00333</t>
  </si>
  <si>
    <t>ERICKA BRITO</t>
  </si>
  <si>
    <t>CONDOMINIO OLIMPO</t>
  </si>
  <si>
    <t>0995420820</t>
  </si>
  <si>
    <t>0103956108</t>
  </si>
  <si>
    <t>eritutana89@outlook.com</t>
  </si>
  <si>
    <t>001-001-000000680</t>
  </si>
  <si>
    <t>112570128</t>
  </si>
  <si>
    <t>ZP24C500194</t>
  </si>
  <si>
    <t>COLINAS DE CHALLUABAMBA</t>
  </si>
  <si>
    <t>0996110451</t>
  </si>
  <si>
    <t>0102753340</t>
  </si>
  <si>
    <t>gracevelastegui@yahoo.com</t>
  </si>
  <si>
    <t>016-902-000504808</t>
  </si>
  <si>
    <t>TP246L08097</t>
  </si>
  <si>
    <t>JUAN ORELLANA</t>
  </si>
  <si>
    <t xml:space="preserve">ANTONIO VALLEJO </t>
  </si>
  <si>
    <t>0987126047</t>
  </si>
  <si>
    <t>0106634454</t>
  </si>
  <si>
    <t>mateoparra.elcrack@gmail.com</t>
  </si>
  <si>
    <t>001-500-000072270</t>
  </si>
  <si>
    <t>HORNO HBB 510  BK</t>
  </si>
  <si>
    <t>TZ24CA08158</t>
  </si>
  <si>
    <t>SOFIA ANDINO</t>
  </si>
  <si>
    <t>MIGUEL DE SANTIAGO</t>
  </si>
  <si>
    <t>0983366695</t>
  </si>
  <si>
    <t>1803763737</t>
  </si>
  <si>
    <t>juliosantiago666@hotmail.com</t>
  </si>
  <si>
    <t>043-908-000061462</t>
  </si>
  <si>
    <t>112500047</t>
  </si>
  <si>
    <t>COCINA 99700 MTS</t>
  </si>
  <si>
    <t>ZP243C00526</t>
  </si>
  <si>
    <t>ROSARIO VIMOS</t>
  </si>
  <si>
    <t>AV. AMERICAS</t>
  </si>
  <si>
    <t>0984583682</t>
  </si>
  <si>
    <t>1090361799001</t>
  </si>
  <si>
    <t>andresseq@gmail.com</t>
  </si>
  <si>
    <t>007-007-000032994</t>
  </si>
  <si>
    <t>TP24A000186</t>
  </si>
  <si>
    <t>CONSTRUCTORA OCQ</t>
  </si>
  <si>
    <t>01905096988</t>
  </si>
  <si>
    <t>orellanacostructores@hotmail.com</t>
  </si>
  <si>
    <t>002-201-000000815</t>
  </si>
  <si>
    <t>ZP24CL00249</t>
  </si>
  <si>
    <t>HUGO CORDOVA</t>
  </si>
  <si>
    <t>TULIPAN 1</t>
  </si>
  <si>
    <t>jakelinnecordova@hotmail.com</t>
  </si>
  <si>
    <t>TZ246A06452</t>
  </si>
  <si>
    <t>002-201-000000811</t>
  </si>
  <si>
    <t>MW243TO198</t>
  </si>
  <si>
    <t>043-902-000045473</t>
  </si>
  <si>
    <t>ZP246000136</t>
  </si>
  <si>
    <t>ALDEAS SOS</t>
  </si>
  <si>
    <t>AV. GRAL. ESCANDON</t>
  </si>
  <si>
    <t>nixandra.alvarez@aldeasinfantiles.org.ec</t>
  </si>
  <si>
    <t>043-901-000020928</t>
  </si>
  <si>
    <t>TP246B02205</t>
  </si>
  <si>
    <t>016-902-000506534</t>
  </si>
  <si>
    <t>TP24AR07785</t>
  </si>
  <si>
    <t>MARIA SARMIENTO</t>
  </si>
  <si>
    <t>merysarmiento274@gmail.com</t>
  </si>
  <si>
    <t>ZP251U00110</t>
  </si>
  <si>
    <t>001-500-000071095</t>
  </si>
  <si>
    <t>ZP24C300358</t>
  </si>
  <si>
    <t>GABRIELA TORRES</t>
  </si>
  <si>
    <t>gabytorres29@hotmail.com</t>
  </si>
  <si>
    <t>001-500-000071025</t>
  </si>
  <si>
    <t xml:space="preserve">MICROONDAS ML 8220 BIS </t>
  </si>
  <si>
    <t>TP245E04512</t>
  </si>
  <si>
    <t>TZ247202354</t>
  </si>
  <si>
    <t>040-103-000011651</t>
  </si>
  <si>
    <t>ZP24C300417</t>
  </si>
  <si>
    <t>CARMEN TORAL</t>
  </si>
  <si>
    <t>VISTA LINDA</t>
  </si>
  <si>
    <t>786 4681041</t>
  </si>
  <si>
    <t>cat80@outlook.com</t>
  </si>
  <si>
    <t>240428AF0739</t>
  </si>
  <si>
    <t>043-907-000023213</t>
  </si>
  <si>
    <t>TZ24CA07289</t>
  </si>
  <si>
    <t>OSCAR CHAMBA</t>
  </si>
  <si>
    <t>oscarchamba@hotmail.com</t>
  </si>
  <si>
    <t>TP25KU02532</t>
  </si>
  <si>
    <t>040-103-000012056</t>
  </si>
  <si>
    <t>CAMPANA GHF 73</t>
  </si>
  <si>
    <t>TP243F07050</t>
  </si>
  <si>
    <t>PRISCILA MENDEZ</t>
  </si>
  <si>
    <t>VICTOR ALBORNOZ</t>
  </si>
  <si>
    <t>prismendez2@gmail.com</t>
  </si>
  <si>
    <t>MD249L06034</t>
  </si>
  <si>
    <t>ZP24AQ00054</t>
  </si>
  <si>
    <t>043-905-000067084</t>
  </si>
  <si>
    <t>TZ24C05074</t>
  </si>
  <si>
    <t>VERONICA CONTRERAS</t>
  </si>
  <si>
    <t>BAGUANCHI</t>
  </si>
  <si>
    <t>carmen344@msn.com</t>
  </si>
  <si>
    <t>MD24BL0000376</t>
  </si>
  <si>
    <t>28/12/20245</t>
  </si>
  <si>
    <t>001-500-000069655</t>
  </si>
  <si>
    <t>CP247G00725</t>
  </si>
  <si>
    <t>MIRIAM ZAVALA</t>
  </si>
  <si>
    <t>EL VERGEL</t>
  </si>
  <si>
    <t>mzcpublicidad@hotmail.com</t>
  </si>
  <si>
    <t>EK245900043</t>
  </si>
  <si>
    <t>001-001-000000719</t>
  </si>
  <si>
    <t>ZP24CH00821</t>
  </si>
  <si>
    <t>HENRY POLO</t>
  </si>
  <si>
    <t>henrypolotapia@hotmail.com</t>
  </si>
  <si>
    <t>001-001-000000787</t>
  </si>
  <si>
    <t>CAMPANA DHT 97670 ROS WH</t>
  </si>
  <si>
    <t>EV247H00001</t>
  </si>
  <si>
    <t>TZ249PI6635</t>
  </si>
  <si>
    <t>016-907-00001439</t>
  </si>
  <si>
    <t>ZP24C600135</t>
  </si>
  <si>
    <t>EUGENIA GUILLERMO</t>
  </si>
  <si>
    <t>eugeniabeatriz1780@gmail.com</t>
  </si>
  <si>
    <t>TZ24C405056</t>
  </si>
  <si>
    <t>040-104-000008237</t>
  </si>
  <si>
    <t>TZ248036041</t>
  </si>
  <si>
    <t>MASOLUC S.A</t>
  </si>
  <si>
    <t>FEDERICO MALO 190</t>
  </si>
  <si>
    <t>hherreras80@hotmail.com</t>
  </si>
  <si>
    <t>TP249CO4268</t>
  </si>
  <si>
    <t>ALMACEN ESPAÑA</t>
  </si>
  <si>
    <t>008-501-000007001</t>
  </si>
  <si>
    <t>HORNO HLB 830 SS</t>
  </si>
  <si>
    <t>TZ23IL15294</t>
  </si>
  <si>
    <t>PAUL COBOS</t>
  </si>
  <si>
    <t>paulcobos@gmail.com</t>
  </si>
  <si>
    <t>MICROONDA MW G 14X</t>
  </si>
  <si>
    <t>MM231000377</t>
  </si>
  <si>
    <t>040-103-000001740</t>
  </si>
  <si>
    <t>COCINA IBC 64000 TTC BK</t>
  </si>
  <si>
    <t>ZP234700068</t>
  </si>
  <si>
    <t>JAIME NARVAEZ</t>
  </si>
  <si>
    <t>HUMBERTO CORDERO Y 10 AGOSTO</t>
  </si>
  <si>
    <t>isamrezl@gmail.com</t>
  </si>
  <si>
    <t>040-105-000001080</t>
  </si>
  <si>
    <t>TP234D04157</t>
  </si>
  <si>
    <t>040-103-000001867</t>
  </si>
  <si>
    <t>ZP249T00045</t>
  </si>
  <si>
    <t>REFRIGERADOR RFD 77820 GBK</t>
  </si>
  <si>
    <t>MC234000149</t>
  </si>
  <si>
    <t>premio sorteo</t>
  </si>
  <si>
    <t>TZ243K19031</t>
  </si>
  <si>
    <t>REFRIGERADOR RMF 77960 GBK</t>
  </si>
  <si>
    <t>4M1992001</t>
  </si>
  <si>
    <t>VINERA RVU 20046 GBK</t>
  </si>
  <si>
    <t>NS244P00013</t>
  </si>
  <si>
    <t>PX249R00075</t>
  </si>
  <si>
    <t>ZP243X00404</t>
  </si>
  <si>
    <t>001-500-000072253</t>
  </si>
  <si>
    <t>MD24BL000280</t>
  </si>
  <si>
    <t>FREDDY ANALUISA</t>
  </si>
  <si>
    <t>NORMA PULLIDO</t>
  </si>
  <si>
    <t>freddyanaluc11@gmail.com</t>
  </si>
  <si>
    <t>VINERA RVU 100008 GBK</t>
  </si>
  <si>
    <t>YH241LO0301</t>
  </si>
  <si>
    <t>001-501-000068309</t>
  </si>
  <si>
    <t>TZ247202372</t>
  </si>
  <si>
    <t>001-500-000054696</t>
  </si>
  <si>
    <t>ZP232N00209</t>
  </si>
  <si>
    <t>MIRIAM QUITO</t>
  </si>
  <si>
    <t>gabrielaq@1988@gmail.com</t>
  </si>
  <si>
    <t>TP234104503</t>
  </si>
  <si>
    <t>TP246JO4528</t>
  </si>
  <si>
    <t>ZP25IM00130</t>
  </si>
  <si>
    <t>ALMACEN BOYACA</t>
  </si>
  <si>
    <t>007-006-000129478</t>
  </si>
  <si>
    <t>TZ243N23332</t>
  </si>
  <si>
    <t>GUSTAVO QUITO</t>
  </si>
  <si>
    <t>gustavoqr2810@gmail.com</t>
  </si>
  <si>
    <t>016-902-000472415</t>
  </si>
  <si>
    <t>ZP244900311</t>
  </si>
  <si>
    <t>001-500-000065258</t>
  </si>
  <si>
    <t>TP243605662</t>
  </si>
  <si>
    <t>002-201-00005695</t>
  </si>
  <si>
    <t>TP24A902103</t>
  </si>
  <si>
    <t>DIEGO ESPANA</t>
  </si>
  <si>
    <t>DEL GULLAN</t>
  </si>
  <si>
    <t>diego.espa@outlook.es</t>
  </si>
  <si>
    <t>002-201-00004058</t>
  </si>
  <si>
    <t>ZP242N00532</t>
  </si>
  <si>
    <t>001-502-000000127</t>
  </si>
  <si>
    <t>ZP24CH00754</t>
  </si>
  <si>
    <t>FERNANDO MARIN</t>
  </si>
  <si>
    <t>PRADO ALTO 2</t>
  </si>
  <si>
    <t>fernandomarin33@outlook.com</t>
  </si>
  <si>
    <t>TZ24BF12874</t>
  </si>
  <si>
    <t>TP245E04619</t>
  </si>
  <si>
    <t>001-502-000000258</t>
  </si>
  <si>
    <t>TP2449H02929</t>
  </si>
  <si>
    <t>MARIA PALACIOS</t>
  </si>
  <si>
    <t>genaroorellana@hotmail.com</t>
  </si>
  <si>
    <t>ZP251T00192</t>
  </si>
  <si>
    <t xml:space="preserve">COMO HOGAR </t>
  </si>
  <si>
    <t>040-104-000011315</t>
  </si>
  <si>
    <t>REFRIGERADOR 74920 SS</t>
  </si>
  <si>
    <t>MC234J00026</t>
  </si>
  <si>
    <t>TATINA ANDRADE</t>
  </si>
  <si>
    <t>CONDOMINIO 4 RIOS</t>
  </si>
  <si>
    <t>tantandrade@gmail.com</t>
  </si>
  <si>
    <t>001-500-000072612</t>
  </si>
  <si>
    <t>TP247H06420</t>
  </si>
  <si>
    <t>ZP23B800546</t>
  </si>
  <si>
    <t>MONICA ALVARADO</t>
  </si>
  <si>
    <t xml:space="preserve">SE REVISA Y SE ASEGURA LA CONEXION DEL TERMOPAR </t>
  </si>
  <si>
    <t>malvarado22@hotmail.com</t>
  </si>
  <si>
    <t>006-002-000155409</t>
  </si>
  <si>
    <t>PLACA DE POTENCIA P100 DERECHA</t>
  </si>
  <si>
    <t>COCINA IZF 64440 MSP</t>
  </si>
  <si>
    <t>ZP22B600020</t>
  </si>
  <si>
    <t>LORENA ANDRADE</t>
  </si>
  <si>
    <t>LA COCINA NO ENCIENDE YA QUE LA PLACA DE POTENCIA DERECHA ESTA QUEMADA</t>
  </si>
  <si>
    <t>0102311636001</t>
  </si>
  <si>
    <t>lorena.andrade.b@icloud.com</t>
  </si>
  <si>
    <t>006-000152780</t>
  </si>
  <si>
    <t>CABLEADO + PCB FUENTE HLB 8550 SC</t>
  </si>
  <si>
    <t>SE CHEQUEA Y SE VERIFICA QUE EL PCB FUENTE NO FUNCIONA</t>
  </si>
  <si>
    <t>fabaus5@hotmail.com</t>
  </si>
  <si>
    <t>COCINA GBC 75 GI GBA BM</t>
  </si>
  <si>
    <t>SE ENCUENTRA DESCONECTADO UN CABLE DE CONEXION INTERNA, SE SOLUCIONA.</t>
  </si>
  <si>
    <t>0103061032</t>
  </si>
  <si>
    <t>jvasesorialegal@gmail.com</t>
  </si>
  <si>
    <t>001-500-000068957</t>
  </si>
  <si>
    <t>ZP22AE00037</t>
  </si>
  <si>
    <t>ANDRES MARQUEZ</t>
  </si>
  <si>
    <t>NO ENCIENDE QUEMADOR , SE REVISA Y SE AJUSTAN LAS CONEXIONES DE TERMOPAR.</t>
  </si>
  <si>
    <t>0101301323</t>
  </si>
  <si>
    <t>andresmarquez73@gmail.com</t>
  </si>
  <si>
    <t>001-001-000002085</t>
  </si>
  <si>
    <t>TZ242G19696</t>
  </si>
  <si>
    <t>INES ARIAS</t>
  </si>
  <si>
    <t>SE REVISA EL HORNO Y SE REUBICA EL TERMOPAR</t>
  </si>
  <si>
    <t>0102416666</t>
  </si>
  <si>
    <t>iariasvelez@hotmail.com</t>
  </si>
  <si>
    <t xml:space="preserve">99119764, 99119774 </t>
  </si>
  <si>
    <t>PROTECTOR SOBRECARGA TR. 710 INTERRUPTOR  NEUMATICO TR 510.1</t>
  </si>
  <si>
    <t>TRITURADOR TR 510.1</t>
  </si>
  <si>
    <t>23115AF0710</t>
  </si>
  <si>
    <t>LORENA INIGUEZ</t>
  </si>
  <si>
    <t>SE DTECTA QUE EL INTERRUPTOR NEUMATICO DE TRABADO Y NO SE PUEDE REINICIAR EL PROTECTOR</t>
  </si>
  <si>
    <t>010575757629</t>
  </si>
  <si>
    <t>lorena@sensorvital.com</t>
  </si>
  <si>
    <t>010-103-00003154</t>
  </si>
  <si>
    <t>CORONA QUEMADOR SEMIRAF EFX</t>
  </si>
  <si>
    <t>ZP241X00195</t>
  </si>
  <si>
    <t>VICTOR POMA</t>
  </si>
  <si>
    <t>SE DEBE CAMBIAR EL QUEMADOR</t>
  </si>
  <si>
    <t>0101227387</t>
  </si>
  <si>
    <t>victorpoma203@gmail.com</t>
  </si>
  <si>
    <t>043-904-000021540</t>
  </si>
  <si>
    <t>40446712 89220265</t>
  </si>
  <si>
    <t>CONMUTADOR GFH 55 VR02, LAMPARA LED 15W GFH SS00031</t>
  </si>
  <si>
    <t>TP233W08575</t>
  </si>
  <si>
    <t>BRADLEY LAYE</t>
  </si>
  <si>
    <t>HACE CONTACTO CABLES CON CARCAZA METALICA Y PROVOCAN CORTOCIRCUITO, SE CAMBIA CONMUTADOR Y FOCO LED</t>
  </si>
  <si>
    <t>0190339149</t>
  </si>
  <si>
    <t>bradleylaye@gmail.com</t>
  </si>
  <si>
    <t>043-903-000004391</t>
  </si>
  <si>
    <t>RELOJ TC HLB 840(MMX)</t>
  </si>
  <si>
    <t>TZ243134584</t>
  </si>
  <si>
    <t>PAOLA CORDOVA</t>
  </si>
  <si>
    <t>SE CHEQUEA Y SE VERIFICA QUE NO FINCIONA EL DISPLAY</t>
  </si>
  <si>
    <t>1101086401</t>
  </si>
  <si>
    <t>paoeliza@hotmail.com</t>
  </si>
  <si>
    <t>0987595719</t>
  </si>
  <si>
    <t>001-501-000055097</t>
  </si>
  <si>
    <t>FREGADERO TEKAWAY UNIVERSE</t>
  </si>
  <si>
    <t>MAGALY MARURY</t>
  </si>
  <si>
    <t>SE EN IA A GUAYAQUIL PARA AJUSTES</t>
  </si>
  <si>
    <t>0103743027</t>
  </si>
  <si>
    <t>emagamaru@outlook.com</t>
  </si>
  <si>
    <t>0995974236</t>
  </si>
  <si>
    <t>001500-2159059</t>
  </si>
  <si>
    <t>Barbacoa a Gas T-BBQ 3100 GBK  SS</t>
  </si>
  <si>
    <t>CO249E00565</t>
  </si>
  <si>
    <t>contabilidad@comercialsolis.com.ec</t>
  </si>
  <si>
    <t>CO249E00620</t>
  </si>
  <si>
    <t>CO249E00779</t>
  </si>
  <si>
    <t>CO249E00205</t>
  </si>
  <si>
    <t>CO249E00315</t>
  </si>
  <si>
    <t>CO249E00797</t>
  </si>
  <si>
    <t>MEGA KYWI</t>
  </si>
  <si>
    <t>AV. 24 DE MAYO</t>
  </si>
  <si>
    <t>CO249E00366</t>
  </si>
  <si>
    <t>043-902-000049414</t>
  </si>
  <si>
    <t>CO249E00757</t>
  </si>
  <si>
    <t>CRISTIAN CHACHA</t>
  </si>
  <si>
    <t>cjchp181086@hotmail.com</t>
  </si>
  <si>
    <t>001-500-000073257</t>
  </si>
  <si>
    <t>CO249E00892</t>
  </si>
  <si>
    <t>BATZABET JUELA</t>
  </si>
  <si>
    <t>TENA Y PUYO</t>
  </si>
  <si>
    <t>lourdesespinoza6@hotmail.com</t>
  </si>
  <si>
    <t>001-500-000073666</t>
  </si>
  <si>
    <t>CO249E00573</t>
  </si>
  <si>
    <t>CECILIA CUESTA</t>
  </si>
  <si>
    <t xml:space="preserve">PUERTO DE PALOS </t>
  </si>
  <si>
    <t>cecicuesta10-1985@hotmail.com</t>
  </si>
  <si>
    <t>043-906-000049003</t>
  </si>
  <si>
    <t>TP24AR09409</t>
  </si>
  <si>
    <t>SILVANA CALLE</t>
  </si>
  <si>
    <t>CONDOMINIO EL ORO</t>
  </si>
  <si>
    <t>scalle68@hotmail.com</t>
  </si>
  <si>
    <t>043-905-000068934</t>
  </si>
  <si>
    <t>40197255</t>
  </si>
  <si>
    <t>240115AF1250</t>
  </si>
  <si>
    <t>VICTOR VINTIMILLA</t>
  </si>
  <si>
    <t>EDIFICIO ASTURIAS</t>
  </si>
  <si>
    <t>vicving1964@gmail.com</t>
  </si>
  <si>
    <t>043-903-000067081</t>
  </si>
  <si>
    <t>TP246LO7959</t>
  </si>
  <si>
    <t>FERNANDO MOSCOSO</t>
  </si>
  <si>
    <t>fer.mosesp@28@gmail.com</t>
  </si>
  <si>
    <t>001-500-000072461</t>
  </si>
  <si>
    <t>TP248N05859</t>
  </si>
  <si>
    <t>MICHELLE BARROS</t>
  </si>
  <si>
    <t>CONDOMINIO BEMANI</t>
  </si>
  <si>
    <t>ckymi@live.com</t>
  </si>
  <si>
    <t>2104/25</t>
  </si>
  <si>
    <t>COM LUNA PAZMINO</t>
  </si>
  <si>
    <t>002-201-000007579</t>
  </si>
  <si>
    <t>TP232NO4071</t>
  </si>
  <si>
    <t>MARIA VINTIMILLA</t>
  </si>
  <si>
    <t>augusta.vintimillac@gmail.com</t>
  </si>
  <si>
    <t>001-500-000067912</t>
  </si>
  <si>
    <t>ZP249T00102</t>
  </si>
  <si>
    <t>KARLA ELIZALDE</t>
  </si>
  <si>
    <t>eavinti@gmail.com</t>
  </si>
  <si>
    <t>043-902-000046015</t>
  </si>
  <si>
    <t>ZP24CL00236</t>
  </si>
  <si>
    <t>JUAN MERCHAN</t>
  </si>
  <si>
    <t>EL BATAN</t>
  </si>
  <si>
    <t>maggibaneracam@gmail.com</t>
  </si>
  <si>
    <t>017-003-000054229</t>
  </si>
  <si>
    <t>ZP24AG00619</t>
  </si>
  <si>
    <t>LOS ALMENDROS</t>
  </si>
  <si>
    <t>001-500-000009213</t>
  </si>
  <si>
    <t>112570124</t>
  </si>
  <si>
    <t>COCINA JZC 64322 ABB</t>
  </si>
  <si>
    <t>ZP242101167</t>
  </si>
  <si>
    <t>AMANDA TENONIO</t>
  </si>
  <si>
    <t>amandatenorioromero@hotmail.com</t>
  </si>
  <si>
    <t>043-905-000068842</t>
  </si>
  <si>
    <t>TP24AR07802</t>
  </si>
  <si>
    <t>JAKELINE JERVES</t>
  </si>
  <si>
    <t>LOS FRESNOS</t>
  </si>
  <si>
    <t>faustogutierrezc@gmail.com</t>
  </si>
  <si>
    <t>043-906-000041809</t>
  </si>
  <si>
    <t>ZP251U00105</t>
  </si>
  <si>
    <t>YADIRA PIEDRA</t>
  </si>
  <si>
    <t>RIO SOL</t>
  </si>
  <si>
    <t>yadira.piedra@ucuenca.edu.ec</t>
  </si>
  <si>
    <t>016-902-000506147</t>
  </si>
  <si>
    <t>CAMPANA C 9310</t>
  </si>
  <si>
    <t>TP249B03564</t>
  </si>
  <si>
    <t>ANGEL ZAMBRANO</t>
  </si>
  <si>
    <t>fbravo323@gmail.com</t>
  </si>
  <si>
    <t>016-907-000247915</t>
  </si>
  <si>
    <t>TP246R01783</t>
  </si>
  <si>
    <t>JORGE VICTOR</t>
  </si>
  <si>
    <t>CDLA MEDICOS</t>
  </si>
  <si>
    <t>gorgeleon2016@gmail.com</t>
  </si>
  <si>
    <t>VTORIA HOGAR</t>
  </si>
  <si>
    <t>001-001-000001286</t>
  </si>
  <si>
    <t>CAMPANA C 7310</t>
  </si>
  <si>
    <t>TP24A801290</t>
  </si>
  <si>
    <t>MARIA CORDERO</t>
  </si>
  <si>
    <t>AV. PASEO 3 NOVIEMBRE</t>
  </si>
  <si>
    <t>043-905-000070672</t>
  </si>
  <si>
    <t>TP246M11602</t>
  </si>
  <si>
    <t>MARCO CHACON</t>
  </si>
  <si>
    <t>URB. LOS CAPULIES</t>
  </si>
  <si>
    <t>marcoch.18@hotmail.com</t>
  </si>
  <si>
    <t>001-500-000066218</t>
  </si>
  <si>
    <t>ZP245H00608</t>
  </si>
  <si>
    <t>DANIEL ESPINOZA</t>
  </si>
  <si>
    <t>AV. DEL TEJAR</t>
  </si>
  <si>
    <t>karinasaavedra2095@gmail.com</t>
  </si>
  <si>
    <t>040-103-000012968</t>
  </si>
  <si>
    <t>TZ24CA07353</t>
  </si>
  <si>
    <t>SAMARIA LOPEZ</t>
  </si>
  <si>
    <t>PASEO RIO YANUNCAY</t>
  </si>
  <si>
    <t>gabrielariossomas@gmail.com</t>
  </si>
  <si>
    <t>001-500-000072452</t>
  </si>
  <si>
    <t>ZP243U00568</t>
  </si>
  <si>
    <t>PAOLA LOPEZ</t>
  </si>
  <si>
    <t>BELLO HORIZONTE</t>
  </si>
  <si>
    <t>ivanmauricioz@hotmail.com</t>
  </si>
  <si>
    <t>001-500-000072449</t>
  </si>
  <si>
    <t>ZP251000186</t>
  </si>
  <si>
    <t>ENRIQUE SALAMEA</t>
  </si>
  <si>
    <t>JUNTA MARIA DE BALZAY</t>
  </si>
  <si>
    <t>piosalamea642gmail.com</t>
  </si>
  <si>
    <t>016-907-000251351</t>
  </si>
  <si>
    <t>40469320</t>
  </si>
  <si>
    <t>TP243M06286</t>
  </si>
  <si>
    <t>LINA NARANJO</t>
  </si>
  <si>
    <t>URB. SAN ANDRES</t>
  </si>
  <si>
    <t>rocinaranjo197116@gmail.com</t>
  </si>
  <si>
    <t>016-907-000249571</t>
  </si>
  <si>
    <t>TP24AR07792</t>
  </si>
  <si>
    <t>ANA SARMIENTO</t>
  </si>
  <si>
    <t>PRIMERO DE ENERO</t>
  </si>
  <si>
    <t>carasarmi4567@gmail.com</t>
  </si>
  <si>
    <t>043-903-000070453</t>
  </si>
  <si>
    <t>TP24AB01226</t>
  </si>
  <si>
    <t>OLGA CAMPOVERDE</t>
  </si>
  <si>
    <t>BAÑOS SAN GABRIEL</t>
  </si>
  <si>
    <t>mataellebelen@gmail.com</t>
  </si>
  <si>
    <t>043-902-000048777</t>
  </si>
  <si>
    <t>112930041</t>
  </si>
  <si>
    <t>CAMPANA DLV 98660 TPL</t>
  </si>
  <si>
    <t>TP24A700010</t>
  </si>
  <si>
    <t>JORGE HARO</t>
  </si>
  <si>
    <t>CANTON TAISHA</t>
  </si>
  <si>
    <t>crisharoq@hotmail.com</t>
  </si>
  <si>
    <t>002-201-00004480</t>
  </si>
  <si>
    <t>ZP23A600894</t>
  </si>
  <si>
    <t>CRISTIAN ÑAUTA</t>
  </si>
  <si>
    <t>CAPULISPAMBA</t>
  </si>
  <si>
    <t>cnauta@etapa.net.ec</t>
  </si>
  <si>
    <t>001-500-000078171</t>
  </si>
  <si>
    <t>TP246L0B063</t>
  </si>
  <si>
    <t>FRANKLIN SIBRI</t>
  </si>
  <si>
    <t>BUENAVENTURA</t>
  </si>
  <si>
    <t>frankixd1991@gmail.com</t>
  </si>
  <si>
    <t>001-500-000065232</t>
  </si>
  <si>
    <t xml:space="preserve">CAMPANA DVN 64030 TCL </t>
  </si>
  <si>
    <t>EK241B00049</t>
  </si>
  <si>
    <t>SEBASTIAN MURILLO</t>
  </si>
  <si>
    <t>jaime28@gmail.com</t>
  </si>
  <si>
    <t>016-901-000220257</t>
  </si>
  <si>
    <t>ZP243000584</t>
  </si>
  <si>
    <t>OSWALDO PAUZHI</t>
  </si>
  <si>
    <t>osuf_09@hotmail.com</t>
  </si>
  <si>
    <t>016-902-000508580</t>
  </si>
  <si>
    <t>EK249200006</t>
  </si>
  <si>
    <t>CLAUDIA COSTA</t>
  </si>
  <si>
    <t>ROSAS DE MISICATA</t>
  </si>
  <si>
    <t>gelorgj@gmail.com</t>
  </si>
  <si>
    <t>001-500-000073032</t>
  </si>
  <si>
    <t>CAMPANA  DVN 71030</t>
  </si>
  <si>
    <t>EK24AU00038</t>
  </si>
  <si>
    <t>JUAN ARIZAGA</t>
  </si>
  <si>
    <t>PADRE AGUIRRE</t>
  </si>
  <si>
    <t>0102320256001</t>
  </si>
  <si>
    <t>arizjc@yahoo.com</t>
  </si>
  <si>
    <t>001-001-000000319</t>
  </si>
  <si>
    <t>REFRIGERADOR RMF 77960 DSS</t>
  </si>
  <si>
    <t>TKA2C4A397400152403170043</t>
  </si>
  <si>
    <t>001-500-000073529</t>
  </si>
  <si>
    <t>TKAZC4H20470015241111</t>
  </si>
  <si>
    <t>ROSA REYES</t>
  </si>
  <si>
    <t>DIEGO DE DASA</t>
  </si>
  <si>
    <t>alicia.rosi@yahoo.es</t>
  </si>
  <si>
    <t>001-500-000072114</t>
  </si>
  <si>
    <t>TP24AR07894</t>
  </si>
  <si>
    <t>001-500-000072143</t>
  </si>
  <si>
    <t>COCINA EW90 5G AI AL</t>
  </si>
  <si>
    <t>ZP216P00003</t>
  </si>
  <si>
    <t>MICROONDA MLF 822 BIS L</t>
  </si>
  <si>
    <t>TP231P0000594</t>
  </si>
  <si>
    <t>TP249P16621</t>
  </si>
  <si>
    <t>044-014-000007311</t>
  </si>
  <si>
    <t>TZ241304017</t>
  </si>
  <si>
    <t>DIEGO MEZA</t>
  </si>
  <si>
    <t>dmauri2006@hotmail.com</t>
  </si>
  <si>
    <t>ZP242500265</t>
  </si>
  <si>
    <t>001-500-000073495</t>
  </si>
  <si>
    <t>ZP251T00237</t>
  </si>
  <si>
    <t>JORGE ERRAEZ</t>
  </si>
  <si>
    <t>AV 1 DE MAYO</t>
  </si>
  <si>
    <t>foper.sas@gmail.com</t>
  </si>
  <si>
    <t>TP24BV05915</t>
  </si>
  <si>
    <t>016-907-000244497</t>
  </si>
  <si>
    <t>MICRONDAS ML 820 BIS</t>
  </si>
  <si>
    <t>TP251T02204</t>
  </si>
  <si>
    <t>ALEXIS GUACHICHULLCA</t>
  </si>
  <si>
    <t>UNCOVIA</t>
  </si>
  <si>
    <t>jennyg@gmail.com</t>
  </si>
  <si>
    <t>TZ24CA07330</t>
  </si>
  <si>
    <t>006-002-000157953</t>
  </si>
  <si>
    <t>ZP243N00400</t>
  </si>
  <si>
    <t>ADRIAN HERAS</t>
  </si>
  <si>
    <t>EDIFICIO NAVARRO</t>
  </si>
  <si>
    <t>adrianheras@iclod.com</t>
  </si>
  <si>
    <t>TZ249P16692</t>
  </si>
  <si>
    <t>EY247H00054</t>
  </si>
  <si>
    <t>006-002-000157117</t>
  </si>
  <si>
    <t>ZP245600487</t>
  </si>
  <si>
    <t>VINICIO PEREZ</t>
  </si>
  <si>
    <t>VIA BAGUANCHI</t>
  </si>
  <si>
    <t>viniciopl@hotmail.com</t>
  </si>
  <si>
    <t>HORNO HLB 85 G1 P</t>
  </si>
  <si>
    <t>TZ246502077</t>
  </si>
  <si>
    <t>MICROONDA ML 82 G1 BIS L</t>
  </si>
  <si>
    <t>TP242E02641</t>
  </si>
  <si>
    <t>240428AF0850</t>
  </si>
  <si>
    <t>040-107-000001532</t>
  </si>
  <si>
    <t>TZ249P16715</t>
  </si>
  <si>
    <t>XIMENA RUILOVA</t>
  </si>
  <si>
    <t>COND. SAN FRANCISCO</t>
  </si>
  <si>
    <t>xicirubla84@hotmail.com</t>
  </si>
  <si>
    <t>TP249C04263</t>
  </si>
  <si>
    <t>ZP24050980085</t>
  </si>
  <si>
    <t>001-500-00007219</t>
  </si>
  <si>
    <t>TP246B02210</t>
  </si>
  <si>
    <t>BLANCA SARMIENTO</t>
  </si>
  <si>
    <t>HUAJIBAMBA</t>
  </si>
  <si>
    <t>damisar.rojas.12@gmail.com</t>
  </si>
  <si>
    <t>ZP251T00208</t>
  </si>
  <si>
    <t>TZ24CAB8129</t>
  </si>
  <si>
    <t>043-902-000050777</t>
  </si>
  <si>
    <t>COCINA GBC 9503 KBB</t>
  </si>
  <si>
    <t>ZP24CL00299</t>
  </si>
  <si>
    <t>FERNANDO ZAMORA</t>
  </si>
  <si>
    <t>ferzam@gmail.com</t>
  </si>
  <si>
    <t>MC24B100082</t>
  </si>
  <si>
    <t>001-500-000071688</t>
  </si>
  <si>
    <t>ZP247K00206</t>
  </si>
  <si>
    <t>MABEL ORMAZA</t>
  </si>
  <si>
    <t>COND. SANTA CLARA</t>
  </si>
  <si>
    <t>carolina3124@yahoo.com</t>
  </si>
  <si>
    <t>TZ244524947</t>
  </si>
  <si>
    <t>TP248N05885</t>
  </si>
  <si>
    <t>ZP24AP00573</t>
  </si>
  <si>
    <t>LENNIN ZUÑIGA</t>
  </si>
  <si>
    <t>EDIF. SAN FRANCISCO</t>
  </si>
  <si>
    <t>ximenazuñiga@hotmail.com</t>
  </si>
  <si>
    <t>TP249505044</t>
  </si>
  <si>
    <t>006-000157115</t>
  </si>
  <si>
    <t>MICROONDA ML B2 GI BIS L</t>
  </si>
  <si>
    <t>TP24AF00343</t>
  </si>
  <si>
    <t>PAOLA SERRANO</t>
  </si>
  <si>
    <t>pserranointeriorismo@gmail.com</t>
  </si>
  <si>
    <t>HORNO 85 G1 PBM</t>
  </si>
  <si>
    <t>TZ24CC10522</t>
  </si>
  <si>
    <t>ZP24C401050</t>
  </si>
  <si>
    <t>001-500-000000180</t>
  </si>
  <si>
    <t>PX243500018</t>
  </si>
  <si>
    <t>CYNTHIA LLORET</t>
  </si>
  <si>
    <t>cdayalloret@hotmail.com</t>
  </si>
  <si>
    <t>001-500-000070886</t>
  </si>
  <si>
    <t>COCINA GBC 75030 KB</t>
  </si>
  <si>
    <t>ZP249T00120</t>
  </si>
  <si>
    <t>TP245L01725</t>
  </si>
  <si>
    <t>001-500-000072348</t>
  </si>
  <si>
    <t>ZP251V00149</t>
  </si>
  <si>
    <t>MARLON VELEZ</t>
  </si>
  <si>
    <t>AZOGUES/CHARASOL</t>
  </si>
  <si>
    <t>marlonv.velez@gmail.com</t>
  </si>
  <si>
    <t>TZ246A06324</t>
  </si>
  <si>
    <t>016-907-000251275</t>
  </si>
  <si>
    <t>ZP251400545</t>
  </si>
  <si>
    <t>SOFIA PACHECO</t>
  </si>
  <si>
    <t>marcy-sarmy@hotmail.com</t>
  </si>
  <si>
    <t>TP248N05873</t>
  </si>
  <si>
    <t>043-907-000024491</t>
  </si>
  <si>
    <t>4H2047001524111</t>
  </si>
  <si>
    <t>SILVIA SARMIENTO</t>
  </si>
  <si>
    <t>RIO PALORA 2 74</t>
  </si>
  <si>
    <t>domevinnie@gmail.com</t>
  </si>
  <si>
    <t>ZP252D00226</t>
  </si>
  <si>
    <t>TZ252732477</t>
  </si>
  <si>
    <t>TP251T02201</t>
  </si>
  <si>
    <t>001-500-000070726</t>
  </si>
  <si>
    <t>MO249L06004</t>
  </si>
  <si>
    <t>ELSA ORELLANA</t>
  </si>
  <si>
    <t>EDICIO TERRAZA</t>
  </si>
  <si>
    <t>eeorellana.nac@hotmail.com</t>
  </si>
  <si>
    <t>CAMPANA DVN 74030 TCL BK</t>
  </si>
  <si>
    <t>EK245400027</t>
  </si>
  <si>
    <t>040-101-000000650</t>
  </si>
  <si>
    <t>HORNO HLF 94O SS</t>
  </si>
  <si>
    <t>TZ24A704438</t>
  </si>
  <si>
    <t>JUAN CARRION</t>
  </si>
  <si>
    <t>CHUQUIPATA/CANAR</t>
  </si>
  <si>
    <t>jncarrion@gmail.com</t>
  </si>
  <si>
    <t>043-906-000043088</t>
  </si>
  <si>
    <t>MICROONDA MLC 844 BK SS</t>
  </si>
  <si>
    <t>TZ24AM14291</t>
  </si>
  <si>
    <t>CAMPANA DLH 982 T</t>
  </si>
  <si>
    <t>TP249G00125</t>
  </si>
  <si>
    <t>043-904-000042471</t>
  </si>
  <si>
    <t xml:space="preserve">CAMPANA DVN 94030 TCL </t>
  </si>
  <si>
    <t>EK243M00034</t>
  </si>
  <si>
    <t>JORGE MENDEZ</t>
  </si>
  <si>
    <t>jorgemendez5@hotmail.com</t>
  </si>
  <si>
    <t>ZP245800134</t>
  </si>
  <si>
    <t>006-000156526</t>
  </si>
  <si>
    <t>CAFETERA CLC 8556M INOX</t>
  </si>
  <si>
    <t>AP24050980087</t>
  </si>
  <si>
    <t>ALFREDO RODAS(ARQUIGAMA)</t>
  </si>
  <si>
    <t>LOS ALAMOS</t>
  </si>
  <si>
    <t>0195126224001</t>
  </si>
  <si>
    <t>contabilidad@gamaarquitectura.com</t>
  </si>
  <si>
    <t>TP249900039</t>
  </si>
  <si>
    <t>TZ246R20373</t>
  </si>
  <si>
    <t>COCINA IZS 97630 MTS</t>
  </si>
  <si>
    <t>ZP243N00407</t>
  </si>
  <si>
    <t>VINERA RVI 30097 GBK</t>
  </si>
  <si>
    <t>NS224HF00096</t>
  </si>
  <si>
    <t>043-907-000025013</t>
  </si>
  <si>
    <t>ZP24CL00302</t>
  </si>
  <si>
    <t>PATRICIA TINOCO</t>
  </si>
  <si>
    <t>0102824091001</t>
  </si>
  <si>
    <t>patriciatinoco2013@gmail.com</t>
  </si>
  <si>
    <t>TP24DVO5953</t>
  </si>
  <si>
    <t>001-500-000071464</t>
  </si>
  <si>
    <t>LAVAVAJILLAS DW857 FIM</t>
  </si>
  <si>
    <t>MD249206001</t>
  </si>
  <si>
    <t>PAULINA ANDRADE</t>
  </si>
  <si>
    <t>VIA JADAN</t>
  </si>
  <si>
    <t>0103859278</t>
  </si>
  <si>
    <t>paulina_andrade_p@hotmail.com</t>
  </si>
  <si>
    <t>TP245E04649</t>
  </si>
  <si>
    <t>TZ247202337</t>
  </si>
  <si>
    <t>COCINA JZC 963254 ABB</t>
  </si>
  <si>
    <t>ZP24C300353</t>
  </si>
  <si>
    <t>PX23AA00053</t>
  </si>
  <si>
    <t>040-104-000008196</t>
  </si>
  <si>
    <t xml:space="preserve">REFRIGERADOR RMF 77960 </t>
  </si>
  <si>
    <t>M19920015241115</t>
  </si>
  <si>
    <t>JUAN CARLOS ABAD</t>
  </si>
  <si>
    <t>KM4  LA DOLOROSA</t>
  </si>
  <si>
    <t>0102700507001</t>
  </si>
  <si>
    <t>xjearabad@hotmail.com</t>
  </si>
  <si>
    <t>MD247100281</t>
  </si>
  <si>
    <t>TZ245M20628</t>
  </si>
  <si>
    <t>TP247904246</t>
  </si>
  <si>
    <t>ZP245H00378</t>
  </si>
  <si>
    <t>016-907-000257154</t>
  </si>
  <si>
    <t>COCINA JZC 95314 ABB</t>
  </si>
  <si>
    <t>ZP226Q00016</t>
  </si>
  <si>
    <t>MATEO UNIGARRO</t>
  </si>
  <si>
    <t>ELOY CAMPOS AV</t>
  </si>
  <si>
    <t>0150434082</t>
  </si>
  <si>
    <t>jorgeu1968@hotmail.com</t>
  </si>
  <si>
    <t>HORNO HSB 646</t>
  </si>
  <si>
    <t>TZ246R19783</t>
  </si>
  <si>
    <t>TP24R004446</t>
  </si>
  <si>
    <t>043-903-000076718</t>
  </si>
  <si>
    <t>TP252KB03543</t>
  </si>
  <si>
    <t>GISEL OCHOA</t>
  </si>
  <si>
    <t>PIXAPARXAPA</t>
  </si>
  <si>
    <t>0311111175</t>
  </si>
  <si>
    <t>xfbernalb2014@hotmail.com</t>
  </si>
  <si>
    <t>ZP24CL00324</t>
  </si>
  <si>
    <t>HORNO HLB 8130 SS</t>
  </si>
  <si>
    <t>TZ247303105</t>
  </si>
  <si>
    <t>001-500-000074113</t>
  </si>
  <si>
    <t>TZ24B527011</t>
  </si>
  <si>
    <t>0102082492</t>
  </si>
  <si>
    <t>ecorellana@hotmail.com</t>
  </si>
  <si>
    <t>TP249900059</t>
  </si>
  <si>
    <t>001-500-000073379</t>
  </si>
  <si>
    <t>COCINA GBC 95 G1 GBA BM</t>
  </si>
  <si>
    <t>ZP24BT00899</t>
  </si>
  <si>
    <t>PATRICIA GUERRERO</t>
  </si>
  <si>
    <t>TARQUINO CORDERO</t>
  </si>
  <si>
    <t>0100927581</t>
  </si>
  <si>
    <t>pochigc8572@hotmail.com</t>
  </si>
  <si>
    <t>TP24BJ00752</t>
  </si>
  <si>
    <t>HORNO HLB 8146 BK</t>
  </si>
  <si>
    <t>TZ247202308</t>
  </si>
  <si>
    <t>040-103-000012549</t>
  </si>
  <si>
    <t>MICROONDA ML 8220 BIS 2</t>
  </si>
  <si>
    <t>TP247Q01530</t>
  </si>
  <si>
    <t>CATALINA VINTIMILLA</t>
  </si>
  <si>
    <t>VIA MISICATA</t>
  </si>
  <si>
    <t>0102397189001</t>
  </si>
  <si>
    <t>jeimisramosmunori@gmail.com</t>
  </si>
  <si>
    <t>TZ249P16611</t>
  </si>
  <si>
    <t>MD24B20000327</t>
  </si>
  <si>
    <t>TKA2C4M199200152411150069</t>
  </si>
  <si>
    <t>NS244P00028</t>
  </si>
  <si>
    <t>040-104-000009784</t>
  </si>
  <si>
    <t>TKA2C4M199200152411150044</t>
  </si>
  <si>
    <t>BILLIE WASHBUM</t>
  </si>
  <si>
    <t>EDIFICIO ALBA</t>
  </si>
  <si>
    <t>0152705398</t>
  </si>
  <si>
    <t>angipa@live.com</t>
  </si>
  <si>
    <t>TP24AF00369</t>
  </si>
  <si>
    <t>TZ24B527013</t>
  </si>
  <si>
    <t>MD249L05985</t>
  </si>
  <si>
    <t>040-105-000001749</t>
  </si>
  <si>
    <t>COCINA IZF 64440 MSP BK</t>
  </si>
  <si>
    <t>ZP243000233</t>
  </si>
  <si>
    <t>MELBA ESPINOZA</t>
  </si>
  <si>
    <t>AV 1ERO DE MAYO</t>
  </si>
  <si>
    <t>0300657327</t>
  </si>
  <si>
    <t>meges093@yahoo.es</t>
  </si>
  <si>
    <t>TP245F07096</t>
  </si>
  <si>
    <t>002-201-00006693</t>
  </si>
  <si>
    <t>TZ211BR28366</t>
  </si>
  <si>
    <t>JULIO MOINA</t>
  </si>
  <si>
    <t>juliopavo7@gmail.com</t>
  </si>
  <si>
    <t>ZP24A600608</t>
  </si>
  <si>
    <t>CAMPANA ISLA DPL 1180</t>
  </si>
  <si>
    <t>PX24AX00104</t>
  </si>
  <si>
    <t>ZP24AP0058</t>
  </si>
  <si>
    <t>ZP240H00821</t>
  </si>
  <si>
    <t>NILA TAPIA</t>
  </si>
  <si>
    <t>MANDOS NO PERMITEN PROGRAMACION, SE AJUSTA LA TARJETA TOUCH</t>
  </si>
  <si>
    <t>0995380134</t>
  </si>
  <si>
    <t>CONJUNTO MOD IND 4I TEKA GO SENSORLESS</t>
  </si>
  <si>
    <t>COCINA IZC 64010 MTS BK</t>
  </si>
  <si>
    <t>ZP245900297</t>
  </si>
  <si>
    <t>PAOLA PEÑAHERRERA</t>
  </si>
  <si>
    <t>CORTOCUICUITO EN UNO DE LOS TRANSISTORES DE ALTO VOLTAJE DEL CONJUNTO MOD, SE REEMPLAZA</t>
  </si>
  <si>
    <t>1713896510001</t>
  </si>
  <si>
    <t>paolapenah@hotmail.com</t>
  </si>
  <si>
    <t>0994408935</t>
  </si>
  <si>
    <t>014-004-000041909</t>
  </si>
  <si>
    <t>CORONA QUEMADOR SEMIRAP EFX</t>
  </si>
  <si>
    <t>ZP236M00296</t>
  </si>
  <si>
    <t>ANA BARRERA</t>
  </si>
  <si>
    <t>QUEMADOR DE COCINA DEFORME, SE DEBE SUSTITUIR</t>
  </si>
  <si>
    <t>0911790566</t>
  </si>
  <si>
    <t>ana.barrera7720@yahoo.com</t>
  </si>
  <si>
    <t>0982635741</t>
  </si>
  <si>
    <t>016-906-000200874</t>
  </si>
  <si>
    <t>TZ233W229376</t>
  </si>
  <si>
    <t>SE REVISA Y SE REUBICA EL TERMOPAR</t>
  </si>
  <si>
    <t>RELOJ TC HLB 840 MMX</t>
  </si>
  <si>
    <t>TZ235G15524</t>
  </si>
  <si>
    <t xml:space="preserve">LUCES LED DE LA PANTALLA AVERIADAS </t>
  </si>
  <si>
    <t>114818933</t>
  </si>
  <si>
    <t>0999000600</t>
  </si>
  <si>
    <t>016-907-000179519</t>
  </si>
  <si>
    <t>CONORA QUEMADOR TC EFX</t>
  </si>
  <si>
    <t>GLADYS BRAVO</t>
  </si>
  <si>
    <t>SE RDETECTA ANOMALIA EN EL QUEMADOR CENTRAL</t>
  </si>
  <si>
    <t>112610069</t>
  </si>
  <si>
    <t>0987548285</t>
  </si>
  <si>
    <t>EL SOPORTE DISPLAY ESTABA FUERA DE POSICION</t>
  </si>
  <si>
    <t>001-001-000051286</t>
  </si>
  <si>
    <t>24108AF1330</t>
  </si>
  <si>
    <t>CLARA TORAL</t>
  </si>
  <si>
    <t>SWITH DE ENCENDIDO NEUMATICO CABLE FALSO CONTACTO</t>
  </si>
  <si>
    <t>0101590502</t>
  </si>
  <si>
    <t>nenacarrascot@hotmail.com</t>
  </si>
  <si>
    <t>0992853111</t>
  </si>
  <si>
    <t>043-904-000046821</t>
  </si>
  <si>
    <t>ZP2343Q00487</t>
  </si>
  <si>
    <t>SE AJUSTA SENSOR Y CABLE DE LA BUJIA DEL MODULO</t>
  </si>
  <si>
    <t>012283629001</t>
  </si>
  <si>
    <t>0999509380</t>
  </si>
  <si>
    <t>MOTOR 800 m3/h 110v DP 90</t>
  </si>
  <si>
    <t>CAMPANA ISLA 1180</t>
  </si>
  <si>
    <t>EI2301075TKIDPL</t>
  </si>
  <si>
    <t>SE REVISA Y SE CONFIORMA QUE EL MOTOR NO FUNCIONA</t>
  </si>
  <si>
    <t>1707808596</t>
  </si>
  <si>
    <t>paulina_andradep@hotmail.com</t>
  </si>
  <si>
    <t>0986353015</t>
  </si>
  <si>
    <t>001-500-000071469</t>
  </si>
  <si>
    <t>PLACA DE POTENCIA I100 DERECHA 2B</t>
  </si>
  <si>
    <t>ZP22CD00013</t>
  </si>
  <si>
    <t>CRISTIAN PACHECO</t>
  </si>
  <si>
    <t>LA PLACA DE POTENCIA ESTA QUEMADA</t>
  </si>
  <si>
    <t>0103865739</t>
  </si>
  <si>
    <t>cristian181192@gmail.com</t>
  </si>
  <si>
    <t>0987178908</t>
  </si>
  <si>
    <t>001-001-000002075</t>
  </si>
  <si>
    <t>RELOJ TC NO FUNCIONA</t>
  </si>
  <si>
    <t>1102552344</t>
  </si>
  <si>
    <t>poloaymar38@hotmail.com</t>
  </si>
  <si>
    <t>001-501-600055097</t>
  </si>
  <si>
    <t>KIWY</t>
  </si>
  <si>
    <t>COL49E00379</t>
  </si>
  <si>
    <t>GISSEL OCHOA</t>
  </si>
  <si>
    <t>PIXARXAPA</t>
  </si>
  <si>
    <t>CLIENTE CINAL</t>
  </si>
  <si>
    <t>fbernalb2014@hotmail.com</t>
  </si>
  <si>
    <t>CO249E00320</t>
  </si>
  <si>
    <t>KYWI WAIRA</t>
  </si>
  <si>
    <t>CO249E00684</t>
  </si>
  <si>
    <t>CO249E00508</t>
  </si>
  <si>
    <t>WINE AND BEAR</t>
  </si>
  <si>
    <t>RVI 10024 GBK</t>
  </si>
  <si>
    <t>NS239N00055</t>
  </si>
  <si>
    <t>ADRIANA CASTRO</t>
  </si>
  <si>
    <t>QUINTA LUCRECIA</t>
  </si>
  <si>
    <t>0998538378</t>
  </si>
  <si>
    <t>RVU 20046 GBK</t>
  </si>
  <si>
    <t>NS224F00034</t>
  </si>
  <si>
    <t>RVI 30097 GBK</t>
  </si>
  <si>
    <t>NS224F00085</t>
  </si>
  <si>
    <t>NS248R00106</t>
  </si>
  <si>
    <t>NS248R00092</t>
  </si>
  <si>
    <t>STOCK KYWI</t>
  </si>
  <si>
    <t>TP237X01734</t>
  </si>
  <si>
    <t>MEGAKYWI</t>
  </si>
  <si>
    <t>0998164259</t>
  </si>
  <si>
    <t>016-907-000253314</t>
  </si>
  <si>
    <t>TP24AR07903</t>
  </si>
  <si>
    <t>ADOLFO CARPIO</t>
  </si>
  <si>
    <t>INGA VELEZ Y PASILLO</t>
  </si>
  <si>
    <t>adolfcarpio1804@hotmail.com</t>
  </si>
  <si>
    <t>DX222800063</t>
  </si>
  <si>
    <t>TANIA SAMANIEGO</t>
  </si>
  <si>
    <t>VIA AL VALLE</t>
  </si>
  <si>
    <t>samaniegotania148@gmail.com</t>
  </si>
  <si>
    <t>040-103-000013631</t>
  </si>
  <si>
    <t>112930023</t>
  </si>
  <si>
    <t>CAMPANA DVF 97670 TBL</t>
  </si>
  <si>
    <t>FB220600263</t>
  </si>
  <si>
    <t>CRISTIAN ORDONEZ</t>
  </si>
  <si>
    <t>AMAZONAS Y CHILE</t>
  </si>
  <si>
    <t>karina.ordone391@gmail.com</t>
  </si>
  <si>
    <t>016-902-0000509872</t>
  </si>
  <si>
    <t>TP24A305167</t>
  </si>
  <si>
    <t>MONICA ANDRADE</t>
  </si>
  <si>
    <t>PATACARMA</t>
  </si>
  <si>
    <t>mamdradeca@gmail.com</t>
  </si>
  <si>
    <t>040-104-000010201</t>
  </si>
  <si>
    <t>ZP24C600127</t>
  </si>
  <si>
    <t>NUBE ALTAMIRANO</t>
  </si>
  <si>
    <t>aukhate@gmail.com</t>
  </si>
  <si>
    <t>016-903-000579278</t>
  </si>
  <si>
    <t>CAMPANA DVN 94030 BK</t>
  </si>
  <si>
    <t>EK24920095</t>
  </si>
  <si>
    <t>MARCO SUSCAL</t>
  </si>
  <si>
    <t>marcosuscal@hotmail.com</t>
  </si>
  <si>
    <t>016-902-000509658</t>
  </si>
  <si>
    <t>TP247305037</t>
  </si>
  <si>
    <t>ROMAN LEON</t>
  </si>
  <si>
    <t>CDLA CATOLICA</t>
  </si>
  <si>
    <t>romanleon123@gmail.com</t>
  </si>
  <si>
    <t>006-002-000157995</t>
  </si>
  <si>
    <t>112500049</t>
  </si>
  <si>
    <t>ZP244A00398</t>
  </si>
  <si>
    <t>FREDDY ASTUDILLO</t>
  </si>
  <si>
    <t>PIO BRAVO 11 61</t>
  </si>
  <si>
    <t>freddyastudillof@gmail.com</t>
  </si>
  <si>
    <t>006-000138009</t>
  </si>
  <si>
    <t>112610008</t>
  </si>
  <si>
    <t>COCINA 95330 SBA IX</t>
  </si>
  <si>
    <t>ZP25300291</t>
  </si>
  <si>
    <t>MARIA PATIÑO</t>
  </si>
  <si>
    <t>PACCHA</t>
  </si>
  <si>
    <t>abelenqp92@hotmail.com</t>
  </si>
  <si>
    <t>001-500-000073707</t>
  </si>
  <si>
    <t>COCINA C9310</t>
  </si>
  <si>
    <t>TP249B03509</t>
  </si>
  <si>
    <t>ELVIA PINOS</t>
  </si>
  <si>
    <t>TOMAS DE HERES</t>
  </si>
  <si>
    <t>elvia.pinoscantos@gmail.com</t>
  </si>
  <si>
    <t>001-500-000072702</t>
  </si>
  <si>
    <t>112450020</t>
  </si>
  <si>
    <t>EK24AV00043</t>
  </si>
  <si>
    <t>GERMANIA AUCAPIÑA</t>
  </si>
  <si>
    <t>saldanacristian59@gmail.com</t>
  </si>
  <si>
    <t>016-907-000265658</t>
  </si>
  <si>
    <t>40460430</t>
  </si>
  <si>
    <t>CAMPANA DBB 70</t>
  </si>
  <si>
    <t>PX247N00031</t>
  </si>
  <si>
    <t>ANTONIO QUINDE</t>
  </si>
  <si>
    <t>AV LAS AMERICAS</t>
  </si>
  <si>
    <t>pamelatapia200@gmail.com</t>
  </si>
  <si>
    <t>001-001-000000917</t>
  </si>
  <si>
    <t>112500053</t>
  </si>
  <si>
    <t>COCINA AFC 87628 MST BK</t>
  </si>
  <si>
    <t>ZP245G00426</t>
  </si>
  <si>
    <t>VANNESA MOSCOSO</t>
  </si>
  <si>
    <t>vmoscoso@moscosoarquitectos</t>
  </si>
  <si>
    <t>043-903-00075623</t>
  </si>
  <si>
    <t>112580527</t>
  </si>
  <si>
    <t>ZP251800349</t>
  </si>
  <si>
    <t>MARIA PAUTA</t>
  </si>
  <si>
    <t>LA RAYA</t>
  </si>
  <si>
    <t>paopau34@yahoo.com</t>
  </si>
  <si>
    <t>31//5/25</t>
  </si>
  <si>
    <t>001-502-000000303</t>
  </si>
  <si>
    <t>ZP24AF00423</t>
  </si>
  <si>
    <t>RODOLFO RAMIREZ</t>
  </si>
  <si>
    <t>TOCTESOL</t>
  </si>
  <si>
    <t>rodol_rr@hotmail.com</t>
  </si>
  <si>
    <t>040-104-000011309</t>
  </si>
  <si>
    <t>REFRIGERADOR RLF 7492055</t>
  </si>
  <si>
    <t>MC24B100073</t>
  </si>
  <si>
    <t>GLADIS VASQUEZ</t>
  </si>
  <si>
    <t>ARAUCANA</t>
  </si>
  <si>
    <t>ma.eu60@hotmail.com</t>
  </si>
  <si>
    <t>001-500-000068534</t>
  </si>
  <si>
    <t>111010041</t>
  </si>
  <si>
    <t>TZ243T28460</t>
  </si>
  <si>
    <t>ALEXANDRA MALDONADO</t>
  </si>
  <si>
    <t>gladysmaldonado2@gmail.com</t>
  </si>
  <si>
    <t>016-902-000508628</t>
  </si>
  <si>
    <t>40980321</t>
  </si>
  <si>
    <t>PX24BR00537</t>
  </si>
  <si>
    <t>KATHERINE VILLA</t>
  </si>
  <si>
    <t>ANTONIO ULLUA</t>
  </si>
  <si>
    <t>katlyva27@hotmail.com</t>
  </si>
  <si>
    <t>043-904-000065151</t>
  </si>
  <si>
    <t>112580017</t>
  </si>
  <si>
    <t>COCINA GBC 6400 KBB</t>
  </si>
  <si>
    <t>ZP245G00294</t>
  </si>
  <si>
    <t>AV. 12 DE OCTUBRE</t>
  </si>
  <si>
    <t>alepalacios-19@hotmail.com</t>
  </si>
  <si>
    <t>040-103-0000153710</t>
  </si>
  <si>
    <t>TP24A305156</t>
  </si>
  <si>
    <t>DENNISSE TIN TIN</t>
  </si>
  <si>
    <t>CALLE PRINCESA TOA</t>
  </si>
  <si>
    <t>denissetintin@gmail.com</t>
  </si>
  <si>
    <t>001-500-000073682</t>
  </si>
  <si>
    <t>TZ25327072</t>
  </si>
  <si>
    <t>MARCIA MOLINA</t>
  </si>
  <si>
    <t>ZHULLIN/AZOGUES</t>
  </si>
  <si>
    <t>marciamolina7@hotmail.com</t>
  </si>
  <si>
    <t>040-104-000011579</t>
  </si>
  <si>
    <t>114270008</t>
  </si>
  <si>
    <t>LAVAVAJILLAS DFI 46900</t>
  </si>
  <si>
    <t>AW2417</t>
  </si>
  <si>
    <t>MELISSA MORENO</t>
  </si>
  <si>
    <t>GUZHO</t>
  </si>
  <si>
    <t>melimorenoc2119@gmail.com</t>
  </si>
  <si>
    <t>040-109-000013007</t>
  </si>
  <si>
    <t>HORNO 8416 BK</t>
  </si>
  <si>
    <t>TZ52327098</t>
  </si>
  <si>
    <t>KLEVER SAMANIEGO</t>
  </si>
  <si>
    <t>PASEO RIO TOMEBAMBA</t>
  </si>
  <si>
    <t>cenitp@gmail.com</t>
  </si>
  <si>
    <t>001-500-000073489</t>
  </si>
  <si>
    <t>TZ249P16646</t>
  </si>
  <si>
    <t>XAVIER ABRIL</t>
  </si>
  <si>
    <t>TARQUI 8 64</t>
  </si>
  <si>
    <t>xavigenaro@hotmail.com</t>
  </si>
  <si>
    <t>COM.SOLIS</t>
  </si>
  <si>
    <t>001-500-000073893</t>
  </si>
  <si>
    <t>TP252R03906</t>
  </si>
  <si>
    <t>JANNINA CANDO</t>
  </si>
  <si>
    <t>janyknda@hotmail.com</t>
  </si>
  <si>
    <t>016-902-000510323</t>
  </si>
  <si>
    <t>TP252503382</t>
  </si>
  <si>
    <t>SAUL LANDY</t>
  </si>
  <si>
    <t>ncenteragrede@hotmail.com</t>
  </si>
  <si>
    <t>001-500-000074138</t>
  </si>
  <si>
    <t>ZP251T00204</t>
  </si>
  <si>
    <t>ALICIA TENORIO</t>
  </si>
  <si>
    <t>LATINOAMERICANA 1 92</t>
  </si>
  <si>
    <t>aliteca@hotmail.com</t>
  </si>
  <si>
    <t>016-907-000246124</t>
  </si>
  <si>
    <t>112600000</t>
  </si>
  <si>
    <t>COCINA EX 90 15G AI</t>
  </si>
  <si>
    <t>ZP241H00191</t>
  </si>
  <si>
    <t>RUTH ORTEGA</t>
  </si>
  <si>
    <t>LUIS CORDERO 9 55</t>
  </si>
  <si>
    <t>0101986503001</t>
  </si>
  <si>
    <t>ruthortga@gmail.com</t>
  </si>
  <si>
    <t>016-907-000257755</t>
  </si>
  <si>
    <t>1112580027</t>
  </si>
  <si>
    <t>ZP246C00134</t>
  </si>
  <si>
    <t>HUMBERTO VASQUEZ</t>
  </si>
  <si>
    <t>0101765832</t>
  </si>
  <si>
    <t>elita_vazquez@hotmail.com</t>
  </si>
  <si>
    <t>043-903-000077932</t>
  </si>
  <si>
    <t>JUAN OCHOA</t>
  </si>
  <si>
    <t>LOS GERANIOS</t>
  </si>
  <si>
    <t>0195092591</t>
  </si>
  <si>
    <t>joq7768@hotmail.com</t>
  </si>
  <si>
    <t>016-907-000257694</t>
  </si>
  <si>
    <t>ZP243500369</t>
  </si>
  <si>
    <t>043-102-000038932</t>
  </si>
  <si>
    <t>HORNO HSB 750 G LPG</t>
  </si>
  <si>
    <t>TZ2425050197</t>
  </si>
  <si>
    <t>HERNANDO LEOPULLA 357</t>
  </si>
  <si>
    <t>0100882608</t>
  </si>
  <si>
    <t>isacobos2000@gmail.com</t>
  </si>
  <si>
    <t>001-500-000073371</t>
  </si>
  <si>
    <t>112570238</t>
  </si>
  <si>
    <t>COCINA GBC 95 G1 GBA CM</t>
  </si>
  <si>
    <t>ZP24BR00445</t>
  </si>
  <si>
    <t>JOSE VASQUEZ</t>
  </si>
  <si>
    <t>TURUHUAYCO 2 113</t>
  </si>
  <si>
    <t>0103556510</t>
  </si>
  <si>
    <t>rectificadora.vasquez@hotmail.com</t>
  </si>
  <si>
    <t>001-101-000003343</t>
  </si>
  <si>
    <t>TZ242V32274</t>
  </si>
  <si>
    <t>MARIA HERNANDEZ</t>
  </si>
  <si>
    <t>CALLE EUCLIDES</t>
  </si>
  <si>
    <t>0104847462</t>
  </si>
  <si>
    <t>yairgp@me.com</t>
  </si>
  <si>
    <t>007-006-000137763</t>
  </si>
  <si>
    <t>CAMPANA DBB 90</t>
  </si>
  <si>
    <t>PX249H00121</t>
  </si>
  <si>
    <t>ERIKA URGILES</t>
  </si>
  <si>
    <t>AV. REMIGIO CRESPO Y LIBERTAD</t>
  </si>
  <si>
    <t>adrianaurgiles44@gmail.com</t>
  </si>
  <si>
    <t>TP24B007298</t>
  </si>
  <si>
    <t>043-404-000042471</t>
  </si>
  <si>
    <t>MD247L00374</t>
  </si>
  <si>
    <t>TP246L08332</t>
  </si>
  <si>
    <t>TZ241S26065</t>
  </si>
  <si>
    <t>006-000158025</t>
  </si>
  <si>
    <t>EY246K00022</t>
  </si>
  <si>
    <t>KEVIN TAPIA</t>
  </si>
  <si>
    <t>0104903943001</t>
  </si>
  <si>
    <t>ecuasa@hotmail.com</t>
  </si>
  <si>
    <t>EY24H00017</t>
  </si>
  <si>
    <t>COCINA JZC 96324 DBB</t>
  </si>
  <si>
    <t>ZP24CH00810</t>
  </si>
  <si>
    <t>TP22C205607</t>
  </si>
  <si>
    <t>TZ24BF14038</t>
  </si>
  <si>
    <t>TZ24CA07275</t>
  </si>
  <si>
    <t>MICROONDA ML 8220 BIS</t>
  </si>
  <si>
    <t>TP24BJ00792</t>
  </si>
  <si>
    <t>AW24A</t>
  </si>
  <si>
    <t>TKAZZC5B060900152502150044</t>
  </si>
  <si>
    <t>AW234800264</t>
  </si>
  <si>
    <t>001500-000070341</t>
  </si>
  <si>
    <t>ZP24AG00372</t>
  </si>
  <si>
    <t>ELENA ABAD</t>
  </si>
  <si>
    <t>TAMBILLO</t>
  </si>
  <si>
    <t>0101265874</t>
  </si>
  <si>
    <t>marceabad@hotmail.com</t>
  </si>
  <si>
    <t>TZ247202353</t>
  </si>
  <si>
    <t>002-201-000010370</t>
  </si>
  <si>
    <t>ZP24AQ00114</t>
  </si>
  <si>
    <t>CARMEN PLAZA</t>
  </si>
  <si>
    <t>EL VALLE</t>
  </si>
  <si>
    <t>0104776984</t>
  </si>
  <si>
    <t>plazacarmen834@hotmail.com</t>
  </si>
  <si>
    <t>001-500-000071340</t>
  </si>
  <si>
    <t>TP249H02869</t>
  </si>
  <si>
    <t>PABLO PANDO</t>
  </si>
  <si>
    <t>PATAMARCA</t>
  </si>
  <si>
    <t>0104178991</t>
  </si>
  <si>
    <t>djia_mjac@hotmail.com</t>
  </si>
  <si>
    <t>001-500-000070531</t>
  </si>
  <si>
    <t>ZP249T00034</t>
  </si>
  <si>
    <t>EK246100061</t>
  </si>
  <si>
    <t>eeorellana@hotmail.com</t>
  </si>
  <si>
    <t>ZP24CL00241</t>
  </si>
  <si>
    <t>001-500-000074331</t>
  </si>
  <si>
    <t>EK24400047</t>
  </si>
  <si>
    <t>LEE MACEDO</t>
  </si>
  <si>
    <t>URB. AKARI</t>
  </si>
  <si>
    <t>sayuribu24@gmail.com</t>
  </si>
  <si>
    <t>GBC 75050 KBB</t>
  </si>
  <si>
    <t>ZP24AF00424</t>
  </si>
  <si>
    <t>002-201-000010668</t>
  </si>
  <si>
    <t>TP24AQ05731</t>
  </si>
  <si>
    <t>PAOLA URGILES</t>
  </si>
  <si>
    <t>LOS JUGLARES</t>
  </si>
  <si>
    <t>paolaurgilesv@gmail.com</t>
  </si>
  <si>
    <t>TP253E11259</t>
  </si>
  <si>
    <t>002-201-000009351</t>
  </si>
  <si>
    <t>TP24AV00177</t>
  </si>
  <si>
    <t>040-103-000013457</t>
  </si>
  <si>
    <t>MP24BL0000424</t>
  </si>
  <si>
    <t>040-103-000014118</t>
  </si>
  <si>
    <t>TP233208937</t>
  </si>
  <si>
    <t>LAURA LOPEZ</t>
  </si>
  <si>
    <t>1ERO DE MAYO</t>
  </si>
  <si>
    <t>tiestojj7-34@hotmail.com</t>
  </si>
  <si>
    <t>TP246606957</t>
  </si>
  <si>
    <t>040-103-000013967</t>
  </si>
  <si>
    <t>TZ251MIS802</t>
  </si>
  <si>
    <t>IVAN ARPI</t>
  </si>
  <si>
    <t>alexamor.1208@gmail.com</t>
  </si>
  <si>
    <t>ZP24CH00418</t>
  </si>
  <si>
    <t>040-103-000010701</t>
  </si>
  <si>
    <t>ZP24900080</t>
  </si>
  <si>
    <t>FABIAN FIGUEROA</t>
  </si>
  <si>
    <t>SAN JOAQUIN EL ALTO</t>
  </si>
  <si>
    <t>fabian.figueroa76@hotmail.com</t>
  </si>
  <si>
    <t>TZ246R19762</t>
  </si>
  <si>
    <t>ML 822 BIS L</t>
  </si>
  <si>
    <t>TP249900023</t>
  </si>
  <si>
    <t>02-201-000004491</t>
  </si>
  <si>
    <t>ZP24AN00558</t>
  </si>
  <si>
    <t>PATRICIO RIVERA</t>
  </si>
  <si>
    <t>CDLA KENNEDY</t>
  </si>
  <si>
    <t>juanpatriciorivera@hotmail.com</t>
  </si>
  <si>
    <t>02-201-000000582</t>
  </si>
  <si>
    <t>TZ24C507084</t>
  </si>
  <si>
    <t>014-004-000068074</t>
  </si>
  <si>
    <t>DAYANNA SUAREZ</t>
  </si>
  <si>
    <t>JARDINES DE BALSAY</t>
  </si>
  <si>
    <t>rgarzon48@gmail.com</t>
  </si>
  <si>
    <t>006-002-000157921</t>
  </si>
  <si>
    <t>TZ243T28489</t>
  </si>
  <si>
    <t>001-501-000007439</t>
  </si>
  <si>
    <t>TP252503333</t>
  </si>
  <si>
    <t>001-500-000072250</t>
  </si>
  <si>
    <t>COCINA CBC 75030 KBB</t>
  </si>
  <si>
    <t>ZP24BM00259</t>
  </si>
  <si>
    <t xml:space="preserve">MARGOT RIVERA </t>
  </si>
  <si>
    <t>REMIGIO CRESPO</t>
  </si>
  <si>
    <t>mcrivera.brvo@gmail.com</t>
  </si>
  <si>
    <t>007-000037260</t>
  </si>
  <si>
    <t>TZ24CA07901</t>
  </si>
  <si>
    <t>040-105-000001484</t>
  </si>
  <si>
    <t>ZP244V00173</t>
  </si>
  <si>
    <t>DIANA ENDERICA</t>
  </si>
  <si>
    <t>CDLA. TOMEBAMBA</t>
  </si>
  <si>
    <t>maria.enderica@yahoo.com</t>
  </si>
  <si>
    <t>040-103-000007015</t>
  </si>
  <si>
    <t>MW243T01735</t>
  </si>
  <si>
    <t>016-904-000305617</t>
  </si>
  <si>
    <t>TZ24CA07264</t>
  </si>
  <si>
    <t>LUIS DONOSO</t>
  </si>
  <si>
    <t>EDIFICIO 1-05</t>
  </si>
  <si>
    <t>responsable1@hotmail.com</t>
  </si>
  <si>
    <t>043-905-000076000</t>
  </si>
  <si>
    <t>MICROONDA MWG 11X</t>
  </si>
  <si>
    <t>MW251P29109</t>
  </si>
  <si>
    <t>090-103--000012549</t>
  </si>
  <si>
    <t>COCINA IZF 99700 MTS BK</t>
  </si>
  <si>
    <t>ZP24A900590</t>
  </si>
  <si>
    <t>jeimisramosmonopi@hotmail.com</t>
  </si>
  <si>
    <t xml:space="preserve">CAMPANA DVT PRO 98660 </t>
  </si>
  <si>
    <t>PX24AMD0385</t>
  </si>
  <si>
    <t>001-500-000072387</t>
  </si>
  <si>
    <t>EK247200088</t>
  </si>
  <si>
    <t>ALFREDO JIMENEZ</t>
  </si>
  <si>
    <t>info@redoffice.ec</t>
  </si>
  <si>
    <t>HORNO 8416BK</t>
  </si>
  <si>
    <t>TZ249P16669</t>
  </si>
  <si>
    <t>001-500-000074526</t>
  </si>
  <si>
    <t>ZP24BT00546</t>
  </si>
  <si>
    <t>040-103-000008324</t>
  </si>
  <si>
    <t>ZP244300187</t>
  </si>
  <si>
    <t>ANA LUCIA ILLESCAS</t>
  </si>
  <si>
    <t>LA ESTACIA 2</t>
  </si>
  <si>
    <t>analucia.illescas@gmail.com</t>
  </si>
  <si>
    <t>TZ246B07834</t>
  </si>
  <si>
    <t>MICRRONDA MS 620 BIS</t>
  </si>
  <si>
    <t>TP243R02036</t>
  </si>
  <si>
    <t>PX246Q00053</t>
  </si>
  <si>
    <t>MEGAOFERTAS</t>
  </si>
  <si>
    <t>001-101-000003659</t>
  </si>
  <si>
    <t>GBC 75030 KBB</t>
  </si>
  <si>
    <t>ZP246C00138</t>
  </si>
  <si>
    <t>BERNARDA SANCHEZ</t>
  </si>
  <si>
    <t>TARQUI</t>
  </si>
  <si>
    <t>estebansarmientocobos@gmail.com</t>
  </si>
  <si>
    <t>TP251905689</t>
  </si>
  <si>
    <t>TZ252327042</t>
  </si>
  <si>
    <t>001-500-000079990</t>
  </si>
  <si>
    <t>ZP251TOO242</t>
  </si>
  <si>
    <t>EMILIA FLORES</t>
  </si>
  <si>
    <t>prici.verdugo@gmail.com</t>
  </si>
  <si>
    <t>TP252R03924</t>
  </si>
  <si>
    <t>016-902-000504877</t>
  </si>
  <si>
    <t>TP24AR07902</t>
  </si>
  <si>
    <t>MARIA HINCAPIE</t>
  </si>
  <si>
    <t>SOLANO</t>
  </si>
  <si>
    <t>mhicapie380@gmail.com</t>
  </si>
  <si>
    <t>016-902-000515443</t>
  </si>
  <si>
    <t>ZP253T00109</t>
  </si>
  <si>
    <t>037-101-000000718</t>
  </si>
  <si>
    <t>EK241F00019</t>
  </si>
  <si>
    <t>CONDOMINIO AKIRA</t>
  </si>
  <si>
    <t>pedro.a.89@hotmail.com</t>
  </si>
  <si>
    <t>COCINA GBC 75 G1 GBA BM</t>
  </si>
  <si>
    <t>ZP241X00437</t>
  </si>
  <si>
    <t>001-500-000074471</t>
  </si>
  <si>
    <t>CAMPANA GFH 55</t>
  </si>
  <si>
    <t>TP247X02365</t>
  </si>
  <si>
    <t>FATIMA TORAL</t>
  </si>
  <si>
    <t>CONDOMINIO GALICIA</t>
  </si>
  <si>
    <t>fati.toral.leon@gmail.com</t>
  </si>
  <si>
    <t>001-500-000074378</t>
  </si>
  <si>
    <t>COCINA IZF 64440 MPS BK</t>
  </si>
  <si>
    <t>ZP251T00704</t>
  </si>
  <si>
    <t>043-903-000069244</t>
  </si>
  <si>
    <t>COCINA 64320 SBA IX</t>
  </si>
  <si>
    <t>ZP239600479</t>
  </si>
  <si>
    <t>JORGE ROBALINO</t>
  </si>
  <si>
    <t>TORRES DE ALMERIA</t>
  </si>
  <si>
    <t>jerp63@gmail.com</t>
  </si>
  <si>
    <t>MICOONDA MWG 14X</t>
  </si>
  <si>
    <t>MW243T01945</t>
  </si>
  <si>
    <t>006-002-0000157725</t>
  </si>
  <si>
    <t>ZP24AP00583</t>
  </si>
  <si>
    <t>ELISABETH OCHOA</t>
  </si>
  <si>
    <t>ana.elisabeth.ochoa@hotmai;l.com</t>
  </si>
  <si>
    <t>MD24BL0000332</t>
  </si>
  <si>
    <t>043-904-000056971</t>
  </si>
  <si>
    <t>TZ243604775</t>
  </si>
  <si>
    <t>VINICIO PULLA</t>
  </si>
  <si>
    <t>SAN MIGUEL POTOSI</t>
  </si>
  <si>
    <t>viciciopullas1959@hotmail.com</t>
  </si>
  <si>
    <t>043-904-000017727</t>
  </si>
  <si>
    <t>TP247J07097</t>
  </si>
  <si>
    <t>ZP24CL00349</t>
  </si>
  <si>
    <t>TP249402920</t>
  </si>
  <si>
    <t>040-103-0000014079</t>
  </si>
  <si>
    <t>TZ24BF12858</t>
  </si>
  <si>
    <t>JAIRO TORRES</t>
  </si>
  <si>
    <t>patho1924@gmail.com</t>
  </si>
  <si>
    <t>MICROONDAS ML 8220BIS L</t>
  </si>
  <si>
    <t>TP251002369</t>
  </si>
  <si>
    <t>001-500-000041118</t>
  </si>
  <si>
    <t>TZ216ER2875</t>
  </si>
  <si>
    <t>MARIA URGILES</t>
  </si>
  <si>
    <t>LAS PENCAS ALTAS</t>
  </si>
  <si>
    <t>juanca7010@hotmail.com</t>
  </si>
  <si>
    <t>MICROONDA MWG 14X</t>
  </si>
  <si>
    <t>MW27002298</t>
  </si>
  <si>
    <t>007-006-000138285</t>
  </si>
  <si>
    <t>TP247305046</t>
  </si>
  <si>
    <t>SANTIAGO VILLAVICENCIO</t>
  </si>
  <si>
    <t>Isantiagov@live.com</t>
  </si>
  <si>
    <t>TZ251W23920</t>
  </si>
  <si>
    <t>ZP254400015</t>
  </si>
  <si>
    <t>LAVAVAJILLAS LP8 850 M</t>
  </si>
  <si>
    <t>MD20CL00505</t>
  </si>
  <si>
    <t>MILTON BARRAGAN</t>
  </si>
  <si>
    <t>TERMINAL CALENTADOR FALSO CONTACTO, SE REEMPLAZA TERMINAL</t>
  </si>
  <si>
    <t>0190478955</t>
  </si>
  <si>
    <t>mfrancisco202@gmail.com</t>
  </si>
  <si>
    <t>017-101-000008016</t>
  </si>
  <si>
    <t>TARJETA TOUCH FUERA DE POSICION, SE CORRIGE EL FALLO</t>
  </si>
  <si>
    <t>0102311651</t>
  </si>
  <si>
    <t>aciroblas54@hotmail.com</t>
  </si>
  <si>
    <t>MW23AR00707</t>
  </si>
  <si>
    <t>ABBY OSMAN</t>
  </si>
  <si>
    <t>CONECTOR INTERRUPTOR FINAL CARRERA FALSO CONTACTO</t>
  </si>
  <si>
    <t>01514192664</t>
  </si>
  <si>
    <t>ybba503@gmail.com</t>
  </si>
  <si>
    <t>001-001-000001030</t>
  </si>
  <si>
    <t>MC234KOOO45</t>
  </si>
  <si>
    <t>GERARDINA AUQUILLA</t>
  </si>
  <si>
    <t>SE REALIZA NOTA DE CREDITO DESPUES DE VERIFICACIONES</t>
  </si>
  <si>
    <t>0101590834</t>
  </si>
  <si>
    <t>charitoauquilla@yahoo.com</t>
  </si>
  <si>
    <t>016-907-000183632</t>
  </si>
  <si>
    <t>MC232500070</t>
  </si>
  <si>
    <t>RUBEN MOGROVEJO</t>
  </si>
  <si>
    <t>SE REALIZA NOTA DE CREDITO DESPUES DE VERIFICACIONES, FUGA DE GAS NO ACCESIBLE</t>
  </si>
  <si>
    <t>0101204683</t>
  </si>
  <si>
    <t>ferriastral@hotmail.com</t>
  </si>
  <si>
    <t>002-103-000008580</t>
  </si>
  <si>
    <t>CONJUNTO INDUCCION I100 DOMINO M7 LAYOUT</t>
  </si>
  <si>
    <t>ZP23BM00331</t>
  </si>
  <si>
    <t>MODULO DE POTENCIA IZQUIERDA EN CORTO CIRCUITO</t>
  </si>
  <si>
    <t>grupo.caminar@hotmail.com</t>
  </si>
  <si>
    <t>001-002-000308421</t>
  </si>
  <si>
    <t>BUJIA GBC 63010 KBB</t>
  </si>
  <si>
    <t>COCINA JZC 96342 ABB</t>
  </si>
  <si>
    <t>LA BUJIA ESTA ROBANDO CORRIENTE, SE CAMBIA BUJIA</t>
  </si>
  <si>
    <t>043-902-000053437</t>
  </si>
  <si>
    <t>CO249E00267</t>
  </si>
  <si>
    <t>EDGAR SALDANA</t>
  </si>
  <si>
    <t>CALLE MENTA</t>
  </si>
  <si>
    <t>105709489</t>
  </si>
  <si>
    <t>edgarhsald@yahoo.com</t>
  </si>
  <si>
    <t>043-905-000070922</t>
  </si>
  <si>
    <t>CO249E00160</t>
  </si>
  <si>
    <t>JOSE TAPIA</t>
  </si>
  <si>
    <t>alejandrotapia741@gmail.com</t>
  </si>
  <si>
    <t>043-906-000046965</t>
  </si>
  <si>
    <t>CO249E00908</t>
  </si>
  <si>
    <t>VIVIANA ZAMBRANO</t>
  </si>
  <si>
    <t>VISTA DEL RIO</t>
  </si>
  <si>
    <t>vivipaulyzambrano@hotmail.com</t>
  </si>
  <si>
    <t>CO249E00669</t>
  </si>
  <si>
    <t>MEGAKYWI/MARIA AVELLANO</t>
  </si>
  <si>
    <t>maka.alvenzo@kywi.com.ec</t>
  </si>
  <si>
    <t>CO249E00688</t>
  </si>
  <si>
    <t>001-001-000001009</t>
  </si>
  <si>
    <t>TP241A03974</t>
  </si>
  <si>
    <t>JUAN CAJAMARCA</t>
  </si>
  <si>
    <t>BARRIO UNIDO</t>
  </si>
  <si>
    <t>0106588726</t>
  </si>
  <si>
    <t>cris-raly@hotmail.com</t>
  </si>
  <si>
    <t>001-500-000074126</t>
  </si>
  <si>
    <t>TZ247LO2371</t>
  </si>
  <si>
    <t>NELSON DIAZ</t>
  </si>
  <si>
    <t>AV. DEL MIGRANTE</t>
  </si>
  <si>
    <t>0151367190</t>
  </si>
  <si>
    <t>nelson.vidal87@gmail.com</t>
  </si>
  <si>
    <t>040-103-000014150</t>
  </si>
  <si>
    <t>COCINA FS3R5966GGX</t>
  </si>
  <si>
    <t>0225000467</t>
  </si>
  <si>
    <t>ADALBERTO MACEDO</t>
  </si>
  <si>
    <t>TERRAZAS DEL RIO</t>
  </si>
  <si>
    <t>01552272266</t>
  </si>
  <si>
    <t>betomacedo60@gmail.com</t>
  </si>
  <si>
    <t>001-500-000079289</t>
  </si>
  <si>
    <t>TZ247H16144</t>
  </si>
  <si>
    <t>LUCIA SARMIENTO</t>
  </si>
  <si>
    <t>0101268761</t>
  </si>
  <si>
    <t>bibiscam93@hotmail.com</t>
  </si>
  <si>
    <t>043-903-000078603</t>
  </si>
  <si>
    <t>TRITURADOR TRS 520</t>
  </si>
  <si>
    <t>JC247400285</t>
  </si>
  <si>
    <t>CARLOS RENDON</t>
  </si>
  <si>
    <t>FEDERICO PROANO 3 87</t>
  </si>
  <si>
    <t>0100041276</t>
  </si>
  <si>
    <t>ortenciarendon90@gmail.com</t>
  </si>
  <si>
    <t>043-902-000052192</t>
  </si>
  <si>
    <t>TZ24BD10689</t>
  </si>
  <si>
    <t>0104701073</t>
  </si>
  <si>
    <t>mauroullua90@hotmail.com</t>
  </si>
  <si>
    <t>043-901-000008111</t>
  </si>
  <si>
    <t>ZP242200520</t>
  </si>
  <si>
    <t>JUAN CARLOS TAPIA</t>
  </si>
  <si>
    <t>EL CABO/PAUTE</t>
  </si>
  <si>
    <t>0104784921</t>
  </si>
  <si>
    <t>nauntapiasdb@yahoo.com</t>
  </si>
  <si>
    <t>016-902-000513966</t>
  </si>
  <si>
    <t>TP245P08017</t>
  </si>
  <si>
    <t>MARIA RAMOS</t>
  </si>
  <si>
    <t>0101297166</t>
  </si>
  <si>
    <t>mariapangol2014@gmail.com</t>
  </si>
  <si>
    <t>040-103-000313410</t>
  </si>
  <si>
    <t xml:space="preserve">LAVAVAJILLAS DW8 57 FIM </t>
  </si>
  <si>
    <t>MD24BL0000187</t>
  </si>
  <si>
    <t>PEDRO BALAREZO</t>
  </si>
  <si>
    <t>PASEO CANARIS</t>
  </si>
  <si>
    <t>0100257393</t>
  </si>
  <si>
    <t>pedro.balarezo@hotmail.com</t>
  </si>
  <si>
    <t>001-101-0000003663</t>
  </si>
  <si>
    <t>TP253E11285</t>
  </si>
  <si>
    <t>CONS. ORELLANA</t>
  </si>
  <si>
    <t>EDIFICIO ORIZZONTE</t>
  </si>
  <si>
    <t>0190494039</t>
  </si>
  <si>
    <t>cosntructoraorellana@gmail.com</t>
  </si>
  <si>
    <t>006-002-000158219</t>
  </si>
  <si>
    <t>COCINA IZS 866 MST BK</t>
  </si>
  <si>
    <t>ZP236L00076</t>
  </si>
  <si>
    <t>GEOVANNY LUPERCIO</t>
  </si>
  <si>
    <t>CRUCE CRMEN</t>
  </si>
  <si>
    <t>0104184999</t>
  </si>
  <si>
    <t>pati26@gmail.com</t>
  </si>
  <si>
    <t>043-903-000079297</t>
  </si>
  <si>
    <t>TZ252732463</t>
  </si>
  <si>
    <t>EDUARDO CHANGO</t>
  </si>
  <si>
    <t>0105249841</t>
  </si>
  <si>
    <t>eduand.chango@gmail.com</t>
  </si>
  <si>
    <t>093-905-000080505</t>
  </si>
  <si>
    <t>TP252KO3564</t>
  </si>
  <si>
    <t>SANTIAGO LOPEZ</t>
  </si>
  <si>
    <t>PACHAMAMA 5-14</t>
  </si>
  <si>
    <t>0152184875</t>
  </si>
  <si>
    <t>slopez@etapanet.net</t>
  </si>
  <si>
    <t>001-500-000072835</t>
  </si>
  <si>
    <t>TP251T00215</t>
  </si>
  <si>
    <t>VERONICA CARVALLO</t>
  </si>
  <si>
    <t>EDIFICIO TORRE DEL RIO</t>
  </si>
  <si>
    <t>0104351465</t>
  </si>
  <si>
    <t>vcio1448@hotmail.com</t>
  </si>
  <si>
    <t>016-907-000289717</t>
  </si>
  <si>
    <t>TP252503337</t>
  </si>
  <si>
    <t>DORIAN MOSQUERA</t>
  </si>
  <si>
    <t>0104505540</t>
  </si>
  <si>
    <t>dorian87-19@outlook.com</t>
  </si>
  <si>
    <t>044-013-000021254</t>
  </si>
  <si>
    <t>COCINA FS3RL96GGX</t>
  </si>
  <si>
    <t>ROSA ROMERO</t>
  </si>
  <si>
    <t>0100580505</t>
  </si>
  <si>
    <t>rosaromy@gmail.com</t>
  </si>
  <si>
    <t>001-500-000074780</t>
  </si>
  <si>
    <t>TP24A305015</t>
  </si>
  <si>
    <t>VERONICA FAREZ</t>
  </si>
  <si>
    <t>VIA SOLDADOS</t>
  </si>
  <si>
    <t>0105039796</t>
  </si>
  <si>
    <t>verofarez@hotmail.com</t>
  </si>
  <si>
    <t>ZP246C00194</t>
  </si>
  <si>
    <t>JACKELINE SILVA</t>
  </si>
  <si>
    <t>NO ENCIENDE QUEMADOR, SE AJUSTA SENSOR TERMOPAR</t>
  </si>
  <si>
    <t>1706833702</t>
  </si>
  <si>
    <t>jaquesilva1963@gmail.com</t>
  </si>
  <si>
    <t>043-902-000055207</t>
  </si>
  <si>
    <t>TP231P00587</t>
  </si>
  <si>
    <t>ROSA DELGADO</t>
  </si>
  <si>
    <t>SE AJUSTAN CONEXIONES DEL TRANSFORMADOR</t>
  </si>
  <si>
    <t>0101857902</t>
  </si>
  <si>
    <t>rosamariadelgado@live.com</t>
  </si>
  <si>
    <t>002-103-00007580</t>
  </si>
  <si>
    <t>SE CHEQUEA Y SE ENCUENTRA VENTILADOR SUELDO, SE CORRIGE</t>
  </si>
  <si>
    <t>suitespresidentecordova@gmail.com</t>
  </si>
  <si>
    <t>MD249LO5995</t>
  </si>
  <si>
    <t>OSCR CANDO</t>
  </si>
  <si>
    <t>SE AJUSTA MANGUERA DE ENTRADA DE AGUA</t>
  </si>
  <si>
    <t>gcorreabarzallo@gmail.com</t>
  </si>
  <si>
    <t>CO249E00150</t>
  </si>
  <si>
    <t>LUZ TAPIA</t>
  </si>
  <si>
    <t>QUEMADOR NO ENCIENDE SE REALIZA EL AJUSTE DE LAS BUJIAS</t>
  </si>
  <si>
    <t>0100888932001</t>
  </si>
  <si>
    <t>ficomedina1951@gmail.com</t>
  </si>
  <si>
    <t>001-500-000073652</t>
  </si>
  <si>
    <t>PLACA DE POTENCIA I100 IZQUIERDA</t>
  </si>
  <si>
    <t>LA PLACA DE POTENCIOA IZQUIERDA ESTA QUEMADA, SE SUSTITUYE</t>
  </si>
  <si>
    <t>carlosugalden@yahoo.com</t>
  </si>
  <si>
    <t>TZ216E22875</t>
  </si>
  <si>
    <t>SE REVISA Y SE AJUSTA EL SENSOR DE FLAMA</t>
  </si>
  <si>
    <t>0102128741</t>
  </si>
  <si>
    <t>ZP245Q00481</t>
  </si>
  <si>
    <t>GEOVANNY CAMPOVERDE</t>
  </si>
  <si>
    <t>SE REVISA Y SE COLOCA EN SU SITIO LOS MANDOS TOUCH</t>
  </si>
  <si>
    <t>0104993811</t>
  </si>
  <si>
    <t>edissoncampo90@gmail.com</t>
  </si>
  <si>
    <t>006-000158172</t>
  </si>
  <si>
    <t>ZP235400072</t>
  </si>
  <si>
    <t>ANDREA VILLAVICENCIO</t>
  </si>
  <si>
    <t>SE CORRIGE LA POSICION DE LA TARJETA TOUCH</t>
  </si>
  <si>
    <t>0103121653</t>
  </si>
  <si>
    <t>gerencia@oceacuns.com</t>
  </si>
  <si>
    <t>040-104-000003952</t>
  </si>
  <si>
    <t>AP24050980048</t>
  </si>
  <si>
    <t>PAZ REYES CORDERO</t>
  </si>
  <si>
    <t>EL FILTRO DE CONDUCCION DE AGUA ESTA OBSTRUIDO, SE SOLUCIONA</t>
  </si>
  <si>
    <t>1002771218</t>
  </si>
  <si>
    <t>perezreyescordero@hotmail.com</t>
  </si>
  <si>
    <t>001-500-000068906</t>
  </si>
  <si>
    <t>TZ225606693</t>
  </si>
  <si>
    <t>MARIA ZAMORA</t>
  </si>
  <si>
    <t>SE AJUSTA LA BUJIA DE ENCENDIDOI</t>
  </si>
  <si>
    <t>0104639012</t>
  </si>
  <si>
    <t>ferzamora1989@gmail.com</t>
  </si>
  <si>
    <t>001-500-000049529</t>
  </si>
  <si>
    <t>MC24B100085</t>
  </si>
  <si>
    <t>MARIA TAMARIZ</t>
  </si>
  <si>
    <t>SE HACE HIELO, SE ACOMODA CAJONES Y PRUEBA DESHIELO</t>
  </si>
  <si>
    <t>0908915085</t>
  </si>
  <si>
    <t>maryeugeniatam@hotmail.com</t>
  </si>
  <si>
    <t>043-904-000068029</t>
  </si>
  <si>
    <t>ZP242LOO261</t>
  </si>
  <si>
    <t>QUEMADOR SE APAGA, SE AJUSTA SENSOR TERMOPAR</t>
  </si>
  <si>
    <t>1203958556</t>
  </si>
  <si>
    <t>angelgarcia34@hotmail.com</t>
  </si>
  <si>
    <t>002-101-000112976</t>
  </si>
  <si>
    <t>60803238/60803290</t>
  </si>
  <si>
    <t>CONJUNTO TOUCH CONTROL AUXLIDER 21/ conj. Touch control tk h5gen 2</t>
  </si>
  <si>
    <t>ZP252B00379</t>
  </si>
  <si>
    <t>GABRIELA MALO</t>
  </si>
  <si>
    <t>SE SUSTITUYEN 2 CONTROLES</t>
  </si>
  <si>
    <t>0103642328</t>
  </si>
  <si>
    <t>gabymalo@hotmail.com</t>
  </si>
  <si>
    <t>040-104-0000115015</t>
  </si>
  <si>
    <t>GENERADOR ENCEND. SSCL 120 240 60 HZ</t>
  </si>
  <si>
    <t>ZP238000499</t>
  </si>
  <si>
    <t>FELIPE BERMEO</t>
  </si>
  <si>
    <t>SE CAMBIA GENERADOR DE ENCENDIDO</t>
  </si>
  <si>
    <t>0102417243</t>
  </si>
  <si>
    <t>felipebermeoq@gmail.com</t>
  </si>
  <si>
    <t>006-000154857</t>
  </si>
  <si>
    <t>ZP235800032</t>
  </si>
  <si>
    <t>WILSON ORTEGA</t>
  </si>
  <si>
    <t>cambio de generador de encendido</t>
  </si>
  <si>
    <t>0103104964</t>
  </si>
  <si>
    <t>wilsonortega2020@hotmail.com</t>
  </si>
  <si>
    <t>040-103-000000597</t>
  </si>
  <si>
    <t>001-500-000074343</t>
  </si>
  <si>
    <t>ZP24AF00427</t>
  </si>
  <si>
    <t>LORENA TAMAYO</t>
  </si>
  <si>
    <t>SUBIDA A TURI</t>
  </si>
  <si>
    <t>diegofer21@hotmail.com</t>
  </si>
  <si>
    <t>EK24BL00034</t>
  </si>
  <si>
    <t>TZ252327082</t>
  </si>
  <si>
    <t>001-500-000072277</t>
  </si>
  <si>
    <t>TP24BJ60758</t>
  </si>
  <si>
    <t>JUANA BARZALLO</t>
  </si>
  <si>
    <t>LA CASTELLANA 4 82</t>
  </si>
  <si>
    <t>0103489167001</t>
  </si>
  <si>
    <t>no indica</t>
  </si>
  <si>
    <t>PX246300239</t>
  </si>
  <si>
    <t>043-903-000079060</t>
  </si>
  <si>
    <t>TZ24CA07305</t>
  </si>
  <si>
    <t>JENNY CORONEL</t>
  </si>
  <si>
    <t>0301106498</t>
  </si>
  <si>
    <t>jennycoronel@hotmail.com</t>
  </si>
  <si>
    <t>ZP24CL00230</t>
  </si>
  <si>
    <t>043-903-000082820</t>
  </si>
  <si>
    <t>TP252R03914</t>
  </si>
  <si>
    <t>001-500-000074988</t>
  </si>
  <si>
    <t>TKAZC5B0609001</t>
  </si>
  <si>
    <t>DIANA CANTOS</t>
  </si>
  <si>
    <t>0301758256</t>
  </si>
  <si>
    <t>diacantos@hotmail.com</t>
  </si>
  <si>
    <t>001-500-000073894</t>
  </si>
  <si>
    <t>TP255K00563</t>
  </si>
  <si>
    <t>ZP254W00042</t>
  </si>
  <si>
    <t>001-500-000074519</t>
  </si>
  <si>
    <t>ZP246000402</t>
  </si>
  <si>
    <t>JHANET ALTAMIRANO</t>
  </si>
  <si>
    <t>0101598233</t>
  </si>
  <si>
    <t>constructora_bya@hotmail.com</t>
  </si>
  <si>
    <t>TZ215606100</t>
  </si>
  <si>
    <t>001-500-000068124</t>
  </si>
  <si>
    <t>ZP232M00001</t>
  </si>
  <si>
    <t>psolis@hotmail.com</t>
  </si>
  <si>
    <t>MD22BL00530</t>
  </si>
  <si>
    <t>001-500-000067861</t>
  </si>
  <si>
    <t>TZ234E10887</t>
  </si>
  <si>
    <t>TP243K04155</t>
  </si>
  <si>
    <t>001-501-000007462</t>
  </si>
  <si>
    <t>TP24A801229</t>
  </si>
  <si>
    <t>ROSA IZQUIERDO</t>
  </si>
  <si>
    <t>CONDOMINIO SANTA CLARA</t>
  </si>
  <si>
    <t>0300712601</t>
  </si>
  <si>
    <t>rizquierdom@hotmail.com</t>
  </si>
  <si>
    <t>ZP246C00189</t>
  </si>
  <si>
    <t>001-500-000074819</t>
  </si>
  <si>
    <t>TZ24AV22990</t>
  </si>
  <si>
    <t>WILLIAM REYES</t>
  </si>
  <si>
    <t>CONDOMINIO JACARANDA</t>
  </si>
  <si>
    <t>1712762226</t>
  </si>
  <si>
    <t>william_patricio@hotmail.com</t>
  </si>
  <si>
    <t>TP24BJ00797</t>
  </si>
  <si>
    <t>ZP252E00036</t>
  </si>
  <si>
    <t>001-001-000001076</t>
  </si>
  <si>
    <t>PX253T00004</t>
  </si>
  <si>
    <t>040-101-000000490</t>
  </si>
  <si>
    <t>SVQ06WV1X0A</t>
  </si>
  <si>
    <t>EDWIN ARGUDO</t>
  </si>
  <si>
    <t>sandyluzuriaga04@hotmail.com</t>
  </si>
  <si>
    <t>MC24B110015</t>
  </si>
  <si>
    <t>TZ247H16507</t>
  </si>
  <si>
    <t>017-901-000109951</t>
  </si>
  <si>
    <t>TP235902452</t>
  </si>
  <si>
    <t>001-500-000071654</t>
  </si>
  <si>
    <t>ZP24C500196</t>
  </si>
  <si>
    <t>DUNIA MALDONADO</t>
  </si>
  <si>
    <t>PAUCARBAMBA 2 35</t>
  </si>
  <si>
    <t>facturas gmlab@gmail.com</t>
  </si>
  <si>
    <t>TZ24AW24245</t>
  </si>
  <si>
    <t>TP251905672</t>
  </si>
  <si>
    <t>WILMER SALAZAR</t>
  </si>
  <si>
    <t>001-500-000072489</t>
  </si>
  <si>
    <t>TP24A408506</t>
  </si>
  <si>
    <t>CHORDELEG/GUALACEO</t>
  </si>
  <si>
    <t>wily.el.cangri@gmail.com</t>
  </si>
  <si>
    <t>TZ24CA08118</t>
  </si>
  <si>
    <t>ZP251U00184</t>
  </si>
  <si>
    <t>040-103-000014992</t>
  </si>
  <si>
    <t>ZP253T00004</t>
  </si>
  <si>
    <t>ANA MARIA VALLEJO</t>
  </si>
  <si>
    <t>ORDONEZ LASSO</t>
  </si>
  <si>
    <t>amavellejo79@outlook.es</t>
  </si>
  <si>
    <t>TZ239B09192</t>
  </si>
  <si>
    <t>002-201-000011122</t>
  </si>
  <si>
    <t>ZP251000211</t>
  </si>
  <si>
    <t>CRISTIAN PEREZ</t>
  </si>
  <si>
    <t>crisperez@2008@hotmail.com</t>
  </si>
  <si>
    <t>TP252R03905</t>
  </si>
  <si>
    <t>016-902-000516620</t>
  </si>
  <si>
    <t>ZP251M00125</t>
  </si>
  <si>
    <t>DELIA ALVAREZ</t>
  </si>
  <si>
    <t>CONDOMINIO BALTAZARA</t>
  </si>
  <si>
    <t>delavarez10@icloud.com</t>
  </si>
  <si>
    <t>EK24CA00021</t>
  </si>
  <si>
    <t>001-500-000073008</t>
  </si>
  <si>
    <t>EK247F00012</t>
  </si>
  <si>
    <t>PAOLA DAVILA</t>
  </si>
  <si>
    <t>gabiclaf.orellana@gmail.com</t>
  </si>
  <si>
    <t>ZP251000189</t>
  </si>
  <si>
    <t>TP24BK00766</t>
  </si>
  <si>
    <t>TZ252327048</t>
  </si>
  <si>
    <t>016-902-000519585</t>
  </si>
  <si>
    <t>TP253U06817</t>
  </si>
  <si>
    <t>NARCISA REYES</t>
  </si>
  <si>
    <t>MANUEL CISNEROS Y VINUEZA</t>
  </si>
  <si>
    <t>nreyes@gmail.com</t>
  </si>
  <si>
    <t>TP252B03164</t>
  </si>
  <si>
    <t>001-500-000074004</t>
  </si>
  <si>
    <t>TP2511003982</t>
  </si>
  <si>
    <t>ALICIA REYES</t>
  </si>
  <si>
    <t>BANOS</t>
  </si>
  <si>
    <t>ZP242P00649</t>
  </si>
  <si>
    <t>TP253000285</t>
  </si>
  <si>
    <t>dsalvarez@icloud.com</t>
  </si>
  <si>
    <t>TZ24B010697</t>
  </si>
  <si>
    <t>001-500-000075432</t>
  </si>
  <si>
    <t>ZP253T00067</t>
  </si>
  <si>
    <t>EDGAR MOSQUERA</t>
  </si>
  <si>
    <t>adchock1804@yahoo.com</t>
  </si>
  <si>
    <t>TZ240405126</t>
  </si>
  <si>
    <t>001-502-000000295</t>
  </si>
  <si>
    <t>TP251002547</t>
  </si>
  <si>
    <t>PRISCILA TORRES</t>
  </si>
  <si>
    <t>ZHUCAY/TARQUI</t>
  </si>
  <si>
    <t>ptorresz@hotmail.com</t>
  </si>
  <si>
    <t>TZ252732476</t>
  </si>
  <si>
    <t>TP251000187</t>
  </si>
  <si>
    <t>MD248L0000386</t>
  </si>
  <si>
    <t>PX253T00009</t>
  </si>
  <si>
    <t>001-500-000075182</t>
  </si>
  <si>
    <t>TP255E07801</t>
  </si>
  <si>
    <t>PABLO DOMINGUEZ</t>
  </si>
  <si>
    <t>SAYAUSI</t>
  </si>
  <si>
    <t>dominguezpablo805@gmail.com</t>
  </si>
  <si>
    <t>ZP253T00057</t>
  </si>
  <si>
    <t>006-002-000157890</t>
  </si>
  <si>
    <t>TP251W06258</t>
  </si>
  <si>
    <t>TIMOTHY HOCH</t>
  </si>
  <si>
    <t>tihoch3@gmail.com</t>
  </si>
  <si>
    <t>ZP242900919</t>
  </si>
  <si>
    <t>TZ24B527069</t>
  </si>
  <si>
    <t>001-600-000068906</t>
  </si>
  <si>
    <t>TP245E04651</t>
  </si>
  <si>
    <t xml:space="preserve">PAZ REYES </t>
  </si>
  <si>
    <t>pazreyescordero@hotmail.com</t>
  </si>
  <si>
    <t>001-600-000068775</t>
  </si>
  <si>
    <t>TZ246A06449</t>
  </si>
  <si>
    <t>001-600-000071956</t>
  </si>
  <si>
    <t>ZP251U00176</t>
  </si>
  <si>
    <t>YH243000035</t>
  </si>
  <si>
    <t>040-103-000008413</t>
  </si>
  <si>
    <t>TP246E08448</t>
  </si>
  <si>
    <t>MARIA ELISA MOSCOSO</t>
  </si>
  <si>
    <t>12 OCTUBRE Y DON BOSCO</t>
  </si>
  <si>
    <t>arqmariaelisamoscos@hotmail.com</t>
  </si>
  <si>
    <t>TP246E08447</t>
  </si>
  <si>
    <t>016-902-000511329</t>
  </si>
  <si>
    <t>TP243N09618</t>
  </si>
  <si>
    <t>MARY SALVA/JHONATAN CRESPO</t>
  </si>
  <si>
    <t>BIBLIAN</t>
  </si>
  <si>
    <t>marysalba88@gmail.com</t>
  </si>
  <si>
    <t>043-906-000043812</t>
  </si>
  <si>
    <t>TZ244R23249</t>
  </si>
  <si>
    <t>040-104-000012787</t>
  </si>
  <si>
    <t>ZP255900412</t>
  </si>
  <si>
    <t>ARIANA RUKEISER</t>
  </si>
  <si>
    <t>PASEO 3 DE NOVIEMBRE</t>
  </si>
  <si>
    <t>arukeiser@yahoo.com</t>
  </si>
  <si>
    <t>TZ246A06533</t>
  </si>
  <si>
    <t>TZ249B06753</t>
  </si>
  <si>
    <t>001-500-000072194</t>
  </si>
  <si>
    <t>MD249LO5954</t>
  </si>
  <si>
    <t>VITORIA HOGAR</t>
  </si>
  <si>
    <t>001-001-0000001634</t>
  </si>
  <si>
    <t>TZ243T28753</t>
  </si>
  <si>
    <t>ADRIANA FERNANDEZ</t>
  </si>
  <si>
    <t>ingelecort2018@gmail.com</t>
  </si>
  <si>
    <t>ZP253500732</t>
  </si>
  <si>
    <t>043-903-000087380</t>
  </si>
  <si>
    <t>ZP253S00713</t>
  </si>
  <si>
    <t>ELIANA MUNOZ</t>
  </si>
  <si>
    <t>elianamunoz@gmail.com</t>
  </si>
  <si>
    <t>TZ256302534</t>
  </si>
  <si>
    <t>001-500-000074541</t>
  </si>
  <si>
    <t>ZP251T00186</t>
  </si>
  <si>
    <t>CARLOS ASTUDILLO</t>
  </si>
  <si>
    <t>CRISSTOBAL COLON 5 24</t>
  </si>
  <si>
    <t>carlosfesastudillo@hotmail.com</t>
  </si>
  <si>
    <t>TP253E11287</t>
  </si>
  <si>
    <t>001-500-000072805</t>
  </si>
  <si>
    <t>TZ24CA07341</t>
  </si>
  <si>
    <t>MARTIN URGILES</t>
  </si>
  <si>
    <t>DEL ARRIERO Y AV. DEL TEJAR</t>
  </si>
  <si>
    <t>c.dani.87@hotmail.com</t>
  </si>
  <si>
    <t>ZP251T00336</t>
  </si>
  <si>
    <t>043-905-000034640</t>
  </si>
  <si>
    <t>MD247L00231</t>
  </si>
  <si>
    <t>JUAN AVILA</t>
  </si>
  <si>
    <t>DON BOSCO</t>
  </si>
  <si>
    <t>gailaj_1036@yahoo.com</t>
  </si>
  <si>
    <t>040-103-000004141</t>
  </si>
  <si>
    <t>ZP241X00099</t>
  </si>
  <si>
    <t>TZ242605674</t>
  </si>
  <si>
    <t>001-500-000073019</t>
  </si>
  <si>
    <t>ZP24CL00237</t>
  </si>
  <si>
    <t>IVANNA BERMEO</t>
  </si>
  <si>
    <t>cris.jim93@hotmail.com</t>
  </si>
  <si>
    <t>001-500-000075842</t>
  </si>
  <si>
    <t>TZ245N21961</t>
  </si>
  <si>
    <t>001-500-000068848</t>
  </si>
  <si>
    <t>TP249L09350</t>
  </si>
  <si>
    <t>FABIAN MOLINA</t>
  </si>
  <si>
    <t>jj.roesner@gmail.com</t>
  </si>
  <si>
    <t>ZP244W00582</t>
  </si>
  <si>
    <t>006-002-000157433</t>
  </si>
  <si>
    <t>ZP24AN00573</t>
  </si>
  <si>
    <t>030171784!</t>
  </si>
  <si>
    <t>remigiocresp011@gmail.com</t>
  </si>
  <si>
    <t>TP24AF00375</t>
  </si>
  <si>
    <t>TZ24BF12878</t>
  </si>
  <si>
    <t>016-902-000502715</t>
  </si>
  <si>
    <t>TZ247C12551</t>
  </si>
  <si>
    <t>VERONICA BERMEO</t>
  </si>
  <si>
    <t>DE LOS ADOBES</t>
  </si>
  <si>
    <t>verobermeo5@gmail.com</t>
  </si>
  <si>
    <t>ZP24C200895</t>
  </si>
  <si>
    <t>PXZ1B400851</t>
  </si>
  <si>
    <t>TKZAC5D186700</t>
  </si>
  <si>
    <t>043-905-000070432</t>
  </si>
  <si>
    <t>TKAZC5B0608001</t>
  </si>
  <si>
    <t>FERNANDA SANTA CRUZ</t>
  </si>
  <si>
    <t>fsantacruzcz55@gmail.com</t>
  </si>
  <si>
    <t>001-500-000067476</t>
  </si>
  <si>
    <t>ZP245H00520</t>
  </si>
  <si>
    <t>HW251P29148</t>
  </si>
  <si>
    <t>TZ24CH13258</t>
  </si>
  <si>
    <t>006-000157912</t>
  </si>
  <si>
    <t>TP255E06899</t>
  </si>
  <si>
    <t>TONY REESE</t>
  </si>
  <si>
    <t>treese1040@me.com</t>
  </si>
  <si>
    <t>ZP235400089</t>
  </si>
  <si>
    <t>TZ239403887</t>
  </si>
  <si>
    <t>TP24AV00156</t>
  </si>
  <si>
    <t>001-500-000074967</t>
  </si>
  <si>
    <t>ZP246C00192</t>
  </si>
  <si>
    <t>JUANA VALDIVIEZO</t>
  </si>
  <si>
    <t>CDLA BELLO HORIZONTE</t>
  </si>
  <si>
    <t>clarivelvaldiviezo70@hotmail.com</t>
  </si>
  <si>
    <t>EK24BL00035</t>
  </si>
  <si>
    <t>001-500-000076034</t>
  </si>
  <si>
    <t>TZ245N21864</t>
  </si>
  <si>
    <t>ROBERTO RODAS</t>
  </si>
  <si>
    <t>vivvelezq28@gmail.com</t>
  </si>
  <si>
    <t>TP255E07963</t>
  </si>
  <si>
    <t>001-500-000068014</t>
  </si>
  <si>
    <t>EK24CA00049</t>
  </si>
  <si>
    <t>BELEN CALLE</t>
  </si>
  <si>
    <t>PASEO RIO BLANCO</t>
  </si>
  <si>
    <t>megamueblesbelen@hotmail.com</t>
  </si>
  <si>
    <t>ZP24C300343</t>
  </si>
  <si>
    <t>TP253Q00272</t>
  </si>
  <si>
    <t>TZ2473031119</t>
  </si>
  <si>
    <t>001-502-000000202</t>
  </si>
  <si>
    <t>TZ24AW24314</t>
  </si>
  <si>
    <t>0104219027</t>
  </si>
  <si>
    <t>monicaandrade671@gmail.com</t>
  </si>
  <si>
    <t>TKAZC5B69001</t>
  </si>
  <si>
    <t>ZP255900272</t>
  </si>
  <si>
    <t>EK24B200047</t>
  </si>
  <si>
    <t>TP251905685</t>
  </si>
  <si>
    <t>044-014-000008336</t>
  </si>
  <si>
    <t>TP253V06865</t>
  </si>
  <si>
    <t>EDMUNDO NIOLA</t>
  </si>
  <si>
    <t>HEROES DE VERDELOMA</t>
  </si>
  <si>
    <t>0102120854</t>
  </si>
  <si>
    <t>edniola@live.com</t>
  </si>
  <si>
    <t>ZP24CH00848</t>
  </si>
  <si>
    <t>S/N</t>
  </si>
  <si>
    <t>CO249E00591</t>
  </si>
  <si>
    <t>Sap</t>
  </si>
  <si>
    <t>LAMR</t>
  </si>
  <si>
    <t>0105903785</t>
  </si>
  <si>
    <t>017-901-000116470</t>
  </si>
  <si>
    <t>CO249E00632</t>
  </si>
  <si>
    <t>0301639795</t>
  </si>
  <si>
    <t>sendoluzuriga04@hotmail.com</t>
  </si>
  <si>
    <t>001-500-000075767</t>
  </si>
  <si>
    <t>CO249E00161</t>
  </si>
  <si>
    <t>MERCEDES SEGARRA</t>
  </si>
  <si>
    <t xml:space="preserve">CALLE RETORNO </t>
  </si>
  <si>
    <t>104938469001</t>
  </si>
  <si>
    <t>mscsegarramogrovejo@gmail.com</t>
  </si>
  <si>
    <t xml:space="preserve">SAP TEKA	</t>
  </si>
  <si>
    <t>EK24CA00044</t>
  </si>
  <si>
    <t>COMERCIAL SOLIS(DORIS CHICAIZA)</t>
  </si>
  <si>
    <t>0987515341</t>
  </si>
  <si>
    <t>098990226</t>
  </si>
  <si>
    <t>040-103-000014436</t>
  </si>
  <si>
    <t>PX24C200480</t>
  </si>
  <si>
    <t>LID FERNANDEZ</t>
  </si>
  <si>
    <t>12 DE OCTUBRE CONQUISTADORES</t>
  </si>
  <si>
    <t>0102313483</t>
  </si>
  <si>
    <t>LIDFER@GMAIL.COM</t>
  </si>
  <si>
    <t>001-500-000075033</t>
  </si>
  <si>
    <t>ZP24C401652</t>
  </si>
  <si>
    <t>FRANCISCO RAMIREZ</t>
  </si>
  <si>
    <t>GALLOPINTA Y UBILLA</t>
  </si>
  <si>
    <t>0103788501</t>
  </si>
  <si>
    <t>PACORAMIREZ24@YAHOO.COM</t>
  </si>
  <si>
    <t>040-103-000009750</t>
  </si>
  <si>
    <t>MD247100228</t>
  </si>
  <si>
    <t>GLADYS VILLAVICENCIO</t>
  </si>
  <si>
    <t>0101051878</t>
  </si>
  <si>
    <t>CNVGMVS@HOTMAIL.COM</t>
  </si>
  <si>
    <t>616-902-000517576</t>
  </si>
  <si>
    <t>ZP247H00356</t>
  </si>
  <si>
    <t>HILDA LLIVICURA</t>
  </si>
  <si>
    <t>0103734729</t>
  </si>
  <si>
    <t>ANTONIOROJAS66@YAHOO.COM</t>
  </si>
  <si>
    <t>007-006-000152603</t>
  </si>
  <si>
    <t>AW234800288</t>
  </si>
  <si>
    <t>ADRIAN DELGADO</t>
  </si>
  <si>
    <t>0104847512</t>
  </si>
  <si>
    <t>ADELGADO@VELASHD.COM</t>
  </si>
  <si>
    <t>21/525</t>
  </si>
  <si>
    <t>016-909-000582260</t>
  </si>
  <si>
    <t>TP24A801189</t>
  </si>
  <si>
    <t>MACHAEL ASTUDILLO</t>
  </si>
  <si>
    <t>MAYANCELA</t>
  </si>
  <si>
    <t>862 412 0597</t>
  </si>
  <si>
    <t>0107845836</t>
  </si>
  <si>
    <t>ASTUDILLOMAICOL92@GMAIL.COM</t>
  </si>
  <si>
    <t>BENITO PEREZ Y SALVADOR</t>
  </si>
  <si>
    <t>01049995811</t>
  </si>
  <si>
    <t>EDISSONCAMPO90@GMAIL.COM</t>
  </si>
  <si>
    <t>040-103-000008425</t>
  </si>
  <si>
    <t>ZP243N00413</t>
  </si>
  <si>
    <t>RICHARD DOERNER</t>
  </si>
  <si>
    <t>0152458964</t>
  </si>
  <si>
    <t>RADOERNER1@GMAIL.COM</t>
  </si>
  <si>
    <t>016-907-000161275</t>
  </si>
  <si>
    <t>TP252R03505</t>
  </si>
  <si>
    <t>KARINA CEDILLO</t>
  </si>
  <si>
    <t>RAMONA CORDERO Y GRAL ESCANDON</t>
  </si>
  <si>
    <t>0105037717</t>
  </si>
  <si>
    <t>KARYONGECE@HOTMAIL.COM</t>
  </si>
  <si>
    <t>043-903-000060538</t>
  </si>
  <si>
    <t>TP246C03366</t>
  </si>
  <si>
    <t>CHISTOPER WILTH</t>
  </si>
  <si>
    <t>0152392528</t>
  </si>
  <si>
    <t>C.WEITH@OUTLOOK.COM</t>
  </si>
  <si>
    <t>040-103-000005052</t>
  </si>
  <si>
    <t>ZP24CA00728</t>
  </si>
  <si>
    <t>MARIA BENITEZ</t>
  </si>
  <si>
    <t>0105141967</t>
  </si>
  <si>
    <t>MARICARMEN_6@HOTMAIL.COM</t>
  </si>
  <si>
    <t>007-006-000138259</t>
  </si>
  <si>
    <t>ALEXANDRA MORENO</t>
  </si>
  <si>
    <t>DE LOS ADOBES Y CEREZOS</t>
  </si>
  <si>
    <t>0100964030</t>
  </si>
  <si>
    <t>javieralbarracin27@gmail.com</t>
  </si>
  <si>
    <t>043-905-000083155</t>
  </si>
  <si>
    <t>TP253E11265</t>
  </si>
  <si>
    <t>MARITZA BRACHO</t>
  </si>
  <si>
    <t>CIUDADELA TOMEBAMBA</t>
  </si>
  <si>
    <t>1400230450</t>
  </si>
  <si>
    <t>MARITZABACHOR@GMAIL.COM</t>
  </si>
  <si>
    <t>001-500-000074956</t>
  </si>
  <si>
    <t>Z246C00195</t>
  </si>
  <si>
    <t>ANDRES PENAFIEL</t>
  </si>
  <si>
    <t>GUSTAVO LOMAS Y CAMANO</t>
  </si>
  <si>
    <t>0103156515</t>
  </si>
  <si>
    <t>ESPACIORAL@GMAIL.COM</t>
  </si>
  <si>
    <t>006-000156922</t>
  </si>
  <si>
    <t>JUAN CAMPOZANO</t>
  </si>
  <si>
    <t>0990447215</t>
  </si>
  <si>
    <t>ANA-CALORENA84@HOTMAIL.COM</t>
  </si>
  <si>
    <t>001-500-0000574833</t>
  </si>
  <si>
    <t>ZP246C00193</t>
  </si>
  <si>
    <t>RUBEN CANDO</t>
  </si>
  <si>
    <t>MIGUEL CORDERO Y SOLANO</t>
  </si>
  <si>
    <t>0104431044001</t>
  </si>
  <si>
    <t>MRUBENCANDO@GAIL.COM</t>
  </si>
  <si>
    <t>040-105-00001984</t>
  </si>
  <si>
    <t>SVQ0GWVIXA0</t>
  </si>
  <si>
    <t>IRINA CRESPO</t>
  </si>
  <si>
    <t>RIO AMARILLO CASA 5</t>
  </si>
  <si>
    <t>0102305364</t>
  </si>
  <si>
    <t>IRINACDT@YAHOO.COM</t>
  </si>
  <si>
    <t>001-500-000075588</t>
  </si>
  <si>
    <t>TP253E11280</t>
  </si>
  <si>
    <t>RENE LEON</t>
  </si>
  <si>
    <t>BETHOVEN ED GARCIA</t>
  </si>
  <si>
    <t>0101601052</t>
  </si>
  <si>
    <t>LJORGERENA@YAHOO.COM</t>
  </si>
  <si>
    <t>DECOCASA</t>
  </si>
  <si>
    <t>001-019-000014906</t>
  </si>
  <si>
    <t>TZ22BG16860</t>
  </si>
  <si>
    <t>GUSTAVO GONZALES</t>
  </si>
  <si>
    <t>SOLANO Y DANIELCORDOVA</t>
  </si>
  <si>
    <t>0101215267</t>
  </si>
  <si>
    <t>PAISAJE.GG@GMAIL.COM</t>
  </si>
  <si>
    <t>040-103-000015247</t>
  </si>
  <si>
    <t>ZP243000242</t>
  </si>
  <si>
    <t>LAURA JARA</t>
  </si>
  <si>
    <t>PASEO RIO MIGUIR</t>
  </si>
  <si>
    <t>1400492284</t>
  </si>
  <si>
    <t>LAVAJARASA@GMAIL.COM</t>
  </si>
  <si>
    <t>001-500-000075565</t>
  </si>
  <si>
    <t>TZ24C507101</t>
  </si>
  <si>
    <t>CARMEN LEON</t>
  </si>
  <si>
    <t>0107060766</t>
  </si>
  <si>
    <t>CARMIITALEONTV@GMAIL.COM</t>
  </si>
  <si>
    <t>040-103-000015370</t>
  </si>
  <si>
    <t>ZP24AQ00105</t>
  </si>
  <si>
    <t>JUN SANAY</t>
  </si>
  <si>
    <t>HONDURAS Y NICARAGUA</t>
  </si>
  <si>
    <t>0601774086</t>
  </si>
  <si>
    <t>JUANSANAY@OUTLOOK.COM</t>
  </si>
  <si>
    <t>001-500-000074939</t>
  </si>
  <si>
    <t>AW234800281</t>
  </si>
  <si>
    <t>CARMEN BALAREZO</t>
  </si>
  <si>
    <t>ALFONSO BORRERO 2 60</t>
  </si>
  <si>
    <t>0100927995</t>
  </si>
  <si>
    <t>CARMENBALAREZO@GMAIL.COM</t>
  </si>
  <si>
    <t>001-500-000075922</t>
  </si>
  <si>
    <t>TP24A408514</t>
  </si>
  <si>
    <t>CARLA SOLANO</t>
  </si>
  <si>
    <t>CORNELIO MERCHAN Y PERALTA</t>
  </si>
  <si>
    <t>0107344467</t>
  </si>
  <si>
    <t>NO INDICA</t>
  </si>
  <si>
    <t>043-904-000080510</t>
  </si>
  <si>
    <t>TP254H07557</t>
  </si>
  <si>
    <t>LUIS BARROS</t>
  </si>
  <si>
    <t>2 DE AGOSTO Y JOSE MEJIA</t>
  </si>
  <si>
    <t>0102898053</t>
  </si>
  <si>
    <t>CDCASITADECARAMELO@GAIL.COM</t>
  </si>
  <si>
    <t>043-903-000087761</t>
  </si>
  <si>
    <t>TP252R0383</t>
  </si>
  <si>
    <t>DIEGO ALEGRIA</t>
  </si>
  <si>
    <t>CARLOS MONTUFAR Y CHORDELEG</t>
  </si>
  <si>
    <t>0927213391</t>
  </si>
  <si>
    <t>DIEGOALEGRIA550@GMAIL.COM</t>
  </si>
  <si>
    <t>001-500-000075983</t>
  </si>
  <si>
    <t>TP251T00001</t>
  </si>
  <si>
    <t>TATIANA VIDAL</t>
  </si>
  <si>
    <t>0984974851</t>
  </si>
  <si>
    <t>TATIANA.VIDALDQ@HOTMAIL.COM</t>
  </si>
  <si>
    <t>001-500-000075989</t>
  </si>
  <si>
    <t>ZP25590031</t>
  </si>
  <si>
    <t>GUISELLE VILLAVICENCIO</t>
  </si>
  <si>
    <t>0987215757</t>
  </si>
  <si>
    <t>GIPADPUBLICIDAD@HOTMAIL.COM</t>
  </si>
  <si>
    <t>001-500-000071744</t>
  </si>
  <si>
    <t>ZP24BT00885</t>
  </si>
  <si>
    <t>PATRICIA GARCIA</t>
  </si>
  <si>
    <t>01018861109</t>
  </si>
  <si>
    <t>PANFEGARCIA@HOTMAIL.COM</t>
  </si>
  <si>
    <t>001-500-000074478</t>
  </si>
  <si>
    <t>TZ249P16564</t>
  </si>
  <si>
    <t>XIMENA ULLAURI</t>
  </si>
  <si>
    <t>OÑA</t>
  </si>
  <si>
    <t>0979786282</t>
  </si>
  <si>
    <t>XIMEU81@GMAIL.COM</t>
  </si>
  <si>
    <t>001-500-000075819</t>
  </si>
  <si>
    <t>TZ256404931</t>
  </si>
  <si>
    <t>DIEGO ESPINOZA</t>
  </si>
  <si>
    <t>CANTON JAMA</t>
  </si>
  <si>
    <t>PAOLABRAVOM@HOTMAIL.COM</t>
  </si>
  <si>
    <t>006-002-000158293</t>
  </si>
  <si>
    <t>ZP254U00229</t>
  </si>
  <si>
    <t>JUAN CORDERO</t>
  </si>
  <si>
    <t>MENDEZ Y PELAYO</t>
  </si>
  <si>
    <t>BXGONZALES@HOTMAIL.COM</t>
  </si>
  <si>
    <t>007-006-000139214</t>
  </si>
  <si>
    <t>ZP24BT00482</t>
  </si>
  <si>
    <t>NATALY CORDERO</t>
  </si>
  <si>
    <t>ANGUINATY@HOTMAIL.COM</t>
  </si>
  <si>
    <t>006-000156200</t>
  </si>
  <si>
    <t>TP24A801239</t>
  </si>
  <si>
    <t>GONZALO MASACHE</t>
  </si>
  <si>
    <t>ALAMOR</t>
  </si>
  <si>
    <t>JERMAGMASACHE@HOTMAIL.COM</t>
  </si>
  <si>
    <t>001-500-000078970</t>
  </si>
  <si>
    <t>TP249AO1921</t>
  </si>
  <si>
    <t>DIANA ALVARRACIN</t>
  </si>
  <si>
    <t>VICENTE CUESTA Y HORTENCIA MATA</t>
  </si>
  <si>
    <t>DIANA.ALBARRACIN@UCUENCA.EDU.EC</t>
  </si>
  <si>
    <t>043-909-000001186</t>
  </si>
  <si>
    <t>TP233308671</t>
  </si>
  <si>
    <t>MARIA BUSTAMANTE</t>
  </si>
  <si>
    <t>ESTEBAL1947@ICLOUD.COM</t>
  </si>
  <si>
    <t>TZ246502075</t>
  </si>
  <si>
    <t>ZP24CL00024</t>
  </si>
  <si>
    <t>MD24BL0000283</t>
  </si>
  <si>
    <t>001-500-000075310</t>
  </si>
  <si>
    <t>ZP253T00069</t>
  </si>
  <si>
    <t>NANCY CORDOVA</t>
  </si>
  <si>
    <t>0104064340</t>
  </si>
  <si>
    <t>MUEBLESCARENO2020@GMAIL.COM</t>
  </si>
  <si>
    <t>TZ247H16135</t>
  </si>
  <si>
    <t>TP253Q00301</t>
  </si>
  <si>
    <t>001-001-000000923</t>
  </si>
  <si>
    <t>ZP252B00398</t>
  </si>
  <si>
    <t>EDUARDO PALACIOS</t>
  </si>
  <si>
    <t>0102897949001</t>
  </si>
  <si>
    <t>ADMINISTRATIVO@SERVICIONOTARIAL.COM</t>
  </si>
  <si>
    <t>TP22C205701</t>
  </si>
  <si>
    <t>TZ255621151</t>
  </si>
  <si>
    <t>MD247L00349</t>
  </si>
  <si>
    <t>043-905-000068254</t>
  </si>
  <si>
    <t>TP24AQO5729</t>
  </si>
  <si>
    <t>MERCEDES ALVAREZ</t>
  </si>
  <si>
    <t xml:space="preserve">JORGE Y ICAZA </t>
  </si>
  <si>
    <t>0100028505</t>
  </si>
  <si>
    <t>JOSEMACHADO28@HOTMAIL.COM,</t>
  </si>
  <si>
    <t>ZP251VOO104</t>
  </si>
  <si>
    <t>TZ243T28366</t>
  </si>
  <si>
    <t>003-170023491</t>
  </si>
  <si>
    <t>ZP245000489</t>
  </si>
  <si>
    <t>JHANET QUEZADA</t>
  </si>
  <si>
    <t>CUMBE</t>
  </si>
  <si>
    <t>0103271920</t>
  </si>
  <si>
    <t>JENNETHQUEZADA97@GMAIL.COM</t>
  </si>
  <si>
    <t>TZ247G14543</t>
  </si>
  <si>
    <t>001-500-000075862</t>
  </si>
  <si>
    <t>EK247F00069</t>
  </si>
  <si>
    <t>DIEGO ANDRADE</t>
  </si>
  <si>
    <t>0105080105</t>
  </si>
  <si>
    <t>DIEGOAB16@HOTMAIL.COM</t>
  </si>
  <si>
    <t>ZP255900270</t>
  </si>
  <si>
    <t>TZ245N21996</t>
  </si>
  <si>
    <t>006-002-000158403</t>
  </si>
  <si>
    <t>PX255700023</t>
  </si>
  <si>
    <t>VERONICA CABRERA</t>
  </si>
  <si>
    <t>CASA TODOS SANTOS</t>
  </si>
  <si>
    <t>0908949878</t>
  </si>
  <si>
    <t>KEYNEJAD@AOL.COM</t>
  </si>
  <si>
    <t>TP232702686</t>
  </si>
  <si>
    <t>TZ244W27069</t>
  </si>
  <si>
    <t>ZP253501086</t>
  </si>
  <si>
    <t>001-500-000076059</t>
  </si>
  <si>
    <t>ZP24C300345</t>
  </si>
  <si>
    <t>GABRIELA ENRIQUEZ</t>
  </si>
  <si>
    <t>URBANIZACION CICA</t>
  </si>
  <si>
    <t>GABYENRIQUEZ21406@GMAIL.COM</t>
  </si>
  <si>
    <t>001-500-000069760</t>
  </si>
  <si>
    <t>TZ244V25754</t>
  </si>
  <si>
    <t>040-104-000010836</t>
  </si>
  <si>
    <t>TP248P08664</t>
  </si>
  <si>
    <t>ERIK PFEFFERKORN</t>
  </si>
  <si>
    <t>407 446 1180</t>
  </si>
  <si>
    <t>ERICPFEFFERKORN777@GMAIL.COM</t>
  </si>
  <si>
    <t>040-103-000013060</t>
  </si>
  <si>
    <t>TZ251022252</t>
  </si>
  <si>
    <t>ZP251T00712</t>
  </si>
  <si>
    <t>17/29/24</t>
  </si>
  <si>
    <t>010-000123094</t>
  </si>
  <si>
    <t>ZP43600239</t>
  </si>
  <si>
    <t>LUZ MARIA MOLINA</t>
  </si>
  <si>
    <t>LULUMEDINA13@GMAIL.COM</t>
  </si>
  <si>
    <t>031-108-000025240</t>
  </si>
  <si>
    <t>PX246H00023</t>
  </si>
  <si>
    <t>TP231P00660</t>
  </si>
  <si>
    <t>TZ247202384</t>
  </si>
  <si>
    <t>043-902-000053502</t>
  </si>
  <si>
    <t>TKAZC5B961000152502140056</t>
  </si>
  <si>
    <t>TANIA GONZALES</t>
  </si>
  <si>
    <t>VIA A CHECA</t>
  </si>
  <si>
    <t>T.GONZALES@ICLOUD.COM</t>
  </si>
  <si>
    <t>ZP252H00809</t>
  </si>
  <si>
    <t>TZ24LA07335</t>
  </si>
  <si>
    <t>PX24BR00528</t>
  </si>
  <si>
    <t>001-500-000075144</t>
  </si>
  <si>
    <t>ZP255S00689</t>
  </si>
  <si>
    <t>VERONICA PACHECO</t>
  </si>
  <si>
    <t>SANTA MARIA</t>
  </si>
  <si>
    <t>VERO.GUAMAN04@GMAIL.COM</t>
  </si>
  <si>
    <t>TP254105572</t>
  </si>
  <si>
    <t>001-500-000065119</t>
  </si>
  <si>
    <t>ZP234500243</t>
  </si>
  <si>
    <t>IVAN PURUNCAJAS</t>
  </si>
  <si>
    <t>PASAJE IMBABURA</t>
  </si>
  <si>
    <t>VERITOPURUNCAJAS@HOTMAIL.COM</t>
  </si>
  <si>
    <t>TZZ243K19027</t>
  </si>
  <si>
    <t>ALMACENES ESPAÑA</t>
  </si>
  <si>
    <t>001-501-000055915</t>
  </si>
  <si>
    <t>TP249C04256</t>
  </si>
  <si>
    <t>TZ248829680</t>
  </si>
  <si>
    <t>ZP245X00411</t>
  </si>
  <si>
    <t>TP247203568</t>
  </si>
  <si>
    <t>001-500-000070734</t>
  </si>
  <si>
    <t>ZP237K00378</t>
  </si>
  <si>
    <t>JULIO CESAR CARPIO</t>
  </si>
  <si>
    <t>J.C.QUIMIFARM@HOTMAIL.COM</t>
  </si>
  <si>
    <t>ZP246U00020</t>
  </si>
  <si>
    <t>JUAN ANDRDE</t>
  </si>
  <si>
    <t>JUANXAG@GMAIL.COM</t>
  </si>
  <si>
    <t>ALMACENES BOYACA</t>
  </si>
  <si>
    <t>007-006-000136229</t>
  </si>
  <si>
    <t>TP249505053</t>
  </si>
  <si>
    <t>JAIME VELESACA</t>
  </si>
  <si>
    <t>EDIFICIO VAZCO</t>
  </si>
  <si>
    <t>J.VELECELA@HOTMAIL.COM</t>
  </si>
  <si>
    <t>001-502-000000407</t>
  </si>
  <si>
    <t>ZP256C00693</t>
  </si>
  <si>
    <t>TP242F04690</t>
  </si>
  <si>
    <t>ZP24CA00514</t>
  </si>
  <si>
    <t>043-906-000049343</t>
  </si>
  <si>
    <t>TP233V06897</t>
  </si>
  <si>
    <t>ISABEL RIVERA</t>
  </si>
  <si>
    <t>AGUSTIN LEON</t>
  </si>
  <si>
    <t>ISABELRIV2T@GMAIL.COM</t>
  </si>
  <si>
    <t>ZP247500385</t>
  </si>
  <si>
    <t>043-103-000071803</t>
  </si>
  <si>
    <t>ZP246C00147</t>
  </si>
  <si>
    <t>PEDRO ALVAREZ</t>
  </si>
  <si>
    <t xml:space="preserve">CARLOS RIGOBERTO </t>
  </si>
  <si>
    <t>JHONHIDALGO1987@GMAIL.COM</t>
  </si>
  <si>
    <t>MD24BL0000274</t>
  </si>
  <si>
    <t>001-500-000076543</t>
  </si>
  <si>
    <t>ZP242900901</t>
  </si>
  <si>
    <t>ANDRES VALDEZ</t>
  </si>
  <si>
    <t>171729801-0</t>
  </si>
  <si>
    <t>ANDRES.VALDES86@GMAIL.COM</t>
  </si>
  <si>
    <t>TZ256405016</t>
  </si>
  <si>
    <t>001-500-000076577</t>
  </si>
  <si>
    <t>011343001800MC24B100055</t>
  </si>
  <si>
    <t>006-000157574</t>
  </si>
  <si>
    <t>ZP24CH01632</t>
  </si>
  <si>
    <t>ADRIAN GALARZA</t>
  </si>
  <si>
    <t>LACASADELSAZONCUENCA@GMAIL.COM</t>
  </si>
  <si>
    <t>TP24AF00387</t>
  </si>
  <si>
    <t>TZ24AW24300</t>
  </si>
  <si>
    <t>002-201-00004951</t>
  </si>
  <si>
    <t>ZP242N00883</t>
  </si>
  <si>
    <t>MONICA URDIALES</t>
  </si>
  <si>
    <t>YANAURCO 556</t>
  </si>
  <si>
    <t>SDBDV@HOTMAIL.COM</t>
  </si>
  <si>
    <t>TP24A902090</t>
  </si>
  <si>
    <t>002-201-000011498</t>
  </si>
  <si>
    <t>TP251W06234</t>
  </si>
  <si>
    <t>ZP212F00022</t>
  </si>
  <si>
    <t>006-002-000157787</t>
  </si>
  <si>
    <t>YH248R00099</t>
  </si>
  <si>
    <t>XIMENA LEON</t>
  </si>
  <si>
    <t>GERENCIA@GESTIONSEGURA.COM.EC</t>
  </si>
  <si>
    <t>TZ24BF12865</t>
  </si>
  <si>
    <t>TP251U02530</t>
  </si>
  <si>
    <t>ZP24AQ00074</t>
  </si>
  <si>
    <t>TKAZC5B060800152501150006</t>
  </si>
  <si>
    <t>MD24BL000360</t>
  </si>
  <si>
    <t>TEKA S.A</t>
  </si>
  <si>
    <t>004-010-000005378</t>
  </si>
  <si>
    <t>ZP255900388</t>
  </si>
  <si>
    <t>SOLEDAD MORALES</t>
  </si>
  <si>
    <t>EDIFICIO ATLANTDA</t>
  </si>
  <si>
    <t>SOLMORALES2015@HOTMAIL.COM</t>
  </si>
  <si>
    <t>TP254103584</t>
  </si>
  <si>
    <t>001-018-000071702</t>
  </si>
  <si>
    <t>TP253A00854</t>
  </si>
  <si>
    <t>KARL NEWMAN</t>
  </si>
  <si>
    <t>JACARANDA</t>
  </si>
  <si>
    <t>KFNEWMANN@YAHOO.COM</t>
  </si>
  <si>
    <t>TZ24BF12864</t>
  </si>
  <si>
    <t>PX243F00018</t>
  </si>
  <si>
    <t>001-500-000075108</t>
  </si>
  <si>
    <t>MW251P29439</t>
  </si>
  <si>
    <t>GLORIA MOLINA</t>
  </si>
  <si>
    <t>504-4395</t>
  </si>
  <si>
    <t>ADMINISTRACION@QULMOV.COM.EC</t>
  </si>
  <si>
    <t>004-040-000003038</t>
  </si>
  <si>
    <t>TZ247202391</t>
  </si>
  <si>
    <t>ROSA SERRANO</t>
  </si>
  <si>
    <t>MERCY.ARCE@TEKA.EC</t>
  </si>
  <si>
    <t>004-040-000002983</t>
  </si>
  <si>
    <t>EK249200034</t>
  </si>
  <si>
    <t>ZP24CH00684</t>
  </si>
  <si>
    <t>001-001-000001258</t>
  </si>
  <si>
    <t>TZ2566015797</t>
  </si>
  <si>
    <t>SUSANA BROW</t>
  </si>
  <si>
    <t>EDIFICIO ROSENTAL</t>
  </si>
  <si>
    <t>RSNS.BROWN@GMAIL.COM</t>
  </si>
  <si>
    <t>MD2555007884</t>
  </si>
  <si>
    <t>001-500-000076519</t>
  </si>
  <si>
    <t>ZP252H00756</t>
  </si>
  <si>
    <t>KHATERINE MARSHALL</t>
  </si>
  <si>
    <t>949 2334182</t>
  </si>
  <si>
    <t>LANEPOWELL03@GMAIL.COM</t>
  </si>
  <si>
    <t>TZ247H16123</t>
  </si>
  <si>
    <t>TP251N03950</t>
  </si>
  <si>
    <t>040-104-00000696</t>
  </si>
  <si>
    <t>ZP242M00333</t>
  </si>
  <si>
    <t>GABRIELA CORDOVA</t>
  </si>
  <si>
    <t>GABYCO_1993@HOTMAIL.COM</t>
  </si>
  <si>
    <t>TZ24AW24153</t>
  </si>
  <si>
    <t>040-103-000006516</t>
  </si>
  <si>
    <t>TZ244519301</t>
  </si>
  <si>
    <t>MARCO DEBLOUS</t>
  </si>
  <si>
    <t>PLAZA DEL PARQUE</t>
  </si>
  <si>
    <t>M.A.DEBLOIS@HOTMAIL.COM</t>
  </si>
  <si>
    <t>ZP241B00498</t>
  </si>
  <si>
    <t>006-002-000156940</t>
  </si>
  <si>
    <t>ZP246R00458</t>
  </si>
  <si>
    <t>LORENA QUEZADA</t>
  </si>
  <si>
    <t>ANTON DE SEVILLA</t>
  </si>
  <si>
    <t>J-VERAZORA@HOTMAIL.COM</t>
  </si>
  <si>
    <t>TZ245229159</t>
  </si>
  <si>
    <t>TP243R02032</t>
  </si>
  <si>
    <t>PX20AF00388</t>
  </si>
  <si>
    <t>001-500-000076849</t>
  </si>
  <si>
    <t>ZP252H00814</t>
  </si>
  <si>
    <t>DIANA SANCHEZ</t>
  </si>
  <si>
    <t>CHARLES DARWIN</t>
  </si>
  <si>
    <t>ADRICNBALAREZO8@GMAIL.COM</t>
  </si>
  <si>
    <t>TP255E06400</t>
  </si>
  <si>
    <t>TZ246A063861</t>
  </si>
  <si>
    <t>EK24AV00046</t>
  </si>
  <si>
    <t>001-500-000074247</t>
  </si>
  <si>
    <t>TZ252752501</t>
  </si>
  <si>
    <t>NORMA LOJANO</t>
  </si>
  <si>
    <t>FRAY LUIS DE LEY</t>
  </si>
  <si>
    <t>LOJANONORMA8@GMAIL.COM</t>
  </si>
  <si>
    <t>TP249900067</t>
  </si>
  <si>
    <t>001-500-000065593</t>
  </si>
  <si>
    <t>TZ235J17513</t>
  </si>
  <si>
    <t>RAFAEL SUCOSHANAY</t>
  </si>
  <si>
    <t>ALFONSO MORENO MORA</t>
  </si>
  <si>
    <t>ELIZ.ECO.122@GMAIL.COM</t>
  </si>
  <si>
    <t>ZP241WW196</t>
  </si>
  <si>
    <t>PX217W00178</t>
  </si>
  <si>
    <t>MD22B200484</t>
  </si>
  <si>
    <t>001-500-000076819</t>
  </si>
  <si>
    <t>ZP253T00066</t>
  </si>
  <si>
    <t>KARINA ORELLANA</t>
  </si>
  <si>
    <t>CALLE UNION SOVIETICA</t>
  </si>
  <si>
    <t>KARINAORELLANA0122@GMAIL.COM</t>
  </si>
  <si>
    <t>TZ256302525</t>
  </si>
  <si>
    <t>001-500-000073781</t>
  </si>
  <si>
    <t>TZ243T28462</t>
  </si>
  <si>
    <t>JOSE ASTUDILLO</t>
  </si>
  <si>
    <t>JOSE.ASTUDILLO16@HOTMAIL.COM</t>
  </si>
  <si>
    <t>ZP255000151</t>
  </si>
  <si>
    <t>001-500-000076953</t>
  </si>
  <si>
    <t>EK24BL00028</t>
  </si>
  <si>
    <t>LUIS VELAZCO</t>
  </si>
  <si>
    <t>SILENTTODO@GMAIL.COM</t>
  </si>
  <si>
    <t>TZ255W27181</t>
  </si>
  <si>
    <t>CAFETERA INTEGRACION CLC 855 GM INOX</t>
  </si>
  <si>
    <t>AP24050980085</t>
  </si>
  <si>
    <t>FILTROOBSTRUIDO SE DA SOLUCION</t>
  </si>
  <si>
    <t>0102311651001</t>
  </si>
  <si>
    <t xml:space="preserve"> XICIRUBLA84@HOTMAIL.COM </t>
  </si>
  <si>
    <t>TRITURADOR TR 710</t>
  </si>
  <si>
    <t>TR 710.1 TRITURADOR</t>
  </si>
  <si>
    <t>240428AF0781</t>
  </si>
  <si>
    <t>CAMBIO DE PRODUCTO</t>
  </si>
  <si>
    <t>1802871218</t>
  </si>
  <si>
    <t xml:space="preserve"> PAZREYESCORDERO@HOTMAIL.COM </t>
  </si>
  <si>
    <t>001-500-000071956</t>
  </si>
  <si>
    <t>GENERADOR ENC 120/240 EW 60</t>
  </si>
  <si>
    <t>GSC 64320 XBA IX (LAT) COCINA INOX</t>
  </si>
  <si>
    <t>ZP239600478</t>
  </si>
  <si>
    <t>HERMEL MASACHE</t>
  </si>
  <si>
    <t>SUSTITUCION DE MODELO DE ENCENCIDO</t>
  </si>
  <si>
    <t>11034466742</t>
  </si>
  <si>
    <t xml:space="preserve"> HERMAGMASACHE@HOTMAIL.COM </t>
  </si>
  <si>
    <t>006-0001562200</t>
  </si>
  <si>
    <t>LAMPARA LED 3W DPL 90 NEGRA</t>
  </si>
  <si>
    <t>DG3 70 CRISTAL CAMPANA (NC: 40485357)</t>
  </si>
  <si>
    <t>PX169P00063</t>
  </si>
  <si>
    <t>LUZ LOJA</t>
  </si>
  <si>
    <t>SUSTITUYE LAMPARAS QUE NO FUNCIONABAN</t>
  </si>
  <si>
    <t xml:space="preserve"> JJ.ARTEAGA58@GMAIL.COM </t>
  </si>
  <si>
    <t>001-101-000026485</t>
  </si>
  <si>
    <t>IZF 64440 MSP BK COCINA INDUCCION</t>
  </si>
  <si>
    <t>ZP234MD00339</t>
  </si>
  <si>
    <t>DAVID ASTUDILLO</t>
  </si>
  <si>
    <t>PLACA QUEMADA, SE SUSTITUYE</t>
  </si>
  <si>
    <t>0104706676</t>
  </si>
  <si>
    <t xml:space="preserve"> DAVEASTUD@GMAIL.COM </t>
  </si>
  <si>
    <t>043-903-00000047</t>
  </si>
  <si>
    <t>JZC 64322 ABB BK (LAT) COCINA MIXTA GAS - INDUCCION</t>
  </si>
  <si>
    <t>ZP231400041</t>
  </si>
  <si>
    <t>EDUARDO BACULIMA</t>
  </si>
  <si>
    <t>SE TRABA PARRILLAS DE INDUCCION, SE SOLUCIONA</t>
  </si>
  <si>
    <t>0101059611</t>
  </si>
  <si>
    <t xml:space="preserve"> CECIOLIVARES24@GMAIL.COM </t>
  </si>
  <si>
    <t>102-109-000025849</t>
  </si>
  <si>
    <t>MOTOR COMPLETO DTH 97670</t>
  </si>
  <si>
    <t>EY47H00054</t>
  </si>
  <si>
    <t>EL MOTOR NO ENCIEDE Y ES SUSTITUIDO</t>
  </si>
  <si>
    <t>0104435417</t>
  </si>
  <si>
    <t xml:space="preserve"> ADRIANHERAS@ICLOUD.COM </t>
  </si>
  <si>
    <t>006-002-000157453</t>
  </si>
  <si>
    <t>IZF 99700 MST</t>
  </si>
  <si>
    <t>IZF 99700 MST COCINA INDUCCION</t>
  </si>
  <si>
    <t>ZP2521300379</t>
  </si>
  <si>
    <t xml:space="preserve"> GABYMALO@HOTMAIL.COM </t>
  </si>
  <si>
    <t>040-104-000011595</t>
  </si>
  <si>
    <t>COCINA GOURMET BBQ 4100 G SS</t>
  </si>
  <si>
    <t>CO249E00203</t>
  </si>
  <si>
    <t>COLOCACION PULSADOR ENCENDIDIO</t>
  </si>
  <si>
    <t>0103642708</t>
  </si>
  <si>
    <t xml:space="preserve"> VENTAS@COMERCIALSOLIS.COM.EC </t>
  </si>
  <si>
    <t>GSC 96320 XBA IX (LAT) COCINA INOX</t>
  </si>
  <si>
    <t>ZP255900221</t>
  </si>
  <si>
    <t>COLOCACION MANDO</t>
  </si>
  <si>
    <t>CO249E00532</t>
  </si>
  <si>
    <t>KYWI WYRA</t>
  </si>
  <si>
    <t>AV 24 MAYO</t>
  </si>
  <si>
    <t>17900412260001</t>
  </si>
  <si>
    <t>JCRUZ@KYWI.COM.EC</t>
  </si>
  <si>
    <t>CO249E00238</t>
  </si>
  <si>
    <t>043-906-000050121</t>
  </si>
  <si>
    <t>CO249E00196</t>
  </si>
  <si>
    <t>MARTIN FLORES</t>
  </si>
  <si>
    <t>EDUARDO MALO</t>
  </si>
  <si>
    <t>01045005537</t>
  </si>
  <si>
    <t>MARTINF_24@HOTMAIL.COM</t>
  </si>
  <si>
    <t>006-002-000158018</t>
  </si>
  <si>
    <t>CO249E00076</t>
  </si>
  <si>
    <t>RAUL VINTIMILLA</t>
  </si>
  <si>
    <t>MIRAFLORES</t>
  </si>
  <si>
    <t>0101559599001</t>
  </si>
  <si>
    <t>RAULVINTIMILLA65@GMAIL.COM</t>
  </si>
  <si>
    <t>001-001-000001257</t>
  </si>
  <si>
    <t>CO249E00352</t>
  </si>
  <si>
    <t>EDIFICO ATLANTIDA</t>
  </si>
  <si>
    <t>0404391713</t>
  </si>
  <si>
    <t>040-105-000002021</t>
  </si>
  <si>
    <t>CO249E00167</t>
  </si>
  <si>
    <t>SEGUNDO GUAMAN</t>
  </si>
  <si>
    <t>1101091814</t>
  </si>
  <si>
    <t>SEGUNDOGUAMAN65@HOTMAIL.COM</t>
  </si>
  <si>
    <t>043-902-000061233</t>
  </si>
  <si>
    <t>CO249E00791</t>
  </si>
  <si>
    <t>GONZALO PERALTA</t>
  </si>
  <si>
    <t>GIRON</t>
  </si>
  <si>
    <t>0106338502001</t>
  </si>
  <si>
    <t>CERVEZACHAVINAN@GMAIL.COM</t>
  </si>
  <si>
    <t>540515086014B261100034</t>
  </si>
  <si>
    <t>COMERCIAL SOLIS(JAKELINE RODAS)</t>
  </si>
  <si>
    <t>PX255000028</t>
  </si>
  <si>
    <t>COMERCIAL SOLIS(CECILIA CUESTA)</t>
  </si>
  <si>
    <t>0958971701</t>
  </si>
  <si>
    <t>EK247200012</t>
  </si>
  <si>
    <t>PX203400095</t>
  </si>
  <si>
    <t>EK24BL00033</t>
  </si>
  <si>
    <t>TP213800020</t>
  </si>
  <si>
    <t>TP255703562</t>
  </si>
  <si>
    <t>023-903+B6-000356725</t>
  </si>
  <si>
    <t>IZC 64010 MSS COCINA INDUCCION</t>
  </si>
  <si>
    <t>ZP24BT00518</t>
  </si>
  <si>
    <t>CRISTIAN MORALES</t>
  </si>
  <si>
    <t>CONDOMINIO RIO 4</t>
  </si>
  <si>
    <t>0104740091</t>
  </si>
  <si>
    <t>CRISMORALES@GMAIL.COM</t>
  </si>
  <si>
    <t>040-104-000011836</t>
  </si>
  <si>
    <t>GBC 75030 KBB CRISTAL COCINA GAS</t>
  </si>
  <si>
    <t>ZP24AF00415</t>
  </si>
  <si>
    <t>FELIX BRITO</t>
  </si>
  <si>
    <t>0151915020</t>
  </si>
  <si>
    <t>FELIZBRITO660@GMAIL.COM</t>
  </si>
  <si>
    <t>016-907-000264585</t>
  </si>
  <si>
    <t>C 7310 INOX CAMPANA (110V-60HZ) C/KIT</t>
  </si>
  <si>
    <t>TP245904559</t>
  </si>
  <si>
    <t>TATIANA HUIRACOCHA</t>
  </si>
  <si>
    <t>RICAURTE PACO MONCAYO</t>
  </si>
  <si>
    <t>0301850954</t>
  </si>
  <si>
    <t>TAMY252930@HOTMAIL.COM</t>
  </si>
  <si>
    <t>MARIA PAZ REYES</t>
  </si>
  <si>
    <t>018528712118</t>
  </si>
  <si>
    <t>PAZREYESCORDERO@HOTMAIL.COM</t>
  </si>
  <si>
    <t>043-904-00052090</t>
  </si>
  <si>
    <t>GFH 73 INOX CAMPANA (110V-60HZ) C/KIT</t>
  </si>
  <si>
    <t>SEBASTIAN CALVACHE</t>
  </si>
  <si>
    <t>DE LOS COBAYOS Y LA FLORESTA</t>
  </si>
  <si>
    <t>0105802757</t>
  </si>
  <si>
    <t>SEBESTIANCALVACHE98@GMAIL.COM</t>
  </si>
  <si>
    <t>001-500-000076240</t>
  </si>
  <si>
    <t>C 9310 INOX CAMPANA (110V-60HZ) C/KIT</t>
  </si>
  <si>
    <t>TP24BV05919</t>
  </si>
  <si>
    <t>SUSANA UREÑA</t>
  </si>
  <si>
    <t>GERONA Y BARCELONA</t>
  </si>
  <si>
    <t>0102860095</t>
  </si>
  <si>
    <t>SUSANAURENA20@GMAIL.COM</t>
  </si>
  <si>
    <t>017-901-000117904</t>
  </si>
  <si>
    <t>ZP252H00813</t>
  </si>
  <si>
    <t>MONICA CALLE</t>
  </si>
  <si>
    <t>0104484654</t>
  </si>
  <si>
    <t>MONICACALLEJ.CPA@GMAIL.COM</t>
  </si>
  <si>
    <t>001-500-000076324</t>
  </si>
  <si>
    <t>HLB 8400 FBK HORNO ELEC</t>
  </si>
  <si>
    <t>TZ24AW24292</t>
  </si>
  <si>
    <t>DAVID ALVARADO</t>
  </si>
  <si>
    <t>201 5646484</t>
  </si>
  <si>
    <t>0104163860</t>
  </si>
  <si>
    <t>DAVICHO0115@GMAIL.COM</t>
  </si>
  <si>
    <t>040-104-000013072</t>
  </si>
  <si>
    <t>GZC 95320 XBB CRISTAL COCINA GAS</t>
  </si>
  <si>
    <t>ZP24C500220</t>
  </si>
  <si>
    <t>MARIA ENRIQUEZ</t>
  </si>
  <si>
    <t>CREZA DE LEON Y EL SALADO</t>
  </si>
  <si>
    <t>1101830212</t>
  </si>
  <si>
    <t>SOLESOCT58@GMAIL.COM</t>
  </si>
  <si>
    <t>040-103-000009765</t>
  </si>
  <si>
    <t>JZC 96324 ABB BK (LAT) COCINA MIXTA GAS - INDUCCION (40213042)</t>
  </si>
  <si>
    <t>ZP246800338</t>
  </si>
  <si>
    <t>VERONICA PURUNCAJAS</t>
  </si>
  <si>
    <t>043-907-000029887</t>
  </si>
  <si>
    <t>EX 60.1 4G AI DR CI COCINA INOX</t>
  </si>
  <si>
    <t>ZP236D01169</t>
  </si>
  <si>
    <t>LADY SANGACHA</t>
  </si>
  <si>
    <t>ROCAS DE MISICATA</t>
  </si>
  <si>
    <t>40212014</t>
  </si>
  <si>
    <t>LADY_TAPIA@HOTMAIL.COM</t>
  </si>
  <si>
    <t>040-103-000015566</t>
  </si>
  <si>
    <t>ZP253501097</t>
  </si>
  <si>
    <t>NAYIBE ALCALA</t>
  </si>
  <si>
    <t>LA ISLA EDIFICIO ATLANTIDA</t>
  </si>
  <si>
    <t>0152122446</t>
  </si>
  <si>
    <t>NAYIALCALA@GMAIL.COM</t>
  </si>
  <si>
    <t>016-907-000268448</t>
  </si>
  <si>
    <t>TP24BV05963</t>
  </si>
  <si>
    <t>MARIANA VAZQUES</t>
  </si>
  <si>
    <t>0102701810</t>
  </si>
  <si>
    <t>TJTORRES.TJ7@GMAIL.COM</t>
  </si>
  <si>
    <t>007-006-000139425</t>
  </si>
  <si>
    <t>COCINA A GAS FS3RL966GGX</t>
  </si>
  <si>
    <t>24250D36373</t>
  </si>
  <si>
    <t>RUTH DELGADO</t>
  </si>
  <si>
    <t>0102821014001</t>
  </si>
  <si>
    <t>FERNANDODELGADO54@YAHOO.COM</t>
  </si>
  <si>
    <t>001-500-000076137</t>
  </si>
  <si>
    <t>DVN 64030 TCL BK CAMPANA (110V-60HZ) C/KIT</t>
  </si>
  <si>
    <t>EK247200021</t>
  </si>
  <si>
    <t>XIMENA SERPENTEGUI</t>
  </si>
  <si>
    <t>PASEO DEL SOL</t>
  </si>
  <si>
    <t>0101550978</t>
  </si>
  <si>
    <t>XSERPENTEGUI@GMAIL.COM</t>
  </si>
  <si>
    <t>043-903-000029121</t>
  </si>
  <si>
    <t>TP241H05537</t>
  </si>
  <si>
    <t>LORENA VAZQUES</t>
  </si>
  <si>
    <t>VIA PACCHA</t>
  </si>
  <si>
    <t>0104848114</t>
  </si>
  <si>
    <t>GLADYSLORENA32@GMAIL.COM</t>
  </si>
  <si>
    <t>043-903-000092241</t>
  </si>
  <si>
    <t>MWG 11X - MICROONDAS</t>
  </si>
  <si>
    <t>FIW251P29116</t>
  </si>
  <si>
    <t>MOISES SANAY</t>
  </si>
  <si>
    <t>CRISTOBAL COLON</t>
  </si>
  <si>
    <t>0604624056</t>
  </si>
  <si>
    <t>ROUSZAMBRANO@HOTMAIL.COM</t>
  </si>
  <si>
    <t>003-000024615</t>
  </si>
  <si>
    <t>HLB 840 INOX HORNO ELEC</t>
  </si>
  <si>
    <t>TZ24AF11501</t>
  </si>
  <si>
    <t>VERONICA ARPI</t>
  </si>
  <si>
    <t>0103933024</t>
  </si>
  <si>
    <t>VEROARPI@HOTMAIL.COM</t>
  </si>
  <si>
    <t>043-907-000030320</t>
  </si>
  <si>
    <t>SONIA JARRIN</t>
  </si>
  <si>
    <t>ROBERTO CRESPO</t>
  </si>
  <si>
    <t>0102469541</t>
  </si>
  <si>
    <t>SONY.JARRIN,DIAZ@HOTMAIL.COM</t>
  </si>
  <si>
    <t>SUPERMAXI</t>
  </si>
  <si>
    <t>242-129-000003698</t>
  </si>
  <si>
    <t>RLF 74920 SS SBS REFRIGERADORA</t>
  </si>
  <si>
    <t>MC234H00025</t>
  </si>
  <si>
    <t>SILVIA PERALTA</t>
  </si>
  <si>
    <t>0995139439</t>
  </si>
  <si>
    <t>GCORDEROP.28@HOTMAIL.COM</t>
  </si>
  <si>
    <t xml:space="preserve">COMOHOGAR </t>
  </si>
  <si>
    <t>044-013-000025779</t>
  </si>
  <si>
    <t>GSC 95330 XBA IX (LAT) COCINA INOX</t>
  </si>
  <si>
    <t>ZP256000619</t>
  </si>
  <si>
    <t>RAFAEL PALACIOS</t>
  </si>
  <si>
    <t>0102143211</t>
  </si>
  <si>
    <t>MINIHANGQV@HOTMAIL.COM</t>
  </si>
  <si>
    <t>016-906-000101268</t>
  </si>
  <si>
    <t>GZC 64320 XBB CRISTAL COCINA GAS</t>
  </si>
  <si>
    <t>ZP235H00248</t>
  </si>
  <si>
    <t>JOSE SERPA</t>
  </si>
  <si>
    <t>LOS LAURELES</t>
  </si>
  <si>
    <t>0301613865</t>
  </si>
  <si>
    <t>043-903-000078415</t>
  </si>
  <si>
    <t>RMF 77960 DSS MX REFRIGERADORA DARK INOX</t>
  </si>
  <si>
    <t>TKAZC4141991001</t>
  </si>
  <si>
    <t>DIEGO CEDILLO</t>
  </si>
  <si>
    <t>DE LA VERBENA</t>
  </si>
  <si>
    <t>0102596699</t>
  </si>
  <si>
    <t>DIEGO.CG78@HOTMAIL.COM</t>
  </si>
  <si>
    <t>016-902-000528784</t>
  </si>
  <si>
    <t>GZC 96310 XBB CRISTAL COCINA GAS</t>
  </si>
  <si>
    <t>ZP252E00011</t>
  </si>
  <si>
    <t>GABRIELA LOJA</t>
  </si>
  <si>
    <t>DE LOS BALCONES Y AMERICAS</t>
  </si>
  <si>
    <t>0151041001</t>
  </si>
  <si>
    <t>GABYLOJA@HOTMAIL.COM</t>
  </si>
  <si>
    <t>043-902-000000691</t>
  </si>
  <si>
    <t>TP253B03159</t>
  </si>
  <si>
    <t>SEBASTIAN AUQUILLA</t>
  </si>
  <si>
    <t>REBENQUE Y VIRACOCHABAMBA</t>
  </si>
  <si>
    <t>0105161434</t>
  </si>
  <si>
    <t>SEBASAUQUILLA@GMAIL.COM</t>
  </si>
  <si>
    <t>001-502-000000448</t>
  </si>
  <si>
    <t>RMF 77960 GBK MX REFRIGERADORA</t>
  </si>
  <si>
    <t>TKAZC4M1990001</t>
  </si>
  <si>
    <t>0103035097</t>
  </si>
  <si>
    <t>ptorrest@hotmail.com</t>
  </si>
  <si>
    <t>043-907-000030653</t>
  </si>
  <si>
    <t>C 6310 INOX CAMPANA (110V-60HZ) C/KIT</t>
  </si>
  <si>
    <t>TP253T05196</t>
  </si>
  <si>
    <t>FELIPE EGUEZ</t>
  </si>
  <si>
    <t>1711765261</t>
  </si>
  <si>
    <t>007-007-000035560</t>
  </si>
  <si>
    <t>TP257207333</t>
  </si>
  <si>
    <t xml:space="preserve">RICAURTE  </t>
  </si>
  <si>
    <t>0195096988001</t>
  </si>
  <si>
    <t>ORELLANACONSTRUCTORES@HOTMAIL.COM</t>
  </si>
  <si>
    <t>001-500-000076297</t>
  </si>
  <si>
    <t>C 710 NEGRA CAMPANA (110V-60HZ) C/KIT</t>
  </si>
  <si>
    <t>TP255607654</t>
  </si>
  <si>
    <t>MIRIAM PALACIOS</t>
  </si>
  <si>
    <t>0101304525</t>
  </si>
  <si>
    <t>MARYPAOLA55@HOTMAIL.COM,</t>
  </si>
  <si>
    <t>001-601-000007796</t>
  </si>
  <si>
    <t>TZ246A06356</t>
  </si>
  <si>
    <t>CESAR NARVAEZ</t>
  </si>
  <si>
    <t>0101158939</t>
  </si>
  <si>
    <t>MARTHAMONTENEGRO14@HOTMAIL.COM</t>
  </si>
  <si>
    <t>001-001-000001212</t>
  </si>
  <si>
    <t>HBB 510 BK 220-240  50/60 HORNO ELEC</t>
  </si>
  <si>
    <t>TZ24BK15868</t>
  </si>
  <si>
    <t>ANDRES CASAJOANA</t>
  </si>
  <si>
    <t>LOPE DE VEGA</t>
  </si>
  <si>
    <t>FIDELIAANOS25@YAHOO.ES</t>
  </si>
  <si>
    <t>001-500-000076468</t>
  </si>
  <si>
    <t>HSB 610 NEGRO HORNO ELEC</t>
  </si>
  <si>
    <t>TZ256302495</t>
  </si>
  <si>
    <t>VALERIA ARGUDO</t>
  </si>
  <si>
    <t>MIGUEL ANGEL ESTRELLA</t>
  </si>
  <si>
    <t>JUBSTSYE@GMAIL.COM</t>
  </si>
  <si>
    <t>ZP256400444</t>
  </si>
  <si>
    <t>LUCINDA LEON</t>
  </si>
  <si>
    <t>CALLE LARGA</t>
  </si>
  <si>
    <t>01905096988001</t>
  </si>
  <si>
    <t>XLULIAN33@GMAIL.COM</t>
  </si>
  <si>
    <t>001-500-00007748</t>
  </si>
  <si>
    <t>GZC 75330 XBB CRISTAL COCINA GAS</t>
  </si>
  <si>
    <t>ZP24AMD00835</t>
  </si>
  <si>
    <t>DANIEL TORAL</t>
  </si>
  <si>
    <t>CEREZOS Y HORTENCIAS</t>
  </si>
  <si>
    <t>0101222104</t>
  </si>
  <si>
    <t>DON’T.R@HOTMAIL.COM</t>
  </si>
  <si>
    <t>001-500-000057023</t>
  </si>
  <si>
    <t>ZP22BG00002</t>
  </si>
  <si>
    <t>MARIBEL VANEGAS</t>
  </si>
  <si>
    <t>LUIS MOSCOSO Y C. CALUELAS</t>
  </si>
  <si>
    <t>0103767612</t>
  </si>
  <si>
    <t>016-907-000270410</t>
  </si>
  <si>
    <t>TP254P02218</t>
  </si>
  <si>
    <t>PABLO QUIZPI</t>
  </si>
  <si>
    <t>MONAY</t>
  </si>
  <si>
    <t>0987593514</t>
  </si>
  <si>
    <t>0102929418@GMAIL.COM</t>
  </si>
  <si>
    <t>001-500-000074556</t>
  </si>
  <si>
    <t>DVN 94030 TCL BK CAMPANA (110V-60HZ) C/KIT</t>
  </si>
  <si>
    <t>EK24BL00009</t>
  </si>
  <si>
    <t>JUAN PINTADO</t>
  </si>
  <si>
    <t>QUINTA CHICA</t>
  </si>
  <si>
    <t>0969226813</t>
  </si>
  <si>
    <t>JUANPPINTADO@GMAIL.COM</t>
  </si>
  <si>
    <t>001-500-000076827</t>
  </si>
  <si>
    <t>C 910 NEGRA CAMPANA (110V-60HZ) C/KIT</t>
  </si>
  <si>
    <t>TP255W12787</t>
  </si>
  <si>
    <t>JAIME GUNCAY</t>
  </si>
  <si>
    <t>0994419701</t>
  </si>
  <si>
    <t>CLAUDIO2564@HOTMAIL.COM</t>
  </si>
  <si>
    <t>043-903-00009416</t>
  </si>
  <si>
    <t>240115AF1235</t>
  </si>
  <si>
    <t>BOLIVAR BARROS</t>
  </si>
  <si>
    <t>LUIS MORENO 4 20</t>
  </si>
  <si>
    <t>072884371</t>
  </si>
  <si>
    <t>BARROS.ARIZAGA@GMAIL.COM</t>
  </si>
  <si>
    <t>016-907-000270719</t>
  </si>
  <si>
    <t>TP24AR07851</t>
  </si>
  <si>
    <t>MANUEL ARTURO CISNEROS</t>
  </si>
  <si>
    <t>0999357222</t>
  </si>
  <si>
    <t>NACHIREYES@ICLOUD.COM</t>
  </si>
  <si>
    <t>043-903-000091392</t>
  </si>
  <si>
    <t>GBC 64000 KBB CRISTAL COCINA GAS</t>
  </si>
  <si>
    <t>ZP255P00684</t>
  </si>
  <si>
    <t>GLADIS LLIVICHUZCA</t>
  </si>
  <si>
    <t>CHILCAPAMBA</t>
  </si>
  <si>
    <t>0987618036</t>
  </si>
  <si>
    <t>FD8964@GMAIL.COM</t>
  </si>
  <si>
    <t>043-902-000061561</t>
  </si>
  <si>
    <t>ZP255700682</t>
  </si>
  <si>
    <t>JESSICA AREVALO</t>
  </si>
  <si>
    <t>0981261921</t>
  </si>
  <si>
    <t>PEM_FLACK15@HOTMAIL.COM</t>
  </si>
  <si>
    <t>043-901-000026899</t>
  </si>
  <si>
    <t>ZP255P00580</t>
  </si>
  <si>
    <t>GLADYS LOPEZ</t>
  </si>
  <si>
    <t>JUAN INIGUEZ Y REMIGIO CRESPO</t>
  </si>
  <si>
    <t>CO249E00063</t>
  </si>
  <si>
    <t>CRISTIAN ULLAURI</t>
  </si>
  <si>
    <t>SE AJUSTAS BUJIAS</t>
  </si>
  <si>
    <t>0103527305</t>
  </si>
  <si>
    <t>CRISTIANULLAURI@HOTMAIL.COM</t>
  </si>
  <si>
    <t>043-906-00035568</t>
  </si>
  <si>
    <t>CONJ. MOD INDUC 4I TEKA GO (DUAL ZONE)</t>
  </si>
  <si>
    <t>PLACA DE POTENCIA QUEMADA</t>
  </si>
  <si>
    <t>0102896164</t>
  </si>
  <si>
    <t>PAUL.GOMEZ976@HOTMAIL.COM</t>
  </si>
  <si>
    <t>TZ247L02371</t>
  </si>
  <si>
    <t>NUMEROS DE PANTALLA ENCIENDEN PARCIALMENTE</t>
  </si>
  <si>
    <t>NELSON.VIDAL87@GMAIL.COM</t>
  </si>
  <si>
    <t>PLACA DE POTENCIA I100 DERECHA</t>
  </si>
  <si>
    <t>ZP22B600002</t>
  </si>
  <si>
    <t>PLACA DERECHA QUEMADA</t>
  </si>
  <si>
    <t>MARIBELVGS@OUTLOOK.COM</t>
  </si>
  <si>
    <t>TP253Q00294</t>
  </si>
  <si>
    <t>KATTY LEGARDA</t>
  </si>
  <si>
    <t>INFORME, RETIRO Y ENVIO A GYE DE PRODUCTO</t>
  </si>
  <si>
    <t>0104067392001</t>
  </si>
  <si>
    <t>KATTYLEGARDA@GMAIL.COM</t>
  </si>
  <si>
    <t>043-901-000026610</t>
  </si>
  <si>
    <t>CONJUNTO MOD. IND 4I TEKA GO SENSORLESS</t>
  </si>
  <si>
    <t>ZP23C101348</t>
  </si>
  <si>
    <t>JUAN CARLOS ZUNIGA</t>
  </si>
  <si>
    <t>EL CONJUNTO MOD ESTA QUEMADO</t>
  </si>
  <si>
    <t>14005881641001</t>
  </si>
  <si>
    <t>JUANCZ44@HOTMAIL.COM</t>
  </si>
  <si>
    <t>016-903-000517413</t>
  </si>
  <si>
    <t>PLACA DE CONTROL DHT 97070 ROS WH</t>
  </si>
  <si>
    <t>TARJETA TIENE CORTOCIRUCITO EN EL PUENTE DE DIODOS</t>
  </si>
  <si>
    <t>01044355417</t>
  </si>
  <si>
    <t>ADRIANHERAS@ICLOUD.COM</t>
  </si>
  <si>
    <t>ASPA VENTILADOR COMPRESOR RLF</t>
  </si>
  <si>
    <t>MC225P00003</t>
  </si>
  <si>
    <t>COSME MUÑOZ</t>
  </si>
  <si>
    <t>SE SUTITUYE EL ASPA VENTILADOR</t>
  </si>
  <si>
    <t>019511321001</t>
  </si>
  <si>
    <t>COSMETRAVELAGENCIA@HOTMAIL.COM</t>
  </si>
  <si>
    <t>001-500-000049617</t>
  </si>
  <si>
    <t>MOTOR K37 (220V-59HZ)</t>
  </si>
  <si>
    <t>SE CAMBIA EL MOTOR</t>
  </si>
  <si>
    <t>0102272135</t>
  </si>
  <si>
    <t>JAIMEVELESACA@ICLOUD.COM</t>
  </si>
  <si>
    <t>CATENARIA EX 60.1 4G</t>
  </si>
  <si>
    <t>ZP252M00422</t>
  </si>
  <si>
    <t>EL CHISPERO NO ENCIENDE</t>
  </si>
  <si>
    <t>JAVIERALBARRACIN27@GMAIL.COM</t>
  </si>
  <si>
    <t>007-006-000138254</t>
  </si>
  <si>
    <t>DUMPER ELECTRICO INFERIOR RMF</t>
  </si>
  <si>
    <t>TKAZC5B060800152502150018</t>
  </si>
  <si>
    <t>ELENA EL HABIL</t>
  </si>
  <si>
    <t xml:space="preserve">SONIDO DE DUMPER EN ZONA CONVERTIBLE </t>
  </si>
  <si>
    <t>0105025035</t>
  </si>
  <si>
    <t>ELENAELHABIL@GMAIL.COM</t>
  </si>
  <si>
    <t>040-103-000000227</t>
  </si>
  <si>
    <t>TZ226202882</t>
  </si>
  <si>
    <t>JUAN ZAMORA</t>
  </si>
  <si>
    <t>NO SALEN COMPLETOS LOS NUMEROS EN PANTALLA</t>
  </si>
  <si>
    <t>0102419736001</t>
  </si>
  <si>
    <t>JFZAMORAQ@HOTMAIL.COM</t>
  </si>
  <si>
    <t>017-401-000083009</t>
  </si>
  <si>
    <t>TZZ47H16144</t>
  </si>
  <si>
    <t xml:space="preserve">EL DISPLAY NO ENCIENDE </t>
  </si>
  <si>
    <t>01012687612</t>
  </si>
  <si>
    <t>BIBISCAM94@HOTMAIL.COM</t>
  </si>
  <si>
    <t>TZ235G15596</t>
  </si>
  <si>
    <t>FERNANDO VAZQUEZ</t>
  </si>
  <si>
    <t>NO SE ENCIENDE PANTALLA</t>
  </si>
  <si>
    <t>FERVAZQUEZ@HOTMAIL.COM</t>
  </si>
  <si>
    <t>043-901-000000829</t>
  </si>
  <si>
    <t>BISAGRA SUPERIOR RVF 10032</t>
  </si>
  <si>
    <t>VISABRA ARTICULADA TRABADA</t>
  </si>
  <si>
    <t>0101132116</t>
  </si>
  <si>
    <t>MARLENEBRAVO96@GMAIL.COM</t>
  </si>
  <si>
    <t>001-500-000070371</t>
  </si>
  <si>
    <t>CATENARIA GSC 96320 SS WBA</t>
  </si>
  <si>
    <t>INTERRUPTOR NO DA CHISPA</t>
  </si>
  <si>
    <t>AAACHUNDIAMERA@GMAIL.COM</t>
  </si>
  <si>
    <t>001-500-000070189</t>
  </si>
  <si>
    <t>CRISTAL IZF 88700 MST BK</t>
  </si>
  <si>
    <t>ZP55900394</t>
  </si>
  <si>
    <t>PAUL CARRION</t>
  </si>
  <si>
    <t>SE QUEBRO CRISTAL SIN RAZON APARTE POR SEGUNDA VEZ</t>
  </si>
  <si>
    <t>0103923454</t>
  </si>
  <si>
    <t>PCARRIONARGUDO@GMAIL.COM</t>
  </si>
  <si>
    <t>001-001-00000836</t>
  </si>
  <si>
    <t>COMPRESOR RVF 10032</t>
  </si>
  <si>
    <t>EL COMPRESOR NO ENCIENDE</t>
  </si>
  <si>
    <t>A.LANDY@HOTMAIL.COM</t>
  </si>
  <si>
    <t>TP24F04690</t>
  </si>
  <si>
    <t>SE AJUSTA C MOTOR Y TURBINA</t>
  </si>
  <si>
    <t>JAIMEVELESACA88@GMAIL.COM</t>
  </si>
  <si>
    <t>007-006-0000136229</t>
  </si>
  <si>
    <t>MARIA GABRIELA CORDOVA</t>
  </si>
  <si>
    <t>RELOJ NO ENCIENDE</t>
  </si>
  <si>
    <t>040-104-000010696</t>
  </si>
  <si>
    <t>016-902-000632500</t>
  </si>
  <si>
    <t>TP256305598</t>
  </si>
  <si>
    <t>VERONICA BERNAL</t>
  </si>
  <si>
    <t>DIEGUITOROSOS1989@HOTMAIL.COM</t>
  </si>
  <si>
    <t>TZ256607334</t>
  </si>
  <si>
    <t>006-002-0000158556</t>
  </si>
  <si>
    <t>TP256509518</t>
  </si>
  <si>
    <t>SANTIAGO MARCA</t>
  </si>
  <si>
    <t>AV LOS MIGRANTES</t>
  </si>
  <si>
    <t>1400734511001</t>
  </si>
  <si>
    <t>EMILIOMARCA2@GMAIL.COM</t>
  </si>
  <si>
    <t>TP256509517</t>
  </si>
  <si>
    <t>26/8/25</t>
  </si>
  <si>
    <t>006-002-000158521</t>
  </si>
  <si>
    <t>TP257411076</t>
  </si>
  <si>
    <t>23/9/25</t>
  </si>
  <si>
    <t>JAIME LOPEZ</t>
  </si>
  <si>
    <t>0101208840</t>
  </si>
  <si>
    <t>JAIMELOPEZNOVILLO@HOTMAIL.COM</t>
  </si>
  <si>
    <t>ZP242900933</t>
  </si>
  <si>
    <t>20/9/25</t>
  </si>
  <si>
    <t>001-500-000077120</t>
  </si>
  <si>
    <t>TZ255U23989</t>
  </si>
  <si>
    <t>DIEGO ENCALADA</t>
  </si>
  <si>
    <t>0103086963</t>
  </si>
  <si>
    <t>DIEGO.ENCALADA@HOTMAIL.COM</t>
  </si>
  <si>
    <t>TP251905676</t>
  </si>
  <si>
    <t>19/9/25</t>
  </si>
  <si>
    <t>001-500-000077062</t>
  </si>
  <si>
    <t>TP255612681</t>
  </si>
  <si>
    <t>LORENA MERCHAN</t>
  </si>
  <si>
    <t>0103886685001</t>
  </si>
  <si>
    <t>LORENAMERCHANT@HOTMAIL.COM</t>
  </si>
  <si>
    <t>TZ255U24008</t>
  </si>
  <si>
    <t>22/01/25</t>
  </si>
  <si>
    <t>007-006-000136004</t>
  </si>
  <si>
    <t>ZP24C200905</t>
  </si>
  <si>
    <t>24/9/25</t>
  </si>
  <si>
    <t>FRANCISCO BURBANO</t>
  </si>
  <si>
    <t>DE LA PIMIENTA</t>
  </si>
  <si>
    <t>0102000445</t>
  </si>
  <si>
    <t>BURBSNO30@HOTMIL.COM</t>
  </si>
  <si>
    <t>TP255703559</t>
  </si>
  <si>
    <t>007-006-000138949</t>
  </si>
  <si>
    <t>TZ24A303060</t>
  </si>
  <si>
    <t>TP254206557</t>
  </si>
  <si>
    <t>17/12/23</t>
  </si>
  <si>
    <t>040-103-000001027</t>
  </si>
  <si>
    <t>ZP22B600049</t>
  </si>
  <si>
    <t>FERNANDO GAVILANEZ</t>
  </si>
  <si>
    <t xml:space="preserve">CULTURA GUANGALA </t>
  </si>
  <si>
    <t>0301939492</t>
  </si>
  <si>
    <t>FACTURACIONFGB@OUTLOOK.COM</t>
  </si>
  <si>
    <t>001-500-000076575</t>
  </si>
  <si>
    <t>TP255805901</t>
  </si>
  <si>
    <t>014-004-000068767</t>
  </si>
  <si>
    <t>TP245103535</t>
  </si>
  <si>
    <t>MC234D00004</t>
  </si>
  <si>
    <t>19/8/25</t>
  </si>
  <si>
    <t>002-201-000005205</t>
  </si>
  <si>
    <t>TZ252428104</t>
  </si>
  <si>
    <t>25/9/25</t>
  </si>
  <si>
    <t>KATALINA YANEZ</t>
  </si>
  <si>
    <t>CHECA</t>
  </si>
  <si>
    <t>0104717327</t>
  </si>
  <si>
    <t>KATALINAGOME.92@GMAIL.COM</t>
  </si>
  <si>
    <t>TP244R03992</t>
  </si>
  <si>
    <t>27/8/25</t>
  </si>
  <si>
    <t>040-103-000015731</t>
  </si>
  <si>
    <t>TP246L08345</t>
  </si>
  <si>
    <t>26/9/25</t>
  </si>
  <si>
    <t>ANA MARIA PONTE</t>
  </si>
  <si>
    <t>DE LAS RETAMAS</t>
  </si>
  <si>
    <t>0103816624</t>
  </si>
  <si>
    <t>ANAMARIAPONTEP@GMAIL.COM</t>
  </si>
  <si>
    <t>043-902-000010774</t>
  </si>
  <si>
    <t>TZ242505237</t>
  </si>
  <si>
    <t>016-904-000183786</t>
  </si>
  <si>
    <t>ZP22LP00095</t>
  </si>
  <si>
    <t>007-006-000140088</t>
  </si>
  <si>
    <t>TP235CO9560</t>
  </si>
  <si>
    <t>29/9/25</t>
  </si>
  <si>
    <t>FABIOLA COBOS</t>
  </si>
  <si>
    <t>RAMON CORDERO Y GNRAL ESCANDON</t>
  </si>
  <si>
    <t>FABIOLACO@YAHOO.COM</t>
  </si>
  <si>
    <t>TZ255620579</t>
  </si>
  <si>
    <t>MD255107823</t>
  </si>
  <si>
    <t>040-103-000016045</t>
  </si>
  <si>
    <t>ZP24AM00447</t>
  </si>
  <si>
    <t>LADY87@YAHOO.COM</t>
  </si>
  <si>
    <t>TZ251M15800</t>
  </si>
  <si>
    <t>001-500-000000014</t>
  </si>
  <si>
    <t>TZ247202283</t>
  </si>
  <si>
    <t>MAURICIO GARNICA</t>
  </si>
  <si>
    <t>0105206726001</t>
  </si>
  <si>
    <t>MAURYGARNICA@ICLOUD.COM</t>
  </si>
  <si>
    <t>TP245L01722</t>
  </si>
  <si>
    <t>ZP247H00618</t>
  </si>
  <si>
    <t>040-103-000014033</t>
  </si>
  <si>
    <t>TZ24C507878</t>
  </si>
  <si>
    <t>MARCO FERNANDEZ</t>
  </si>
  <si>
    <t>01050294981</t>
  </si>
  <si>
    <t>JESSICABRAVO394@GMAIL.COM</t>
  </si>
  <si>
    <t>006-002-000156234</t>
  </si>
  <si>
    <t>ZP243000089</t>
  </si>
  <si>
    <t>040-103-000013793</t>
  </si>
  <si>
    <t>TZ252327089</t>
  </si>
  <si>
    <t>OMAR FIALLOS</t>
  </si>
  <si>
    <t>FELIPE 2 Y DON BOSCO</t>
  </si>
  <si>
    <t>180163304</t>
  </si>
  <si>
    <t>MARIACPALACIOS3836@YAHOO.COM</t>
  </si>
  <si>
    <t>ZP251900387</t>
  </si>
  <si>
    <t>043-903-000093990</t>
  </si>
  <si>
    <t>ZP256000513</t>
  </si>
  <si>
    <t>JOSE BUSTAMANTE</t>
  </si>
  <si>
    <t>CDLA TERRANOVA</t>
  </si>
  <si>
    <t>0601188766</t>
  </si>
  <si>
    <t>JOSEBUSTAMANTEM@GMAIL.COM</t>
  </si>
  <si>
    <t>TZ246T22497</t>
  </si>
  <si>
    <t>TP254PO2233</t>
  </si>
  <si>
    <t>001-500-000074987</t>
  </si>
  <si>
    <t>ZP24AP00574</t>
  </si>
  <si>
    <t>MARCO SAULA</t>
  </si>
  <si>
    <t>AV 12 DE OCTUBRE</t>
  </si>
  <si>
    <t>0104435284</t>
  </si>
  <si>
    <t>MARCOESTEBAN25@YAHOO.COM</t>
  </si>
  <si>
    <t>ZP23C00038</t>
  </si>
  <si>
    <t>AW24800042</t>
  </si>
  <si>
    <t>040-103-000015676</t>
  </si>
  <si>
    <t>TP253T05238</t>
  </si>
  <si>
    <t>MARIA ENRIQUETA</t>
  </si>
  <si>
    <t>0703041608</t>
  </si>
  <si>
    <t>KATTY003@GMAIL.COM</t>
  </si>
  <si>
    <t>ZP251900438</t>
  </si>
  <si>
    <t>001-500-000076361</t>
  </si>
  <si>
    <t>111910000004112</t>
  </si>
  <si>
    <t>OSWALDO RODAS</t>
  </si>
  <si>
    <t>0102526639</t>
  </si>
  <si>
    <t>OSWALDOROD@YAHOO.COM</t>
  </si>
  <si>
    <t>AW241000461</t>
  </si>
  <si>
    <t>08/29/25</t>
  </si>
  <si>
    <t>016-902-00052886</t>
  </si>
  <si>
    <t>ZP252E00014</t>
  </si>
  <si>
    <t>NATIVIDAD LOJANO</t>
  </si>
  <si>
    <t>1033440101</t>
  </si>
  <si>
    <t>MICHAEL.BERMEO@HOTMAIL.COM</t>
  </si>
  <si>
    <t>MW251P29396</t>
  </si>
  <si>
    <t>007-007-000034734</t>
  </si>
  <si>
    <t>8421152157190</t>
  </si>
  <si>
    <t>VIVIANA DIAZ</t>
  </si>
  <si>
    <t>099273557001</t>
  </si>
  <si>
    <t>SCHONBERGERF@YAHOO.COM</t>
  </si>
  <si>
    <t>TP254H07545</t>
  </si>
  <si>
    <t>001-001-000001156</t>
  </si>
  <si>
    <t>PX24C400654</t>
  </si>
  <si>
    <t>NICOLAS VAZQUEZ</t>
  </si>
  <si>
    <t>0104131859</t>
  </si>
  <si>
    <t>NVAZQUEZR@GMAIL.COM</t>
  </si>
  <si>
    <t>043-907-000025298</t>
  </si>
  <si>
    <t>MW251P29315</t>
  </si>
  <si>
    <t>043-901-000032288</t>
  </si>
  <si>
    <t>TP256509576</t>
  </si>
  <si>
    <t>MARIA MALO</t>
  </si>
  <si>
    <t>PENCAS 3 81</t>
  </si>
  <si>
    <t>0102131810</t>
  </si>
  <si>
    <t>LMLOJIRON@GMAIL.COM</t>
  </si>
  <si>
    <t>043-901-000025856</t>
  </si>
  <si>
    <t>TZ24BD010691</t>
  </si>
  <si>
    <t>001-500-000077486</t>
  </si>
  <si>
    <t>TP256T14815</t>
  </si>
  <si>
    <t>NORA UGALDE</t>
  </si>
  <si>
    <t>REMIGIO CRESPO Y J INIGUEZ</t>
  </si>
  <si>
    <t>0195147280001</t>
  </si>
  <si>
    <t>ALIV.SAS@HOTMAIL.COM</t>
  </si>
  <si>
    <t>007-007-000035281</t>
  </si>
  <si>
    <t>ZP255P00605</t>
  </si>
  <si>
    <t>001-500-000077587</t>
  </si>
  <si>
    <t>TZ247H16160</t>
  </si>
  <si>
    <t>040-103-000016506</t>
  </si>
  <si>
    <t>11360001500NS48R00107</t>
  </si>
  <si>
    <t>CESAR LLIVICURA</t>
  </si>
  <si>
    <t>0103618062</t>
  </si>
  <si>
    <t>JACK2010121@GMAIL.COM</t>
  </si>
  <si>
    <t>TP252B02748</t>
  </si>
  <si>
    <t>001-001-000000836</t>
  </si>
  <si>
    <t>TZ245Q24007</t>
  </si>
  <si>
    <t>JACARANDA Y 3 NOVIEMBRE</t>
  </si>
  <si>
    <t>PCARRIORAREVALO@GMAIL.COM</t>
  </si>
  <si>
    <t>TP247Q61496</t>
  </si>
  <si>
    <t>MD24BL0000355</t>
  </si>
  <si>
    <t>001-001-000001322</t>
  </si>
  <si>
    <t>ZP2559000330</t>
  </si>
  <si>
    <t>BERTHA SOLIS</t>
  </si>
  <si>
    <t>0101392256</t>
  </si>
  <si>
    <t>BSOLIS1957@GMAIL.COM</t>
  </si>
  <si>
    <t>TZ24C405098</t>
  </si>
  <si>
    <t>TP257207324</t>
  </si>
  <si>
    <t>006-0001572290</t>
  </si>
  <si>
    <t>TZ233MO2964</t>
  </si>
  <si>
    <t>JUAN MIGUEL ZEAS</t>
  </si>
  <si>
    <t>PUENTE ROTO</t>
  </si>
  <si>
    <t>0102687670</t>
  </si>
  <si>
    <t>JMZEAS87@GMAIL.COM</t>
  </si>
  <si>
    <t>TZ255024126</t>
  </si>
  <si>
    <t>MD24BL0000358</t>
  </si>
  <si>
    <t>043-905-000070174</t>
  </si>
  <si>
    <t>TP24CA01496</t>
  </si>
  <si>
    <t>JORGE RODAS</t>
  </si>
  <si>
    <t>0150322303</t>
  </si>
  <si>
    <t>karlafajardos.1997@gmail.com</t>
  </si>
  <si>
    <t>TP251U02520</t>
  </si>
  <si>
    <t>TZ24CA07252</t>
  </si>
  <si>
    <t>ZP244300194</t>
  </si>
  <si>
    <t>B0610001525021</t>
  </si>
  <si>
    <t>043-909-000001601</t>
  </si>
  <si>
    <t>TZ24C405062</t>
  </si>
  <si>
    <t>JUAN CARLOS CABRERA</t>
  </si>
  <si>
    <t>URBANIZACION LA PIEDRA</t>
  </si>
  <si>
    <t>0102685377</t>
  </si>
  <si>
    <t>SANTIAGOMOGROVEJO42@GMAIL.COM</t>
  </si>
  <si>
    <t>ZP254000189</t>
  </si>
  <si>
    <t>002-201-0016097</t>
  </si>
  <si>
    <t>ZP24AV00455</t>
  </si>
  <si>
    <t>MAISA ESPINOZA</t>
  </si>
  <si>
    <t>COSTA RICA Y VENEZUELA</t>
  </si>
  <si>
    <t>01950917773</t>
  </si>
  <si>
    <t>MAISA282@HOTMAIL.COM</t>
  </si>
  <si>
    <t>EK253500050</t>
  </si>
  <si>
    <t>007-007-000035878</t>
  </si>
  <si>
    <t>TP255W12754</t>
  </si>
  <si>
    <t>MARCELO TORAL</t>
  </si>
  <si>
    <t>EDIFICIO OTERO</t>
  </si>
  <si>
    <t>0105036081</t>
  </si>
  <si>
    <t>CHELOTORAL@GMAIL.COM</t>
  </si>
  <si>
    <t>ZP244A00422</t>
  </si>
  <si>
    <t>043-904-000043931</t>
  </si>
  <si>
    <t>ZP242N00038</t>
  </si>
  <si>
    <t>OLGA CALLE</t>
  </si>
  <si>
    <t>SIGSIPAMBA</t>
  </si>
  <si>
    <t>0102788429</t>
  </si>
  <si>
    <t>OLGACALLECAMPO@GMAIL.COM</t>
  </si>
  <si>
    <t>TP245009772</t>
  </si>
  <si>
    <t>001-500-000075102</t>
  </si>
  <si>
    <t>TP247X02299</t>
  </si>
  <si>
    <t>MIGUEL LOPEZ</t>
  </si>
  <si>
    <t>AV. HEROES DE VERDELOMA</t>
  </si>
  <si>
    <t>1703083806001</t>
  </si>
  <si>
    <t>LUPITAGL27@HOTMAIL.COM</t>
  </si>
  <si>
    <t>TP247X02294</t>
  </si>
  <si>
    <t>001-500-000075362</t>
  </si>
  <si>
    <t>TP247X02289</t>
  </si>
  <si>
    <t>TP247X02293</t>
  </si>
  <si>
    <t>006-002-0001582227</t>
  </si>
  <si>
    <t>ZP252MD0427</t>
  </si>
  <si>
    <t>JUANCARLOS CABRERA</t>
  </si>
  <si>
    <t>CALLE GUALACEO</t>
  </si>
  <si>
    <t>0102621653</t>
  </si>
  <si>
    <t>DRJOBRERO@HOTMAIL.COM</t>
  </si>
  <si>
    <t>TKAZC5D186700152503180111</t>
  </si>
  <si>
    <t>016-902-000487712</t>
  </si>
  <si>
    <t>ZP246500479</t>
  </si>
  <si>
    <t>GENARO GARATE</t>
  </si>
  <si>
    <t>0101604726</t>
  </si>
  <si>
    <t>GENARO G18@YAHOO.COM</t>
  </si>
  <si>
    <t>043-903-000098650</t>
  </si>
  <si>
    <t>TZ24C405115</t>
  </si>
  <si>
    <t>TZ256W29938</t>
  </si>
  <si>
    <t>040-104-000011968</t>
  </si>
  <si>
    <t>ZP24C500875</t>
  </si>
  <si>
    <t>ANTONELLA PATINO</t>
  </si>
  <si>
    <t>CARMELA MALO 11 56</t>
  </si>
  <si>
    <t>0101367316</t>
  </si>
  <si>
    <t>ARQ.ANTO.P@GMAIL.COM</t>
  </si>
  <si>
    <t>TP254105551</t>
  </si>
  <si>
    <t>043-901-000030543</t>
  </si>
  <si>
    <t>CO249E00174</t>
  </si>
  <si>
    <t>PATRICIA MOGROVEJO</t>
  </si>
  <si>
    <t>BENIGNO MALO 15 51</t>
  </si>
  <si>
    <t xml:space="preserve"> 043-901-000030543 </t>
  </si>
  <si>
    <t>0104906979</t>
  </si>
  <si>
    <t>PATYMOGROVEJO@YAHOO.COM</t>
  </si>
  <si>
    <t>043-903-000087838</t>
  </si>
  <si>
    <t>CO249E00007</t>
  </si>
  <si>
    <t>FERNANDO GUERRA</t>
  </si>
  <si>
    <t xml:space="preserve"> 043-903-000087838 </t>
  </si>
  <si>
    <t>0102494051001</t>
  </si>
  <si>
    <t>FERNANDOGUERRA25@YAHOO.COM</t>
  </si>
  <si>
    <t>COCINA GOURMET BBQ 3100 G BK-SS</t>
  </si>
  <si>
    <t>CO256E00876</t>
  </si>
  <si>
    <t>KYWI(CARLOS VELOZ)</t>
  </si>
  <si>
    <t xml:space="preserve"> SAP </t>
  </si>
  <si>
    <t>1724636723</t>
  </si>
  <si>
    <t>FREDDYN@KYWI.COM.EC</t>
  </si>
  <si>
    <t>CO256E00808</t>
  </si>
  <si>
    <t>001-500-000077315</t>
  </si>
  <si>
    <t>C0256E00721</t>
  </si>
  <si>
    <t>MAYRA ESCANDON</t>
  </si>
  <si>
    <t>ROMA Y VARSALLES</t>
  </si>
  <si>
    <t xml:space="preserve"> 001-500-000077315 </t>
  </si>
  <si>
    <t>0105241889001</t>
  </si>
  <si>
    <t>MAYA8020@HOTMAIL.COM</t>
  </si>
  <si>
    <t>001-500-000077487</t>
  </si>
  <si>
    <t>CO249E00018</t>
  </si>
  <si>
    <t>DAVID MAXXIE STEVEN</t>
  </si>
  <si>
    <t>PADRO ALTO 2</t>
  </si>
  <si>
    <t xml:space="preserve"> 001-500-000077487 </t>
  </si>
  <si>
    <t>0152471371</t>
  </si>
  <si>
    <t>DAVIDMAXXIE@OUTLOOK.COM</t>
  </si>
  <si>
    <t>LAS PENCAS</t>
  </si>
  <si>
    <t xml:space="preserve"> 043-901-000025856 </t>
  </si>
  <si>
    <t>0102146834001</t>
  </si>
  <si>
    <t>LMGIRON@GMAIL.COM</t>
  </si>
  <si>
    <t>14/7/25</t>
  </si>
  <si>
    <t>043-907-000025310</t>
  </si>
  <si>
    <t>TP24B705720</t>
  </si>
  <si>
    <t>22/9/25</t>
  </si>
  <si>
    <t>LORENA ALBARRACIN</t>
  </si>
  <si>
    <t>AV. DON BOSCO</t>
  </si>
  <si>
    <t>0102449907</t>
  </si>
  <si>
    <t>REMOVIALTA@HOTMAIL.COM</t>
  </si>
  <si>
    <t>001-001-000001317</t>
  </si>
  <si>
    <t>TZ245V29044</t>
  </si>
  <si>
    <t>TWILA OLSON</t>
  </si>
  <si>
    <t>LA CRUZ 13 40</t>
  </si>
  <si>
    <t>406 4658003</t>
  </si>
  <si>
    <t>0152545034</t>
  </si>
  <si>
    <t>OTWILA@GMAIL.COM</t>
  </si>
  <si>
    <t>043-902-000059823</t>
  </si>
  <si>
    <t>ZP255P00535</t>
  </si>
  <si>
    <t>MAYRA GUZMAN</t>
  </si>
  <si>
    <t>0103143517</t>
  </si>
  <si>
    <t>MGUZMAN4@HOTMAIL.COM</t>
  </si>
  <si>
    <t>043-902-000061892</t>
  </si>
  <si>
    <t>250420AF0229</t>
  </si>
  <si>
    <t>PILAR ALVARADO</t>
  </si>
  <si>
    <t>AURELIO AGUILAR</t>
  </si>
  <si>
    <t>0102063955001</t>
  </si>
  <si>
    <t>CONTABILIDAD@MODATEX.COM.EC</t>
  </si>
  <si>
    <t>040-103-000016273</t>
  </si>
  <si>
    <t>TZ252428108</t>
  </si>
  <si>
    <t>ESTEBAN DELGADO</t>
  </si>
  <si>
    <t>CALLE HOMERO Y ABELARDO J ANDRADE</t>
  </si>
  <si>
    <t>0102104866</t>
  </si>
  <si>
    <t>ESTEBANDELGADO@ME.COM</t>
  </si>
  <si>
    <t>043-905-000045074</t>
  </si>
  <si>
    <t>TZ255U24120</t>
  </si>
  <si>
    <t>ISRAEL PENAFIEL</t>
  </si>
  <si>
    <t>0928019512</t>
  </si>
  <si>
    <t>ARTUROPENAFIEL51@GMAIL.COM</t>
  </si>
  <si>
    <t>016-902-000534409</t>
  </si>
  <si>
    <t>PX254P00007</t>
  </si>
  <si>
    <t>HOLGER PINDO</t>
  </si>
  <si>
    <t>AUTOPISTA KM 9</t>
  </si>
  <si>
    <t>0190886155001</t>
  </si>
  <si>
    <t>PLLERANA@ECOCOMBUS.COM</t>
  </si>
  <si>
    <t>044-013-000026738</t>
  </si>
  <si>
    <t>TP257411091</t>
  </si>
  <si>
    <t>DAVID WEBSTER</t>
  </si>
  <si>
    <t>CALLE BETHOVEN</t>
  </si>
  <si>
    <t>0101889000</t>
  </si>
  <si>
    <t>JEWESTERG@HOTMAIL.COM</t>
  </si>
  <si>
    <t>001-500-000069685</t>
  </si>
  <si>
    <t>ZP242101169</t>
  </si>
  <si>
    <t>0600842953</t>
  </si>
  <si>
    <t>MUNDIG1951@GMAIL.COM</t>
  </si>
  <si>
    <t>001-500-000007827</t>
  </si>
  <si>
    <t>ZP251T00269</t>
  </si>
  <si>
    <t>ERIKA MALDONADO</t>
  </si>
  <si>
    <t>0705073559001</t>
  </si>
  <si>
    <t>ERILIS_92@HOTMAIL.COM</t>
  </si>
  <si>
    <t>040-105-000002073</t>
  </si>
  <si>
    <t>TZ256404991</t>
  </si>
  <si>
    <t>CRISTIAN LLANOS</t>
  </si>
  <si>
    <t>ALEXANDER FLEMING</t>
  </si>
  <si>
    <t>0103812814</t>
  </si>
  <si>
    <t>LLANOS_CRSITIAN@HOTMAIL.COM</t>
  </si>
  <si>
    <t>043-901-000031412</t>
  </si>
  <si>
    <t>TP235C09514</t>
  </si>
  <si>
    <t>KATALINA LEGARDA</t>
  </si>
  <si>
    <t>016-902-000553792</t>
  </si>
  <si>
    <t>TZ24BE11780</t>
  </si>
  <si>
    <t>RICARDO RAMOS</t>
  </si>
  <si>
    <t>0105545610</t>
  </si>
  <si>
    <t>RRAMOS.AMBIENTE@GMAIL.COM</t>
  </si>
  <si>
    <t>001-001-000001336</t>
  </si>
  <si>
    <t>ZP257G00813</t>
  </si>
  <si>
    <t>CARLOS GONZALES</t>
  </si>
  <si>
    <t>0102288305</t>
  </si>
  <si>
    <t>LORENA.ANDRADE68@GMAIL.COM</t>
  </si>
  <si>
    <t>001-500-00007989</t>
  </si>
  <si>
    <t>DULCAMARA</t>
  </si>
  <si>
    <t>ANCHUNDIAMERA@GMAIL.COM</t>
  </si>
  <si>
    <t>09/21/25</t>
  </si>
  <si>
    <t>038-904-00220220</t>
  </si>
  <si>
    <t>TZ256302505</t>
  </si>
  <si>
    <t>DANIELA TOLEDO</t>
  </si>
  <si>
    <t>JUEGO DE PUCARA Y ANTONIO ULLOA</t>
  </si>
  <si>
    <t>1720501491</t>
  </si>
  <si>
    <t>DTOLEDO@OUTLOOK.ES</t>
  </si>
  <si>
    <t>043-903-000095538</t>
  </si>
  <si>
    <t>ZP251G00480</t>
  </si>
  <si>
    <t>JOEL LOPEZ</t>
  </si>
  <si>
    <t>AV DEL TEJAR</t>
  </si>
  <si>
    <t>092829750</t>
  </si>
  <si>
    <t>JOELGL6315@GMAIL.COM</t>
  </si>
  <si>
    <t>001-500-000072902</t>
  </si>
  <si>
    <t>EK247F00095</t>
  </si>
  <si>
    <t>LUIS JIMENEZ</t>
  </si>
  <si>
    <t>PANAMERICANA NORTE 14.5</t>
  </si>
  <si>
    <t>0102080686</t>
  </si>
  <si>
    <t>LAJU1964@HOTMAIL.COM</t>
  </si>
  <si>
    <t>016-907-000273605</t>
  </si>
  <si>
    <t>ZP255U00707</t>
  </si>
  <si>
    <t>FREDDY LEON</t>
  </si>
  <si>
    <t>0302223821</t>
  </si>
  <si>
    <t>FLEONB@HOTMAIL.COM</t>
  </si>
  <si>
    <t>001-500-000076032</t>
  </si>
  <si>
    <t>ZP255900277</t>
  </si>
  <si>
    <t>CARMEN MALLA</t>
  </si>
  <si>
    <t>0102952645</t>
  </si>
  <si>
    <t>CARMIMALLA@HOTMAIL.COM</t>
  </si>
  <si>
    <t>016-902-0000536599</t>
  </si>
  <si>
    <t>250420AF0195</t>
  </si>
  <si>
    <t>GABRIELA DELGADO</t>
  </si>
  <si>
    <t>LA ISLA PARQUE BOTANICO</t>
  </si>
  <si>
    <t>0104543426</t>
  </si>
  <si>
    <t>MAGABY.DO@HOTMAIL.COM</t>
  </si>
  <si>
    <t>040-103-000016415</t>
  </si>
  <si>
    <t>TP252505313</t>
  </si>
  <si>
    <t>001-500-000075996</t>
  </si>
  <si>
    <t>TP24BV05913</t>
  </si>
  <si>
    <t>DAVID LUCERO</t>
  </si>
  <si>
    <t>MARIANO CUEVA 5 18</t>
  </si>
  <si>
    <t>0105622591</t>
  </si>
  <si>
    <t>DAVILUCHO87@HOTMAIL.COM</t>
  </si>
  <si>
    <t>043-902-000055139</t>
  </si>
  <si>
    <t>TZ24C07769</t>
  </si>
  <si>
    <t>DANIEL UGALDE</t>
  </si>
  <si>
    <t>COLEGIO CIUDAD DE CUENCA</t>
  </si>
  <si>
    <t>0195097089001</t>
  </si>
  <si>
    <t>JESZPROYECTOSSAS@GMAIL.COM</t>
  </si>
  <si>
    <t>001-500-000075975</t>
  </si>
  <si>
    <t>TP255K00574</t>
  </si>
  <si>
    <t>PABLO CARDENAS</t>
  </si>
  <si>
    <t>0302248302001</t>
  </si>
  <si>
    <t>PGCARDENAS@YAHOO.COM</t>
  </si>
  <si>
    <t>016-901-00001567</t>
  </si>
  <si>
    <t>ZP24C600226</t>
  </si>
  <si>
    <t>DIEGO PALACIOS</t>
  </si>
  <si>
    <t>0101776219</t>
  </si>
  <si>
    <t>DPALACIOSCAR@HOTMAIL.COM</t>
  </si>
  <si>
    <t>001-502-000000450</t>
  </si>
  <si>
    <t>ZP253500877</t>
  </si>
  <si>
    <t>JHONY MOLINA GIL</t>
  </si>
  <si>
    <t xml:space="preserve">RAMONA CORDERO </t>
  </si>
  <si>
    <t>0907054885</t>
  </si>
  <si>
    <t>NMMNINI@GMAIL.COM</t>
  </si>
  <si>
    <t>043-903-000099735</t>
  </si>
  <si>
    <t>TZ2381238876</t>
  </si>
  <si>
    <t>DAN BAYLESS</t>
  </si>
  <si>
    <t>0150903052</t>
  </si>
  <si>
    <t>LIKALOV22@YAHOO.COM</t>
  </si>
  <si>
    <t>016-903-000588980</t>
  </si>
  <si>
    <t>ZP239600320</t>
  </si>
  <si>
    <t>JAVIER YEPEZ</t>
  </si>
  <si>
    <t>EDIFICIO RYO 1</t>
  </si>
  <si>
    <t>0103748430</t>
  </si>
  <si>
    <t>JAVIERYEPEZMEDINA83@GMAIL.COM</t>
  </si>
  <si>
    <t>001-500-000076630</t>
  </si>
  <si>
    <t>ZP24C300347</t>
  </si>
  <si>
    <t>BOLIVAR VANEGAS</t>
  </si>
  <si>
    <t>RAFAEL SOJOS 2 80</t>
  </si>
  <si>
    <t>0100907807</t>
  </si>
  <si>
    <t>BOLIVARVAN85@HOTMAIL.COM</t>
  </si>
  <si>
    <t>040-104-000013957</t>
  </si>
  <si>
    <t>TZ253032206</t>
  </si>
  <si>
    <t>SUSANNE BUSAT</t>
  </si>
  <si>
    <t>EDIFICIO GENOVA</t>
  </si>
  <si>
    <t>SUZANNA.BUSAT@MSN.COM</t>
  </si>
  <si>
    <t>001-500-0000778205</t>
  </si>
  <si>
    <t>ZP24B600290</t>
  </si>
  <si>
    <t>CRISTIAN ULLOA</t>
  </si>
  <si>
    <t>CRISTIANTY81@HOTMAIL.COM</t>
  </si>
  <si>
    <t>001-001-000001404</t>
  </si>
  <si>
    <t>25OA20AF0314</t>
  </si>
  <si>
    <t>LIZ HEREDIA</t>
  </si>
  <si>
    <t>010514432</t>
  </si>
  <si>
    <t>ANAPESANTEZO@GMAIL.COM</t>
  </si>
  <si>
    <t>001-500-000077046</t>
  </si>
  <si>
    <t>ZP251T00267</t>
  </si>
  <si>
    <t>ANA PESANTEZ</t>
  </si>
  <si>
    <t>AV. PUCARA</t>
  </si>
  <si>
    <t>0105614432</t>
  </si>
  <si>
    <t>001-500-000076452</t>
  </si>
  <si>
    <t>ZP255P00614</t>
  </si>
  <si>
    <t>JORGE RAMON</t>
  </si>
  <si>
    <t>0101743730</t>
  </si>
  <si>
    <t>JORGERAMONESPINOZA@YAHOO.COM</t>
  </si>
  <si>
    <t>016-902-000506790</t>
  </si>
  <si>
    <t>ZP24CL00375</t>
  </si>
  <si>
    <t>CESAR PICHISACA</t>
  </si>
  <si>
    <t>0300862310</t>
  </si>
  <si>
    <t>PICHISACA75@YAHOO.COM</t>
  </si>
  <si>
    <t>CONJUNTO TOUCH CONTROL AUXISLIDER</t>
  </si>
  <si>
    <t>SE BEDE CAMBIAR CONJUNTO TOUCH SE ACTIVA SOLO</t>
  </si>
  <si>
    <t>0104162245</t>
  </si>
  <si>
    <t>ANA.ELISABETH.OCHOA@HOTMAIL.COM</t>
  </si>
  <si>
    <t>006-002-000157725</t>
  </si>
  <si>
    <t>SE CAMBIA CRISTAL  TRIZADO</t>
  </si>
  <si>
    <t>0704391713</t>
  </si>
  <si>
    <t>ANA GUERRERO</t>
  </si>
  <si>
    <t>SOPORTE MICROSWITCH FUERA DE POSICION</t>
  </si>
  <si>
    <t>010493518</t>
  </si>
  <si>
    <t>FACTURASGMLAB@GMAIL.COM</t>
  </si>
  <si>
    <t>CAMBIO D EPRODUCTO, PRESENTABA DANOS ESTRUCTURALES IRREPARABLES</t>
  </si>
  <si>
    <t>019514728001</t>
  </si>
  <si>
    <t>ALI.SCS@HOTMAIL.COM</t>
  </si>
  <si>
    <t>AUXISLIDER TOUCH CONTROL I100</t>
  </si>
  <si>
    <t>NO RESPONDEN LOS MANDOS, SE DEBE CAMBIAR TOUCH</t>
  </si>
  <si>
    <t>GERENCIA@COMEXI.COM</t>
  </si>
  <si>
    <t>GENERADOR ENCENDIDO SAL. 120 240</t>
  </si>
  <si>
    <t>ZP251T00347</t>
  </si>
  <si>
    <t>GLORIA GAYBOR</t>
  </si>
  <si>
    <t>MODULO DE ENCENDIDO QUEMADO</t>
  </si>
  <si>
    <t>0200365518</t>
  </si>
  <si>
    <t>GLORIAGAYBOR@HOTMAIL.COM</t>
  </si>
  <si>
    <t>001-500-000072939</t>
  </si>
  <si>
    <t>CONJUNTO TOUCH CONTROL</t>
  </si>
  <si>
    <t>TOUCH COMPLETO NO TRABAJA</t>
  </si>
  <si>
    <t>GABYMALO@HOTMAIL.COM</t>
  </si>
  <si>
    <t>ZP22BGOOO63</t>
  </si>
  <si>
    <t>ANGELICA SIGUENZA</t>
  </si>
  <si>
    <t>CODIGO DE ERROR F47</t>
  </si>
  <si>
    <t>03017056651</t>
  </si>
  <si>
    <t>ANGELICASIGUENZA@YAHOO.COM</t>
  </si>
  <si>
    <t>016-907-000169625</t>
  </si>
  <si>
    <t>BOMBA DE AGUA NO ENCIENDE</t>
  </si>
  <si>
    <t>AW24A800106</t>
  </si>
  <si>
    <t>PATRICIA CAZORLA</t>
  </si>
  <si>
    <t>BOMBA DESAGUE DFI 46950 120V 60HZ</t>
  </si>
  <si>
    <t>0102116654</t>
  </si>
  <si>
    <t>PCAZORLACH@GMAIL.COM</t>
  </si>
  <si>
    <t>043-907-000034320</t>
  </si>
  <si>
    <t>SE DEBE SUSTITUIR EL TOUCH</t>
  </si>
  <si>
    <t>JENIFFERVALDIVIEZO@GMAIL.COM</t>
  </si>
  <si>
    <t xml:space="preserve">TOUCH CONTROL GEN 2 LOT </t>
  </si>
  <si>
    <t>EL TOUCH NO PERMITE PROGRAMAR</t>
  </si>
  <si>
    <t>GRUPO.CAMINAR@HOTMAIL.COM</t>
  </si>
  <si>
    <t>CONJUNTO MODULO INDUCCION 4I TEKA</t>
  </si>
  <si>
    <t>ZP23A60082</t>
  </si>
  <si>
    <t>FERNANDO GONZALES</t>
  </si>
  <si>
    <t>EL CONJUNTO MODULO NO TRABAJA</t>
  </si>
  <si>
    <t>0102711256001</t>
  </si>
  <si>
    <t>GERENCIA@FOGOCOTO.COM.EC</t>
  </si>
  <si>
    <t>001-101-000002700</t>
  </si>
  <si>
    <t>PARRILLA HIERRO FUNDIDO 2 GAS</t>
  </si>
  <si>
    <t>ZP257600813</t>
  </si>
  <si>
    <t>PARRILLA NO ENCAJA CORRECTAMENTE</t>
  </si>
  <si>
    <t>0101791291</t>
  </si>
  <si>
    <t>LORENA.ANDRADE38@GMAIL.COM</t>
  </si>
  <si>
    <t>001-001-0000001336</t>
  </si>
  <si>
    <t>EL COMPRESOR NO ARRANCA</t>
  </si>
  <si>
    <t>0195126151001</t>
  </si>
  <si>
    <t>001-500-000065424</t>
  </si>
  <si>
    <t>RELOJ CON LUCES INTERMITENTES</t>
  </si>
  <si>
    <t>0104804455</t>
  </si>
  <si>
    <t>MEGAMUEBLESBELEN@HOTMAIL.COM</t>
  </si>
  <si>
    <t>RELOJ TC HLB 841</t>
  </si>
  <si>
    <t>ENRIQUE DONOSO</t>
  </si>
  <si>
    <t>0601741283</t>
  </si>
  <si>
    <t>RESPONSBLER@HOTMAIL.COM</t>
  </si>
  <si>
    <t>026-904-000305617</t>
  </si>
  <si>
    <t>PLACA DE POTENCIA PI100 DER 2B M7</t>
  </si>
  <si>
    <t>PLACA EN CORTO CIRCUITO</t>
  </si>
  <si>
    <t>0195119171001</t>
  </si>
  <si>
    <t>BLOQUE HIDRAULICO DFI 46950</t>
  </si>
  <si>
    <t>EL BLOQUE HIDRAULICO NO FUNCIONA</t>
  </si>
  <si>
    <t>001-500-000075062</t>
  </si>
  <si>
    <t>ZP246000179</t>
  </si>
  <si>
    <t>MARIA MONTESDEOCA</t>
  </si>
  <si>
    <t>0101530384</t>
  </si>
  <si>
    <t>ROBLES@GMAIL.COM</t>
  </si>
  <si>
    <t>017-901-000110461</t>
  </si>
  <si>
    <t>PX249600065</t>
  </si>
  <si>
    <t>001-500-000075701</t>
  </si>
  <si>
    <t>ZP255900220</t>
  </si>
  <si>
    <t>AIDA PESANTEZ</t>
  </si>
  <si>
    <t>0300008489</t>
  </si>
  <si>
    <t>MARYMO88@HOTMAIL.COM</t>
  </si>
  <si>
    <t>MW251P231179</t>
  </si>
  <si>
    <t>001-502-000000381</t>
  </si>
  <si>
    <t>TP251905680</t>
  </si>
  <si>
    <t>PATRICIA RAMIREZ</t>
  </si>
  <si>
    <t>CALLE LA MANZANILLA</t>
  </si>
  <si>
    <t>0102539756</t>
  </si>
  <si>
    <t>PATRAMTO68@GMAIL.COM</t>
  </si>
  <si>
    <t>TZ24AN16161</t>
  </si>
  <si>
    <t>TP253H02262</t>
  </si>
  <si>
    <t>ZP255500582</t>
  </si>
  <si>
    <t>043-905-000089006</t>
  </si>
  <si>
    <t>TZ255U24040</t>
  </si>
  <si>
    <t>WILSON VILLVICENCIO</t>
  </si>
  <si>
    <t>RIO AMARILLO</t>
  </si>
  <si>
    <t>010579073</t>
  </si>
  <si>
    <t>WAIC-36@HOTMAIL.COM</t>
  </si>
  <si>
    <t>TP252K03536</t>
  </si>
  <si>
    <t>ZP255900438</t>
  </si>
  <si>
    <t>14/1025</t>
  </si>
  <si>
    <t>040-103-000016648</t>
  </si>
  <si>
    <t>TZ2241024141</t>
  </si>
  <si>
    <t>MARIA ALEXANDROVA</t>
  </si>
  <si>
    <t>CONDOMINIO ALANI</t>
  </si>
  <si>
    <t>1762513396</t>
  </si>
  <si>
    <t>KASTYMACIASZZ@HOTMAIL.COM</t>
  </si>
  <si>
    <t>ZP2559000400</t>
  </si>
  <si>
    <t>040-104-000014000</t>
  </si>
  <si>
    <t>TP246208294</t>
  </si>
  <si>
    <t>PAUL FIGEROA</t>
  </si>
  <si>
    <t>0105284491001</t>
  </si>
  <si>
    <t>POOL.FINO@HOTMAIL.COM</t>
  </si>
  <si>
    <t>TZ241B12013</t>
  </si>
  <si>
    <t>043-401-000032447</t>
  </si>
  <si>
    <t>TP256T14809</t>
  </si>
  <si>
    <t>LUIS ROMO</t>
  </si>
  <si>
    <t>0301529822001</t>
  </si>
  <si>
    <t>LUISROMO@AUTOEXFO.EC</t>
  </si>
  <si>
    <t>TZ256W29819</t>
  </si>
  <si>
    <t>TP257V02146</t>
  </si>
  <si>
    <t>026-906-000111007</t>
  </si>
  <si>
    <t>TP257411070</t>
  </si>
  <si>
    <t>TERESA BARRETO</t>
  </si>
  <si>
    <t>AV. DE LAS AMERICAS</t>
  </si>
  <si>
    <t>011227452001</t>
  </si>
  <si>
    <t>EUGIN.BARRET.2020@GMAIL.COM</t>
  </si>
  <si>
    <t>TP246H02778</t>
  </si>
  <si>
    <t>ZP22C00050</t>
  </si>
  <si>
    <t>ZP251800332</t>
  </si>
  <si>
    <t>001-001-000001294</t>
  </si>
  <si>
    <t>TP246LO8050</t>
  </si>
  <si>
    <t>JORGE ZUÑIGA</t>
  </si>
  <si>
    <t>24 DE MAYO Y AMERICAS</t>
  </si>
  <si>
    <t>0101124377001</t>
  </si>
  <si>
    <t>JORGEZUNIGAJARA@HOTMAIL.COM</t>
  </si>
  <si>
    <t>001-001-000001256</t>
  </si>
  <si>
    <t>ZP255G00503</t>
  </si>
  <si>
    <t>007-000037229</t>
  </si>
  <si>
    <t>PX24AX00100</t>
  </si>
  <si>
    <t>DAVID MUÑOZ</t>
  </si>
  <si>
    <t>0101174489</t>
  </si>
  <si>
    <t>DAVIDMUNOX30@HOTMAIL.COM</t>
  </si>
  <si>
    <t>TP251U02546</t>
  </si>
  <si>
    <t>ZP24B502193</t>
  </si>
  <si>
    <t>TZ24AW24306</t>
  </si>
  <si>
    <t>001-500-000076514</t>
  </si>
  <si>
    <t>ZP236000044</t>
  </si>
  <si>
    <t>040-103-000016710</t>
  </si>
  <si>
    <t>ZP255P00591</t>
  </si>
  <si>
    <t>MARIA EUGENIA MOLINA</t>
  </si>
  <si>
    <t>BENIGNO MALO 11 82</t>
  </si>
  <si>
    <t>0102918992</t>
  </si>
  <si>
    <t>EUGENIAMOLINA42@HOTMAIL.COM</t>
  </si>
  <si>
    <t>TP257207293</t>
  </si>
  <si>
    <t>TZ255K13765</t>
  </si>
  <si>
    <t>001-500-000076779</t>
  </si>
  <si>
    <t>TP257207352</t>
  </si>
  <si>
    <t>DAMARIS MARIS</t>
  </si>
  <si>
    <t>0101486355</t>
  </si>
  <si>
    <t>DAMARISMARIN23@GMAIL.COM</t>
  </si>
  <si>
    <t>ZP255800588</t>
  </si>
  <si>
    <t>001-500-000077798</t>
  </si>
  <si>
    <t>ZP255500685</t>
  </si>
  <si>
    <t>CRISTIAN VILLOTA</t>
  </si>
  <si>
    <t>PIMIENTA Y VAINILLA</t>
  </si>
  <si>
    <t>0152857017</t>
  </si>
  <si>
    <t>URTUBIAALEX@HOTMAIL.COM</t>
  </si>
  <si>
    <t>TZ255VU27213</t>
  </si>
  <si>
    <t>001-500-000077441</t>
  </si>
  <si>
    <t>ZP252H00750</t>
  </si>
  <si>
    <t>PATRICIA RODAS</t>
  </si>
  <si>
    <t>TODOS SANTOS</t>
  </si>
  <si>
    <t>0101304426001</t>
  </si>
  <si>
    <t>ENMARODASF@HOTMAIL.COM</t>
  </si>
  <si>
    <t>001-500-000077586</t>
  </si>
  <si>
    <t>TP254E02228</t>
  </si>
  <si>
    <t>31.10/25</t>
  </si>
  <si>
    <t>001-001-000000332</t>
  </si>
  <si>
    <t>EK256J00071</t>
  </si>
  <si>
    <t>GABRIELA MUÑOZ</t>
  </si>
  <si>
    <t>AV. LEONIDAS PROAÑO</t>
  </si>
  <si>
    <t>010514147</t>
  </si>
  <si>
    <t>GABIMUÑOZZB@GMAIL.COM</t>
  </si>
  <si>
    <t>TZ245V29115</t>
  </si>
  <si>
    <t>TP253Q00296</t>
  </si>
  <si>
    <t>001-500-000076427</t>
  </si>
  <si>
    <t>TZ255U23846</t>
  </si>
  <si>
    <t>CLARA MEDINA</t>
  </si>
  <si>
    <t>AV 24 DE MAYO EDIFICIO RYO</t>
  </si>
  <si>
    <t>0101043772</t>
  </si>
  <si>
    <t>CLARAMEDINALEON@HOTMAIL.ES</t>
  </si>
  <si>
    <t>001-500-000076249</t>
  </si>
  <si>
    <t>TP255E07855</t>
  </si>
  <si>
    <t>001-500-000076246</t>
  </si>
  <si>
    <t>ZP256C006061</t>
  </si>
  <si>
    <t>016-907-000259142</t>
  </si>
  <si>
    <t>TZ245229164</t>
  </si>
  <si>
    <t>ALEXANDRA IDROVO</t>
  </si>
  <si>
    <t>ASTERDAM Y ROMA</t>
  </si>
  <si>
    <t>0105030004001</t>
  </si>
  <si>
    <t>ALEXANDRAIDROVO1989@GMAIL.COM</t>
  </si>
  <si>
    <t>TP249900073</t>
  </si>
  <si>
    <t>ZP24C300418</t>
  </si>
  <si>
    <t>016-906-000000106</t>
  </si>
  <si>
    <t>EY247H00002</t>
  </si>
  <si>
    <t>014-004-000071054</t>
  </si>
  <si>
    <t>TP256509501</t>
  </si>
  <si>
    <t>JAIME MERCHAN</t>
  </si>
  <si>
    <t>AV PASEO 3 DE NOVIEMBRE</t>
  </si>
  <si>
    <t>0909708646</t>
  </si>
  <si>
    <t>NOINDICACORREO</t>
  </si>
  <si>
    <t>ZP257G00818</t>
  </si>
  <si>
    <t>TP232702711</t>
  </si>
  <si>
    <t>TZ256D15672</t>
  </si>
  <si>
    <t>AW234800280</t>
  </si>
  <si>
    <t>040-103-000016219</t>
  </si>
  <si>
    <t>TZ241B10474</t>
  </si>
  <si>
    <t>SANTIAGO PALACIOS</t>
  </si>
  <si>
    <t>AV. ORDONEZ LASSO</t>
  </si>
  <si>
    <t>0302714761</t>
  </si>
  <si>
    <t>TATAGUSTA@HOTMAIL.COM</t>
  </si>
  <si>
    <t>ZP256600288</t>
  </si>
  <si>
    <t>ZP255P00586</t>
  </si>
  <si>
    <t>TP254E02222</t>
  </si>
  <si>
    <t>007-007-000031372</t>
  </si>
  <si>
    <t>TZ243102737</t>
  </si>
  <si>
    <t>MIRIAM MARCA</t>
  </si>
  <si>
    <t>0103217352</t>
  </si>
  <si>
    <t>FPELAEZ0@YAHOO.COM</t>
  </si>
  <si>
    <t>TP241W02588</t>
  </si>
  <si>
    <t>ZP242100628</t>
  </si>
  <si>
    <t>007-005-000136176</t>
  </si>
  <si>
    <t>MD249L05956</t>
  </si>
  <si>
    <t>001-500-000000201</t>
  </si>
  <si>
    <t>TP245L01854</t>
  </si>
  <si>
    <t>PABLO GALARZA</t>
  </si>
  <si>
    <t>CHORDELEG</t>
  </si>
  <si>
    <t>0103912283</t>
  </si>
  <si>
    <t>TURIZO3@HOTMAIL.COM</t>
  </si>
  <si>
    <t>TP243604707</t>
  </si>
  <si>
    <t>ZP24CL00231</t>
  </si>
  <si>
    <t>040-101-000000496</t>
  </si>
  <si>
    <t>TZ247H16478</t>
  </si>
  <si>
    <t>PRISCILA CALDERON</t>
  </si>
  <si>
    <t>019048144001</t>
  </si>
  <si>
    <t>PRISCALDERONPA2@HOTMAIL.COM</t>
  </si>
  <si>
    <t>040-101-000000495</t>
  </si>
  <si>
    <t>TP233PO7951</t>
  </si>
  <si>
    <t>JZC96342BB</t>
  </si>
  <si>
    <t>PX246300252</t>
  </si>
  <si>
    <t>040-101-000000796</t>
  </si>
  <si>
    <t>MW24BA07883</t>
  </si>
  <si>
    <t>LESLIE AUCAPINA</t>
  </si>
  <si>
    <t>0104486139</t>
  </si>
  <si>
    <t>LIESLIEALEXANDRA19@OUTLOOK.COM</t>
  </si>
  <si>
    <t>TZ23AW21261</t>
  </si>
  <si>
    <t>040-103-000015738</t>
  </si>
  <si>
    <t>TP255C06225</t>
  </si>
  <si>
    <t>FERNANDA JACOME</t>
  </si>
  <si>
    <t>EDIFICIO RYO</t>
  </si>
  <si>
    <t>0103199309</t>
  </si>
  <si>
    <t>MAFERJACOME87@GMAIL.COM</t>
  </si>
  <si>
    <t>TZ256404853</t>
  </si>
  <si>
    <t>PX24C2004781</t>
  </si>
  <si>
    <t>ZP25ZE00017</t>
  </si>
  <si>
    <t>043-901-000031950</t>
  </si>
  <si>
    <t>TP233306138</t>
  </si>
  <si>
    <t>EXEQUIEL MARQUEZ 1 93</t>
  </si>
  <si>
    <t>0101293314</t>
  </si>
  <si>
    <t>SAPGLORIA@YAHOO.COM</t>
  </si>
  <si>
    <t>ZP241X00197</t>
  </si>
  <si>
    <t>TZZ55U24072</t>
  </si>
  <si>
    <t>043-901-000081922</t>
  </si>
  <si>
    <t>ZP249P00282</t>
  </si>
  <si>
    <t>SEBASTIAN LARRIVA</t>
  </si>
  <si>
    <t xml:space="preserve">LA PRENSA </t>
  </si>
  <si>
    <t>0106647530001</t>
  </si>
  <si>
    <t>SEBASTIANLARRIVANOVO@GMAIL.COM</t>
  </si>
  <si>
    <t>TZ24W276085</t>
  </si>
  <si>
    <t>043-903-000105706</t>
  </si>
  <si>
    <t>TP257U02028</t>
  </si>
  <si>
    <t>027-911-000948322</t>
  </si>
  <si>
    <t>ZP257X00035</t>
  </si>
  <si>
    <t>AV. MANUEL QUIROGA</t>
  </si>
  <si>
    <t>0914592645001</t>
  </si>
  <si>
    <t>CARMITA031162@HOTMAIL.COM</t>
  </si>
  <si>
    <t>TZ24A202612</t>
  </si>
  <si>
    <t>111910000004022</t>
  </si>
  <si>
    <t>001-500-000074082</t>
  </si>
  <si>
    <t>ZP246K00171</t>
  </si>
  <si>
    <t>ZOILA MARIN</t>
  </si>
  <si>
    <t>1400241434</t>
  </si>
  <si>
    <t>MNARCISA@HOTMAIL.COM</t>
  </si>
  <si>
    <t>001-500-000077768</t>
  </si>
  <si>
    <t>TP24BVO5917</t>
  </si>
  <si>
    <t>TZ245806343</t>
  </si>
  <si>
    <t>001-500-000078440</t>
  </si>
  <si>
    <t>TZ255CO6537</t>
  </si>
  <si>
    <t>PAMELA BORJA</t>
  </si>
  <si>
    <t>FRANCISCO TAMARIZ</t>
  </si>
  <si>
    <t>0301529503</t>
  </si>
  <si>
    <t>PAMELABORJA88@HOTMAIL.COM</t>
  </si>
  <si>
    <t>016-902-000520042</t>
  </si>
  <si>
    <t>ZP24BM00284</t>
  </si>
  <si>
    <t>040-104-000014429</t>
  </si>
  <si>
    <t>ZP255900403</t>
  </si>
  <si>
    <t>WILMA CALDERON</t>
  </si>
  <si>
    <t>0103281127</t>
  </si>
  <si>
    <t>WILMACUMANDACS@GMAIL.COM</t>
  </si>
  <si>
    <t>PX257300110</t>
  </si>
  <si>
    <t>TZ257A11914</t>
  </si>
  <si>
    <t>043-901-00001974</t>
  </si>
  <si>
    <t>TP245103581</t>
  </si>
  <si>
    <t>MIRIAM VELEZ</t>
  </si>
  <si>
    <t>0300496197</t>
  </si>
  <si>
    <t>BOLIVARROMO768@GMAIL.COM</t>
  </si>
  <si>
    <t>TZ256W29864</t>
  </si>
  <si>
    <t>TP256T14785</t>
  </si>
  <si>
    <t>040-103-000017024</t>
  </si>
  <si>
    <t>TP236T03941</t>
  </si>
  <si>
    <t>ESTHER ORELLANA</t>
  </si>
  <si>
    <t>0102295917</t>
  </si>
  <si>
    <t>loliorellana18@gmail.com</t>
  </si>
  <si>
    <t>ZP295D00277</t>
  </si>
  <si>
    <t>ZP24BT00901</t>
  </si>
  <si>
    <t>GUADALUPE PEÑALOZA</t>
  </si>
  <si>
    <t>0101369718</t>
  </si>
  <si>
    <t>LUPEYARIS@YAHOO.COM</t>
  </si>
  <si>
    <t>PX255700021</t>
  </si>
  <si>
    <t>TZ257H21563</t>
  </si>
  <si>
    <t>TKZZC5F2691</t>
  </si>
  <si>
    <t>001-502-000000267</t>
  </si>
  <si>
    <t>TZ256405022</t>
  </si>
  <si>
    <t>GABRIELA COBOS</t>
  </si>
  <si>
    <t>LOS LADRILLEROS</t>
  </si>
  <si>
    <t>0106421340</t>
  </si>
  <si>
    <t>GABYCOBOS1990@HOTMAIL.COM</t>
  </si>
  <si>
    <t>ZP255500580</t>
  </si>
  <si>
    <t>EK249L00065</t>
  </si>
  <si>
    <t>006-002-000158175</t>
  </si>
  <si>
    <t>TZ25562051</t>
  </si>
  <si>
    <t>HUGO ERRAEZ</t>
  </si>
  <si>
    <t>0104122478</t>
  </si>
  <si>
    <t>ALFREDOHAEC31@GMAIL.COM</t>
  </si>
  <si>
    <t>TP246708465</t>
  </si>
  <si>
    <t>ZP225D00195</t>
  </si>
  <si>
    <t>040-104-000012756</t>
  </si>
  <si>
    <t>ZP24BTOC549</t>
  </si>
  <si>
    <t>JORGE PEÑAFIEL</t>
  </si>
  <si>
    <t>TURI TRES MARIAS</t>
  </si>
  <si>
    <t>0103640710</t>
  </si>
  <si>
    <t>JORGEPB01@HOTMAIL.COM</t>
  </si>
  <si>
    <t>TP246H03273</t>
  </si>
  <si>
    <t>001-500-000076906</t>
  </si>
  <si>
    <t>EK247200014</t>
  </si>
  <si>
    <t>SOPHIA LITUMA</t>
  </si>
  <si>
    <t>CELINA ANCHA DE EGA 1 18</t>
  </si>
  <si>
    <t>0104969266</t>
  </si>
  <si>
    <t>SOPHIALITUMAA@GMAIL.COM</t>
  </si>
  <si>
    <t>001-500-000077293</t>
  </si>
  <si>
    <t>ZP254W00103</t>
  </si>
  <si>
    <t>001-500-000077208</t>
  </si>
  <si>
    <t>TP256H09674</t>
  </si>
  <si>
    <t>MISHELL MENDEZ</t>
  </si>
  <si>
    <t>GUADALAJARA Y 24 DE MAYO</t>
  </si>
  <si>
    <t>0104490248</t>
  </si>
  <si>
    <t>XINAMENDEZ@GMAIL.COM</t>
  </si>
  <si>
    <t>ZP254W00107</t>
  </si>
  <si>
    <t>CO256E00713</t>
  </si>
  <si>
    <t>KYWI(CRISTIAN MESA)</t>
  </si>
  <si>
    <t>WYRA PLAZA</t>
  </si>
  <si>
    <t>13135652267</t>
  </si>
  <si>
    <t>freddy20@kiwi.com.ec</t>
  </si>
  <si>
    <t>CO256E00805</t>
  </si>
  <si>
    <t>CO249E00170</t>
  </si>
  <si>
    <t>C0249E00181</t>
  </si>
  <si>
    <t>001-500-000077610</t>
  </si>
  <si>
    <t>CO249E00433</t>
  </si>
  <si>
    <t>LIMON INDANZA</t>
  </si>
  <si>
    <t xml:space="preserve"> 001-500-000077610 </t>
  </si>
  <si>
    <t>1400401996</t>
  </si>
  <si>
    <t>DIANACARDENAS28@HOTMAIL.COM</t>
  </si>
  <si>
    <t>043-401-000033631</t>
  </si>
  <si>
    <t>CO256E00724</t>
  </si>
  <si>
    <t>21/1025</t>
  </si>
  <si>
    <t>MARIA DEL CARMEN MARTINEZ</t>
  </si>
  <si>
    <t xml:space="preserve"> 043-401-000033631 </t>
  </si>
  <si>
    <t>0102674306</t>
  </si>
  <si>
    <t>MMRTINEZCARD@GMAIL.COM</t>
  </si>
  <si>
    <t>CO256E00736</t>
  </si>
  <si>
    <t>COMERCIAL SOLIS(DORIS CHICAIZA</t>
  </si>
  <si>
    <t>LAMAR PRINCIPAL</t>
  </si>
  <si>
    <t>0104088265</t>
  </si>
  <si>
    <t>VENTAS@COMERCIALSOLIS.COM.EC</t>
  </si>
  <si>
    <t>001-500-000078022</t>
  </si>
  <si>
    <t>EULALIA AMOROSO</t>
  </si>
  <si>
    <t>INAQUITO 1-42</t>
  </si>
  <si>
    <t xml:space="preserve"> 001-500-000078022 </t>
  </si>
  <si>
    <t>0300427192</t>
  </si>
  <si>
    <t>ESTMUNDONOVA54@HOTMAIL.COM</t>
  </si>
  <si>
    <t>CO256E00882</t>
  </si>
  <si>
    <t>KIWI(ALEX GARAY)</t>
  </si>
  <si>
    <t>ELIA LIUT</t>
  </si>
  <si>
    <t>0150905453</t>
  </si>
  <si>
    <t>CONTACT@SUPORT.KYWI.COM</t>
  </si>
  <si>
    <t>CO249E00438</t>
  </si>
  <si>
    <t>CO249E00345</t>
  </si>
  <si>
    <t>JULIO TORAL</t>
  </si>
  <si>
    <t>PENCAS 3 31</t>
  </si>
  <si>
    <t>0102146834</t>
  </si>
  <si>
    <t>SEGUROSJET@GMAIL.COM</t>
  </si>
  <si>
    <t>043-901-000035947</t>
  </si>
  <si>
    <t>CO256E00118</t>
  </si>
  <si>
    <t>JUAN PABLO ARIAS</t>
  </si>
  <si>
    <t>VIA A BANOS</t>
  </si>
  <si>
    <t xml:space="preserve"> 043-901-000035947 </t>
  </si>
  <si>
    <t>0103964416001</t>
  </si>
  <si>
    <t>MOHELEPODNECOQ@GMAIL.COM</t>
  </si>
  <si>
    <t>001-500-000078453</t>
  </si>
  <si>
    <t>CO256E00411</t>
  </si>
  <si>
    <t>LEONOR MOYANO</t>
  </si>
  <si>
    <t>THOMAS ORDONEZ 12 56</t>
  </si>
  <si>
    <t xml:space="preserve"> 001-500-000078453 </t>
  </si>
  <si>
    <t>0100998699001</t>
  </si>
  <si>
    <t>HUBERMEO@HOTMAIL.COM</t>
  </si>
  <si>
    <t>001-500-000078353</t>
  </si>
  <si>
    <t>CO256E00513</t>
  </si>
  <si>
    <t>TIFFANY VIDAL</t>
  </si>
  <si>
    <t>VIA MONAY BAGUANCHI</t>
  </si>
  <si>
    <t xml:space="preserve"> 001-500-000078353 </t>
  </si>
  <si>
    <t>0150307247</t>
  </si>
  <si>
    <t>TAFANYVIDAL11@GMAIL.COM</t>
  </si>
  <si>
    <t>043-905-000103002</t>
  </si>
  <si>
    <t>LARRY VON ESCHEN</t>
  </si>
  <si>
    <t xml:space="preserve"> 043-905-000103002 </t>
  </si>
  <si>
    <t>01051346087</t>
  </si>
  <si>
    <t>LARRYVONESCHEN@GMAIL.COM</t>
  </si>
  <si>
    <t>CO256E00512</t>
  </si>
  <si>
    <t>GUADALUPE PENALOZA</t>
  </si>
  <si>
    <t>0101369728</t>
  </si>
  <si>
    <t>LUPEYEIS@YAHOO.COM</t>
  </si>
  <si>
    <t>043-902-000066424</t>
  </si>
  <si>
    <t>EDISON ORTEGA</t>
  </si>
  <si>
    <t>GUSTAVO VALLEJO Y RICARDO</t>
  </si>
  <si>
    <t xml:space="preserve"> 043-902-000066424 </t>
  </si>
  <si>
    <t>0301529244</t>
  </si>
  <si>
    <t>EDISON777@OUTLOOK.COM</t>
  </si>
  <si>
    <t>CO256E00845</t>
  </si>
  <si>
    <t>MERCARD(JOSE GARZON)</t>
  </si>
  <si>
    <t>FRANCISCO SOJOS</t>
  </si>
  <si>
    <t>010289808</t>
  </si>
  <si>
    <t>SERVICIOALCLIENTE@ECMERCAD.COM</t>
  </si>
  <si>
    <t>043-901-000032786</t>
  </si>
  <si>
    <t>ERICKA CHICA</t>
  </si>
  <si>
    <t>12 DE SEPTIEMBRE</t>
  </si>
  <si>
    <t xml:space="preserve"> 043-901-000032786 </t>
  </si>
  <si>
    <t>0102200318</t>
  </si>
  <si>
    <t>CHICAPES@HOTMAIL.COM</t>
  </si>
  <si>
    <t>TP254105579</t>
  </si>
  <si>
    <t xml:space="preserve">KYWI/WYRA/JHON </t>
  </si>
  <si>
    <t>098949296</t>
  </si>
  <si>
    <t>040-104-000013223</t>
  </si>
  <si>
    <t>DW8 57 FIM-D LAVAVAJILLAS</t>
  </si>
  <si>
    <t>MD255L07847</t>
  </si>
  <si>
    <t>ADRIANA ORELLANA</t>
  </si>
  <si>
    <t>MANUEL CORONEL VELASTEGUI</t>
  </si>
  <si>
    <t>0909585432</t>
  </si>
  <si>
    <t>VICTOR.PALACIOS@OUTLLOK.COM</t>
  </si>
  <si>
    <t>043-905-000096238</t>
  </si>
  <si>
    <t>DSH 985 INOX CAMPANA (110V-60HZ) C/KIT</t>
  </si>
  <si>
    <t>TP249A02200</t>
  </si>
  <si>
    <t>CUENCA ORO HOTELERA</t>
  </si>
  <si>
    <t>AV.ORDONEZ LASSO</t>
  </si>
  <si>
    <t>0190085376001</t>
  </si>
  <si>
    <t>MCASTRO@HOTELOROVERDE.COM</t>
  </si>
  <si>
    <t>008-501-000009784</t>
  </si>
  <si>
    <t>ML 820 BIS - MICROONDAS</t>
  </si>
  <si>
    <t>TP249R04007</t>
  </si>
  <si>
    <t xml:space="preserve">AV 3 DE NOVIEMBRE </t>
  </si>
  <si>
    <t>0104146188001</t>
  </si>
  <si>
    <t>MARCETORLA@YAHOO.COM</t>
  </si>
  <si>
    <t>040-103-000015202</t>
  </si>
  <si>
    <t>LAVAVAJILLAS DFI 46900 120 60 WH</t>
  </si>
  <si>
    <t>AW24A800081</t>
  </si>
  <si>
    <t>FERNANDO ALVARADO</t>
  </si>
  <si>
    <t>AV. 1 DE MYO</t>
  </si>
  <si>
    <t>0102586961</t>
  </si>
  <si>
    <t>FERALVARADOP@HOTMAIL.COM</t>
  </si>
  <si>
    <t>PATTYCAZORLA@HOTMAIL.COM</t>
  </si>
  <si>
    <t>043-903-000022731</t>
  </si>
  <si>
    <t>HLB 8416 "AIR FRY" - HORNO ELEC</t>
  </si>
  <si>
    <t>TZ2436047531</t>
  </si>
  <si>
    <t>FANNY MARCHAN</t>
  </si>
  <si>
    <t>AV. JULIA BERNAL</t>
  </si>
  <si>
    <t>0102483409</t>
  </si>
  <si>
    <t>FMARCHANG-30@HOTMAIL.COM</t>
  </si>
  <si>
    <t>016-902-000533286</t>
  </si>
  <si>
    <t>EX 60.1 4G AI CI COCINA INOX</t>
  </si>
  <si>
    <t>ZP203T00008</t>
  </si>
  <si>
    <t>DIEGO ALVARADO</t>
  </si>
  <si>
    <t>CALLE LOS FRESNOS 2 68</t>
  </si>
  <si>
    <t>010103005</t>
  </si>
  <si>
    <t>DIEGOALCO@YAHOO.COM</t>
  </si>
  <si>
    <t>093-902-000063632</t>
  </si>
  <si>
    <t>C 610 NEGRA CAMPANA (110V-60HZ) C/KIT</t>
  </si>
  <si>
    <t>TP25ET05257</t>
  </si>
  <si>
    <t>SANTIAGO SEGARRA</t>
  </si>
  <si>
    <t>1716266117</t>
  </si>
  <si>
    <t>SSEGARRA@ETAPA.NET.EC</t>
  </si>
  <si>
    <t>19/1025</t>
  </si>
  <si>
    <t>043-903-000101314</t>
  </si>
  <si>
    <t>HSB 646 "AIRFRY" - HORNO ELEC</t>
  </si>
  <si>
    <t>TZ25601567</t>
  </si>
  <si>
    <t>PEDRO VALLEJO</t>
  </si>
  <si>
    <t>BETHOVEN Y DEL CHARANGO</t>
  </si>
  <si>
    <t>0103663183</t>
  </si>
  <si>
    <t>PEZVACAB@HOTMAIL.COM</t>
  </si>
  <si>
    <t>001-500-000078091</t>
  </si>
  <si>
    <t>MS 620 BIS - MICROONDAS</t>
  </si>
  <si>
    <t>TP243K04131</t>
  </si>
  <si>
    <t>BELEN WEBSTER</t>
  </si>
  <si>
    <t>1710585405001</t>
  </si>
  <si>
    <t>CECERESBAIXERAS@GMAIL.COM</t>
  </si>
  <si>
    <t>016-907-000278298</t>
  </si>
  <si>
    <t>TP256610942</t>
  </si>
  <si>
    <t>MIGUEL TOLEDO</t>
  </si>
  <si>
    <t>ORDONEZ LASSO/BALSAY</t>
  </si>
  <si>
    <t>0101042158</t>
  </si>
  <si>
    <t>MIALTO53@HOTMAIL.COM</t>
  </si>
  <si>
    <t>001-500-000076961</t>
  </si>
  <si>
    <t>ZP24C300400</t>
  </si>
  <si>
    <t>INES LOPEZ</t>
  </si>
  <si>
    <t>0301628517</t>
  </si>
  <si>
    <t>BERNICR@HOTMAIL.COM</t>
  </si>
  <si>
    <t>040-104-000014247</t>
  </si>
  <si>
    <t>GBC 95030 KBB BK COCINA GAS</t>
  </si>
  <si>
    <t>ZP253T00092</t>
  </si>
  <si>
    <t>BYRON TENESACA</t>
  </si>
  <si>
    <t>CRUZ DE MISICATA</t>
  </si>
  <si>
    <t>0106513038</t>
  </si>
  <si>
    <t>FABRICIOTENESACA@PACAJEAN.COM</t>
  </si>
  <si>
    <t>ML 8220 BIS FBK- MICROONDAS</t>
  </si>
  <si>
    <t>TP256T14786</t>
  </si>
  <si>
    <t>EDUARDO UGALDE</t>
  </si>
  <si>
    <t>JUANINIGUEZ</t>
  </si>
  <si>
    <t>ALIV.SOS@HOTMAIL.COM</t>
  </si>
  <si>
    <t>003-170027733</t>
  </si>
  <si>
    <t>MD255L07944</t>
  </si>
  <si>
    <t>ISMAEL HERNANDEZ</t>
  </si>
  <si>
    <t>0195135576001</t>
  </si>
  <si>
    <t>HERNANDEZISMAEL28@HOTMAIL.COM</t>
  </si>
  <si>
    <t>040-104-000014327</t>
  </si>
  <si>
    <t>ZP257701396</t>
  </si>
  <si>
    <t>VERONICA CALLE</t>
  </si>
  <si>
    <t>0301716460</t>
  </si>
  <si>
    <t>VEROCALLE 1980@HOTMAIL.COM</t>
  </si>
  <si>
    <t>001-500-000077657</t>
  </si>
  <si>
    <t>ZP257701358</t>
  </si>
  <si>
    <t>VERONICA ORDEN</t>
  </si>
  <si>
    <t>0105357172</t>
  </si>
  <si>
    <t>VERONICAORDEN@GMAIL.COM</t>
  </si>
  <si>
    <t>GFI 97350 ECS IX 110/60 CAMPANA</t>
  </si>
  <si>
    <t>TP257U02122</t>
  </si>
  <si>
    <t>AV. PASEO 3 DE NOVIEMBRE</t>
  </si>
  <si>
    <t>LORENA.ANDRADEGI@GMAIL.COM</t>
  </si>
  <si>
    <t>001-500-000077257</t>
  </si>
  <si>
    <t>ZP257701281</t>
  </si>
  <si>
    <t>SUSANA PACHECO</t>
  </si>
  <si>
    <t>010223561</t>
  </si>
  <si>
    <t>PAULESJILA@GMAIL.COM</t>
  </si>
  <si>
    <t>001-502-000000561</t>
  </si>
  <si>
    <t>TKZAC5F2691001525052220134</t>
  </si>
  <si>
    <t>CESAR FREIRE</t>
  </si>
  <si>
    <t>CALLE DEL MORRO</t>
  </si>
  <si>
    <t>0101810455</t>
  </si>
  <si>
    <t>NELITORRES273@GMAIL.COM</t>
  </si>
  <si>
    <t>014-004-000071254</t>
  </si>
  <si>
    <t>ISABEL VINTIMILLA</t>
  </si>
  <si>
    <t>HLB 760 G SS HORNO A GAS</t>
  </si>
  <si>
    <t>TZ257M21554</t>
  </si>
  <si>
    <t>016-902-000541991</t>
  </si>
  <si>
    <t>C 610 BLANCA CAMPANA (110V-60HZ) C/KIT</t>
  </si>
  <si>
    <t>TP248L01284</t>
  </si>
  <si>
    <t>MONICA JUELA</t>
  </si>
  <si>
    <t>TOMAS DE HERES Y ANTONIO FARFAN</t>
  </si>
  <si>
    <t>0102524188</t>
  </si>
  <si>
    <t>MONICAJUELA@GMAIL.COM</t>
  </si>
  <si>
    <t>001-502-00000868</t>
  </si>
  <si>
    <t>ZP257701300</t>
  </si>
  <si>
    <t>PATRICIA AGUIRRE GRANDA</t>
  </si>
  <si>
    <t>GUAJIBAMBA</t>
  </si>
  <si>
    <t>0104436829</t>
  </si>
  <si>
    <t>PATRICIAAGUIRRE87@HOTMAIL.COM</t>
  </si>
  <si>
    <t>016-907-000272271</t>
  </si>
  <si>
    <t>ZP252400352</t>
  </si>
  <si>
    <t>AIDA ARGUDO</t>
  </si>
  <si>
    <t>0100547553</t>
  </si>
  <si>
    <t>CRISLIT77@GMAIL.COM</t>
  </si>
  <si>
    <t>043-901-000286779</t>
  </si>
  <si>
    <t>ZP258100299</t>
  </si>
  <si>
    <t xml:space="preserve">FRANCISCO CALLE </t>
  </si>
  <si>
    <t>0102964343</t>
  </si>
  <si>
    <t>PANCHOCALLE01@GMAIL.COM</t>
  </si>
  <si>
    <t>043-902-000002154</t>
  </si>
  <si>
    <t>TZ256W29813</t>
  </si>
  <si>
    <t>FRANCIS GUETTI</t>
  </si>
  <si>
    <t>0152763785</t>
  </si>
  <si>
    <t>MATIASFRANCISGUETTI@GMAIL.COM</t>
  </si>
  <si>
    <t>001-500-000006112</t>
  </si>
  <si>
    <t>EK24BL00007</t>
  </si>
  <si>
    <t>ANA OCHOA</t>
  </si>
  <si>
    <t>010590925</t>
  </si>
  <si>
    <t>ONCOCHOP196@GMAIL.COM</t>
  </si>
  <si>
    <t>043-905-000102238</t>
  </si>
  <si>
    <t>HLB 830 INOX HORNO ELEC</t>
  </si>
  <si>
    <t>TZ254F08067</t>
  </si>
  <si>
    <t>CRISTINA CASTILLO</t>
  </si>
  <si>
    <t>ALAMOS Y O. LASSO</t>
  </si>
  <si>
    <t>1105534073</t>
  </si>
  <si>
    <t>CNSCOSMORA96@GMAIL.COM</t>
  </si>
  <si>
    <t>016-807-000281042</t>
  </si>
  <si>
    <t>TP24BV05921</t>
  </si>
  <si>
    <t>NUBE JIMENEZ</t>
  </si>
  <si>
    <t>0103675443</t>
  </si>
  <si>
    <t>NUBEJIMENEZ93@HOTMAIL.COM</t>
  </si>
  <si>
    <t>040-103-000017264</t>
  </si>
  <si>
    <t>TZ246A06330</t>
  </si>
  <si>
    <t>PATRICIA ALVAREZ</t>
  </si>
  <si>
    <t>MONAY BAGUANCHI</t>
  </si>
  <si>
    <t>010199014</t>
  </si>
  <si>
    <t>OJONA1959@GMAIL.COM</t>
  </si>
  <si>
    <t>001-001-000001522</t>
  </si>
  <si>
    <t>LAVAVAJILLAS DFI 46950 120 60 WH DECO</t>
  </si>
  <si>
    <t>AW233800634</t>
  </si>
  <si>
    <t>MARIA SERRANO</t>
  </si>
  <si>
    <t>0102518743</t>
  </si>
  <si>
    <t>MANESSERRANO@HOTMAIL.COM</t>
  </si>
  <si>
    <t>CAPELO 2025</t>
  </si>
  <si>
    <t>CAPELO ENERO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</si>
</sst>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  <charset val="1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</font>
    <font>
      <sz val="11"/>
      <color indexed="8"/>
      <name val="Calibri"/>
      <family val="2"/>
    </font>
    <font>
      <sz val="16"/>
      <name val="Calibri"/>
      <family val="2"/>
    </font>
    <font>
      <sz val="15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1"/>
      <color rgb="FF467886"/>
      <name val="Aptos Narrow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b/>
      <sz val="12"/>
      <color rgb="FFFFFFFF"/>
      <name val="Calibri"/>
      <family val="2"/>
    </font>
    <font>
      <u/>
      <sz val="12"/>
      <color rgb="FF467886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u/>
      <sz val="11"/>
      <color theme="3" tint="0.249977111117893"/>
      <name val="Calibri"/>
      <family val="2"/>
    </font>
    <font>
      <u/>
      <sz val="11"/>
      <color rgb="FF467886"/>
      <name val="Calibri"/>
      <family val="2"/>
    </font>
    <font>
      <u/>
      <sz val="11"/>
      <color rgb="FF000000"/>
      <name val="Calibri"/>
      <family val="2"/>
    </font>
    <font>
      <sz val="12"/>
      <color rgb="FF1D2228"/>
      <name val="Calibri"/>
      <family val="2"/>
    </font>
    <font>
      <b/>
      <sz val="12"/>
      <color rgb="FF1D2228"/>
      <name val="Calibri"/>
      <family val="2"/>
    </font>
    <font>
      <b/>
      <sz val="12"/>
      <color rgb="FF000000"/>
      <name val="Calibri"/>
      <family val="2"/>
    </font>
    <font>
      <u/>
      <sz val="12"/>
      <color theme="4"/>
      <name val="Calibri"/>
      <family val="2"/>
    </font>
    <font>
      <u/>
      <sz val="12"/>
      <color rgb="FF156082"/>
      <name val="Calibri"/>
      <family val="2"/>
    </font>
    <font>
      <b/>
      <sz val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26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808080"/>
      </bottom>
      <diagonal/>
    </border>
    <border>
      <left/>
      <right style="thin">
        <color indexed="64"/>
      </right>
      <top/>
      <bottom style="hair">
        <color rgb="FF808080"/>
      </bottom>
      <diagonal/>
    </border>
    <border>
      <left/>
      <right/>
      <top/>
      <bottom style="hair">
        <color indexed="6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 style="hair">
        <color rgb="FF808080"/>
      </bottom>
      <diagonal/>
    </border>
    <border>
      <left/>
      <right style="thin">
        <color rgb="FF808080"/>
      </right>
      <top/>
      <bottom style="hair">
        <color indexed="64"/>
      </bottom>
      <diagonal/>
    </border>
    <border>
      <left/>
      <right style="thin">
        <color rgb="FF808080"/>
      </right>
      <top style="hair">
        <color rgb="FF808080"/>
      </top>
      <bottom style="hair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hair">
        <color rgb="FF80808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3">
    <xf numFmtId="0" fontId="0" fillId="0" borderId="0"/>
    <xf numFmtId="0" fontId="5" fillId="0" borderId="0"/>
    <xf numFmtId="0" fontId="5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167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  <xf numFmtId="0" fontId="25" fillId="0" borderId="0"/>
    <xf numFmtId="0" fontId="12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/>
    <xf numFmtId="0" fontId="5" fillId="0" borderId="0"/>
    <xf numFmtId="0" fontId="1" fillId="0" borderId="0"/>
  </cellStyleXfs>
  <cellXfs count="695">
    <xf numFmtId="0" fontId="0" fillId="0" borderId="0" xfId="0"/>
    <xf numFmtId="0" fontId="6" fillId="0" borderId="0" xfId="0" applyFont="1"/>
    <xf numFmtId="0" fontId="0" fillId="0" borderId="0" xfId="0" applyAlignment="1">
      <alignment horizontal="left" vertical="top"/>
    </xf>
    <xf numFmtId="0" fontId="7" fillId="6" borderId="0" xfId="0" applyFont="1" applyFill="1" applyAlignment="1">
      <alignment horizontal="left"/>
    </xf>
    <xf numFmtId="0" fontId="9" fillId="0" borderId="0" xfId="5" applyFont="1"/>
    <xf numFmtId="0" fontId="8" fillId="0" borderId="0" xfId="5" applyAlignment="1">
      <alignment horizontal="right"/>
    </xf>
    <xf numFmtId="4" fontId="4" fillId="0" borderId="0" xfId="6" applyNumberFormat="1" applyFont="1" applyAlignment="1">
      <alignment horizontal="left"/>
    </xf>
    <xf numFmtId="0" fontId="10" fillId="0" borderId="0" xfId="6" applyFont="1" applyAlignment="1">
      <alignment horizontal="center"/>
    </xf>
    <xf numFmtId="0" fontId="11" fillId="0" borderId="0" xfId="6" applyFont="1" applyAlignment="1">
      <alignment vertical="center"/>
    </xf>
    <xf numFmtId="0" fontId="10" fillId="0" borderId="0" xfId="6" applyFont="1"/>
    <xf numFmtId="2" fontId="12" fillId="0" borderId="0" xfId="6" applyNumberFormat="1" applyFont="1" applyAlignment="1">
      <alignment horizontal="left"/>
    </xf>
    <xf numFmtId="0" fontId="8" fillId="0" borderId="0" xfId="5"/>
    <xf numFmtId="0" fontId="13" fillId="0" borderId="0" xfId="5" applyFont="1"/>
    <xf numFmtId="4" fontId="4" fillId="0" borderId="0" xfId="6" applyNumberFormat="1" applyFont="1" applyAlignment="1">
      <alignment horizontal="left" vertical="center"/>
    </xf>
    <xf numFmtId="0" fontId="12" fillId="0" borderId="0" xfId="6" applyFont="1" applyAlignment="1">
      <alignment horizontal="center"/>
    </xf>
    <xf numFmtId="0" fontId="12" fillId="0" borderId="0" xfId="6" applyFont="1"/>
    <xf numFmtId="166" fontId="14" fillId="0" borderId="4" xfId="7" applyNumberFormat="1" applyFont="1" applyBorder="1" applyAlignment="1">
      <alignment horizontal="left"/>
    </xf>
    <xf numFmtId="0" fontId="14" fillId="0" borderId="5" xfId="7" applyFont="1" applyBorder="1" applyAlignment="1">
      <alignment horizontal="left"/>
    </xf>
    <xf numFmtId="0" fontId="13" fillId="0" borderId="5" xfId="7" applyFont="1" applyBorder="1" applyAlignment="1">
      <alignment horizontal="left"/>
    </xf>
    <xf numFmtId="0" fontId="15" fillId="0" borderId="5" xfId="7" applyFont="1" applyBorder="1" applyAlignment="1">
      <alignment horizontal="left"/>
    </xf>
    <xf numFmtId="0" fontId="16" fillId="0" borderId="5" xfId="7" applyFont="1" applyBorder="1" applyAlignment="1">
      <alignment horizontal="left" wrapText="1" readingOrder="1"/>
    </xf>
    <xf numFmtId="0" fontId="15" fillId="0" borderId="5" xfId="7" applyFont="1" applyBorder="1" applyAlignment="1">
      <alignment horizontal="left" wrapText="1"/>
    </xf>
    <xf numFmtId="0" fontId="17" fillId="0" borderId="5" xfId="7" applyFont="1" applyBorder="1" applyAlignment="1">
      <alignment horizontal="left" wrapText="1"/>
    </xf>
    <xf numFmtId="17" fontId="18" fillId="0" borderId="5" xfId="7" quotePrefix="1" applyNumberFormat="1" applyFont="1" applyBorder="1" applyAlignment="1">
      <alignment horizontal="left"/>
    </xf>
    <xf numFmtId="0" fontId="12" fillId="0" borderId="5" xfId="7" applyFont="1" applyBorder="1" applyAlignment="1">
      <alignment horizontal="left"/>
    </xf>
    <xf numFmtId="49" fontId="19" fillId="0" borderId="6" xfId="7" quotePrefix="1" applyNumberFormat="1" applyFont="1" applyBorder="1" applyAlignment="1">
      <alignment horizontal="left"/>
    </xf>
    <xf numFmtId="0" fontId="9" fillId="0" borderId="0" xfId="0" applyFont="1"/>
    <xf numFmtId="166" fontId="14" fillId="0" borderId="7" xfId="7" applyNumberFormat="1" applyFont="1" applyBorder="1" applyAlignment="1">
      <alignment horizontal="left"/>
    </xf>
    <xf numFmtId="0" fontId="14" fillId="0" borderId="0" xfId="7" applyFont="1" applyAlignment="1">
      <alignment horizontal="left"/>
    </xf>
    <xf numFmtId="0" fontId="13" fillId="0" borderId="0" xfId="7" applyFont="1" applyAlignment="1">
      <alignment horizontal="left"/>
    </xf>
    <xf numFmtId="0" fontId="13" fillId="0" borderId="8" xfId="7" applyFont="1" applyBorder="1" applyAlignment="1">
      <alignment horizontal="left"/>
    </xf>
    <xf numFmtId="166" fontId="20" fillId="0" borderId="9" xfId="7" applyNumberFormat="1" applyFont="1" applyBorder="1" applyAlignment="1">
      <alignment horizontal="left"/>
    </xf>
    <xf numFmtId="0" fontId="13" fillId="0" borderId="10" xfId="7" applyFont="1" applyBorder="1" applyAlignment="1">
      <alignment horizontal="left"/>
    </xf>
    <xf numFmtId="0" fontId="13" fillId="0" borderId="11" xfId="7" applyFont="1" applyBorder="1" applyAlignment="1">
      <alignment horizontal="left"/>
    </xf>
    <xf numFmtId="0" fontId="22" fillId="0" borderId="0" xfId="0" applyFont="1"/>
    <xf numFmtId="0" fontId="27" fillId="7" borderId="1" xfId="8" applyFont="1" applyFill="1" applyBorder="1" applyAlignment="1">
      <alignment horizont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/>
    </xf>
    <xf numFmtId="2" fontId="29" fillId="0" borderId="0" xfId="0" applyNumberFormat="1" applyFont="1" applyAlignment="1">
      <alignment horizontal="left"/>
    </xf>
    <xf numFmtId="0" fontId="29" fillId="0" borderId="0" xfId="0" applyFont="1" applyAlignment="1">
      <alignment horizontal="right"/>
    </xf>
    <xf numFmtId="1" fontId="29" fillId="0" borderId="0" xfId="0" applyNumberFormat="1" applyFont="1"/>
    <xf numFmtId="0" fontId="29" fillId="0" borderId="0" xfId="0" applyFont="1" applyAlignment="1">
      <alignment horizontal="center"/>
    </xf>
    <xf numFmtId="49" fontId="29" fillId="0" borderId="0" xfId="0" applyNumberFormat="1" applyFont="1"/>
    <xf numFmtId="0" fontId="30" fillId="0" borderId="0" xfId="0" applyFont="1" applyAlignment="1">
      <alignment horizontal="left"/>
    </xf>
    <xf numFmtId="0" fontId="22" fillId="8" borderId="1" xfId="0" applyFont="1" applyFill="1" applyBorder="1" applyAlignment="1">
      <alignment vertical="center"/>
    </xf>
    <xf numFmtId="14" fontId="23" fillId="8" borderId="2" xfId="10" applyNumberFormat="1" applyFont="1" applyFill="1" applyBorder="1" applyAlignment="1">
      <alignment vertical="center" wrapText="1"/>
    </xf>
    <xf numFmtId="14" fontId="23" fillId="8" borderId="2" xfId="10" applyNumberFormat="1" applyFont="1" applyFill="1" applyBorder="1" applyAlignment="1">
      <alignment horizontal="left" vertical="center" wrapText="1"/>
    </xf>
    <xf numFmtId="0" fontId="23" fillId="8" borderId="2" xfId="1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left" vertical="center" wrapText="1"/>
    </xf>
    <xf numFmtId="0" fontId="23" fillId="8" borderId="2" xfId="10" applyFont="1" applyFill="1" applyBorder="1" applyAlignment="1">
      <alignment horizontal="left" vertical="center" wrapText="1"/>
    </xf>
    <xf numFmtId="0" fontId="23" fillId="8" borderId="12" xfId="10" applyFont="1" applyFill="1" applyBorder="1" applyAlignment="1">
      <alignment vertical="center" wrapText="1"/>
    </xf>
    <xf numFmtId="0" fontId="23" fillId="8" borderId="2" xfId="10" quotePrefix="1" applyFont="1" applyFill="1" applyBorder="1" applyAlignment="1">
      <alignment horizontal="left" vertical="center" wrapText="1"/>
    </xf>
    <xf numFmtId="1" fontId="23" fillId="8" borderId="2" xfId="11" quotePrefix="1" applyNumberFormat="1" applyFont="1" applyFill="1" applyBorder="1" applyAlignment="1">
      <alignment horizontal="left" vertical="center"/>
    </xf>
    <xf numFmtId="43" fontId="23" fillId="8" borderId="2" xfId="12" applyFont="1" applyFill="1" applyBorder="1" applyAlignment="1">
      <alignment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22" fillId="8" borderId="0" xfId="0" applyFont="1" applyFill="1" applyAlignment="1">
      <alignment vertical="center"/>
    </xf>
    <xf numFmtId="0" fontId="0" fillId="0" borderId="1" xfId="0" applyBorder="1"/>
    <xf numFmtId="49" fontId="23" fillId="8" borderId="2" xfId="12" quotePrefix="1" applyNumberFormat="1" applyFont="1" applyFill="1" applyBorder="1" applyAlignment="1">
      <alignment horizontal="left" vertical="center"/>
    </xf>
    <xf numFmtId="43" fontId="23" fillId="8" borderId="2" xfId="12" applyFont="1" applyFill="1" applyBorder="1" applyAlignment="1">
      <alignment horizontal="right" vertical="center"/>
    </xf>
    <xf numFmtId="14" fontId="22" fillId="8" borderId="2" xfId="10" applyNumberFormat="1" applyFont="1" applyFill="1" applyBorder="1" applyAlignment="1">
      <alignment horizontal="left" vertical="center" wrapText="1"/>
    </xf>
    <xf numFmtId="49" fontId="22" fillId="8" borderId="2" xfId="12" quotePrefix="1" applyNumberFormat="1" applyFont="1" applyFill="1" applyBorder="1" applyAlignment="1">
      <alignment horizontal="left" vertical="center"/>
    </xf>
    <xf numFmtId="49" fontId="22" fillId="8" borderId="1" xfId="0" applyNumberFormat="1" applyFont="1" applyFill="1" applyBorder="1" applyAlignment="1">
      <alignment vertical="center"/>
    </xf>
    <xf numFmtId="0" fontId="23" fillId="8" borderId="1" xfId="9" applyFont="1" applyFill="1" applyBorder="1" applyAlignment="1">
      <alignment vertical="center"/>
    </xf>
    <xf numFmtId="0" fontId="2" fillId="0" borderId="1" xfId="19" applyBorder="1"/>
    <xf numFmtId="0" fontId="33" fillId="0" borderId="0" xfId="0" applyFont="1"/>
    <xf numFmtId="14" fontId="23" fillId="0" borderId="2" xfId="10" applyNumberFormat="1" applyFont="1" applyBorder="1" applyAlignment="1">
      <alignment horizontal="center" wrapText="1"/>
    </xf>
    <xf numFmtId="14" fontId="23" fillId="0" borderId="2" xfId="10" applyNumberFormat="1" applyFont="1" applyBorder="1" applyAlignment="1">
      <alignment horizontal="left" wrapText="1"/>
    </xf>
    <xf numFmtId="0" fontId="23" fillId="0" borderId="2" xfId="10" applyFont="1" applyBorder="1" applyAlignment="1">
      <alignment horizontal="center" wrapText="1"/>
    </xf>
    <xf numFmtId="0" fontId="23" fillId="0" borderId="2" xfId="10" applyFont="1" applyBorder="1" applyAlignment="1">
      <alignment wrapText="1"/>
    </xf>
    <xf numFmtId="0" fontId="23" fillId="0" borderId="2" xfId="10" applyFont="1" applyBorder="1" applyAlignment="1">
      <alignment horizontal="left" wrapText="1"/>
    </xf>
    <xf numFmtId="0" fontId="23" fillId="0" borderId="12" xfId="10" applyFont="1" applyBorder="1" applyAlignment="1">
      <alignment wrapText="1"/>
    </xf>
    <xf numFmtId="0" fontId="23" fillId="0" borderId="2" xfId="10" quotePrefix="1" applyFont="1" applyBorder="1" applyAlignment="1">
      <alignment horizontal="left" wrapText="1"/>
    </xf>
    <xf numFmtId="1" fontId="23" fillId="0" borderId="2" xfId="11" quotePrefix="1" applyNumberFormat="1" applyFont="1" applyBorder="1" applyAlignment="1">
      <alignment horizontal="left"/>
    </xf>
    <xf numFmtId="0" fontId="22" fillId="0" borderId="2" xfId="0" applyFont="1" applyBorder="1" applyAlignment="1">
      <alignment horizontal="left" vertical="center" wrapText="1"/>
    </xf>
    <xf numFmtId="43" fontId="23" fillId="0" borderId="2" xfId="12" applyFont="1" applyBorder="1"/>
    <xf numFmtId="49" fontId="23" fillId="0" borderId="2" xfId="12" quotePrefix="1" applyNumberFormat="1" applyFont="1" applyBorder="1" applyAlignment="1">
      <alignment horizontal="left"/>
    </xf>
    <xf numFmtId="43" fontId="2" fillId="0" borderId="13" xfId="19" applyNumberFormat="1" applyBorder="1" applyAlignment="1">
      <alignment horizontal="left"/>
    </xf>
    <xf numFmtId="0" fontId="22" fillId="0" borderId="6" xfId="0" applyFont="1" applyBorder="1"/>
    <xf numFmtId="0" fontId="22" fillId="0" borderId="8" xfId="0" applyFont="1" applyBorder="1"/>
    <xf numFmtId="14" fontId="23" fillId="0" borderId="35" xfId="10" applyNumberFormat="1" applyFont="1" applyBorder="1" applyAlignment="1">
      <alignment horizontal="center" wrapText="1"/>
    </xf>
    <xf numFmtId="14" fontId="23" fillId="0" borderId="35" xfId="10" applyNumberFormat="1" applyFont="1" applyBorder="1" applyAlignment="1">
      <alignment horizontal="left" wrapText="1"/>
    </xf>
    <xf numFmtId="0" fontId="23" fillId="0" borderId="35" xfId="10" applyFont="1" applyBorder="1" applyAlignment="1">
      <alignment horizontal="center" wrapText="1"/>
    </xf>
    <xf numFmtId="0" fontId="23" fillId="0" borderId="35" xfId="10" applyFont="1" applyBorder="1" applyAlignment="1">
      <alignment wrapText="1"/>
    </xf>
    <xf numFmtId="0" fontId="23" fillId="0" borderId="35" xfId="10" applyFont="1" applyBorder="1" applyAlignment="1">
      <alignment horizontal="left" wrapText="1"/>
    </xf>
    <xf numFmtId="0" fontId="23" fillId="0" borderId="35" xfId="10" quotePrefix="1" applyFont="1" applyBorder="1" applyAlignment="1">
      <alignment horizontal="left" wrapText="1"/>
    </xf>
    <xf numFmtId="1" fontId="23" fillId="0" borderId="35" xfId="11" quotePrefix="1" applyNumberFormat="1" applyFont="1" applyBorder="1" applyAlignment="1">
      <alignment horizontal="left"/>
    </xf>
    <xf numFmtId="0" fontId="22" fillId="0" borderId="35" xfId="0" applyFont="1" applyBorder="1" applyAlignment="1">
      <alignment horizontal="left" vertical="center" wrapText="1"/>
    </xf>
    <xf numFmtId="43" fontId="23" fillId="0" borderId="35" xfId="12" applyFont="1" applyBorder="1"/>
    <xf numFmtId="49" fontId="23" fillId="0" borderId="35" xfId="12" quotePrefix="1" applyNumberFormat="1" applyFont="1" applyBorder="1" applyAlignment="1">
      <alignment horizontal="left"/>
    </xf>
    <xf numFmtId="43" fontId="2" fillId="0" borderId="11" xfId="19" applyNumberFormat="1" applyBorder="1" applyAlignment="1">
      <alignment horizontal="left"/>
    </xf>
    <xf numFmtId="0" fontId="22" fillId="0" borderId="10" xfId="0" applyFont="1" applyBorder="1"/>
    <xf numFmtId="0" fontId="22" fillId="0" borderId="11" xfId="0" applyFont="1" applyBorder="1"/>
    <xf numFmtId="14" fontId="23" fillId="8" borderId="1" xfId="10" applyNumberFormat="1" applyFont="1" applyFill="1" applyBorder="1" applyAlignment="1">
      <alignment vertical="center" wrapText="1"/>
    </xf>
    <xf numFmtId="14" fontId="23" fillId="8" borderId="1" xfId="10" applyNumberFormat="1" applyFont="1" applyFill="1" applyBorder="1" applyAlignment="1">
      <alignment horizontal="left" vertical="center" wrapText="1"/>
    </xf>
    <xf numFmtId="0" fontId="23" fillId="8" borderId="1" xfId="1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3" fillId="8" borderId="1" xfId="10" applyFont="1" applyFill="1" applyBorder="1" applyAlignment="1">
      <alignment horizontal="left" vertical="center" wrapText="1"/>
    </xf>
    <xf numFmtId="0" fontId="23" fillId="8" borderId="1" xfId="10" applyFont="1" applyFill="1" applyBorder="1" applyAlignment="1">
      <alignment vertical="center" wrapText="1"/>
    </xf>
    <xf numFmtId="0" fontId="23" fillId="8" borderId="1" xfId="10" quotePrefix="1" applyFont="1" applyFill="1" applyBorder="1" applyAlignment="1">
      <alignment horizontal="left" vertical="center" wrapText="1"/>
    </xf>
    <xf numFmtId="1" fontId="23" fillId="8" borderId="1" xfId="11" quotePrefix="1" applyNumberFormat="1" applyFont="1" applyFill="1" applyBorder="1" applyAlignment="1">
      <alignment horizontal="left" vertical="center"/>
    </xf>
    <xf numFmtId="43" fontId="23" fillId="8" borderId="1" xfId="12" applyFont="1" applyFill="1" applyBorder="1" applyAlignment="1">
      <alignment vertical="center"/>
    </xf>
    <xf numFmtId="49" fontId="23" fillId="8" borderId="1" xfId="12" quotePrefix="1" applyNumberFormat="1" applyFont="1" applyFill="1" applyBorder="1" applyAlignment="1">
      <alignment horizontal="left" vertical="center"/>
    </xf>
    <xf numFmtId="43" fontId="2" fillId="8" borderId="1" xfId="19" applyNumberFormat="1" applyFill="1" applyBorder="1" applyAlignment="1">
      <alignment horizontal="left" vertical="center"/>
    </xf>
    <xf numFmtId="14" fontId="23" fillId="8" borderId="1" xfId="10" applyNumberFormat="1" applyFont="1" applyFill="1" applyBorder="1" applyAlignment="1">
      <alignment horizontal="center" wrapText="1"/>
    </xf>
    <xf numFmtId="14" fontId="23" fillId="8" borderId="1" xfId="10" applyNumberFormat="1" applyFont="1" applyFill="1" applyBorder="1" applyAlignment="1">
      <alignment horizontal="left" wrapText="1"/>
    </xf>
    <xf numFmtId="0" fontId="23" fillId="8" borderId="1" xfId="10" applyFont="1" applyFill="1" applyBorder="1" applyAlignment="1">
      <alignment horizontal="center" wrapText="1"/>
    </xf>
    <xf numFmtId="0" fontId="23" fillId="8" borderId="1" xfId="10" applyFont="1" applyFill="1" applyBorder="1" applyAlignment="1">
      <alignment wrapText="1"/>
    </xf>
    <xf numFmtId="0" fontId="23" fillId="8" borderId="1" xfId="10" applyFont="1" applyFill="1" applyBorder="1" applyAlignment="1">
      <alignment horizontal="left" wrapText="1"/>
    </xf>
    <xf numFmtId="0" fontId="23" fillId="8" borderId="1" xfId="10" quotePrefix="1" applyFont="1" applyFill="1" applyBorder="1" applyAlignment="1">
      <alignment horizontal="left" wrapText="1"/>
    </xf>
    <xf numFmtId="1" fontId="23" fillId="8" borderId="1" xfId="11" quotePrefix="1" applyNumberFormat="1" applyFont="1" applyFill="1" applyBorder="1" applyAlignment="1">
      <alignment horizontal="left"/>
    </xf>
    <xf numFmtId="0" fontId="32" fillId="8" borderId="1" xfId="0" applyFont="1" applyFill="1" applyBorder="1" applyAlignment="1">
      <alignment horizontal="left" vertical="center" wrapText="1"/>
    </xf>
    <xf numFmtId="43" fontId="23" fillId="8" borderId="1" xfId="12" applyFont="1" applyFill="1" applyBorder="1"/>
    <xf numFmtId="49" fontId="23" fillId="8" borderId="1" xfId="12" quotePrefix="1" applyNumberFormat="1" applyFont="1" applyFill="1" applyBorder="1" applyAlignment="1">
      <alignment horizontal="left"/>
    </xf>
    <xf numFmtId="43" fontId="34" fillId="8" borderId="1" xfId="19" applyNumberFormat="1" applyFont="1" applyFill="1" applyBorder="1" applyAlignment="1">
      <alignment horizontal="left"/>
    </xf>
    <xf numFmtId="0" fontId="32" fillId="8" borderId="1" xfId="0" applyFont="1" applyFill="1" applyBorder="1"/>
    <xf numFmtId="0" fontId="32" fillId="0" borderId="1" xfId="0" applyFont="1" applyBorder="1"/>
    <xf numFmtId="0" fontId="32" fillId="0" borderId="0" xfId="0" applyFont="1"/>
    <xf numFmtId="0" fontId="32" fillId="8" borderId="0" xfId="0" applyFont="1" applyFill="1"/>
    <xf numFmtId="14" fontId="23" fillId="0" borderId="1" xfId="10" applyNumberFormat="1" applyFont="1" applyBorder="1" applyAlignment="1">
      <alignment horizontal="center" wrapText="1"/>
    </xf>
    <xf numFmtId="14" fontId="23" fillId="0" borderId="1" xfId="10" applyNumberFormat="1" applyFont="1" applyBorder="1" applyAlignment="1">
      <alignment horizontal="left" wrapText="1"/>
    </xf>
    <xf numFmtId="0" fontId="23" fillId="0" borderId="1" xfId="10" applyFont="1" applyBorder="1" applyAlignment="1">
      <alignment horizontal="center" wrapText="1"/>
    </xf>
    <xf numFmtId="0" fontId="23" fillId="0" borderId="1" xfId="10" applyFont="1" applyBorder="1" applyAlignment="1">
      <alignment wrapText="1"/>
    </xf>
    <xf numFmtId="0" fontId="23" fillId="0" borderId="1" xfId="10" applyFont="1" applyBorder="1" applyAlignment="1">
      <alignment horizontal="left" wrapText="1"/>
    </xf>
    <xf numFmtId="0" fontId="23" fillId="0" borderId="1" xfId="10" quotePrefix="1" applyFont="1" applyBorder="1" applyAlignment="1">
      <alignment horizontal="left" wrapText="1"/>
    </xf>
    <xf numFmtId="1" fontId="23" fillId="0" borderId="1" xfId="11" quotePrefix="1" applyNumberFormat="1" applyFont="1" applyFill="1" applyBorder="1" applyAlignment="1">
      <alignment horizontal="left"/>
    </xf>
    <xf numFmtId="0" fontId="32" fillId="0" borderId="1" xfId="0" applyFont="1" applyBorder="1" applyAlignment="1">
      <alignment horizontal="left" vertical="center" wrapText="1"/>
    </xf>
    <xf numFmtId="43" fontId="23" fillId="0" borderId="1" xfId="12" applyFont="1" applyFill="1" applyBorder="1"/>
    <xf numFmtId="49" fontId="23" fillId="0" borderId="1" xfId="12" quotePrefix="1" applyNumberFormat="1" applyFont="1" applyFill="1" applyBorder="1" applyAlignment="1">
      <alignment horizontal="left"/>
    </xf>
    <xf numFmtId="43" fontId="34" fillId="0" borderId="1" xfId="19" applyNumberFormat="1" applyFont="1" applyFill="1" applyBorder="1" applyAlignment="1">
      <alignment horizontal="left"/>
    </xf>
    <xf numFmtId="0" fontId="36" fillId="8" borderId="41" xfId="10" applyFont="1" applyFill="1" applyBorder="1" applyAlignment="1">
      <alignment horizontal="left" vertical="center" wrapText="1"/>
    </xf>
    <xf numFmtId="0" fontId="37" fillId="0" borderId="12" xfId="10" applyFont="1" applyBorder="1" applyAlignment="1">
      <alignment horizontal="left" vertical="center" wrapText="1"/>
    </xf>
    <xf numFmtId="49" fontId="23" fillId="8" borderId="2" xfId="12" applyNumberFormat="1" applyFont="1" applyFill="1" applyBorder="1" applyAlignment="1">
      <alignment horizontal="center" vertical="center"/>
    </xf>
    <xf numFmtId="14" fontId="23" fillId="8" borderId="2" xfId="10" applyNumberFormat="1" applyFont="1" applyFill="1" applyBorder="1" applyAlignment="1">
      <alignment horizontal="right" vertical="center" wrapText="1"/>
    </xf>
    <xf numFmtId="14" fontId="23" fillId="11" borderId="2" xfId="0" applyNumberFormat="1" applyFont="1" applyFill="1" applyBorder="1" applyAlignment="1">
      <alignment vertical="center" wrapText="1"/>
    </xf>
    <xf numFmtId="14" fontId="23" fillId="11" borderId="12" xfId="0" applyNumberFormat="1" applyFont="1" applyFill="1" applyBorder="1" applyAlignment="1">
      <alignment horizontal="left" vertical="center" wrapText="1"/>
    </xf>
    <xf numFmtId="0" fontId="23" fillId="11" borderId="12" xfId="0" applyFont="1" applyFill="1" applyBorder="1" applyAlignment="1">
      <alignment horizontal="center" vertical="center" wrapText="1"/>
    </xf>
    <xf numFmtId="0" fontId="32" fillId="11" borderId="12" xfId="0" applyFont="1" applyFill="1" applyBorder="1" applyAlignment="1">
      <alignment horizontal="left" vertical="center" wrapText="1"/>
    </xf>
    <xf numFmtId="0" fontId="36" fillId="11" borderId="41" xfId="0" applyFont="1" applyFill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 wrapText="1"/>
    </xf>
    <xf numFmtId="0" fontId="23" fillId="11" borderId="12" xfId="0" applyFont="1" applyFill="1" applyBorder="1" applyAlignment="1">
      <alignment horizontal="left" vertical="center" wrapText="1"/>
    </xf>
    <xf numFmtId="1" fontId="23" fillId="11" borderId="12" xfId="0" applyNumberFormat="1" applyFont="1" applyFill="1" applyBorder="1" applyAlignment="1">
      <alignment horizontal="left" vertical="center"/>
    </xf>
    <xf numFmtId="43" fontId="23" fillId="11" borderId="12" xfId="0" applyNumberFormat="1" applyFont="1" applyFill="1" applyBorder="1" applyAlignment="1">
      <alignment vertical="center"/>
    </xf>
    <xf numFmtId="49" fontId="23" fillId="11" borderId="12" xfId="0" applyNumberFormat="1" applyFont="1" applyFill="1" applyBorder="1" applyAlignment="1">
      <alignment horizontal="center" vertical="center"/>
    </xf>
    <xf numFmtId="43" fontId="40" fillId="11" borderId="13" xfId="0" applyNumberFormat="1" applyFont="1" applyFill="1" applyBorder="1" applyAlignment="1">
      <alignment horizontal="left" vertical="center"/>
    </xf>
    <xf numFmtId="43" fontId="2" fillId="11" borderId="13" xfId="19" applyNumberFormat="1" applyFill="1" applyBorder="1" applyAlignment="1">
      <alignment horizontal="left" vertical="center"/>
    </xf>
    <xf numFmtId="0" fontId="32" fillId="11" borderId="36" xfId="0" applyFont="1" applyFill="1" applyBorder="1" applyAlignment="1">
      <alignment vertical="center"/>
    </xf>
    <xf numFmtId="14" fontId="23" fillId="11" borderId="21" xfId="0" applyNumberFormat="1" applyFont="1" applyFill="1" applyBorder="1" applyAlignment="1">
      <alignment vertical="center" wrapText="1"/>
    </xf>
    <xf numFmtId="14" fontId="23" fillId="11" borderId="25" xfId="0" applyNumberFormat="1" applyFont="1" applyFill="1" applyBorder="1" applyAlignment="1">
      <alignment horizontal="left" vertical="center" wrapText="1"/>
    </xf>
    <xf numFmtId="0" fontId="23" fillId="11" borderId="25" xfId="0" applyFont="1" applyFill="1" applyBorder="1" applyAlignment="1">
      <alignment horizontal="center" vertical="center" wrapText="1"/>
    </xf>
    <xf numFmtId="0" fontId="32" fillId="11" borderId="25" xfId="0" applyFont="1" applyFill="1" applyBorder="1" applyAlignment="1">
      <alignment horizontal="left" vertical="center" wrapText="1"/>
    </xf>
    <xf numFmtId="0" fontId="36" fillId="11" borderId="25" xfId="0" applyFont="1" applyFill="1" applyBorder="1" applyAlignment="1">
      <alignment horizontal="left" vertical="center" wrapText="1"/>
    </xf>
    <xf numFmtId="0" fontId="23" fillId="11" borderId="25" xfId="0" applyFont="1" applyFill="1" applyBorder="1" applyAlignment="1">
      <alignment horizontal="left" vertical="center" wrapText="1"/>
    </xf>
    <xf numFmtId="1" fontId="23" fillId="11" borderId="25" xfId="0" applyNumberFormat="1" applyFont="1" applyFill="1" applyBorder="1" applyAlignment="1">
      <alignment horizontal="left" vertical="center"/>
    </xf>
    <xf numFmtId="43" fontId="23" fillId="11" borderId="25" xfId="0" applyNumberFormat="1" applyFont="1" applyFill="1" applyBorder="1" applyAlignment="1">
      <alignment vertical="center"/>
    </xf>
    <xf numFmtId="49" fontId="23" fillId="11" borderId="25" xfId="0" applyNumberFormat="1" applyFont="1" applyFill="1" applyBorder="1" applyAlignment="1">
      <alignment horizontal="center" vertical="center"/>
    </xf>
    <xf numFmtId="0" fontId="32" fillId="11" borderId="11" xfId="0" applyFont="1" applyFill="1" applyBorder="1" applyAlignment="1">
      <alignment vertical="center"/>
    </xf>
    <xf numFmtId="0" fontId="36" fillId="11" borderId="42" xfId="0" applyFont="1" applyFill="1" applyBorder="1" applyAlignment="1">
      <alignment horizontal="left" vertical="center" wrapText="1"/>
    </xf>
    <xf numFmtId="0" fontId="41" fillId="0" borderId="0" xfId="0" applyFont="1"/>
    <xf numFmtId="14" fontId="41" fillId="9" borderId="41" xfId="0" applyNumberFormat="1" applyFont="1" applyFill="1" applyBorder="1" applyAlignment="1">
      <alignment horizontal="left" vertical="center"/>
    </xf>
    <xf numFmtId="0" fontId="41" fillId="0" borderId="41" xfId="0" applyFont="1" applyBorder="1"/>
    <xf numFmtId="0" fontId="41" fillId="0" borderId="0" xfId="0" applyFont="1" applyAlignment="1">
      <alignment horizontal="left"/>
    </xf>
    <xf numFmtId="0" fontId="42" fillId="0" borderId="0" xfId="0" applyFont="1"/>
    <xf numFmtId="0" fontId="42" fillId="0" borderId="43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14" fontId="42" fillId="0" borderId="42" xfId="0" applyNumberFormat="1" applyFont="1" applyBorder="1" applyAlignment="1">
      <alignment horizontal="left"/>
    </xf>
    <xf numFmtId="14" fontId="42" fillId="0" borderId="44" xfId="0" applyNumberFormat="1" applyFont="1" applyBorder="1" applyAlignment="1">
      <alignment horizontal="left"/>
    </xf>
    <xf numFmtId="0" fontId="42" fillId="0" borderId="44" xfId="0" applyFont="1" applyBorder="1" applyAlignment="1">
      <alignment horizontal="left"/>
    </xf>
    <xf numFmtId="49" fontId="39" fillId="8" borderId="2" xfId="12" applyNumberFormat="1" applyFont="1" applyFill="1" applyBorder="1" applyAlignment="1">
      <alignment horizontal="center" vertical="center"/>
    </xf>
    <xf numFmtId="0" fontId="36" fillId="8" borderId="2" xfId="10" applyFont="1" applyFill="1" applyBorder="1" applyAlignment="1">
      <alignment horizontal="left" vertical="center" wrapText="1"/>
    </xf>
    <xf numFmtId="14" fontId="23" fillId="8" borderId="22" xfId="10" applyNumberFormat="1" applyFont="1" applyFill="1" applyBorder="1" applyAlignment="1">
      <alignment vertical="center" wrapText="1"/>
    </xf>
    <xf numFmtId="14" fontId="23" fillId="8" borderId="22" xfId="10" applyNumberFormat="1" applyFont="1" applyFill="1" applyBorder="1" applyAlignment="1">
      <alignment horizontal="left" vertical="center" wrapText="1"/>
    </xf>
    <xf numFmtId="0" fontId="23" fillId="8" borderId="22" xfId="1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left" vertical="center" wrapText="1"/>
    </xf>
    <xf numFmtId="0" fontId="36" fillId="8" borderId="22" xfId="10" applyFont="1" applyFill="1" applyBorder="1" applyAlignment="1">
      <alignment horizontal="left" vertical="center" wrapText="1"/>
    </xf>
    <xf numFmtId="0" fontId="37" fillId="0" borderId="45" xfId="10" applyFont="1" applyBorder="1" applyAlignment="1">
      <alignment horizontal="left" vertical="center" wrapText="1"/>
    </xf>
    <xf numFmtId="0" fontId="23" fillId="8" borderId="22" xfId="10" applyFont="1" applyFill="1" applyBorder="1" applyAlignment="1">
      <alignment horizontal="left" vertical="center" wrapText="1"/>
    </xf>
    <xf numFmtId="1" fontId="23" fillId="8" borderId="22" xfId="11" quotePrefix="1" applyNumberFormat="1" applyFont="1" applyFill="1" applyBorder="1" applyAlignment="1">
      <alignment horizontal="left" vertical="center"/>
    </xf>
    <xf numFmtId="43" fontId="23" fillId="8" borderId="22" xfId="12" applyFont="1" applyFill="1" applyBorder="1" applyAlignment="1">
      <alignment vertical="center"/>
    </xf>
    <xf numFmtId="49" fontId="39" fillId="8" borderId="22" xfId="12" applyNumberFormat="1" applyFont="1" applyFill="1" applyBorder="1" applyAlignment="1">
      <alignment horizontal="center" vertical="center"/>
    </xf>
    <xf numFmtId="43" fontId="2" fillId="8" borderId="8" xfId="19" applyNumberFormat="1" applyFill="1" applyBorder="1" applyAlignment="1">
      <alignment horizontal="left" vertical="center"/>
    </xf>
    <xf numFmtId="0" fontId="22" fillId="8" borderId="14" xfId="0" applyFont="1" applyFill="1" applyBorder="1" applyAlignment="1">
      <alignment vertical="center"/>
    </xf>
    <xf numFmtId="14" fontId="22" fillId="0" borderId="1" xfId="0" applyNumberFormat="1" applyFont="1" applyBorder="1" applyAlignment="1">
      <alignment horizontal="right"/>
    </xf>
    <xf numFmtId="14" fontId="22" fillId="0" borderId="1" xfId="0" applyNumberFormat="1" applyFont="1" applyBorder="1" applyAlignment="1">
      <alignment horizontal="left"/>
    </xf>
    <xf numFmtId="0" fontId="36" fillId="8" borderId="1" xfId="10" applyFont="1" applyFill="1" applyBorder="1" applyAlignment="1">
      <alignment horizontal="left" vertical="center" wrapText="1"/>
    </xf>
    <xf numFmtId="0" fontId="37" fillId="0" borderId="1" xfId="10" applyFont="1" applyBorder="1" applyAlignment="1">
      <alignment horizontal="left" vertical="center" wrapText="1"/>
    </xf>
    <xf numFmtId="1" fontId="38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9" fillId="0" borderId="1" xfId="10" applyFont="1" applyBorder="1" applyAlignment="1">
      <alignment horizontal="left" vertical="center" wrapText="1"/>
    </xf>
    <xf numFmtId="0" fontId="39" fillId="8" borderId="1" xfId="10" applyFont="1" applyFill="1" applyBorder="1" applyAlignment="1">
      <alignment horizontal="left" vertical="center" wrapText="1"/>
    </xf>
    <xf numFmtId="1" fontId="39" fillId="8" borderId="1" xfId="11" quotePrefix="1" applyNumberFormat="1" applyFont="1" applyFill="1" applyBorder="1" applyAlignment="1">
      <alignment horizontal="left" vertical="center"/>
    </xf>
    <xf numFmtId="0" fontId="38" fillId="8" borderId="1" xfId="0" applyFont="1" applyFill="1" applyBorder="1" applyAlignment="1">
      <alignment horizontal="left" vertical="center" wrapText="1"/>
    </xf>
    <xf numFmtId="43" fontId="39" fillId="8" borderId="1" xfId="12" applyFont="1" applyFill="1" applyBorder="1" applyAlignment="1">
      <alignment horizontal="left" vertical="center"/>
    </xf>
    <xf numFmtId="0" fontId="43" fillId="0" borderId="1" xfId="19" applyFont="1" applyBorder="1" applyAlignment="1">
      <alignment horizontal="left"/>
    </xf>
    <xf numFmtId="0" fontId="22" fillId="8" borderId="1" xfId="0" applyFont="1" applyFill="1" applyBorder="1" applyAlignment="1">
      <alignment horizontal="right" vertical="center"/>
    </xf>
    <xf numFmtId="0" fontId="22" fillId="8" borderId="1" xfId="0" applyFont="1" applyFill="1" applyBorder="1" applyAlignment="1">
      <alignment horizontal="left" vertical="center"/>
    </xf>
    <xf numFmtId="0" fontId="2" fillId="0" borderId="1" xfId="19" applyBorder="1" applyAlignment="1">
      <alignment horizontal="left"/>
    </xf>
    <xf numFmtId="14" fontId="41" fillId="8" borderId="46" xfId="0" applyNumberFormat="1" applyFont="1" applyFill="1" applyBorder="1" applyAlignment="1">
      <alignment horizontal="left"/>
    </xf>
    <xf numFmtId="0" fontId="41" fillId="8" borderId="46" xfId="0" applyFont="1" applyFill="1" applyBorder="1" applyAlignment="1">
      <alignment horizontal="left"/>
    </xf>
    <xf numFmtId="0" fontId="41" fillId="8" borderId="46" xfId="0" applyFont="1" applyFill="1" applyBorder="1" applyAlignment="1">
      <alignment horizontal="center"/>
    </xf>
    <xf numFmtId="0" fontId="41" fillId="8" borderId="0" xfId="0" applyFont="1" applyFill="1" applyAlignment="1">
      <alignment horizontal="left"/>
    </xf>
    <xf numFmtId="14" fontId="41" fillId="9" borderId="41" xfId="0" applyNumberFormat="1" applyFont="1" applyFill="1" applyBorder="1" applyAlignment="1">
      <alignment horizontal="center" vertical="center"/>
    </xf>
    <xf numFmtId="14" fontId="41" fillId="9" borderId="1" xfId="0" applyNumberFormat="1" applyFont="1" applyFill="1" applyBorder="1" applyAlignment="1">
      <alignment horizontal="left" vertical="center"/>
    </xf>
    <xf numFmtId="49" fontId="41" fillId="9" borderId="1" xfId="0" applyNumberFormat="1" applyFont="1" applyFill="1" applyBorder="1" applyAlignment="1">
      <alignment horizontal="left" vertical="center"/>
    </xf>
    <xf numFmtId="0" fontId="42" fillId="0" borderId="36" xfId="0" applyFont="1" applyBorder="1"/>
    <xf numFmtId="0" fontId="42" fillId="0" borderId="11" xfId="0" applyFont="1" applyBorder="1"/>
    <xf numFmtId="0" fontId="42" fillId="0" borderId="11" xfId="0" applyFont="1" applyBorder="1" applyAlignment="1">
      <alignment horizontal="left"/>
    </xf>
    <xf numFmtId="14" fontId="41" fillId="9" borderId="21" xfId="0" applyNumberFormat="1" applyFont="1" applyFill="1" applyBorder="1" applyAlignment="1">
      <alignment horizontal="left" vertical="center"/>
    </xf>
    <xf numFmtId="0" fontId="29" fillId="0" borderId="0" xfId="0" applyFont="1"/>
    <xf numFmtId="0" fontId="35" fillId="5" borderId="15" xfId="0" applyFont="1" applyFill="1" applyBorder="1" applyAlignment="1">
      <alignment horizontal="center" vertical="center"/>
    </xf>
    <xf numFmtId="4" fontId="29" fillId="0" borderId="0" xfId="0" applyNumberFormat="1" applyFont="1"/>
    <xf numFmtId="0" fontId="29" fillId="0" borderId="0" xfId="0" applyFont="1" applyAlignment="1">
      <alignment horizontal="left" vertical="center"/>
    </xf>
    <xf numFmtId="0" fontId="46" fillId="0" borderId="0" xfId="0" applyFont="1"/>
    <xf numFmtId="49" fontId="46" fillId="0" borderId="0" xfId="0" applyNumberFormat="1" applyFont="1" applyAlignment="1">
      <alignment horizontal="left"/>
    </xf>
    <xf numFmtId="2" fontId="46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left" vertical="center"/>
    </xf>
    <xf numFmtId="17" fontId="46" fillId="0" borderId="0" xfId="0" applyNumberFormat="1" applyFont="1" applyAlignment="1">
      <alignment horizontal="left"/>
    </xf>
    <xf numFmtId="0" fontId="47" fillId="3" borderId="18" xfId="0" applyFont="1" applyFill="1" applyBorder="1" applyAlignment="1">
      <alignment horizontal="left" vertical="center" wrapText="1"/>
    </xf>
    <xf numFmtId="1" fontId="47" fillId="3" borderId="18" xfId="0" applyNumberFormat="1" applyFont="1" applyFill="1" applyBorder="1" applyAlignment="1">
      <alignment horizontal="left" vertical="center" wrapText="1"/>
    </xf>
    <xf numFmtId="2" fontId="47" fillId="3" borderId="18" xfId="0" applyNumberFormat="1" applyFont="1" applyFill="1" applyBorder="1" applyAlignment="1">
      <alignment horizontal="left" vertical="center" wrapText="1"/>
    </xf>
    <xf numFmtId="0" fontId="47" fillId="3" borderId="19" xfId="0" applyFont="1" applyFill="1" applyBorder="1" applyAlignment="1">
      <alignment horizontal="left" vertical="center" wrapText="1"/>
    </xf>
    <xf numFmtId="0" fontId="47" fillId="3" borderId="20" xfId="0" applyFont="1" applyFill="1" applyBorder="1" applyAlignment="1">
      <alignment horizontal="left" vertical="center" wrapText="1"/>
    </xf>
    <xf numFmtId="0" fontId="29" fillId="0" borderId="1" xfId="0" applyFont="1" applyBorder="1"/>
    <xf numFmtId="14" fontId="29" fillId="9" borderId="1" xfId="0" applyNumberFormat="1" applyFont="1" applyFill="1" applyBorder="1" applyAlignment="1">
      <alignment horizontal="left" vertical="center"/>
    </xf>
    <xf numFmtId="49" fontId="29" fillId="9" borderId="1" xfId="0" applyNumberFormat="1" applyFont="1" applyFill="1" applyBorder="1" applyAlignment="1">
      <alignment horizontal="left" vertical="center"/>
    </xf>
    <xf numFmtId="2" fontId="29" fillId="9" borderId="1" xfId="0" applyNumberFormat="1" applyFont="1" applyFill="1" applyBorder="1" applyAlignment="1">
      <alignment horizontal="left" vertical="center"/>
    </xf>
    <xf numFmtId="49" fontId="29" fillId="10" borderId="1" xfId="0" applyNumberFormat="1" applyFont="1" applyFill="1" applyBorder="1" applyAlignment="1">
      <alignment horizontal="left" vertical="center"/>
    </xf>
    <xf numFmtId="0" fontId="48" fillId="10" borderId="1" xfId="19" applyFont="1" applyFill="1" applyBorder="1" applyAlignment="1">
      <alignment horizontal="left" vertical="center"/>
    </xf>
    <xf numFmtId="14" fontId="29" fillId="9" borderId="17" xfId="0" applyNumberFormat="1" applyFont="1" applyFill="1" applyBorder="1" applyAlignment="1">
      <alignment horizontal="left" vertical="center"/>
    </xf>
    <xf numFmtId="49" fontId="29" fillId="10" borderId="17" xfId="0" applyNumberFormat="1" applyFont="1" applyFill="1" applyBorder="1" applyAlignment="1">
      <alignment horizontal="left" vertical="center"/>
    </xf>
    <xf numFmtId="0" fontId="48" fillId="0" borderId="1" xfId="19" applyFont="1" applyBorder="1"/>
    <xf numFmtId="1" fontId="29" fillId="9" borderId="1" xfId="0" applyNumberFormat="1" applyFont="1" applyFill="1" applyBorder="1" applyAlignment="1">
      <alignment horizontal="left" vertical="center"/>
    </xf>
    <xf numFmtId="14" fontId="48" fillId="9" borderId="1" xfId="19" applyNumberFormat="1" applyFont="1" applyFill="1" applyBorder="1" applyAlignment="1">
      <alignment horizontal="left" vertical="center"/>
    </xf>
    <xf numFmtId="49" fontId="29" fillId="0" borderId="0" xfId="0" applyNumberFormat="1" applyFont="1" applyAlignment="1">
      <alignment horizontal="left"/>
    </xf>
    <xf numFmtId="14" fontId="46" fillId="12" borderId="21" xfId="0" applyNumberFormat="1" applyFont="1" applyFill="1" applyBorder="1" applyAlignment="1">
      <alignment horizontal="left" vertical="center"/>
    </xf>
    <xf numFmtId="14" fontId="46" fillId="12" borderId="25" xfId="0" applyNumberFormat="1" applyFont="1" applyFill="1" applyBorder="1" applyAlignment="1">
      <alignment horizontal="left" vertical="center"/>
    </xf>
    <xf numFmtId="49" fontId="46" fillId="12" borderId="25" xfId="0" applyNumberFormat="1" applyFont="1" applyFill="1" applyBorder="1" applyAlignment="1">
      <alignment horizontal="left" vertical="center"/>
    </xf>
    <xf numFmtId="2" fontId="46" fillId="12" borderId="25" xfId="0" applyNumberFormat="1" applyFont="1" applyFill="1" applyBorder="1" applyAlignment="1">
      <alignment horizontal="left" vertical="center"/>
    </xf>
    <xf numFmtId="0" fontId="48" fillId="12" borderId="25" xfId="19" applyFont="1" applyFill="1" applyBorder="1" applyAlignment="1">
      <alignment horizontal="left" vertical="center"/>
    </xf>
    <xf numFmtId="14" fontId="46" fillId="12" borderId="26" xfId="0" applyNumberFormat="1" applyFont="1" applyFill="1" applyBorder="1" applyAlignment="1">
      <alignment horizontal="left" vertical="center"/>
    </xf>
    <xf numFmtId="14" fontId="46" fillId="12" borderId="27" xfId="0" applyNumberFormat="1" applyFont="1" applyFill="1" applyBorder="1" applyAlignment="1">
      <alignment horizontal="left" vertical="center"/>
    </xf>
    <xf numFmtId="49" fontId="46" fillId="12" borderId="27" xfId="0" applyNumberFormat="1" applyFont="1" applyFill="1" applyBorder="1" applyAlignment="1">
      <alignment horizontal="left" vertical="center"/>
    </xf>
    <xf numFmtId="14" fontId="46" fillId="12" borderId="28" xfId="0" applyNumberFormat="1" applyFont="1" applyFill="1" applyBorder="1" applyAlignment="1">
      <alignment horizontal="left" vertical="center"/>
    </xf>
    <xf numFmtId="14" fontId="46" fillId="12" borderId="29" xfId="0" applyNumberFormat="1" applyFont="1" applyFill="1" applyBorder="1" applyAlignment="1">
      <alignment horizontal="left" vertical="center"/>
    </xf>
    <xf numFmtId="14" fontId="46" fillId="12" borderId="30" xfId="0" applyNumberFormat="1" applyFont="1" applyFill="1" applyBorder="1" applyAlignment="1">
      <alignment horizontal="left" vertical="center"/>
    </xf>
    <xf numFmtId="14" fontId="46" fillId="12" borderId="31" xfId="0" applyNumberFormat="1" applyFont="1" applyFill="1" applyBorder="1" applyAlignment="1">
      <alignment horizontal="left" vertical="center"/>
    </xf>
    <xf numFmtId="14" fontId="46" fillId="12" borderId="32" xfId="0" applyNumberFormat="1" applyFont="1" applyFill="1" applyBorder="1" applyAlignment="1">
      <alignment horizontal="left" vertical="center"/>
    </xf>
    <xf numFmtId="14" fontId="46" fillId="12" borderId="33" xfId="0" applyNumberFormat="1" applyFont="1" applyFill="1" applyBorder="1" applyAlignment="1">
      <alignment horizontal="left" vertical="center"/>
    </xf>
    <xf numFmtId="14" fontId="46" fillId="12" borderId="34" xfId="0" applyNumberFormat="1" applyFont="1" applyFill="1" applyBorder="1" applyAlignment="1">
      <alignment horizontal="left" vertical="center"/>
    </xf>
    <xf numFmtId="0" fontId="46" fillId="0" borderId="36" xfId="0" applyFont="1" applyBorder="1"/>
    <xf numFmtId="0" fontId="48" fillId="0" borderId="36" xfId="19" applyFont="1" applyBorder="1"/>
    <xf numFmtId="0" fontId="46" fillId="0" borderId="11" xfId="0" applyFont="1" applyBorder="1"/>
    <xf numFmtId="0" fontId="48" fillId="0" borderId="11" xfId="19" applyFont="1" applyBorder="1"/>
    <xf numFmtId="0" fontId="46" fillId="0" borderId="11" xfId="0" applyFont="1" applyBorder="1" applyAlignment="1">
      <alignment horizontal="left"/>
    </xf>
    <xf numFmtId="14" fontId="29" fillId="9" borderId="21" xfId="0" applyNumberFormat="1" applyFont="1" applyFill="1" applyBorder="1" applyAlignment="1">
      <alignment horizontal="left" vertical="center"/>
    </xf>
    <xf numFmtId="49" fontId="29" fillId="9" borderId="21" xfId="0" applyNumberFormat="1" applyFont="1" applyFill="1" applyBorder="1" applyAlignment="1">
      <alignment horizontal="left" vertical="center"/>
    </xf>
    <xf numFmtId="0" fontId="29" fillId="9" borderId="21" xfId="0" applyFont="1" applyFill="1" applyBorder="1" applyAlignment="1">
      <alignment horizontal="left" vertical="center"/>
    </xf>
    <xf numFmtId="2" fontId="29" fillId="9" borderId="21" xfId="0" applyNumberFormat="1" applyFont="1" applyFill="1" applyBorder="1" applyAlignment="1">
      <alignment horizontal="left" vertical="center"/>
    </xf>
    <xf numFmtId="49" fontId="29" fillId="10" borderId="21" xfId="0" applyNumberFormat="1" applyFont="1" applyFill="1" applyBorder="1" applyAlignment="1">
      <alignment horizontal="left" vertical="center"/>
    </xf>
    <xf numFmtId="0" fontId="48" fillId="10" borderId="21" xfId="19" applyFont="1" applyFill="1" applyBorder="1" applyAlignment="1">
      <alignment horizontal="left" vertical="center"/>
    </xf>
    <xf numFmtId="0" fontId="29" fillId="10" borderId="21" xfId="0" applyFont="1" applyFill="1" applyBorder="1" applyAlignment="1">
      <alignment horizontal="left" vertical="center"/>
    </xf>
    <xf numFmtId="14" fontId="29" fillId="9" borderId="41" xfId="0" applyNumberFormat="1" applyFont="1" applyFill="1" applyBorder="1" applyAlignment="1">
      <alignment horizontal="left" vertical="center"/>
    </xf>
    <xf numFmtId="0" fontId="29" fillId="0" borderId="41" xfId="0" applyFont="1" applyBorder="1" applyAlignment="1">
      <alignment horizontal="center"/>
    </xf>
    <xf numFmtId="0" fontId="3" fillId="0" borderId="41" xfId="22" applyFont="1" applyBorder="1"/>
    <xf numFmtId="14" fontId="29" fillId="9" borderId="41" xfId="0" applyNumberFormat="1" applyFont="1" applyFill="1" applyBorder="1" applyAlignment="1">
      <alignment horizontal="center" vertical="center"/>
    </xf>
    <xf numFmtId="49" fontId="29" fillId="9" borderId="41" xfId="0" applyNumberFormat="1" applyFont="1" applyFill="1" applyBorder="1" applyAlignment="1">
      <alignment horizontal="left" vertical="center"/>
    </xf>
    <xf numFmtId="0" fontId="29" fillId="9" borderId="41" xfId="0" applyFont="1" applyFill="1" applyBorder="1" applyAlignment="1">
      <alignment horizontal="center" vertical="center"/>
    </xf>
    <xf numFmtId="2" fontId="29" fillId="9" borderId="41" xfId="0" applyNumberFormat="1" applyFont="1" applyFill="1" applyBorder="1" applyAlignment="1">
      <alignment horizontal="center" vertical="center"/>
    </xf>
    <xf numFmtId="49" fontId="29" fillId="10" borderId="41" xfId="0" applyNumberFormat="1" applyFont="1" applyFill="1" applyBorder="1" applyAlignment="1">
      <alignment horizontal="left" vertical="center"/>
    </xf>
    <xf numFmtId="0" fontId="48" fillId="10" borderId="41" xfId="19" applyFont="1" applyFill="1" applyBorder="1" applyAlignment="1">
      <alignment horizontal="left" vertical="center"/>
    </xf>
    <xf numFmtId="49" fontId="29" fillId="9" borderId="41" xfId="0" applyNumberFormat="1" applyFont="1" applyFill="1" applyBorder="1" applyAlignment="1">
      <alignment horizontal="center" vertical="center"/>
    </xf>
    <xf numFmtId="14" fontId="29" fillId="0" borderId="41" xfId="0" applyNumberFormat="1" applyFont="1" applyBorder="1" applyAlignment="1">
      <alignment horizontal="left"/>
    </xf>
    <xf numFmtId="0" fontId="29" fillId="0" borderId="41" xfId="0" applyFont="1" applyBorder="1"/>
    <xf numFmtId="2" fontId="29" fillId="0" borderId="41" xfId="0" applyNumberFormat="1" applyFont="1" applyBorder="1" applyAlignment="1">
      <alignment horizontal="center"/>
    </xf>
    <xf numFmtId="0" fontId="48" fillId="0" borderId="41" xfId="19" applyFont="1" applyBorder="1"/>
    <xf numFmtId="0" fontId="49" fillId="0" borderId="41" xfId="19" applyFont="1" applyBorder="1"/>
    <xf numFmtId="0" fontId="29" fillId="0" borderId="41" xfId="0" applyFont="1" applyBorder="1" applyAlignment="1">
      <alignment horizontal="left"/>
    </xf>
    <xf numFmtId="0" fontId="3" fillId="0" borderId="41" xfId="22" applyFont="1" applyBorder="1" applyAlignment="1">
      <alignment horizontal="left"/>
    </xf>
    <xf numFmtId="0" fontId="48" fillId="0" borderId="41" xfId="19" applyFont="1" applyBorder="1" applyAlignment="1">
      <alignment horizontal="left"/>
    </xf>
    <xf numFmtId="14" fontId="29" fillId="0" borderId="0" xfId="0" applyNumberFormat="1" applyFont="1" applyAlignment="1">
      <alignment horizontal="left"/>
    </xf>
    <xf numFmtId="2" fontId="29" fillId="0" borderId="0" xfId="0" applyNumberFormat="1" applyFont="1" applyAlignment="1">
      <alignment horizontal="center"/>
    </xf>
    <xf numFmtId="0" fontId="48" fillId="0" borderId="0" xfId="19" applyFont="1" applyAlignment="1">
      <alignment horizontal="left"/>
    </xf>
    <xf numFmtId="14" fontId="46" fillId="12" borderId="41" xfId="0" applyNumberFormat="1" applyFont="1" applyFill="1" applyBorder="1" applyAlignment="1">
      <alignment horizontal="left" vertical="center"/>
    </xf>
    <xf numFmtId="14" fontId="46" fillId="12" borderId="43" xfId="0" applyNumberFormat="1" applyFont="1" applyFill="1" applyBorder="1" applyAlignment="1">
      <alignment horizontal="left" vertical="center"/>
    </xf>
    <xf numFmtId="0" fontId="46" fillId="0" borderId="43" xfId="0" applyFont="1" applyBorder="1" applyAlignment="1">
      <alignment horizontal="center"/>
    </xf>
    <xf numFmtId="0" fontId="3" fillId="0" borderId="43" xfId="0" applyFont="1" applyBorder="1"/>
    <xf numFmtId="14" fontId="46" fillId="12" borderId="43" xfId="0" applyNumberFormat="1" applyFont="1" applyFill="1" applyBorder="1" applyAlignment="1">
      <alignment horizontal="center" vertical="center"/>
    </xf>
    <xf numFmtId="49" fontId="46" fillId="12" borderId="43" xfId="0" applyNumberFormat="1" applyFont="1" applyFill="1" applyBorder="1" applyAlignment="1">
      <alignment horizontal="left" vertical="center"/>
    </xf>
    <xf numFmtId="0" fontId="46" fillId="12" borderId="43" xfId="0" applyFont="1" applyFill="1" applyBorder="1" applyAlignment="1">
      <alignment horizontal="center" vertical="center"/>
    </xf>
    <xf numFmtId="2" fontId="46" fillId="12" borderId="43" xfId="0" applyNumberFormat="1" applyFont="1" applyFill="1" applyBorder="1" applyAlignment="1">
      <alignment horizontal="center" vertical="center"/>
    </xf>
    <xf numFmtId="0" fontId="48" fillId="12" borderId="43" xfId="19" applyFont="1" applyFill="1" applyBorder="1" applyAlignment="1">
      <alignment horizontal="left" vertical="center"/>
    </xf>
    <xf numFmtId="14" fontId="46" fillId="12" borderId="42" xfId="0" applyNumberFormat="1" applyFont="1" applyFill="1" applyBorder="1" applyAlignment="1">
      <alignment horizontal="left" vertical="center"/>
    </xf>
    <xf numFmtId="14" fontId="46" fillId="12" borderId="44" xfId="0" applyNumberFormat="1" applyFont="1" applyFill="1" applyBorder="1" applyAlignment="1">
      <alignment horizontal="left" vertical="center"/>
    </xf>
    <xf numFmtId="0" fontId="46" fillId="0" borderId="44" xfId="0" applyFont="1" applyBorder="1" applyAlignment="1">
      <alignment horizontal="center"/>
    </xf>
    <xf numFmtId="0" fontId="3" fillId="0" borderId="44" xfId="0" applyFont="1" applyBorder="1"/>
    <xf numFmtId="14" fontId="46" fillId="12" borderId="44" xfId="0" applyNumberFormat="1" applyFont="1" applyFill="1" applyBorder="1" applyAlignment="1">
      <alignment horizontal="center" vertical="center"/>
    </xf>
    <xf numFmtId="49" fontId="46" fillId="12" borderId="44" xfId="0" applyNumberFormat="1" applyFont="1" applyFill="1" applyBorder="1" applyAlignment="1">
      <alignment horizontal="left" vertical="center"/>
    </xf>
    <xf numFmtId="0" fontId="46" fillId="12" borderId="44" xfId="0" applyFont="1" applyFill="1" applyBorder="1" applyAlignment="1">
      <alignment horizontal="center" vertical="center"/>
    </xf>
    <xf numFmtId="2" fontId="46" fillId="12" borderId="44" xfId="0" applyNumberFormat="1" applyFont="1" applyFill="1" applyBorder="1" applyAlignment="1">
      <alignment horizontal="center" vertical="center"/>
    </xf>
    <xf numFmtId="0" fontId="48" fillId="12" borderId="44" xfId="19" applyFont="1" applyFill="1" applyBorder="1" applyAlignment="1">
      <alignment horizontal="left" vertical="center"/>
    </xf>
    <xf numFmtId="49" fontId="46" fillId="12" borderId="44" xfId="0" applyNumberFormat="1" applyFont="1" applyFill="1" applyBorder="1" applyAlignment="1">
      <alignment horizontal="center" vertical="center"/>
    </xf>
    <xf numFmtId="14" fontId="46" fillId="0" borderId="42" xfId="0" applyNumberFormat="1" applyFont="1" applyBorder="1" applyAlignment="1">
      <alignment horizontal="left"/>
    </xf>
    <xf numFmtId="0" fontId="46" fillId="0" borderId="44" xfId="0" applyFont="1" applyBorder="1"/>
    <xf numFmtId="14" fontId="46" fillId="0" borderId="44" xfId="0" applyNumberFormat="1" applyFont="1" applyBorder="1" applyAlignment="1">
      <alignment horizontal="left"/>
    </xf>
    <xf numFmtId="2" fontId="46" fillId="0" borderId="44" xfId="0" applyNumberFormat="1" applyFont="1" applyBorder="1" applyAlignment="1">
      <alignment horizontal="center"/>
    </xf>
    <xf numFmtId="0" fontId="48" fillId="0" borderId="44" xfId="19" applyFont="1" applyBorder="1"/>
    <xf numFmtId="0" fontId="50" fillId="0" borderId="44" xfId="0" applyFont="1" applyBorder="1"/>
    <xf numFmtId="0" fontId="46" fillId="0" borderId="44" xfId="0" applyFont="1" applyBorder="1" applyAlignment="1">
      <alignment horizontal="left"/>
    </xf>
    <xf numFmtId="0" fontId="3" fillId="0" borderId="44" xfId="0" applyFont="1" applyBorder="1" applyAlignment="1">
      <alignment horizontal="center"/>
    </xf>
    <xf numFmtId="0" fontId="48" fillId="0" borderId="44" xfId="19" applyFont="1" applyBorder="1" applyAlignment="1">
      <alignment horizontal="left"/>
    </xf>
    <xf numFmtId="14" fontId="46" fillId="0" borderId="0" xfId="0" applyNumberFormat="1" applyFont="1" applyAlignment="1">
      <alignment horizontal="left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3" fillId="0" borderId="42" xfId="0" applyFont="1" applyBorder="1" applyAlignment="1">
      <alignment horizontal="center"/>
    </xf>
    <xf numFmtId="49" fontId="46" fillId="12" borderId="42" xfId="0" applyNumberFormat="1" applyFont="1" applyFill="1" applyBorder="1" applyAlignment="1">
      <alignment horizontal="left" vertical="center"/>
    </xf>
    <xf numFmtId="2" fontId="46" fillId="0" borderId="0" xfId="0" applyNumberFormat="1" applyFont="1" applyAlignment="1">
      <alignment horizontal="center"/>
    </xf>
    <xf numFmtId="14" fontId="46" fillId="11" borderId="0" xfId="0" applyNumberFormat="1" applyFont="1" applyFill="1" applyAlignment="1">
      <alignment horizontal="left"/>
    </xf>
    <xf numFmtId="0" fontId="46" fillId="11" borderId="0" xfId="0" applyFont="1" applyFill="1" applyAlignment="1">
      <alignment horizontal="left"/>
    </xf>
    <xf numFmtId="0" fontId="46" fillId="11" borderId="0" xfId="0" applyFont="1" applyFill="1" applyAlignment="1">
      <alignment horizontal="center"/>
    </xf>
    <xf numFmtId="0" fontId="3" fillId="11" borderId="42" xfId="0" applyFont="1" applyFill="1" applyBorder="1" applyAlignment="1">
      <alignment horizontal="center"/>
    </xf>
    <xf numFmtId="2" fontId="46" fillId="11" borderId="0" xfId="0" applyNumberFormat="1" applyFont="1" applyFill="1" applyAlignment="1">
      <alignment horizontal="center"/>
    </xf>
    <xf numFmtId="49" fontId="46" fillId="11" borderId="0" xfId="0" applyNumberFormat="1" applyFont="1" applyFill="1" applyAlignment="1">
      <alignment horizontal="left"/>
    </xf>
    <xf numFmtId="0" fontId="48" fillId="11" borderId="0" xfId="19" applyFont="1" applyFill="1" applyAlignment="1">
      <alignment horizontal="left"/>
    </xf>
    <xf numFmtId="0" fontId="50" fillId="0" borderId="0" xfId="0" applyFont="1" applyAlignment="1">
      <alignment horizontal="left"/>
    </xf>
    <xf numFmtId="14" fontId="29" fillId="9" borderId="46" xfId="0" applyNumberFormat="1" applyFont="1" applyFill="1" applyBorder="1" applyAlignment="1">
      <alignment horizontal="left" vertical="center"/>
    </xf>
    <xf numFmtId="0" fontId="29" fillId="0" borderId="46" xfId="0" applyFont="1" applyBorder="1" applyAlignment="1">
      <alignment horizontal="center"/>
    </xf>
    <xf numFmtId="0" fontId="3" fillId="0" borderId="46" xfId="22" applyFont="1" applyBorder="1"/>
    <xf numFmtId="14" fontId="29" fillId="9" borderId="46" xfId="0" applyNumberFormat="1" applyFont="1" applyFill="1" applyBorder="1" applyAlignment="1">
      <alignment horizontal="center" vertical="center"/>
    </xf>
    <xf numFmtId="49" fontId="29" fillId="9" borderId="46" xfId="0" applyNumberFormat="1" applyFont="1" applyFill="1" applyBorder="1" applyAlignment="1">
      <alignment horizontal="left" vertical="center"/>
    </xf>
    <xf numFmtId="0" fontId="29" fillId="9" borderId="46" xfId="0" applyFont="1" applyFill="1" applyBorder="1" applyAlignment="1">
      <alignment horizontal="center" vertical="center"/>
    </xf>
    <xf numFmtId="2" fontId="29" fillId="9" borderId="46" xfId="0" applyNumberFormat="1" applyFont="1" applyFill="1" applyBorder="1" applyAlignment="1">
      <alignment horizontal="center" vertical="center"/>
    </xf>
    <xf numFmtId="49" fontId="29" fillId="10" borderId="46" xfId="0" applyNumberFormat="1" applyFont="1" applyFill="1" applyBorder="1" applyAlignment="1">
      <alignment horizontal="left" vertical="center"/>
    </xf>
    <xf numFmtId="0" fontId="48" fillId="10" borderId="46" xfId="19" applyFont="1" applyFill="1" applyBorder="1" applyAlignment="1">
      <alignment horizontal="left" vertical="center"/>
    </xf>
    <xf numFmtId="49" fontId="29" fillId="9" borderId="46" xfId="0" applyNumberFormat="1" applyFont="1" applyFill="1" applyBorder="1" applyAlignment="1">
      <alignment horizontal="center" vertical="center"/>
    </xf>
    <xf numFmtId="14" fontId="29" fillId="0" borderId="46" xfId="0" applyNumberFormat="1" applyFont="1" applyBorder="1" applyAlignment="1">
      <alignment horizontal="left"/>
    </xf>
    <xf numFmtId="0" fontId="29" fillId="0" borderId="46" xfId="0" applyFont="1" applyBorder="1"/>
    <xf numFmtId="2" fontId="29" fillId="0" borderId="46" xfId="0" applyNumberFormat="1" applyFont="1" applyBorder="1" applyAlignment="1">
      <alignment horizontal="center"/>
    </xf>
    <xf numFmtId="0" fontId="48" fillId="0" borderId="46" xfId="19" applyFont="1" applyBorder="1"/>
    <xf numFmtId="0" fontId="29" fillId="0" borderId="46" xfId="0" applyFont="1" applyBorder="1" applyAlignment="1">
      <alignment horizontal="left"/>
    </xf>
    <xf numFmtId="0" fontId="3" fillId="0" borderId="46" xfId="22" applyFont="1" applyBorder="1" applyAlignment="1">
      <alignment horizontal="center"/>
    </xf>
    <xf numFmtId="0" fontId="48" fillId="0" borderId="46" xfId="19" applyFont="1" applyBorder="1" applyAlignment="1">
      <alignment horizontal="left"/>
    </xf>
    <xf numFmtId="14" fontId="29" fillId="8" borderId="46" xfId="0" applyNumberFormat="1" applyFont="1" applyFill="1" applyBorder="1" applyAlignment="1">
      <alignment horizontal="left"/>
    </xf>
    <xf numFmtId="0" fontId="29" fillId="8" borderId="46" xfId="0" applyFont="1" applyFill="1" applyBorder="1" applyAlignment="1">
      <alignment horizontal="left"/>
    </xf>
    <xf numFmtId="0" fontId="29" fillId="8" borderId="46" xfId="0" applyFont="1" applyFill="1" applyBorder="1" applyAlignment="1">
      <alignment horizontal="center"/>
    </xf>
    <xf numFmtId="0" fontId="3" fillId="8" borderId="46" xfId="22" applyFont="1" applyFill="1" applyBorder="1" applyAlignment="1">
      <alignment horizontal="center"/>
    </xf>
    <xf numFmtId="2" fontId="29" fillId="8" borderId="46" xfId="0" applyNumberFormat="1" applyFont="1" applyFill="1" applyBorder="1" applyAlignment="1">
      <alignment horizontal="center"/>
    </xf>
    <xf numFmtId="49" fontId="29" fillId="8" borderId="46" xfId="0" applyNumberFormat="1" applyFont="1" applyFill="1" applyBorder="1" applyAlignment="1">
      <alignment horizontal="left"/>
    </xf>
    <xf numFmtId="0" fontId="48" fillId="8" borderId="46" xfId="19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49" fontId="29" fillId="0" borderId="46" xfId="0" applyNumberFormat="1" applyFont="1" applyBorder="1" applyAlignment="1">
      <alignment horizontal="left"/>
    </xf>
    <xf numFmtId="14" fontId="46" fillId="12" borderId="46" xfId="0" applyNumberFormat="1" applyFont="1" applyFill="1" applyBorder="1" applyAlignment="1">
      <alignment horizontal="left" vertical="center"/>
    </xf>
    <xf numFmtId="14" fontId="46" fillId="12" borderId="47" xfId="0" applyNumberFormat="1" applyFont="1" applyFill="1" applyBorder="1" applyAlignment="1">
      <alignment horizontal="left" vertical="center"/>
    </xf>
    <xf numFmtId="0" fontId="46" fillId="0" borderId="47" xfId="0" applyFont="1" applyBorder="1" applyAlignment="1">
      <alignment horizontal="center"/>
    </xf>
    <xf numFmtId="0" fontId="3" fillId="0" borderId="47" xfId="0" applyFont="1" applyBorder="1"/>
    <xf numFmtId="14" fontId="46" fillId="12" borderId="47" xfId="0" applyNumberFormat="1" applyFont="1" applyFill="1" applyBorder="1" applyAlignment="1">
      <alignment horizontal="center" vertical="center"/>
    </xf>
    <xf numFmtId="49" fontId="46" fillId="12" borderId="47" xfId="0" applyNumberFormat="1" applyFont="1" applyFill="1" applyBorder="1" applyAlignment="1">
      <alignment horizontal="left" vertical="center"/>
    </xf>
    <xf numFmtId="0" fontId="46" fillId="12" borderId="47" xfId="0" applyFont="1" applyFill="1" applyBorder="1" applyAlignment="1">
      <alignment horizontal="center" vertical="center"/>
    </xf>
    <xf numFmtId="2" fontId="46" fillId="12" borderId="47" xfId="0" applyNumberFormat="1" applyFont="1" applyFill="1" applyBorder="1" applyAlignment="1">
      <alignment horizontal="center" vertical="center"/>
    </xf>
    <xf numFmtId="0" fontId="48" fillId="12" borderId="47" xfId="19" applyFont="1" applyFill="1" applyBorder="1" applyAlignment="1">
      <alignment horizontal="left" vertical="center"/>
    </xf>
    <xf numFmtId="14" fontId="46" fillId="12" borderId="48" xfId="0" applyNumberFormat="1" applyFont="1" applyFill="1" applyBorder="1" applyAlignment="1">
      <alignment horizontal="left" vertical="center"/>
    </xf>
    <xf numFmtId="14" fontId="46" fillId="12" borderId="49" xfId="0" applyNumberFormat="1" applyFont="1" applyFill="1" applyBorder="1" applyAlignment="1">
      <alignment horizontal="left" vertical="center"/>
    </xf>
    <xf numFmtId="0" fontId="46" fillId="0" borderId="49" xfId="0" applyFont="1" applyBorder="1" applyAlignment="1">
      <alignment horizontal="center"/>
    </xf>
    <xf numFmtId="0" fontId="3" fillId="0" borderId="49" xfId="0" applyFont="1" applyBorder="1"/>
    <xf numFmtId="14" fontId="46" fillId="12" borderId="49" xfId="0" applyNumberFormat="1" applyFont="1" applyFill="1" applyBorder="1" applyAlignment="1">
      <alignment horizontal="center" vertical="center"/>
    </xf>
    <xf numFmtId="49" fontId="46" fillId="12" borderId="49" xfId="0" applyNumberFormat="1" applyFont="1" applyFill="1" applyBorder="1" applyAlignment="1">
      <alignment horizontal="left" vertical="center"/>
    </xf>
    <xf numFmtId="0" fontId="46" fillId="12" borderId="49" xfId="0" applyFont="1" applyFill="1" applyBorder="1" applyAlignment="1">
      <alignment horizontal="center" vertical="center"/>
    </xf>
    <xf numFmtId="2" fontId="46" fillId="12" borderId="49" xfId="0" applyNumberFormat="1" applyFont="1" applyFill="1" applyBorder="1" applyAlignment="1">
      <alignment horizontal="center" vertical="center"/>
    </xf>
    <xf numFmtId="0" fontId="48" fillId="12" borderId="49" xfId="19" applyFont="1" applyFill="1" applyBorder="1" applyAlignment="1">
      <alignment horizontal="left" vertical="center"/>
    </xf>
    <xf numFmtId="14" fontId="46" fillId="0" borderId="48" xfId="0" applyNumberFormat="1" applyFont="1" applyBorder="1" applyAlignment="1">
      <alignment horizontal="left"/>
    </xf>
    <xf numFmtId="0" fontId="46" fillId="0" borderId="49" xfId="0" applyFont="1" applyBorder="1"/>
    <xf numFmtId="14" fontId="46" fillId="0" borderId="49" xfId="0" applyNumberFormat="1" applyFont="1" applyBorder="1" applyAlignment="1">
      <alignment horizontal="left"/>
    </xf>
    <xf numFmtId="2" fontId="46" fillId="0" borderId="49" xfId="0" applyNumberFormat="1" applyFont="1" applyBorder="1" applyAlignment="1">
      <alignment horizontal="center"/>
    </xf>
    <xf numFmtId="0" fontId="48" fillId="0" borderId="49" xfId="19" applyFont="1" applyBorder="1"/>
    <xf numFmtId="49" fontId="46" fillId="12" borderId="49" xfId="0" applyNumberFormat="1" applyFont="1" applyFill="1" applyBorder="1" applyAlignment="1">
      <alignment horizontal="center" vertical="center"/>
    </xf>
    <xf numFmtId="0" fontId="50" fillId="0" borderId="49" xfId="0" applyFont="1" applyBorder="1"/>
    <xf numFmtId="0" fontId="46" fillId="0" borderId="49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48" fillId="0" borderId="49" xfId="19" applyFont="1" applyBorder="1" applyAlignment="1">
      <alignment horizontal="left"/>
    </xf>
    <xf numFmtId="14" fontId="46" fillId="0" borderId="49" xfId="0" applyNumberFormat="1" applyFont="1" applyBorder="1" applyAlignment="1">
      <alignment horizontal="center"/>
    </xf>
    <xf numFmtId="2" fontId="46" fillId="11" borderId="2" xfId="0" applyNumberFormat="1" applyFont="1" applyFill="1" applyBorder="1" applyAlignment="1">
      <alignment horizontal="center" vertical="center"/>
    </xf>
    <xf numFmtId="0" fontId="46" fillId="11" borderId="2" xfId="0" applyFont="1" applyFill="1" applyBorder="1" applyAlignment="1">
      <alignment horizontal="left" vertical="center"/>
    </xf>
    <xf numFmtId="49" fontId="51" fillId="11" borderId="12" xfId="0" applyNumberFormat="1" applyFont="1" applyFill="1" applyBorder="1" applyAlignment="1">
      <alignment horizontal="left" vertical="center"/>
    </xf>
    <xf numFmtId="0" fontId="48" fillId="11" borderId="12" xfId="19" applyFont="1" applyFill="1" applyBorder="1" applyAlignment="1">
      <alignment horizontal="left" vertical="center"/>
    </xf>
    <xf numFmtId="2" fontId="46" fillId="0" borderId="47" xfId="0" applyNumberFormat="1" applyFont="1" applyBorder="1" applyAlignment="1">
      <alignment horizontal="center"/>
    </xf>
    <xf numFmtId="0" fontId="48" fillId="0" borderId="47" xfId="19" applyFont="1" applyBorder="1"/>
    <xf numFmtId="0" fontId="46" fillId="0" borderId="49" xfId="0" applyNumberFormat="1" applyFont="1" applyBorder="1" applyAlignment="1">
      <alignment horizontal="center"/>
    </xf>
    <xf numFmtId="0" fontId="50" fillId="0" borderId="49" xfId="0" applyFont="1" applyBorder="1" applyAlignment="1">
      <alignment horizontal="left"/>
    </xf>
    <xf numFmtId="14" fontId="46" fillId="11" borderId="48" xfId="0" applyNumberFormat="1" applyFont="1" applyFill="1" applyBorder="1" applyAlignment="1">
      <alignment horizontal="left"/>
    </xf>
    <xf numFmtId="0" fontId="46" fillId="11" borderId="49" xfId="0" applyFont="1" applyFill="1" applyBorder="1" applyAlignment="1">
      <alignment horizontal="left"/>
    </xf>
    <xf numFmtId="0" fontId="46" fillId="11" borderId="49" xfId="0" applyFont="1" applyFill="1" applyBorder="1" applyAlignment="1">
      <alignment horizontal="center"/>
    </xf>
    <xf numFmtId="0" fontId="3" fillId="11" borderId="49" xfId="0" applyFont="1" applyFill="1" applyBorder="1" applyAlignment="1">
      <alignment horizontal="left"/>
    </xf>
    <xf numFmtId="14" fontId="46" fillId="11" borderId="49" xfId="0" applyNumberFormat="1" applyFont="1" applyFill="1" applyBorder="1" applyAlignment="1">
      <alignment horizontal="left"/>
    </xf>
    <xf numFmtId="2" fontId="46" fillId="11" borderId="49" xfId="0" applyNumberFormat="1" applyFont="1" applyFill="1" applyBorder="1" applyAlignment="1">
      <alignment horizontal="center"/>
    </xf>
    <xf numFmtId="49" fontId="46" fillId="11" borderId="49" xfId="0" applyNumberFormat="1" applyFont="1" applyFill="1" applyBorder="1" applyAlignment="1">
      <alignment horizontal="left"/>
    </xf>
    <xf numFmtId="0" fontId="48" fillId="11" borderId="49" xfId="19" applyFont="1" applyFill="1" applyBorder="1" applyAlignment="1">
      <alignment horizontal="left"/>
    </xf>
    <xf numFmtId="49" fontId="46" fillId="0" borderId="49" xfId="0" applyNumberFormat="1" applyFont="1" applyBorder="1" applyAlignment="1">
      <alignment horizontal="left"/>
    </xf>
    <xf numFmtId="0" fontId="29" fillId="8" borderId="0" xfId="0" applyFont="1" applyFill="1"/>
    <xf numFmtId="14" fontId="46" fillId="0" borderId="36" xfId="0" applyNumberFormat="1" applyFont="1" applyBorder="1" applyAlignment="1">
      <alignment horizontal="left"/>
    </xf>
    <xf numFmtId="0" fontId="46" fillId="0" borderId="36" xfId="0" applyFont="1" applyBorder="1" applyAlignment="1">
      <alignment horizontal="left"/>
    </xf>
    <xf numFmtId="14" fontId="46" fillId="0" borderId="11" xfId="0" applyNumberFormat="1" applyFont="1" applyBorder="1" applyAlignment="1">
      <alignment horizontal="left"/>
    </xf>
    <xf numFmtId="164" fontId="26" fillId="5" borderId="1" xfId="3" applyNumberFormat="1" applyFont="1" applyFill="1" applyBorder="1" applyAlignment="1">
      <alignment horizontal="left"/>
    </xf>
    <xf numFmtId="0" fontId="26" fillId="5" borderId="1" xfId="3" applyFont="1" applyFill="1" applyBorder="1" applyAlignment="1">
      <alignment horizontal="left" vertical="center"/>
    </xf>
    <xf numFmtId="0" fontId="26" fillId="5" borderId="1" xfId="3" applyFont="1" applyFill="1" applyBorder="1" applyAlignment="1">
      <alignment horizontal="left"/>
    </xf>
    <xf numFmtId="14" fontId="26" fillId="5" borderId="1" xfId="3" applyNumberFormat="1" applyFont="1" applyFill="1" applyBorder="1" applyAlignment="1">
      <alignment horizontal="left"/>
    </xf>
    <xf numFmtId="164" fontId="26" fillId="5" borderId="41" xfId="3" applyNumberFormat="1" applyFont="1" applyFill="1" applyBorder="1" applyAlignment="1">
      <alignment horizontal="left"/>
    </xf>
    <xf numFmtId="0" fontId="26" fillId="5" borderId="41" xfId="3" applyFont="1" applyFill="1" applyBorder="1"/>
    <xf numFmtId="0" fontId="26" fillId="0" borderId="41" xfId="3" applyFont="1" applyBorder="1" applyAlignment="1">
      <alignment horizontal="center" vertical="center"/>
    </xf>
    <xf numFmtId="0" fontId="31" fillId="8" borderId="41" xfId="10" applyFont="1" applyFill="1" applyBorder="1" applyAlignment="1">
      <alignment horizontal="left" vertical="center"/>
    </xf>
    <xf numFmtId="1" fontId="26" fillId="5" borderId="41" xfId="3" applyNumberFormat="1" applyFont="1" applyFill="1" applyBorder="1" applyAlignment="1">
      <alignment horizontal="left"/>
    </xf>
    <xf numFmtId="0" fontId="26" fillId="5" borderId="41" xfId="3" applyFont="1" applyFill="1" applyBorder="1" applyAlignment="1">
      <alignment horizontal="left" vertical="center"/>
    </xf>
    <xf numFmtId="0" fontId="26" fillId="5" borderId="41" xfId="3" applyFont="1" applyFill="1" applyBorder="1" applyAlignment="1">
      <alignment horizontal="left"/>
    </xf>
    <xf numFmtId="14" fontId="26" fillId="5" borderId="41" xfId="3" applyNumberFormat="1" applyFont="1" applyFill="1" applyBorder="1" applyAlignment="1">
      <alignment horizontal="left"/>
    </xf>
    <xf numFmtId="1" fontId="26" fillId="5" borderId="41" xfId="3" applyNumberFormat="1" applyFont="1" applyFill="1" applyBorder="1"/>
    <xf numFmtId="2" fontId="26" fillId="5" borderId="41" xfId="3" applyNumberFormat="1" applyFont="1" applyFill="1" applyBorder="1" applyAlignment="1">
      <alignment horizontal="center"/>
    </xf>
    <xf numFmtId="17" fontId="54" fillId="0" borderId="0" xfId="0" quotePrefix="1" applyNumberFormat="1" applyFont="1" applyAlignment="1">
      <alignment horizontal="left"/>
    </xf>
    <xf numFmtId="49" fontId="41" fillId="8" borderId="41" xfId="0" applyNumberFormat="1" applyFont="1" applyFill="1" applyBorder="1" applyAlignment="1">
      <alignment horizontal="center"/>
    </xf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horizontal="left"/>
    </xf>
    <xf numFmtId="0" fontId="53" fillId="0" borderId="16" xfId="0" applyFont="1" applyBorder="1" applyAlignment="1">
      <alignment horizontal="left" vertical="center"/>
    </xf>
    <xf numFmtId="0" fontId="41" fillId="0" borderId="0" xfId="0" quotePrefix="1" applyFont="1" applyAlignment="1">
      <alignment horizontal="left"/>
    </xf>
    <xf numFmtId="0" fontId="28" fillId="7" borderId="14" xfId="0" applyFont="1" applyFill="1" applyBorder="1" applyAlignment="1">
      <alignment horizontal="left" wrapText="1"/>
    </xf>
    <xf numFmtId="0" fontId="28" fillId="7" borderId="14" xfId="0" applyFont="1" applyFill="1" applyBorder="1" applyAlignment="1">
      <alignment horizontal="left" vertical="center" wrapText="1"/>
    </xf>
    <xf numFmtId="0" fontId="28" fillId="7" borderId="17" xfId="0" applyFont="1" applyFill="1" applyBorder="1" applyAlignment="1">
      <alignment horizontal="left" wrapText="1"/>
    </xf>
    <xf numFmtId="0" fontId="26" fillId="0" borderId="1" xfId="3" applyFont="1" applyBorder="1" applyAlignment="1">
      <alignment horizontal="left"/>
    </xf>
    <xf numFmtId="1" fontId="26" fillId="5" borderId="1" xfId="3" applyNumberFormat="1" applyFont="1" applyFill="1" applyBorder="1" applyAlignment="1">
      <alignment horizontal="left"/>
    </xf>
    <xf numFmtId="2" fontId="26" fillId="5" borderId="1" xfId="3" applyNumberFormat="1" applyFont="1" applyFill="1" applyBorder="1" applyAlignment="1">
      <alignment horizontal="left"/>
    </xf>
    <xf numFmtId="0" fontId="43" fillId="5" borderId="1" xfId="19" applyFont="1" applyFill="1" applyBorder="1" applyAlignment="1">
      <alignment horizontal="left"/>
    </xf>
    <xf numFmtId="0" fontId="41" fillId="0" borderId="3" xfId="3" applyFont="1" applyBorder="1" applyAlignment="1">
      <alignment horizontal="left"/>
    </xf>
    <xf numFmtId="49" fontId="41" fillId="8" borderId="1" xfId="0" applyNumberFormat="1" applyFont="1" applyFill="1" applyBorder="1" applyAlignment="1">
      <alignment horizontal="left"/>
    </xf>
    <xf numFmtId="0" fontId="26" fillId="0" borderId="1" xfId="3" applyFont="1" applyBorder="1" applyAlignment="1">
      <alignment horizontal="left" vertical="center"/>
    </xf>
    <xf numFmtId="49" fontId="42" fillId="11" borderId="1" xfId="0" applyNumberFormat="1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164" fontId="42" fillId="11" borderId="1" xfId="0" applyNumberFormat="1" applyFont="1" applyFill="1" applyBorder="1" applyAlignment="1">
      <alignment horizontal="left"/>
    </xf>
    <xf numFmtId="0" fontId="42" fillId="11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 vertical="center"/>
    </xf>
    <xf numFmtId="0" fontId="42" fillId="11" borderId="1" xfId="0" applyFont="1" applyFill="1" applyBorder="1" applyAlignment="1">
      <alignment horizontal="left" vertical="center"/>
    </xf>
    <xf numFmtId="14" fontId="42" fillId="11" borderId="1" xfId="0" applyNumberFormat="1" applyFont="1" applyFill="1" applyBorder="1" applyAlignment="1">
      <alignment horizontal="left"/>
    </xf>
    <xf numFmtId="1" fontId="42" fillId="11" borderId="1" xfId="0" applyNumberFormat="1" applyFont="1" applyFill="1" applyBorder="1" applyAlignment="1">
      <alignment horizontal="left"/>
    </xf>
    <xf numFmtId="2" fontId="42" fillId="11" borderId="1" xfId="0" applyNumberFormat="1" applyFont="1" applyFill="1" applyBorder="1" applyAlignment="1">
      <alignment horizontal="left"/>
    </xf>
    <xf numFmtId="0" fontId="31" fillId="8" borderId="1" xfId="10" applyFont="1" applyFill="1" applyBorder="1" applyAlignment="1">
      <alignment horizontal="left" vertical="center"/>
    </xf>
    <xf numFmtId="0" fontId="31" fillId="0" borderId="0" xfId="14" applyFont="1" applyAlignment="1">
      <alignment vertical="center"/>
    </xf>
    <xf numFmtId="0" fontId="31" fillId="0" borderId="15" xfId="22" applyFont="1" applyBorder="1"/>
    <xf numFmtId="0" fontId="41" fillId="0" borderId="41" xfId="14" quotePrefix="1" applyFont="1" applyBorder="1" applyAlignment="1">
      <alignment horizontal="left"/>
    </xf>
    <xf numFmtId="0" fontId="31" fillId="0" borderId="15" xfId="0" applyFont="1" applyBorder="1"/>
    <xf numFmtId="0" fontId="42" fillId="0" borderId="43" xfId="0" applyFont="1" applyBorder="1" applyAlignment="1">
      <alignment horizontal="left"/>
    </xf>
    <xf numFmtId="0" fontId="31" fillId="0" borderId="0" xfId="9" applyFont="1"/>
    <xf numFmtId="0" fontId="41" fillId="0" borderId="0" xfId="14" applyFont="1"/>
    <xf numFmtId="4" fontId="31" fillId="0" borderId="0" xfId="14" applyNumberFormat="1" applyFont="1"/>
    <xf numFmtId="2" fontId="41" fillId="0" borderId="0" xfId="14" applyNumberFormat="1" applyFont="1" applyAlignment="1">
      <alignment horizontal="left"/>
    </xf>
    <xf numFmtId="0" fontId="41" fillId="0" borderId="0" xfId="14" applyFont="1" applyAlignment="1">
      <alignment horizontal="left"/>
    </xf>
    <xf numFmtId="43" fontId="41" fillId="0" borderId="0" xfId="15" applyFont="1" applyFill="1"/>
    <xf numFmtId="4" fontId="57" fillId="0" borderId="0" xfId="14" applyNumberFormat="1" applyFont="1" applyAlignment="1">
      <alignment horizontal="left" vertical="center"/>
    </xf>
    <xf numFmtId="17" fontId="41" fillId="0" borderId="0" xfId="14" quotePrefix="1" applyNumberFormat="1" applyFont="1"/>
    <xf numFmtId="0" fontId="28" fillId="7" borderId="14" xfId="14" applyFont="1" applyFill="1" applyBorder="1" applyAlignment="1">
      <alignment horizontal="center" wrapText="1"/>
    </xf>
    <xf numFmtId="0" fontId="28" fillId="7" borderId="14" xfId="9" applyFont="1" applyFill="1" applyBorder="1" applyAlignment="1">
      <alignment horizontal="left" wrapText="1"/>
    </xf>
    <xf numFmtId="43" fontId="28" fillId="7" borderId="14" xfId="15" applyFont="1" applyFill="1" applyBorder="1" applyAlignment="1">
      <alignment horizontal="left" wrapText="1"/>
    </xf>
    <xf numFmtId="0" fontId="28" fillId="7" borderId="14" xfId="9" applyFont="1" applyFill="1" applyBorder="1" applyAlignment="1">
      <alignment horizontal="center" wrapText="1"/>
    </xf>
    <xf numFmtId="0" fontId="28" fillId="7" borderId="0" xfId="9" applyFont="1" applyFill="1" applyAlignment="1">
      <alignment horizontal="left" wrapText="1"/>
    </xf>
    <xf numFmtId="0" fontId="41" fillId="0" borderId="1" xfId="14" applyFont="1" applyBorder="1" applyAlignment="1">
      <alignment horizontal="right"/>
    </xf>
    <xf numFmtId="14" fontId="41" fillId="0" borderId="1" xfId="14" applyNumberFormat="1" applyFont="1" applyBorder="1" applyAlignment="1">
      <alignment horizontal="left"/>
    </xf>
    <xf numFmtId="0" fontId="41" fillId="0" borderId="1" xfId="14" applyFont="1" applyBorder="1" applyAlignment="1">
      <alignment horizontal="left" vertical="center"/>
    </xf>
    <xf numFmtId="0" fontId="41" fillId="0" borderId="1" xfId="14" applyFont="1" applyBorder="1" applyAlignment="1">
      <alignment horizontal="left"/>
    </xf>
    <xf numFmtId="0" fontId="41" fillId="0" borderId="1" xfId="14" applyFont="1" applyBorder="1"/>
    <xf numFmtId="0" fontId="41" fillId="0" borderId="1" xfId="14" quotePrefix="1" applyFont="1" applyBorder="1" applyAlignment="1">
      <alignment horizontal="left"/>
    </xf>
    <xf numFmtId="14" fontId="41" fillId="0" borderId="1" xfId="14" applyNumberFormat="1" applyFont="1" applyBorder="1" applyAlignment="1">
      <alignment horizontal="left" vertical="center"/>
    </xf>
    <xf numFmtId="49" fontId="26" fillId="8" borderId="1" xfId="21" applyNumberFormat="1" applyFont="1" applyFill="1" applyBorder="1" applyAlignment="1">
      <alignment horizontal="left"/>
    </xf>
    <xf numFmtId="6" fontId="41" fillId="0" borderId="1" xfId="15" applyNumberFormat="1" applyFont="1" applyBorder="1"/>
    <xf numFmtId="43" fontId="41" fillId="0" borderId="1" xfId="15" applyFont="1" applyBorder="1" applyAlignment="1">
      <alignment horizontal="left" vertical="center"/>
    </xf>
    <xf numFmtId="49" fontId="41" fillId="0" borderId="1" xfId="14" quotePrefix="1" applyNumberFormat="1" applyFont="1" applyBorder="1" applyAlignment="1">
      <alignment horizontal="left" vertical="center"/>
    </xf>
    <xf numFmtId="0" fontId="43" fillId="0" borderId="1" xfId="19" applyFont="1" applyBorder="1" applyAlignment="1">
      <alignment horizontal="left" vertical="center"/>
    </xf>
    <xf numFmtId="14" fontId="41" fillId="0" borderId="15" xfId="14" applyNumberFormat="1" applyFont="1" applyBorder="1" applyAlignment="1">
      <alignment horizontal="left"/>
    </xf>
    <xf numFmtId="0" fontId="41" fillId="0" borderId="15" xfId="14" applyFont="1" applyBorder="1" applyAlignment="1">
      <alignment horizontal="left" vertical="center"/>
    </xf>
    <xf numFmtId="0" fontId="41" fillId="0" borderId="10" xfId="14" applyFont="1" applyBorder="1" applyAlignment="1">
      <alignment horizontal="left"/>
    </xf>
    <xf numFmtId="0" fontId="41" fillId="0" borderId="23" xfId="14" applyFont="1" applyBorder="1" applyAlignment="1">
      <alignment horizontal="left"/>
    </xf>
    <xf numFmtId="0" fontId="41" fillId="0" borderId="23" xfId="14" applyFont="1" applyBorder="1"/>
    <xf numFmtId="0" fontId="41" fillId="0" borderId="15" xfId="14" applyFont="1" applyBorder="1" applyAlignment="1">
      <alignment horizontal="left"/>
    </xf>
    <xf numFmtId="0" fontId="41" fillId="0" borderId="15" xfId="14" quotePrefix="1" applyFont="1" applyBorder="1" applyAlignment="1">
      <alignment horizontal="left"/>
    </xf>
    <xf numFmtId="14" fontId="41" fillId="0" borderId="15" xfId="14" applyNumberFormat="1" applyFont="1" applyBorder="1" applyAlignment="1">
      <alignment horizontal="left" vertical="center"/>
    </xf>
    <xf numFmtId="0" fontId="41" fillId="0" borderId="10" xfId="14" applyFont="1" applyBorder="1" applyAlignment="1">
      <alignment horizontal="left" vertical="center"/>
    </xf>
    <xf numFmtId="0" fontId="26" fillId="8" borderId="15" xfId="21" applyFont="1" applyFill="1" applyBorder="1" applyAlignment="1">
      <alignment horizontal="left"/>
    </xf>
    <xf numFmtId="43" fontId="41" fillId="0" borderId="15" xfId="15" applyFont="1" applyBorder="1"/>
    <xf numFmtId="43" fontId="41" fillId="0" borderId="15" xfId="15" applyFont="1" applyBorder="1" applyAlignment="1">
      <alignment horizontal="left" vertical="center"/>
    </xf>
    <xf numFmtId="49" fontId="41" fillId="0" borderId="15" xfId="14" quotePrefix="1" applyNumberFormat="1" applyFont="1" applyBorder="1" applyAlignment="1">
      <alignment horizontal="left" vertical="center"/>
    </xf>
    <xf numFmtId="0" fontId="43" fillId="0" borderId="15" xfId="19" applyFont="1" applyBorder="1" applyAlignment="1">
      <alignment horizontal="left" vertical="center"/>
    </xf>
    <xf numFmtId="0" fontId="41" fillId="0" borderId="17" xfId="14" applyFont="1" applyBorder="1" applyAlignment="1">
      <alignment horizontal="left"/>
    </xf>
    <xf numFmtId="0" fontId="41" fillId="0" borderId="17" xfId="14" applyFont="1" applyBorder="1"/>
    <xf numFmtId="0" fontId="41" fillId="0" borderId="14" xfId="14" applyFont="1" applyBorder="1" applyAlignment="1">
      <alignment horizontal="left"/>
    </xf>
    <xf numFmtId="0" fontId="41" fillId="0" borderId="14" xfId="14" quotePrefix="1" applyFont="1" applyBorder="1" applyAlignment="1">
      <alignment horizontal="left"/>
    </xf>
    <xf numFmtId="14" fontId="41" fillId="0" borderId="14" xfId="14" applyNumberFormat="1" applyFont="1" applyBorder="1" applyAlignment="1">
      <alignment horizontal="left" vertical="center"/>
    </xf>
    <xf numFmtId="14" fontId="41" fillId="0" borderId="14" xfId="14" applyNumberFormat="1" applyFont="1" applyBorder="1" applyAlignment="1">
      <alignment horizontal="left"/>
    </xf>
    <xf numFmtId="0" fontId="41" fillId="0" borderId="14" xfId="14" applyFont="1" applyBorder="1" applyAlignment="1">
      <alignment horizontal="left" vertical="center"/>
    </xf>
    <xf numFmtId="0" fontId="41" fillId="0" borderId="0" xfId="14" applyFont="1" applyAlignment="1">
      <alignment horizontal="left" vertical="center"/>
    </xf>
    <xf numFmtId="0" fontId="26" fillId="8" borderId="14" xfId="21" applyFont="1" applyFill="1" applyBorder="1" applyAlignment="1">
      <alignment horizontal="left"/>
    </xf>
    <xf numFmtId="43" fontId="41" fillId="0" borderId="14" xfId="15" applyFont="1" applyBorder="1"/>
    <xf numFmtId="43" fontId="41" fillId="0" borderId="14" xfId="15" applyFont="1" applyBorder="1" applyAlignment="1">
      <alignment horizontal="left" vertical="center"/>
    </xf>
    <xf numFmtId="49" fontId="41" fillId="0" borderId="14" xfId="14" quotePrefix="1" applyNumberFormat="1" applyFont="1" applyBorder="1" applyAlignment="1">
      <alignment horizontal="left" vertical="center"/>
    </xf>
    <xf numFmtId="0" fontId="43" fillId="0" borderId="14" xfId="19" applyFont="1" applyBorder="1" applyAlignment="1">
      <alignment horizontal="left" vertical="center"/>
    </xf>
    <xf numFmtId="0" fontId="41" fillId="0" borderId="24" xfId="14" applyFont="1" applyBorder="1" applyAlignment="1">
      <alignment horizontal="left"/>
    </xf>
    <xf numFmtId="0" fontId="41" fillId="0" borderId="24" xfId="14" applyFont="1" applyBorder="1"/>
    <xf numFmtId="0" fontId="41" fillId="0" borderId="24" xfId="14" quotePrefix="1" applyFont="1" applyBorder="1" applyAlignment="1">
      <alignment horizontal="left"/>
    </xf>
    <xf numFmtId="14" fontId="41" fillId="0" borderId="24" xfId="14" applyNumberFormat="1" applyFont="1" applyBorder="1" applyAlignment="1">
      <alignment horizontal="left" vertical="center"/>
    </xf>
    <xf numFmtId="14" fontId="41" fillId="0" borderId="24" xfId="14" applyNumberFormat="1" applyFont="1" applyBorder="1" applyAlignment="1">
      <alignment horizontal="left"/>
    </xf>
    <xf numFmtId="0" fontId="41" fillId="0" borderId="24" xfId="14" applyFont="1" applyBorder="1" applyAlignment="1">
      <alignment horizontal="left" vertical="center"/>
    </xf>
    <xf numFmtId="0" fontId="26" fillId="8" borderId="24" xfId="21" applyFont="1" applyFill="1" applyBorder="1" applyAlignment="1">
      <alignment horizontal="left"/>
    </xf>
    <xf numFmtId="43" fontId="41" fillId="0" borderId="24" xfId="15" applyFont="1" applyBorder="1"/>
    <xf numFmtId="43" fontId="41" fillId="0" borderId="24" xfId="15" applyFont="1" applyBorder="1" applyAlignment="1">
      <alignment horizontal="left" vertical="center"/>
    </xf>
    <xf numFmtId="0" fontId="41" fillId="0" borderId="24" xfId="14" quotePrefix="1" applyFont="1" applyBorder="1" applyAlignment="1">
      <alignment horizontal="left" vertical="center"/>
    </xf>
    <xf numFmtId="0" fontId="43" fillId="0" borderId="24" xfId="19" applyFont="1" applyBorder="1" applyAlignment="1">
      <alignment horizontal="left" vertical="center"/>
    </xf>
    <xf numFmtId="0" fontId="41" fillId="0" borderId="15" xfId="14" quotePrefix="1" applyFont="1" applyBorder="1" applyAlignment="1">
      <alignment horizontal="left" vertical="center"/>
    </xf>
    <xf numFmtId="14" fontId="41" fillId="0" borderId="23" xfId="14" applyNumberFormat="1" applyFont="1" applyBorder="1" applyAlignment="1">
      <alignment horizontal="left"/>
    </xf>
    <xf numFmtId="0" fontId="41" fillId="0" borderId="11" xfId="14" applyFont="1" applyBorder="1" applyAlignment="1">
      <alignment horizontal="left" vertical="center"/>
    </xf>
    <xf numFmtId="0" fontId="41" fillId="0" borderId="23" xfId="14" quotePrefix="1" applyFont="1" applyBorder="1" applyAlignment="1">
      <alignment horizontal="left"/>
    </xf>
    <xf numFmtId="14" fontId="41" fillId="0" borderId="10" xfId="14" applyNumberFormat="1" applyFont="1" applyBorder="1" applyAlignment="1">
      <alignment horizontal="left" vertical="center"/>
    </xf>
    <xf numFmtId="14" fontId="41" fillId="0" borderId="23" xfId="14" applyNumberFormat="1" applyFont="1" applyBorder="1" applyAlignment="1">
      <alignment horizontal="left" vertical="center"/>
    </xf>
    <xf numFmtId="0" fontId="41" fillId="0" borderId="23" xfId="14" applyFont="1" applyBorder="1" applyAlignment="1">
      <alignment horizontal="left" vertical="center"/>
    </xf>
    <xf numFmtId="43" fontId="41" fillId="0" borderId="10" xfId="15" applyFont="1" applyBorder="1"/>
    <xf numFmtId="43" fontId="41" fillId="0" borderId="23" xfId="15" applyFont="1" applyBorder="1" applyAlignment="1">
      <alignment horizontal="left" vertical="center"/>
    </xf>
    <xf numFmtId="0" fontId="41" fillId="0" borderId="23" xfId="14" quotePrefix="1" applyFont="1" applyBorder="1" applyAlignment="1">
      <alignment horizontal="left" vertical="center"/>
    </xf>
    <xf numFmtId="0" fontId="43" fillId="0" borderId="11" xfId="19" applyFont="1" applyBorder="1" applyAlignment="1">
      <alignment horizontal="left" vertical="center"/>
    </xf>
    <xf numFmtId="0" fontId="41" fillId="0" borderId="15" xfId="14" applyFont="1" applyBorder="1"/>
    <xf numFmtId="43" fontId="41" fillId="0" borderId="1" xfId="15" applyFont="1" applyBorder="1"/>
    <xf numFmtId="0" fontId="41" fillId="0" borderId="1" xfId="14" quotePrefix="1" applyFont="1" applyBorder="1" applyAlignment="1">
      <alignment horizontal="left" vertical="center"/>
    </xf>
    <xf numFmtId="14" fontId="42" fillId="0" borderId="1" xfId="0" applyNumberFormat="1" applyFont="1" applyBorder="1" applyAlignment="1">
      <alignment horizontal="left"/>
    </xf>
    <xf numFmtId="0" fontId="42" fillId="0" borderId="36" xfId="0" applyFont="1" applyBorder="1" applyAlignment="1">
      <alignment horizontal="left" vertical="center"/>
    </xf>
    <xf numFmtId="0" fontId="42" fillId="0" borderId="36" xfId="0" applyFont="1" applyBorder="1" applyAlignment="1">
      <alignment horizontal="left"/>
    </xf>
    <xf numFmtId="14" fontId="42" fillId="0" borderId="36" xfId="0" applyNumberFormat="1" applyFont="1" applyBorder="1" applyAlignment="1">
      <alignment horizontal="left" vertical="center"/>
    </xf>
    <xf numFmtId="14" fontId="42" fillId="0" borderId="36" xfId="0" applyNumberFormat="1" applyFont="1" applyBorder="1" applyAlignment="1">
      <alignment horizontal="left"/>
    </xf>
    <xf numFmtId="0" fontId="42" fillId="11" borderId="36" xfId="0" applyFont="1" applyFill="1" applyBorder="1" applyAlignment="1">
      <alignment horizontal="left"/>
    </xf>
    <xf numFmtId="43" fontId="42" fillId="0" borderId="36" xfId="0" applyNumberFormat="1" applyFont="1" applyBorder="1"/>
    <xf numFmtId="43" fontId="42" fillId="0" borderId="36" xfId="0" applyNumberFormat="1" applyFont="1" applyBorder="1" applyAlignment="1">
      <alignment horizontal="left" vertical="center"/>
    </xf>
    <xf numFmtId="0" fontId="43" fillId="0" borderId="40" xfId="19" applyFont="1" applyBorder="1" applyAlignment="1">
      <alignment horizontal="left" vertical="center"/>
    </xf>
    <xf numFmtId="14" fontId="42" fillId="0" borderId="23" xfId="0" applyNumberFormat="1" applyFont="1" applyBorder="1" applyAlignment="1">
      <alignment horizontal="left"/>
    </xf>
    <xf numFmtId="0" fontId="42" fillId="0" borderId="11" xfId="0" applyFont="1" applyBorder="1" applyAlignment="1">
      <alignment horizontal="left" vertical="center"/>
    </xf>
    <xf numFmtId="14" fontId="42" fillId="0" borderId="11" xfId="0" applyNumberFormat="1" applyFont="1" applyBorder="1" applyAlignment="1">
      <alignment horizontal="left" vertical="center"/>
    </xf>
    <xf numFmtId="14" fontId="42" fillId="0" borderId="11" xfId="0" applyNumberFormat="1" applyFont="1" applyBorder="1" applyAlignment="1">
      <alignment horizontal="left"/>
    </xf>
    <xf numFmtId="0" fontId="42" fillId="11" borderId="11" xfId="0" applyFont="1" applyFill="1" applyBorder="1" applyAlignment="1">
      <alignment horizontal="left"/>
    </xf>
    <xf numFmtId="43" fontId="42" fillId="0" borderId="11" xfId="0" applyNumberFormat="1" applyFont="1" applyBorder="1"/>
    <xf numFmtId="43" fontId="42" fillId="0" borderId="11" xfId="0" applyNumberFormat="1" applyFont="1" applyBorder="1" applyAlignment="1">
      <alignment horizontal="left" vertical="center"/>
    </xf>
    <xf numFmtId="14" fontId="42" fillId="0" borderId="15" xfId="0" applyNumberFormat="1" applyFont="1" applyBorder="1" applyAlignment="1">
      <alignment horizontal="left"/>
    </xf>
    <xf numFmtId="14" fontId="41" fillId="0" borderId="41" xfId="14" applyNumberFormat="1" applyFont="1" applyBorder="1" applyAlignment="1">
      <alignment horizontal="left"/>
    </xf>
    <xf numFmtId="0" fontId="41" fillId="0" borderId="41" xfId="14" applyFont="1" applyBorder="1" applyAlignment="1">
      <alignment horizontal="left" vertical="center"/>
    </xf>
    <xf numFmtId="0" fontId="41" fillId="0" borderId="41" xfId="14" applyFont="1" applyBorder="1" applyAlignment="1">
      <alignment horizontal="left"/>
    </xf>
    <xf numFmtId="0" fontId="41" fillId="0" borderId="41" xfId="14" applyFont="1" applyBorder="1" applyAlignment="1">
      <alignment horizontal="center"/>
    </xf>
    <xf numFmtId="14" fontId="41" fillId="0" borderId="41" xfId="14" applyNumberFormat="1" applyFont="1" applyBorder="1" applyAlignment="1">
      <alignment horizontal="left" vertical="center"/>
    </xf>
    <xf numFmtId="0" fontId="26" fillId="8" borderId="41" xfId="21" applyFont="1" applyFill="1" applyBorder="1" applyAlignment="1">
      <alignment horizontal="left"/>
    </xf>
    <xf numFmtId="43" fontId="41" fillId="0" borderId="41" xfId="15" applyFont="1" applyBorder="1"/>
    <xf numFmtId="43" fontId="41" fillId="0" borderId="41" xfId="15" applyFont="1" applyBorder="1" applyAlignment="1">
      <alignment horizontal="left" vertical="center"/>
    </xf>
    <xf numFmtId="49" fontId="41" fillId="0" borderId="41" xfId="14" applyNumberFormat="1" applyFont="1" applyBorder="1" applyAlignment="1">
      <alignment horizontal="left" vertical="center"/>
    </xf>
    <xf numFmtId="0" fontId="43" fillId="0" borderId="41" xfId="19" applyFont="1" applyBorder="1" applyAlignment="1">
      <alignment horizontal="left" vertical="center"/>
    </xf>
    <xf numFmtId="49" fontId="26" fillId="8" borderId="41" xfId="21" applyNumberFormat="1" applyFont="1" applyFill="1" applyBorder="1" applyAlignment="1">
      <alignment horizontal="left"/>
    </xf>
    <xf numFmtId="14" fontId="42" fillId="0" borderId="41" xfId="0" applyNumberFormat="1" applyFont="1" applyBorder="1" applyAlignment="1">
      <alignment horizontal="left"/>
    </xf>
    <xf numFmtId="0" fontId="42" fillId="0" borderId="43" xfId="0" applyFont="1" applyBorder="1" applyAlignment="1">
      <alignment horizontal="left" vertical="center"/>
    </xf>
    <xf numFmtId="0" fontId="42" fillId="0" borderId="41" xfId="0" applyFont="1" applyBorder="1" applyAlignment="1">
      <alignment horizontal="left"/>
    </xf>
    <xf numFmtId="14" fontId="42" fillId="0" borderId="43" xfId="0" applyNumberFormat="1" applyFont="1" applyBorder="1" applyAlignment="1">
      <alignment horizontal="left" vertical="center"/>
    </xf>
    <xf numFmtId="14" fontId="42" fillId="0" borderId="43" xfId="0" applyNumberFormat="1" applyFont="1" applyBorder="1" applyAlignment="1">
      <alignment horizontal="left"/>
    </xf>
    <xf numFmtId="0" fontId="42" fillId="11" borderId="43" xfId="0" applyFont="1" applyFill="1" applyBorder="1" applyAlignment="1">
      <alignment horizontal="left"/>
    </xf>
    <xf numFmtId="43" fontId="42" fillId="0" borderId="43" xfId="0" applyNumberFormat="1" applyFont="1" applyBorder="1"/>
    <xf numFmtId="43" fontId="42" fillId="0" borderId="43" xfId="0" applyNumberFormat="1" applyFont="1" applyBorder="1" applyAlignment="1">
      <alignment horizontal="left" vertical="center"/>
    </xf>
    <xf numFmtId="49" fontId="42" fillId="0" borderId="43" xfId="0" applyNumberFormat="1" applyFont="1" applyBorder="1" applyAlignment="1">
      <alignment horizontal="left" vertical="center"/>
    </xf>
    <xf numFmtId="0" fontId="43" fillId="0" borderId="43" xfId="19" applyFont="1" applyBorder="1" applyAlignment="1">
      <alignment horizontal="left" vertical="center"/>
    </xf>
    <xf numFmtId="0" fontId="42" fillId="0" borderId="44" xfId="0" applyFont="1" applyBorder="1" applyAlignment="1">
      <alignment horizontal="left" vertical="center"/>
    </xf>
    <xf numFmtId="0" fontId="42" fillId="0" borderId="42" xfId="0" applyFont="1" applyBorder="1" applyAlignment="1">
      <alignment horizontal="left"/>
    </xf>
    <xf numFmtId="14" fontId="42" fillId="0" borderId="44" xfId="0" applyNumberFormat="1" applyFont="1" applyBorder="1" applyAlignment="1">
      <alignment horizontal="left" vertical="center"/>
    </xf>
    <xf numFmtId="0" fontId="42" fillId="11" borderId="44" xfId="0" applyFont="1" applyFill="1" applyBorder="1" applyAlignment="1">
      <alignment horizontal="left"/>
    </xf>
    <xf numFmtId="43" fontId="42" fillId="0" borderId="44" xfId="0" applyNumberFormat="1" applyFont="1" applyBorder="1"/>
    <xf numFmtId="43" fontId="42" fillId="0" borderId="44" xfId="0" applyNumberFormat="1" applyFont="1" applyBorder="1" applyAlignment="1">
      <alignment horizontal="left" vertical="center"/>
    </xf>
    <xf numFmtId="49" fontId="42" fillId="0" borderId="44" xfId="0" applyNumberFormat="1" applyFont="1" applyBorder="1" applyAlignment="1">
      <alignment horizontal="left" vertical="center"/>
    </xf>
    <xf numFmtId="0" fontId="43" fillId="0" borderId="44" xfId="19" applyFont="1" applyBorder="1" applyAlignment="1">
      <alignment horizontal="left" vertical="center"/>
    </xf>
    <xf numFmtId="49" fontId="42" fillId="11" borderId="44" xfId="0" applyNumberFormat="1" applyFont="1" applyFill="1" applyBorder="1" applyAlignment="1">
      <alignment horizontal="left"/>
    </xf>
    <xf numFmtId="0" fontId="45" fillId="0" borderId="43" xfId="0" applyFont="1" applyBorder="1" applyAlignment="1">
      <alignment horizontal="left" vertical="center"/>
    </xf>
    <xf numFmtId="0" fontId="45" fillId="0" borderId="44" xfId="0" applyFont="1" applyBorder="1" applyAlignment="1">
      <alignment horizontal="left" vertical="center"/>
    </xf>
    <xf numFmtId="43" fontId="42" fillId="0" borderId="42" xfId="0" applyNumberFormat="1" applyFont="1" applyBorder="1"/>
    <xf numFmtId="0" fontId="44" fillId="4" borderId="1" xfId="0" applyFont="1" applyFill="1" applyBorder="1" applyAlignment="1">
      <alignment horizontal="center" vertical="center" wrapText="1"/>
    </xf>
    <xf numFmtId="168" fontId="41" fillId="9" borderId="21" xfId="0" applyNumberFormat="1" applyFont="1" applyFill="1" applyBorder="1" applyAlignment="1">
      <alignment horizontal="left" vertical="center"/>
    </xf>
    <xf numFmtId="0" fontId="26" fillId="8" borderId="2" xfId="3" applyFont="1" applyFill="1" applyBorder="1" applyAlignment="1">
      <alignment horizontal="left" vertical="center"/>
    </xf>
    <xf numFmtId="0" fontId="26" fillId="8" borderId="2" xfId="3" applyFont="1" applyFill="1" applyBorder="1" applyAlignment="1">
      <alignment horizontal="center" vertical="center"/>
    </xf>
    <xf numFmtId="0" fontId="26" fillId="8" borderId="1" xfId="3" applyFont="1" applyFill="1" applyBorder="1" applyAlignment="1">
      <alignment horizontal="left" vertical="center"/>
    </xf>
    <xf numFmtId="0" fontId="26" fillId="8" borderId="1" xfId="3" applyFont="1" applyFill="1" applyBorder="1" applyAlignment="1">
      <alignment horizontal="center" vertical="center"/>
    </xf>
    <xf numFmtId="14" fontId="26" fillId="8" borderId="1" xfId="3" applyNumberFormat="1" applyFont="1" applyFill="1" applyBorder="1" applyAlignment="1">
      <alignment horizontal="center" vertical="center"/>
    </xf>
    <xf numFmtId="1" fontId="26" fillId="8" borderId="1" xfId="3" applyNumberFormat="1" applyFont="1" applyFill="1" applyBorder="1" applyAlignment="1">
      <alignment horizontal="left" vertical="center"/>
    </xf>
    <xf numFmtId="49" fontId="26" fillId="8" borderId="1" xfId="3" applyNumberFormat="1" applyFont="1" applyFill="1" applyBorder="1" applyAlignment="1">
      <alignment horizontal="left" vertical="center"/>
    </xf>
    <xf numFmtId="2" fontId="26" fillId="8" borderId="1" xfId="3" applyNumberFormat="1" applyFont="1" applyFill="1" applyBorder="1" applyAlignment="1">
      <alignment horizontal="center" vertical="center"/>
    </xf>
    <xf numFmtId="165" fontId="26" fillId="8" borderId="1" xfId="3" applyNumberFormat="1" applyFont="1" applyFill="1" applyBorder="1" applyAlignment="1">
      <alignment horizontal="center" vertical="center"/>
    </xf>
    <xf numFmtId="49" fontId="55" fillId="8" borderId="1" xfId="4" applyNumberFormat="1" applyFont="1" applyFill="1" applyBorder="1" applyAlignment="1">
      <alignment horizontal="center" vertical="center"/>
    </xf>
    <xf numFmtId="0" fontId="41" fillId="8" borderId="2" xfId="3" applyFont="1" applyFill="1" applyBorder="1" applyAlignment="1">
      <alignment horizontal="left" vertical="center"/>
    </xf>
    <xf numFmtId="168" fontId="41" fillId="9" borderId="17" xfId="0" applyNumberFormat="1" applyFont="1" applyFill="1" applyBorder="1" applyAlignment="1">
      <alignment horizontal="left" vertical="center"/>
    </xf>
    <xf numFmtId="0" fontId="26" fillId="8" borderId="22" xfId="3" applyFont="1" applyFill="1" applyBorder="1" applyAlignment="1">
      <alignment horizontal="left" vertical="center"/>
    </xf>
    <xf numFmtId="0" fontId="26" fillId="8" borderId="22" xfId="3" applyFont="1" applyFill="1" applyBorder="1" applyAlignment="1">
      <alignment horizontal="center" vertical="center"/>
    </xf>
    <xf numFmtId="168" fontId="41" fillId="9" borderId="1" xfId="0" applyNumberFormat="1" applyFont="1" applyFill="1" applyBorder="1" applyAlignment="1">
      <alignment horizontal="left" vertical="center"/>
    </xf>
    <xf numFmtId="0" fontId="26" fillId="8" borderId="21" xfId="3" applyFont="1" applyFill="1" applyBorder="1" applyAlignment="1">
      <alignment horizontal="left" vertical="center"/>
    </xf>
    <xf numFmtId="0" fontId="26" fillId="8" borderId="21" xfId="3" applyFont="1" applyFill="1" applyBorder="1" applyAlignment="1">
      <alignment horizontal="center" vertical="center"/>
    </xf>
    <xf numFmtId="0" fontId="26" fillId="8" borderId="17" xfId="3" applyFont="1" applyFill="1" applyBorder="1" applyAlignment="1">
      <alignment horizontal="center" vertical="center"/>
    </xf>
    <xf numFmtId="14" fontId="26" fillId="8" borderId="2" xfId="3" applyNumberFormat="1" applyFont="1" applyFill="1" applyBorder="1" applyAlignment="1">
      <alignment horizontal="center" vertical="center"/>
    </xf>
    <xf numFmtId="1" fontId="26" fillId="8" borderId="2" xfId="3" applyNumberFormat="1" applyFont="1" applyFill="1" applyBorder="1" applyAlignment="1">
      <alignment horizontal="left" vertical="center"/>
    </xf>
    <xf numFmtId="49" fontId="26" fillId="8" borderId="2" xfId="3" applyNumberFormat="1" applyFont="1" applyFill="1" applyBorder="1" applyAlignment="1">
      <alignment horizontal="left" vertical="center"/>
    </xf>
    <xf numFmtId="2" fontId="26" fillId="8" borderId="2" xfId="3" applyNumberFormat="1" applyFont="1" applyFill="1" applyBorder="1" applyAlignment="1">
      <alignment horizontal="center" vertical="center"/>
    </xf>
    <xf numFmtId="165" fontId="26" fillId="8" borderId="2" xfId="3" applyNumberFormat="1" applyFont="1" applyFill="1" applyBorder="1" applyAlignment="1">
      <alignment horizontal="center" vertical="center"/>
    </xf>
    <xf numFmtId="0" fontId="55" fillId="8" borderId="2" xfId="4" applyNumberFormat="1" applyFont="1" applyFill="1" applyBorder="1" applyAlignment="1">
      <alignment horizontal="center" vertical="center"/>
    </xf>
    <xf numFmtId="49" fontId="55" fillId="8" borderId="2" xfId="4" applyNumberFormat="1" applyFont="1" applyFill="1" applyBorder="1" applyAlignment="1">
      <alignment horizontal="center" vertical="center"/>
    </xf>
    <xf numFmtId="165" fontId="26" fillId="8" borderId="2" xfId="3" applyNumberFormat="1" applyFont="1" applyFill="1" applyBorder="1" applyAlignment="1">
      <alignment horizontal="left" vertical="center"/>
    </xf>
    <xf numFmtId="168" fontId="41" fillId="9" borderId="37" xfId="0" applyNumberFormat="1" applyFont="1" applyFill="1" applyBorder="1" applyAlignment="1">
      <alignment horizontal="left" vertical="center"/>
    </xf>
    <xf numFmtId="0" fontId="26" fillId="8" borderId="37" xfId="3" applyFont="1" applyFill="1" applyBorder="1" applyAlignment="1">
      <alignment horizontal="left" vertical="center"/>
    </xf>
    <xf numFmtId="0" fontId="26" fillId="8" borderId="37" xfId="3" applyFont="1" applyFill="1" applyBorder="1" applyAlignment="1">
      <alignment horizontal="center" vertical="center"/>
    </xf>
    <xf numFmtId="14" fontId="26" fillId="8" borderId="37" xfId="3" applyNumberFormat="1" applyFont="1" applyFill="1" applyBorder="1" applyAlignment="1">
      <alignment horizontal="center" vertical="center"/>
    </xf>
    <xf numFmtId="1" fontId="26" fillId="8" borderId="37" xfId="3" applyNumberFormat="1" applyFont="1" applyFill="1" applyBorder="1" applyAlignment="1">
      <alignment horizontal="left" vertical="center"/>
    </xf>
    <xf numFmtId="49" fontId="26" fillId="8" borderId="37" xfId="3" applyNumberFormat="1" applyFont="1" applyFill="1" applyBorder="1" applyAlignment="1">
      <alignment horizontal="left" vertical="center"/>
    </xf>
    <xf numFmtId="2" fontId="26" fillId="8" borderId="37" xfId="3" applyNumberFormat="1" applyFont="1" applyFill="1" applyBorder="1" applyAlignment="1">
      <alignment horizontal="center" vertical="center"/>
    </xf>
    <xf numFmtId="165" fontId="26" fillId="8" borderId="37" xfId="3" applyNumberFormat="1" applyFont="1" applyFill="1" applyBorder="1" applyAlignment="1">
      <alignment horizontal="center" vertical="center"/>
    </xf>
    <xf numFmtId="49" fontId="55" fillId="8" borderId="37" xfId="4" applyNumberFormat="1" applyFont="1" applyFill="1" applyBorder="1" applyAlignment="1">
      <alignment horizontal="center" vertical="center"/>
    </xf>
    <xf numFmtId="168" fontId="41" fillId="9" borderId="38" xfId="0" applyNumberFormat="1" applyFont="1" applyFill="1" applyBorder="1" applyAlignment="1">
      <alignment horizontal="left" vertical="center"/>
    </xf>
    <xf numFmtId="0" fontId="26" fillId="8" borderId="38" xfId="3" applyFont="1" applyFill="1" applyBorder="1" applyAlignment="1">
      <alignment horizontal="left" vertical="center"/>
    </xf>
    <xf numFmtId="0" fontId="26" fillId="8" borderId="38" xfId="3" applyFont="1" applyFill="1" applyBorder="1" applyAlignment="1">
      <alignment horizontal="center" vertical="center"/>
    </xf>
    <xf numFmtId="14" fontId="26" fillId="8" borderId="38" xfId="3" applyNumberFormat="1" applyFont="1" applyFill="1" applyBorder="1" applyAlignment="1">
      <alignment horizontal="center" vertical="center"/>
    </xf>
    <xf numFmtId="1" fontId="26" fillId="8" borderId="38" xfId="3" applyNumberFormat="1" applyFont="1" applyFill="1" applyBorder="1" applyAlignment="1">
      <alignment horizontal="left" vertical="center"/>
    </xf>
    <xf numFmtId="49" fontId="26" fillId="8" borderId="38" xfId="3" applyNumberFormat="1" applyFont="1" applyFill="1" applyBorder="1" applyAlignment="1">
      <alignment horizontal="left" vertical="center"/>
    </xf>
    <xf numFmtId="2" fontId="26" fillId="8" borderId="38" xfId="3" applyNumberFormat="1" applyFont="1" applyFill="1" applyBorder="1" applyAlignment="1">
      <alignment horizontal="center" vertical="center"/>
    </xf>
    <xf numFmtId="165" fontId="26" fillId="8" borderId="38" xfId="3" applyNumberFormat="1" applyFont="1" applyFill="1" applyBorder="1" applyAlignment="1">
      <alignment horizontal="center" vertical="center"/>
    </xf>
    <xf numFmtId="0" fontId="26" fillId="8" borderId="39" xfId="3" applyFont="1" applyFill="1" applyBorder="1" applyAlignment="1">
      <alignment horizontal="left" vertical="center"/>
    </xf>
    <xf numFmtId="168" fontId="41" fillId="9" borderId="25" xfId="0" applyNumberFormat="1" applyFont="1" applyFill="1" applyBorder="1" applyAlignment="1">
      <alignment horizontal="left" vertical="center"/>
    </xf>
    <xf numFmtId="0" fontId="41" fillId="9" borderId="41" xfId="0" applyFont="1" applyFill="1" applyBorder="1" applyAlignment="1">
      <alignment horizontal="left" vertical="center"/>
    </xf>
    <xf numFmtId="0" fontId="43" fillId="8" borderId="2" xfId="19" applyNumberFormat="1" applyFont="1" applyFill="1" applyBorder="1" applyAlignment="1">
      <alignment horizontal="left" vertical="center"/>
    </xf>
    <xf numFmtId="0" fontId="26" fillId="8" borderId="2" xfId="3" applyFont="1" applyFill="1" applyBorder="1" applyAlignment="1">
      <alignment horizontal="left" vertical="center" wrapText="1"/>
    </xf>
    <xf numFmtId="0" fontId="31" fillId="8" borderId="15" xfId="22" applyFont="1" applyFill="1" applyBorder="1"/>
    <xf numFmtId="0" fontId="41" fillId="8" borderId="0" xfId="0" applyFont="1" applyFill="1"/>
    <xf numFmtId="1" fontId="41" fillId="8" borderId="2" xfId="3" applyNumberFormat="1" applyFont="1" applyFill="1" applyBorder="1" applyAlignment="1">
      <alignment horizontal="left" vertical="center"/>
    </xf>
    <xf numFmtId="0" fontId="41" fillId="8" borderId="2" xfId="3" applyFont="1" applyFill="1" applyBorder="1" applyAlignment="1">
      <alignment horizontal="center" vertical="center"/>
    </xf>
    <xf numFmtId="0" fontId="43" fillId="8" borderId="1" xfId="19" applyNumberFormat="1" applyFont="1" applyFill="1" applyBorder="1" applyAlignment="1">
      <alignment horizontal="left" vertical="center"/>
    </xf>
    <xf numFmtId="0" fontId="43" fillId="8" borderId="37" xfId="19" applyNumberFormat="1" applyFont="1" applyFill="1" applyBorder="1" applyAlignment="1">
      <alignment horizontal="left" vertical="center"/>
    </xf>
    <xf numFmtId="0" fontId="43" fillId="8" borderId="38" xfId="19" applyNumberFormat="1" applyFont="1" applyFill="1" applyBorder="1" applyAlignment="1">
      <alignment horizontal="left" vertical="center"/>
    </xf>
    <xf numFmtId="0" fontId="31" fillId="8" borderId="0" xfId="0" applyFont="1" applyFill="1" applyAlignment="1">
      <alignment horizontal="right"/>
    </xf>
    <xf numFmtId="4" fontId="31" fillId="8" borderId="0" xfId="0" applyNumberFormat="1" applyFont="1" applyFill="1"/>
    <xf numFmtId="0" fontId="31" fillId="8" borderId="0" xfId="0" applyFont="1" applyFill="1" applyAlignment="1">
      <alignment horizontal="left" vertical="center"/>
    </xf>
    <xf numFmtId="2" fontId="41" fillId="8" borderId="0" xfId="0" applyNumberFormat="1" applyFont="1" applyFill="1" applyAlignment="1">
      <alignment horizontal="left"/>
    </xf>
    <xf numFmtId="0" fontId="26" fillId="8" borderId="0" xfId="0" applyFont="1" applyFill="1"/>
    <xf numFmtId="49" fontId="26" fillId="8" borderId="0" xfId="0" applyNumberFormat="1" applyFont="1" applyFill="1" applyAlignment="1">
      <alignment horizontal="left"/>
    </xf>
    <xf numFmtId="1" fontId="41" fillId="8" borderId="0" xfId="0" applyNumberFormat="1" applyFont="1" applyFill="1"/>
    <xf numFmtId="2" fontId="26" fillId="8" borderId="0" xfId="0" applyNumberFormat="1" applyFont="1" applyFill="1" applyAlignment="1">
      <alignment horizontal="right" indent="1"/>
    </xf>
    <xf numFmtId="4" fontId="57" fillId="8" borderId="0" xfId="0" applyNumberFormat="1" applyFont="1" applyFill="1" applyAlignment="1">
      <alignment horizontal="left" vertical="center"/>
    </xf>
    <xf numFmtId="0" fontId="31" fillId="8" borderId="0" xfId="1" applyFont="1" applyFill="1"/>
    <xf numFmtId="0" fontId="26" fillId="13" borderId="0" xfId="2" applyFont="1" applyFill="1" applyAlignment="1">
      <alignment horizontal="center" vertical="center"/>
    </xf>
    <xf numFmtId="1" fontId="26" fillId="13" borderId="0" xfId="2" applyNumberFormat="1" applyFont="1" applyFill="1" applyAlignment="1">
      <alignment horizontal="right" vertical="center"/>
    </xf>
    <xf numFmtId="1" fontId="26" fillId="13" borderId="0" xfId="2" applyNumberFormat="1" applyFont="1" applyFill="1" applyAlignment="1">
      <alignment horizontal="center" vertical="center"/>
    </xf>
    <xf numFmtId="2" fontId="26" fillId="13" borderId="0" xfId="2" applyNumberFormat="1" applyFont="1" applyFill="1" applyAlignment="1">
      <alignment vertical="center"/>
    </xf>
    <xf numFmtId="49" fontId="41" fillId="8" borderId="0" xfId="0" quotePrefix="1" applyNumberFormat="1" applyFont="1" applyFill="1"/>
    <xf numFmtId="17" fontId="26" fillId="8" borderId="0" xfId="0" quotePrefix="1" applyNumberFormat="1" applyFont="1" applyFill="1" applyAlignment="1">
      <alignment horizontal="left"/>
    </xf>
    <xf numFmtId="0" fontId="41" fillId="8" borderId="0" xfId="0" applyFont="1" applyFill="1" applyAlignment="1">
      <alignment horizontal="center" vertical="center"/>
    </xf>
    <xf numFmtId="0" fontId="42" fillId="14" borderId="2" xfId="0" applyFont="1" applyFill="1" applyBorder="1" applyAlignment="1">
      <alignment horizontal="left" vertical="center"/>
    </xf>
    <xf numFmtId="164" fontId="26" fillId="8" borderId="2" xfId="3" applyNumberFormat="1" applyFont="1" applyFill="1" applyBorder="1" applyAlignment="1">
      <alignment horizontal="left"/>
    </xf>
    <xf numFmtId="0" fontId="26" fillId="8" borderId="2" xfId="3" applyFont="1" applyFill="1" applyBorder="1"/>
    <xf numFmtId="0" fontId="26" fillId="8" borderId="2" xfId="3" applyFont="1" applyFill="1" applyBorder="1" applyAlignment="1">
      <alignment horizontal="center"/>
    </xf>
    <xf numFmtId="0" fontId="26" fillId="8" borderId="2" xfId="3" applyFont="1" applyFill="1" applyBorder="1" applyAlignment="1">
      <alignment horizontal="left"/>
    </xf>
    <xf numFmtId="14" fontId="26" fillId="8" borderId="2" xfId="3" applyNumberFormat="1" applyFont="1" applyFill="1" applyBorder="1" applyAlignment="1">
      <alignment horizontal="left"/>
    </xf>
    <xf numFmtId="1" fontId="26" fillId="8" borderId="2" xfId="3" applyNumberFormat="1" applyFont="1" applyFill="1" applyBorder="1"/>
    <xf numFmtId="49" fontId="26" fillId="8" borderId="2" xfId="3" applyNumberFormat="1" applyFont="1" applyFill="1" applyBorder="1" applyAlignment="1">
      <alignment horizontal="left"/>
    </xf>
    <xf numFmtId="2" fontId="26" fillId="8" borderId="2" xfId="3" applyNumberFormat="1" applyFont="1" applyFill="1" applyBorder="1" applyAlignment="1">
      <alignment horizontal="center"/>
    </xf>
    <xf numFmtId="165" fontId="26" fillId="8" borderId="2" xfId="3" applyNumberFormat="1" applyFont="1" applyFill="1" applyBorder="1" applyAlignment="1">
      <alignment horizontal="center"/>
    </xf>
    <xf numFmtId="49" fontId="55" fillId="8" borderId="2" xfId="4" applyNumberFormat="1" applyFont="1" applyFill="1" applyBorder="1"/>
    <xf numFmtId="0" fontId="43" fillId="8" borderId="2" xfId="19" applyNumberFormat="1" applyFont="1" applyFill="1" applyBorder="1"/>
    <xf numFmtId="0" fontId="41" fillId="8" borderId="3" xfId="3" applyFont="1" applyFill="1" applyBorder="1"/>
    <xf numFmtId="0" fontId="26" fillId="8" borderId="35" xfId="3" applyFont="1" applyFill="1" applyBorder="1" applyAlignment="1">
      <alignment horizontal="center" vertical="center"/>
    </xf>
    <xf numFmtId="0" fontId="26" fillId="8" borderId="35" xfId="3" applyFont="1" applyFill="1" applyBorder="1"/>
    <xf numFmtId="0" fontId="26" fillId="8" borderId="35" xfId="3" applyFont="1" applyFill="1" applyBorder="1" applyAlignment="1">
      <alignment horizontal="left" vertical="center"/>
    </xf>
    <xf numFmtId="0" fontId="26" fillId="8" borderId="35" xfId="3" applyFont="1" applyFill="1" applyBorder="1" applyAlignment="1">
      <alignment horizontal="left"/>
    </xf>
    <xf numFmtId="165" fontId="26" fillId="8" borderId="35" xfId="3" applyNumberFormat="1" applyFont="1" applyFill="1" applyBorder="1" applyAlignment="1">
      <alignment horizontal="center"/>
    </xf>
    <xf numFmtId="0" fontId="26" fillId="8" borderId="35" xfId="3" applyFont="1" applyFill="1" applyBorder="1" applyAlignment="1">
      <alignment vertical="center"/>
    </xf>
    <xf numFmtId="168" fontId="42" fillId="10" borderId="21" xfId="0" applyNumberFormat="1" applyFont="1" applyFill="1" applyBorder="1" applyAlignment="1">
      <alignment horizontal="left" vertical="center"/>
    </xf>
    <xf numFmtId="0" fontId="42" fillId="14" borderId="12" xfId="0" applyFont="1" applyFill="1" applyBorder="1" applyAlignment="1">
      <alignment horizontal="left" vertical="center"/>
    </xf>
    <xf numFmtId="49" fontId="56" fillId="14" borderId="2" xfId="0" applyNumberFormat="1" applyFont="1" applyFill="1" applyBorder="1" applyAlignment="1">
      <alignment horizontal="center" vertical="center"/>
    </xf>
    <xf numFmtId="0" fontId="43" fillId="14" borderId="12" xfId="19" applyFont="1" applyFill="1" applyBorder="1" applyAlignment="1">
      <alignment horizontal="left" vertical="center"/>
    </xf>
    <xf numFmtId="0" fontId="42" fillId="14" borderId="12" xfId="0" applyFont="1" applyFill="1" applyBorder="1" applyAlignment="1">
      <alignment horizontal="center" vertical="center"/>
    </xf>
    <xf numFmtId="14" fontId="42" fillId="14" borderId="12" xfId="0" applyNumberFormat="1" applyFont="1" applyFill="1" applyBorder="1" applyAlignment="1">
      <alignment horizontal="center" vertical="center"/>
    </xf>
    <xf numFmtId="1" fontId="42" fillId="14" borderId="12" xfId="0" applyNumberFormat="1" applyFont="1" applyFill="1" applyBorder="1" applyAlignment="1">
      <alignment horizontal="left" vertical="center"/>
    </xf>
    <xf numFmtId="2" fontId="42" fillId="14" borderId="12" xfId="0" applyNumberFormat="1" applyFont="1" applyFill="1" applyBorder="1" applyAlignment="1">
      <alignment horizontal="center" vertical="center"/>
    </xf>
    <xf numFmtId="165" fontId="42" fillId="14" borderId="12" xfId="0" applyNumberFormat="1" applyFont="1" applyFill="1" applyBorder="1" applyAlignment="1">
      <alignment horizontal="center" vertical="center"/>
    </xf>
    <xf numFmtId="0" fontId="56" fillId="14" borderId="12" xfId="0" applyFont="1" applyFill="1" applyBorder="1" applyAlignment="1">
      <alignment horizontal="center" vertical="center"/>
    </xf>
    <xf numFmtId="0" fontId="42" fillId="14" borderId="21" xfId="0" applyFont="1" applyFill="1" applyBorder="1" applyAlignment="1">
      <alignment horizontal="left" vertical="center"/>
    </xf>
    <xf numFmtId="0" fontId="42" fillId="14" borderId="25" xfId="0" applyFont="1" applyFill="1" applyBorder="1" applyAlignment="1">
      <alignment horizontal="left" vertical="center"/>
    </xf>
    <xf numFmtId="0" fontId="42" fillId="14" borderId="25" xfId="0" applyFont="1" applyFill="1" applyBorder="1" applyAlignment="1">
      <alignment horizontal="center" vertical="center"/>
    </xf>
    <xf numFmtId="14" fontId="42" fillId="14" borderId="25" xfId="0" applyNumberFormat="1" applyFont="1" applyFill="1" applyBorder="1" applyAlignment="1">
      <alignment horizontal="center" vertical="center"/>
    </xf>
    <xf numFmtId="1" fontId="42" fillId="14" borderId="25" xfId="0" applyNumberFormat="1" applyFont="1" applyFill="1" applyBorder="1" applyAlignment="1">
      <alignment horizontal="left" vertical="center"/>
    </xf>
    <xf numFmtId="2" fontId="42" fillId="14" borderId="25" xfId="0" applyNumberFormat="1" applyFont="1" applyFill="1" applyBorder="1" applyAlignment="1">
      <alignment horizontal="center" vertical="center"/>
    </xf>
    <xf numFmtId="165" fontId="42" fillId="14" borderId="25" xfId="0" applyNumberFormat="1" applyFont="1" applyFill="1" applyBorder="1" applyAlignment="1">
      <alignment horizontal="center" vertical="center"/>
    </xf>
    <xf numFmtId="0" fontId="56" fillId="14" borderId="25" xfId="0" applyFont="1" applyFill="1" applyBorder="1" applyAlignment="1">
      <alignment horizontal="center" vertical="center"/>
    </xf>
    <xf numFmtId="0" fontId="43" fillId="14" borderId="25" xfId="19" applyFont="1" applyFill="1" applyBorder="1" applyAlignment="1">
      <alignment horizontal="left" vertical="center"/>
    </xf>
    <xf numFmtId="49" fontId="56" fillId="14" borderId="25" xfId="0" applyNumberFormat="1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left" vertical="center" wrapText="1"/>
    </xf>
    <xf numFmtId="0" fontId="41" fillId="8" borderId="41" xfId="0" applyFont="1" applyFill="1" applyBorder="1" applyAlignment="1">
      <alignment horizontal="center"/>
    </xf>
    <xf numFmtId="0" fontId="41" fillId="8" borderId="41" xfId="14" applyFont="1" applyFill="1" applyBorder="1" applyAlignment="1">
      <alignment horizontal="center"/>
    </xf>
    <xf numFmtId="14" fontId="42" fillId="14" borderId="2" xfId="0" applyNumberFormat="1" applyFont="1" applyFill="1" applyBorder="1" applyAlignment="1">
      <alignment horizontal="center" vertical="center"/>
    </xf>
    <xf numFmtId="49" fontId="56" fillId="14" borderId="12" xfId="0" applyNumberFormat="1" applyFont="1" applyFill="1" applyBorder="1" applyAlignment="1">
      <alignment horizontal="center" vertical="center"/>
    </xf>
    <xf numFmtId="14" fontId="41" fillId="8" borderId="46" xfId="0" applyNumberFormat="1" applyFont="1" applyFill="1" applyBorder="1" applyAlignment="1">
      <alignment horizontal="center"/>
    </xf>
    <xf numFmtId="0" fontId="44" fillId="15" borderId="1" xfId="0" applyFont="1" applyFill="1" applyBorder="1" applyAlignment="1">
      <alignment horizontal="center" vertical="center" wrapText="1"/>
    </xf>
    <xf numFmtId="1" fontId="44" fillId="15" borderId="1" xfId="0" applyNumberFormat="1" applyFont="1" applyFill="1" applyBorder="1" applyAlignment="1">
      <alignment horizontal="center" vertical="center" wrapText="1"/>
    </xf>
    <xf numFmtId="2" fontId="44" fillId="15" borderId="1" xfId="0" applyNumberFormat="1" applyFont="1" applyFill="1" applyBorder="1" applyAlignment="1">
      <alignment horizontal="center" vertical="center" wrapText="1"/>
    </xf>
  </cellXfs>
  <cellStyles count="23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4 5 8 5 2 2" xfId="22" xr:uid="{D8C7403B-F255-3445-B143-A677F5221D82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ercapelo/Desktop/REPORTES%202025/FORMATO%20AGOSTO%202025%20NUEVO.xlsx" TargetMode="External"/><Relationship Id="rId1" Type="http://schemas.openxmlformats.org/officeDocument/2006/relationships/externalLinkPath" Target="FORMATO%20AGOSTO%202025%20NUE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RANTIAS"/>
      <sheetName val="PROMOCION"/>
      <sheetName val="BBQ"/>
      <sheetName val="BASE "/>
      <sheetName val="ALMACEN"/>
      <sheetName val="CONSOLIDADO"/>
      <sheetName val="UN PRODUCTO"/>
    </sheetNames>
    <sheetDataSet>
      <sheetData sheetId="0"/>
      <sheetData sheetId="1"/>
      <sheetData sheetId="2"/>
      <sheetData sheetId="3">
        <row r="3">
          <cell r="A3">
            <v>915061</v>
          </cell>
          <cell r="B3" t="str">
            <v>ASP.AXIAL BLIND 100 110V-60HZ</v>
          </cell>
        </row>
        <row r="4">
          <cell r="A4">
            <v>981061</v>
          </cell>
          <cell r="B4" t="str">
            <v>ASP.AXIAL SLIM 100 110V-60HZ</v>
          </cell>
        </row>
        <row r="5">
          <cell r="A5">
            <v>982061</v>
          </cell>
          <cell r="B5" t="str">
            <v>ASP.AXIAL SLIM 120 110V-60HZ</v>
          </cell>
        </row>
        <row r="6">
          <cell r="A6">
            <v>1010061</v>
          </cell>
          <cell r="B6" t="str">
            <v>ASP.AXIAL ELEGANCE 100 110V-60HZ</v>
          </cell>
        </row>
        <row r="7">
          <cell r="A7">
            <v>1070061</v>
          </cell>
          <cell r="B7" t="str">
            <v>ASP.AXIAL SERENITY 100 110V-60HZ</v>
          </cell>
        </row>
        <row r="8">
          <cell r="A8">
            <v>1080061</v>
          </cell>
          <cell r="B8" t="str">
            <v>ASP.AXIAL SERENITY 120 110V-60HZ</v>
          </cell>
        </row>
        <row r="9">
          <cell r="A9">
            <v>8731112</v>
          </cell>
          <cell r="B9" t="str">
            <v>FREGADERO DM (33.22) 1C</v>
          </cell>
        </row>
        <row r="10">
          <cell r="A10">
            <v>10101003</v>
          </cell>
          <cell r="B10" t="str">
            <v>45.50 1C FREGADERO</v>
          </cell>
        </row>
        <row r="11">
          <cell r="A11">
            <v>10101102</v>
          </cell>
          <cell r="B11" t="str">
            <v>100.50 1C 1E DER FREGADERO</v>
          </cell>
        </row>
        <row r="12">
          <cell r="A12">
            <v>10101103</v>
          </cell>
          <cell r="B12" t="str">
            <v>100.50 1C 1E IZQ FREGADERO</v>
          </cell>
        </row>
        <row r="13">
          <cell r="A13">
            <v>10103001</v>
          </cell>
          <cell r="B13" t="str">
            <v>465.440 1C FREGADERO</v>
          </cell>
        </row>
        <row r="14">
          <cell r="A14">
            <v>10104078</v>
          </cell>
          <cell r="B14" t="str">
            <v>1235.510 2C 1E REV FREGADERO</v>
          </cell>
        </row>
        <row r="15">
          <cell r="A15">
            <v>10104309</v>
          </cell>
          <cell r="B15" t="str">
            <v>950.510 1C 1E DER FREGADERO</v>
          </cell>
        </row>
        <row r="16">
          <cell r="A16">
            <v>10104310</v>
          </cell>
          <cell r="B16" t="str">
            <v>950.510 1C 1E IZQ FREGADERO</v>
          </cell>
        </row>
        <row r="17">
          <cell r="A17">
            <v>10105252</v>
          </cell>
          <cell r="B17" t="str">
            <v>3322 2C FREGADERO</v>
          </cell>
        </row>
        <row r="18">
          <cell r="A18">
            <v>10107004</v>
          </cell>
          <cell r="B18" t="str">
            <v>STYLO 1C FREGADERO</v>
          </cell>
        </row>
        <row r="19">
          <cell r="A19">
            <v>10107015</v>
          </cell>
          <cell r="B19" t="str">
            <v>STYLO 1C 1E REV FREGADERO</v>
          </cell>
        </row>
        <row r="20">
          <cell r="A20">
            <v>10107017</v>
          </cell>
          <cell r="B20" t="str">
            <v>STYLO 1C 1E REV 31/2 W/OVF</v>
          </cell>
        </row>
        <row r="21">
          <cell r="A21">
            <v>10108009</v>
          </cell>
          <cell r="B21" t="str">
            <v>REDONDO (ERC) FREGADERO</v>
          </cell>
        </row>
        <row r="22">
          <cell r="A22">
            <v>10108035</v>
          </cell>
          <cell r="B22" t="str">
            <v>FREG. REDONDO (ERC) ABIERTO REBOSADERO</v>
          </cell>
        </row>
        <row r="23">
          <cell r="A23">
            <v>10110004</v>
          </cell>
          <cell r="B23" t="str">
            <v>DR 80 2C FREGADERO</v>
          </cell>
        </row>
        <row r="24">
          <cell r="A24">
            <v>10111005</v>
          </cell>
          <cell r="B24" t="str">
            <v>CENTROVAL FREGADERO</v>
          </cell>
        </row>
        <row r="25">
          <cell r="A25">
            <v>10118002</v>
          </cell>
          <cell r="B25" t="str">
            <v>CLASSIC ANGULAR FREGADERO</v>
          </cell>
        </row>
        <row r="26">
          <cell r="A26">
            <v>10118004</v>
          </cell>
          <cell r="B26" t="str">
            <v>CLASSIC ANGULAR FREGADERO (10118002)</v>
          </cell>
        </row>
        <row r="27">
          <cell r="A27">
            <v>10118005</v>
          </cell>
          <cell r="B27" t="str">
            <v>FREG. CLASSIC ANGULAR ABIERTO REBOSADERO</v>
          </cell>
        </row>
        <row r="28">
          <cell r="A28">
            <v>10119007</v>
          </cell>
          <cell r="B28" t="str">
            <v>CLASSIC 2C 1E FREGADERO</v>
          </cell>
        </row>
        <row r="29">
          <cell r="A29">
            <v>10119011</v>
          </cell>
          <cell r="B29" t="str">
            <v>CLASSIC 1C 1E FREGADERO</v>
          </cell>
        </row>
        <row r="30">
          <cell r="A30">
            <v>10119013</v>
          </cell>
          <cell r="B30" t="str">
            <v>FREG. CLASSIC 1C 1E ABIERTO REBOSADERO</v>
          </cell>
        </row>
        <row r="31">
          <cell r="A31">
            <v>10119021</v>
          </cell>
          <cell r="B31" t="str">
            <v>CLASSIC 2C 86 FREGADERO (11119010)</v>
          </cell>
        </row>
        <row r="32">
          <cell r="A32">
            <v>10119038</v>
          </cell>
          <cell r="B32" t="str">
            <v>CLASSIC 1½C 1E FREGADERO</v>
          </cell>
        </row>
        <row r="33">
          <cell r="A33">
            <v>10119080</v>
          </cell>
          <cell r="B33" t="str">
            <v>SINK CLASSIC 2½B REV 3½ W/WO/OVF SPS (CON REBOSADERO) FREGADERO</v>
          </cell>
        </row>
        <row r="34">
          <cell r="A34">
            <v>10119081</v>
          </cell>
          <cell r="B34" t="str">
            <v>CLASSIC 2½C 1E FREGADERO</v>
          </cell>
        </row>
        <row r="35">
          <cell r="A35">
            <v>10120025</v>
          </cell>
          <cell r="B35" t="str">
            <v>UNIVERSO 1C 1E REV FREGADERO (10120040)</v>
          </cell>
        </row>
        <row r="36">
          <cell r="A36">
            <v>10120028</v>
          </cell>
          <cell r="B36" t="str">
            <v>UNIVERSO 2C 1E REV FREGADERO</v>
          </cell>
        </row>
        <row r="37">
          <cell r="A37">
            <v>10120098</v>
          </cell>
          <cell r="B37" t="str">
            <v>UNIVERSO 2C 1E FREGADERO</v>
          </cell>
        </row>
        <row r="38">
          <cell r="A38">
            <v>10120117</v>
          </cell>
          <cell r="B38" t="str">
            <v>TEKAWAY FREG. UNIVERSO 1C 1E REV + GRIFO ML913</v>
          </cell>
        </row>
        <row r="39">
          <cell r="A39">
            <v>10124066</v>
          </cell>
          <cell r="B39" t="str">
            <v>TEKAWAY FREG. BASICO REVERSIBLE</v>
          </cell>
        </row>
        <row r="40">
          <cell r="A40">
            <v>10125003</v>
          </cell>
          <cell r="B40" t="str">
            <v>BE 28.40 FREGADERO</v>
          </cell>
        </row>
        <row r="41">
          <cell r="A41">
            <v>10125004</v>
          </cell>
          <cell r="B41" t="str">
            <v>BE 34.37 FREGADERO</v>
          </cell>
        </row>
        <row r="42">
          <cell r="A42">
            <v>10125006</v>
          </cell>
          <cell r="B42" t="str">
            <v>BE REDONDO FREGADERO</v>
          </cell>
        </row>
        <row r="43">
          <cell r="A43">
            <v>10125019</v>
          </cell>
          <cell r="B43" t="str">
            <v>BE 40.40 FREGADERO</v>
          </cell>
        </row>
        <row r="44">
          <cell r="A44">
            <v>10125041</v>
          </cell>
          <cell r="B44" t="str">
            <v>TU 34.18-R FREGADERO</v>
          </cell>
        </row>
        <row r="45">
          <cell r="A45">
            <v>10125042</v>
          </cell>
          <cell r="B45" t="str">
            <v>TU 34.18-R FREGADERO (10125041)</v>
          </cell>
        </row>
        <row r="46">
          <cell r="A46">
            <v>10125047</v>
          </cell>
          <cell r="B46" t="str">
            <v>TU 33.18-R FREGADERO</v>
          </cell>
        </row>
        <row r="47">
          <cell r="A47">
            <v>10125048</v>
          </cell>
          <cell r="B47" t="str">
            <v>TU 33.18-R FREGADERO (10125047)</v>
          </cell>
        </row>
        <row r="48">
          <cell r="A48">
            <v>10125073</v>
          </cell>
          <cell r="B48" t="str">
            <v>BE 2C D 800 D FREGADERO</v>
          </cell>
        </row>
        <row r="49">
          <cell r="A49">
            <v>10125077</v>
          </cell>
          <cell r="B49" t="str">
            <v>BE 42.46 D FREGADERO</v>
          </cell>
        </row>
        <row r="50">
          <cell r="A50">
            <v>10125085</v>
          </cell>
          <cell r="B50" t="str">
            <v>TU 37.20 D CEST S/REB FREGADERO</v>
          </cell>
        </row>
        <row r="51">
          <cell r="A51">
            <v>10125114</v>
          </cell>
          <cell r="B51" t="str">
            <v>TU 31.19-10 CEST S/REB FREGADERO</v>
          </cell>
        </row>
        <row r="52">
          <cell r="A52">
            <v>10125121</v>
          </cell>
          <cell r="B52" t="str">
            <v>BE 74.43-20 1C FREGADERO</v>
          </cell>
        </row>
        <row r="53">
          <cell r="A53">
            <v>10125122</v>
          </cell>
          <cell r="B53" t="str">
            <v>BE 50.40.20 PLUS FREGADERO</v>
          </cell>
        </row>
        <row r="54">
          <cell r="A54">
            <v>10125124</v>
          </cell>
          <cell r="B54" t="str">
            <v>FREGADERO BE LINEA R15 40.40 3 1/2 C/REB</v>
          </cell>
        </row>
        <row r="55">
          <cell r="A55">
            <v>10125134</v>
          </cell>
          <cell r="B55" t="str">
            <v>FREGADERO BE LINEA R15 50.40 3 1/2 C/REB</v>
          </cell>
        </row>
        <row r="56">
          <cell r="A56">
            <v>10125148</v>
          </cell>
          <cell r="B56" t="str">
            <v>BE LINEA R15 71.40 3½ C/REB</v>
          </cell>
        </row>
        <row r="57">
          <cell r="A57">
            <v>10125155</v>
          </cell>
          <cell r="B57" t="str">
            <v>TU 30.18-E FREGADERO</v>
          </cell>
        </row>
        <row r="58">
          <cell r="A58">
            <v>10125166</v>
          </cell>
          <cell r="B58" t="str">
            <v>BE LINEA R15 2C 740 FREGADERO</v>
          </cell>
        </row>
        <row r="59">
          <cell r="A59">
            <v>10131004</v>
          </cell>
          <cell r="B59" t="str">
            <v>STENA 45-B 1C 1E REV FREGADERO</v>
          </cell>
        </row>
        <row r="60">
          <cell r="A60">
            <v>10131009</v>
          </cell>
          <cell r="B60" t="str">
            <v>STENA 60-B 1E 1½C REV FREGADERO</v>
          </cell>
        </row>
        <row r="61">
          <cell r="A61">
            <v>10131033</v>
          </cell>
          <cell r="B61" t="str">
            <v>STENA 2C 1E REV FREGADERO</v>
          </cell>
        </row>
        <row r="62">
          <cell r="A62">
            <v>10133010</v>
          </cell>
          <cell r="B62" t="str">
            <v>F. TEKAWAY DEVA 45 I-CN 1C 1E CEST S/R ML913</v>
          </cell>
        </row>
        <row r="63">
          <cell r="A63">
            <v>10133011</v>
          </cell>
          <cell r="B63" t="str">
            <v>DEVA 45 I-CL 1C 1E REV + VALVULAS FREGADERO</v>
          </cell>
        </row>
        <row r="64">
          <cell r="A64">
            <v>10135012</v>
          </cell>
          <cell r="B64" t="str">
            <v>80.50 1C 1E D CEST S/REB -  FREG</v>
          </cell>
        </row>
        <row r="65">
          <cell r="A65">
            <v>10135013</v>
          </cell>
          <cell r="B65" t="str">
            <v>80.50 1C 1E I CEST S/REB -  FREG</v>
          </cell>
        </row>
        <row r="66">
          <cell r="A66">
            <v>10135014</v>
          </cell>
          <cell r="B66" t="str">
            <v>90.50 1C 1E DER FREGADERO + VALVULA CESTILLA</v>
          </cell>
        </row>
        <row r="67">
          <cell r="A67">
            <v>10135015</v>
          </cell>
          <cell r="B67" t="str">
            <v>90.50 1C 1E IZQ FREGADERO + VALVULA CESTILLA</v>
          </cell>
        </row>
        <row r="68">
          <cell r="A68">
            <v>10135016</v>
          </cell>
          <cell r="B68" t="str">
            <v>120.50 2C 1E DER FREGADERO + VALVULA CESTILLA</v>
          </cell>
        </row>
        <row r="69">
          <cell r="A69">
            <v>10135017</v>
          </cell>
          <cell r="B69" t="str">
            <v>120.50 2C 1E IZQ FREGADERO + VALVULA CESTILLA</v>
          </cell>
        </row>
        <row r="70">
          <cell r="A70">
            <v>10135018</v>
          </cell>
          <cell r="B70" t="str">
            <v>100.50 BASICO 1½C 1E DER CEST S/REB - FREGADERO</v>
          </cell>
        </row>
        <row r="71">
          <cell r="A71">
            <v>10135019</v>
          </cell>
          <cell r="B71" t="str">
            <v>100.50 BASICO 1½C 1E IZQ CEST S/REB - FREGADERO</v>
          </cell>
        </row>
        <row r="72">
          <cell r="A72">
            <v>10136001</v>
          </cell>
          <cell r="B72" t="str">
            <v>FREG. DENA 45-CN 1C 1E REV VN C/REB (BA) PAL/CAR</v>
          </cell>
        </row>
        <row r="73">
          <cell r="A73">
            <v>10138002</v>
          </cell>
          <cell r="B73" t="str">
            <v>FREGADERO TOP LINEA R15 34.40 3 1/2 C/REB</v>
          </cell>
        </row>
        <row r="74">
          <cell r="A74">
            <v>10138003</v>
          </cell>
          <cell r="B74" t="str">
            <v>FREGADERO TOP LINEA R15 40.40 3 1/2 C/REB</v>
          </cell>
        </row>
        <row r="75">
          <cell r="A75">
            <v>10138005</v>
          </cell>
          <cell r="B75" t="str">
            <v>FREGADERO TOP LINEA R15 50.40 3 1/2 C/REB</v>
          </cell>
        </row>
        <row r="76">
          <cell r="A76">
            <v>10138006</v>
          </cell>
          <cell r="B76" t="str">
            <v>FREGADERO TOP LINEA R15 71.40 3 1/2 C/REB</v>
          </cell>
        </row>
        <row r="77">
          <cell r="A77">
            <v>10138011</v>
          </cell>
          <cell r="B77" t="str">
            <v>FREGADERO TOP LINEA R15 2C 740 3 1/2 C/REB</v>
          </cell>
        </row>
        <row r="78">
          <cell r="A78">
            <v>10181650</v>
          </cell>
          <cell r="B78" t="str">
            <v>120.50 2C 1E DER FREGADERO</v>
          </cell>
        </row>
        <row r="79">
          <cell r="A79">
            <v>10181651</v>
          </cell>
          <cell r="B79" t="str">
            <v>120.50 2C 1E IZQ FREGADERO</v>
          </cell>
        </row>
        <row r="80">
          <cell r="A80">
            <v>10181711</v>
          </cell>
          <cell r="B80" t="str">
            <v>180.50 2C 2E FREGADERO</v>
          </cell>
        </row>
        <row r="81">
          <cell r="A81">
            <v>10184550</v>
          </cell>
          <cell r="B81" t="str">
            <v>1235.510 2C 1E DER FREGADERO</v>
          </cell>
        </row>
        <row r="82">
          <cell r="A82">
            <v>10184551</v>
          </cell>
          <cell r="B82" t="str">
            <v>1235.510 2C 1E IZQ FREGADERO</v>
          </cell>
        </row>
        <row r="83">
          <cell r="A83">
            <v>10184812</v>
          </cell>
          <cell r="B83" t="str">
            <v>1600.510 2C 2E FREGADERO</v>
          </cell>
        </row>
        <row r="84">
          <cell r="A84">
            <v>1019700</v>
          </cell>
          <cell r="B84" t="str">
            <v>MC 10 PLUS DUCHA CUERPO GRIFO</v>
          </cell>
        </row>
        <row r="85">
          <cell r="A85">
            <v>10204016</v>
          </cell>
          <cell r="B85" t="str">
            <v>VT CM COCINA VITRO</v>
          </cell>
        </row>
        <row r="86">
          <cell r="A86">
            <v>10204086</v>
          </cell>
          <cell r="B86" t="str">
            <v>TT 620 VITRO TOUCH CONTROL</v>
          </cell>
        </row>
        <row r="87">
          <cell r="A87">
            <v>10204103</v>
          </cell>
          <cell r="B87" t="str">
            <v>COCINA TT 620 VITRO</v>
          </cell>
        </row>
        <row r="88">
          <cell r="A88">
            <v>10204686</v>
          </cell>
          <cell r="B88" t="str">
            <v>COCINA TT620 INOX /VITRO TOUCH CONTROL</v>
          </cell>
        </row>
        <row r="89">
          <cell r="A89">
            <v>10205013</v>
          </cell>
          <cell r="B89" t="str">
            <v>CG LUX 70 4G AI AL</v>
          </cell>
        </row>
        <row r="90">
          <cell r="A90">
            <v>10205014</v>
          </cell>
          <cell r="B90" t="str">
            <v>CG LUX 70 5G AI AL</v>
          </cell>
        </row>
        <row r="91">
          <cell r="A91">
            <v>10205018</v>
          </cell>
          <cell r="B91" t="str">
            <v>CG LUX 70 5G AI AL TR</v>
          </cell>
        </row>
        <row r="92">
          <cell r="A92">
            <v>10205047</v>
          </cell>
          <cell r="B92" t="str">
            <v>CG LUX 60 4G AI</v>
          </cell>
        </row>
        <row r="93">
          <cell r="A93">
            <v>10205048</v>
          </cell>
          <cell r="B93" t="str">
            <v>CG LUX 70 4G AI</v>
          </cell>
        </row>
        <row r="94">
          <cell r="A94">
            <v>10205049</v>
          </cell>
          <cell r="B94" t="str">
            <v>CG LUX 70 5G AI</v>
          </cell>
        </row>
        <row r="95">
          <cell r="A95">
            <v>10205050</v>
          </cell>
          <cell r="B95" t="str">
            <v>CG LUX 70 5G AI TR</v>
          </cell>
        </row>
        <row r="96">
          <cell r="A96">
            <v>10206007</v>
          </cell>
          <cell r="B96" t="str">
            <v>E/60 4P COCINA ELEC INOX</v>
          </cell>
        </row>
        <row r="97">
          <cell r="A97">
            <v>10206062</v>
          </cell>
          <cell r="B97" t="str">
            <v>E/60 4G AI COCINA INOX - DESCATALOGADA</v>
          </cell>
        </row>
        <row r="98">
          <cell r="A98">
            <v>10206064</v>
          </cell>
          <cell r="B98" t="str">
            <v>ES/60 4G AI - DESCATALOGADA</v>
          </cell>
        </row>
        <row r="99">
          <cell r="A99">
            <v>10208009</v>
          </cell>
          <cell r="B99" t="str">
            <v>VM/30 2P COCINA ELEC MOD</v>
          </cell>
        </row>
        <row r="100">
          <cell r="A100">
            <v>10208036</v>
          </cell>
          <cell r="B100" t="str">
            <v>IR 641 COCINA INDUCCION (10210072-IRS 641)</v>
          </cell>
        </row>
        <row r="101">
          <cell r="A101">
            <v>10208093</v>
          </cell>
          <cell r="B101" t="str">
            <v>IR 321 COCINA MOD INDUCCION</v>
          </cell>
        </row>
        <row r="102">
          <cell r="A102">
            <v>10209025</v>
          </cell>
          <cell r="B102" t="str">
            <v>EM/30 2G AI COCINA MOD 110 V/60</v>
          </cell>
        </row>
        <row r="103">
          <cell r="A103">
            <v>10209029</v>
          </cell>
          <cell r="B103" t="str">
            <v>EM/30 2P COCINA ELEC MODULAR</v>
          </cell>
        </row>
        <row r="104">
          <cell r="A104">
            <v>10209055</v>
          </cell>
          <cell r="B104" t="str">
            <v>EM/60 4G AI AL TR COCINA INOX</v>
          </cell>
        </row>
        <row r="105">
          <cell r="A105">
            <v>10210002</v>
          </cell>
          <cell r="B105" t="str">
            <v>TR 951 COCINA VITRO TOUCH CONTROL</v>
          </cell>
        </row>
        <row r="106">
          <cell r="A106">
            <v>10210005</v>
          </cell>
          <cell r="B106" t="str">
            <v>TR 841 COCINA VITRO TOUCH CONTROL (40206220)</v>
          </cell>
        </row>
        <row r="107">
          <cell r="A107">
            <v>10210009</v>
          </cell>
          <cell r="B107" t="str">
            <v>IRS 843 COCINA INDUCCION + J.9 PZ OLLAS NC:10210148</v>
          </cell>
        </row>
        <row r="108">
          <cell r="A108">
            <v>10210011</v>
          </cell>
          <cell r="B108" t="str">
            <v>COCINA INDUCCION IQS 633</v>
          </cell>
        </row>
        <row r="109">
          <cell r="A109">
            <v>10210020</v>
          </cell>
          <cell r="B109" t="str">
            <v>IQS 643 COCINA INDUCCION + J.9PZ OLLAS</v>
          </cell>
        </row>
        <row r="110">
          <cell r="A110">
            <v>10210022</v>
          </cell>
          <cell r="B110" t="str">
            <v>IB 64 COCINA INDUCCION</v>
          </cell>
        </row>
        <row r="111">
          <cell r="A111">
            <v>10210028</v>
          </cell>
          <cell r="B111" t="str">
            <v>UNIVERSO 2C 1E REV FREGADERO (10120028)</v>
          </cell>
        </row>
        <row r="112">
          <cell r="A112">
            <v>10210029</v>
          </cell>
          <cell r="B112" t="str">
            <v>IRS 943 COCINA INDUCCION + J.9 PZ OLLAS NC:10210149</v>
          </cell>
        </row>
        <row r="113">
          <cell r="A113">
            <v>10210042</v>
          </cell>
          <cell r="B113" t="str">
            <v>IRF 641 COCINA INDUCCION (NC:10210150)</v>
          </cell>
        </row>
        <row r="114">
          <cell r="A114">
            <v>10210065</v>
          </cell>
          <cell r="B114" t="str">
            <v>IR 6030 COCINA INDUCCION (NC:10210145)</v>
          </cell>
        </row>
        <row r="115">
          <cell r="A115">
            <v>10210068</v>
          </cell>
          <cell r="B115" t="str">
            <v>IB 6040 COCINA INDUCCION (NC: 10210151)</v>
          </cell>
        </row>
        <row r="116">
          <cell r="A116">
            <v>10210071</v>
          </cell>
          <cell r="B116" t="str">
            <v>IRS 631 COCINA INDUCCION</v>
          </cell>
        </row>
        <row r="117">
          <cell r="A117">
            <v>10210072</v>
          </cell>
          <cell r="B117" t="str">
            <v>IRS 641 COCINA INDUCCION (10208036) (NC: 10210147)</v>
          </cell>
        </row>
        <row r="118">
          <cell r="A118">
            <v>10210084</v>
          </cell>
          <cell r="B118" t="str">
            <v>IRF 631 COCINA INDUCCION</v>
          </cell>
        </row>
        <row r="119">
          <cell r="A119">
            <v>10210085</v>
          </cell>
          <cell r="B119" t="str">
            <v>IRF 644 COCINA INDUCCION (NC: 10210146)</v>
          </cell>
        </row>
        <row r="120">
          <cell r="A120">
            <v>10210088</v>
          </cell>
          <cell r="B120" t="str">
            <v>MIR 6030 COCINA INDUCCION (40205450M) NC:10210065</v>
          </cell>
        </row>
        <row r="121">
          <cell r="A121">
            <v>10210109</v>
          </cell>
          <cell r="B121" t="str">
            <v>IRS 953 COCINA INDUCCION + JGO. DE OLLAS (NC:10210152)</v>
          </cell>
        </row>
        <row r="122">
          <cell r="A122">
            <v>10210145</v>
          </cell>
          <cell r="B122" t="str">
            <v>IR 6030 COCINA INDUCCION (10210065)</v>
          </cell>
        </row>
        <row r="123">
          <cell r="A123">
            <v>10210146</v>
          </cell>
          <cell r="B123" t="str">
            <v>IRF 644 COCINA INDUCCION (10210085)</v>
          </cell>
        </row>
        <row r="124">
          <cell r="A124">
            <v>10210147</v>
          </cell>
          <cell r="B124" t="str">
            <v>IRS 641 COCINA INDUCCION (10210072)</v>
          </cell>
        </row>
        <row r="125">
          <cell r="A125">
            <v>10210148</v>
          </cell>
          <cell r="B125" t="str">
            <v>IRS 843 COCINA INDUCCION (10210009)</v>
          </cell>
        </row>
        <row r="126">
          <cell r="A126">
            <v>10210149</v>
          </cell>
          <cell r="B126" t="str">
            <v>IRS 943 COCINA INDUCCION (10210029)</v>
          </cell>
        </row>
        <row r="127">
          <cell r="A127">
            <v>10210150</v>
          </cell>
          <cell r="B127" t="str">
            <v>IRF 641 COCINA INDUCCION (10210042)</v>
          </cell>
        </row>
        <row r="128">
          <cell r="A128">
            <v>10210151</v>
          </cell>
          <cell r="B128" t="str">
            <v>IB 6040 COCINA INDUCCION (10210068)</v>
          </cell>
        </row>
        <row r="129">
          <cell r="A129">
            <v>10210152</v>
          </cell>
          <cell r="B129" t="str">
            <v>IRS 953 COCINA INDUCCION</v>
          </cell>
        </row>
        <row r="130">
          <cell r="A130">
            <v>10210160</v>
          </cell>
          <cell r="B130" t="str">
            <v>IB 6415 COCINA INDUCCION</v>
          </cell>
        </row>
        <row r="131">
          <cell r="A131">
            <v>10210163</v>
          </cell>
          <cell r="B131" t="str">
            <v>IR 9530 COCINA INDUCCION</v>
          </cell>
        </row>
        <row r="132">
          <cell r="A132">
            <v>10210171</v>
          </cell>
          <cell r="B132" t="str">
            <v>IR 3200 COCINA MOD INDUCCION</v>
          </cell>
        </row>
        <row r="133">
          <cell r="A133">
            <v>10210174</v>
          </cell>
          <cell r="B133" t="str">
            <v>IR 6320 COCINA INDUCCION</v>
          </cell>
        </row>
        <row r="134">
          <cell r="A134">
            <v>10210176</v>
          </cell>
          <cell r="B134" t="str">
            <v>IZ 6420 COCINA INDUCCION</v>
          </cell>
        </row>
        <row r="135">
          <cell r="A135">
            <v>10210205</v>
          </cell>
          <cell r="B135" t="str">
            <v>IZ 6420 WHITE</v>
          </cell>
        </row>
        <row r="136">
          <cell r="A136">
            <v>10307001</v>
          </cell>
          <cell r="B136" t="str">
            <v>COMPACT LUX 1000.520 1C 2I - CRISTAL DERECHO</v>
          </cell>
        </row>
        <row r="137">
          <cell r="A137">
            <v>10307002</v>
          </cell>
          <cell r="B137" t="str">
            <v>COMPACT LUX 1000.520 1C 2I - CRISTAL IZQ</v>
          </cell>
        </row>
        <row r="138">
          <cell r="A138">
            <v>111000001</v>
          </cell>
          <cell r="B138" t="str">
            <v>HLB 840 INOX HORNO ELEC</v>
          </cell>
        </row>
        <row r="139">
          <cell r="A139">
            <v>111000030</v>
          </cell>
          <cell r="B139" t="str">
            <v>STEAKMASTER - HORNO ELEC</v>
          </cell>
        </row>
        <row r="140">
          <cell r="A140">
            <v>111000050</v>
          </cell>
          <cell r="B140" t="str">
            <v>HLB 8510 P "MAESTRO PIZZA"</v>
          </cell>
        </row>
        <row r="141">
          <cell r="A141">
            <v>111000051</v>
          </cell>
          <cell r="B141" t="str">
            <v>HLB 8416 "AIR FRY" - HORNO ELEC</v>
          </cell>
        </row>
        <row r="142">
          <cell r="A142">
            <v>111000059</v>
          </cell>
          <cell r="B142" t="str">
            <v>HLB 85-G1 P BM Maestro Pizza</v>
          </cell>
        </row>
        <row r="143">
          <cell r="A143">
            <v>111000078</v>
          </cell>
          <cell r="B143" t="str">
            <v>HLB 8400 FBK HORNO ELEC</v>
          </cell>
        </row>
        <row r="144">
          <cell r="A144">
            <v>111000099</v>
          </cell>
          <cell r="B144" t="str">
            <v>HLB 84-VGOGH  220-240/50-60 E10 EC - HORNO ELEC</v>
          </cell>
        </row>
        <row r="145">
          <cell r="A145">
            <v>111010028</v>
          </cell>
          <cell r="B145" t="str">
            <v>HSB 646 "AIRFRY" - HORNO ELEC</v>
          </cell>
        </row>
        <row r="146">
          <cell r="A146">
            <v>111010040</v>
          </cell>
          <cell r="B146" t="str">
            <v>HSB 610 NEGRO HORNO ELEC</v>
          </cell>
        </row>
        <row r="147">
          <cell r="A147">
            <v>111010041</v>
          </cell>
          <cell r="B147" t="str">
            <v>HSB 630 NEGRO HORNO ELEC</v>
          </cell>
        </row>
        <row r="148">
          <cell r="A148">
            <v>111010093</v>
          </cell>
          <cell r="B148" t="str">
            <v>HSB 6150 SS HORNO ELEC</v>
          </cell>
        </row>
        <row r="149">
          <cell r="A149">
            <v>111010095</v>
          </cell>
          <cell r="B149" t="str">
            <v>HSB 6150 FBK HORNO ELEC</v>
          </cell>
        </row>
        <row r="150">
          <cell r="A150">
            <v>111010100</v>
          </cell>
          <cell r="B150" t="str">
            <v>HSB 6456 SS HORNO ELEC</v>
          </cell>
        </row>
        <row r="151">
          <cell r="A151">
            <v>111020071</v>
          </cell>
          <cell r="B151" t="str">
            <v>HBB 510 BK 220-240  50/60 HORNO ELEC</v>
          </cell>
        </row>
        <row r="152">
          <cell r="A152">
            <v>111020081</v>
          </cell>
          <cell r="B152" t="str">
            <v>HBB 5350 SS INOX HORNO ELEC</v>
          </cell>
        </row>
        <row r="153">
          <cell r="A153">
            <v>111020086</v>
          </cell>
          <cell r="B153" t="str">
            <v>HBB 5350 FBK HORNO ELEC</v>
          </cell>
        </row>
        <row r="154">
          <cell r="A154">
            <v>111030002</v>
          </cell>
          <cell r="B154" t="str">
            <v>HLB 760 G SS HORNO A GAS</v>
          </cell>
        </row>
        <row r="155">
          <cell r="A155">
            <v>111040003</v>
          </cell>
          <cell r="B155" t="str">
            <v>HSB 750 G SS HORNO A GAS</v>
          </cell>
        </row>
        <row r="156">
          <cell r="A156">
            <v>111040006</v>
          </cell>
          <cell r="B156" t="str">
            <v>HSB 750 G SS HORNO A GAS</v>
          </cell>
        </row>
        <row r="157">
          <cell r="A157">
            <v>111040015</v>
          </cell>
          <cell r="B157" t="str">
            <v>HSB 7500 G SS HORNO A GAS</v>
          </cell>
        </row>
        <row r="158">
          <cell r="A158">
            <v>11107010</v>
          </cell>
          <cell r="B158" t="str">
            <v>STYLO 1C 1E DER FREGADERO</v>
          </cell>
        </row>
        <row r="159">
          <cell r="A159">
            <v>11107011</v>
          </cell>
          <cell r="B159" t="str">
            <v>STYLO 1C 1E IZQ FREGADERO</v>
          </cell>
        </row>
        <row r="160">
          <cell r="A160">
            <v>11107029</v>
          </cell>
          <cell r="B160" t="str">
            <v>STYLO 2C FREGADERO</v>
          </cell>
        </row>
        <row r="161">
          <cell r="A161">
            <v>11107076</v>
          </cell>
          <cell r="B161" t="str">
            <v>TEKAWAY FREG. STYLO 2C  S/REB + GRIFO IN 995</v>
          </cell>
        </row>
        <row r="162">
          <cell r="A162">
            <v>11110004</v>
          </cell>
          <cell r="B162" t="str">
            <v>DR 80 2C FREGADERO</v>
          </cell>
        </row>
        <row r="163">
          <cell r="A163">
            <v>111160032</v>
          </cell>
          <cell r="B163" t="str">
            <v>MLC 8440 - MICROONDAS</v>
          </cell>
        </row>
        <row r="164">
          <cell r="A164">
            <v>11119007</v>
          </cell>
          <cell r="B164" t="str">
            <v>CLASSIC 2C 1E DERECHO FREGADERO (10119007)</v>
          </cell>
        </row>
        <row r="165">
          <cell r="A165">
            <v>11119010</v>
          </cell>
          <cell r="B165" t="str">
            <v>CLASSIC 2C FREGADERO</v>
          </cell>
        </row>
        <row r="166">
          <cell r="A166">
            <v>11119086</v>
          </cell>
          <cell r="B166" t="str">
            <v>CLASSIC 2½C  FREGADERO</v>
          </cell>
        </row>
        <row r="167">
          <cell r="A167">
            <v>111200005</v>
          </cell>
          <cell r="B167" t="str">
            <v>HLB 8550 SC BK HORNO A VAPOR</v>
          </cell>
        </row>
        <row r="168">
          <cell r="A168">
            <v>11120027</v>
          </cell>
          <cell r="B168" t="str">
            <v>UNIVERSO 2C FREGADERO</v>
          </cell>
        </row>
        <row r="169">
          <cell r="A169">
            <v>11120029</v>
          </cell>
          <cell r="B169" t="str">
            <v>UNIVERSO 2C 1E REV FREGADERO (PAL/CAR)</v>
          </cell>
        </row>
        <row r="170">
          <cell r="A170">
            <v>11120037</v>
          </cell>
          <cell r="B170" t="str">
            <v>UNIVERSO 86 1C 1E D GT C/REB FREGADERO</v>
          </cell>
        </row>
        <row r="171">
          <cell r="A171">
            <v>11120086</v>
          </cell>
          <cell r="B171" t="str">
            <v>UNIVERSO 2C FREGADERO (11120027)</v>
          </cell>
        </row>
        <row r="172">
          <cell r="A172">
            <v>11120102</v>
          </cell>
          <cell r="B172" t="str">
            <v>UNIVERSO 86 1C 1E I GT C/REB FREGADERO</v>
          </cell>
        </row>
        <row r="173">
          <cell r="A173">
            <v>11120110</v>
          </cell>
          <cell r="B173" t="str">
            <v>TEKAWAY FREG. UNIVERSO 1C 1E DER + GRIFO IN 995</v>
          </cell>
        </row>
        <row r="174">
          <cell r="A174">
            <v>11120111</v>
          </cell>
          <cell r="B174" t="str">
            <v>TEKAWAY FREG. UNIVERSO 1C 1E IZQ + GRIFO IN 995</v>
          </cell>
        </row>
        <row r="175">
          <cell r="A175">
            <v>11120112</v>
          </cell>
          <cell r="B175" t="str">
            <v>TEKAWAY FREG. UNIVERSO 2C 1E DER + GRIFO IN 995</v>
          </cell>
        </row>
        <row r="176">
          <cell r="A176" t="str">
            <v>11120112S</v>
          </cell>
          <cell r="B176" t="str">
            <v>FREG. UNIVERSO 2C 1E DERECHO TKW</v>
          </cell>
        </row>
        <row r="177">
          <cell r="A177">
            <v>11120113</v>
          </cell>
          <cell r="B177" t="str">
            <v>TEKAWAY FREG. UNIVERSO 2C 1E IZQ + GRIFO IN 995</v>
          </cell>
        </row>
        <row r="178">
          <cell r="A178">
            <v>11120114</v>
          </cell>
          <cell r="B178" t="str">
            <v>TEKAWAY FREG. UNIVERSO 2C PERF. S/ESC. + GRIFO IN 995</v>
          </cell>
        </row>
        <row r="179">
          <cell r="A179">
            <v>11120115</v>
          </cell>
          <cell r="B179" t="str">
            <v>TEKAWAY FREG. UNIVERSO (600.510) 1C + GRIFO IN 995</v>
          </cell>
        </row>
        <row r="180">
          <cell r="A180">
            <v>11124030</v>
          </cell>
          <cell r="B180" t="str">
            <v>TEKAWAY FREG. BASICO 1C 1E DER + GRIFO ML</v>
          </cell>
        </row>
        <row r="181">
          <cell r="A181" t="str">
            <v>11124030S</v>
          </cell>
          <cell r="B181" t="str">
            <v>FREG. BASICO 1C 1E DER EMPOTRAR TKW</v>
          </cell>
        </row>
        <row r="182">
          <cell r="A182">
            <v>11124031</v>
          </cell>
          <cell r="B182" t="str">
            <v>TEKAWAY FREG. BASICO 1C 1E IZQ + GRIFO ML</v>
          </cell>
        </row>
        <row r="183">
          <cell r="A183" t="str">
            <v>11124031S</v>
          </cell>
          <cell r="B183" t="str">
            <v>FREG. BASICO 1C 1E IZQ EMPOTRAR TKW</v>
          </cell>
        </row>
        <row r="184">
          <cell r="A184">
            <v>11124032</v>
          </cell>
          <cell r="B184" t="str">
            <v>TEKAWAY FREG. BASICO 2C 1E DER + GRIFO ML</v>
          </cell>
        </row>
        <row r="185">
          <cell r="A185">
            <v>11124033</v>
          </cell>
          <cell r="B185" t="str">
            <v>TEKAWAY FREG. BASICO 2C 1E IZQ + GRIFO ML</v>
          </cell>
        </row>
        <row r="186">
          <cell r="A186">
            <v>11124042</v>
          </cell>
          <cell r="B186" t="str">
            <v>FREG. BASICO 79 1C 1E I 1Ø GT C/REB (BA) PAL</v>
          </cell>
        </row>
        <row r="187">
          <cell r="A187">
            <v>11124043</v>
          </cell>
          <cell r="B187" t="str">
            <v>FREG. BASICO 86 1C 1E D 1Ø GT C/REB (BA) PAL</v>
          </cell>
        </row>
        <row r="188">
          <cell r="A188">
            <v>11124044</v>
          </cell>
          <cell r="B188" t="str">
            <v>FREG. BASICO 86 1C 1E I 1Ø GT C/REB (BA) PAL</v>
          </cell>
        </row>
        <row r="189">
          <cell r="A189">
            <v>11127003</v>
          </cell>
          <cell r="B189" t="str">
            <v>BAHIA 1C BASIC FREGADERO</v>
          </cell>
        </row>
        <row r="190">
          <cell r="A190">
            <v>11133013</v>
          </cell>
          <cell r="B190" t="str">
            <v>TEKAWAY DEVA 45 I-CN 1C 1E D 1 CEST S/R ML913</v>
          </cell>
        </row>
        <row r="191">
          <cell r="A191">
            <v>11133014</v>
          </cell>
          <cell r="B191" t="str">
            <v>TEKAWAY DEVA 45 I-CN 1C 1E I 1 CEST S/R ML913</v>
          </cell>
        </row>
        <row r="192">
          <cell r="A192">
            <v>11138013</v>
          </cell>
          <cell r="B192" t="str">
            <v>FORLINEA R15 40.40 FREGADERO</v>
          </cell>
        </row>
        <row r="193">
          <cell r="A193">
            <v>11138014</v>
          </cell>
          <cell r="B193" t="str">
            <v>FORLINEA R15 50.40 FREGADERO</v>
          </cell>
        </row>
        <row r="194">
          <cell r="A194">
            <v>11138015</v>
          </cell>
          <cell r="B194" t="str">
            <v>FORLINEA R15 2C 740 FREGADERO</v>
          </cell>
        </row>
        <row r="195">
          <cell r="A195">
            <v>111490006</v>
          </cell>
          <cell r="B195" t="str">
            <v>KIT EMPOTRABLE PARA COMPACTOS 80CM</v>
          </cell>
        </row>
        <row r="196">
          <cell r="A196">
            <v>111570002</v>
          </cell>
          <cell r="B196" t="str">
            <v>COCINA GOURMET BBQ 3100 G BK-SS</v>
          </cell>
        </row>
        <row r="197">
          <cell r="A197">
            <v>111570003</v>
          </cell>
          <cell r="B197" t="str">
            <v>COCINA GOURMET BBQ 4100 G SS</v>
          </cell>
        </row>
        <row r="198">
          <cell r="A198">
            <v>111580000</v>
          </cell>
          <cell r="B198" t="str">
            <v>COCINA A GAS FSGG 8660 S RX 127V 60HZ LPG</v>
          </cell>
        </row>
        <row r="199">
          <cell r="A199">
            <v>111630008</v>
          </cell>
          <cell r="B199" t="str">
            <v>CAFETERA INTEGRACION CLC 85-G1 GM BM MX</v>
          </cell>
        </row>
        <row r="200">
          <cell r="A200">
            <v>111630014</v>
          </cell>
          <cell r="B200" t="str">
            <v>CAFETERA CLC 855 GM BK</v>
          </cell>
        </row>
        <row r="201">
          <cell r="A201">
            <v>111910000</v>
          </cell>
          <cell r="B201" t="str">
            <v>MLH 845 SS - MICROONDAS</v>
          </cell>
        </row>
        <row r="202">
          <cell r="A202">
            <v>112030008</v>
          </cell>
          <cell r="B202" t="str">
            <v>ML 8220 BIS - MICROONDAS</v>
          </cell>
        </row>
        <row r="203">
          <cell r="A203">
            <v>112030009</v>
          </cell>
          <cell r="B203" t="str">
            <v>ML 82-G1 BIS L BM - MICROONDAS</v>
          </cell>
        </row>
        <row r="204">
          <cell r="A204">
            <v>112030010</v>
          </cell>
          <cell r="B204" t="str">
            <v>ML 82-G1 BIS L BM - MICROONDAS 220V/60HZ</v>
          </cell>
        </row>
        <row r="205">
          <cell r="A205">
            <v>112030019</v>
          </cell>
          <cell r="B205" t="str">
            <v>ML 8220 BIS FBK- MICROONDAS</v>
          </cell>
        </row>
        <row r="206">
          <cell r="A206">
            <v>112030023</v>
          </cell>
          <cell r="B206" t="str">
            <v>ML 82-VGOGH  BIS L- MICROONDAS 220V/60HZ</v>
          </cell>
        </row>
        <row r="207">
          <cell r="A207">
            <v>112070010</v>
          </cell>
          <cell r="B207" t="str">
            <v>MS 6200 BIS SS 220/60 SA E08 MICROONDAS</v>
          </cell>
        </row>
        <row r="208">
          <cell r="A208">
            <v>112500011</v>
          </cell>
          <cell r="B208" t="str">
            <v>IR 9530 COCINA INDUCCION</v>
          </cell>
        </row>
        <row r="209">
          <cell r="A209">
            <v>112500046</v>
          </cell>
          <cell r="B209" t="str">
            <v>IZF 88700 MST COCINA INDUCCION</v>
          </cell>
        </row>
        <row r="210">
          <cell r="A210">
            <v>112500047</v>
          </cell>
          <cell r="B210" t="str">
            <v>IZF 99700 MST COCINA INDUCCION</v>
          </cell>
        </row>
        <row r="211">
          <cell r="A211">
            <v>112500048</v>
          </cell>
          <cell r="B211" t="str">
            <v>IZS 97630 MST COCINA INDUCCION</v>
          </cell>
        </row>
        <row r="212">
          <cell r="A212">
            <v>112500049</v>
          </cell>
          <cell r="B212" t="str">
            <v>IZS 86630 MST COCINA INDUCCION</v>
          </cell>
        </row>
        <row r="213">
          <cell r="A213">
            <v>112500052</v>
          </cell>
          <cell r="B213" t="str">
            <v>AFF 87600 MST BK COCINA INDUCCION</v>
          </cell>
        </row>
        <row r="214">
          <cell r="A214">
            <v>112500053</v>
          </cell>
          <cell r="B214" t="str">
            <v>AFC 87628 HOOD IN HOB COC. INDUCCION / CAMPANA</v>
          </cell>
        </row>
        <row r="215">
          <cell r="A215">
            <v>112510001</v>
          </cell>
          <cell r="B215" t="str">
            <v>IZC 32300 DMS COCINA MODULAR INDUCCION</v>
          </cell>
        </row>
        <row r="216">
          <cell r="A216">
            <v>112510035</v>
          </cell>
          <cell r="B216" t="str">
            <v>IZF 64440 MSP BK COCINA INDUCCION</v>
          </cell>
        </row>
        <row r="217">
          <cell r="A217">
            <v>112510036</v>
          </cell>
          <cell r="B217" t="str">
            <v>IZC 32310 MSP BK COCINA MODULAR INDUCCION</v>
          </cell>
        </row>
        <row r="218">
          <cell r="A218">
            <v>112520010</v>
          </cell>
          <cell r="B218" t="str">
            <v>IB 6415 COCINA INDUCCION</v>
          </cell>
        </row>
        <row r="219">
          <cell r="A219">
            <v>112520024</v>
          </cell>
          <cell r="B219" t="str">
            <v>IBC 64000 TTC COCINA INDUCCION</v>
          </cell>
        </row>
        <row r="220">
          <cell r="A220">
            <v>112520025</v>
          </cell>
          <cell r="B220" t="str">
            <v>IZC 64010 MSS COCINA INDUCCION</v>
          </cell>
        </row>
        <row r="221">
          <cell r="A221">
            <v>112570005</v>
          </cell>
          <cell r="B221" t="str">
            <v>GZC 31330 XBB COCINA MODULAR GAS</v>
          </cell>
        </row>
        <row r="222">
          <cell r="A222">
            <v>112570016</v>
          </cell>
          <cell r="B222" t="str">
            <v>GZC 32300 XBB CRISTAL COCINA GAS</v>
          </cell>
        </row>
        <row r="223">
          <cell r="A223">
            <v>112570041</v>
          </cell>
          <cell r="B223" t="str">
            <v>GZC 64320 XBB CRISTAL COCINA GAS</v>
          </cell>
        </row>
        <row r="224">
          <cell r="A224">
            <v>112570068</v>
          </cell>
          <cell r="B224" t="str">
            <v>GZC 95320 XBB CRISTAL COCINA GAS</v>
          </cell>
        </row>
        <row r="225">
          <cell r="A225">
            <v>112570073</v>
          </cell>
          <cell r="B225" t="str">
            <v>GZC 96310 XBB CRISTAL COCINA GAS</v>
          </cell>
        </row>
        <row r="226">
          <cell r="A226">
            <v>112570093</v>
          </cell>
          <cell r="B226" t="str">
            <v>GZC 75330 XBB CRISTAL COCINA GAS</v>
          </cell>
        </row>
        <row r="227">
          <cell r="A227">
            <v>112570123</v>
          </cell>
          <cell r="B227" t="str">
            <v>JZC 63312 ABB BK (LAT) COCINA MIXTA GAS - INDUCCION (40213012)</v>
          </cell>
        </row>
        <row r="228">
          <cell r="A228">
            <v>112570124</v>
          </cell>
          <cell r="B228" t="str">
            <v>JZC 64322 ABB BK (LAT) COCINA MIXTA GAS - INDUCCION</v>
          </cell>
        </row>
        <row r="229">
          <cell r="A229">
            <v>112570125</v>
          </cell>
          <cell r="B229" t="str">
            <v>JZC 95314 ABB BK (LAT) COCINA MIXTA GAS - INDUCCION (40213032)</v>
          </cell>
        </row>
        <row r="230">
          <cell r="A230">
            <v>112570126</v>
          </cell>
          <cell r="B230" t="str">
            <v>JZC 96324 ABB BK (LAT) COCINA MIXTA GAS - INDUCCION (40213042)</v>
          </cell>
        </row>
        <row r="231">
          <cell r="A231">
            <v>112570127</v>
          </cell>
          <cell r="B231" t="str">
            <v>JZC 96342 ABB BK (LAT) COCINA MIXTA GAS - INDUCCION</v>
          </cell>
        </row>
        <row r="232">
          <cell r="A232">
            <v>112570128</v>
          </cell>
          <cell r="B232" t="str">
            <v>JZC 96342 BBB BK (LAT) COCINA MIXTA GAS - INDUCCION</v>
          </cell>
        </row>
        <row r="233">
          <cell r="A233">
            <v>112570209</v>
          </cell>
          <cell r="B233" t="str">
            <v>GBC 64-G1 GBA BM COCINA GAS</v>
          </cell>
        </row>
        <row r="234">
          <cell r="A234">
            <v>112570211</v>
          </cell>
          <cell r="B234" t="str">
            <v>GBC 75-G1 GBA BM COCINA GAS</v>
          </cell>
        </row>
        <row r="235">
          <cell r="A235">
            <v>112570238</v>
          </cell>
          <cell r="B235" t="str">
            <v>GBC 95-G1 GBA BM COCINA GAS</v>
          </cell>
        </row>
        <row r="236">
          <cell r="A236">
            <v>112570242</v>
          </cell>
          <cell r="B236" t="str">
            <v>GBC 64 V-GOGH VA BV COCINA GAS</v>
          </cell>
        </row>
        <row r="237">
          <cell r="A237">
            <v>112570244</v>
          </cell>
          <cell r="B237" t="str">
            <v>GBC 75 V-GOGH VA BV COCINA GAS</v>
          </cell>
        </row>
        <row r="238">
          <cell r="A238">
            <v>112570246</v>
          </cell>
          <cell r="B238" t="str">
            <v>GBC 95 V-GOGH VA BV COCINA GAS</v>
          </cell>
        </row>
        <row r="239">
          <cell r="A239">
            <v>112580017</v>
          </cell>
          <cell r="B239" t="str">
            <v>GBC 64000 KBB CRISTAL COCINA GAS</v>
          </cell>
        </row>
        <row r="240">
          <cell r="A240">
            <v>112580027</v>
          </cell>
          <cell r="B240" t="str">
            <v>GBC 75030 KBB CRISTAL COCINA GAS</v>
          </cell>
        </row>
        <row r="241">
          <cell r="A241">
            <v>112580058</v>
          </cell>
          <cell r="B241" t="str">
            <v>GBC 95030 KBB BK COCINA GAS</v>
          </cell>
        </row>
        <row r="242">
          <cell r="A242">
            <v>112600000</v>
          </cell>
          <cell r="B242" t="str">
            <v>EX 90.1 5G AI DR CI COCINA INOX</v>
          </cell>
        </row>
        <row r="243">
          <cell r="A243">
            <v>112600001</v>
          </cell>
          <cell r="B243" t="str">
            <v>EX 60.1 4G AI CI COCINA INOX</v>
          </cell>
        </row>
        <row r="244">
          <cell r="A244">
            <v>112610067</v>
          </cell>
          <cell r="B244" t="str">
            <v>GSC 96320 XBA IX (LAT) COCINA INOX</v>
          </cell>
        </row>
        <row r="245">
          <cell r="A245">
            <v>112610068</v>
          </cell>
          <cell r="B245" t="str">
            <v>GSC 95330 XBA IX (LAT) COCINA INOX</v>
          </cell>
        </row>
        <row r="246">
          <cell r="A246">
            <v>112610069</v>
          </cell>
          <cell r="B246" t="str">
            <v>GSC 75330 XBA IX (LAT) COCINA INOX</v>
          </cell>
        </row>
        <row r="247">
          <cell r="A247">
            <v>112610070</v>
          </cell>
          <cell r="B247" t="str">
            <v>GSC 75320 XBA IX (LAT) COCINA INOX</v>
          </cell>
        </row>
        <row r="248">
          <cell r="A248">
            <v>112610071</v>
          </cell>
          <cell r="B248" t="str">
            <v>GSC 64320 XBA IX (LAT) COCINA INOX</v>
          </cell>
        </row>
        <row r="249">
          <cell r="A249">
            <v>112620016</v>
          </cell>
          <cell r="B249" t="str">
            <v>HLX 640 KIB1E IX (LAT)</v>
          </cell>
        </row>
        <row r="250">
          <cell r="A250">
            <v>112660000</v>
          </cell>
          <cell r="B250" t="str">
            <v>YZC 32600 XFL (TEPPAN YAKI)</v>
          </cell>
        </row>
        <row r="251">
          <cell r="A251">
            <v>112730000</v>
          </cell>
          <cell r="B251" t="str">
            <v>AFF 87601 HOOD IN HOB</v>
          </cell>
        </row>
        <row r="252">
          <cell r="A252">
            <v>112890000</v>
          </cell>
          <cell r="B252" t="str">
            <v>PLANCHA GRILL - HOT PLATE</v>
          </cell>
        </row>
        <row r="253">
          <cell r="A253">
            <v>112910007</v>
          </cell>
          <cell r="B253" t="str">
            <v>CC 480 BK ISLA INOX CAMPANA</v>
          </cell>
        </row>
        <row r="254">
          <cell r="A254">
            <v>112930022</v>
          </cell>
          <cell r="B254" t="str">
            <v>DVF 67670 TBL BK CAMPANA (110V-60HZ) C/KIT</v>
          </cell>
        </row>
        <row r="255">
          <cell r="A255">
            <v>112930023</v>
          </cell>
          <cell r="B255" t="str">
            <v>DVF 97670 TBL BK CAMPANA (110V-60HZ) C/KIT</v>
          </cell>
        </row>
        <row r="256">
          <cell r="A256">
            <v>112930045</v>
          </cell>
          <cell r="B256" t="str">
            <v>DLV 98660 TRL BK CAMPANA (110V-60HZ) C/KIT</v>
          </cell>
        </row>
        <row r="257">
          <cell r="A257">
            <v>112930047</v>
          </cell>
          <cell r="B257" t="str">
            <v>DVT 98660 TRL BK</v>
          </cell>
        </row>
        <row r="258">
          <cell r="A258">
            <v>112930048</v>
          </cell>
          <cell r="B258" t="str">
            <v>DVT 88660 TRL BK</v>
          </cell>
        </row>
        <row r="259">
          <cell r="A259">
            <v>112930049</v>
          </cell>
          <cell r="B259" t="str">
            <v>DVT 68660 TRL BK</v>
          </cell>
        </row>
        <row r="260">
          <cell r="A260">
            <v>112930063</v>
          </cell>
          <cell r="B260" t="str">
            <v>DVI 88-G1 EOS BM CAMPANA (110V-60HZ)</v>
          </cell>
        </row>
        <row r="261">
          <cell r="A261">
            <v>112930068</v>
          </cell>
          <cell r="B261" t="str">
            <v>DVI 98-G1 EOS BM (110-60Hz) w/kit</v>
          </cell>
        </row>
        <row r="262">
          <cell r="A262">
            <v>112930076</v>
          </cell>
          <cell r="B262" t="str">
            <v>DVT-VG 98660 TCS BK</v>
          </cell>
        </row>
        <row r="263">
          <cell r="A263">
            <v>112950019</v>
          </cell>
          <cell r="B263" t="str">
            <v>DVN 64030 TCL BK CAMPANA (110V-60HZ) C/KIT</v>
          </cell>
        </row>
        <row r="264">
          <cell r="A264">
            <v>112950020</v>
          </cell>
          <cell r="B264" t="str">
            <v>DVN 74030 TCL BK CAMPANA (110V-60HZ) C/KIT</v>
          </cell>
        </row>
        <row r="265">
          <cell r="A265">
            <v>112950021</v>
          </cell>
          <cell r="B265" t="str">
            <v>DVN 94030 TCL BK CAMPANA (110V-60HZ) C/KIT</v>
          </cell>
        </row>
        <row r="266">
          <cell r="A266">
            <v>112960004</v>
          </cell>
          <cell r="B266" t="str">
            <v>DPL 980 CAMPANA (110V-60HZ) C/KIT</v>
          </cell>
        </row>
        <row r="267">
          <cell r="A267">
            <v>112970010</v>
          </cell>
          <cell r="B267" t="str">
            <v>DSH 986 FBK CAMPANA</v>
          </cell>
        </row>
        <row r="268">
          <cell r="A268">
            <v>113100004</v>
          </cell>
          <cell r="B268" t="str">
            <v>CAMPANA DHT 97670 ROS WH</v>
          </cell>
        </row>
        <row r="269">
          <cell r="A269">
            <v>113120009</v>
          </cell>
          <cell r="B269" t="str">
            <v>GFI 67350 ECS IX 110/60 CAMPANA</v>
          </cell>
        </row>
        <row r="270">
          <cell r="A270">
            <v>113120010</v>
          </cell>
          <cell r="B270" t="str">
            <v>GFI 97350 ECS IX 110/60 CAMPANA</v>
          </cell>
        </row>
        <row r="271">
          <cell r="A271">
            <v>113290025</v>
          </cell>
          <cell r="B271" t="str">
            <v>Kit de recirculación RFC 60210 O1B</v>
          </cell>
        </row>
        <row r="272">
          <cell r="A272">
            <v>113290044</v>
          </cell>
          <cell r="B272" t="str">
            <v>FILTRO REGENERATIVO REGENERATIVE RECIRCULATION KIT W/O TUBECOVER RFH 12120 FOC</v>
          </cell>
        </row>
        <row r="273">
          <cell r="A273">
            <v>113430016</v>
          </cell>
          <cell r="B273" t="str">
            <v>RFD 77820 GBK FRENCH DOOR BK REFRIGERADORA</v>
          </cell>
        </row>
        <row r="274">
          <cell r="A274">
            <v>113430018</v>
          </cell>
          <cell r="B274" t="str">
            <v>RLF 74920 SS SBS REFRIGERADORA</v>
          </cell>
        </row>
        <row r="275">
          <cell r="A275">
            <v>113430051</v>
          </cell>
          <cell r="B275" t="str">
            <v>RMF 77960 GBK MX REFRIGERADORA</v>
          </cell>
        </row>
        <row r="276">
          <cell r="A276">
            <v>113430073</v>
          </cell>
          <cell r="B276" t="str">
            <v>RMF 77960 DSS MX REFRIGERADORA DARK INOX</v>
          </cell>
        </row>
        <row r="277">
          <cell r="A277">
            <v>113600014</v>
          </cell>
          <cell r="B277" t="str">
            <v>RVF 20110 VINERA</v>
          </cell>
        </row>
        <row r="278">
          <cell r="A278">
            <v>113600015</v>
          </cell>
          <cell r="B278" t="str">
            <v>RVU 20046 GBK VINERA</v>
          </cell>
        </row>
        <row r="279">
          <cell r="A279">
            <v>113600016</v>
          </cell>
          <cell r="B279" t="str">
            <v>RVI 10024 VINERA</v>
          </cell>
        </row>
        <row r="280">
          <cell r="A280">
            <v>113600017</v>
          </cell>
          <cell r="B280" t="str">
            <v>RVI 30097 GBK VINERA</v>
          </cell>
        </row>
        <row r="281">
          <cell r="A281">
            <v>113610005</v>
          </cell>
          <cell r="B281" t="str">
            <v>RVF 10032 VINERA</v>
          </cell>
        </row>
        <row r="282">
          <cell r="A282">
            <v>113620002</v>
          </cell>
          <cell r="B282" t="str">
            <v>RVC 10008 GBK VINERA</v>
          </cell>
        </row>
        <row r="283">
          <cell r="A283">
            <v>114270004</v>
          </cell>
          <cell r="B283" t="str">
            <v>LAVAVAJILLAS DFI 46950 120 60 WH DECO</v>
          </cell>
        </row>
        <row r="284">
          <cell r="A284">
            <v>114270008</v>
          </cell>
          <cell r="B284" t="str">
            <v>LAVAVAJILLAS DFI 46900 120 60 WH</v>
          </cell>
        </row>
        <row r="285">
          <cell r="A285">
            <v>114300004</v>
          </cell>
          <cell r="B285" t="str">
            <v>LAVAVAJILLAS DFS 74850 120 60 SS</v>
          </cell>
        </row>
        <row r="286">
          <cell r="A286">
            <v>115000004</v>
          </cell>
          <cell r="B286" t="str">
            <v>BE LINEA RS15 71.40 FREGADERO</v>
          </cell>
        </row>
        <row r="287">
          <cell r="A287">
            <v>115000005</v>
          </cell>
          <cell r="B287" t="str">
            <v>BE LINEA RS15 50.40 FREGADERO</v>
          </cell>
        </row>
        <row r="288">
          <cell r="A288">
            <v>115000007</v>
          </cell>
          <cell r="B288" t="str">
            <v>BE LINEA RS15 40.40 FREGADERO</v>
          </cell>
        </row>
        <row r="289">
          <cell r="A289">
            <v>115000008</v>
          </cell>
          <cell r="B289" t="str">
            <v>BE LINEA RS15 34.40 - FREGADERO</v>
          </cell>
        </row>
        <row r="290">
          <cell r="A290">
            <v>115000018</v>
          </cell>
          <cell r="B290" t="str">
            <v>FORLINEA RS15 50.40 1Ø 3½ W/OVF - FREGADERO</v>
          </cell>
        </row>
        <row r="291">
          <cell r="A291">
            <v>115000020</v>
          </cell>
          <cell r="B291" t="str">
            <v>FORLINEA RS15 40.40 1Ø 3½ W/OVF - FREGADERO</v>
          </cell>
        </row>
        <row r="292">
          <cell r="A292">
            <v>115000022</v>
          </cell>
          <cell r="B292" t="str">
            <v>ZENIT RS15 1B 3Ø AUTO WST PRO +SD+CB+CL</v>
          </cell>
        </row>
        <row r="293">
          <cell r="A293">
            <v>115000025</v>
          </cell>
          <cell r="B293" t="str">
            <v>FREG. FLEXLINEA RS15 50.40 COPPER</v>
          </cell>
        </row>
        <row r="294">
          <cell r="A294">
            <v>115000046</v>
          </cell>
          <cell r="B294" t="str">
            <v>FREG. FLEXLINEA RS15 50.40 M-XT 1C 3½ SQ C/REB SF PURE CLEAN</v>
          </cell>
        </row>
        <row r="295">
          <cell r="A295">
            <v>115000047</v>
          </cell>
          <cell r="B295" t="str">
            <v>FREGADERO-METALLIC EDITION FLEXLINEA RS15 50.40+ICC 915 BRASS</v>
          </cell>
        </row>
        <row r="296">
          <cell r="A296">
            <v>115000048</v>
          </cell>
          <cell r="B296" t="str">
            <v>FREGADERO-METALLIC EDITION FLEXLINEA RS15 50.40+ICC 915 TITANIUM</v>
          </cell>
        </row>
        <row r="297">
          <cell r="A297">
            <v>115000052</v>
          </cell>
          <cell r="B297" t="str">
            <v>FORLINEA RS15 71.40 2Ø 3½ AUTO WASTE W/OVF</v>
          </cell>
        </row>
        <row r="298">
          <cell r="A298">
            <v>115000054</v>
          </cell>
          <cell r="B298" t="str">
            <v>FLEXLINEA RS15 PURE CLEAN 71.40 M-XT 1B 3½</v>
          </cell>
        </row>
        <row r="299">
          <cell r="A299">
            <v>115000055</v>
          </cell>
          <cell r="B299" t="str">
            <v>AMERICAN PRO 60 M-XP 1B 3½ SQ W/OVF SP FREGADERO</v>
          </cell>
        </row>
        <row r="300">
          <cell r="A300">
            <v>115000056</v>
          </cell>
          <cell r="B300" t="str">
            <v>AMERICAN PRO 80 M-XP 1B 3½ SQ W/OVF SP FREGADERO</v>
          </cell>
        </row>
        <row r="301">
          <cell r="A301">
            <v>115000057</v>
          </cell>
          <cell r="B301" t="str">
            <v>BROOKLYN 50 1C FREGADERO</v>
          </cell>
        </row>
        <row r="302">
          <cell r="A302">
            <v>115000075</v>
          </cell>
          <cell r="B302" t="str">
            <v>FREGADERO DIAMOND RS15 1B BLACK</v>
          </cell>
        </row>
        <row r="303">
          <cell r="A303">
            <v>115000081</v>
          </cell>
          <cell r="B303" t="str">
            <v>FORLINE RS15 40.40 1Ø 3½ W/OVF SP - FREGADERO</v>
          </cell>
        </row>
        <row r="304">
          <cell r="A304">
            <v>115000082</v>
          </cell>
          <cell r="B304" t="str">
            <v>FORLINE RS15 50.40 1Ø 3½ W/OVF SP - FREGADERO</v>
          </cell>
        </row>
        <row r="305">
          <cell r="A305">
            <v>115000083</v>
          </cell>
          <cell r="B305" t="str">
            <v>FORLINE RS15 71.40 1Ø 3½ W/OVF SP +CB+CL - FREGADERO</v>
          </cell>
        </row>
        <row r="306">
          <cell r="A306">
            <v>115000088</v>
          </cell>
          <cell r="B306" t="str">
            <v>TOPLINE RS15 50.40 FBK 3½ W/OVF SP - FREGADERO</v>
          </cell>
        </row>
        <row r="307">
          <cell r="A307">
            <v>115010029</v>
          </cell>
          <cell r="B307" t="str">
            <v>BE 34.40 3½ W/OVF FREGADERO</v>
          </cell>
        </row>
        <row r="308">
          <cell r="A308">
            <v>115010031</v>
          </cell>
          <cell r="B308" t="str">
            <v>BE 50.40.16 MAX 3½ W/OVF FREGADERO</v>
          </cell>
        </row>
        <row r="309">
          <cell r="A309">
            <v>115010046</v>
          </cell>
          <cell r="B309" t="str">
            <v>TEKAWAY BET 50.40 PLUS 3½ W/OVF SP UNI-9310-XP</v>
          </cell>
        </row>
        <row r="310">
          <cell r="A310">
            <v>115020012</v>
          </cell>
          <cell r="B310" t="str">
            <v>FREG. STARBRIGHT 45 E-XN 1C GT C/REB</v>
          </cell>
        </row>
        <row r="311">
          <cell r="A311">
            <v>115020025</v>
          </cell>
          <cell r="B311" t="str">
            <v>TEKAWAY STYLO 1B 1Ø 3½ W/OVF SP UNI-9310-XP</v>
          </cell>
        </row>
        <row r="312">
          <cell r="A312">
            <v>115030007</v>
          </cell>
          <cell r="B312" t="str">
            <v>BE LINEA RS15 2C 740 FREGADERO</v>
          </cell>
        </row>
        <row r="313">
          <cell r="A313">
            <v>115030012</v>
          </cell>
          <cell r="B313" t="str">
            <v>FORLINEA RS15 2B 740 1Ø 3½ W/OVF FREGADERO</v>
          </cell>
        </row>
        <row r="314">
          <cell r="A314">
            <v>115030016</v>
          </cell>
          <cell r="B314" t="str">
            <v>ZENIT RS15 2B 86 3Ø AUTO WST PRO +SD+CB+CL FREGADERO</v>
          </cell>
        </row>
        <row r="315">
          <cell r="A315">
            <v>115030017</v>
          </cell>
          <cell r="B315" t="str">
            <v>FREGADERO DIAMOND RS15 2C 86 AUTO</v>
          </cell>
        </row>
        <row r="316">
          <cell r="A316">
            <v>115030024</v>
          </cell>
          <cell r="B316" t="str">
            <v>BROOKLYN 90 2C REV FREGADERO</v>
          </cell>
        </row>
        <row r="317">
          <cell r="A317">
            <v>115030026</v>
          </cell>
          <cell r="B317" t="str">
            <v>FREG. FLEXLINEA RS15 860 2B M-XT  PURE CLEAN</v>
          </cell>
        </row>
        <row r="318">
          <cell r="A318">
            <v>115040008</v>
          </cell>
          <cell r="B318" t="str">
            <v>FREG. UNIVERSE 80 T-XP 2C 1Ø 3½ C/S/REB SF INCLUYE SIFON</v>
          </cell>
        </row>
        <row r="319">
          <cell r="A319">
            <v>115050000</v>
          </cell>
          <cell r="B319" t="str">
            <v>TEKAWAY FREG. DR-80 2C  S/REB + GRIFO IN 915</v>
          </cell>
        </row>
        <row r="320">
          <cell r="A320">
            <v>115050005</v>
          </cell>
          <cell r="B320" t="str">
            <v>800.440 2B SW WO/OVF (BA) PAL/CAR FREGADERO</v>
          </cell>
        </row>
        <row r="321">
          <cell r="A321">
            <v>115050014</v>
          </cell>
          <cell r="B321" t="str">
            <v>TEKAWAY STARBRIGHT 80 E-XP 2B 1Ø 3½ W/OVF UNI-9310-XP</v>
          </cell>
        </row>
        <row r="322">
          <cell r="A322">
            <v>115100011</v>
          </cell>
          <cell r="B322" t="str">
            <v>DIAMOND RS15 1C 1E REV FREGADERO CRISTAL</v>
          </cell>
        </row>
        <row r="323">
          <cell r="A323">
            <v>115100013</v>
          </cell>
          <cell r="B323" t="str">
            <v>ZENIT R15 1C 1E D 86 3Ø V.AUTM.+JB+TB FREGADERO</v>
          </cell>
        </row>
        <row r="324">
          <cell r="A324">
            <v>115100014</v>
          </cell>
          <cell r="B324" t="str">
            <v>ZENIT R15 1C 1E I 86 3Ø V.AUTM.+JB+TB FREGADERO</v>
          </cell>
        </row>
        <row r="325">
          <cell r="A325">
            <v>115100015</v>
          </cell>
          <cell r="B325" t="str">
            <v>ZENIT R15 1C 1E D 78 2Ø V.AUTM. FREGADERO</v>
          </cell>
        </row>
        <row r="326">
          <cell r="A326">
            <v>115100016</v>
          </cell>
          <cell r="B326" t="str">
            <v>ZENIT R15 1C 1E I 78 2Ø V.AUTM. FREGADERO</v>
          </cell>
        </row>
        <row r="327">
          <cell r="A327">
            <v>115100023</v>
          </cell>
          <cell r="B327" t="str">
            <v>BROOKLYN 60 1C 1E PLUS REV FREGADERO</v>
          </cell>
        </row>
        <row r="328">
          <cell r="A328">
            <v>115110011</v>
          </cell>
          <cell r="B328" t="str">
            <v>UNIVERSE 45 1B 1D REV 3½ W/OVF SP INCLUYE SIFON FREGADERO</v>
          </cell>
        </row>
        <row r="329">
          <cell r="A329">
            <v>115110017</v>
          </cell>
          <cell r="B329" t="str">
            <v>UNIVERSE 50 MAX 1B 1D REV 3½ W/OVF SP INCLUYE SIFON FREGADERO</v>
          </cell>
        </row>
        <row r="330">
          <cell r="A330">
            <v>115110031</v>
          </cell>
          <cell r="B330" t="str">
            <v>TEKAWAY UNIVERSE 45 T-XP 1B 1D REV + IN995</v>
          </cell>
        </row>
        <row r="331">
          <cell r="A331">
            <v>115110040</v>
          </cell>
          <cell r="B331" t="str">
            <v>FREGADERO GALAXY 800 T-XP 1B 1D R 0Ø BW W/OVF</v>
          </cell>
        </row>
        <row r="332">
          <cell r="A332">
            <v>115110041</v>
          </cell>
          <cell r="B332" t="str">
            <v>FREGADERO GALAXY 800 T-XP 1B 1D L 0Ø BW W/OVF</v>
          </cell>
        </row>
        <row r="333">
          <cell r="A333">
            <v>115110050</v>
          </cell>
          <cell r="B333" t="str">
            <v>FREGADERO GALAXY 950 T-XP 1B 1D R 0Ø BW</v>
          </cell>
        </row>
        <row r="334">
          <cell r="A334">
            <v>115110051</v>
          </cell>
          <cell r="B334" t="str">
            <v>FREGADERO GALAXY 950 T-XP 1B 1D L 0Ø BW</v>
          </cell>
        </row>
        <row r="335">
          <cell r="A335">
            <v>115120002</v>
          </cell>
          <cell r="B335" t="str">
            <v>UNIVERSO MAX 79 1C 1E REV FREGADERO</v>
          </cell>
        </row>
        <row r="336">
          <cell r="A336">
            <v>115120021</v>
          </cell>
          <cell r="B336" t="str">
            <v>800.440 1C 1E SW WO/OVF REV PAL/CAR FREGADERO</v>
          </cell>
        </row>
        <row r="337">
          <cell r="A337">
            <v>115120040</v>
          </cell>
          <cell r="B337" t="str">
            <v>TEKAWAY STARBRIGHT 45 1B 1D REV + IN915</v>
          </cell>
        </row>
        <row r="338">
          <cell r="A338">
            <v>115120050</v>
          </cell>
          <cell r="B338" t="str">
            <v>800.500 C20 1B 1D R 0Ø SW W/OVF PAL</v>
          </cell>
        </row>
        <row r="339">
          <cell r="A339">
            <v>115120051</v>
          </cell>
          <cell r="B339" t="str">
            <v>800.500 C20 1B 1D L 0Ø SW W/OVF PAL</v>
          </cell>
        </row>
        <row r="340">
          <cell r="A340">
            <v>115120052</v>
          </cell>
          <cell r="B340" t="str">
            <v>1000.500 C20 1B 1D R 0Ø SW W/OVF PAL</v>
          </cell>
        </row>
        <row r="341">
          <cell r="A341">
            <v>115120053</v>
          </cell>
          <cell r="B341" t="str">
            <v>1000.500 C20 1B 1D L 0Ø SW W/OVF PAL</v>
          </cell>
        </row>
        <row r="342">
          <cell r="A342">
            <v>115120073</v>
          </cell>
          <cell r="B342" t="str">
            <v>TEKAWAY STARBRIGHT 45 E-XP 1B 1D REV 2Ø AUTO WST UNI-9310-XP</v>
          </cell>
        </row>
        <row r="343">
          <cell r="A343">
            <v>115120074</v>
          </cell>
          <cell r="B343" t="str">
            <v>TEKAWAY DEVA 45 I-CN 1B 1D 2Ø (BA) REV AUTO WST UNI-9310-XP</v>
          </cell>
        </row>
        <row r="344">
          <cell r="A344">
            <v>115130004</v>
          </cell>
          <cell r="B344" t="str">
            <v>ZENIT R15 1 1/2C 1E I 2Ø V.AUTM. FREGADERO</v>
          </cell>
        </row>
        <row r="345">
          <cell r="A345">
            <v>115130007</v>
          </cell>
          <cell r="B345" t="str">
            <v>ZENIT R15 1 1/2C 1E D 2Ø V.AUTM. FREGADERO</v>
          </cell>
        </row>
        <row r="346">
          <cell r="A346">
            <v>115160004</v>
          </cell>
          <cell r="B346" t="str">
            <v>ZENIT RS15 2B 1D R 3Ø V.AUTO+JB+TB+CL FREGADERO</v>
          </cell>
        </row>
        <row r="347">
          <cell r="A347">
            <v>115160006</v>
          </cell>
          <cell r="B347" t="str">
            <v>FREG ZENIT RS15 2C 1E I</v>
          </cell>
        </row>
        <row r="348">
          <cell r="A348">
            <v>115160007</v>
          </cell>
          <cell r="B348" t="str">
            <v>DIAMOND RS15 2C 1E REV FREGADERO CRISTAL</v>
          </cell>
        </row>
        <row r="349">
          <cell r="A349">
            <v>115160010</v>
          </cell>
          <cell r="B349" t="str">
            <v>BROOKLYN 80 2C 1E REV FREGADERO</v>
          </cell>
        </row>
        <row r="350">
          <cell r="A350">
            <v>115170001</v>
          </cell>
          <cell r="B350" t="str">
            <v>FREG. UNIVERSE 80 T-XP 2C 1E REV 3½ C/S/REB SF</v>
          </cell>
        </row>
        <row r="351">
          <cell r="A351">
            <v>115170007</v>
          </cell>
          <cell r="B351" t="str">
            <v>TEKAWAY UNIVERSE 80 T-XP 2B 1D REV + IN915</v>
          </cell>
        </row>
        <row r="352">
          <cell r="A352">
            <v>115180006</v>
          </cell>
          <cell r="B352" t="str">
            <v>TEKAWAY STARBRIGHT 80 2B 1D REV + IN915</v>
          </cell>
        </row>
        <row r="353">
          <cell r="A353">
            <v>115180012</v>
          </cell>
          <cell r="B353" t="str">
            <v>TEKAWAY STARBRIGHT 80 E-XP 2B 1D REV 2Ø AUTO WST UNI-9310-XP</v>
          </cell>
        </row>
        <row r="354">
          <cell r="A354">
            <v>115230015</v>
          </cell>
          <cell r="B354" t="str">
            <v>FREGADERO SQUARE 72.40 TG 3½ W/OVF SP BLACK</v>
          </cell>
        </row>
        <row r="355">
          <cell r="A355">
            <v>115230020</v>
          </cell>
          <cell r="B355" t="str">
            <v>FREGADERO SQUARE 50.40 TG 3½ W/OVF SP BLACK</v>
          </cell>
        </row>
        <row r="356">
          <cell r="A356">
            <v>115230051</v>
          </cell>
          <cell r="B356" t="str">
            <v>FREGADERO RADEA R10 50-40 M-TG (NEGRO)</v>
          </cell>
        </row>
        <row r="357">
          <cell r="A357">
            <v>115230054</v>
          </cell>
          <cell r="B357" t="str">
            <v>FREGADERO RADEA R10 70.40 M-TG</v>
          </cell>
        </row>
        <row r="358">
          <cell r="A358">
            <v>115230057</v>
          </cell>
          <cell r="B358" t="str">
            <v>NOVA 80 WS-TG 1B AUTO BLACK +CL+CB</v>
          </cell>
        </row>
        <row r="359">
          <cell r="A359">
            <v>115260001</v>
          </cell>
          <cell r="B359" t="str">
            <v>FREGADERO STONE 90 B-TG 2B 3½ W/OVF SP CARBON</v>
          </cell>
        </row>
        <row r="360">
          <cell r="A360">
            <v>115260024</v>
          </cell>
          <cell r="B360" t="str">
            <v>FREGADERO SQUARE 2B 760 TG 3½ W/OVF SP BLACK</v>
          </cell>
        </row>
        <row r="361">
          <cell r="A361">
            <v>115260038</v>
          </cell>
          <cell r="B361" t="str">
            <v>FREGADERO RADEA R10 2B 750 M-TG (NEGRO)</v>
          </cell>
        </row>
        <row r="362">
          <cell r="A362">
            <v>115330015</v>
          </cell>
          <cell r="B362" t="str">
            <v>FREGADERO STONE 50 B-TG 1B 1D 3½ W/OVF SP CARBON</v>
          </cell>
        </row>
        <row r="363">
          <cell r="A363">
            <v>115360001</v>
          </cell>
          <cell r="B363" t="str">
            <v>FREGADERO STONE 60 B-TG 1½B 1D 3½ W/OVF SP CARBON</v>
          </cell>
        </row>
        <row r="364">
          <cell r="A364">
            <v>115360008</v>
          </cell>
          <cell r="B364" t="str">
            <v>FREGADERO STONE 60 B-TG 1½C 1E  CARBON VÁLV. AUTOM. ACC</v>
          </cell>
        </row>
        <row r="365">
          <cell r="A365">
            <v>115400002</v>
          </cell>
          <cell r="B365" t="str">
            <v>FREGADERO STONE 80 B-TG 2B 1D 3½ W/OVF SP CARBON</v>
          </cell>
        </row>
        <row r="366">
          <cell r="A366">
            <v>115890038</v>
          </cell>
          <cell r="B366" t="str">
            <v>VALVULA CUSTOMIZATION SET PERFECTFLOW PVD BRASS</v>
          </cell>
        </row>
        <row r="367">
          <cell r="A367">
            <v>115890039</v>
          </cell>
          <cell r="B367" t="str">
            <v>VALVULA CUSTOMIZATION SET PERFECTFLOW PVD TITANIUM</v>
          </cell>
        </row>
        <row r="368">
          <cell r="A368">
            <v>115890040</v>
          </cell>
          <cell r="B368" t="str">
            <v>VALVULA CUSTOMIZATION SET PERFECTFLOW PVD COPPER</v>
          </cell>
        </row>
        <row r="369">
          <cell r="A369">
            <v>115890043</v>
          </cell>
          <cell r="B369" t="str">
            <v>TRITURADOR TRS 520</v>
          </cell>
        </row>
        <row r="370">
          <cell r="A370">
            <v>116020020</v>
          </cell>
          <cell r="B370" t="str">
            <v>OVAL 938 BLACK PULL OUT - GRIFO COCINA</v>
          </cell>
        </row>
        <row r="371">
          <cell r="A371">
            <v>116030003</v>
          </cell>
          <cell r="B371" t="str">
            <v>GRIFO IN 915 MN FREGADERO ECO - GRIFO COCINA</v>
          </cell>
        </row>
        <row r="372">
          <cell r="A372">
            <v>12127001</v>
          </cell>
          <cell r="B372" t="str">
            <v>BAHIA 1C PLUS  V. AUTO+JB+TB+CL (12127002) FREGADERO</v>
          </cell>
        </row>
        <row r="373">
          <cell r="A373">
            <v>12127002</v>
          </cell>
          <cell r="B373" t="str">
            <v>BAHIA 1C PLUS (jabonera+colador) FREGADERO</v>
          </cell>
        </row>
        <row r="374">
          <cell r="A374">
            <v>12128009</v>
          </cell>
          <cell r="B374" t="str">
            <v>PREMIUM 1C 1E REV 2O V.AUTOM+TABLA FREGADERO</v>
          </cell>
        </row>
        <row r="375">
          <cell r="A375">
            <v>12128010</v>
          </cell>
          <cell r="B375" t="str">
            <v>PREMIUM 1½C 1E,  V.AUTOM+TABLA FREGADERO</v>
          </cell>
        </row>
        <row r="376">
          <cell r="A376">
            <v>12128011</v>
          </cell>
          <cell r="B376" t="str">
            <v>PREMIUM 2C 1E REV 20 V.AUTOM+TABLA FREGADERO</v>
          </cell>
        </row>
        <row r="377">
          <cell r="A377">
            <v>12128016</v>
          </cell>
          <cell r="B377" t="str">
            <v>PREMIUM MAX 1C 20V FREGADERO</v>
          </cell>
        </row>
        <row r="378">
          <cell r="A378">
            <v>12129008</v>
          </cell>
          <cell r="B378" t="str">
            <v>LUX 1C 1E REV FREGADERO</v>
          </cell>
        </row>
        <row r="379">
          <cell r="A379">
            <v>12129016</v>
          </cell>
          <cell r="B379" t="str">
            <v>FREG. EXPRESSION LUX 2C 86 2Ø V.AUTO FREGADERO</v>
          </cell>
        </row>
        <row r="380">
          <cell r="A380">
            <v>12139013</v>
          </cell>
          <cell r="B380" t="str">
            <v>ZENIT R15 1C 1E I 78  2Ø V.AUTM. FREGADERO</v>
          </cell>
        </row>
        <row r="381">
          <cell r="A381">
            <v>13139001</v>
          </cell>
          <cell r="B381" t="str">
            <v>ZENIT R15 1C V.AUTM.+JB+TB+CL FREGADERO</v>
          </cell>
        </row>
        <row r="382">
          <cell r="A382">
            <v>13139002</v>
          </cell>
          <cell r="B382" t="str">
            <v>ZENIT R15 1C 1E D 78 3Ø V.AUTM.+JB+TB FREGADERO</v>
          </cell>
        </row>
        <row r="383">
          <cell r="A383">
            <v>13139003</v>
          </cell>
          <cell r="B383" t="str">
            <v>ZENIT R15 1C 1E I 78  3Ø V.AUTM.+JB+TB FREGADERO</v>
          </cell>
        </row>
        <row r="384">
          <cell r="A384">
            <v>13139004</v>
          </cell>
          <cell r="B384" t="str">
            <v>ZENIT R15 1C 1E DER V.AUTM.+JB+TB+CL FREGADERO</v>
          </cell>
        </row>
        <row r="385">
          <cell r="A385">
            <v>13139005</v>
          </cell>
          <cell r="B385" t="str">
            <v>ZENIT R15 1C 1E IZQ V.AUTM.+JB+TB+CL FREGADERO</v>
          </cell>
        </row>
        <row r="386">
          <cell r="A386">
            <v>13139006</v>
          </cell>
          <cell r="B386" t="str">
            <v>ZENIT R15 2C 86 V.AUTM.+JB+TB+CL FREGADERO</v>
          </cell>
        </row>
        <row r="387">
          <cell r="A387">
            <v>13139007</v>
          </cell>
          <cell r="B387" t="str">
            <v>ZENIT R15 1½C 1E DER V.AUTM.+JB+TB+CL FREGADERO</v>
          </cell>
        </row>
        <row r="388">
          <cell r="A388">
            <v>13139008</v>
          </cell>
          <cell r="B388" t="str">
            <v>ZENIT R15 1½C 1E IZQ V.AUTM.+JB+TB+CL FREGADERO</v>
          </cell>
        </row>
        <row r="389">
          <cell r="A389">
            <v>13139009</v>
          </cell>
          <cell r="B389" t="str">
            <v>ZENIT R15 2C 1E DER V.AUTM.+JB+TB+CL FREGADERO</v>
          </cell>
        </row>
        <row r="390">
          <cell r="A390">
            <v>13139010</v>
          </cell>
          <cell r="B390" t="str">
            <v>ZENIT R15 2C 1E IZQ V.AUTM.+JB+TB+CL FREGADERO</v>
          </cell>
        </row>
        <row r="391">
          <cell r="A391">
            <v>1764</v>
          </cell>
          <cell r="B391" t="str">
            <v>PLANCHA GRILL - HOT PLATE</v>
          </cell>
        </row>
        <row r="392">
          <cell r="A392">
            <v>18151202</v>
          </cell>
          <cell r="B392" t="str">
            <v>MG CROMO GRIFO</v>
          </cell>
        </row>
        <row r="393">
          <cell r="A393">
            <v>1815202</v>
          </cell>
          <cell r="B393" t="str">
            <v>MG CROMO FREG TUBULAR - GRIFO</v>
          </cell>
        </row>
        <row r="394">
          <cell r="A394" t="str">
            <v>18160TE10</v>
          </cell>
          <cell r="B394" t="str">
            <v>MY 1 CROMO EXTRAIBLE - GRIFO COCINA (18161002)</v>
          </cell>
        </row>
        <row r="395">
          <cell r="A395" t="str">
            <v>18160TE10-H</v>
          </cell>
          <cell r="B395" t="str">
            <v>MY 1 CROMO EXTRAIBLE - GRIFO COCINA (18161002)</v>
          </cell>
        </row>
        <row r="396">
          <cell r="A396">
            <v>18161002</v>
          </cell>
          <cell r="B396" t="str">
            <v>MY 1 CROMO EXTRAIBLE - GRIFO COCINA</v>
          </cell>
        </row>
        <row r="397">
          <cell r="A397">
            <v>181740210</v>
          </cell>
          <cell r="B397" t="str">
            <v>GRIFO MY 174 - GRIFO COCINA</v>
          </cell>
        </row>
        <row r="398">
          <cell r="A398">
            <v>182010210</v>
          </cell>
          <cell r="B398" t="str">
            <v>GRIFO OS 201 - GRIFO COCINA</v>
          </cell>
        </row>
        <row r="399">
          <cell r="A399">
            <v>182020200</v>
          </cell>
          <cell r="B399" t="str">
            <v>MY 202 EXTRAIBLE GRIFO</v>
          </cell>
        </row>
        <row r="400">
          <cell r="A400">
            <v>182020210</v>
          </cell>
          <cell r="B400" t="str">
            <v>MY 202 EXTRAIBLE - GRIFO COCINA</v>
          </cell>
        </row>
        <row r="401">
          <cell r="A401" t="str">
            <v>18202TE10</v>
          </cell>
          <cell r="B401" t="str">
            <v>MY 202 EXTRAIBLE - GRIFO COCINA</v>
          </cell>
        </row>
        <row r="402">
          <cell r="A402" t="str">
            <v>23938TE10</v>
          </cell>
          <cell r="B402" t="str">
            <v>ARK 938 EXTRAIBLE - GRIFO COCINA</v>
          </cell>
        </row>
        <row r="403">
          <cell r="A403" t="str">
            <v>23938TE10-H</v>
          </cell>
          <cell r="B403" t="str">
            <v>ARK 938 EXTRAIBLE - GRIFO COCINA</v>
          </cell>
        </row>
        <row r="404">
          <cell r="A404" t="str">
            <v>23998TE10</v>
          </cell>
          <cell r="B404" t="str">
            <v>ARK 998 - GRIFO COCINA</v>
          </cell>
        </row>
        <row r="405">
          <cell r="A405" t="str">
            <v>23998TE10-H</v>
          </cell>
          <cell r="B405" t="str">
            <v>ARK 998 - GRIFO COCINA</v>
          </cell>
        </row>
        <row r="406">
          <cell r="A406">
            <v>239991200</v>
          </cell>
          <cell r="B406" t="str">
            <v>ARK 999 EXTRAIBLE - GRIFO COCINA</v>
          </cell>
        </row>
        <row r="407">
          <cell r="A407" t="str">
            <v>23999TE10</v>
          </cell>
          <cell r="B407" t="str">
            <v>ARK 999 EXTRAIBLE - GRIFO COCINA</v>
          </cell>
        </row>
        <row r="408">
          <cell r="A408" t="str">
            <v>23999TE10-H</v>
          </cell>
          <cell r="B408" t="str">
            <v>ARK 999 EXTRAIBLE - GRIFO COCINA</v>
          </cell>
        </row>
        <row r="409">
          <cell r="A409">
            <v>241020200</v>
          </cell>
          <cell r="B409" t="str">
            <v>VITA GRIFO BAÑO-DUCHA MURAL</v>
          </cell>
        </row>
        <row r="410">
          <cell r="A410">
            <v>242320200</v>
          </cell>
          <cell r="B410" t="str">
            <v>VITA GRIFO DUCHA MURAL</v>
          </cell>
        </row>
        <row r="411">
          <cell r="A411" t="str">
            <v>24241TE00</v>
          </cell>
          <cell r="B411" t="str">
            <v>VITA DUCHA MONOMANDO EMPOTRABLE</v>
          </cell>
        </row>
        <row r="412">
          <cell r="A412">
            <v>243860210</v>
          </cell>
          <cell r="B412" t="str">
            <v>VITA GRIFO LAVABO</v>
          </cell>
        </row>
        <row r="413">
          <cell r="A413" t="str">
            <v>24386TE10</v>
          </cell>
          <cell r="B413" t="str">
            <v>VITA GRIFO CASCADA - LAVABO</v>
          </cell>
        </row>
        <row r="414">
          <cell r="A414">
            <v>244610200</v>
          </cell>
          <cell r="B414" t="str">
            <v>VITA GRIFO Y MANETA MURAL</v>
          </cell>
        </row>
        <row r="415">
          <cell r="A415">
            <v>246260210</v>
          </cell>
          <cell r="B415" t="str">
            <v>VITA GRIFO BIDÉ</v>
          </cell>
        </row>
        <row r="416">
          <cell r="A416">
            <v>249150210</v>
          </cell>
          <cell r="B416" t="str">
            <v>VITA - GRIFO COCINA</v>
          </cell>
        </row>
        <row r="417">
          <cell r="A417" t="str">
            <v>24915TE10</v>
          </cell>
          <cell r="B417" t="str">
            <v>VITA - GRIFO COCINA</v>
          </cell>
        </row>
        <row r="418">
          <cell r="A418" t="str">
            <v>24915TE10-H</v>
          </cell>
          <cell r="B418" t="str">
            <v>VITA - GRIFO COCINA</v>
          </cell>
        </row>
        <row r="419">
          <cell r="A419">
            <v>30207021</v>
          </cell>
          <cell r="B419" t="str">
            <v>WOK INDUCCION EWI 457.1 M</v>
          </cell>
        </row>
        <row r="420">
          <cell r="A420">
            <v>30207200</v>
          </cell>
          <cell r="B420" t="str">
            <v>WOK VITRO A GAS</v>
          </cell>
        </row>
        <row r="421">
          <cell r="A421">
            <v>3065161</v>
          </cell>
          <cell r="B421" t="str">
            <v>PASTILLAS FINISH POWERBALL ALL IN 1 (13 UNIDS.)</v>
          </cell>
        </row>
        <row r="422">
          <cell r="A422">
            <v>31501020</v>
          </cell>
          <cell r="B422" t="str">
            <v>HORNO ELECTR EB 6800</v>
          </cell>
        </row>
        <row r="423">
          <cell r="A423">
            <v>31901079</v>
          </cell>
          <cell r="B423" t="str">
            <v>SOPORTE</v>
          </cell>
        </row>
        <row r="424">
          <cell r="A424">
            <v>31901099</v>
          </cell>
          <cell r="B424" t="str">
            <v>TIRADOR 60</v>
          </cell>
        </row>
        <row r="425">
          <cell r="A425">
            <v>31901103</v>
          </cell>
          <cell r="B425" t="str">
            <v>TIRADOR 90 CM</v>
          </cell>
        </row>
        <row r="426">
          <cell r="A426">
            <v>31901176</v>
          </cell>
          <cell r="B426" t="str">
            <v>SARTEN WOK</v>
          </cell>
        </row>
        <row r="427">
          <cell r="A427">
            <v>339150210</v>
          </cell>
          <cell r="B427" t="str">
            <v>IC 915 - GRIFO COCINA</v>
          </cell>
        </row>
        <row r="428">
          <cell r="A428" t="str">
            <v>33915TE10</v>
          </cell>
          <cell r="B428" t="str">
            <v>IC 915 - GRIFO COCINA</v>
          </cell>
        </row>
        <row r="429">
          <cell r="A429" t="str">
            <v>33915TE10-H</v>
          </cell>
          <cell r="B429" t="str">
            <v>IC 915 - GRIFO COCINA</v>
          </cell>
        </row>
        <row r="430">
          <cell r="A430" t="str">
            <v>33915TE1N</v>
          </cell>
          <cell r="B430" t="str">
            <v>IC 915 - GRIFO COCINA NEGRO</v>
          </cell>
        </row>
        <row r="431">
          <cell r="A431" t="str">
            <v>33915TE1N-H</v>
          </cell>
          <cell r="B431" t="str">
            <v>IC 915 - GRIFO COCINA NEGRO</v>
          </cell>
        </row>
        <row r="432">
          <cell r="A432" t="str">
            <v>33915TE1W</v>
          </cell>
          <cell r="B432" t="str">
            <v>IC 915 - GRIFO COCINA BLANCO</v>
          </cell>
        </row>
        <row r="433">
          <cell r="A433">
            <v>35911502</v>
          </cell>
          <cell r="B433" t="str">
            <v>ELAN CROMO MONOMANDO - GRIFO COCINA</v>
          </cell>
        </row>
        <row r="434">
          <cell r="A434" t="str">
            <v>35915TE10</v>
          </cell>
          <cell r="B434" t="str">
            <v>ELAN CROMO MONOMANDO - GRIFO COCINA</v>
          </cell>
        </row>
        <row r="435">
          <cell r="A435" t="str">
            <v>35915TE10-H</v>
          </cell>
          <cell r="B435" t="str">
            <v>ELAN CROMO MONOMANDO - GRIFO COCINA</v>
          </cell>
        </row>
        <row r="436">
          <cell r="A436">
            <v>35931802</v>
          </cell>
          <cell r="B436" t="str">
            <v>MW CROMO EXTRAIBLE - GRIFO COCINA</v>
          </cell>
        </row>
        <row r="437">
          <cell r="A437" t="str">
            <v>35931809NS</v>
          </cell>
          <cell r="B437" t="str">
            <v>MW INOX EXTRAIBLE GRIFO</v>
          </cell>
        </row>
        <row r="438">
          <cell r="A438" t="str">
            <v>35938TE10</v>
          </cell>
          <cell r="B438" t="str">
            <v>MW CROMO - GRIFO COCINA</v>
          </cell>
        </row>
        <row r="439">
          <cell r="A439" t="str">
            <v>35938TE10-H</v>
          </cell>
          <cell r="B439" t="str">
            <v>MW CROMO - GRIFO COCINA</v>
          </cell>
        </row>
        <row r="440">
          <cell r="A440">
            <v>35971802</v>
          </cell>
          <cell r="B440" t="str">
            <v>MX CROMO EXTRAIBLE GRIFO</v>
          </cell>
        </row>
        <row r="441">
          <cell r="A441" t="str">
            <v>35971802NS</v>
          </cell>
          <cell r="B441" t="str">
            <v>MX INOX EXTRAIBLE GRIFO</v>
          </cell>
        </row>
        <row r="442">
          <cell r="A442" t="str">
            <v>37042IM</v>
          </cell>
          <cell r="B442" t="str">
            <v>LASER - GRIFO</v>
          </cell>
        </row>
        <row r="443">
          <cell r="A443">
            <v>38911502</v>
          </cell>
          <cell r="B443" t="str">
            <v>MZ CROMO MONOMANDO - GRIFO COCINA</v>
          </cell>
        </row>
        <row r="444">
          <cell r="A444" t="str">
            <v>38911502-H</v>
          </cell>
          <cell r="B444" t="str">
            <v>MZ 915 CROMO MONOMANDO - GRIFO COCINA</v>
          </cell>
        </row>
        <row r="445">
          <cell r="A445" t="str">
            <v>38911502NS</v>
          </cell>
          <cell r="B445" t="str">
            <v>MZ INOX MONOMANDO - GRIFO COCINA</v>
          </cell>
        </row>
        <row r="446">
          <cell r="A446">
            <v>389140200</v>
          </cell>
          <cell r="B446" t="str">
            <v>GRIFO MZ 914 - GRIFO COCINA</v>
          </cell>
        </row>
        <row r="447">
          <cell r="A447">
            <v>38931702</v>
          </cell>
          <cell r="B447" t="str">
            <v>PRO COMPACT EXTRAIBLE MONOM - GRIFO COCINA</v>
          </cell>
        </row>
        <row r="448">
          <cell r="A448" t="str">
            <v>38934TE10</v>
          </cell>
          <cell r="B448" t="str">
            <v>MQ FLEXIBLE - GRIFO COCINA</v>
          </cell>
        </row>
        <row r="449">
          <cell r="A449">
            <v>389982700</v>
          </cell>
          <cell r="B449" t="str">
            <v>MZX EXT - GRIFO COCINA</v>
          </cell>
        </row>
        <row r="450">
          <cell r="A450">
            <v>40101067</v>
          </cell>
          <cell r="B450" t="str">
            <v>80.50 1C 1E DER FREGADERO (NC:40136567)</v>
          </cell>
        </row>
        <row r="451">
          <cell r="A451">
            <v>40101068</v>
          </cell>
          <cell r="B451" t="str">
            <v>80.50 1C 1E IZQ FREGADERO (NC:40136566)</v>
          </cell>
        </row>
        <row r="452">
          <cell r="A452">
            <v>40101102</v>
          </cell>
          <cell r="B452" t="str">
            <v>100.50 1C 1E DER FREGADERO (NC:40136616)</v>
          </cell>
        </row>
        <row r="453">
          <cell r="A453">
            <v>40101103</v>
          </cell>
          <cell r="B453" t="str">
            <v>100.50 1C 1E IZQ FREGADERO (NC:40136614)</v>
          </cell>
        </row>
        <row r="454">
          <cell r="A454">
            <v>40104010</v>
          </cell>
          <cell r="B454" t="str">
            <v>800.510 1C 1E DER FREGADERO</v>
          </cell>
        </row>
        <row r="455">
          <cell r="A455">
            <v>40104011</v>
          </cell>
          <cell r="B455" t="str">
            <v>800.510 1C 1E IZQ FREGADERO</v>
          </cell>
        </row>
        <row r="456">
          <cell r="A456">
            <v>40125212</v>
          </cell>
          <cell r="B456" t="str">
            <v>BE LINEA 40.40 FREGADERO (NC: 40125240)</v>
          </cell>
        </row>
        <row r="457">
          <cell r="A457">
            <v>40125220</v>
          </cell>
          <cell r="B457" t="str">
            <v>BE LINEA 72.40 FREGADERO</v>
          </cell>
        </row>
        <row r="458">
          <cell r="A458">
            <v>40125230</v>
          </cell>
          <cell r="B458" t="str">
            <v>BE LINEA 55.40 FREGADERO</v>
          </cell>
        </row>
        <row r="459">
          <cell r="A459">
            <v>40125240</v>
          </cell>
          <cell r="B459" t="str">
            <v>BE LINEA 40.40 FREGADERO (40125212)</v>
          </cell>
        </row>
        <row r="460">
          <cell r="A460">
            <v>40125250</v>
          </cell>
          <cell r="B460" t="str">
            <v>BE LINEA 34.40 FREGADERO</v>
          </cell>
        </row>
        <row r="461">
          <cell r="A461">
            <v>40125520</v>
          </cell>
          <cell r="B461" t="str">
            <v>BE LINEA R10 72.40 FREGADERO</v>
          </cell>
        </row>
        <row r="462">
          <cell r="A462">
            <v>40134000</v>
          </cell>
          <cell r="B462" t="str">
            <v>1515 1C FREGADERO</v>
          </cell>
        </row>
        <row r="463">
          <cell r="A463">
            <v>40134003</v>
          </cell>
          <cell r="B463" t="str">
            <v>ESQUINERO FREGADERO</v>
          </cell>
        </row>
        <row r="464">
          <cell r="A464">
            <v>40134004</v>
          </cell>
          <cell r="B464" t="str">
            <v>BATEA FREGADERO</v>
          </cell>
        </row>
        <row r="465">
          <cell r="A465">
            <v>40136000</v>
          </cell>
          <cell r="B465" t="str">
            <v>508.533 (20.21) 1C FREGADERO</v>
          </cell>
        </row>
        <row r="466">
          <cell r="A466">
            <v>40136001</v>
          </cell>
          <cell r="B466" t="str">
            <v>635.560 (25.22) 1C FREGADERO</v>
          </cell>
        </row>
        <row r="467">
          <cell r="A467">
            <v>40136006</v>
          </cell>
          <cell r="B467" t="str">
            <v>950.510 1C 1E DER. FREGADERO</v>
          </cell>
        </row>
        <row r="468">
          <cell r="A468">
            <v>40136007</v>
          </cell>
          <cell r="B468" t="str">
            <v>950.510 1C 1E IZQ. FREGADERO</v>
          </cell>
        </row>
        <row r="469">
          <cell r="A469">
            <v>40136040</v>
          </cell>
          <cell r="B469" t="str">
            <v>DM (33.22) 1C FREGADERO</v>
          </cell>
        </row>
        <row r="470">
          <cell r="A470">
            <v>40136566</v>
          </cell>
          <cell r="B470" t="str">
            <v>80.50 1C 1E IZQ FREGADERO (40101068)</v>
          </cell>
        </row>
        <row r="471">
          <cell r="A471">
            <v>40136567</v>
          </cell>
          <cell r="B471" t="str">
            <v>80.50 1C 1E DER FREGADERO (40101067)</v>
          </cell>
        </row>
        <row r="472">
          <cell r="A472">
            <v>40136614</v>
          </cell>
          <cell r="B472" t="str">
            <v>100.50 1C 1E IZQ FREGADERO (40101103)</v>
          </cell>
        </row>
        <row r="473">
          <cell r="A473">
            <v>40136616</v>
          </cell>
          <cell r="B473" t="str">
            <v>100.50 1C 1E DER FREGADERO (40101102)</v>
          </cell>
        </row>
        <row r="474">
          <cell r="A474">
            <v>40136920</v>
          </cell>
          <cell r="B474" t="str">
            <v>TEKAWAY FREG. 800.510 1C 1E DER + GRIFO ML</v>
          </cell>
        </row>
        <row r="475">
          <cell r="A475">
            <v>40136921</v>
          </cell>
          <cell r="B475" t="str">
            <v>TEKAWAY FREG. 800.510 1C 1E IZQ + GRIFO ML</v>
          </cell>
        </row>
        <row r="476">
          <cell r="A476">
            <v>40138010</v>
          </cell>
          <cell r="B476" t="str">
            <v>CUADRO 1 1/2C 1E FREGADERO</v>
          </cell>
        </row>
        <row r="477">
          <cell r="A477">
            <v>40140908</v>
          </cell>
          <cell r="B477" t="str">
            <v>FREGADERO LUGO 45 B-TG 1C 1E CARBON POP UP</v>
          </cell>
        </row>
        <row r="478">
          <cell r="A478">
            <v>40140909</v>
          </cell>
          <cell r="B478" t="str">
            <v>FREGADERO LUGO 45 B-TG 1C 1E BLANCO POP UP</v>
          </cell>
        </row>
        <row r="479">
          <cell r="A479">
            <v>40140950</v>
          </cell>
          <cell r="B479" t="str">
            <v>FREGADERO LUGO 80 B-TG 1 1/2C 1E CARBON POP UP</v>
          </cell>
        </row>
        <row r="480">
          <cell r="A480">
            <v>40140951</v>
          </cell>
          <cell r="B480" t="str">
            <v>FREGADERO LUGO 80 B-TG 1 1/2C 1E WHITE POP UP</v>
          </cell>
        </row>
        <row r="481">
          <cell r="A481">
            <v>40140960</v>
          </cell>
          <cell r="B481" t="str">
            <v>FREGADERO LUGO 90 B-TG 2C CARBON POP UP</v>
          </cell>
        </row>
        <row r="482">
          <cell r="A482">
            <v>40140961</v>
          </cell>
          <cell r="B482" t="str">
            <v>FREGADERO LUGO 90 B-TG 2C WHITE POP UP</v>
          </cell>
        </row>
        <row r="483">
          <cell r="A483">
            <v>40141122</v>
          </cell>
          <cell r="B483" t="str">
            <v>FREGADERO UNIVERSO 60 GT WHITE</v>
          </cell>
        </row>
        <row r="484">
          <cell r="A484">
            <v>40141312</v>
          </cell>
          <cell r="B484" t="str">
            <v>FREGADERO UNIVERSO 2C 1E GT VOLCANO BLACK METAL</v>
          </cell>
        </row>
        <row r="485">
          <cell r="A485">
            <v>40141313</v>
          </cell>
          <cell r="B485" t="str">
            <v>FREGADERO UNIVERSO 80 GT 2C 1E V. AUTO WHITE</v>
          </cell>
        </row>
        <row r="486">
          <cell r="A486">
            <v>40143072</v>
          </cell>
          <cell r="B486" t="str">
            <v>FREGADERO AURA 45 B-TG SCHWARZMETAL POP UP + GLASS CHOP</v>
          </cell>
        </row>
        <row r="487">
          <cell r="A487">
            <v>40143831</v>
          </cell>
          <cell r="B487" t="str">
            <v>FREGADERO RADEA 500.400 1C TG NEGRO METALIZADO</v>
          </cell>
        </row>
        <row r="488">
          <cell r="A488">
            <v>40143832</v>
          </cell>
          <cell r="B488" t="str">
            <v>FREGADERO RADEA 500.400 1C TG BLANCO</v>
          </cell>
        </row>
        <row r="489">
          <cell r="A489">
            <v>40143833</v>
          </cell>
          <cell r="B489" t="str">
            <v>FREGADERO RADEA 500.400 1C TG CARBON</v>
          </cell>
        </row>
        <row r="490">
          <cell r="A490">
            <v>40150000</v>
          </cell>
          <cell r="B490" t="str">
            <v>BAHIA 1C INOX FREGADERO</v>
          </cell>
        </row>
        <row r="491">
          <cell r="A491">
            <v>40180510</v>
          </cell>
          <cell r="B491" t="str">
            <v>FRAME 1C 1E IZQ FREGADERO</v>
          </cell>
        </row>
        <row r="492">
          <cell r="A492">
            <v>40180511</v>
          </cell>
          <cell r="B492" t="str">
            <v>FRAME 1C 1E DER FREGADERO</v>
          </cell>
        </row>
        <row r="493">
          <cell r="A493">
            <v>40180530</v>
          </cell>
          <cell r="B493" t="str">
            <v>FRAME 1½C ½E PLUS IZQ FREGADERO</v>
          </cell>
        </row>
        <row r="494">
          <cell r="A494">
            <v>40180531</v>
          </cell>
          <cell r="B494" t="str">
            <v>FRAME 1½C ½E PLUS DER FREGADERO</v>
          </cell>
        </row>
        <row r="495">
          <cell r="A495">
            <v>40180610</v>
          </cell>
          <cell r="B495" t="str">
            <v>FRAME 1C 1E IZQ FREGADERO</v>
          </cell>
        </row>
        <row r="496">
          <cell r="A496">
            <v>40180631</v>
          </cell>
          <cell r="B496" t="str">
            <v>FRAME 1½C ½E PLUS DER FREGADERO</v>
          </cell>
        </row>
        <row r="497">
          <cell r="A497">
            <v>40197155</v>
          </cell>
          <cell r="B497" t="str">
            <v>TR 510.1 TRITURADOR</v>
          </cell>
        </row>
        <row r="498">
          <cell r="A498">
            <v>40197255</v>
          </cell>
          <cell r="B498" t="str">
            <v>TR 710.1 TRITURADOR</v>
          </cell>
        </row>
        <row r="499">
          <cell r="A499">
            <v>40199037</v>
          </cell>
          <cell r="B499" t="str">
            <v>CESTA CUADRADA</v>
          </cell>
        </row>
        <row r="500">
          <cell r="A500">
            <v>40199039</v>
          </cell>
          <cell r="B500" t="str">
            <v>CESTA REDONDA</v>
          </cell>
        </row>
        <row r="501">
          <cell r="A501">
            <v>40199061</v>
          </cell>
          <cell r="B501" t="str">
            <v>CESTA UNIVERSO</v>
          </cell>
        </row>
        <row r="502">
          <cell r="A502">
            <v>40199230</v>
          </cell>
          <cell r="B502" t="str">
            <v>KIT TABLA DE MADERA+COLADOR INOX CUBETA 34.4</v>
          </cell>
        </row>
        <row r="503">
          <cell r="A503">
            <v>40199242</v>
          </cell>
          <cell r="B503" t="str">
            <v>TABLA DE CORTE BAMBU</v>
          </cell>
        </row>
        <row r="504">
          <cell r="A504">
            <v>40199270</v>
          </cell>
          <cell r="B504" t="str">
            <v>SET DE COCCION FREGADEROS ZENIT R15</v>
          </cell>
        </row>
        <row r="505">
          <cell r="A505">
            <v>40199321</v>
          </cell>
          <cell r="B505" t="str">
            <v>DISPENSADOR DE JABON CUADRADO</v>
          </cell>
        </row>
        <row r="506">
          <cell r="A506">
            <v>40199330</v>
          </cell>
          <cell r="B506" t="str">
            <v>DISPENSADOR DE JABON CROMO (NC:40199310)</v>
          </cell>
        </row>
        <row r="507">
          <cell r="A507">
            <v>40204301</v>
          </cell>
          <cell r="B507" t="str">
            <v>VT TC 2P COCINA MOD VITRO TOUCH CONTROL</v>
          </cell>
        </row>
        <row r="508">
          <cell r="A508">
            <v>40204311</v>
          </cell>
          <cell r="B508" t="str">
            <v>VT TC 1G COCINA MOD VITRO TOUCH CONTROL</v>
          </cell>
        </row>
        <row r="509">
          <cell r="A509">
            <v>40204391</v>
          </cell>
          <cell r="B509" t="str">
            <v>KIT UNION MODULOS EM/30, VM/30, EM/60</v>
          </cell>
        </row>
        <row r="510">
          <cell r="A510">
            <v>40205450</v>
          </cell>
          <cell r="B510" t="str">
            <v>IR 950 COCINA INDUCCION + J.9 PZ OLLAS</v>
          </cell>
        </row>
        <row r="511">
          <cell r="A511" t="str">
            <v>40205450M</v>
          </cell>
          <cell r="B511" t="str">
            <v>MIR 6030 COCINA INDUCCION</v>
          </cell>
        </row>
        <row r="512">
          <cell r="A512">
            <v>40205610</v>
          </cell>
          <cell r="B512" t="str">
            <v>IR 95 DX COCINA INDUCCION</v>
          </cell>
        </row>
        <row r="513">
          <cell r="A513">
            <v>40206004</v>
          </cell>
          <cell r="B513" t="str">
            <v>TR 940 AB COCINA VITRO</v>
          </cell>
        </row>
        <row r="514">
          <cell r="A514">
            <v>40206040</v>
          </cell>
          <cell r="B514" t="str">
            <v>TR 950 COCINA VITRO</v>
          </cell>
        </row>
        <row r="515">
          <cell r="A515">
            <v>40206060</v>
          </cell>
          <cell r="B515" t="str">
            <v>VR TC 95 COCINA VITRO TOUCH CONTROL</v>
          </cell>
        </row>
        <row r="516">
          <cell r="A516">
            <v>40206220</v>
          </cell>
          <cell r="B516" t="str">
            <v>TR 840 VITRO TOUCH CONTROL (10210005)</v>
          </cell>
        </row>
        <row r="517">
          <cell r="A517">
            <v>40207110</v>
          </cell>
          <cell r="B517" t="str">
            <v>E/60.3 4G AI COCINA INOX (10206062)</v>
          </cell>
        </row>
        <row r="518">
          <cell r="A518">
            <v>40211352</v>
          </cell>
          <cell r="B518" t="str">
            <v>EFX 60.1 4G AI AL DR CI COCINA INOX (40214311)</v>
          </cell>
        </row>
        <row r="519">
          <cell r="A519">
            <v>40211501</v>
          </cell>
          <cell r="B519" t="str">
            <v>EFX 70.1 5G AI AL DR CI COCINA INOX</v>
          </cell>
        </row>
        <row r="520">
          <cell r="A520">
            <v>40211632</v>
          </cell>
          <cell r="B520" t="str">
            <v>EFX 90.1 5G AI AL DR COCINA INOX (40214805)</v>
          </cell>
        </row>
        <row r="521">
          <cell r="A521">
            <v>40211660</v>
          </cell>
          <cell r="B521" t="str">
            <v>EFX 90.1 6G AI AL DR CI COCINA INOX</v>
          </cell>
        </row>
        <row r="522">
          <cell r="A522">
            <v>40212002</v>
          </cell>
          <cell r="B522" t="str">
            <v>EX 60.1 4G AI AL CI COCINA INOX</v>
          </cell>
        </row>
        <row r="523">
          <cell r="A523">
            <v>40212014</v>
          </cell>
          <cell r="B523" t="str">
            <v>EX 60.1 4G AI DR CI COCINA INOX</v>
          </cell>
        </row>
        <row r="524">
          <cell r="A524">
            <v>40212044</v>
          </cell>
          <cell r="B524" t="str">
            <v>EX 70.1 5G AI DR CI COCINA INOX</v>
          </cell>
        </row>
        <row r="525">
          <cell r="A525">
            <v>40212062</v>
          </cell>
          <cell r="B525" t="str">
            <v>EX 90.1 5G AI AL DR CI COCINA INOX</v>
          </cell>
        </row>
        <row r="526">
          <cell r="A526">
            <v>40212070</v>
          </cell>
          <cell r="B526" t="str">
            <v>EX 90.1 5G AI DR LEFT CI COCINA INOX</v>
          </cell>
        </row>
        <row r="527">
          <cell r="A527">
            <v>40212602</v>
          </cell>
          <cell r="B527" t="str">
            <v>EX 90.1 6G AI DR CI COCINA INOX</v>
          </cell>
        </row>
        <row r="528">
          <cell r="A528">
            <v>40213012</v>
          </cell>
          <cell r="B528" t="str">
            <v>IG 620 1G AI AL DR COCINA MIXTA GAS - INDUCCION (NC:112570123)</v>
          </cell>
        </row>
        <row r="529">
          <cell r="A529">
            <v>40213022</v>
          </cell>
          <cell r="B529" t="str">
            <v>IG 620 2G AI AL COCINA MIXTA GAS - INDUCCION (NC:112570124)</v>
          </cell>
        </row>
        <row r="530">
          <cell r="A530">
            <v>40213032</v>
          </cell>
          <cell r="B530" t="str">
            <v>IG 940 1G AI AL DR CI COCINA MIXTA GAS - INDUCCION (NC:112570125)</v>
          </cell>
        </row>
        <row r="531">
          <cell r="A531">
            <v>40213042</v>
          </cell>
          <cell r="B531" t="str">
            <v>IG 940 2G AI AL COCINA MIXTA GAS - INDUCCION (NC:112570126)</v>
          </cell>
        </row>
        <row r="532">
          <cell r="A532">
            <v>40214311</v>
          </cell>
          <cell r="B532" t="str">
            <v>EFX 60 4G AI AL DR CI COCINA INOX (NC: 40211352)</v>
          </cell>
        </row>
        <row r="533">
          <cell r="A533">
            <v>40214608</v>
          </cell>
          <cell r="B533" t="str">
            <v>EFX 70 5G AI AL DR CI COCINA INOX</v>
          </cell>
        </row>
        <row r="534">
          <cell r="A534">
            <v>40214805</v>
          </cell>
          <cell r="B534" t="str">
            <v>EFX 90 5G AI AL DR COCINA INOX (NC:40211632)</v>
          </cell>
        </row>
        <row r="535">
          <cell r="A535">
            <v>40214914</v>
          </cell>
          <cell r="B535" t="str">
            <v>EFX 90 4G 1H AI AL DR COCINA INOX</v>
          </cell>
        </row>
        <row r="536">
          <cell r="A536">
            <v>40214980</v>
          </cell>
          <cell r="B536" t="str">
            <v>EFX 90 6G AI AL DR CI COCINA INOX</v>
          </cell>
        </row>
        <row r="537">
          <cell r="A537">
            <v>40215123</v>
          </cell>
          <cell r="B537" t="str">
            <v>CGW LUX 70 4G AI AL CI</v>
          </cell>
        </row>
        <row r="538">
          <cell r="A538">
            <v>40215302</v>
          </cell>
          <cell r="B538" t="str">
            <v>CGW LUX 90 5G AI AL DR CI (NC:112570068)</v>
          </cell>
        </row>
        <row r="539">
          <cell r="A539">
            <v>40215503</v>
          </cell>
          <cell r="B539" t="str">
            <v>CGW LUX 70 5G AI AL CI - COCINA GAS</v>
          </cell>
        </row>
        <row r="540">
          <cell r="A540">
            <v>40215704</v>
          </cell>
          <cell r="B540" t="str">
            <v>CGW LUX 70 5G AI AL TR CI (NC: 112570093)</v>
          </cell>
        </row>
        <row r="541">
          <cell r="A541">
            <v>40215961</v>
          </cell>
          <cell r="B541" t="str">
            <v>CGW LUX 30.1 1G AI AL DR CI CRISTAL C</v>
          </cell>
        </row>
        <row r="542">
          <cell r="A542">
            <v>40215981</v>
          </cell>
          <cell r="B542" t="str">
            <v>CGW LUX 30.1 2G AI AL CI</v>
          </cell>
        </row>
        <row r="543">
          <cell r="A543">
            <v>40216110</v>
          </cell>
          <cell r="B543" t="str">
            <v>CGW LUX 60 4G AI AL CI (NC:112570041)</v>
          </cell>
        </row>
        <row r="544">
          <cell r="A544">
            <v>40217321</v>
          </cell>
          <cell r="B544" t="str">
            <v>CGW LUX 90 TC 5G AI AL DR CI</v>
          </cell>
        </row>
        <row r="545">
          <cell r="A545">
            <v>40218050</v>
          </cell>
          <cell r="B545" t="str">
            <v>EW 60 4G AI AL COCINA INOX</v>
          </cell>
        </row>
        <row r="546">
          <cell r="A546">
            <v>40218080</v>
          </cell>
          <cell r="B546" t="str">
            <v>EW60 4G AI AL CI BUT COCINA INOX</v>
          </cell>
        </row>
        <row r="547">
          <cell r="A547">
            <v>40219050</v>
          </cell>
          <cell r="B547" t="str">
            <v>EW 90 5G AI AL TR COCINA INOX</v>
          </cell>
        </row>
        <row r="548">
          <cell r="A548">
            <v>40220030</v>
          </cell>
          <cell r="B548" t="str">
            <v>E/70 5G AI TR COCINA INOX</v>
          </cell>
        </row>
        <row r="549">
          <cell r="A549">
            <v>40220036</v>
          </cell>
          <cell r="B549" t="str">
            <v>E/70 5G AI TR INOX COCINA</v>
          </cell>
        </row>
        <row r="550">
          <cell r="A550">
            <v>40220523</v>
          </cell>
          <cell r="B550" t="str">
            <v>EF/60 4G AI COCINA INOX</v>
          </cell>
        </row>
        <row r="551">
          <cell r="A551">
            <v>40221027</v>
          </cell>
          <cell r="B551" t="str">
            <v>EF/90 5G AI TR COCINA INOX</v>
          </cell>
        </row>
        <row r="552">
          <cell r="A552">
            <v>40221029</v>
          </cell>
          <cell r="B552" t="str">
            <v>EF/90 5G AI PC COCINA INOX</v>
          </cell>
        </row>
        <row r="553">
          <cell r="A553">
            <v>40222500</v>
          </cell>
          <cell r="B553" t="str">
            <v>EX/60 4G AI COCINA INOX</v>
          </cell>
        </row>
        <row r="554">
          <cell r="A554">
            <v>40223500</v>
          </cell>
          <cell r="B554" t="str">
            <v>EX/70 5G AI TR COCINA INOX</v>
          </cell>
        </row>
        <row r="555">
          <cell r="A555">
            <v>40223520</v>
          </cell>
          <cell r="B555" t="str">
            <v>EX/70 5G AI FUND COCINA INOX</v>
          </cell>
        </row>
        <row r="556">
          <cell r="A556">
            <v>40224500</v>
          </cell>
          <cell r="B556" t="str">
            <v>EX/90 5G AI TR COCINA INOX</v>
          </cell>
        </row>
        <row r="557">
          <cell r="A557">
            <v>40224502</v>
          </cell>
          <cell r="B557" t="str">
            <v>EX/90 5G AI PC FUND COCINA INOX</v>
          </cell>
        </row>
        <row r="558">
          <cell r="A558">
            <v>40226545</v>
          </cell>
          <cell r="B558" t="str">
            <v>CZ TOUCH 90 5G AI AL TR COCINA CRIS</v>
          </cell>
        </row>
        <row r="559">
          <cell r="A559">
            <v>40228115</v>
          </cell>
          <cell r="B559" t="str">
            <v>COCINA VT.2 2G AI AL CI BUT</v>
          </cell>
        </row>
        <row r="560">
          <cell r="A560">
            <v>40239042</v>
          </cell>
          <cell r="B560" t="str">
            <v>TB 6415 COCINA VITRO TOUCH CONTROL</v>
          </cell>
        </row>
        <row r="561">
          <cell r="A561">
            <v>40249000</v>
          </cell>
          <cell r="B561" t="str">
            <v>TEPPAN YAKI TPI 380</v>
          </cell>
        </row>
        <row r="562">
          <cell r="A562">
            <v>40260600</v>
          </cell>
          <cell r="B562" t="str">
            <v>EP 60 4G AI CI COCINA INOX</v>
          </cell>
        </row>
        <row r="563">
          <cell r="A563">
            <v>40297051</v>
          </cell>
          <cell r="B563" t="str">
            <v>COCINA A GAS FS3RS966GGX</v>
          </cell>
        </row>
        <row r="564">
          <cell r="A564">
            <v>40297052</v>
          </cell>
          <cell r="B564" t="str">
            <v>COCINA A GAS FS3RL966GGX</v>
          </cell>
        </row>
        <row r="565">
          <cell r="A565">
            <v>40297252</v>
          </cell>
          <cell r="B565" t="str">
            <v>COCINA A GAS FS3RL966GGX</v>
          </cell>
        </row>
        <row r="566">
          <cell r="A566">
            <v>40297294</v>
          </cell>
          <cell r="B566" t="str">
            <v>FS29615IE COC. INDUC./H. ELCT. 90x 60</v>
          </cell>
        </row>
        <row r="567">
          <cell r="A567">
            <v>40297295</v>
          </cell>
          <cell r="B567" t="str">
            <v>FS6614IE COC. IND./H. ELECT. 60X60 + J.9 PZ OLLAS</v>
          </cell>
        </row>
        <row r="568">
          <cell r="A568">
            <v>40297298</v>
          </cell>
          <cell r="B568" t="str">
            <v>COCINA A GAS FS 2R 965G X</v>
          </cell>
        </row>
        <row r="569">
          <cell r="A569">
            <v>40402025</v>
          </cell>
          <cell r="B569" t="str">
            <v>TUB 60 BLANCA</v>
          </cell>
        </row>
        <row r="570">
          <cell r="A570">
            <v>40402027</v>
          </cell>
          <cell r="B570" t="str">
            <v>TUB 60  NEGRA</v>
          </cell>
        </row>
        <row r="571">
          <cell r="A571">
            <v>40402028</v>
          </cell>
          <cell r="B571" t="str">
            <v>TUB 60 INOX CAMPANA (110V-60HZ) C/KIT</v>
          </cell>
        </row>
        <row r="572">
          <cell r="A572">
            <v>40437021</v>
          </cell>
          <cell r="B572" t="str">
            <v>DSS 980 INOX CAMPANA (110V-60HZ) C/KIT</v>
          </cell>
        </row>
        <row r="573">
          <cell r="A573">
            <v>40437220</v>
          </cell>
          <cell r="B573" t="str">
            <v>DLV 980 QUADRO CAMPANA (110V-60HZ) C/KIT</v>
          </cell>
        </row>
        <row r="574">
          <cell r="A574">
            <v>40446702</v>
          </cell>
          <cell r="B574" t="str">
            <v>GFH 55 INOX CAMPANA (110V-60HZ) C/KIT</v>
          </cell>
        </row>
        <row r="575">
          <cell r="A575">
            <v>40446712</v>
          </cell>
          <cell r="B575" t="str">
            <v>GFH 73 INOX CAMPANA (110V-60HZ) C/KIT</v>
          </cell>
        </row>
        <row r="576">
          <cell r="A576" t="str">
            <v>40446712E</v>
          </cell>
          <cell r="B576" t="str">
            <v>GFH 73 INOX CAMPANA (110V-60HZ) C/KIT</v>
          </cell>
        </row>
        <row r="577">
          <cell r="A577">
            <v>40455007</v>
          </cell>
          <cell r="B577" t="str">
            <v>NC 90 CRISTAL AHUMADO</v>
          </cell>
        </row>
        <row r="578">
          <cell r="A578">
            <v>40455212</v>
          </cell>
          <cell r="B578" t="str">
            <v>NC 2 90 CRISTAL AHUMADO (NC:40455335)</v>
          </cell>
        </row>
        <row r="579">
          <cell r="A579">
            <v>40455334</v>
          </cell>
          <cell r="B579" t="str">
            <v>NC 980 CRISTAL CAMPANA (110V-60HZ) C/KIT</v>
          </cell>
        </row>
        <row r="580">
          <cell r="A580">
            <v>40455335</v>
          </cell>
          <cell r="B580" t="str">
            <v>NC 980 FUME 110V/KIT NC:40455334</v>
          </cell>
        </row>
        <row r="581">
          <cell r="A581">
            <v>40460174</v>
          </cell>
          <cell r="B581" t="str">
            <v>DB 70 INOX CAMPANA</v>
          </cell>
        </row>
        <row r="582">
          <cell r="A582">
            <v>40460410</v>
          </cell>
          <cell r="B582" t="str">
            <v>DBB 60 INOX CAMPANA (110V-60HZ) C/KIT</v>
          </cell>
        </row>
        <row r="583">
          <cell r="A583">
            <v>40460430</v>
          </cell>
          <cell r="B583" t="str">
            <v>DBB 70 INOX CAMPANA (110V-60HZ) C/KIT</v>
          </cell>
        </row>
        <row r="584">
          <cell r="A584">
            <v>40460450</v>
          </cell>
          <cell r="B584" t="str">
            <v>DBB 90 INOX CAMPANA (110V-60HZ) C/KIT</v>
          </cell>
        </row>
        <row r="585">
          <cell r="A585">
            <v>40461505</v>
          </cell>
          <cell r="B585" t="str">
            <v>C 610 INOXIDABLE</v>
          </cell>
        </row>
        <row r="586">
          <cell r="A586">
            <v>40461506</v>
          </cell>
          <cell r="B586" t="str">
            <v>C 610 BLANCA CAMPANA (110V-60HZ) C/KIT</v>
          </cell>
        </row>
        <row r="587">
          <cell r="A587">
            <v>40461507</v>
          </cell>
          <cell r="B587" t="str">
            <v>C 610 NEGRA CAMPANA (110V-60HZ) C/KIT</v>
          </cell>
        </row>
        <row r="588">
          <cell r="A588">
            <v>40461543</v>
          </cell>
          <cell r="B588" t="str">
            <v>C 6310 INOX CAMPANA (110V-60HZ) C/KIT</v>
          </cell>
        </row>
        <row r="589">
          <cell r="A589">
            <v>40466109</v>
          </cell>
          <cell r="B589" t="str">
            <v>C 910 INOX CAMPANA (110V-60HZ) C/KIT</v>
          </cell>
        </row>
        <row r="590">
          <cell r="A590">
            <v>40466110</v>
          </cell>
          <cell r="B590" t="str">
            <v>C 910 BLANCA CAMPANA (110V-60HZ) C/KIT</v>
          </cell>
        </row>
        <row r="591">
          <cell r="A591">
            <v>40466111</v>
          </cell>
          <cell r="B591" t="str">
            <v>C 910 NEGRA CAMPANA (110V-60HZ) C/KIT</v>
          </cell>
        </row>
        <row r="592">
          <cell r="A592">
            <v>40466241</v>
          </cell>
          <cell r="B592" t="str">
            <v>C 9310 INOX CAMPANA (110V-60HZ) C/KIT</v>
          </cell>
        </row>
        <row r="593">
          <cell r="A593">
            <v>40466260</v>
          </cell>
          <cell r="B593" t="str">
            <v>C-9613 PRO INOX CAMPANA</v>
          </cell>
        </row>
        <row r="594">
          <cell r="A594">
            <v>40467303</v>
          </cell>
          <cell r="B594" t="str">
            <v>C 710 INOX CAMPANA (110V-60HZ) C/KIT</v>
          </cell>
        </row>
        <row r="595">
          <cell r="A595">
            <v>40467304</v>
          </cell>
          <cell r="B595" t="str">
            <v>C 710 BLANCA CAMPANA (110V-60HZ) C/KIT</v>
          </cell>
        </row>
        <row r="596">
          <cell r="A596">
            <v>40467305</v>
          </cell>
          <cell r="B596" t="str">
            <v>C 710 NEGRA CAMPANA (110V-60HZ) C/KIT</v>
          </cell>
        </row>
        <row r="597">
          <cell r="A597">
            <v>40467320</v>
          </cell>
          <cell r="B597" t="str">
            <v>C 7310 INOX CAMPANA (110V-60HZ) C/KIT</v>
          </cell>
        </row>
        <row r="598">
          <cell r="A598">
            <v>40468106</v>
          </cell>
          <cell r="B598" t="str">
            <v>ND ALADA ISLA CUERPO - DESCONTINUADO</v>
          </cell>
        </row>
        <row r="599">
          <cell r="A599">
            <v>40468108</v>
          </cell>
          <cell r="B599" t="str">
            <v>CUERPO ND ALADA INOXIDABLE</v>
          </cell>
        </row>
        <row r="600">
          <cell r="A600">
            <v>40468114</v>
          </cell>
          <cell r="B600" t="str">
            <v>ALADA ND 90 CRISTAL AHUMADO COMPLEMENTO</v>
          </cell>
        </row>
        <row r="601">
          <cell r="A601">
            <v>40468118</v>
          </cell>
          <cell r="B601" t="str">
            <v>ALADA ISLA CRISTAL AHUMADO COMPLEMENTO - DESCONTINUADO</v>
          </cell>
        </row>
        <row r="602">
          <cell r="A602">
            <v>40468122</v>
          </cell>
          <cell r="B602" t="str">
            <v>ALADA ND 90 INOXIDABLE COMPLEMENTO</v>
          </cell>
        </row>
        <row r="603">
          <cell r="A603">
            <v>40474239</v>
          </cell>
          <cell r="B603" t="str">
            <v>TL1 62 INOX</v>
          </cell>
        </row>
        <row r="604">
          <cell r="A604">
            <v>40474253</v>
          </cell>
          <cell r="B604" t="str">
            <v>CAMPANA TL 6310 INOX 110V/60Hz</v>
          </cell>
        </row>
        <row r="605">
          <cell r="A605">
            <v>40476141</v>
          </cell>
          <cell r="B605" t="str">
            <v>DM 70 INOXIDABLE</v>
          </cell>
        </row>
        <row r="606">
          <cell r="A606">
            <v>40476142</v>
          </cell>
          <cell r="B606" t="str">
            <v>DM 90 INOXIDABLE - CAMPANA</v>
          </cell>
        </row>
        <row r="607">
          <cell r="A607">
            <v>40478003</v>
          </cell>
          <cell r="B607" t="str">
            <v>DX 90 INOX CUERPO</v>
          </cell>
        </row>
        <row r="608">
          <cell r="A608">
            <v>40478010</v>
          </cell>
          <cell r="B608" t="str">
            <v>DX 90 CRISTAL AHUMADO COMPLEMENTO</v>
          </cell>
        </row>
        <row r="609">
          <cell r="A609">
            <v>40478503</v>
          </cell>
          <cell r="B609" t="str">
            <v>DX ISLA - CAMPANA (CUERPO)</v>
          </cell>
        </row>
        <row r="610">
          <cell r="A610">
            <v>40478510</v>
          </cell>
          <cell r="B610" t="str">
            <v>COMPLEMENTO CAMPANA ALA DX ISLA (CRISTAL)</v>
          </cell>
        </row>
        <row r="611">
          <cell r="A611">
            <v>40480301</v>
          </cell>
          <cell r="B611" t="str">
            <v>CC 40 ISLA INOX CAMPANA NC:40480321</v>
          </cell>
        </row>
        <row r="612">
          <cell r="A612">
            <v>40480321</v>
          </cell>
          <cell r="B612" t="str">
            <v>CC 480 ISLA INOX CAMPANA (40480301)</v>
          </cell>
        </row>
        <row r="613">
          <cell r="A613">
            <v>40482002</v>
          </cell>
          <cell r="B613" t="str">
            <v>DF 90 CRISTAL - CAMPANA</v>
          </cell>
        </row>
        <row r="614">
          <cell r="A614">
            <v>40482601</v>
          </cell>
          <cell r="B614" t="str">
            <v>DU 90 CRISTAL CAMPANA</v>
          </cell>
        </row>
        <row r="615">
          <cell r="A615">
            <v>40482620</v>
          </cell>
          <cell r="B615" t="str">
            <v>DU 980 CRISTAL CAMPANA (110V-60HZ) C/KIT</v>
          </cell>
        </row>
        <row r="616">
          <cell r="A616">
            <v>40483054</v>
          </cell>
          <cell r="B616" t="str">
            <v>DP E 90 INOX CAMPANA</v>
          </cell>
        </row>
        <row r="617">
          <cell r="A617">
            <v>40483101</v>
          </cell>
          <cell r="B617" t="str">
            <v>DPL 90 CAMPANA</v>
          </cell>
        </row>
        <row r="618">
          <cell r="A618">
            <v>40483141</v>
          </cell>
          <cell r="B618" t="str">
            <v>DPL 980  T CAMPANA (NC:112960004)</v>
          </cell>
        </row>
        <row r="619">
          <cell r="A619">
            <v>40483182</v>
          </cell>
          <cell r="B619" t="str">
            <v>CUERPO DPL ISLA 1180</v>
          </cell>
        </row>
        <row r="620">
          <cell r="A620">
            <v>40483183</v>
          </cell>
          <cell r="B620" t="str">
            <v>ESTRUCTURA DPL ISLA 1180</v>
          </cell>
        </row>
        <row r="621">
          <cell r="A621">
            <v>40483201</v>
          </cell>
          <cell r="B621" t="str">
            <v>DVL 90 CRISTAL CAMPANA</v>
          </cell>
        </row>
        <row r="622">
          <cell r="A622">
            <v>40483424</v>
          </cell>
          <cell r="B622" t="str">
            <v>DVE 90 CRISTAL CAMPANA</v>
          </cell>
        </row>
        <row r="623">
          <cell r="A623">
            <v>40483612</v>
          </cell>
          <cell r="B623" t="str">
            <v>DV 80 CRISTAL AHUMADO CAMPANA</v>
          </cell>
        </row>
        <row r="624">
          <cell r="A624">
            <v>40484121</v>
          </cell>
          <cell r="B624" t="str">
            <v>DH2 70 INOX CAMPANA (NC:40484174)</v>
          </cell>
        </row>
        <row r="625">
          <cell r="A625">
            <v>40484122</v>
          </cell>
          <cell r="B625" t="str">
            <v>DH2 90 INOX CAMPANA (NC: 40484175)</v>
          </cell>
        </row>
        <row r="626">
          <cell r="A626">
            <v>40484174</v>
          </cell>
          <cell r="B626" t="str">
            <v>DH 780 INOX CAMPANA (40484121)</v>
          </cell>
        </row>
        <row r="627">
          <cell r="A627">
            <v>40484175</v>
          </cell>
          <cell r="B627" t="str">
            <v>DH 980 INOX CAMPANA (40484122)</v>
          </cell>
        </row>
        <row r="628">
          <cell r="A628">
            <v>40484203</v>
          </cell>
          <cell r="B628" t="str">
            <v>DSH 785 INOX CAMPANA (110V-60HZ) C/KIT</v>
          </cell>
        </row>
        <row r="629">
          <cell r="A629">
            <v>40484204</v>
          </cell>
          <cell r="B629" t="str">
            <v>DSH 985 INOX CAMPANA (110V-60HZ) C/KIT</v>
          </cell>
        </row>
        <row r="630">
          <cell r="A630">
            <v>40484615</v>
          </cell>
          <cell r="B630" t="str">
            <v>DH2 ISLA CAMPANA</v>
          </cell>
        </row>
        <row r="631">
          <cell r="A631">
            <v>40484680</v>
          </cell>
          <cell r="B631" t="str">
            <v>ESTRUCTURA DH 2 ISLA 1280 INOX CAMPANA</v>
          </cell>
        </row>
        <row r="632">
          <cell r="A632">
            <v>40484681</v>
          </cell>
          <cell r="B632" t="str">
            <v>CUERPO DH 2 ISLA 1280 INOX CAMPANA</v>
          </cell>
        </row>
        <row r="633">
          <cell r="A633">
            <v>40484807</v>
          </cell>
          <cell r="B633" t="str">
            <v>DH 120 ISLA INOX CAMPANA  - DESCONTINUADO</v>
          </cell>
        </row>
        <row r="634">
          <cell r="A634">
            <v>40485125</v>
          </cell>
          <cell r="B634" t="str">
            <v>DG2 ISLA CAMPANA - DESCONTINUADO</v>
          </cell>
        </row>
        <row r="635">
          <cell r="A635">
            <v>40485126</v>
          </cell>
          <cell r="B635" t="str">
            <v>DG2 ISLA ESTRUCTURA - DESCONTINUADO</v>
          </cell>
        </row>
        <row r="636">
          <cell r="A636">
            <v>40485134</v>
          </cell>
          <cell r="B636" t="str">
            <v>DG3 90 ISLA 110 V C/KIT CAMPANA NC:40485141</v>
          </cell>
        </row>
        <row r="637">
          <cell r="A637">
            <v>40485141</v>
          </cell>
          <cell r="B637" t="str">
            <v>DG3 ISLA 980 110 V/KIT CAMPANA (40485134)</v>
          </cell>
        </row>
        <row r="638">
          <cell r="A638">
            <v>40485311</v>
          </cell>
          <cell r="B638" t="str">
            <v>DG3 70 CRISTAL CAMPANA (NC: 40485357)</v>
          </cell>
        </row>
        <row r="639">
          <cell r="A639">
            <v>40485312</v>
          </cell>
          <cell r="B639" t="str">
            <v>DG3 90 CRISTAL CAMPANA (NC:40485358)</v>
          </cell>
        </row>
        <row r="640">
          <cell r="A640">
            <v>40485357</v>
          </cell>
          <cell r="B640" t="str">
            <v>DG 780 CRISTAL CAMPANA (110V-60HZ) C/KIT</v>
          </cell>
        </row>
        <row r="641">
          <cell r="A641">
            <v>40485358</v>
          </cell>
          <cell r="B641" t="str">
            <v>DG 980 CRISTAL CAMPANA (110V-60HZ) C/KIT</v>
          </cell>
        </row>
        <row r="642">
          <cell r="A642">
            <v>40487192</v>
          </cell>
          <cell r="B642" t="str">
            <v>DLH 982 T INOX CAMPANA (110V-60HZ) C/KIT</v>
          </cell>
        </row>
        <row r="643">
          <cell r="A643">
            <v>40543209</v>
          </cell>
          <cell r="B643" t="str">
            <v>FG 924 INOXIDABLE</v>
          </cell>
        </row>
        <row r="644">
          <cell r="A644">
            <v>40578553</v>
          </cell>
          <cell r="B644" t="str">
            <v>TMW 20.2 BIS</v>
          </cell>
        </row>
        <row r="645">
          <cell r="A645">
            <v>40582211</v>
          </cell>
          <cell r="B645" t="str">
            <v>MW E 22 EGL</v>
          </cell>
        </row>
        <row r="646">
          <cell r="A646">
            <v>40582233</v>
          </cell>
          <cell r="B646" t="str">
            <v>MWS 22 EGL - MICROONDAS (NC: 40582241)</v>
          </cell>
        </row>
        <row r="647">
          <cell r="A647">
            <v>40582241</v>
          </cell>
          <cell r="B647" t="str">
            <v>MWS 22 EGL - MICROONDAS (40582233)</v>
          </cell>
        </row>
        <row r="648">
          <cell r="A648">
            <v>40582303</v>
          </cell>
          <cell r="B648" t="str">
            <v>MWL 22 EGL - MICROONDAS (NC: 40582314)</v>
          </cell>
        </row>
        <row r="649">
          <cell r="A649">
            <v>40582314</v>
          </cell>
          <cell r="B649" t="str">
            <v>MWL 22 EGL - MICROONDAS (40582303)</v>
          </cell>
        </row>
        <row r="650">
          <cell r="A650">
            <v>40583402</v>
          </cell>
          <cell r="B650" t="str">
            <v>MWL 20 BIS - MICROONDAS</v>
          </cell>
        </row>
        <row r="651">
          <cell r="A651">
            <v>40583809</v>
          </cell>
          <cell r="B651" t="str">
            <v>MWS 20 BIS EBON (NC: 40583810)</v>
          </cell>
        </row>
        <row r="652">
          <cell r="A652">
            <v>40583810</v>
          </cell>
          <cell r="B652" t="str">
            <v>MWS 20 BIS EBON - MICROONDAS (40583809)</v>
          </cell>
        </row>
        <row r="653">
          <cell r="A653">
            <v>40584012</v>
          </cell>
          <cell r="B653" t="str">
            <v>MS 620 BIS - MICROONDAS</v>
          </cell>
        </row>
        <row r="654">
          <cell r="A654">
            <v>40584105</v>
          </cell>
          <cell r="B654" t="str">
            <v>MS 622 BIS - MICROONDAS</v>
          </cell>
        </row>
        <row r="655">
          <cell r="A655">
            <v>40584202</v>
          </cell>
          <cell r="B655" t="str">
            <v>ML 820 BIS - MICROONDAS</v>
          </cell>
        </row>
        <row r="656">
          <cell r="A656">
            <v>40584305</v>
          </cell>
          <cell r="B656" t="str">
            <v>ML 822 BIS - MICROONDAS (112030008)</v>
          </cell>
        </row>
        <row r="657">
          <cell r="A657">
            <v>40584306</v>
          </cell>
          <cell r="B657" t="str">
            <v>ML 822 BIS - MICROONDAS BLANCO</v>
          </cell>
        </row>
        <row r="658">
          <cell r="A658">
            <v>40584401</v>
          </cell>
          <cell r="B658" t="str">
            <v>MLC 844 - MICROONDAS</v>
          </cell>
        </row>
        <row r="659">
          <cell r="A659">
            <v>40586010</v>
          </cell>
          <cell r="B659" t="str">
            <v>COMPACTO MW 32 BIS</v>
          </cell>
        </row>
        <row r="660">
          <cell r="A660">
            <v>40586101</v>
          </cell>
          <cell r="B660" t="str">
            <v>COMPACTO MWL 32 BIS (NC: 40586104)</v>
          </cell>
        </row>
        <row r="661">
          <cell r="A661">
            <v>40586104</v>
          </cell>
          <cell r="B661" t="str">
            <v>COMPACTO MWL 32 BIS (40586101)</v>
          </cell>
        </row>
        <row r="662">
          <cell r="A662">
            <v>40586510</v>
          </cell>
          <cell r="B662" t="str">
            <v>COMPACTO MW 32 BIT</v>
          </cell>
        </row>
        <row r="663">
          <cell r="A663">
            <v>40587602</v>
          </cell>
          <cell r="B663" t="str">
            <v>HLC 844 - MICROONDAS COMBI</v>
          </cell>
        </row>
        <row r="664">
          <cell r="A664">
            <v>40589001</v>
          </cell>
          <cell r="B664" t="str">
            <v>HKL 970 SC VAPOR (NC: 40589005)</v>
          </cell>
        </row>
        <row r="665">
          <cell r="A665">
            <v>40589005</v>
          </cell>
          <cell r="B665" t="str">
            <v>HKL 970 SC HORNO VAPOR (40589001)</v>
          </cell>
        </row>
        <row r="666">
          <cell r="A666">
            <v>40589020</v>
          </cell>
          <cell r="B666" t="str">
            <v>HLC 847 SC HORNO VAPOR COMBI</v>
          </cell>
        </row>
        <row r="667">
          <cell r="A667">
            <v>40589021</v>
          </cell>
          <cell r="B667" t="str">
            <v>HORNO A VAPOR COMBI HLC 847 SC 220V/60HZ</v>
          </cell>
        </row>
        <row r="668">
          <cell r="A668">
            <v>40589511</v>
          </cell>
          <cell r="B668" t="str">
            <v>CAFETERA INTEGRACION CML 45 INOX</v>
          </cell>
        </row>
        <row r="669">
          <cell r="A669">
            <v>40589900</v>
          </cell>
          <cell r="B669" t="str">
            <v>CALIENTAPLATOS CPEL-15</v>
          </cell>
        </row>
        <row r="670">
          <cell r="A670">
            <v>40589920</v>
          </cell>
          <cell r="B670" t="str">
            <v>CALIENTAPLATOS CP15 GS IX</v>
          </cell>
        </row>
        <row r="671">
          <cell r="A671">
            <v>40590830</v>
          </cell>
          <cell r="B671" t="str">
            <v>MWG 11X - MICROONDAS</v>
          </cell>
        </row>
        <row r="672">
          <cell r="A672">
            <v>40590835</v>
          </cell>
          <cell r="B672" t="str">
            <v>MWG 14X - MICROONDAS</v>
          </cell>
        </row>
        <row r="673">
          <cell r="A673">
            <v>40599050</v>
          </cell>
          <cell r="B673" t="str">
            <v>KIT EMPOTRABLE PARA COMPACTOS</v>
          </cell>
        </row>
        <row r="674">
          <cell r="A674">
            <v>40672012</v>
          </cell>
          <cell r="B674" t="str">
            <v>NFL 340 REFRIGERADORA</v>
          </cell>
        </row>
        <row r="675">
          <cell r="A675">
            <v>40682102</v>
          </cell>
          <cell r="B675" t="str">
            <v>RV 51C VINERA</v>
          </cell>
        </row>
        <row r="676">
          <cell r="A676">
            <v>40716160</v>
          </cell>
          <cell r="B676" t="str">
            <v>LAVAVAJILLAS DW 80 60 S INOX</v>
          </cell>
        </row>
        <row r="677">
          <cell r="A677">
            <v>40716165</v>
          </cell>
          <cell r="B677" t="str">
            <v>DW8 60 S INOX LAVAVAJILLAS</v>
          </cell>
        </row>
        <row r="678">
          <cell r="A678">
            <v>40716906</v>
          </cell>
          <cell r="B678" t="str">
            <v>DW8 60 S LAVAVAJILLAS (PUERTA INOX)</v>
          </cell>
        </row>
        <row r="679">
          <cell r="A679">
            <v>40722007</v>
          </cell>
          <cell r="B679" t="str">
            <v>DW8 80 FI M INOX LAVAVAJILLAS</v>
          </cell>
        </row>
        <row r="680">
          <cell r="A680">
            <v>40782127</v>
          </cell>
          <cell r="B680" t="str">
            <v>DW8 57 FIM PANELABLE LAVAVAJILLAS</v>
          </cell>
        </row>
        <row r="681">
          <cell r="A681">
            <v>40782128</v>
          </cell>
          <cell r="B681" t="str">
            <v>DW8 57 FIM-D LAVAVAJILLAS</v>
          </cell>
        </row>
        <row r="682">
          <cell r="A682">
            <v>40782510</v>
          </cell>
          <cell r="B682" t="str">
            <v>LP8 850 M LAVAVAJILLAS</v>
          </cell>
        </row>
        <row r="683">
          <cell r="A683">
            <v>40876090</v>
          </cell>
          <cell r="B683" t="str">
            <v>EMBELLECEDOR LAVADORA-SECADORA</v>
          </cell>
        </row>
        <row r="684">
          <cell r="A684">
            <v>40911302</v>
          </cell>
          <cell r="B684" t="str">
            <v>GRIFO MS1 CROMO - GRIFO COCINA</v>
          </cell>
        </row>
        <row r="685">
          <cell r="A685">
            <v>40931802</v>
          </cell>
          <cell r="B685" t="str">
            <v>MT EXTRAIBLE - GRIFO COCINA</v>
          </cell>
        </row>
        <row r="686">
          <cell r="A686">
            <v>40971802</v>
          </cell>
          <cell r="B686" t="str">
            <v>MS CROMO EXTRAIBLE - GRIFO COCINA</v>
          </cell>
        </row>
        <row r="687">
          <cell r="A687">
            <v>4097845</v>
          </cell>
          <cell r="B687" t="str">
            <v>GRIFO AQUATA EOB CHROME - GRIFO COCINA</v>
          </cell>
        </row>
        <row r="688">
          <cell r="A688">
            <v>41009001</v>
          </cell>
          <cell r="B688" t="str">
            <v>MONOMANDO EXT ME CROMO</v>
          </cell>
        </row>
        <row r="689">
          <cell r="A689">
            <v>41013002</v>
          </cell>
          <cell r="B689" t="str">
            <v>MP CROMO MONOMANDO (96911402)</v>
          </cell>
        </row>
        <row r="690">
          <cell r="A690">
            <v>41016102</v>
          </cell>
          <cell r="B690" t="str">
            <v>ML CROMO MONOMANDO (MT- 81911362)</v>
          </cell>
        </row>
        <row r="691">
          <cell r="A691">
            <v>41020101</v>
          </cell>
          <cell r="B691" t="str">
            <v>MC 10 PLUS CAÑO LARGO (979115IK)</v>
          </cell>
        </row>
        <row r="692">
          <cell r="A692">
            <v>41022030</v>
          </cell>
          <cell r="B692" t="str">
            <v>MX CROMO MONOM EXTR</v>
          </cell>
        </row>
        <row r="693">
          <cell r="A693">
            <v>41028100</v>
          </cell>
          <cell r="B693" t="str">
            <v>MG CROMO MONOMANDO(18151202)</v>
          </cell>
        </row>
        <row r="694">
          <cell r="A694">
            <v>41070000</v>
          </cell>
          <cell r="B694" t="str">
            <v>MONOMANDO JOY CROMO</v>
          </cell>
        </row>
        <row r="695">
          <cell r="A695">
            <v>41508110</v>
          </cell>
          <cell r="B695" t="str">
            <v>HS 535 INOX HORNO ELEC (NC: 41508410)</v>
          </cell>
        </row>
        <row r="696">
          <cell r="A696">
            <v>41508111</v>
          </cell>
          <cell r="B696" t="str">
            <v>HS 510 BLANCO HORNO ELEC</v>
          </cell>
        </row>
        <row r="697">
          <cell r="A697">
            <v>41508410</v>
          </cell>
          <cell r="B697" t="str">
            <v>HS 535 INOX HORNO ELEC (41508110)</v>
          </cell>
        </row>
        <row r="698">
          <cell r="A698">
            <v>41509010</v>
          </cell>
          <cell r="B698" t="str">
            <v>HE-535 INOX - HORNO ELEC</v>
          </cell>
        </row>
        <row r="699">
          <cell r="A699">
            <v>41509011</v>
          </cell>
          <cell r="B699" t="str">
            <v>HE 510 BLANCO - HORNO ELEC</v>
          </cell>
        </row>
        <row r="700">
          <cell r="A700">
            <v>41519010</v>
          </cell>
          <cell r="B700" t="str">
            <v>HE 635 INOX - HORNO ELEC</v>
          </cell>
        </row>
        <row r="701">
          <cell r="A701">
            <v>41521110</v>
          </cell>
          <cell r="B701" t="str">
            <v>HS 635 INOX HORNO ELEC (NC: 41521810)</v>
          </cell>
        </row>
        <row r="702">
          <cell r="A702">
            <v>41521810</v>
          </cell>
          <cell r="B702" t="str">
            <v>HS 635 INOX HORNO ELEC (41521110)</v>
          </cell>
        </row>
        <row r="703">
          <cell r="A703">
            <v>41522410</v>
          </cell>
          <cell r="B703" t="str">
            <v>HS 735 INOX HORNO ELEC (NC: 41523110)</v>
          </cell>
        </row>
        <row r="704">
          <cell r="A704">
            <v>41523010</v>
          </cell>
          <cell r="B704" t="str">
            <v>HE 735 INOX - HORNO ELEC</v>
          </cell>
        </row>
        <row r="705">
          <cell r="A705">
            <v>41523110</v>
          </cell>
          <cell r="B705" t="str">
            <v>HS 735 INOX HORNO ELEC (41522410)</v>
          </cell>
        </row>
        <row r="706">
          <cell r="A706">
            <v>41550210</v>
          </cell>
          <cell r="B706" t="str">
            <v>HA 820 INOX - HORNO ELEC</v>
          </cell>
        </row>
        <row r="707">
          <cell r="A707">
            <v>41551210</v>
          </cell>
          <cell r="B707" t="str">
            <v>HA 830 INOX - HORNO ELEC</v>
          </cell>
        </row>
        <row r="708">
          <cell r="A708">
            <v>41552810</v>
          </cell>
          <cell r="B708" t="str">
            <v>HL 840 INOX - HORNO ELEC (NC: 41553410)</v>
          </cell>
        </row>
        <row r="709">
          <cell r="A709">
            <v>41553410</v>
          </cell>
          <cell r="B709" t="str">
            <v>HL 840 INOX - HORNO ELEC (41552810)</v>
          </cell>
        </row>
        <row r="710">
          <cell r="A710">
            <v>41558710</v>
          </cell>
          <cell r="B710" t="str">
            <v>HL 890 INOX HORNO ELEC (NC: 41588410)</v>
          </cell>
        </row>
        <row r="711">
          <cell r="A711">
            <v>41560034</v>
          </cell>
          <cell r="B711" t="str">
            <v>HBB 510 BLANCO HORNO ELEC</v>
          </cell>
        </row>
        <row r="712">
          <cell r="A712">
            <v>41560041</v>
          </cell>
          <cell r="B712" t="str">
            <v>HBB 535 INOX HORNO ELEC</v>
          </cell>
        </row>
        <row r="713">
          <cell r="A713">
            <v>41560061</v>
          </cell>
          <cell r="B713" t="str">
            <v>HLB 830 INOX HORNO ELEC</v>
          </cell>
        </row>
        <row r="714">
          <cell r="A714">
            <v>41560074</v>
          </cell>
          <cell r="B714" t="str">
            <v>HLB 840 INOX HORNO ELEC</v>
          </cell>
        </row>
        <row r="715">
          <cell r="A715">
            <v>41560079</v>
          </cell>
          <cell r="B715" t="str">
            <v>HLB 840 BLANCO HORNO ELEC</v>
          </cell>
        </row>
        <row r="716">
          <cell r="A716">
            <v>41560096</v>
          </cell>
          <cell r="B716" t="str">
            <v>HLB 860 INOX HORNO ELEC</v>
          </cell>
        </row>
        <row r="717">
          <cell r="A717">
            <v>41560124</v>
          </cell>
          <cell r="B717" t="str">
            <v>HSB 615 INOX HORNO ELEC</v>
          </cell>
        </row>
        <row r="718">
          <cell r="A718">
            <v>41560142</v>
          </cell>
          <cell r="B718" t="str">
            <v>HSB 635 INOX HORNO ELEC (41521810)</v>
          </cell>
        </row>
        <row r="719">
          <cell r="A719">
            <v>41560151</v>
          </cell>
          <cell r="B719" t="str">
            <v>HSB 645 INOX HORNO ELEC (41523110)</v>
          </cell>
        </row>
        <row r="720">
          <cell r="A720">
            <v>41560166</v>
          </cell>
          <cell r="B720" t="str">
            <v>IOVEN HORNO ELEC.</v>
          </cell>
        </row>
        <row r="721">
          <cell r="A721">
            <v>41566023</v>
          </cell>
          <cell r="B721" t="str">
            <v>HLB 860 P INOX HORNO ELEC</v>
          </cell>
        </row>
        <row r="722">
          <cell r="A722">
            <v>41575310</v>
          </cell>
          <cell r="B722" t="str">
            <v>HL 830 INOX - HORNO ELEC (NC: 41575510)</v>
          </cell>
        </row>
        <row r="723">
          <cell r="A723">
            <v>41575510</v>
          </cell>
          <cell r="B723" t="str">
            <v>HL 830 INOX - HORNO ELEC (41575310)</v>
          </cell>
        </row>
        <row r="724">
          <cell r="A724">
            <v>41579810</v>
          </cell>
          <cell r="B724" t="str">
            <v>HL 870 INOX - HORNO ELEC NC:41580110</v>
          </cell>
        </row>
        <row r="725">
          <cell r="A725">
            <v>41580010</v>
          </cell>
          <cell r="B725" t="str">
            <v>HA 860 INOX - HORNO ELEC</v>
          </cell>
        </row>
        <row r="726">
          <cell r="A726">
            <v>41580110</v>
          </cell>
          <cell r="B726" t="str">
            <v>HL 870 INOX - HORNO ELEC (41579810)</v>
          </cell>
        </row>
        <row r="727">
          <cell r="A727">
            <v>41588410</v>
          </cell>
          <cell r="B727" t="str">
            <v>HL 890 INOX HORNO ELEC (41558710)</v>
          </cell>
        </row>
        <row r="728">
          <cell r="A728">
            <v>41592100</v>
          </cell>
          <cell r="B728" t="str">
            <v>HA 935 INOX - HORNO ELEC</v>
          </cell>
        </row>
        <row r="729">
          <cell r="A729">
            <v>41592210</v>
          </cell>
          <cell r="B729" t="str">
            <v>HL 940 INOX - HORNO ELEC NC:41592216</v>
          </cell>
        </row>
        <row r="730">
          <cell r="A730">
            <v>41592216</v>
          </cell>
          <cell r="B730" t="str">
            <v>HL 940 INOX - HORNO ELEC (41592210)</v>
          </cell>
        </row>
        <row r="731">
          <cell r="A731">
            <v>41592227</v>
          </cell>
          <cell r="B731" t="str">
            <v>HLF 940 INOX HORNO ELEC</v>
          </cell>
        </row>
        <row r="732">
          <cell r="A732">
            <v>41592300</v>
          </cell>
          <cell r="B732" t="str">
            <v>HML 840 INOX - HORNO ELEC</v>
          </cell>
        </row>
        <row r="733">
          <cell r="A733">
            <v>41592306</v>
          </cell>
          <cell r="B733" t="str">
            <v>HLF 840 INOX HORNO ELEC</v>
          </cell>
        </row>
        <row r="734">
          <cell r="A734">
            <v>41593001</v>
          </cell>
          <cell r="B734" t="str">
            <v>DHA 888 I DOBLE - HORNO ELEC</v>
          </cell>
        </row>
        <row r="735">
          <cell r="A735">
            <v>41593003</v>
          </cell>
          <cell r="B735" t="str">
            <v>DHA 888 - HORNO DOBLE ELEC</v>
          </cell>
        </row>
        <row r="736">
          <cell r="A736">
            <v>41593007</v>
          </cell>
          <cell r="B736" t="str">
            <v>HDL 888 I - HORNO ELEC (NC:41593010)</v>
          </cell>
        </row>
        <row r="737">
          <cell r="A737">
            <v>41593010</v>
          </cell>
          <cell r="B737" t="str">
            <v>HDL 888 I - HORNO ELEC (41593007)</v>
          </cell>
        </row>
        <row r="738">
          <cell r="A738">
            <v>41593015</v>
          </cell>
          <cell r="B738" t="str">
            <v>HLD 890 HORNO ELEC</v>
          </cell>
        </row>
        <row r="739">
          <cell r="A739">
            <v>41595020</v>
          </cell>
          <cell r="B739" t="str">
            <v>ADVAND COMBO 45.15 INOX (NC: 41595022)</v>
          </cell>
        </row>
        <row r="740">
          <cell r="A740">
            <v>41595022</v>
          </cell>
          <cell r="B740" t="str">
            <v>ADVAND COMBO 45.15 ELEC (41595020)</v>
          </cell>
        </row>
        <row r="741">
          <cell r="A741">
            <v>41595026</v>
          </cell>
          <cell r="B741" t="str">
            <v>HLD 45.15 HORNO ELEC</v>
          </cell>
        </row>
        <row r="742">
          <cell r="A742">
            <v>41596001</v>
          </cell>
          <cell r="B742" t="str">
            <v>HORNO HGL 824 I 127 50/60 LPG</v>
          </cell>
        </row>
        <row r="743">
          <cell r="A743">
            <v>41596006</v>
          </cell>
          <cell r="B743" t="str">
            <v>HLF 824 G SS HORNO A GAS</v>
          </cell>
        </row>
        <row r="744">
          <cell r="A744">
            <v>41596121</v>
          </cell>
          <cell r="B744" t="str">
            <v>HLF 924 G SS HORNO A GAS</v>
          </cell>
        </row>
        <row r="745">
          <cell r="A745">
            <v>41597410</v>
          </cell>
          <cell r="B745" t="str">
            <v>HORNO HGS 750 I 127 50/60 LPG</v>
          </cell>
        </row>
        <row r="746">
          <cell r="A746">
            <v>41597411</v>
          </cell>
          <cell r="B746" t="str">
            <v>HORNO HGS 750 R 127 50/60 LPG</v>
          </cell>
        </row>
        <row r="747">
          <cell r="A747">
            <v>41597501</v>
          </cell>
          <cell r="B747" t="str">
            <v>FGA 820 HORNO GAS</v>
          </cell>
        </row>
        <row r="748">
          <cell r="A748">
            <v>41598021</v>
          </cell>
          <cell r="B748" t="str">
            <v>CAFETERA CM 45 INOX</v>
          </cell>
        </row>
        <row r="749">
          <cell r="A749">
            <v>41598031</v>
          </cell>
          <cell r="B749" t="str">
            <v>CAFETERA INTEGRACION CLC 855 GM INOX</v>
          </cell>
        </row>
        <row r="750">
          <cell r="A750">
            <v>41599005</v>
          </cell>
          <cell r="B750" t="str">
            <v>PIEDRA VOLCANICA COMBO</v>
          </cell>
        </row>
        <row r="751">
          <cell r="A751">
            <v>41599012</v>
          </cell>
          <cell r="B751" t="str">
            <v>KIT MULTICOOK TEKA</v>
          </cell>
        </row>
        <row r="752">
          <cell r="A752">
            <v>461220200</v>
          </cell>
          <cell r="B752" t="str">
            <v>MT PLUS GRIFO BAÑO-DUCHA MURAL</v>
          </cell>
        </row>
        <row r="753">
          <cell r="A753">
            <v>462320200</v>
          </cell>
          <cell r="B753" t="str">
            <v>MT PLUS GRIFO DUCHA MURAL</v>
          </cell>
        </row>
        <row r="754">
          <cell r="A754" t="str">
            <v>46241TE00</v>
          </cell>
          <cell r="B754" t="str">
            <v>MT PLUS DUCHA MONOMANDO EMPOTRABLE</v>
          </cell>
        </row>
        <row r="755">
          <cell r="A755">
            <v>463420200</v>
          </cell>
          <cell r="B755" t="str">
            <v>MT PLUS GRIFO LAVABO CON DESAGUE</v>
          </cell>
        </row>
        <row r="756">
          <cell r="A756">
            <v>463460210</v>
          </cell>
          <cell r="B756" t="str">
            <v>MT PLUS GRIFO LAVABO</v>
          </cell>
        </row>
        <row r="757">
          <cell r="A757">
            <v>469780210</v>
          </cell>
          <cell r="B757" t="str">
            <v>GRIFO MTP 978  - GRIFO COCINA</v>
          </cell>
        </row>
        <row r="758">
          <cell r="A758">
            <v>49002040</v>
          </cell>
          <cell r="B758" t="str">
            <v>SET BATERIA INDUCCION (9 P)</v>
          </cell>
        </row>
        <row r="759">
          <cell r="A759">
            <v>49004840</v>
          </cell>
          <cell r="B759" t="str">
            <v>SET BATERIA INDUCCION (9 P)</v>
          </cell>
        </row>
        <row r="760">
          <cell r="A760" t="str">
            <v>49004840a</v>
          </cell>
          <cell r="B760" t="str">
            <v>SET BATERIA INDUCCION (9 P) kit</v>
          </cell>
        </row>
        <row r="761">
          <cell r="A761" t="str">
            <v>49004840E</v>
          </cell>
          <cell r="B761" t="str">
            <v>SET BATERIA INDUCCION (9 P) Exterior</v>
          </cell>
        </row>
        <row r="762">
          <cell r="A762">
            <v>49004848</v>
          </cell>
          <cell r="B762" t="str">
            <v>OLLA PROFESIONAL 25.4 L GRANDHOTEL 32CM</v>
          </cell>
        </row>
        <row r="763">
          <cell r="A763">
            <v>49004850</v>
          </cell>
          <cell r="B763" t="str">
            <v>OLLA PRESION OPEN CONTROL 8L 24cm</v>
          </cell>
        </row>
        <row r="764">
          <cell r="A764" t="str">
            <v>49004850a</v>
          </cell>
          <cell r="B764" t="str">
            <v>OLLA PRESION OPEN CONTROL 8L 24cm Kit</v>
          </cell>
        </row>
        <row r="765">
          <cell r="A765">
            <v>49004852</v>
          </cell>
          <cell r="B765" t="str">
            <v>OLLA PRESION OPEN CONTROL 4,5L 22cm</v>
          </cell>
        </row>
        <row r="766">
          <cell r="A766">
            <v>49004853</v>
          </cell>
          <cell r="B766" t="str">
            <v>OLLA PRESION OPEN CONTROL 6L 22cm</v>
          </cell>
        </row>
        <row r="767">
          <cell r="A767">
            <v>49004860</v>
          </cell>
          <cell r="B767" t="str">
            <v>SARTEN CONICA ANTIADHERENTE 20cm</v>
          </cell>
        </row>
        <row r="768">
          <cell r="A768">
            <v>49004861</v>
          </cell>
          <cell r="B768" t="str">
            <v>SARTEN CONICA ANTIADHERENTE 22cm</v>
          </cell>
        </row>
        <row r="769">
          <cell r="A769">
            <v>49004862</v>
          </cell>
          <cell r="B769" t="str">
            <v>SARTEN CONICA ANTIADHERENTE 24cm</v>
          </cell>
        </row>
        <row r="770">
          <cell r="A770">
            <v>49004863</v>
          </cell>
          <cell r="B770" t="str">
            <v>SARTEN CONICA ANTIADHERENTE 26cm</v>
          </cell>
        </row>
        <row r="771">
          <cell r="A771">
            <v>49004864</v>
          </cell>
          <cell r="B771" t="str">
            <v>SARTEN CONICA ANTIADHERENTE 28cm</v>
          </cell>
        </row>
        <row r="772">
          <cell r="A772">
            <v>49004865</v>
          </cell>
          <cell r="B772" t="str">
            <v>SARTEN CONICA 20cm</v>
          </cell>
        </row>
        <row r="773">
          <cell r="A773">
            <v>49004866</v>
          </cell>
          <cell r="B773" t="str">
            <v>SARTEN CONICA 22cm</v>
          </cell>
        </row>
        <row r="774">
          <cell r="A774">
            <v>49004867</v>
          </cell>
          <cell r="B774" t="str">
            <v>SARTEN CONICA 24cm</v>
          </cell>
        </row>
        <row r="775">
          <cell r="A775">
            <v>49004868</v>
          </cell>
          <cell r="B775" t="str">
            <v>SARTEN CONICA 26cm</v>
          </cell>
        </row>
        <row r="776">
          <cell r="A776">
            <v>49004869</v>
          </cell>
          <cell r="B776" t="str">
            <v>SARTEN CONICA 28cm</v>
          </cell>
        </row>
        <row r="777">
          <cell r="A777">
            <v>49004870</v>
          </cell>
          <cell r="B777" t="str">
            <v>GRILL CUADRADO ANTIADHERENTE 27x27cm</v>
          </cell>
        </row>
        <row r="778">
          <cell r="A778" t="str">
            <v>50342020Z</v>
          </cell>
          <cell r="B778" t="str">
            <v>AURA MOONLITE AZUL</v>
          </cell>
        </row>
        <row r="779">
          <cell r="A779">
            <v>503420218</v>
          </cell>
          <cell r="B779" t="str">
            <v>AURA MOONLITE VERDE</v>
          </cell>
        </row>
        <row r="780">
          <cell r="A780" t="str">
            <v>50342021R</v>
          </cell>
          <cell r="B780" t="str">
            <v>AURA MOONLITE ROJO</v>
          </cell>
        </row>
        <row r="781">
          <cell r="A781" t="str">
            <v>50342021Z</v>
          </cell>
          <cell r="B781" t="str">
            <v>AURA MOONLITE AZUL</v>
          </cell>
        </row>
        <row r="782">
          <cell r="A782">
            <v>509150210</v>
          </cell>
          <cell r="B782" t="str">
            <v>FRAME - GRIFO COCINA</v>
          </cell>
        </row>
        <row r="783">
          <cell r="A783" t="str">
            <v>50915TE10</v>
          </cell>
          <cell r="B783" t="str">
            <v>FRAME - GRIFO COCINA</v>
          </cell>
        </row>
        <row r="784">
          <cell r="A784" t="str">
            <v>50915TE10-H</v>
          </cell>
          <cell r="B784" t="str">
            <v>FRAME - GRIFO COCINA</v>
          </cell>
        </row>
        <row r="785">
          <cell r="A785">
            <v>5310212</v>
          </cell>
          <cell r="B785" t="str">
            <v>INCA GRIFO BAÑO-DUCHA MURAL</v>
          </cell>
        </row>
        <row r="786">
          <cell r="A786">
            <v>5317112</v>
          </cell>
          <cell r="B786" t="str">
            <v>INCA GRIFO BAÑO-DUCHA EMPOTRAR</v>
          </cell>
        </row>
        <row r="787">
          <cell r="A787">
            <v>5323212</v>
          </cell>
          <cell r="B787" t="str">
            <v>INCA GRIFO DUCHA MURAL</v>
          </cell>
        </row>
        <row r="788">
          <cell r="A788">
            <v>5324112</v>
          </cell>
          <cell r="B788" t="str">
            <v>INCA GRIFO DUCHA EMPOTRAR</v>
          </cell>
        </row>
        <row r="789">
          <cell r="A789">
            <v>53341612</v>
          </cell>
          <cell r="B789" t="str">
            <v>INCA GRIFO LAVABO</v>
          </cell>
        </row>
        <row r="790">
          <cell r="A790">
            <v>539121210</v>
          </cell>
          <cell r="B790" t="str">
            <v>IN 912 - GRIFO COCINA</v>
          </cell>
        </row>
        <row r="791">
          <cell r="A791">
            <v>539156200</v>
          </cell>
          <cell r="B791" t="str">
            <v>IN 915 - GRIFO COCINA DIY</v>
          </cell>
        </row>
        <row r="792">
          <cell r="A792" t="str">
            <v>53915620N</v>
          </cell>
          <cell r="B792" t="str">
            <v>IN 915 FULL BLACK - GRIFO COCINA</v>
          </cell>
        </row>
        <row r="793">
          <cell r="A793">
            <v>539391200</v>
          </cell>
          <cell r="B793" t="str">
            <v>IN 939 - GRIFO COCINA DIY</v>
          </cell>
        </row>
        <row r="794">
          <cell r="A794">
            <v>53991512</v>
          </cell>
          <cell r="B794" t="str">
            <v>IN 995 - GRIFO COCINA</v>
          </cell>
        </row>
        <row r="795">
          <cell r="A795">
            <v>539940200</v>
          </cell>
          <cell r="B795" t="str">
            <v>IN 994 - GRIFO COCINA</v>
          </cell>
        </row>
        <row r="796">
          <cell r="A796" t="str">
            <v>53995TE1FA</v>
          </cell>
          <cell r="B796" t="str">
            <v>INCA FASHION NARANJA - GRIFO COCINA</v>
          </cell>
        </row>
        <row r="797">
          <cell r="A797" t="str">
            <v>53995TE1FB</v>
          </cell>
          <cell r="B797" t="str">
            <v>INCA FASHION AZUL - GRIFO COCINA</v>
          </cell>
        </row>
        <row r="798">
          <cell r="A798" t="str">
            <v>53995TE1FM</v>
          </cell>
          <cell r="B798" t="str">
            <v>INCA FASHION GRIS - GRIFO COCINA</v>
          </cell>
        </row>
        <row r="799">
          <cell r="A799" t="str">
            <v>53995TE1FM-H</v>
          </cell>
          <cell r="B799" t="str">
            <v>INCA FASHION GRIS - GRIFO COCINA</v>
          </cell>
        </row>
        <row r="800">
          <cell r="A800" t="str">
            <v>53995TE1FN</v>
          </cell>
          <cell r="B800" t="str">
            <v>INCA FASHION NEGRO - GRIFO COCINA</v>
          </cell>
        </row>
        <row r="801">
          <cell r="A801" t="str">
            <v>53995TE1FN-H</v>
          </cell>
          <cell r="B801" t="str">
            <v>INCA FASHION NEGRO - GRIFO COCINA</v>
          </cell>
        </row>
        <row r="802">
          <cell r="A802" t="str">
            <v>53995TE1FP</v>
          </cell>
          <cell r="B802" t="str">
            <v>INCA FASHION ROSA - GRIFO COCINA</v>
          </cell>
        </row>
        <row r="803">
          <cell r="A803" t="str">
            <v>53995TE1FW</v>
          </cell>
          <cell r="B803" t="str">
            <v>INCA FASHION BLANCO - GRIFO COCINA</v>
          </cell>
        </row>
        <row r="804">
          <cell r="A804" t="str">
            <v>53995TE1FY</v>
          </cell>
          <cell r="B804" t="str">
            <v>INCA FASHION AMARILLO - GRIFO COCINA</v>
          </cell>
        </row>
        <row r="805">
          <cell r="A805">
            <v>551220200</v>
          </cell>
          <cell r="B805" t="str">
            <v>ALAIOR GRIFO BAÑO-DUCHA MURAL</v>
          </cell>
        </row>
        <row r="806">
          <cell r="A806">
            <v>552320200</v>
          </cell>
          <cell r="B806" t="str">
            <v>ALAIOR GRIFO DUCHA MURAL</v>
          </cell>
        </row>
        <row r="807">
          <cell r="A807" t="str">
            <v>55241TE00</v>
          </cell>
          <cell r="B807" t="str">
            <v>ALAIOR DUCHA MONOMANDO EMPOTRABLE</v>
          </cell>
        </row>
        <row r="808">
          <cell r="A808">
            <v>553460210</v>
          </cell>
          <cell r="B808" t="str">
            <v>ALAIOR GRIFO LAVABO</v>
          </cell>
        </row>
        <row r="809">
          <cell r="A809">
            <v>553660210</v>
          </cell>
          <cell r="B809" t="str">
            <v>ALAIOR GRIFO LAVABO ALTO</v>
          </cell>
        </row>
        <row r="810">
          <cell r="A810">
            <v>559950210</v>
          </cell>
          <cell r="B810" t="str">
            <v>SP 995 - GRIFO COCINA</v>
          </cell>
        </row>
        <row r="811">
          <cell r="A811">
            <v>60703046</v>
          </cell>
          <cell r="B811" t="str">
            <v>CONJ.INDUC.Ø180 OVAL TKG2LcN1/N2=300/300 Ls=420mm</v>
          </cell>
        </row>
        <row r="812">
          <cell r="A812">
            <v>60803165</v>
          </cell>
          <cell r="B812" t="str">
            <v>CONJUNTO TOUCH CONTROL AKO ARTEMIS II SLIDER 3i C/T</v>
          </cell>
        </row>
        <row r="813">
          <cell r="A813">
            <v>60803172</v>
          </cell>
          <cell r="B813" t="str">
            <v>CONJUNTO TOUCH CONTROL AKO G0 4i C/T</v>
          </cell>
        </row>
        <row r="814">
          <cell r="A814">
            <v>61001000</v>
          </cell>
          <cell r="B814" t="str">
            <v>VALVULA TEKA C/REBOSADER  CLASICO</v>
          </cell>
        </row>
        <row r="815">
          <cell r="A815">
            <v>61001034</v>
          </cell>
          <cell r="B815" t="str">
            <v>VALVULA CESTILLA.C -REB INOX</v>
          </cell>
        </row>
        <row r="816">
          <cell r="A816">
            <v>61001076</v>
          </cell>
          <cell r="B816" t="str">
            <v>CONJUNTO SIFON 2½C B (2 CODOS+1ALARG+2T)</v>
          </cell>
        </row>
        <row r="817">
          <cell r="A817">
            <v>61001097</v>
          </cell>
          <cell r="B817" t="str">
            <v>CONJUNTO SIFON 1C</v>
          </cell>
        </row>
        <row r="818">
          <cell r="A818">
            <v>61001104</v>
          </cell>
          <cell r="B818" t="str">
            <v>CONJUNTO SIFON 2C</v>
          </cell>
        </row>
        <row r="819">
          <cell r="A819">
            <v>61001108</v>
          </cell>
          <cell r="B819" t="str">
            <v>VALVULA CEST.INOX 18.10 C/R TK2003 L=230</v>
          </cell>
        </row>
        <row r="820">
          <cell r="A820">
            <v>61001109</v>
          </cell>
          <cell r="B820" t="str">
            <v>VALVULA CESTILLA AMARILLA</v>
          </cell>
        </row>
        <row r="821">
          <cell r="A821">
            <v>61001113</v>
          </cell>
          <cell r="B821" t="str">
            <v>CONJUNTO VALVULA CESTILLA 1C C/REB SIFON</v>
          </cell>
        </row>
        <row r="822">
          <cell r="A822">
            <v>61001189</v>
          </cell>
          <cell r="B822" t="str">
            <v>CONJUNTO VALVULA AUTOMATICA 2C S/R</v>
          </cell>
        </row>
        <row r="823">
          <cell r="A823">
            <v>61001190</v>
          </cell>
          <cell r="B823" t="str">
            <v>CONJ. VALVULA AUTOMATICA 1 1/2 C/S/R SIFON MANDO</v>
          </cell>
        </row>
        <row r="824">
          <cell r="A824">
            <v>61001192</v>
          </cell>
          <cell r="B824" t="str">
            <v>CONJ.VALVULA AUTOMAT. 1C C/R SF M.METAL(LCABLE=70)</v>
          </cell>
        </row>
        <row r="825">
          <cell r="A825">
            <v>61001199</v>
          </cell>
          <cell r="B825" t="str">
            <v>CONUNTO VALVULA CESTILLA CON REB STENA</v>
          </cell>
        </row>
        <row r="826">
          <cell r="A826">
            <v>61001229</v>
          </cell>
          <cell r="B826" t="str">
            <v>CONJ. VALVULA 1½" C/REB (REF.02179)</v>
          </cell>
        </row>
        <row r="827">
          <cell r="A827">
            <v>61001230</v>
          </cell>
          <cell r="B827" t="str">
            <v>VALVULA CESTILLA BLANCA*99191012</v>
          </cell>
        </row>
        <row r="828">
          <cell r="A828">
            <v>61001232</v>
          </cell>
          <cell r="B828" t="str">
            <v>VALV. CESTILLA T de F</v>
          </cell>
        </row>
        <row r="829">
          <cell r="A829">
            <v>61001269</v>
          </cell>
          <cell r="B829" t="str">
            <v>VALVULA CESTILLA AUTO 1C C/REB RECTANGULAR</v>
          </cell>
        </row>
        <row r="830">
          <cell r="A830">
            <v>61001272</v>
          </cell>
          <cell r="B830" t="str">
            <v>VALVULA CESTILLA C/REB RECTANGULAR</v>
          </cell>
        </row>
        <row r="831">
          <cell r="A831">
            <v>61001276</v>
          </cell>
          <cell r="B831" t="str">
            <v>VALVULA CESTILLA AUTO 61001269</v>
          </cell>
        </row>
        <row r="832">
          <cell r="A832">
            <v>61001300</v>
          </cell>
          <cell r="B832" t="str">
            <v>VALVULA TEKA 1½" C/REBOSADERO RED (61001320)</v>
          </cell>
        </row>
        <row r="833">
          <cell r="A833">
            <v>61001301</v>
          </cell>
          <cell r="B833" t="str">
            <v>VALVULA 1½" S/REBOSADERO INOX</v>
          </cell>
        </row>
        <row r="834">
          <cell r="A834">
            <v>61001302</v>
          </cell>
          <cell r="B834" t="str">
            <v>VALVULA CESTILLA C/REBOSADERO INOX</v>
          </cell>
        </row>
        <row r="835">
          <cell r="A835">
            <v>61001303</v>
          </cell>
          <cell r="B835" t="str">
            <v>VALVULA CESTILLA</v>
          </cell>
        </row>
        <row r="836">
          <cell r="A836">
            <v>61001305</v>
          </cell>
          <cell r="B836" t="str">
            <v>CONJUNTO VALVULAS CESTILLA C/S/REB INOX</v>
          </cell>
        </row>
        <row r="837">
          <cell r="A837">
            <v>61001320</v>
          </cell>
          <cell r="B837" t="str">
            <v>VALVULA TEKA  C/REBOSADERO RED (NC: 61001300)</v>
          </cell>
        </row>
        <row r="838">
          <cell r="A838">
            <v>61801232</v>
          </cell>
          <cell r="B838" t="str">
            <v>FILTRO CARBON TUB 60/C 761/C901/GF1/CNL1</v>
          </cell>
        </row>
        <row r="839">
          <cell r="A839">
            <v>61801236</v>
          </cell>
          <cell r="B839" t="str">
            <v>FILTRO CARBON ACTIVO CIRCULAR S2001</v>
          </cell>
        </row>
        <row r="840">
          <cell r="A840">
            <v>61801239</v>
          </cell>
          <cell r="B840" t="str">
            <v>FILTRO CAMPANA CONVENCIONAL C2R</v>
          </cell>
        </row>
        <row r="841">
          <cell r="A841">
            <v>61867050</v>
          </cell>
          <cell r="B841" t="str">
            <v>CAJA EMBALAJE C-700</v>
          </cell>
        </row>
        <row r="842">
          <cell r="A842">
            <v>622410200</v>
          </cell>
          <cell r="B842" t="str">
            <v>MM. FORMENTERA DUCHA EMPOTRABLE</v>
          </cell>
        </row>
        <row r="843">
          <cell r="A843" t="str">
            <v>62241TE00</v>
          </cell>
          <cell r="B843" t="str">
            <v>FORMENTERA DUCHA EMPOTR TK</v>
          </cell>
        </row>
        <row r="844">
          <cell r="A844" t="str">
            <v>62241TE10</v>
          </cell>
          <cell r="B844" t="str">
            <v>FORMENTERA DUHA EMPOTRAR - Grifo Baño</v>
          </cell>
        </row>
        <row r="845">
          <cell r="A845" t="str">
            <v>62346TE10</v>
          </cell>
          <cell r="B845" t="str">
            <v>FORMENTERA GRIFO LAVABO - Grifo Baño</v>
          </cell>
        </row>
        <row r="846">
          <cell r="A846" t="str">
            <v>62386TE10</v>
          </cell>
          <cell r="B846" t="str">
            <v>FORMENTERA GRIFO LAVABO CASCADA - Grifo Baño</v>
          </cell>
        </row>
        <row r="847">
          <cell r="A847" t="str">
            <v>62626TE10</v>
          </cell>
          <cell r="B847" t="str">
            <v>FORMENTERA GRIFO BIDET - Grifo Baño</v>
          </cell>
        </row>
        <row r="848">
          <cell r="A848">
            <v>629150210</v>
          </cell>
          <cell r="B848" t="str">
            <v>FO 915 - GRIFO COCINA</v>
          </cell>
        </row>
        <row r="849">
          <cell r="A849" t="str">
            <v>62915TE10</v>
          </cell>
          <cell r="B849" t="str">
            <v>FO 915 - GRIFO COCINA</v>
          </cell>
        </row>
        <row r="850">
          <cell r="A850" t="str">
            <v>62915TE10-H</v>
          </cell>
          <cell r="B850" t="str">
            <v>FO 915 - GRIFO COCINA</v>
          </cell>
        </row>
        <row r="851">
          <cell r="A851" t="str">
            <v>62915TE1N</v>
          </cell>
          <cell r="B851" t="str">
            <v>FO 915 - GRIFO COCINA NEGRO</v>
          </cell>
        </row>
        <row r="852">
          <cell r="A852" t="str">
            <v>62915TE1N-H</v>
          </cell>
          <cell r="B852" t="str">
            <v>FO 915 - GRIFO COCINA NEGRO</v>
          </cell>
        </row>
        <row r="853">
          <cell r="A853" t="str">
            <v>62915TE1W</v>
          </cell>
          <cell r="B853" t="str">
            <v>FO 915 - GRIFO COCINA BLANCO</v>
          </cell>
        </row>
        <row r="854">
          <cell r="A854" t="str">
            <v>629990200-H</v>
          </cell>
          <cell r="B854" t="str">
            <v>FO 999 - GRIFO COCINA</v>
          </cell>
        </row>
        <row r="855">
          <cell r="A855">
            <v>749140200</v>
          </cell>
          <cell r="B855" t="str">
            <v>INX 914 MONOMANDO (749140210)</v>
          </cell>
        </row>
        <row r="856">
          <cell r="A856">
            <v>749140210</v>
          </cell>
          <cell r="B856" t="str">
            <v>INX 914 (749140200) - GRIFO COCINA</v>
          </cell>
        </row>
        <row r="857">
          <cell r="A857">
            <v>749150200</v>
          </cell>
          <cell r="B857" t="str">
            <v>INX 915 - GRIFO COCINA</v>
          </cell>
        </row>
        <row r="858">
          <cell r="A858">
            <v>749390210</v>
          </cell>
          <cell r="B858" t="str">
            <v>INX 939 EXTRAIBLE - GRIFO COCINA</v>
          </cell>
        </row>
        <row r="859">
          <cell r="A859">
            <v>749830210</v>
          </cell>
          <cell r="B859" t="str">
            <v>INX 983 - GRIFO COCINA</v>
          </cell>
        </row>
        <row r="860">
          <cell r="A860">
            <v>780130200</v>
          </cell>
          <cell r="B860" t="str">
            <v>MM. EMPOTRADO 3 VIAS</v>
          </cell>
        </row>
        <row r="861">
          <cell r="A861">
            <v>7900150</v>
          </cell>
          <cell r="B861" t="str">
            <v>BALTIC (SOLO BARRA)</v>
          </cell>
        </row>
        <row r="862">
          <cell r="A862">
            <v>790027200</v>
          </cell>
          <cell r="B862" t="str">
            <v>UNIVERSE PRO</v>
          </cell>
        </row>
        <row r="863">
          <cell r="A863">
            <v>7900550</v>
          </cell>
          <cell r="B863" t="str">
            <v>DUCHA FLEXIBLE AUXILIAR</v>
          </cell>
        </row>
        <row r="864">
          <cell r="A864">
            <v>7900602</v>
          </cell>
          <cell r="B864" t="str">
            <v>ROCIADOR LATON ICE 200 MM</v>
          </cell>
        </row>
        <row r="865">
          <cell r="A865">
            <v>7900603</v>
          </cell>
          <cell r="B865" t="str">
            <v>ROCIADOR LATON 1820 200 MM</v>
          </cell>
        </row>
        <row r="866">
          <cell r="A866">
            <v>7900605</v>
          </cell>
          <cell r="B866" t="str">
            <v>ROCIADOR ASTRO</v>
          </cell>
        </row>
        <row r="867">
          <cell r="A867">
            <v>7900650</v>
          </cell>
          <cell r="B867" t="str">
            <v>ROCIADOR SPIN</v>
          </cell>
        </row>
        <row r="868">
          <cell r="A868">
            <v>7900651</v>
          </cell>
          <cell r="B868" t="str">
            <v>ROCIADOR OCEAN</v>
          </cell>
        </row>
        <row r="869">
          <cell r="A869">
            <v>7900654</v>
          </cell>
          <cell r="B869" t="str">
            <v>ROCIADOR  DISK</v>
          </cell>
        </row>
        <row r="870">
          <cell r="A870">
            <v>790066300</v>
          </cell>
          <cell r="B870" t="str">
            <v>ICE  L ROCIADOR</v>
          </cell>
        </row>
        <row r="871">
          <cell r="A871">
            <v>790066700</v>
          </cell>
          <cell r="B871" t="str">
            <v>ROCIADOR 300 INOX</v>
          </cell>
        </row>
        <row r="872">
          <cell r="A872">
            <v>790066800</v>
          </cell>
          <cell r="B872" t="str">
            <v>ROCIADOR 400 INOX</v>
          </cell>
        </row>
        <row r="873">
          <cell r="A873">
            <v>790067000</v>
          </cell>
          <cell r="B873" t="str">
            <v>ROCIADOR 300x300mm INOX</v>
          </cell>
        </row>
        <row r="874">
          <cell r="A874">
            <v>790067100</v>
          </cell>
          <cell r="B874" t="str">
            <v>ROCIADOR 400x400mm INOX</v>
          </cell>
        </row>
        <row r="875">
          <cell r="A875">
            <v>790067300</v>
          </cell>
          <cell r="B875" t="str">
            <v>ROCIADOR DE PARED 520X270X35</v>
          </cell>
        </row>
        <row r="876">
          <cell r="A876">
            <v>7900750</v>
          </cell>
          <cell r="B876" t="str">
            <v>BARRA DE DUCHA 200 mm</v>
          </cell>
        </row>
        <row r="877">
          <cell r="A877">
            <v>7900751</v>
          </cell>
          <cell r="B877" t="str">
            <v>BARRA DE DUCHA 300 mm</v>
          </cell>
        </row>
        <row r="878">
          <cell r="A878">
            <v>7900752</v>
          </cell>
          <cell r="B878" t="str">
            <v>BARRA DE DUCHA 400 mm</v>
          </cell>
        </row>
        <row r="879">
          <cell r="A879">
            <v>7901050</v>
          </cell>
          <cell r="B879" t="str">
            <v>TOMA DE AGUA</v>
          </cell>
        </row>
        <row r="880">
          <cell r="A880">
            <v>81216061</v>
          </cell>
          <cell r="B880" t="str">
            <v>PARRILLA FUNDICION 1G WOK CGW LUX 70 5G</v>
          </cell>
        </row>
        <row r="881">
          <cell r="A881">
            <v>81216067</v>
          </cell>
          <cell r="B881" t="str">
            <v>CISTAL CGW LUX 70 5G AI AL TR*</v>
          </cell>
        </row>
        <row r="882">
          <cell r="A882">
            <v>81476061</v>
          </cell>
          <cell r="B882" t="str">
            <v>BOTON PULSADOR</v>
          </cell>
        </row>
        <row r="883">
          <cell r="A883">
            <v>81543107</v>
          </cell>
          <cell r="B883" t="str">
            <v>JUNTA PUERTA FG 924</v>
          </cell>
        </row>
        <row r="884">
          <cell r="A884">
            <v>81543286</v>
          </cell>
          <cell r="B884" t="str">
            <v>CHAPA ENCENDIDO</v>
          </cell>
        </row>
        <row r="885">
          <cell r="A885">
            <v>81712071</v>
          </cell>
          <cell r="B885" t="str">
            <v>ASPERSOR SUERIOR LP7-770</v>
          </cell>
        </row>
        <row r="886">
          <cell r="A886">
            <v>81911362</v>
          </cell>
          <cell r="B886" t="str">
            <v>ML CROMO - GRIFO COCINA</v>
          </cell>
        </row>
        <row r="887">
          <cell r="A887">
            <v>81911462</v>
          </cell>
          <cell r="B887" t="str">
            <v>MN - GRIFO COCINA</v>
          </cell>
        </row>
        <row r="888">
          <cell r="A888">
            <v>8917102</v>
          </cell>
          <cell r="B888" t="str">
            <v>MA BAÑO-DUCHA</v>
          </cell>
        </row>
        <row r="889">
          <cell r="A889">
            <v>8924102</v>
          </cell>
          <cell r="B889" t="str">
            <v>MA DUCHA</v>
          </cell>
        </row>
        <row r="890">
          <cell r="A890">
            <v>89341602</v>
          </cell>
          <cell r="B890" t="str">
            <v>MA LAVABO</v>
          </cell>
        </row>
        <row r="891">
          <cell r="A891">
            <v>904131</v>
          </cell>
          <cell r="B891" t="str">
            <v>PASTILLAS FINISH POWERBALL ALL IN 1 (13 UNIDS.)</v>
          </cell>
        </row>
        <row r="892">
          <cell r="A892">
            <v>915111130</v>
          </cell>
          <cell r="B892" t="str">
            <v>FREGADERO ELIGO ELX78SXF-M</v>
          </cell>
        </row>
        <row r="893">
          <cell r="A893">
            <v>915411215</v>
          </cell>
          <cell r="B893" t="str">
            <v>FREGADERO ELIGO ELX 114 SXLF-DW DER</v>
          </cell>
        </row>
        <row r="894">
          <cell r="A894">
            <v>915411415</v>
          </cell>
          <cell r="B894" t="str">
            <v>FREGADERO ELIGO ELX 114 SXRF-DW IZQ</v>
          </cell>
        </row>
        <row r="895">
          <cell r="A895">
            <v>94228053</v>
          </cell>
          <cell r="B895" t="str">
            <v>INDUCTOR 260/210mm EGO GV (75.96475.078) IR 950</v>
          </cell>
        </row>
        <row r="896">
          <cell r="A896">
            <v>96911402</v>
          </cell>
          <cell r="B896" t="str">
            <v>MP CROMO - GRIFO COCINA</v>
          </cell>
        </row>
        <row r="897">
          <cell r="A897">
            <v>9717002</v>
          </cell>
          <cell r="B897" t="str">
            <v>MC 10 PLUS GRIFO BAÑO-DUCHA EMPOTRAR</v>
          </cell>
        </row>
        <row r="898">
          <cell r="A898">
            <v>9724002</v>
          </cell>
          <cell r="B898" t="str">
            <v>MC 10 PLUS GRIFO DUCHA EMPOTRAR</v>
          </cell>
        </row>
        <row r="899">
          <cell r="A899">
            <v>97341602</v>
          </cell>
          <cell r="B899" t="str">
            <v>MC 10 PLUS GRIFO LAVABO</v>
          </cell>
        </row>
        <row r="900">
          <cell r="A900" t="str">
            <v>979115IK</v>
          </cell>
          <cell r="B900" t="str">
            <v>MC 10 PLUS CAÑO LARGO GRIFO COCINA</v>
          </cell>
        </row>
        <row r="901">
          <cell r="A901" t="str">
            <v>97915TE10</v>
          </cell>
          <cell r="B901" t="str">
            <v>MC 10 PLUS CAÑO LARGO GRIFO COCINA</v>
          </cell>
        </row>
        <row r="902">
          <cell r="A902" t="str">
            <v>97915TE10-H</v>
          </cell>
          <cell r="B902" t="str">
            <v>MC 10 PLUS CAÑO LARGO - GRIFO COCINA</v>
          </cell>
        </row>
        <row r="903">
          <cell r="A903">
            <v>97931802</v>
          </cell>
          <cell r="B903" t="str">
            <v>MC 10 PLUS CAÑO ALTO CROMO GRIFO COCINA EXT</v>
          </cell>
        </row>
        <row r="904">
          <cell r="A904" t="str">
            <v>979718IK</v>
          </cell>
          <cell r="B904" t="str">
            <v>MC 10 PLUS CAÑO BAJO CROMO EXTRAIBLE</v>
          </cell>
        </row>
        <row r="905">
          <cell r="A905">
            <v>99191003</v>
          </cell>
          <cell r="B905" t="str">
            <v>VALVULA CESTI. C/REBS. SINTETIKA 99 BL.</v>
          </cell>
        </row>
        <row r="906">
          <cell r="A906">
            <v>99191012</v>
          </cell>
          <cell r="B906" t="str">
            <v>VALVULA CESTI. S/REBOS.SINTETIKA61001230</v>
          </cell>
        </row>
        <row r="907">
          <cell r="A907" t="str">
            <v>R1217400</v>
          </cell>
          <cell r="B907" t="str">
            <v>MINIMALISTIC CAÑO BAÑERA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anccornejo9@gmail.com" TargetMode="External"/><Relationship Id="rId671" Type="http://schemas.openxmlformats.org/officeDocument/2006/relationships/hyperlink" Target="mailto:LANEPOWELL03@GMAIL.COM" TargetMode="External"/><Relationship Id="rId769" Type="http://schemas.openxmlformats.org/officeDocument/2006/relationships/hyperlink" Target="mailto:karlafajardos.1997@gmail.com" TargetMode="External"/><Relationship Id="rId21" Type="http://schemas.openxmlformats.org/officeDocument/2006/relationships/hyperlink" Target="mailto:jossmerchan@hotmail.com" TargetMode="External"/><Relationship Id="rId324" Type="http://schemas.openxmlformats.org/officeDocument/2006/relationships/hyperlink" Target="mailto:carolina3124@yahoo.com" TargetMode="External"/><Relationship Id="rId531" Type="http://schemas.openxmlformats.org/officeDocument/2006/relationships/hyperlink" Target="mailto:pazreyescordero@hotmail.com" TargetMode="External"/><Relationship Id="rId629" Type="http://schemas.openxmlformats.org/officeDocument/2006/relationships/hyperlink" Target="mailto:J.C.QUIMIFARM@HOTMAIL.COM" TargetMode="External"/><Relationship Id="rId170" Type="http://schemas.openxmlformats.org/officeDocument/2006/relationships/hyperlink" Target="mailto:saraluzparrac@gmail.com" TargetMode="External"/><Relationship Id="rId836" Type="http://schemas.openxmlformats.org/officeDocument/2006/relationships/hyperlink" Target="mailto:ALEXANDRAIDROVO1989@GMAIL.COM" TargetMode="External"/><Relationship Id="rId268" Type="http://schemas.openxmlformats.org/officeDocument/2006/relationships/hyperlink" Target="mailto:paulcobos@gmail.com" TargetMode="External"/><Relationship Id="rId475" Type="http://schemas.openxmlformats.org/officeDocument/2006/relationships/hyperlink" Target="mailto:diegofer21@hotmail.com" TargetMode="External"/><Relationship Id="rId682" Type="http://schemas.openxmlformats.org/officeDocument/2006/relationships/hyperlink" Target="mailto:ADRICNBALAREZO8@GMAIL.COM" TargetMode="External"/><Relationship Id="rId32" Type="http://schemas.openxmlformats.org/officeDocument/2006/relationships/hyperlink" Target="mailto:jossmedrchan@hotmail.com" TargetMode="External"/><Relationship Id="rId128" Type="http://schemas.openxmlformats.org/officeDocument/2006/relationships/hyperlink" Target="mailto:luiscampoverderivera@gmail.com" TargetMode="External"/><Relationship Id="rId335" Type="http://schemas.openxmlformats.org/officeDocument/2006/relationships/hyperlink" Target="mailto:marcy-sarmy@hotmail.com" TargetMode="External"/><Relationship Id="rId542" Type="http://schemas.openxmlformats.org/officeDocument/2006/relationships/hyperlink" Target="mailto:pazreyescordero@hotmail.com" TargetMode="External"/><Relationship Id="rId181" Type="http://schemas.openxmlformats.org/officeDocument/2006/relationships/hyperlink" Target="mailto:wilson2587@hotmail.com" TargetMode="External"/><Relationship Id="rId402" Type="http://schemas.openxmlformats.org/officeDocument/2006/relationships/hyperlink" Target="mailto:ecuasa@hotmail.com" TargetMode="External"/><Relationship Id="rId847" Type="http://schemas.openxmlformats.org/officeDocument/2006/relationships/hyperlink" Target="mailto:TURIZO3@HOTMAIL.COM" TargetMode="External"/><Relationship Id="rId279" Type="http://schemas.openxmlformats.org/officeDocument/2006/relationships/hyperlink" Target="mailto:freddyanaluc11@gmail.com" TargetMode="External"/><Relationship Id="rId486" Type="http://schemas.openxmlformats.org/officeDocument/2006/relationships/hyperlink" Target="mailto:psolis@hotmail.com" TargetMode="External"/><Relationship Id="rId693" Type="http://schemas.openxmlformats.org/officeDocument/2006/relationships/hyperlink" Target="mailto:KARINAORELLANA0122@GMAIL.COM" TargetMode="External"/><Relationship Id="rId707" Type="http://schemas.openxmlformats.org/officeDocument/2006/relationships/hyperlink" Target="mailto:JAIMELOPEZNOVILLO@HOTMAIL.COM" TargetMode="External"/><Relationship Id="rId43" Type="http://schemas.openxmlformats.org/officeDocument/2006/relationships/hyperlink" Target="mailto:andresmks15@gmail.com" TargetMode="External"/><Relationship Id="rId139" Type="http://schemas.openxmlformats.org/officeDocument/2006/relationships/hyperlink" Target="mailto:oscardanielruiz25@gmail.com" TargetMode="External"/><Relationship Id="rId346" Type="http://schemas.openxmlformats.org/officeDocument/2006/relationships/hyperlink" Target="mailto:jorgemendez5@hotmail.com" TargetMode="External"/><Relationship Id="rId553" Type="http://schemas.openxmlformats.org/officeDocument/2006/relationships/hyperlink" Target="mailto:gailaj_1036@yahoo.com" TargetMode="External"/><Relationship Id="rId760" Type="http://schemas.openxmlformats.org/officeDocument/2006/relationships/hyperlink" Target="mailto:PCARRIORAREVALO@GMAIL.COM" TargetMode="External"/><Relationship Id="rId192" Type="http://schemas.openxmlformats.org/officeDocument/2006/relationships/hyperlink" Target="mailto:gerencia@comexmi.com" TargetMode="External"/><Relationship Id="rId206" Type="http://schemas.openxmlformats.org/officeDocument/2006/relationships/hyperlink" Target="mailto:yolandamore7@hotmail.com" TargetMode="External"/><Relationship Id="rId413" Type="http://schemas.openxmlformats.org/officeDocument/2006/relationships/hyperlink" Target="mailto:eeorellana@hotmail.com" TargetMode="External"/><Relationship Id="rId858" Type="http://schemas.openxmlformats.org/officeDocument/2006/relationships/hyperlink" Target="mailto:SAPGLORIA@YAHOO.COM" TargetMode="External"/><Relationship Id="rId497" Type="http://schemas.openxmlformats.org/officeDocument/2006/relationships/hyperlink" Target="mailto:sandyluzuriaga04@hotmail.com" TargetMode="External"/><Relationship Id="rId620" Type="http://schemas.openxmlformats.org/officeDocument/2006/relationships/hyperlink" Target="mailto:VERO.GUAMAN04@GMAIL.COM" TargetMode="External"/><Relationship Id="rId718" Type="http://schemas.openxmlformats.org/officeDocument/2006/relationships/hyperlink" Target="mailto:FACTURACIONFGB@OUTLOOK.COM" TargetMode="External"/><Relationship Id="rId357" Type="http://schemas.openxmlformats.org/officeDocument/2006/relationships/hyperlink" Target="mailto:paulina_andrade_p@hotmail.com" TargetMode="External"/><Relationship Id="rId54" Type="http://schemas.openxmlformats.org/officeDocument/2006/relationships/hyperlink" Target="mailto:dp.ortizc@hotmail.com" TargetMode="External"/><Relationship Id="rId217" Type="http://schemas.openxmlformats.org/officeDocument/2006/relationships/hyperlink" Target="mailto:jessica.alvarezmonroy@gmail.com" TargetMode="External"/><Relationship Id="rId564" Type="http://schemas.openxmlformats.org/officeDocument/2006/relationships/hyperlink" Target="mailto:verobermeo5@gmail.com" TargetMode="External"/><Relationship Id="rId771" Type="http://schemas.openxmlformats.org/officeDocument/2006/relationships/hyperlink" Target="mailto:karlafajardos.1997@gmail.com" TargetMode="External"/><Relationship Id="rId869" Type="http://schemas.openxmlformats.org/officeDocument/2006/relationships/hyperlink" Target="mailto:PAMELABORJA88@HOTMAIL.COM" TargetMode="External"/><Relationship Id="rId424" Type="http://schemas.openxmlformats.org/officeDocument/2006/relationships/hyperlink" Target="mailto:alexamor.1208@gmail.com" TargetMode="External"/><Relationship Id="rId631" Type="http://schemas.openxmlformats.org/officeDocument/2006/relationships/hyperlink" Target="mailto:J.VELECELA@HOTMAIL.COM" TargetMode="External"/><Relationship Id="rId729" Type="http://schemas.openxmlformats.org/officeDocument/2006/relationships/hyperlink" Target="mailto:LADY87@YAHOO.COM" TargetMode="External"/><Relationship Id="rId270" Type="http://schemas.openxmlformats.org/officeDocument/2006/relationships/hyperlink" Target="mailto:isamrezl@gmail.com" TargetMode="External"/><Relationship Id="rId65" Type="http://schemas.openxmlformats.org/officeDocument/2006/relationships/hyperlink" Target="mailto:janchundiaheredia@gmail.com" TargetMode="External"/><Relationship Id="rId130" Type="http://schemas.openxmlformats.org/officeDocument/2006/relationships/hyperlink" Target="mailto:luiscampoverderivera@gmail.com" TargetMode="External"/><Relationship Id="rId368" Type="http://schemas.openxmlformats.org/officeDocument/2006/relationships/hyperlink" Target="mailto:xfbernalb2014@hotmail.com" TargetMode="External"/><Relationship Id="rId575" Type="http://schemas.openxmlformats.org/officeDocument/2006/relationships/hyperlink" Target="mailto:vivvelezq28@gmail.com" TargetMode="External"/><Relationship Id="rId782" Type="http://schemas.openxmlformats.org/officeDocument/2006/relationships/hyperlink" Target="mailto:LUPITAGL27@HOTMAIL.COM" TargetMode="External"/><Relationship Id="rId228" Type="http://schemas.openxmlformats.org/officeDocument/2006/relationships/hyperlink" Target="mailto:jessica.alvarezmonroy@gmail.com" TargetMode="External"/><Relationship Id="rId435" Type="http://schemas.openxmlformats.org/officeDocument/2006/relationships/hyperlink" Target="mailto:maria.enderica@yahoo.com" TargetMode="External"/><Relationship Id="rId642" Type="http://schemas.openxmlformats.org/officeDocument/2006/relationships/hyperlink" Target="mailto:LACASADELSAZONCUENCA@GMAIL.COM" TargetMode="External"/><Relationship Id="rId281" Type="http://schemas.openxmlformats.org/officeDocument/2006/relationships/hyperlink" Target="mailto:gabrielaq@1988@gmail.com" TargetMode="External"/><Relationship Id="rId502" Type="http://schemas.openxmlformats.org/officeDocument/2006/relationships/hyperlink" Target="mailto:amavellejo79@outlook.es" TargetMode="External"/><Relationship Id="rId76" Type="http://schemas.openxmlformats.org/officeDocument/2006/relationships/hyperlink" Target="mailto:jorgeluis350000@hotmail.com" TargetMode="External"/><Relationship Id="rId141" Type="http://schemas.openxmlformats.org/officeDocument/2006/relationships/hyperlink" Target="mailto:marthacobosm@hotmail.com" TargetMode="External"/><Relationship Id="rId379" Type="http://schemas.openxmlformats.org/officeDocument/2006/relationships/hyperlink" Target="mailto:jeimisramosmunori@gmail.com" TargetMode="External"/><Relationship Id="rId586" Type="http://schemas.openxmlformats.org/officeDocument/2006/relationships/hyperlink" Target="mailto:edniola@live.com" TargetMode="External"/><Relationship Id="rId793" Type="http://schemas.openxmlformats.org/officeDocument/2006/relationships/hyperlink" Target="mailto:MARYMO88@HOTMAIL.COM" TargetMode="External"/><Relationship Id="rId807" Type="http://schemas.openxmlformats.org/officeDocument/2006/relationships/hyperlink" Target="mailto:LUISROMO@AUTOEXFO.EC" TargetMode="External"/><Relationship Id="rId7" Type="http://schemas.openxmlformats.org/officeDocument/2006/relationships/hyperlink" Target="mailto:a.landy@hotmail.com" TargetMode="External"/><Relationship Id="rId239" Type="http://schemas.openxmlformats.org/officeDocument/2006/relationships/hyperlink" Target="mailto:jakelinnecordova@hotmail.com" TargetMode="External"/><Relationship Id="rId446" Type="http://schemas.openxmlformats.org/officeDocument/2006/relationships/hyperlink" Target="mailto:analucia.illescas@gmail.com" TargetMode="External"/><Relationship Id="rId653" Type="http://schemas.openxmlformats.org/officeDocument/2006/relationships/hyperlink" Target="mailto:GERENCIA@GESTIONSEGURA.COM.EC" TargetMode="External"/><Relationship Id="rId292" Type="http://schemas.openxmlformats.org/officeDocument/2006/relationships/hyperlink" Target="mailto:fernandomarin33@outlook.com" TargetMode="External"/><Relationship Id="rId306" Type="http://schemas.openxmlformats.org/officeDocument/2006/relationships/hyperlink" Target="mailto:adrianheras@iclod.com" TargetMode="External"/><Relationship Id="rId860" Type="http://schemas.openxmlformats.org/officeDocument/2006/relationships/hyperlink" Target="mailto:SEBASTIANLARRIVANOVO@GMAIL.COM" TargetMode="External"/><Relationship Id="rId87" Type="http://schemas.openxmlformats.org/officeDocument/2006/relationships/hyperlink" Target="mailto:log8356401@gmail.com" TargetMode="External"/><Relationship Id="rId513" Type="http://schemas.openxmlformats.org/officeDocument/2006/relationships/hyperlink" Target="mailto:nreyes@gmail.com" TargetMode="External"/><Relationship Id="rId597" Type="http://schemas.openxmlformats.org/officeDocument/2006/relationships/hyperlink" Target="mailto:ADMINISTRATIVO@SERVICIONOTARIAL.COM" TargetMode="External"/><Relationship Id="rId720" Type="http://schemas.openxmlformats.org/officeDocument/2006/relationships/hyperlink" Target="mailto:KATALINAGOME.92@GMAIL.COM" TargetMode="External"/><Relationship Id="rId818" Type="http://schemas.openxmlformats.org/officeDocument/2006/relationships/hyperlink" Target="mailto:DAVIDMUNOX30@HOTMAIL.COM" TargetMode="External"/><Relationship Id="rId152" Type="http://schemas.openxmlformats.org/officeDocument/2006/relationships/hyperlink" Target="mailto:dignasaltoc@gmail.com" TargetMode="External"/><Relationship Id="rId457" Type="http://schemas.openxmlformats.org/officeDocument/2006/relationships/hyperlink" Target="mailto:fati.toral.leon@gmail.com" TargetMode="External"/><Relationship Id="rId664" Type="http://schemas.openxmlformats.org/officeDocument/2006/relationships/hyperlink" Target="mailto:MERCY.ARCE@TEKA.EC" TargetMode="External"/><Relationship Id="rId871" Type="http://schemas.openxmlformats.org/officeDocument/2006/relationships/hyperlink" Target="mailto:WILMACUMANDACS@GMAIL.COM" TargetMode="External"/><Relationship Id="rId14" Type="http://schemas.openxmlformats.org/officeDocument/2006/relationships/hyperlink" Target="mailto:biachi2309@hotmail.com" TargetMode="External"/><Relationship Id="rId317" Type="http://schemas.openxmlformats.org/officeDocument/2006/relationships/hyperlink" Target="mailto:damisar.rojas.12@gmail.com" TargetMode="External"/><Relationship Id="rId524" Type="http://schemas.openxmlformats.org/officeDocument/2006/relationships/hyperlink" Target="mailto:ptorresz@hotmail.com" TargetMode="External"/><Relationship Id="rId731" Type="http://schemas.openxmlformats.org/officeDocument/2006/relationships/hyperlink" Target="mailto:MAURYGARNICA@ICLOUD.COM" TargetMode="External"/><Relationship Id="rId98" Type="http://schemas.openxmlformats.org/officeDocument/2006/relationships/hyperlink" Target="mailto:mirotaxi@live.com" TargetMode="External"/><Relationship Id="rId163" Type="http://schemas.openxmlformats.org/officeDocument/2006/relationships/hyperlink" Target="mailto:fedecordero@yahoo.com" TargetMode="External"/><Relationship Id="rId370" Type="http://schemas.openxmlformats.org/officeDocument/2006/relationships/hyperlink" Target="mailto:xfbernalb2014@hotmail.com" TargetMode="External"/><Relationship Id="rId829" Type="http://schemas.openxmlformats.org/officeDocument/2006/relationships/hyperlink" Target="mailto:GABIMU&#209;OZZB@GMAIL.COM" TargetMode="External"/><Relationship Id="rId230" Type="http://schemas.openxmlformats.org/officeDocument/2006/relationships/hyperlink" Target="mailto:jessica.alvarezmonroy@gmail.com" TargetMode="External"/><Relationship Id="rId468" Type="http://schemas.openxmlformats.org/officeDocument/2006/relationships/hyperlink" Target="mailto:patho1924@gmail.com" TargetMode="External"/><Relationship Id="rId675" Type="http://schemas.openxmlformats.org/officeDocument/2006/relationships/hyperlink" Target="mailto:M.A.DEBLOIS@HOTMAIL.COM" TargetMode="External"/><Relationship Id="rId882" Type="http://schemas.openxmlformats.org/officeDocument/2006/relationships/hyperlink" Target="mailto:LUPEYARIS@YAHOO.COM" TargetMode="External"/><Relationship Id="rId25" Type="http://schemas.openxmlformats.org/officeDocument/2006/relationships/hyperlink" Target="mailto:jorgeguillermod@hotmail.com" TargetMode="External"/><Relationship Id="rId328" Type="http://schemas.openxmlformats.org/officeDocument/2006/relationships/hyperlink" Target="mailto:ximenazu&#241;iga@hotmail.com" TargetMode="External"/><Relationship Id="rId535" Type="http://schemas.openxmlformats.org/officeDocument/2006/relationships/hyperlink" Target="mailto:arqmariaelisamoscos@hotmail.com" TargetMode="External"/><Relationship Id="rId742" Type="http://schemas.openxmlformats.org/officeDocument/2006/relationships/hyperlink" Target="mailto:MARCOESTEBAN25@YAHOO.COM" TargetMode="External"/><Relationship Id="rId174" Type="http://schemas.openxmlformats.org/officeDocument/2006/relationships/hyperlink" Target="mailto:lourdeseliana@icloud.com" TargetMode="External"/><Relationship Id="rId381" Type="http://schemas.openxmlformats.org/officeDocument/2006/relationships/hyperlink" Target="mailto:angipa@live.com" TargetMode="External"/><Relationship Id="rId602" Type="http://schemas.openxmlformats.org/officeDocument/2006/relationships/hyperlink" Target="mailto:KEYNEJAD@AOL.COM" TargetMode="External"/><Relationship Id="rId241" Type="http://schemas.openxmlformats.org/officeDocument/2006/relationships/hyperlink" Target="mailto:jakelinnecordova@hotmail.com" TargetMode="External"/><Relationship Id="rId479" Type="http://schemas.openxmlformats.org/officeDocument/2006/relationships/hyperlink" Target="mailto:jennycoronel@hotmail.com" TargetMode="External"/><Relationship Id="rId686" Type="http://schemas.openxmlformats.org/officeDocument/2006/relationships/hyperlink" Target="mailto:ELIZ.ECO.122@GMAIL.COM" TargetMode="External"/><Relationship Id="rId893" Type="http://schemas.openxmlformats.org/officeDocument/2006/relationships/hyperlink" Target="mailto:XINAMENDEZ@GMAIL.COM" TargetMode="External"/><Relationship Id="rId36" Type="http://schemas.openxmlformats.org/officeDocument/2006/relationships/hyperlink" Target="mailto:txavierbarrera@hotmail.com" TargetMode="External"/><Relationship Id="rId339" Type="http://schemas.openxmlformats.org/officeDocument/2006/relationships/hyperlink" Target="mailto:domevinnie@gmail.com" TargetMode="External"/><Relationship Id="rId546" Type="http://schemas.openxmlformats.org/officeDocument/2006/relationships/hyperlink" Target="mailto:elianamunoz@gmail.com" TargetMode="External"/><Relationship Id="rId753" Type="http://schemas.openxmlformats.org/officeDocument/2006/relationships/hyperlink" Target="mailto:LMLOJIRON@GMAIL.COM" TargetMode="External"/><Relationship Id="rId101" Type="http://schemas.openxmlformats.org/officeDocument/2006/relationships/hyperlink" Target="mailto:argudoim@hotmail.com" TargetMode="External"/><Relationship Id="rId185" Type="http://schemas.openxmlformats.org/officeDocument/2006/relationships/hyperlink" Target="mailto:ad.paulapiedra@gmail.com" TargetMode="External"/><Relationship Id="rId406" Type="http://schemas.openxmlformats.org/officeDocument/2006/relationships/hyperlink" Target="mailto:marceabad@hotmail.com" TargetMode="External"/><Relationship Id="rId392" Type="http://schemas.openxmlformats.org/officeDocument/2006/relationships/hyperlink" Target="mailto:adrianaurgiles44@gmail.com" TargetMode="External"/><Relationship Id="rId613" Type="http://schemas.openxmlformats.org/officeDocument/2006/relationships/hyperlink" Target="mailto:ERICPFEFFERKORN777@GMAIL.COM" TargetMode="External"/><Relationship Id="rId697" Type="http://schemas.openxmlformats.org/officeDocument/2006/relationships/hyperlink" Target="mailto:SILENTTODO@GMAIL.COM" TargetMode="External"/><Relationship Id="rId820" Type="http://schemas.openxmlformats.org/officeDocument/2006/relationships/hyperlink" Target="mailto:EUGENIAMOLINA42@HOTMAIL.COM" TargetMode="External"/><Relationship Id="rId252" Type="http://schemas.openxmlformats.org/officeDocument/2006/relationships/hyperlink" Target="mailto:oscarchamba@hotmail.com" TargetMode="External"/><Relationship Id="rId47" Type="http://schemas.openxmlformats.org/officeDocument/2006/relationships/hyperlink" Target="mailto:alfredotosimurillo@gmail.com" TargetMode="External"/><Relationship Id="rId112" Type="http://schemas.openxmlformats.org/officeDocument/2006/relationships/hyperlink" Target="mailto:sami4.3@hotmail.com" TargetMode="External"/><Relationship Id="rId557" Type="http://schemas.openxmlformats.org/officeDocument/2006/relationships/hyperlink" Target="mailto:jj.roesner@gmail.com" TargetMode="External"/><Relationship Id="rId764" Type="http://schemas.openxmlformats.org/officeDocument/2006/relationships/hyperlink" Target="mailto:BSOLIS1957@GMAIL.COM" TargetMode="External"/><Relationship Id="rId196" Type="http://schemas.openxmlformats.org/officeDocument/2006/relationships/hyperlink" Target="mailto:ivanmau1590@gmail.com" TargetMode="External"/><Relationship Id="rId417" Type="http://schemas.openxmlformats.org/officeDocument/2006/relationships/hyperlink" Target="mailto:paolaurgilesv@gmail.com" TargetMode="External"/><Relationship Id="rId624" Type="http://schemas.openxmlformats.org/officeDocument/2006/relationships/hyperlink" Target="mailto:VERITOPURUNCAJAS@HOTMAIL.COM" TargetMode="External"/><Relationship Id="rId831" Type="http://schemas.openxmlformats.org/officeDocument/2006/relationships/hyperlink" Target="mailto:CLARAMEDINALEON@HOTMAIL.ES" TargetMode="External"/><Relationship Id="rId263" Type="http://schemas.openxmlformats.org/officeDocument/2006/relationships/hyperlink" Target="mailto:eugeniabeatriz1780@gmail.com" TargetMode="External"/><Relationship Id="rId470" Type="http://schemas.openxmlformats.org/officeDocument/2006/relationships/hyperlink" Target="mailto:juanca7010@hotmail.com" TargetMode="External"/><Relationship Id="rId58" Type="http://schemas.openxmlformats.org/officeDocument/2006/relationships/hyperlink" Target="mailto:byronl8@yahoo.es" TargetMode="External"/><Relationship Id="rId123" Type="http://schemas.openxmlformats.org/officeDocument/2006/relationships/hyperlink" Target="mailto:edwinrin@hotmail.com" TargetMode="External"/><Relationship Id="rId330" Type="http://schemas.openxmlformats.org/officeDocument/2006/relationships/hyperlink" Target="mailto:cdayalloret@hotmail.com" TargetMode="External"/><Relationship Id="rId568" Type="http://schemas.openxmlformats.org/officeDocument/2006/relationships/hyperlink" Target="mailto:fsantacruzcz55@gmail.com" TargetMode="External"/><Relationship Id="rId775" Type="http://schemas.openxmlformats.org/officeDocument/2006/relationships/hyperlink" Target="mailto:SANTIAGOMOGROVEJO42@GMAIL.COM" TargetMode="External"/><Relationship Id="rId428" Type="http://schemas.openxmlformats.org/officeDocument/2006/relationships/hyperlink" Target="mailto:juanpatriciorivera@hotmail.com" TargetMode="External"/><Relationship Id="rId635" Type="http://schemas.openxmlformats.org/officeDocument/2006/relationships/hyperlink" Target="mailto:ISABELRIV2T@GMAIL.COM" TargetMode="External"/><Relationship Id="rId842" Type="http://schemas.openxmlformats.org/officeDocument/2006/relationships/hyperlink" Target="mailto:FPELAEZ0@YAHOO.COM" TargetMode="External"/><Relationship Id="rId274" Type="http://schemas.openxmlformats.org/officeDocument/2006/relationships/hyperlink" Target="mailto:hherreras80@hotmail.com" TargetMode="External"/><Relationship Id="rId481" Type="http://schemas.openxmlformats.org/officeDocument/2006/relationships/hyperlink" Target="mailto:diacantos@hotmail.com" TargetMode="External"/><Relationship Id="rId702" Type="http://schemas.openxmlformats.org/officeDocument/2006/relationships/hyperlink" Target="mailto:DIEGUITOROSOS1989@HOTMAIL.COM" TargetMode="External"/><Relationship Id="rId69" Type="http://schemas.openxmlformats.org/officeDocument/2006/relationships/hyperlink" Target="mailto:paulmacancelasant@gmail.com" TargetMode="External"/><Relationship Id="rId134" Type="http://schemas.openxmlformats.org/officeDocument/2006/relationships/hyperlink" Target="mailto:nixxonangam@gmail.com" TargetMode="External"/><Relationship Id="rId579" Type="http://schemas.openxmlformats.org/officeDocument/2006/relationships/hyperlink" Target="mailto:megamueblesbelen@hotmail.com" TargetMode="External"/><Relationship Id="rId786" Type="http://schemas.openxmlformats.org/officeDocument/2006/relationships/hyperlink" Target="mailto:DRJOBRERO@HOTMAIL.COM" TargetMode="External"/><Relationship Id="rId341" Type="http://schemas.openxmlformats.org/officeDocument/2006/relationships/hyperlink" Target="mailto:eeorellana.nac@hotmail.com" TargetMode="External"/><Relationship Id="rId439" Type="http://schemas.openxmlformats.org/officeDocument/2006/relationships/hyperlink" Target="mailto:jeimisramosmonopi@hotmail.com" TargetMode="External"/><Relationship Id="rId646" Type="http://schemas.openxmlformats.org/officeDocument/2006/relationships/hyperlink" Target="mailto:SDBDV@HOTMAIL.COM" TargetMode="External"/><Relationship Id="rId201" Type="http://schemas.openxmlformats.org/officeDocument/2006/relationships/hyperlink" Target="mailto:pgus25@hotmail.com" TargetMode="External"/><Relationship Id="rId285" Type="http://schemas.openxmlformats.org/officeDocument/2006/relationships/hyperlink" Target="mailto:gustavoqr2810@gmail.com" TargetMode="External"/><Relationship Id="rId506" Type="http://schemas.openxmlformats.org/officeDocument/2006/relationships/hyperlink" Target="mailto:delavarez10@icloud.com" TargetMode="External"/><Relationship Id="rId853" Type="http://schemas.openxmlformats.org/officeDocument/2006/relationships/hyperlink" Target="mailto:MAFERJACOME87@GMAIL.COM" TargetMode="External"/><Relationship Id="rId492" Type="http://schemas.openxmlformats.org/officeDocument/2006/relationships/hyperlink" Target="mailto:william_patricio@hotmail.com" TargetMode="External"/><Relationship Id="rId713" Type="http://schemas.openxmlformats.org/officeDocument/2006/relationships/hyperlink" Target="mailto:BURBSNO30@HOTMIL.COM" TargetMode="External"/><Relationship Id="rId797" Type="http://schemas.openxmlformats.org/officeDocument/2006/relationships/hyperlink" Target="mailto:PATRAMTO68@GMAIL.COM" TargetMode="External"/><Relationship Id="rId145" Type="http://schemas.openxmlformats.org/officeDocument/2006/relationships/hyperlink" Target="mailto:grupo_caminar@hotmail.com" TargetMode="External"/><Relationship Id="rId352" Type="http://schemas.openxmlformats.org/officeDocument/2006/relationships/hyperlink" Target="mailto:contabilidad@gamaarquitectura.com" TargetMode="External"/><Relationship Id="rId212" Type="http://schemas.openxmlformats.org/officeDocument/2006/relationships/hyperlink" Target="mailto:danilomusic15@hotmail.com" TargetMode="External"/><Relationship Id="rId657" Type="http://schemas.openxmlformats.org/officeDocument/2006/relationships/hyperlink" Target="mailto:KFNEWMANN@YAHOO.COM" TargetMode="External"/><Relationship Id="rId864" Type="http://schemas.openxmlformats.org/officeDocument/2006/relationships/hyperlink" Target="mailto:CARMITA031162@HOTMAIL.COM" TargetMode="External"/><Relationship Id="rId296" Type="http://schemas.openxmlformats.org/officeDocument/2006/relationships/hyperlink" Target="mailto:tantandrade@gmail.com" TargetMode="External"/><Relationship Id="rId517" Type="http://schemas.openxmlformats.org/officeDocument/2006/relationships/hyperlink" Target="mailto:dsalvarez@icloud.com" TargetMode="External"/><Relationship Id="rId724" Type="http://schemas.openxmlformats.org/officeDocument/2006/relationships/hyperlink" Target="mailto:ANAMARIAPONTEP@GMAIL.COM" TargetMode="External"/><Relationship Id="rId60" Type="http://schemas.openxmlformats.org/officeDocument/2006/relationships/hyperlink" Target="mailto:byronl8@yahoo.es" TargetMode="External"/><Relationship Id="rId156" Type="http://schemas.openxmlformats.org/officeDocument/2006/relationships/hyperlink" Target="mailto:fedecordero@yahoo.com" TargetMode="External"/><Relationship Id="rId363" Type="http://schemas.openxmlformats.org/officeDocument/2006/relationships/hyperlink" Target="mailto:xjearabad@hotmail.com" TargetMode="External"/><Relationship Id="rId570" Type="http://schemas.openxmlformats.org/officeDocument/2006/relationships/hyperlink" Target="mailto:treese1040@me.com" TargetMode="External"/><Relationship Id="rId223" Type="http://schemas.openxmlformats.org/officeDocument/2006/relationships/hyperlink" Target="mailto:jessica.alvarezmonroy@gmail.com" TargetMode="External"/><Relationship Id="rId430" Type="http://schemas.openxmlformats.org/officeDocument/2006/relationships/hyperlink" Target="mailto:rgarzon48@gmail.com" TargetMode="External"/><Relationship Id="rId668" Type="http://schemas.openxmlformats.org/officeDocument/2006/relationships/hyperlink" Target="mailto:GABYCO_1993@HOTMAIL.COM" TargetMode="External"/><Relationship Id="rId875" Type="http://schemas.openxmlformats.org/officeDocument/2006/relationships/hyperlink" Target="mailto:BOLIVARROMO768@GMAIL.COM" TargetMode="External"/><Relationship Id="rId18" Type="http://schemas.openxmlformats.org/officeDocument/2006/relationships/hyperlink" Target="mailto:jorge.alvarado1992@hotmail.com" TargetMode="External"/><Relationship Id="rId528" Type="http://schemas.openxmlformats.org/officeDocument/2006/relationships/hyperlink" Target="mailto:tihoch3@gmail.com" TargetMode="External"/><Relationship Id="rId735" Type="http://schemas.openxmlformats.org/officeDocument/2006/relationships/hyperlink" Target="mailto:MARIACPALACIOS3836@YAHOO.COM" TargetMode="External"/><Relationship Id="rId167" Type="http://schemas.openxmlformats.org/officeDocument/2006/relationships/hyperlink" Target="mailto:andresabril3011@gmail.com" TargetMode="External"/><Relationship Id="rId374" Type="http://schemas.openxmlformats.org/officeDocument/2006/relationships/hyperlink" Target="mailto:pochigc8572@hotmail.com" TargetMode="External"/><Relationship Id="rId581" Type="http://schemas.openxmlformats.org/officeDocument/2006/relationships/hyperlink" Target="mailto:monicaandrade671@gmail.com" TargetMode="External"/><Relationship Id="rId71" Type="http://schemas.openxmlformats.org/officeDocument/2006/relationships/hyperlink" Target="mailto:mikachales@hotmail.com" TargetMode="External"/><Relationship Id="rId234" Type="http://schemas.openxmlformats.org/officeDocument/2006/relationships/hyperlink" Target="mailto:danilomusic15@hotmail.com" TargetMode="External"/><Relationship Id="rId679" Type="http://schemas.openxmlformats.org/officeDocument/2006/relationships/hyperlink" Target="mailto:J-VERAZORA@HOTMAIL.COM" TargetMode="External"/><Relationship Id="rId802" Type="http://schemas.openxmlformats.org/officeDocument/2006/relationships/hyperlink" Target="mailto:KASTYMACIASZZ@HOTMAIL.COM" TargetMode="External"/><Relationship Id="rId886" Type="http://schemas.openxmlformats.org/officeDocument/2006/relationships/hyperlink" Target="mailto:ALFREDOHAEC31@GMAIL.COM" TargetMode="External"/><Relationship Id="rId2" Type="http://schemas.openxmlformats.org/officeDocument/2006/relationships/hyperlink" Target="mailto:schulman.alexis@gmail.com" TargetMode="External"/><Relationship Id="rId29" Type="http://schemas.openxmlformats.org/officeDocument/2006/relationships/hyperlink" Target="mailto:jossmedrchan@hotmail.com" TargetMode="External"/><Relationship Id="rId441" Type="http://schemas.openxmlformats.org/officeDocument/2006/relationships/hyperlink" Target="mailto:info@redoffice.ec" TargetMode="External"/><Relationship Id="rId539" Type="http://schemas.openxmlformats.org/officeDocument/2006/relationships/hyperlink" Target="mailto:arukeiser@yahoo.com" TargetMode="External"/><Relationship Id="rId746" Type="http://schemas.openxmlformats.org/officeDocument/2006/relationships/hyperlink" Target="mailto:OSWALDOROD@YAHOO.COM" TargetMode="External"/><Relationship Id="rId178" Type="http://schemas.openxmlformats.org/officeDocument/2006/relationships/hyperlink" Target="mailto:andyeljuri@msn.com" TargetMode="External"/><Relationship Id="rId301" Type="http://schemas.openxmlformats.org/officeDocument/2006/relationships/hyperlink" Target="mailto:dmauri2006@hotmail.com" TargetMode="External"/><Relationship Id="rId82" Type="http://schemas.openxmlformats.org/officeDocument/2006/relationships/hyperlink" Target="mailto:cardenasmiguel60@yahoo.com" TargetMode="External"/><Relationship Id="rId385" Type="http://schemas.openxmlformats.org/officeDocument/2006/relationships/hyperlink" Target="mailto:meges093@yahoo.es" TargetMode="External"/><Relationship Id="rId592" Type="http://schemas.openxmlformats.org/officeDocument/2006/relationships/hyperlink" Target="mailto:MUEBLESCARENO2020@GMAIL.COM" TargetMode="External"/><Relationship Id="rId606" Type="http://schemas.openxmlformats.org/officeDocument/2006/relationships/hyperlink" Target="mailto:GABYENRIQUEZ21406@GMAIL.COM" TargetMode="External"/><Relationship Id="rId813" Type="http://schemas.openxmlformats.org/officeDocument/2006/relationships/hyperlink" Target="mailto:JORGEZUNIGAJARA@HOTMAIL.COM" TargetMode="External"/><Relationship Id="rId245" Type="http://schemas.openxmlformats.org/officeDocument/2006/relationships/hyperlink" Target="mailto:merysarmiento274@gmail.com" TargetMode="External"/><Relationship Id="rId452" Type="http://schemas.openxmlformats.org/officeDocument/2006/relationships/hyperlink" Target="mailto:prici.verdugo@gmail.com" TargetMode="External"/><Relationship Id="rId105" Type="http://schemas.openxmlformats.org/officeDocument/2006/relationships/hyperlink" Target="mailto:analutorresp@gmail.com" TargetMode="External"/><Relationship Id="rId312" Type="http://schemas.openxmlformats.org/officeDocument/2006/relationships/hyperlink" Target="mailto:xicirubla84@hotmail.com" TargetMode="External"/><Relationship Id="rId757" Type="http://schemas.openxmlformats.org/officeDocument/2006/relationships/hyperlink" Target="mailto:ALIV.SAS@HOTMAIL.COM" TargetMode="External"/><Relationship Id="rId93" Type="http://schemas.openxmlformats.org/officeDocument/2006/relationships/hyperlink" Target="mailto:ma5252360@gmail.com" TargetMode="External"/><Relationship Id="rId189" Type="http://schemas.openxmlformats.org/officeDocument/2006/relationships/hyperlink" Target="mailto:gerencia@comexmi.com" TargetMode="External"/><Relationship Id="rId396" Type="http://schemas.openxmlformats.org/officeDocument/2006/relationships/hyperlink" Target="mailto:ecuasa@hotmail.com" TargetMode="External"/><Relationship Id="rId617" Type="http://schemas.openxmlformats.org/officeDocument/2006/relationships/hyperlink" Target="mailto:LULUMEDINA13@GMAIL.COM" TargetMode="External"/><Relationship Id="rId824" Type="http://schemas.openxmlformats.org/officeDocument/2006/relationships/hyperlink" Target="mailto:URTUBIAALEX@HOTMAIL.COM" TargetMode="External"/><Relationship Id="rId256" Type="http://schemas.openxmlformats.org/officeDocument/2006/relationships/hyperlink" Target="mailto:carmen344@msn.com" TargetMode="External"/><Relationship Id="rId463" Type="http://schemas.openxmlformats.org/officeDocument/2006/relationships/hyperlink" Target="mailto:viciciopullas1959@hotmail.com" TargetMode="External"/><Relationship Id="rId670" Type="http://schemas.openxmlformats.org/officeDocument/2006/relationships/hyperlink" Target="mailto:RSNS.BROWN@GMAIL.COM" TargetMode="External"/><Relationship Id="rId116" Type="http://schemas.openxmlformats.org/officeDocument/2006/relationships/hyperlink" Target="mailto:l_xavier_l@hotmail.com" TargetMode="External"/><Relationship Id="rId323" Type="http://schemas.openxmlformats.org/officeDocument/2006/relationships/hyperlink" Target="mailto:carolina3124@yahoo.com" TargetMode="External"/><Relationship Id="rId530" Type="http://schemas.openxmlformats.org/officeDocument/2006/relationships/hyperlink" Target="mailto:pazreyescordero@hotmail.com" TargetMode="External"/><Relationship Id="rId768" Type="http://schemas.openxmlformats.org/officeDocument/2006/relationships/hyperlink" Target="mailto:JMZEAS87@GMAIL.COM" TargetMode="External"/><Relationship Id="rId20" Type="http://schemas.openxmlformats.org/officeDocument/2006/relationships/hyperlink" Target="mailto:jossmerchan@hotmail.com" TargetMode="External"/><Relationship Id="rId628" Type="http://schemas.openxmlformats.org/officeDocument/2006/relationships/hyperlink" Target="mailto:J.C.QUIMIFARM@HOTMAIL.COM" TargetMode="External"/><Relationship Id="rId835" Type="http://schemas.openxmlformats.org/officeDocument/2006/relationships/hyperlink" Target="mailto:ALEXANDRAIDROVO1989@GMAIL.COM" TargetMode="External"/><Relationship Id="rId267" Type="http://schemas.openxmlformats.org/officeDocument/2006/relationships/hyperlink" Target="mailto:paulcobos@gmail.com" TargetMode="External"/><Relationship Id="rId474" Type="http://schemas.openxmlformats.org/officeDocument/2006/relationships/hyperlink" Target="mailto:diegofer21@hotmail.com" TargetMode="External"/><Relationship Id="rId127" Type="http://schemas.openxmlformats.org/officeDocument/2006/relationships/hyperlink" Target="mailto:saraluzparrac@gmail.com" TargetMode="External"/><Relationship Id="rId681" Type="http://schemas.openxmlformats.org/officeDocument/2006/relationships/hyperlink" Target="mailto:ADRICNBALAREZO8@GMAIL.COM" TargetMode="External"/><Relationship Id="rId779" Type="http://schemas.openxmlformats.org/officeDocument/2006/relationships/hyperlink" Target="mailto:CHELOTORAL@GMAIL.COM" TargetMode="External"/><Relationship Id="rId31" Type="http://schemas.openxmlformats.org/officeDocument/2006/relationships/hyperlink" Target="mailto:jossmedrchan@hotmail.com" TargetMode="External"/><Relationship Id="rId334" Type="http://schemas.openxmlformats.org/officeDocument/2006/relationships/hyperlink" Target="mailto:marlonv.velez@gmail.com" TargetMode="External"/><Relationship Id="rId541" Type="http://schemas.openxmlformats.org/officeDocument/2006/relationships/hyperlink" Target="mailto:pazreyescordero@hotmail.com" TargetMode="External"/><Relationship Id="rId639" Type="http://schemas.openxmlformats.org/officeDocument/2006/relationships/hyperlink" Target="mailto:ANDRES.VALDES86@GMAIL.COM" TargetMode="External"/><Relationship Id="rId180" Type="http://schemas.openxmlformats.org/officeDocument/2006/relationships/hyperlink" Target="mailto:andyeljuri@msn.com" TargetMode="External"/><Relationship Id="rId278" Type="http://schemas.openxmlformats.org/officeDocument/2006/relationships/hyperlink" Target="mailto:freddyanaluc11@gmail.com" TargetMode="External"/><Relationship Id="rId401" Type="http://schemas.openxmlformats.org/officeDocument/2006/relationships/hyperlink" Target="mailto:ecuasa@hotmail.com" TargetMode="External"/><Relationship Id="rId846" Type="http://schemas.openxmlformats.org/officeDocument/2006/relationships/hyperlink" Target="mailto:TURIZO3@HOTMAIL.COM" TargetMode="External"/><Relationship Id="rId485" Type="http://schemas.openxmlformats.org/officeDocument/2006/relationships/hyperlink" Target="mailto:psolis@hotmail.com" TargetMode="External"/><Relationship Id="rId692" Type="http://schemas.openxmlformats.org/officeDocument/2006/relationships/hyperlink" Target="mailto:KARINAORELLANA0122@GMAIL.COM" TargetMode="External"/><Relationship Id="rId706" Type="http://schemas.openxmlformats.org/officeDocument/2006/relationships/hyperlink" Target="mailto:JAIMELOPEZNOVILLO@HOTMAIL.COM" TargetMode="External"/><Relationship Id="rId42" Type="http://schemas.openxmlformats.org/officeDocument/2006/relationships/hyperlink" Target="mailto:marlenebravo96@gmail.com" TargetMode="External"/><Relationship Id="rId138" Type="http://schemas.openxmlformats.org/officeDocument/2006/relationships/hyperlink" Target="mailto:yados_ing99@hotmail.com" TargetMode="External"/><Relationship Id="rId345" Type="http://schemas.openxmlformats.org/officeDocument/2006/relationships/hyperlink" Target="mailto:jncarrion@gmail.com" TargetMode="External"/><Relationship Id="rId552" Type="http://schemas.openxmlformats.org/officeDocument/2006/relationships/hyperlink" Target="mailto:gailaj_1036@yahoo.com" TargetMode="External"/><Relationship Id="rId191" Type="http://schemas.openxmlformats.org/officeDocument/2006/relationships/hyperlink" Target="mailto:gerencia@comexmi.com" TargetMode="External"/><Relationship Id="rId205" Type="http://schemas.openxmlformats.org/officeDocument/2006/relationships/hyperlink" Target="mailto:tanjo_21@hotmail.com" TargetMode="External"/><Relationship Id="rId412" Type="http://schemas.openxmlformats.org/officeDocument/2006/relationships/hyperlink" Target="mailto:djia_mjac@hotmail.com" TargetMode="External"/><Relationship Id="rId857" Type="http://schemas.openxmlformats.org/officeDocument/2006/relationships/hyperlink" Target="mailto:PRISCALDERONPA2@HOTMAIL.COM" TargetMode="External"/><Relationship Id="rId289" Type="http://schemas.openxmlformats.org/officeDocument/2006/relationships/hyperlink" Target="mailto:diego.espa@outlook.es" TargetMode="External"/><Relationship Id="rId496" Type="http://schemas.openxmlformats.org/officeDocument/2006/relationships/hyperlink" Target="mailto:sandyluzuriaga04@hotmail.com" TargetMode="External"/><Relationship Id="rId717" Type="http://schemas.openxmlformats.org/officeDocument/2006/relationships/hyperlink" Target="mailto:FACTURACIONFGB@OUTLOOK.COM" TargetMode="External"/><Relationship Id="rId53" Type="http://schemas.openxmlformats.org/officeDocument/2006/relationships/hyperlink" Target="mailto:pjarabluejeans@hotmail.com" TargetMode="External"/><Relationship Id="rId149" Type="http://schemas.openxmlformats.org/officeDocument/2006/relationships/hyperlink" Target="mailto:grupo_caminar@hotmail.com" TargetMode="External"/><Relationship Id="rId356" Type="http://schemas.openxmlformats.org/officeDocument/2006/relationships/hyperlink" Target="mailto:paulina_andrade_p@hotmail.com" TargetMode="External"/><Relationship Id="rId563" Type="http://schemas.openxmlformats.org/officeDocument/2006/relationships/hyperlink" Target="mailto:verobermeo5@gmail.com" TargetMode="External"/><Relationship Id="rId770" Type="http://schemas.openxmlformats.org/officeDocument/2006/relationships/hyperlink" Target="mailto:karlafajardos.1997@gmail.com" TargetMode="External"/><Relationship Id="rId216" Type="http://schemas.openxmlformats.org/officeDocument/2006/relationships/hyperlink" Target="mailto:dcardenas1964@gmail.com" TargetMode="External"/><Relationship Id="rId423" Type="http://schemas.openxmlformats.org/officeDocument/2006/relationships/hyperlink" Target="mailto:alexamor.1208@gmail.com" TargetMode="External"/><Relationship Id="rId868" Type="http://schemas.openxmlformats.org/officeDocument/2006/relationships/hyperlink" Target="mailto:MNARCISA@HOTMAIL.COM" TargetMode="External"/><Relationship Id="rId630" Type="http://schemas.openxmlformats.org/officeDocument/2006/relationships/hyperlink" Target="mailto:J.VELECELA@HOTMAIL.COM" TargetMode="External"/><Relationship Id="rId728" Type="http://schemas.openxmlformats.org/officeDocument/2006/relationships/hyperlink" Target="mailto:LADY87@YAHOO.COM" TargetMode="External"/><Relationship Id="rId64" Type="http://schemas.openxmlformats.org/officeDocument/2006/relationships/hyperlink" Target="mailto:janchundiaheredia@gmail.com" TargetMode="External"/><Relationship Id="rId367" Type="http://schemas.openxmlformats.org/officeDocument/2006/relationships/hyperlink" Target="mailto:jorgeu1968@hotmail.com" TargetMode="External"/><Relationship Id="rId574" Type="http://schemas.openxmlformats.org/officeDocument/2006/relationships/hyperlink" Target="mailto:clarivelvaldiviezo70@hotmail.com" TargetMode="External"/><Relationship Id="rId227" Type="http://schemas.openxmlformats.org/officeDocument/2006/relationships/hyperlink" Target="mailto:jessica.alvarezmonroy@gmail.com" TargetMode="External"/><Relationship Id="rId781" Type="http://schemas.openxmlformats.org/officeDocument/2006/relationships/hyperlink" Target="mailto:OLGACALLECAMPO@GMAIL.COM" TargetMode="External"/><Relationship Id="rId879" Type="http://schemas.openxmlformats.org/officeDocument/2006/relationships/hyperlink" Target="mailto:LUPEYARIS@YAHOO.COM" TargetMode="External"/><Relationship Id="rId434" Type="http://schemas.openxmlformats.org/officeDocument/2006/relationships/hyperlink" Target="mailto:mcrivera.brvo@gmail.com" TargetMode="External"/><Relationship Id="rId641" Type="http://schemas.openxmlformats.org/officeDocument/2006/relationships/hyperlink" Target="mailto:LACASADELSAZONCUENCA@GMAIL.COM" TargetMode="External"/><Relationship Id="rId739" Type="http://schemas.openxmlformats.org/officeDocument/2006/relationships/hyperlink" Target="mailto:JOSEBUSTAMANTEM@GMAIL.COM" TargetMode="External"/><Relationship Id="rId280" Type="http://schemas.openxmlformats.org/officeDocument/2006/relationships/hyperlink" Target="mailto:freddyanaluc11@gmail.com" TargetMode="External"/><Relationship Id="rId501" Type="http://schemas.openxmlformats.org/officeDocument/2006/relationships/hyperlink" Target="mailto:wily.el.cangri@gmail.com" TargetMode="External"/><Relationship Id="rId75" Type="http://schemas.openxmlformats.org/officeDocument/2006/relationships/hyperlink" Target="mailto:crisocho32@yahoo.es" TargetMode="External"/><Relationship Id="rId140" Type="http://schemas.openxmlformats.org/officeDocument/2006/relationships/hyperlink" Target="mailto:oscardanielruiz25@gmail.com" TargetMode="External"/><Relationship Id="rId378" Type="http://schemas.openxmlformats.org/officeDocument/2006/relationships/hyperlink" Target="mailto:jeimisramosmunori@gmail.com" TargetMode="External"/><Relationship Id="rId585" Type="http://schemas.openxmlformats.org/officeDocument/2006/relationships/hyperlink" Target="mailto:monicaandrade671@gmail.com" TargetMode="External"/><Relationship Id="rId792" Type="http://schemas.openxmlformats.org/officeDocument/2006/relationships/hyperlink" Target="mailto:MARYMO88@HOTMAIL.COM" TargetMode="External"/><Relationship Id="rId806" Type="http://schemas.openxmlformats.org/officeDocument/2006/relationships/hyperlink" Target="mailto:LUISROMO@AUTOEXFO.EC" TargetMode="External"/><Relationship Id="rId6" Type="http://schemas.openxmlformats.org/officeDocument/2006/relationships/hyperlink" Target="mailto:panchog1980@hotmail.com" TargetMode="External"/><Relationship Id="rId238" Type="http://schemas.openxmlformats.org/officeDocument/2006/relationships/hyperlink" Target="mailto:wilsonnaula@gmail.com" TargetMode="External"/><Relationship Id="rId445" Type="http://schemas.openxmlformats.org/officeDocument/2006/relationships/hyperlink" Target="mailto:analucia.illescas@gmail.com" TargetMode="External"/><Relationship Id="rId652" Type="http://schemas.openxmlformats.org/officeDocument/2006/relationships/hyperlink" Target="mailto:GERENCIA@GESTIONSEGURA.COM.EC" TargetMode="External"/><Relationship Id="rId291" Type="http://schemas.openxmlformats.org/officeDocument/2006/relationships/hyperlink" Target="mailto:fernandomarin33@outlook.com" TargetMode="External"/><Relationship Id="rId305" Type="http://schemas.openxmlformats.org/officeDocument/2006/relationships/hyperlink" Target="mailto:adrianheras@iclod.com" TargetMode="External"/><Relationship Id="rId512" Type="http://schemas.openxmlformats.org/officeDocument/2006/relationships/hyperlink" Target="mailto:nreyes@gmail.com" TargetMode="External"/><Relationship Id="rId86" Type="http://schemas.openxmlformats.org/officeDocument/2006/relationships/hyperlink" Target="mailto:loydon9@yahoo.es" TargetMode="External"/><Relationship Id="rId151" Type="http://schemas.openxmlformats.org/officeDocument/2006/relationships/hyperlink" Target="mailto:inesarias@gmail.com" TargetMode="External"/><Relationship Id="rId389" Type="http://schemas.openxmlformats.org/officeDocument/2006/relationships/hyperlink" Target="mailto:angipa@live.com" TargetMode="External"/><Relationship Id="rId596" Type="http://schemas.openxmlformats.org/officeDocument/2006/relationships/hyperlink" Target="mailto:ADMINISTRATIVO@SERVICIONOTARIAL.COM" TargetMode="External"/><Relationship Id="rId817" Type="http://schemas.openxmlformats.org/officeDocument/2006/relationships/hyperlink" Target="mailto:DAVIDMUNOX30@HOTMAIL.COM" TargetMode="External"/><Relationship Id="rId249" Type="http://schemas.openxmlformats.org/officeDocument/2006/relationships/hyperlink" Target="mailto:cat80@outlook.com" TargetMode="External"/><Relationship Id="rId456" Type="http://schemas.openxmlformats.org/officeDocument/2006/relationships/hyperlink" Target="mailto:pedro.a.89@hotmail.com" TargetMode="External"/><Relationship Id="rId663" Type="http://schemas.openxmlformats.org/officeDocument/2006/relationships/hyperlink" Target="mailto:ADMINISTRACION@QULMOV.COM.EC" TargetMode="External"/><Relationship Id="rId870" Type="http://schemas.openxmlformats.org/officeDocument/2006/relationships/hyperlink" Target="mailto:PAMELABORJA88@HOTMAIL.COM" TargetMode="External"/><Relationship Id="rId13" Type="http://schemas.openxmlformats.org/officeDocument/2006/relationships/hyperlink" Target="mailto:taly-cg@hotmail.com" TargetMode="External"/><Relationship Id="rId109" Type="http://schemas.openxmlformats.org/officeDocument/2006/relationships/hyperlink" Target="mailto:roderickt@hotmail.com" TargetMode="External"/><Relationship Id="rId316" Type="http://schemas.openxmlformats.org/officeDocument/2006/relationships/hyperlink" Target="mailto:damisar.rojas.12@gmail.com" TargetMode="External"/><Relationship Id="rId523" Type="http://schemas.openxmlformats.org/officeDocument/2006/relationships/hyperlink" Target="mailto:ptorresz@hotmail.com" TargetMode="External"/><Relationship Id="rId97" Type="http://schemas.openxmlformats.org/officeDocument/2006/relationships/hyperlink" Target="mailto:mirotaxi@live.com" TargetMode="External"/><Relationship Id="rId730" Type="http://schemas.openxmlformats.org/officeDocument/2006/relationships/hyperlink" Target="mailto:MAURYGARNICA@ICLOUD.COM" TargetMode="External"/><Relationship Id="rId828" Type="http://schemas.openxmlformats.org/officeDocument/2006/relationships/hyperlink" Target="mailto:GABIMU&#209;OZZB@GMAIL.COM" TargetMode="External"/><Relationship Id="rId162" Type="http://schemas.openxmlformats.org/officeDocument/2006/relationships/hyperlink" Target="mailto:fedecordero@yahoo.com" TargetMode="External"/><Relationship Id="rId467" Type="http://schemas.openxmlformats.org/officeDocument/2006/relationships/hyperlink" Target="mailto:patho1924@gmail.com" TargetMode="External"/><Relationship Id="rId674" Type="http://schemas.openxmlformats.org/officeDocument/2006/relationships/hyperlink" Target="mailto:M.A.DEBLOIS@HOTMAIL.COM" TargetMode="External"/><Relationship Id="rId881" Type="http://schemas.openxmlformats.org/officeDocument/2006/relationships/hyperlink" Target="mailto:LUPEYARIS@YAHOO.COM" TargetMode="External"/><Relationship Id="rId24" Type="http://schemas.openxmlformats.org/officeDocument/2006/relationships/hyperlink" Target="mailto:patriciom.nieves80@gmail.com" TargetMode="External"/><Relationship Id="rId327" Type="http://schemas.openxmlformats.org/officeDocument/2006/relationships/hyperlink" Target="mailto:pserranointeriorismo@gmail.com" TargetMode="External"/><Relationship Id="rId534" Type="http://schemas.openxmlformats.org/officeDocument/2006/relationships/hyperlink" Target="mailto:arqmariaelisamoscos@hotmail.com" TargetMode="External"/><Relationship Id="rId741" Type="http://schemas.openxmlformats.org/officeDocument/2006/relationships/hyperlink" Target="mailto:MARCOESTEBAN25@YAHOO.COM" TargetMode="External"/><Relationship Id="rId839" Type="http://schemas.openxmlformats.org/officeDocument/2006/relationships/hyperlink" Target="mailto:TATAGUSTA@HOTMAIL.COM" TargetMode="External"/><Relationship Id="rId173" Type="http://schemas.openxmlformats.org/officeDocument/2006/relationships/hyperlink" Target="mailto:julianamaldonado@yahoo.com" TargetMode="External"/><Relationship Id="rId380" Type="http://schemas.openxmlformats.org/officeDocument/2006/relationships/hyperlink" Target="mailto:jeimisramosmunori@gmail.com" TargetMode="External"/><Relationship Id="rId601" Type="http://schemas.openxmlformats.org/officeDocument/2006/relationships/hyperlink" Target="mailto:JOSEMACHADO28@HOTMAIL.COM," TargetMode="External"/><Relationship Id="rId240" Type="http://schemas.openxmlformats.org/officeDocument/2006/relationships/hyperlink" Target="mailto:jakelinnecordova@hotmail.com" TargetMode="External"/><Relationship Id="rId478" Type="http://schemas.openxmlformats.org/officeDocument/2006/relationships/hyperlink" Target="mailto:jennycoronel@hotmail.com" TargetMode="External"/><Relationship Id="rId685" Type="http://schemas.openxmlformats.org/officeDocument/2006/relationships/hyperlink" Target="mailto:LOJANONORMA8@GMAIL.COM" TargetMode="External"/><Relationship Id="rId892" Type="http://schemas.openxmlformats.org/officeDocument/2006/relationships/hyperlink" Target="mailto:SOPHIALITUMAA@GMAIL.COM" TargetMode="External"/><Relationship Id="rId35" Type="http://schemas.openxmlformats.org/officeDocument/2006/relationships/hyperlink" Target="mailto:agustinajara74@hotmail.com" TargetMode="External"/><Relationship Id="rId100" Type="http://schemas.openxmlformats.org/officeDocument/2006/relationships/hyperlink" Target="mailto:distribuidoracampeon@live.com" TargetMode="External"/><Relationship Id="rId338" Type="http://schemas.openxmlformats.org/officeDocument/2006/relationships/hyperlink" Target="mailto:domevinnie@gmail.com" TargetMode="External"/><Relationship Id="rId545" Type="http://schemas.openxmlformats.org/officeDocument/2006/relationships/hyperlink" Target="mailto:elianamunoz@gmail.com" TargetMode="External"/><Relationship Id="rId752" Type="http://schemas.openxmlformats.org/officeDocument/2006/relationships/hyperlink" Target="mailto:NVAZQUEZR@GMAIL.COM" TargetMode="External"/><Relationship Id="rId184" Type="http://schemas.openxmlformats.org/officeDocument/2006/relationships/hyperlink" Target="mailto:ventas@iglaceec.com" TargetMode="External"/><Relationship Id="rId391" Type="http://schemas.openxmlformats.org/officeDocument/2006/relationships/hyperlink" Target="mailto:adrianaurgiles44@gmail.com" TargetMode="External"/><Relationship Id="rId405" Type="http://schemas.openxmlformats.org/officeDocument/2006/relationships/hyperlink" Target="mailto:ecuasa@hotmail.com" TargetMode="External"/><Relationship Id="rId612" Type="http://schemas.openxmlformats.org/officeDocument/2006/relationships/hyperlink" Target="mailto:DIEGOAB16@HOTMAIL.COM" TargetMode="External"/><Relationship Id="rId251" Type="http://schemas.openxmlformats.org/officeDocument/2006/relationships/hyperlink" Target="mailto:oscarchamba@hotmail.com" TargetMode="External"/><Relationship Id="rId489" Type="http://schemas.openxmlformats.org/officeDocument/2006/relationships/hyperlink" Target="mailto:rizquierdom@hotmail.com" TargetMode="External"/><Relationship Id="rId696" Type="http://schemas.openxmlformats.org/officeDocument/2006/relationships/hyperlink" Target="mailto:SILENTTODO@GMAIL.COM" TargetMode="External"/><Relationship Id="rId46" Type="http://schemas.openxmlformats.org/officeDocument/2006/relationships/hyperlink" Target="mailto:alfredotosimurillo@gmail.com" TargetMode="External"/><Relationship Id="rId349" Type="http://schemas.openxmlformats.org/officeDocument/2006/relationships/hyperlink" Target="mailto:contabilidad@gamaarquitectura.com" TargetMode="External"/><Relationship Id="rId556" Type="http://schemas.openxmlformats.org/officeDocument/2006/relationships/hyperlink" Target="mailto:jj.roesner@gmail.com" TargetMode="External"/><Relationship Id="rId763" Type="http://schemas.openxmlformats.org/officeDocument/2006/relationships/hyperlink" Target="mailto:BSOLIS1957@GMAIL.COM" TargetMode="External"/><Relationship Id="rId111" Type="http://schemas.openxmlformats.org/officeDocument/2006/relationships/hyperlink" Target="mailto:roderickt@hotmail.com" TargetMode="External"/><Relationship Id="rId195" Type="http://schemas.openxmlformats.org/officeDocument/2006/relationships/hyperlink" Target="mailto:ivanmau1590@gmail.com" TargetMode="External"/><Relationship Id="rId209" Type="http://schemas.openxmlformats.org/officeDocument/2006/relationships/hyperlink" Target="mailto:silvanacordero1992@gmail.com" TargetMode="External"/><Relationship Id="rId416" Type="http://schemas.openxmlformats.org/officeDocument/2006/relationships/hyperlink" Target="mailto:sayuribu24@gmail.com" TargetMode="External"/><Relationship Id="rId623" Type="http://schemas.openxmlformats.org/officeDocument/2006/relationships/hyperlink" Target="mailto:VERITOPURUNCAJAS@HOTMAIL.COM" TargetMode="External"/><Relationship Id="rId830" Type="http://schemas.openxmlformats.org/officeDocument/2006/relationships/hyperlink" Target="mailto:GABIMU&#209;OZZB@GMAIL.COM" TargetMode="External"/><Relationship Id="rId57" Type="http://schemas.openxmlformats.org/officeDocument/2006/relationships/hyperlink" Target="mailto:jcoellar66@gmail.com" TargetMode="External"/><Relationship Id="rId262" Type="http://schemas.openxmlformats.org/officeDocument/2006/relationships/hyperlink" Target="mailto:henrypolotapia@hotmail.com" TargetMode="External"/><Relationship Id="rId567" Type="http://schemas.openxmlformats.org/officeDocument/2006/relationships/hyperlink" Target="mailto:fsantacruzcz55@gmail.com" TargetMode="External"/><Relationship Id="rId122" Type="http://schemas.openxmlformats.org/officeDocument/2006/relationships/hyperlink" Target="mailto:edwinrin@hotmail.com" TargetMode="External"/><Relationship Id="rId774" Type="http://schemas.openxmlformats.org/officeDocument/2006/relationships/hyperlink" Target="mailto:SANTIAGOMOGROVEJO42@GMAIL.COM" TargetMode="External"/><Relationship Id="rId427" Type="http://schemas.openxmlformats.org/officeDocument/2006/relationships/hyperlink" Target="mailto:fabian.figueroa76@hotmail.com" TargetMode="External"/><Relationship Id="rId634" Type="http://schemas.openxmlformats.org/officeDocument/2006/relationships/hyperlink" Target="mailto:ISABELRIV2T@GMAIL.COM" TargetMode="External"/><Relationship Id="rId841" Type="http://schemas.openxmlformats.org/officeDocument/2006/relationships/hyperlink" Target="mailto:TATAGUSTA@HOTMAIL.COM" TargetMode="External"/><Relationship Id="rId26" Type="http://schemas.openxmlformats.org/officeDocument/2006/relationships/hyperlink" Target="mailto:jorgeguillermod@hotmail.com" TargetMode="External"/><Relationship Id="rId231" Type="http://schemas.openxmlformats.org/officeDocument/2006/relationships/hyperlink" Target="mailto:amorosoremigio@gmail.com" TargetMode="External"/><Relationship Id="rId273" Type="http://schemas.openxmlformats.org/officeDocument/2006/relationships/hyperlink" Target="mailto:isamrezl@gmail.com" TargetMode="External"/><Relationship Id="rId329" Type="http://schemas.openxmlformats.org/officeDocument/2006/relationships/hyperlink" Target="mailto:ximenazu&#241;iga@hotmail.com" TargetMode="External"/><Relationship Id="rId480" Type="http://schemas.openxmlformats.org/officeDocument/2006/relationships/hyperlink" Target="mailto:diacantos@hotmail.com" TargetMode="External"/><Relationship Id="rId536" Type="http://schemas.openxmlformats.org/officeDocument/2006/relationships/hyperlink" Target="mailto:marysalba88@gmail.com" TargetMode="External"/><Relationship Id="rId701" Type="http://schemas.openxmlformats.org/officeDocument/2006/relationships/hyperlink" Target="mailto:JUANXAG@GMAIL.COM" TargetMode="External"/><Relationship Id="rId68" Type="http://schemas.openxmlformats.org/officeDocument/2006/relationships/hyperlink" Target="mailto:paulmacancelasant@gmail.com" TargetMode="External"/><Relationship Id="rId133" Type="http://schemas.openxmlformats.org/officeDocument/2006/relationships/hyperlink" Target="mailto:andresabril304@gmail.com" TargetMode="External"/><Relationship Id="rId175" Type="http://schemas.openxmlformats.org/officeDocument/2006/relationships/hyperlink" Target="mailto:lourdeseliana@icloud.com" TargetMode="External"/><Relationship Id="rId340" Type="http://schemas.openxmlformats.org/officeDocument/2006/relationships/hyperlink" Target="mailto:domevinnie@gmail.com" TargetMode="External"/><Relationship Id="rId578" Type="http://schemas.openxmlformats.org/officeDocument/2006/relationships/hyperlink" Target="mailto:megamueblesbelen@hotmail.com" TargetMode="External"/><Relationship Id="rId743" Type="http://schemas.openxmlformats.org/officeDocument/2006/relationships/hyperlink" Target="mailto:KATTY003@GMAIL.COM" TargetMode="External"/><Relationship Id="rId785" Type="http://schemas.openxmlformats.org/officeDocument/2006/relationships/hyperlink" Target="mailto:LUPITAGL27@HOTMAIL.COM" TargetMode="External"/><Relationship Id="rId200" Type="http://schemas.openxmlformats.org/officeDocument/2006/relationships/hyperlink" Target="mailto:susy_borja@yahoo.com" TargetMode="External"/><Relationship Id="rId382" Type="http://schemas.openxmlformats.org/officeDocument/2006/relationships/hyperlink" Target="mailto:angipa@live.com" TargetMode="External"/><Relationship Id="rId438" Type="http://schemas.openxmlformats.org/officeDocument/2006/relationships/hyperlink" Target="mailto:responsable1@hotmail.com" TargetMode="External"/><Relationship Id="rId603" Type="http://schemas.openxmlformats.org/officeDocument/2006/relationships/hyperlink" Target="mailto:KEYNEJAD@AOL.COM" TargetMode="External"/><Relationship Id="rId645" Type="http://schemas.openxmlformats.org/officeDocument/2006/relationships/hyperlink" Target="mailto:SDBDV@HOTMAIL.COM" TargetMode="External"/><Relationship Id="rId687" Type="http://schemas.openxmlformats.org/officeDocument/2006/relationships/hyperlink" Target="mailto:ELIZ.ECO.122@GMAIL.COM" TargetMode="External"/><Relationship Id="rId810" Type="http://schemas.openxmlformats.org/officeDocument/2006/relationships/hyperlink" Target="mailto:EUGIN.BARRET.2020@GMAIL.COM" TargetMode="External"/><Relationship Id="rId852" Type="http://schemas.openxmlformats.org/officeDocument/2006/relationships/hyperlink" Target="mailto:MAFERJACOME87@GMAIL.COM" TargetMode="External"/><Relationship Id="rId242" Type="http://schemas.openxmlformats.org/officeDocument/2006/relationships/hyperlink" Target="mailto:nixandra.alvarez@aldeasinfantiles.org.ec" TargetMode="External"/><Relationship Id="rId284" Type="http://schemas.openxmlformats.org/officeDocument/2006/relationships/hyperlink" Target="mailto:freddyanaluc11@gmail.com" TargetMode="External"/><Relationship Id="rId491" Type="http://schemas.openxmlformats.org/officeDocument/2006/relationships/hyperlink" Target="mailto:william_patricio@hotmail.com" TargetMode="External"/><Relationship Id="rId505" Type="http://schemas.openxmlformats.org/officeDocument/2006/relationships/hyperlink" Target="mailto:crisperez@2008@hotmail.com" TargetMode="External"/><Relationship Id="rId712" Type="http://schemas.openxmlformats.org/officeDocument/2006/relationships/hyperlink" Target="mailto:BURBSNO30@HOTMIL.COM" TargetMode="External"/><Relationship Id="rId894" Type="http://schemas.openxmlformats.org/officeDocument/2006/relationships/hyperlink" Target="mailto:XINAMENDEZ@GMAIL.COM" TargetMode="External"/><Relationship Id="rId37" Type="http://schemas.openxmlformats.org/officeDocument/2006/relationships/hyperlink" Target="mailto:txavierbarrera@hotmail.com" TargetMode="External"/><Relationship Id="rId79" Type="http://schemas.openxmlformats.org/officeDocument/2006/relationships/hyperlink" Target="mailto:jorgeluis350000@hotmail.com" TargetMode="External"/><Relationship Id="rId102" Type="http://schemas.openxmlformats.org/officeDocument/2006/relationships/hyperlink" Target="mailto:argudoim@hotmail.com" TargetMode="External"/><Relationship Id="rId144" Type="http://schemas.openxmlformats.org/officeDocument/2006/relationships/hyperlink" Target="mailto:m.cajamarcaq@gmail.com" TargetMode="External"/><Relationship Id="rId547" Type="http://schemas.openxmlformats.org/officeDocument/2006/relationships/hyperlink" Target="mailto:carlosfesastudillo@hotmail.com" TargetMode="External"/><Relationship Id="rId589" Type="http://schemas.openxmlformats.org/officeDocument/2006/relationships/hyperlink" Target="mailto:ESTEBAL1947@ICLOUD.COM" TargetMode="External"/><Relationship Id="rId754" Type="http://schemas.openxmlformats.org/officeDocument/2006/relationships/hyperlink" Target="mailto:LMLOJIRON@GMAIL.COM" TargetMode="External"/><Relationship Id="rId796" Type="http://schemas.openxmlformats.org/officeDocument/2006/relationships/hyperlink" Target="mailto:PATRAMTO68@GMAIL.COM" TargetMode="External"/><Relationship Id="rId90" Type="http://schemas.openxmlformats.org/officeDocument/2006/relationships/hyperlink" Target="mailto:danielcallecerras@gmail.com" TargetMode="External"/><Relationship Id="rId186" Type="http://schemas.openxmlformats.org/officeDocument/2006/relationships/hyperlink" Target="mailto:ad.paulapiedra@gmail.com" TargetMode="External"/><Relationship Id="rId351" Type="http://schemas.openxmlformats.org/officeDocument/2006/relationships/hyperlink" Target="mailto:contabilidad@gamaarquitectura.com" TargetMode="External"/><Relationship Id="rId393" Type="http://schemas.openxmlformats.org/officeDocument/2006/relationships/hyperlink" Target="mailto:jorgemendez5@hotmail.com" TargetMode="External"/><Relationship Id="rId407" Type="http://schemas.openxmlformats.org/officeDocument/2006/relationships/hyperlink" Target="mailto:marceabad@hotmail.com" TargetMode="External"/><Relationship Id="rId449" Type="http://schemas.openxmlformats.org/officeDocument/2006/relationships/hyperlink" Target="mailto:estebansarmientocobos@gmail.com" TargetMode="External"/><Relationship Id="rId614" Type="http://schemas.openxmlformats.org/officeDocument/2006/relationships/hyperlink" Target="mailto:ERICPFEFFERKORN777@GMAIL.COM" TargetMode="External"/><Relationship Id="rId656" Type="http://schemas.openxmlformats.org/officeDocument/2006/relationships/hyperlink" Target="mailto:KFNEWMANN@YAHOO.COM" TargetMode="External"/><Relationship Id="rId821" Type="http://schemas.openxmlformats.org/officeDocument/2006/relationships/hyperlink" Target="mailto:EUGENIAMOLINA42@HOTMAIL.COM" TargetMode="External"/><Relationship Id="rId863" Type="http://schemas.openxmlformats.org/officeDocument/2006/relationships/hyperlink" Target="mailto:CARMITA031162@HOTMAIL.COM" TargetMode="External"/><Relationship Id="rId211" Type="http://schemas.openxmlformats.org/officeDocument/2006/relationships/hyperlink" Target="mailto:danilomusic15@hotmail.com" TargetMode="External"/><Relationship Id="rId253" Type="http://schemas.openxmlformats.org/officeDocument/2006/relationships/hyperlink" Target="mailto:prismendez2@gmail.com" TargetMode="External"/><Relationship Id="rId295" Type="http://schemas.openxmlformats.org/officeDocument/2006/relationships/hyperlink" Target="mailto:tantandrade@gmail.com" TargetMode="External"/><Relationship Id="rId309" Type="http://schemas.openxmlformats.org/officeDocument/2006/relationships/hyperlink" Target="mailto:viniciopl@hotmail.com" TargetMode="External"/><Relationship Id="rId460" Type="http://schemas.openxmlformats.org/officeDocument/2006/relationships/hyperlink" Target="mailto:jerp63@gmail.com" TargetMode="External"/><Relationship Id="rId516" Type="http://schemas.openxmlformats.org/officeDocument/2006/relationships/hyperlink" Target="mailto:dsalvarez@icloud.com" TargetMode="External"/><Relationship Id="rId698" Type="http://schemas.openxmlformats.org/officeDocument/2006/relationships/hyperlink" Target="mailto:JUANXAG@GMAIL.COM" TargetMode="External"/><Relationship Id="rId48" Type="http://schemas.openxmlformats.org/officeDocument/2006/relationships/hyperlink" Target="mailto:alfredotosimurillo@gmail.com" TargetMode="External"/><Relationship Id="rId113" Type="http://schemas.openxmlformats.org/officeDocument/2006/relationships/hyperlink" Target="mailto:sami4.3@hotmail.com" TargetMode="External"/><Relationship Id="rId320" Type="http://schemas.openxmlformats.org/officeDocument/2006/relationships/hyperlink" Target="mailto:foper.sas@gmail.com" TargetMode="External"/><Relationship Id="rId558" Type="http://schemas.openxmlformats.org/officeDocument/2006/relationships/hyperlink" Target="mailto:remigiocresp011@gmail.com" TargetMode="External"/><Relationship Id="rId723" Type="http://schemas.openxmlformats.org/officeDocument/2006/relationships/hyperlink" Target="mailto:ANAMARIAPONTEP@GMAIL.COM" TargetMode="External"/><Relationship Id="rId765" Type="http://schemas.openxmlformats.org/officeDocument/2006/relationships/hyperlink" Target="mailto:BSOLIS1957@GMAIL.COM" TargetMode="External"/><Relationship Id="rId155" Type="http://schemas.openxmlformats.org/officeDocument/2006/relationships/hyperlink" Target="mailto:jmeneses@techovid.com" TargetMode="External"/><Relationship Id="rId197" Type="http://schemas.openxmlformats.org/officeDocument/2006/relationships/hyperlink" Target="mailto:gimenasta@yahoo.com" TargetMode="External"/><Relationship Id="rId362" Type="http://schemas.openxmlformats.org/officeDocument/2006/relationships/hyperlink" Target="mailto:xjearabad@hotmail.com" TargetMode="External"/><Relationship Id="rId418" Type="http://schemas.openxmlformats.org/officeDocument/2006/relationships/hyperlink" Target="mailto:paolaurgilesv@gmail.com" TargetMode="External"/><Relationship Id="rId625" Type="http://schemas.openxmlformats.org/officeDocument/2006/relationships/hyperlink" Target="mailto:VERITOPURUNCAJAS@HOTMAIL.COM" TargetMode="External"/><Relationship Id="rId832" Type="http://schemas.openxmlformats.org/officeDocument/2006/relationships/hyperlink" Target="mailto:CLARAMEDINALEON@HOTMAIL.ES" TargetMode="External"/><Relationship Id="rId222" Type="http://schemas.openxmlformats.org/officeDocument/2006/relationships/hyperlink" Target="mailto:jessica.alvarezmonroy@gmail.com" TargetMode="External"/><Relationship Id="rId264" Type="http://schemas.openxmlformats.org/officeDocument/2006/relationships/hyperlink" Target="mailto:eugeniabeatriz1780@gmail.com" TargetMode="External"/><Relationship Id="rId471" Type="http://schemas.openxmlformats.org/officeDocument/2006/relationships/hyperlink" Target="mailto:Isantiagov@live.com" TargetMode="External"/><Relationship Id="rId667" Type="http://schemas.openxmlformats.org/officeDocument/2006/relationships/hyperlink" Target="mailto:GABYCO_1993@HOTMAIL.COM" TargetMode="External"/><Relationship Id="rId874" Type="http://schemas.openxmlformats.org/officeDocument/2006/relationships/hyperlink" Target="mailto:BOLIVARROMO768@GMAIL.COM" TargetMode="External"/><Relationship Id="rId17" Type="http://schemas.openxmlformats.org/officeDocument/2006/relationships/hyperlink" Target="mailto:jorge.alvarado1992@hotmail.com" TargetMode="External"/><Relationship Id="rId59" Type="http://schemas.openxmlformats.org/officeDocument/2006/relationships/hyperlink" Target="mailto:byronl8@yahoo.es" TargetMode="External"/><Relationship Id="rId124" Type="http://schemas.openxmlformats.org/officeDocument/2006/relationships/hyperlink" Target="mailto:lissethalcivar1998@hotmail.com" TargetMode="External"/><Relationship Id="rId527" Type="http://schemas.openxmlformats.org/officeDocument/2006/relationships/hyperlink" Target="mailto:tihoch3@gmail.com" TargetMode="External"/><Relationship Id="rId569" Type="http://schemas.openxmlformats.org/officeDocument/2006/relationships/hyperlink" Target="mailto:treese1040@me.com" TargetMode="External"/><Relationship Id="rId734" Type="http://schemas.openxmlformats.org/officeDocument/2006/relationships/hyperlink" Target="mailto:JESSICABRAVO394@GMAIL.COM" TargetMode="External"/><Relationship Id="rId776" Type="http://schemas.openxmlformats.org/officeDocument/2006/relationships/hyperlink" Target="mailto:MAISA282@HOTMAIL.COM" TargetMode="External"/><Relationship Id="rId70" Type="http://schemas.openxmlformats.org/officeDocument/2006/relationships/hyperlink" Target="mailto:mikachales@hotmail.com" TargetMode="External"/><Relationship Id="rId166" Type="http://schemas.openxmlformats.org/officeDocument/2006/relationships/hyperlink" Target="mailto:andresabril3011@gmail.com" TargetMode="External"/><Relationship Id="rId331" Type="http://schemas.openxmlformats.org/officeDocument/2006/relationships/hyperlink" Target="mailto:cdayalloret@hotmail.com" TargetMode="External"/><Relationship Id="rId373" Type="http://schemas.openxmlformats.org/officeDocument/2006/relationships/hyperlink" Target="mailto:pochigc8572@hotmail.com" TargetMode="External"/><Relationship Id="rId429" Type="http://schemas.openxmlformats.org/officeDocument/2006/relationships/hyperlink" Target="mailto:juanpatriciorivera@hotmail.com" TargetMode="External"/><Relationship Id="rId580" Type="http://schemas.openxmlformats.org/officeDocument/2006/relationships/hyperlink" Target="mailto:megamueblesbelen@hotmail.com" TargetMode="External"/><Relationship Id="rId636" Type="http://schemas.openxmlformats.org/officeDocument/2006/relationships/hyperlink" Target="mailto:JHONHIDALGO1987@GMAIL.COM" TargetMode="External"/><Relationship Id="rId801" Type="http://schemas.openxmlformats.org/officeDocument/2006/relationships/hyperlink" Target="mailto:KASTYMACIASZZ@HOTMAIL.COM" TargetMode="External"/><Relationship Id="rId1" Type="http://schemas.openxmlformats.org/officeDocument/2006/relationships/hyperlink" Target="mailto:schulman.alexis@gmail.com" TargetMode="External"/><Relationship Id="rId233" Type="http://schemas.openxmlformats.org/officeDocument/2006/relationships/hyperlink" Target="mailto:danilomusic15@hotmail.com" TargetMode="External"/><Relationship Id="rId440" Type="http://schemas.openxmlformats.org/officeDocument/2006/relationships/hyperlink" Target="mailto:jeimisramosmonopi@hotmail.com" TargetMode="External"/><Relationship Id="rId678" Type="http://schemas.openxmlformats.org/officeDocument/2006/relationships/hyperlink" Target="mailto:J-VERAZORA@HOTMAIL.COM" TargetMode="External"/><Relationship Id="rId843" Type="http://schemas.openxmlformats.org/officeDocument/2006/relationships/hyperlink" Target="mailto:FPELAEZ0@YAHOO.COM" TargetMode="External"/><Relationship Id="rId885" Type="http://schemas.openxmlformats.org/officeDocument/2006/relationships/hyperlink" Target="mailto:GABYCOBOS1990@HOTMAIL.COM" TargetMode="External"/><Relationship Id="rId28" Type="http://schemas.openxmlformats.org/officeDocument/2006/relationships/hyperlink" Target="mailto:marianaszabadiccs@gmail.com" TargetMode="External"/><Relationship Id="rId275" Type="http://schemas.openxmlformats.org/officeDocument/2006/relationships/hyperlink" Target="mailto:hherreras80@hotmail.com" TargetMode="External"/><Relationship Id="rId300" Type="http://schemas.openxmlformats.org/officeDocument/2006/relationships/hyperlink" Target="mailto:arizjc@yahoo.com" TargetMode="External"/><Relationship Id="rId482" Type="http://schemas.openxmlformats.org/officeDocument/2006/relationships/hyperlink" Target="mailto:diacantos@hotmail.com" TargetMode="External"/><Relationship Id="rId538" Type="http://schemas.openxmlformats.org/officeDocument/2006/relationships/hyperlink" Target="mailto:arukeiser@yahoo.com" TargetMode="External"/><Relationship Id="rId703" Type="http://schemas.openxmlformats.org/officeDocument/2006/relationships/hyperlink" Target="mailto:DIEGUITOROSOS1989@HOTMAIL.COM" TargetMode="External"/><Relationship Id="rId745" Type="http://schemas.openxmlformats.org/officeDocument/2006/relationships/hyperlink" Target="mailto:OSWALDOROD@YAHOO.COM" TargetMode="External"/><Relationship Id="rId81" Type="http://schemas.openxmlformats.org/officeDocument/2006/relationships/hyperlink" Target="mailto:cardenasmiguel60@yahoo.com" TargetMode="External"/><Relationship Id="rId135" Type="http://schemas.openxmlformats.org/officeDocument/2006/relationships/hyperlink" Target="mailto:nixxonangam@gmail.com" TargetMode="External"/><Relationship Id="rId177" Type="http://schemas.openxmlformats.org/officeDocument/2006/relationships/hyperlink" Target="mailto:lourdeseliana@icloud.com" TargetMode="External"/><Relationship Id="rId342" Type="http://schemas.openxmlformats.org/officeDocument/2006/relationships/hyperlink" Target="mailto:eeorellana.nac@hotmail.com" TargetMode="External"/><Relationship Id="rId384" Type="http://schemas.openxmlformats.org/officeDocument/2006/relationships/hyperlink" Target="mailto:angipa@live.com" TargetMode="External"/><Relationship Id="rId591" Type="http://schemas.openxmlformats.org/officeDocument/2006/relationships/hyperlink" Target="mailto:ESTEBAL1947@ICLOUD.COM" TargetMode="External"/><Relationship Id="rId605" Type="http://schemas.openxmlformats.org/officeDocument/2006/relationships/hyperlink" Target="mailto:KEYNEJAD@AOL.COM" TargetMode="External"/><Relationship Id="rId787" Type="http://schemas.openxmlformats.org/officeDocument/2006/relationships/hyperlink" Target="mailto:DRJOBRERO@HOTMAIL.COM" TargetMode="External"/><Relationship Id="rId812" Type="http://schemas.openxmlformats.org/officeDocument/2006/relationships/hyperlink" Target="mailto:JORGEZUNIGAJARA@HOTMAIL.COM" TargetMode="External"/><Relationship Id="rId202" Type="http://schemas.openxmlformats.org/officeDocument/2006/relationships/hyperlink" Target="mailto:pgus25@hotmail.com" TargetMode="External"/><Relationship Id="rId244" Type="http://schemas.openxmlformats.org/officeDocument/2006/relationships/hyperlink" Target="mailto:merysarmiento274@gmail.com" TargetMode="External"/><Relationship Id="rId647" Type="http://schemas.openxmlformats.org/officeDocument/2006/relationships/hyperlink" Target="mailto:SDBDV@HOTMAIL.COM" TargetMode="External"/><Relationship Id="rId689" Type="http://schemas.openxmlformats.org/officeDocument/2006/relationships/hyperlink" Target="mailto:ELIZ.ECO.122@GMAIL.COM" TargetMode="External"/><Relationship Id="rId854" Type="http://schemas.openxmlformats.org/officeDocument/2006/relationships/hyperlink" Target="mailto:MAFERJACOME87@GMAIL.COM" TargetMode="External"/><Relationship Id="rId896" Type="http://schemas.openxmlformats.org/officeDocument/2006/relationships/drawing" Target="../drawings/drawing1.xml"/><Relationship Id="rId39" Type="http://schemas.openxmlformats.org/officeDocument/2006/relationships/hyperlink" Target="mailto:contabilidad@euroagroec.com" TargetMode="External"/><Relationship Id="rId286" Type="http://schemas.openxmlformats.org/officeDocument/2006/relationships/hyperlink" Target="mailto:gustavoqr2810@gmail.com" TargetMode="External"/><Relationship Id="rId451" Type="http://schemas.openxmlformats.org/officeDocument/2006/relationships/hyperlink" Target="mailto:prici.verdugo@gmail.com" TargetMode="External"/><Relationship Id="rId493" Type="http://schemas.openxmlformats.org/officeDocument/2006/relationships/hyperlink" Target="mailto:william_patricio@hotmail.com" TargetMode="External"/><Relationship Id="rId507" Type="http://schemas.openxmlformats.org/officeDocument/2006/relationships/hyperlink" Target="mailto:delavarez10@icloud.com" TargetMode="External"/><Relationship Id="rId549" Type="http://schemas.openxmlformats.org/officeDocument/2006/relationships/hyperlink" Target="mailto:c.dani.87@hotmail.com" TargetMode="External"/><Relationship Id="rId714" Type="http://schemas.openxmlformats.org/officeDocument/2006/relationships/hyperlink" Target="mailto:BURBSNO30@HOTMIL.COM" TargetMode="External"/><Relationship Id="rId756" Type="http://schemas.openxmlformats.org/officeDocument/2006/relationships/hyperlink" Target="mailto:ALIV.SAS@HOTMAIL.COM" TargetMode="External"/><Relationship Id="rId50" Type="http://schemas.openxmlformats.org/officeDocument/2006/relationships/hyperlink" Target="mailto:jonnathans35@hotmail.com" TargetMode="External"/><Relationship Id="rId104" Type="http://schemas.openxmlformats.org/officeDocument/2006/relationships/hyperlink" Target="mailto:ricardoalarconvelez@yahoo.ec" TargetMode="External"/><Relationship Id="rId146" Type="http://schemas.openxmlformats.org/officeDocument/2006/relationships/hyperlink" Target="mailto:grupo_caminar@hotmail.com" TargetMode="External"/><Relationship Id="rId188" Type="http://schemas.openxmlformats.org/officeDocument/2006/relationships/hyperlink" Target="mailto:andradecallecristian@gmail.com" TargetMode="External"/><Relationship Id="rId311" Type="http://schemas.openxmlformats.org/officeDocument/2006/relationships/hyperlink" Target="mailto:viniciopl@hotmail.com" TargetMode="External"/><Relationship Id="rId353" Type="http://schemas.openxmlformats.org/officeDocument/2006/relationships/hyperlink" Target="mailto:patriciatinoco2013@gmail.com" TargetMode="External"/><Relationship Id="rId395" Type="http://schemas.openxmlformats.org/officeDocument/2006/relationships/hyperlink" Target="mailto:jorgemendez5@hotmail.com" TargetMode="External"/><Relationship Id="rId409" Type="http://schemas.openxmlformats.org/officeDocument/2006/relationships/hyperlink" Target="mailto:plazacarmen834@hotmail.com" TargetMode="External"/><Relationship Id="rId560" Type="http://schemas.openxmlformats.org/officeDocument/2006/relationships/hyperlink" Target="mailto:remigiocresp011@gmail.com" TargetMode="External"/><Relationship Id="rId798" Type="http://schemas.openxmlformats.org/officeDocument/2006/relationships/hyperlink" Target="mailto:WAIC-36@HOTMAIL.COM" TargetMode="External"/><Relationship Id="rId92" Type="http://schemas.openxmlformats.org/officeDocument/2006/relationships/hyperlink" Target="mailto:ma5252360@gmail.com" TargetMode="External"/><Relationship Id="rId213" Type="http://schemas.openxmlformats.org/officeDocument/2006/relationships/hyperlink" Target="mailto:miriamrocio@hotmail.com" TargetMode="External"/><Relationship Id="rId420" Type="http://schemas.openxmlformats.org/officeDocument/2006/relationships/hyperlink" Target="mailto:paolaurgilesv@gmail.com" TargetMode="External"/><Relationship Id="rId616" Type="http://schemas.openxmlformats.org/officeDocument/2006/relationships/hyperlink" Target="mailto:LULUMEDINA13@GMAIL.COM" TargetMode="External"/><Relationship Id="rId658" Type="http://schemas.openxmlformats.org/officeDocument/2006/relationships/hyperlink" Target="mailto:KFNEWMANN@YAHOO.COM" TargetMode="External"/><Relationship Id="rId823" Type="http://schemas.openxmlformats.org/officeDocument/2006/relationships/hyperlink" Target="mailto:DAMARISMARIN23@GMAIL.COM" TargetMode="External"/><Relationship Id="rId865" Type="http://schemas.openxmlformats.org/officeDocument/2006/relationships/hyperlink" Target="mailto:CARMITA031162@HOTMAIL.COM" TargetMode="External"/><Relationship Id="rId255" Type="http://schemas.openxmlformats.org/officeDocument/2006/relationships/hyperlink" Target="mailto:prismendez2@gmail.com" TargetMode="External"/><Relationship Id="rId297" Type="http://schemas.openxmlformats.org/officeDocument/2006/relationships/hyperlink" Target="mailto:alicia.rosi@yahoo.es" TargetMode="External"/><Relationship Id="rId462" Type="http://schemas.openxmlformats.org/officeDocument/2006/relationships/hyperlink" Target="mailto:ana.elisabeth.ochoa@hotmai;l.com" TargetMode="External"/><Relationship Id="rId518" Type="http://schemas.openxmlformats.org/officeDocument/2006/relationships/hyperlink" Target="mailto:adchock1804@yahoo.com" TargetMode="External"/><Relationship Id="rId725" Type="http://schemas.openxmlformats.org/officeDocument/2006/relationships/hyperlink" Target="mailto:FABIOLACO@YAHOO.COM" TargetMode="External"/><Relationship Id="rId115" Type="http://schemas.openxmlformats.org/officeDocument/2006/relationships/hyperlink" Target="mailto:l_xavier_l@hotmail.com" TargetMode="External"/><Relationship Id="rId157" Type="http://schemas.openxmlformats.org/officeDocument/2006/relationships/hyperlink" Target="mailto:fedecordero@yahoo.com" TargetMode="External"/><Relationship Id="rId322" Type="http://schemas.openxmlformats.org/officeDocument/2006/relationships/hyperlink" Target="mailto:carolina3124@yahoo.com" TargetMode="External"/><Relationship Id="rId364" Type="http://schemas.openxmlformats.org/officeDocument/2006/relationships/hyperlink" Target="mailto:xjearabad@hotmail.com" TargetMode="External"/><Relationship Id="rId767" Type="http://schemas.openxmlformats.org/officeDocument/2006/relationships/hyperlink" Target="mailto:JMZEAS87@GMAIL.COM" TargetMode="External"/><Relationship Id="rId61" Type="http://schemas.openxmlformats.org/officeDocument/2006/relationships/hyperlink" Target="mailto:byronl8@yahoo.es" TargetMode="External"/><Relationship Id="rId199" Type="http://schemas.openxmlformats.org/officeDocument/2006/relationships/hyperlink" Target="mailto:susy_borja@yahoo.com" TargetMode="External"/><Relationship Id="rId571" Type="http://schemas.openxmlformats.org/officeDocument/2006/relationships/hyperlink" Target="mailto:treese1040@me.com" TargetMode="External"/><Relationship Id="rId627" Type="http://schemas.openxmlformats.org/officeDocument/2006/relationships/hyperlink" Target="mailto:VERITOPURUNCAJAS@HOTMAIL.COM" TargetMode="External"/><Relationship Id="rId669" Type="http://schemas.openxmlformats.org/officeDocument/2006/relationships/hyperlink" Target="mailto:RSNS.BROWN@GMAIL.COM" TargetMode="External"/><Relationship Id="rId834" Type="http://schemas.openxmlformats.org/officeDocument/2006/relationships/hyperlink" Target="mailto:ALEXANDRAIDROVO1989@GMAIL.COM" TargetMode="External"/><Relationship Id="rId876" Type="http://schemas.openxmlformats.org/officeDocument/2006/relationships/hyperlink" Target="mailto:BOLIVARROMO768@GMAIL.COM" TargetMode="External"/><Relationship Id="rId19" Type="http://schemas.openxmlformats.org/officeDocument/2006/relationships/hyperlink" Target="mailto:jossmerchan@hotmail.com" TargetMode="External"/><Relationship Id="rId224" Type="http://schemas.openxmlformats.org/officeDocument/2006/relationships/hyperlink" Target="mailto:jessica.alvarezmonroy@gmail.com" TargetMode="External"/><Relationship Id="rId266" Type="http://schemas.openxmlformats.org/officeDocument/2006/relationships/hyperlink" Target="mailto:hherreras80@hotmail.com" TargetMode="External"/><Relationship Id="rId431" Type="http://schemas.openxmlformats.org/officeDocument/2006/relationships/hyperlink" Target="mailto:rgarzon48@gmail.com" TargetMode="External"/><Relationship Id="rId473" Type="http://schemas.openxmlformats.org/officeDocument/2006/relationships/hyperlink" Target="mailto:Isantiagov@live.com" TargetMode="External"/><Relationship Id="rId529" Type="http://schemas.openxmlformats.org/officeDocument/2006/relationships/hyperlink" Target="mailto:tihoch3@gmail.com" TargetMode="External"/><Relationship Id="rId680" Type="http://schemas.openxmlformats.org/officeDocument/2006/relationships/hyperlink" Target="mailto:ADRICNBALAREZO8@GMAIL.COM" TargetMode="External"/><Relationship Id="rId736" Type="http://schemas.openxmlformats.org/officeDocument/2006/relationships/hyperlink" Target="mailto:MARIACPALACIOS3836@YAHOO.COM" TargetMode="External"/><Relationship Id="rId30" Type="http://schemas.openxmlformats.org/officeDocument/2006/relationships/hyperlink" Target="mailto:jossmedrchan@hotmail.com" TargetMode="External"/><Relationship Id="rId126" Type="http://schemas.openxmlformats.org/officeDocument/2006/relationships/hyperlink" Target="mailto:saraluzparrac@gmail.com" TargetMode="External"/><Relationship Id="rId168" Type="http://schemas.openxmlformats.org/officeDocument/2006/relationships/hyperlink" Target="mailto:andresabril3011@gmail.com" TargetMode="External"/><Relationship Id="rId333" Type="http://schemas.openxmlformats.org/officeDocument/2006/relationships/hyperlink" Target="mailto:marlonv.velez@gmail.com" TargetMode="External"/><Relationship Id="rId540" Type="http://schemas.openxmlformats.org/officeDocument/2006/relationships/hyperlink" Target="mailto:pazreyescordero@hotmail.com" TargetMode="External"/><Relationship Id="rId778" Type="http://schemas.openxmlformats.org/officeDocument/2006/relationships/hyperlink" Target="mailto:CHELOTORAL@GMAIL.COM" TargetMode="External"/><Relationship Id="rId72" Type="http://schemas.openxmlformats.org/officeDocument/2006/relationships/hyperlink" Target="mailto:martinomiotto43@gmail.com" TargetMode="External"/><Relationship Id="rId375" Type="http://schemas.openxmlformats.org/officeDocument/2006/relationships/hyperlink" Target="mailto:pochigc8572@hotmail.com" TargetMode="External"/><Relationship Id="rId582" Type="http://schemas.openxmlformats.org/officeDocument/2006/relationships/hyperlink" Target="mailto:monicaandrade671@gmail.com" TargetMode="External"/><Relationship Id="rId638" Type="http://schemas.openxmlformats.org/officeDocument/2006/relationships/hyperlink" Target="mailto:ANDRES.VALDES86@GMAIL.COM" TargetMode="External"/><Relationship Id="rId803" Type="http://schemas.openxmlformats.org/officeDocument/2006/relationships/hyperlink" Target="mailto:POOL.FINO@HOTMAIL.COM" TargetMode="External"/><Relationship Id="rId845" Type="http://schemas.openxmlformats.org/officeDocument/2006/relationships/hyperlink" Target="mailto:FPELAEZ0@YAHOO.COM" TargetMode="External"/><Relationship Id="rId3" Type="http://schemas.openxmlformats.org/officeDocument/2006/relationships/hyperlink" Target="mailto:panchog1980@hotmail.com" TargetMode="External"/><Relationship Id="rId235" Type="http://schemas.openxmlformats.org/officeDocument/2006/relationships/hyperlink" Target="mailto:byronnv@gmail.com" TargetMode="External"/><Relationship Id="rId277" Type="http://schemas.openxmlformats.org/officeDocument/2006/relationships/hyperlink" Target="mailto:hherreras80@hotmail.com" TargetMode="External"/><Relationship Id="rId400" Type="http://schemas.openxmlformats.org/officeDocument/2006/relationships/hyperlink" Target="mailto:ecuasa@hotmail.com" TargetMode="External"/><Relationship Id="rId442" Type="http://schemas.openxmlformats.org/officeDocument/2006/relationships/hyperlink" Target="mailto:info@redoffice.ec" TargetMode="External"/><Relationship Id="rId484" Type="http://schemas.openxmlformats.org/officeDocument/2006/relationships/hyperlink" Target="mailto:constructora_bya@hotmail.com" TargetMode="External"/><Relationship Id="rId705" Type="http://schemas.openxmlformats.org/officeDocument/2006/relationships/hyperlink" Target="mailto:EMILIOMARCA2@GMAIL.COM" TargetMode="External"/><Relationship Id="rId887" Type="http://schemas.openxmlformats.org/officeDocument/2006/relationships/hyperlink" Target="mailto:ALFREDOHAEC31@GMAIL.COM" TargetMode="External"/><Relationship Id="rId137" Type="http://schemas.openxmlformats.org/officeDocument/2006/relationships/hyperlink" Target="mailto:yados_ing99@hotmail.com" TargetMode="External"/><Relationship Id="rId302" Type="http://schemas.openxmlformats.org/officeDocument/2006/relationships/hyperlink" Target="mailto:dmauri2006@hotmail.com" TargetMode="External"/><Relationship Id="rId344" Type="http://schemas.openxmlformats.org/officeDocument/2006/relationships/hyperlink" Target="mailto:jncarrion@gmail.com" TargetMode="External"/><Relationship Id="rId691" Type="http://schemas.openxmlformats.org/officeDocument/2006/relationships/hyperlink" Target="mailto:T.GONZALES@ICLOUD.COM" TargetMode="External"/><Relationship Id="rId747" Type="http://schemas.openxmlformats.org/officeDocument/2006/relationships/hyperlink" Target="mailto:MICHAEL.BERMEO@HOTMAIL.COM" TargetMode="External"/><Relationship Id="rId789" Type="http://schemas.openxmlformats.org/officeDocument/2006/relationships/hyperlink" Target="mailto:ARQ.ANTO.P@GMAIL.COM" TargetMode="External"/><Relationship Id="rId41" Type="http://schemas.openxmlformats.org/officeDocument/2006/relationships/hyperlink" Target="mailto:marlenebravo96@gmail.com" TargetMode="External"/><Relationship Id="rId83" Type="http://schemas.openxmlformats.org/officeDocument/2006/relationships/hyperlink" Target="mailto:keli98flor@gmail.com" TargetMode="External"/><Relationship Id="rId179" Type="http://schemas.openxmlformats.org/officeDocument/2006/relationships/hyperlink" Target="mailto:andyeljuri@msn.com" TargetMode="External"/><Relationship Id="rId386" Type="http://schemas.openxmlformats.org/officeDocument/2006/relationships/hyperlink" Target="mailto:meges093@yahoo.es" TargetMode="External"/><Relationship Id="rId551" Type="http://schemas.openxmlformats.org/officeDocument/2006/relationships/hyperlink" Target="mailto:gailaj_1036@yahoo.com" TargetMode="External"/><Relationship Id="rId593" Type="http://schemas.openxmlformats.org/officeDocument/2006/relationships/hyperlink" Target="mailto:MUEBLESCARENO2020@GMAIL.COM" TargetMode="External"/><Relationship Id="rId607" Type="http://schemas.openxmlformats.org/officeDocument/2006/relationships/hyperlink" Target="mailto:GABYENRIQUEZ21406@GMAIL.COM" TargetMode="External"/><Relationship Id="rId649" Type="http://schemas.openxmlformats.org/officeDocument/2006/relationships/hyperlink" Target="mailto:GERENCIA@GESTIONSEGURA.COM.EC" TargetMode="External"/><Relationship Id="rId814" Type="http://schemas.openxmlformats.org/officeDocument/2006/relationships/hyperlink" Target="mailto:DAVIDMUNOX30@HOTMAIL.COM" TargetMode="External"/><Relationship Id="rId856" Type="http://schemas.openxmlformats.org/officeDocument/2006/relationships/hyperlink" Target="mailto:PRISCALDERONPA2@HOTMAIL.COM" TargetMode="External"/><Relationship Id="rId190" Type="http://schemas.openxmlformats.org/officeDocument/2006/relationships/hyperlink" Target="mailto:gerencia@comexmi.com" TargetMode="External"/><Relationship Id="rId204" Type="http://schemas.openxmlformats.org/officeDocument/2006/relationships/hyperlink" Target="mailto:tanjo_21@hotmail.com" TargetMode="External"/><Relationship Id="rId246" Type="http://schemas.openxmlformats.org/officeDocument/2006/relationships/hyperlink" Target="mailto:gabytorres29@hotmail.com" TargetMode="External"/><Relationship Id="rId288" Type="http://schemas.openxmlformats.org/officeDocument/2006/relationships/hyperlink" Target="mailto:diego.espa@outlook.es" TargetMode="External"/><Relationship Id="rId411" Type="http://schemas.openxmlformats.org/officeDocument/2006/relationships/hyperlink" Target="mailto:djia_mjac@hotmail.com" TargetMode="External"/><Relationship Id="rId453" Type="http://schemas.openxmlformats.org/officeDocument/2006/relationships/hyperlink" Target="mailto:mhicapie380@gmail.com" TargetMode="External"/><Relationship Id="rId509" Type="http://schemas.openxmlformats.org/officeDocument/2006/relationships/hyperlink" Target="mailto:gabiclaf.orellana@gmail.com" TargetMode="External"/><Relationship Id="rId660" Type="http://schemas.openxmlformats.org/officeDocument/2006/relationships/hyperlink" Target="mailto:ADMINISTRACION@QULMOV.COM.EC" TargetMode="External"/><Relationship Id="rId106" Type="http://schemas.openxmlformats.org/officeDocument/2006/relationships/hyperlink" Target="mailto:analutorresp@gmail.com" TargetMode="External"/><Relationship Id="rId313" Type="http://schemas.openxmlformats.org/officeDocument/2006/relationships/hyperlink" Target="mailto:xicirubla84@hotmail.com" TargetMode="External"/><Relationship Id="rId495" Type="http://schemas.openxmlformats.org/officeDocument/2006/relationships/hyperlink" Target="mailto:sandyluzuriaga04@hotmail.com" TargetMode="External"/><Relationship Id="rId716" Type="http://schemas.openxmlformats.org/officeDocument/2006/relationships/hyperlink" Target="mailto:FACTURACIONFGB@OUTLOOK.COM" TargetMode="External"/><Relationship Id="rId758" Type="http://schemas.openxmlformats.org/officeDocument/2006/relationships/hyperlink" Target="mailto:JACK2010121@GMAIL.COM" TargetMode="External"/><Relationship Id="rId10" Type="http://schemas.openxmlformats.org/officeDocument/2006/relationships/hyperlink" Target="mailto:hartman.pineda@gmail.com" TargetMode="External"/><Relationship Id="rId52" Type="http://schemas.openxmlformats.org/officeDocument/2006/relationships/hyperlink" Target="mailto:pjarabluejeans@hotmail.com" TargetMode="External"/><Relationship Id="rId94" Type="http://schemas.openxmlformats.org/officeDocument/2006/relationships/hyperlink" Target="mailto:vale-11@hotmail.com" TargetMode="External"/><Relationship Id="rId148" Type="http://schemas.openxmlformats.org/officeDocument/2006/relationships/hyperlink" Target="mailto:grupo_caminar@hotmail.com" TargetMode="External"/><Relationship Id="rId355" Type="http://schemas.openxmlformats.org/officeDocument/2006/relationships/hyperlink" Target="mailto:paulina_andrade_p@hotmail.com" TargetMode="External"/><Relationship Id="rId397" Type="http://schemas.openxmlformats.org/officeDocument/2006/relationships/hyperlink" Target="mailto:ecuasa@hotmail.com" TargetMode="External"/><Relationship Id="rId520" Type="http://schemas.openxmlformats.org/officeDocument/2006/relationships/hyperlink" Target="mailto:ptorresz@hotmail.com" TargetMode="External"/><Relationship Id="rId562" Type="http://schemas.openxmlformats.org/officeDocument/2006/relationships/hyperlink" Target="mailto:verobermeo5@gmail.com" TargetMode="External"/><Relationship Id="rId618" Type="http://schemas.openxmlformats.org/officeDocument/2006/relationships/hyperlink" Target="mailto:LULUMEDINA13@GMAIL.COM" TargetMode="External"/><Relationship Id="rId825" Type="http://schemas.openxmlformats.org/officeDocument/2006/relationships/hyperlink" Target="mailto:URTUBIAALEX@HOTMAIL.COM" TargetMode="External"/><Relationship Id="rId215" Type="http://schemas.openxmlformats.org/officeDocument/2006/relationships/hyperlink" Target="mailto:dcardenas1964@gmail.com" TargetMode="External"/><Relationship Id="rId257" Type="http://schemas.openxmlformats.org/officeDocument/2006/relationships/hyperlink" Target="mailto:carmen344@msn.com" TargetMode="External"/><Relationship Id="rId422" Type="http://schemas.openxmlformats.org/officeDocument/2006/relationships/hyperlink" Target="mailto:tiestojj7-34@hotmail.com" TargetMode="External"/><Relationship Id="rId464" Type="http://schemas.openxmlformats.org/officeDocument/2006/relationships/hyperlink" Target="mailto:viciciopullas1959@hotmail.com" TargetMode="External"/><Relationship Id="rId867" Type="http://schemas.openxmlformats.org/officeDocument/2006/relationships/hyperlink" Target="mailto:MNARCISA@HOTMAIL.COM" TargetMode="External"/><Relationship Id="rId299" Type="http://schemas.openxmlformats.org/officeDocument/2006/relationships/hyperlink" Target="mailto:arizjc@yahoo.com" TargetMode="External"/><Relationship Id="rId727" Type="http://schemas.openxmlformats.org/officeDocument/2006/relationships/hyperlink" Target="mailto:FABIOLACO@YAHOO.COM" TargetMode="External"/><Relationship Id="rId63" Type="http://schemas.openxmlformats.org/officeDocument/2006/relationships/hyperlink" Target="mailto:janchundiaheredia@gmail.com" TargetMode="External"/><Relationship Id="rId159" Type="http://schemas.openxmlformats.org/officeDocument/2006/relationships/hyperlink" Target="mailto:fedecordero@yahoo.com" TargetMode="External"/><Relationship Id="rId366" Type="http://schemas.openxmlformats.org/officeDocument/2006/relationships/hyperlink" Target="mailto:jorgeu1968@hotmail.com" TargetMode="External"/><Relationship Id="rId573" Type="http://schemas.openxmlformats.org/officeDocument/2006/relationships/hyperlink" Target="mailto:clarivelvaldiviezo70@hotmail.com" TargetMode="External"/><Relationship Id="rId780" Type="http://schemas.openxmlformats.org/officeDocument/2006/relationships/hyperlink" Target="mailto:OLGACALLECAMPO@GMAIL.COM" TargetMode="External"/><Relationship Id="rId226" Type="http://schemas.openxmlformats.org/officeDocument/2006/relationships/hyperlink" Target="mailto:jessica.alvarezmonroy@gmail.com" TargetMode="External"/><Relationship Id="rId433" Type="http://schemas.openxmlformats.org/officeDocument/2006/relationships/hyperlink" Target="mailto:mcrivera.brvo@gmail.com" TargetMode="External"/><Relationship Id="rId878" Type="http://schemas.openxmlformats.org/officeDocument/2006/relationships/hyperlink" Target="mailto:loliorellana18@gmail.com" TargetMode="External"/><Relationship Id="rId640" Type="http://schemas.openxmlformats.org/officeDocument/2006/relationships/hyperlink" Target="mailto:ANDRES.VALDES86@GMAIL.COM" TargetMode="External"/><Relationship Id="rId738" Type="http://schemas.openxmlformats.org/officeDocument/2006/relationships/hyperlink" Target="mailto:JOSEBUSTAMANTEM@GMAIL.COM" TargetMode="External"/><Relationship Id="rId74" Type="http://schemas.openxmlformats.org/officeDocument/2006/relationships/hyperlink" Target="mailto:crisocho32@yahoo.es" TargetMode="External"/><Relationship Id="rId377" Type="http://schemas.openxmlformats.org/officeDocument/2006/relationships/hyperlink" Target="mailto:jeimisramosmunori@gmail.com" TargetMode="External"/><Relationship Id="rId500" Type="http://schemas.openxmlformats.org/officeDocument/2006/relationships/hyperlink" Target="mailto:wily.el.cangri@gmail.com" TargetMode="External"/><Relationship Id="rId584" Type="http://schemas.openxmlformats.org/officeDocument/2006/relationships/hyperlink" Target="mailto:monicaandrade671@gmail.com" TargetMode="External"/><Relationship Id="rId805" Type="http://schemas.openxmlformats.org/officeDocument/2006/relationships/hyperlink" Target="mailto:LUISROMO@AUTOEXFO.EC" TargetMode="External"/><Relationship Id="rId5" Type="http://schemas.openxmlformats.org/officeDocument/2006/relationships/hyperlink" Target="mailto:panchog1980@hotmail.com" TargetMode="External"/><Relationship Id="rId237" Type="http://schemas.openxmlformats.org/officeDocument/2006/relationships/hyperlink" Target="mailto:wilsonnaula@gmail.com" TargetMode="External"/><Relationship Id="rId791" Type="http://schemas.openxmlformats.org/officeDocument/2006/relationships/hyperlink" Target="mailto:ROBLES@GMAIL.COM" TargetMode="External"/><Relationship Id="rId889" Type="http://schemas.openxmlformats.org/officeDocument/2006/relationships/hyperlink" Target="mailto:JORGEPB01@HOTMAIL.COM" TargetMode="External"/><Relationship Id="rId444" Type="http://schemas.openxmlformats.org/officeDocument/2006/relationships/hyperlink" Target="mailto:analucia.illescas@gmail.com" TargetMode="External"/><Relationship Id="rId651" Type="http://schemas.openxmlformats.org/officeDocument/2006/relationships/hyperlink" Target="mailto:GERENCIA@GESTIONSEGURA.COM.EC" TargetMode="External"/><Relationship Id="rId749" Type="http://schemas.openxmlformats.org/officeDocument/2006/relationships/hyperlink" Target="mailto:SCHONBERGERF@YAHOO.COM" TargetMode="External"/><Relationship Id="rId290" Type="http://schemas.openxmlformats.org/officeDocument/2006/relationships/hyperlink" Target="mailto:fernandomarin33@outlook.com" TargetMode="External"/><Relationship Id="rId304" Type="http://schemas.openxmlformats.org/officeDocument/2006/relationships/hyperlink" Target="mailto:jennyg@gmail.com" TargetMode="External"/><Relationship Id="rId388" Type="http://schemas.openxmlformats.org/officeDocument/2006/relationships/hyperlink" Target="mailto:juliopavo7@gmail.com" TargetMode="External"/><Relationship Id="rId511" Type="http://schemas.openxmlformats.org/officeDocument/2006/relationships/hyperlink" Target="mailto:gabiclaf.orellana@gmail.com" TargetMode="External"/><Relationship Id="rId609" Type="http://schemas.openxmlformats.org/officeDocument/2006/relationships/hyperlink" Target="mailto:JENNETHQUEZADA97@GMAIL.COM" TargetMode="External"/><Relationship Id="rId85" Type="http://schemas.openxmlformats.org/officeDocument/2006/relationships/hyperlink" Target="mailto:loydon9@yahoo.es" TargetMode="External"/><Relationship Id="rId150" Type="http://schemas.openxmlformats.org/officeDocument/2006/relationships/hyperlink" Target="mailto:inesarias@gmail.com" TargetMode="External"/><Relationship Id="rId595" Type="http://schemas.openxmlformats.org/officeDocument/2006/relationships/hyperlink" Target="mailto:ADMINISTRATIVO@SERVICIONOTARIAL.COM" TargetMode="External"/><Relationship Id="rId816" Type="http://schemas.openxmlformats.org/officeDocument/2006/relationships/hyperlink" Target="mailto:DAVIDMUNOX30@HOTMAIL.COM" TargetMode="External"/><Relationship Id="rId248" Type="http://schemas.openxmlformats.org/officeDocument/2006/relationships/hyperlink" Target="mailto:gabytorres29@hotmail.com" TargetMode="External"/><Relationship Id="rId455" Type="http://schemas.openxmlformats.org/officeDocument/2006/relationships/hyperlink" Target="mailto:pedro.a.89@hotmail.com" TargetMode="External"/><Relationship Id="rId662" Type="http://schemas.openxmlformats.org/officeDocument/2006/relationships/hyperlink" Target="mailto:ADMINISTRACION@QULMOV.COM.EC" TargetMode="External"/><Relationship Id="rId12" Type="http://schemas.openxmlformats.org/officeDocument/2006/relationships/hyperlink" Target="mailto:taly-cg@hotmail.com" TargetMode="External"/><Relationship Id="rId108" Type="http://schemas.openxmlformats.org/officeDocument/2006/relationships/hyperlink" Target="mailto:gerandresargudo@gmail.com" TargetMode="External"/><Relationship Id="rId315" Type="http://schemas.openxmlformats.org/officeDocument/2006/relationships/hyperlink" Target="mailto:damisar.rojas.12@gmail.com" TargetMode="External"/><Relationship Id="rId522" Type="http://schemas.openxmlformats.org/officeDocument/2006/relationships/hyperlink" Target="mailto:ptorresz@hotmail.com" TargetMode="External"/><Relationship Id="rId96" Type="http://schemas.openxmlformats.org/officeDocument/2006/relationships/hyperlink" Target="mailto:vale-11@hotmail.com" TargetMode="External"/><Relationship Id="rId161" Type="http://schemas.openxmlformats.org/officeDocument/2006/relationships/hyperlink" Target="mailto:fedecordero@yahoo.com" TargetMode="External"/><Relationship Id="rId399" Type="http://schemas.openxmlformats.org/officeDocument/2006/relationships/hyperlink" Target="mailto:ecuasa@hotmail.com" TargetMode="External"/><Relationship Id="rId827" Type="http://schemas.openxmlformats.org/officeDocument/2006/relationships/hyperlink" Target="mailto:ENMARODASF@HOTMAIL.COM" TargetMode="External"/><Relationship Id="rId259" Type="http://schemas.openxmlformats.org/officeDocument/2006/relationships/hyperlink" Target="mailto:mzcpublicidad@hotmail.com" TargetMode="External"/><Relationship Id="rId466" Type="http://schemas.openxmlformats.org/officeDocument/2006/relationships/hyperlink" Target="mailto:viciciopullas1959@hotmail.com" TargetMode="External"/><Relationship Id="rId673" Type="http://schemas.openxmlformats.org/officeDocument/2006/relationships/hyperlink" Target="mailto:LANEPOWELL03@GMAIL.COM" TargetMode="External"/><Relationship Id="rId880" Type="http://schemas.openxmlformats.org/officeDocument/2006/relationships/hyperlink" Target="mailto:LUPEYARIS@YAHOO.COM" TargetMode="External"/><Relationship Id="rId23" Type="http://schemas.openxmlformats.org/officeDocument/2006/relationships/hyperlink" Target="mailto:patriciom.nieves80@gmail.com" TargetMode="External"/><Relationship Id="rId119" Type="http://schemas.openxmlformats.org/officeDocument/2006/relationships/hyperlink" Target="mailto:juanccornejo9@gmail.com" TargetMode="External"/><Relationship Id="rId326" Type="http://schemas.openxmlformats.org/officeDocument/2006/relationships/hyperlink" Target="mailto:pserranointeriorismo@gmail.com" TargetMode="External"/><Relationship Id="rId533" Type="http://schemas.openxmlformats.org/officeDocument/2006/relationships/hyperlink" Target="mailto:pazreyescordero@hotmail.com" TargetMode="External"/><Relationship Id="rId740" Type="http://schemas.openxmlformats.org/officeDocument/2006/relationships/hyperlink" Target="mailto:MARCOESTEBAN25@YAHOO.COM" TargetMode="External"/><Relationship Id="rId838" Type="http://schemas.openxmlformats.org/officeDocument/2006/relationships/hyperlink" Target="mailto:TATAGUSTA@HOTMAIL.COM" TargetMode="External"/><Relationship Id="rId172" Type="http://schemas.openxmlformats.org/officeDocument/2006/relationships/hyperlink" Target="mailto:julianamaldonado@yahoo.com" TargetMode="External"/><Relationship Id="rId477" Type="http://schemas.openxmlformats.org/officeDocument/2006/relationships/hyperlink" Target="mailto:jennycoronel@hotmail.com" TargetMode="External"/><Relationship Id="rId600" Type="http://schemas.openxmlformats.org/officeDocument/2006/relationships/hyperlink" Target="mailto:JOSEMACHADO28@HOTMAIL.COM," TargetMode="External"/><Relationship Id="rId684" Type="http://schemas.openxmlformats.org/officeDocument/2006/relationships/hyperlink" Target="mailto:LOJANONORMA8@GMAIL.COM" TargetMode="External"/><Relationship Id="rId337" Type="http://schemas.openxmlformats.org/officeDocument/2006/relationships/hyperlink" Target="mailto:domevinnie@gmail.com" TargetMode="External"/><Relationship Id="rId891" Type="http://schemas.openxmlformats.org/officeDocument/2006/relationships/hyperlink" Target="mailto:SOPHIALITUMAA@GMAIL.COM" TargetMode="External"/><Relationship Id="rId34" Type="http://schemas.openxmlformats.org/officeDocument/2006/relationships/hyperlink" Target="mailto:agustinajara74@hotmail.com" TargetMode="External"/><Relationship Id="rId544" Type="http://schemas.openxmlformats.org/officeDocument/2006/relationships/hyperlink" Target="mailto:ingelecort2018@gmail.com" TargetMode="External"/><Relationship Id="rId751" Type="http://schemas.openxmlformats.org/officeDocument/2006/relationships/hyperlink" Target="mailto:NVAZQUEZR@GMAIL.COM" TargetMode="External"/><Relationship Id="rId849" Type="http://schemas.openxmlformats.org/officeDocument/2006/relationships/hyperlink" Target="mailto:LIESLIEALEXANDRA19@OUTLOOK.COM" TargetMode="External"/><Relationship Id="rId183" Type="http://schemas.openxmlformats.org/officeDocument/2006/relationships/hyperlink" Target="mailto:ventas@iglaceec.com" TargetMode="External"/><Relationship Id="rId390" Type="http://schemas.openxmlformats.org/officeDocument/2006/relationships/hyperlink" Target="mailto:angipa@live.com" TargetMode="External"/><Relationship Id="rId404" Type="http://schemas.openxmlformats.org/officeDocument/2006/relationships/hyperlink" Target="mailto:ecuasa@hotmail.com" TargetMode="External"/><Relationship Id="rId611" Type="http://schemas.openxmlformats.org/officeDocument/2006/relationships/hyperlink" Target="mailto:DIEGOAB16@HOTMAIL.COM" TargetMode="External"/><Relationship Id="rId250" Type="http://schemas.openxmlformats.org/officeDocument/2006/relationships/hyperlink" Target="mailto:cat80@outlook.com" TargetMode="External"/><Relationship Id="rId488" Type="http://schemas.openxmlformats.org/officeDocument/2006/relationships/hyperlink" Target="mailto:psolis@hotmail.com" TargetMode="External"/><Relationship Id="rId695" Type="http://schemas.openxmlformats.org/officeDocument/2006/relationships/hyperlink" Target="mailto:JOSE.ASTUDILLO16@HOTMAIL.COM" TargetMode="External"/><Relationship Id="rId709" Type="http://schemas.openxmlformats.org/officeDocument/2006/relationships/hyperlink" Target="mailto:DIEGO.ENCALADA@HOTMAIL.COM" TargetMode="External"/><Relationship Id="rId45" Type="http://schemas.openxmlformats.org/officeDocument/2006/relationships/hyperlink" Target="mailto:andresmks15@gmail.com" TargetMode="External"/><Relationship Id="rId110" Type="http://schemas.openxmlformats.org/officeDocument/2006/relationships/hyperlink" Target="mailto:roderickt@hotmail.com" TargetMode="External"/><Relationship Id="rId348" Type="http://schemas.openxmlformats.org/officeDocument/2006/relationships/hyperlink" Target="mailto:contabilidad@gamaarquitectura.com" TargetMode="External"/><Relationship Id="rId555" Type="http://schemas.openxmlformats.org/officeDocument/2006/relationships/hyperlink" Target="mailto:cris.jim93@hotmail.com" TargetMode="External"/><Relationship Id="rId762" Type="http://schemas.openxmlformats.org/officeDocument/2006/relationships/hyperlink" Target="mailto:PCARRIORAREVALO@GMAIL.COM" TargetMode="External"/><Relationship Id="rId194" Type="http://schemas.openxmlformats.org/officeDocument/2006/relationships/hyperlink" Target="mailto:pao.duran@gmail.com" TargetMode="External"/><Relationship Id="rId208" Type="http://schemas.openxmlformats.org/officeDocument/2006/relationships/hyperlink" Target="mailto:silvanacordero1992@gmail.com" TargetMode="External"/><Relationship Id="rId415" Type="http://schemas.openxmlformats.org/officeDocument/2006/relationships/hyperlink" Target="mailto:sayuribu24@gmail.com" TargetMode="External"/><Relationship Id="rId622" Type="http://schemas.openxmlformats.org/officeDocument/2006/relationships/hyperlink" Target="mailto:VERITOPURUNCAJAS@HOTMAIL.COM" TargetMode="External"/><Relationship Id="rId261" Type="http://schemas.openxmlformats.org/officeDocument/2006/relationships/hyperlink" Target="mailto:henrypolotapia@hotmail.com" TargetMode="External"/><Relationship Id="rId499" Type="http://schemas.openxmlformats.org/officeDocument/2006/relationships/hyperlink" Target="mailto:wily.el.cangri@gmail.com" TargetMode="External"/><Relationship Id="rId56" Type="http://schemas.openxmlformats.org/officeDocument/2006/relationships/hyperlink" Target="mailto:jcoellar66@gmail.com" TargetMode="External"/><Relationship Id="rId359" Type="http://schemas.openxmlformats.org/officeDocument/2006/relationships/hyperlink" Target="mailto:paulina_andrade_p@hotmail.com" TargetMode="External"/><Relationship Id="rId566" Type="http://schemas.openxmlformats.org/officeDocument/2006/relationships/hyperlink" Target="mailto:fsantacruzcz55@gmail.com" TargetMode="External"/><Relationship Id="rId773" Type="http://schemas.openxmlformats.org/officeDocument/2006/relationships/hyperlink" Target="mailto:karlafajardos.1997@gmail.com" TargetMode="External"/><Relationship Id="rId121" Type="http://schemas.openxmlformats.org/officeDocument/2006/relationships/hyperlink" Target="mailto:juanccornejo9@gmail.com" TargetMode="External"/><Relationship Id="rId219" Type="http://schemas.openxmlformats.org/officeDocument/2006/relationships/hyperlink" Target="mailto:jessica.alvarezmonroy@gmail.com" TargetMode="External"/><Relationship Id="rId426" Type="http://schemas.openxmlformats.org/officeDocument/2006/relationships/hyperlink" Target="mailto:fabian.figueroa76@hotmail.com" TargetMode="External"/><Relationship Id="rId633" Type="http://schemas.openxmlformats.org/officeDocument/2006/relationships/hyperlink" Target="mailto:J.VELECELA@HOTMAIL.COM" TargetMode="External"/><Relationship Id="rId840" Type="http://schemas.openxmlformats.org/officeDocument/2006/relationships/hyperlink" Target="mailto:TATAGUSTA@HOTMAIL.COM" TargetMode="External"/><Relationship Id="rId67" Type="http://schemas.openxmlformats.org/officeDocument/2006/relationships/hyperlink" Target="mailto:paulmacancelasant@gmail.com" TargetMode="External"/><Relationship Id="rId272" Type="http://schemas.openxmlformats.org/officeDocument/2006/relationships/hyperlink" Target="mailto:isamrezl@gmail.com" TargetMode="External"/><Relationship Id="rId577" Type="http://schemas.openxmlformats.org/officeDocument/2006/relationships/hyperlink" Target="mailto:megamueblesbelen@hotmail.com" TargetMode="External"/><Relationship Id="rId700" Type="http://schemas.openxmlformats.org/officeDocument/2006/relationships/hyperlink" Target="mailto:JUANXAG@GMAIL.COM" TargetMode="External"/><Relationship Id="rId132" Type="http://schemas.openxmlformats.org/officeDocument/2006/relationships/hyperlink" Target="mailto:andresabril304@gmail.com" TargetMode="External"/><Relationship Id="rId784" Type="http://schemas.openxmlformats.org/officeDocument/2006/relationships/hyperlink" Target="mailto:LUPITAGL27@HOTMAIL.COM" TargetMode="External"/><Relationship Id="rId437" Type="http://schemas.openxmlformats.org/officeDocument/2006/relationships/hyperlink" Target="mailto:responsable1@hotmail.com" TargetMode="External"/><Relationship Id="rId644" Type="http://schemas.openxmlformats.org/officeDocument/2006/relationships/hyperlink" Target="mailto:SDBDV@HOTMAIL.COM" TargetMode="External"/><Relationship Id="rId851" Type="http://schemas.openxmlformats.org/officeDocument/2006/relationships/hyperlink" Target="mailto:MAFERJACOME87@GMAIL.COM" TargetMode="External"/><Relationship Id="rId283" Type="http://schemas.openxmlformats.org/officeDocument/2006/relationships/hyperlink" Target="mailto:freddyanaluc11@gmail.com" TargetMode="External"/><Relationship Id="rId490" Type="http://schemas.openxmlformats.org/officeDocument/2006/relationships/hyperlink" Target="mailto:rizquierdom@hotmail.com" TargetMode="External"/><Relationship Id="rId504" Type="http://schemas.openxmlformats.org/officeDocument/2006/relationships/hyperlink" Target="mailto:crisperez@2008@hotmail.com" TargetMode="External"/><Relationship Id="rId711" Type="http://schemas.openxmlformats.org/officeDocument/2006/relationships/hyperlink" Target="mailto:LORENAMERCHANT@HOTMAIL.COM" TargetMode="External"/><Relationship Id="rId78" Type="http://schemas.openxmlformats.org/officeDocument/2006/relationships/hyperlink" Target="mailto:jorgeluis350000@hotmail.com" TargetMode="External"/><Relationship Id="rId143" Type="http://schemas.openxmlformats.org/officeDocument/2006/relationships/hyperlink" Target="mailto:m.cajamarcaq@gmail.com" TargetMode="External"/><Relationship Id="rId350" Type="http://schemas.openxmlformats.org/officeDocument/2006/relationships/hyperlink" Target="mailto:contabilidad@gamaarquitectura.com" TargetMode="External"/><Relationship Id="rId588" Type="http://schemas.openxmlformats.org/officeDocument/2006/relationships/hyperlink" Target="mailto:ESTEBAL1947@ICLOUD.COM" TargetMode="External"/><Relationship Id="rId795" Type="http://schemas.openxmlformats.org/officeDocument/2006/relationships/hyperlink" Target="mailto:PATRAMTO68@GMAIL.COM" TargetMode="External"/><Relationship Id="rId809" Type="http://schemas.openxmlformats.org/officeDocument/2006/relationships/hyperlink" Target="mailto:EUGIN.BARRET.2020@GMAIL.COM" TargetMode="External"/><Relationship Id="rId9" Type="http://schemas.openxmlformats.org/officeDocument/2006/relationships/hyperlink" Target="mailto:a.landy@hotmail.com" TargetMode="External"/><Relationship Id="rId210" Type="http://schemas.openxmlformats.org/officeDocument/2006/relationships/hyperlink" Target="mailto:silvanacordero1992@gmail.com" TargetMode="External"/><Relationship Id="rId448" Type="http://schemas.openxmlformats.org/officeDocument/2006/relationships/hyperlink" Target="mailto:estebansarmientocobos@gmail.com" TargetMode="External"/><Relationship Id="rId655" Type="http://schemas.openxmlformats.org/officeDocument/2006/relationships/hyperlink" Target="mailto:SOLMORALES2015@HOTMAIL.COM" TargetMode="External"/><Relationship Id="rId862" Type="http://schemas.openxmlformats.org/officeDocument/2006/relationships/hyperlink" Target="mailto:SEBASTIANLARRIVANOVO@GMAIL.COM" TargetMode="External"/><Relationship Id="rId294" Type="http://schemas.openxmlformats.org/officeDocument/2006/relationships/hyperlink" Target="mailto:genaroorellana@hotmail.com" TargetMode="External"/><Relationship Id="rId308" Type="http://schemas.openxmlformats.org/officeDocument/2006/relationships/hyperlink" Target="mailto:viniciopl@hotmail.com" TargetMode="External"/><Relationship Id="rId515" Type="http://schemas.openxmlformats.org/officeDocument/2006/relationships/hyperlink" Target="mailto:alicia.rosi@yahoo.es" TargetMode="External"/><Relationship Id="rId722" Type="http://schemas.openxmlformats.org/officeDocument/2006/relationships/hyperlink" Target="mailto:ANAMARIAPONTEP@GMAIL.COM" TargetMode="External"/><Relationship Id="rId89" Type="http://schemas.openxmlformats.org/officeDocument/2006/relationships/hyperlink" Target="mailto:log8356401@gmail.com" TargetMode="External"/><Relationship Id="rId154" Type="http://schemas.openxmlformats.org/officeDocument/2006/relationships/hyperlink" Target="mailto:jmeneses@techovid.com" TargetMode="External"/><Relationship Id="rId361" Type="http://schemas.openxmlformats.org/officeDocument/2006/relationships/hyperlink" Target="mailto:xjearabad@hotmail.com" TargetMode="External"/><Relationship Id="rId599" Type="http://schemas.openxmlformats.org/officeDocument/2006/relationships/hyperlink" Target="mailto:JOSEMACHADO28@HOTMAIL.COM," TargetMode="External"/><Relationship Id="rId459" Type="http://schemas.openxmlformats.org/officeDocument/2006/relationships/hyperlink" Target="mailto:jerp63@gmail.com" TargetMode="External"/><Relationship Id="rId666" Type="http://schemas.openxmlformats.org/officeDocument/2006/relationships/hyperlink" Target="mailto:MERCY.ARCE@TEKA.EC" TargetMode="External"/><Relationship Id="rId873" Type="http://schemas.openxmlformats.org/officeDocument/2006/relationships/hyperlink" Target="mailto:WILMACUMANDACS@GMAIL.COM" TargetMode="External"/><Relationship Id="rId16" Type="http://schemas.openxmlformats.org/officeDocument/2006/relationships/hyperlink" Target="mailto:jorge.alvarado1992@hotmail.com" TargetMode="External"/><Relationship Id="rId221" Type="http://schemas.openxmlformats.org/officeDocument/2006/relationships/hyperlink" Target="mailto:jessica.alvarezmonroy@gmail.com" TargetMode="External"/><Relationship Id="rId319" Type="http://schemas.openxmlformats.org/officeDocument/2006/relationships/hyperlink" Target="mailto:ferzam@gmail.com" TargetMode="External"/><Relationship Id="rId526" Type="http://schemas.openxmlformats.org/officeDocument/2006/relationships/hyperlink" Target="mailto:dominguezpablo805@gmail.com" TargetMode="External"/><Relationship Id="rId733" Type="http://schemas.openxmlformats.org/officeDocument/2006/relationships/hyperlink" Target="mailto:JESSICABRAVO394@GMAIL.COM" TargetMode="External"/><Relationship Id="rId165" Type="http://schemas.openxmlformats.org/officeDocument/2006/relationships/hyperlink" Target="mailto:josd@gmail.com" TargetMode="External"/><Relationship Id="rId372" Type="http://schemas.openxmlformats.org/officeDocument/2006/relationships/hyperlink" Target="mailto:ecorellana@hotmail.com" TargetMode="External"/><Relationship Id="rId677" Type="http://schemas.openxmlformats.org/officeDocument/2006/relationships/hyperlink" Target="mailto:J-VERAZORA@HOTMAIL.COM" TargetMode="External"/><Relationship Id="rId800" Type="http://schemas.openxmlformats.org/officeDocument/2006/relationships/hyperlink" Target="mailto:WAIC-36@HOTMAIL.COM" TargetMode="External"/><Relationship Id="rId232" Type="http://schemas.openxmlformats.org/officeDocument/2006/relationships/hyperlink" Target="mailto:amorosoremigio@gmail.com" TargetMode="External"/><Relationship Id="rId884" Type="http://schemas.openxmlformats.org/officeDocument/2006/relationships/hyperlink" Target="mailto:GABYCOBOS1990@HOTMAIL.COM" TargetMode="External"/><Relationship Id="rId27" Type="http://schemas.openxmlformats.org/officeDocument/2006/relationships/hyperlink" Target="mailto:marianaszabadiccs@gmail.com" TargetMode="External"/><Relationship Id="rId537" Type="http://schemas.openxmlformats.org/officeDocument/2006/relationships/hyperlink" Target="mailto:marysalba88@gmail.com" TargetMode="External"/><Relationship Id="rId744" Type="http://schemas.openxmlformats.org/officeDocument/2006/relationships/hyperlink" Target="mailto:KATTY003@GMAIL.COM" TargetMode="External"/><Relationship Id="rId80" Type="http://schemas.openxmlformats.org/officeDocument/2006/relationships/hyperlink" Target="mailto:jorgeluis350000@hotmail.com" TargetMode="External"/><Relationship Id="rId176" Type="http://schemas.openxmlformats.org/officeDocument/2006/relationships/hyperlink" Target="mailto:lourdeseliana@icloud.com" TargetMode="External"/><Relationship Id="rId383" Type="http://schemas.openxmlformats.org/officeDocument/2006/relationships/hyperlink" Target="mailto:angipa@live.com" TargetMode="External"/><Relationship Id="rId590" Type="http://schemas.openxmlformats.org/officeDocument/2006/relationships/hyperlink" Target="mailto:ESTEBAL1947@ICLOUD.COM" TargetMode="External"/><Relationship Id="rId604" Type="http://schemas.openxmlformats.org/officeDocument/2006/relationships/hyperlink" Target="mailto:KEYNEJAD@AOL.COM" TargetMode="External"/><Relationship Id="rId811" Type="http://schemas.openxmlformats.org/officeDocument/2006/relationships/hyperlink" Target="mailto:EUGIN.BARRET.2020@GMAIL.COM" TargetMode="External"/><Relationship Id="rId243" Type="http://schemas.openxmlformats.org/officeDocument/2006/relationships/hyperlink" Target="mailto:nixandra.alvarez@aldeasinfantiles.org.ec" TargetMode="External"/><Relationship Id="rId450" Type="http://schemas.openxmlformats.org/officeDocument/2006/relationships/hyperlink" Target="mailto:estebansarmientocobos@gmail.com" TargetMode="External"/><Relationship Id="rId688" Type="http://schemas.openxmlformats.org/officeDocument/2006/relationships/hyperlink" Target="mailto:ELIZ.ECO.122@GMAIL.COM" TargetMode="External"/><Relationship Id="rId895" Type="http://schemas.openxmlformats.org/officeDocument/2006/relationships/printerSettings" Target="../printerSettings/printerSettings1.bin"/><Relationship Id="rId38" Type="http://schemas.openxmlformats.org/officeDocument/2006/relationships/hyperlink" Target="mailto:contabilidad@euroagroec.com" TargetMode="External"/><Relationship Id="rId103" Type="http://schemas.openxmlformats.org/officeDocument/2006/relationships/hyperlink" Target="mailto:ricardoalarconvelez@yahoo.ec" TargetMode="External"/><Relationship Id="rId310" Type="http://schemas.openxmlformats.org/officeDocument/2006/relationships/hyperlink" Target="mailto:viniciopl@hotmail.com" TargetMode="External"/><Relationship Id="rId548" Type="http://schemas.openxmlformats.org/officeDocument/2006/relationships/hyperlink" Target="mailto:carlosfesastudillo@hotmail.com" TargetMode="External"/><Relationship Id="rId755" Type="http://schemas.openxmlformats.org/officeDocument/2006/relationships/hyperlink" Target="mailto:ALIV.SAS@HOTMAIL.COM" TargetMode="External"/><Relationship Id="rId91" Type="http://schemas.openxmlformats.org/officeDocument/2006/relationships/hyperlink" Target="mailto:danielcallecerras@gmail.com" TargetMode="External"/><Relationship Id="rId187" Type="http://schemas.openxmlformats.org/officeDocument/2006/relationships/hyperlink" Target="mailto:andradecallecristian@gmail.com" TargetMode="External"/><Relationship Id="rId394" Type="http://schemas.openxmlformats.org/officeDocument/2006/relationships/hyperlink" Target="mailto:jorgemendez5@hotmail.com" TargetMode="External"/><Relationship Id="rId408" Type="http://schemas.openxmlformats.org/officeDocument/2006/relationships/hyperlink" Target="mailto:plazacarmen834@hotmail.com" TargetMode="External"/><Relationship Id="rId615" Type="http://schemas.openxmlformats.org/officeDocument/2006/relationships/hyperlink" Target="mailto:ERICPFEFFERKORN777@GMAIL.COM" TargetMode="External"/><Relationship Id="rId822" Type="http://schemas.openxmlformats.org/officeDocument/2006/relationships/hyperlink" Target="mailto:DAMARISMARIN23@GMAIL.COM" TargetMode="External"/><Relationship Id="rId254" Type="http://schemas.openxmlformats.org/officeDocument/2006/relationships/hyperlink" Target="mailto:prismendez2@gmail.com" TargetMode="External"/><Relationship Id="rId699" Type="http://schemas.openxmlformats.org/officeDocument/2006/relationships/hyperlink" Target="mailto:JUANXAG@GMAIL.COM" TargetMode="External"/><Relationship Id="rId49" Type="http://schemas.openxmlformats.org/officeDocument/2006/relationships/hyperlink" Target="mailto:alfredotosimurillo@gmail.com" TargetMode="External"/><Relationship Id="rId114" Type="http://schemas.openxmlformats.org/officeDocument/2006/relationships/hyperlink" Target="mailto:l_xavier_l@hotmail.com" TargetMode="External"/><Relationship Id="rId461" Type="http://schemas.openxmlformats.org/officeDocument/2006/relationships/hyperlink" Target="mailto:ana.elisabeth.ochoa@hotmai;l.com" TargetMode="External"/><Relationship Id="rId559" Type="http://schemas.openxmlformats.org/officeDocument/2006/relationships/hyperlink" Target="mailto:remigiocresp011@gmail.com" TargetMode="External"/><Relationship Id="rId766" Type="http://schemas.openxmlformats.org/officeDocument/2006/relationships/hyperlink" Target="mailto:JMZEAS87@GMAIL.COM" TargetMode="External"/><Relationship Id="rId198" Type="http://schemas.openxmlformats.org/officeDocument/2006/relationships/hyperlink" Target="mailto:gimenasta@yahoo.com" TargetMode="External"/><Relationship Id="rId321" Type="http://schemas.openxmlformats.org/officeDocument/2006/relationships/hyperlink" Target="mailto:foper.sas@gmail.com" TargetMode="External"/><Relationship Id="rId419" Type="http://schemas.openxmlformats.org/officeDocument/2006/relationships/hyperlink" Target="mailto:paolaurgilesv@gmail.com" TargetMode="External"/><Relationship Id="rId626" Type="http://schemas.openxmlformats.org/officeDocument/2006/relationships/hyperlink" Target="mailto:VERITOPURUNCAJAS@HOTMAIL.COM" TargetMode="External"/><Relationship Id="rId833" Type="http://schemas.openxmlformats.org/officeDocument/2006/relationships/hyperlink" Target="mailto:CLARAMEDINALEON@HOTMAIL.ES" TargetMode="External"/><Relationship Id="rId265" Type="http://schemas.openxmlformats.org/officeDocument/2006/relationships/hyperlink" Target="mailto:hherreras80@hotmail.com" TargetMode="External"/><Relationship Id="rId472" Type="http://schemas.openxmlformats.org/officeDocument/2006/relationships/hyperlink" Target="mailto:Isantiagov@live.com" TargetMode="External"/><Relationship Id="rId125" Type="http://schemas.openxmlformats.org/officeDocument/2006/relationships/hyperlink" Target="mailto:saraluzparrac@gmail.com" TargetMode="External"/><Relationship Id="rId332" Type="http://schemas.openxmlformats.org/officeDocument/2006/relationships/hyperlink" Target="mailto:cdayalloret@hotmail.com" TargetMode="External"/><Relationship Id="rId777" Type="http://schemas.openxmlformats.org/officeDocument/2006/relationships/hyperlink" Target="mailto:MAISA282@HOTMAIL.COM" TargetMode="External"/><Relationship Id="rId637" Type="http://schemas.openxmlformats.org/officeDocument/2006/relationships/hyperlink" Target="mailto:JHONHIDALGO1987@GMAIL.COM" TargetMode="External"/><Relationship Id="rId844" Type="http://schemas.openxmlformats.org/officeDocument/2006/relationships/hyperlink" Target="mailto:FPELAEZ0@YAHOO.COM" TargetMode="External"/><Relationship Id="rId276" Type="http://schemas.openxmlformats.org/officeDocument/2006/relationships/hyperlink" Target="mailto:hherreras80@hotmail.com" TargetMode="External"/><Relationship Id="rId483" Type="http://schemas.openxmlformats.org/officeDocument/2006/relationships/hyperlink" Target="mailto:constructora_bya@hotmail.com" TargetMode="External"/><Relationship Id="rId690" Type="http://schemas.openxmlformats.org/officeDocument/2006/relationships/hyperlink" Target="mailto:T.GONZALES@ICLOUD.COM" TargetMode="External"/><Relationship Id="rId704" Type="http://schemas.openxmlformats.org/officeDocument/2006/relationships/hyperlink" Target="mailto:EMILIOMARCA2@GMAIL.COM" TargetMode="External"/><Relationship Id="rId40" Type="http://schemas.openxmlformats.org/officeDocument/2006/relationships/hyperlink" Target="mailto:marlenebravo96@gmail.com" TargetMode="External"/><Relationship Id="rId136" Type="http://schemas.openxmlformats.org/officeDocument/2006/relationships/hyperlink" Target="mailto:nixxonangam@gmail.com" TargetMode="External"/><Relationship Id="rId343" Type="http://schemas.openxmlformats.org/officeDocument/2006/relationships/hyperlink" Target="mailto:jncarrion@gmail.com" TargetMode="External"/><Relationship Id="rId550" Type="http://schemas.openxmlformats.org/officeDocument/2006/relationships/hyperlink" Target="mailto:c.dani.87@hotmail.com" TargetMode="External"/><Relationship Id="rId788" Type="http://schemas.openxmlformats.org/officeDocument/2006/relationships/hyperlink" Target="mailto:ARQ.ANTO.P@GMAIL.COM" TargetMode="External"/><Relationship Id="rId203" Type="http://schemas.openxmlformats.org/officeDocument/2006/relationships/hyperlink" Target="mailto:tanjo_21@hotmail.com" TargetMode="External"/><Relationship Id="rId648" Type="http://schemas.openxmlformats.org/officeDocument/2006/relationships/hyperlink" Target="mailto:GERENCIA@GESTIONSEGURA.COM.EC" TargetMode="External"/><Relationship Id="rId855" Type="http://schemas.openxmlformats.org/officeDocument/2006/relationships/hyperlink" Target="mailto:SAPGLORIA@YAHOO.COM" TargetMode="External"/><Relationship Id="rId287" Type="http://schemas.openxmlformats.org/officeDocument/2006/relationships/hyperlink" Target="mailto:gustavoqr2810@gmail.com" TargetMode="External"/><Relationship Id="rId410" Type="http://schemas.openxmlformats.org/officeDocument/2006/relationships/hyperlink" Target="mailto:plazacarmen834@hotmail.com" TargetMode="External"/><Relationship Id="rId494" Type="http://schemas.openxmlformats.org/officeDocument/2006/relationships/hyperlink" Target="mailto:william_patricio@hotmail.com" TargetMode="External"/><Relationship Id="rId508" Type="http://schemas.openxmlformats.org/officeDocument/2006/relationships/hyperlink" Target="mailto:gabiclaf.orellana@gmail.com" TargetMode="External"/><Relationship Id="rId715" Type="http://schemas.openxmlformats.org/officeDocument/2006/relationships/hyperlink" Target="mailto:BURBSNO30@HOTMIL.COM" TargetMode="External"/><Relationship Id="rId147" Type="http://schemas.openxmlformats.org/officeDocument/2006/relationships/hyperlink" Target="mailto:grupo_caminar@hotmail.com" TargetMode="External"/><Relationship Id="rId354" Type="http://schemas.openxmlformats.org/officeDocument/2006/relationships/hyperlink" Target="mailto:patriciatinoco2013@gmail.com" TargetMode="External"/><Relationship Id="rId799" Type="http://schemas.openxmlformats.org/officeDocument/2006/relationships/hyperlink" Target="mailto:WAIC-36@HOTMAIL.COM" TargetMode="External"/><Relationship Id="rId51" Type="http://schemas.openxmlformats.org/officeDocument/2006/relationships/hyperlink" Target="mailto:jonnathans35@hotmail.com" TargetMode="External"/><Relationship Id="rId561" Type="http://schemas.openxmlformats.org/officeDocument/2006/relationships/hyperlink" Target="mailto:verobermeo5@gmail.com" TargetMode="External"/><Relationship Id="rId659" Type="http://schemas.openxmlformats.org/officeDocument/2006/relationships/hyperlink" Target="mailto:ADMINISTRACION@QULMOV.COM.EC" TargetMode="External"/><Relationship Id="rId866" Type="http://schemas.openxmlformats.org/officeDocument/2006/relationships/hyperlink" Target="mailto:MNARCISA@HOTMAIL.COM" TargetMode="External"/><Relationship Id="rId214" Type="http://schemas.openxmlformats.org/officeDocument/2006/relationships/hyperlink" Target="mailto:miriamrocio@hotmail.com" TargetMode="External"/><Relationship Id="rId298" Type="http://schemas.openxmlformats.org/officeDocument/2006/relationships/hyperlink" Target="mailto:alicia.rosi@yahoo.es" TargetMode="External"/><Relationship Id="rId421" Type="http://schemas.openxmlformats.org/officeDocument/2006/relationships/hyperlink" Target="mailto:tiestojj7-34@hotmail.com" TargetMode="External"/><Relationship Id="rId519" Type="http://schemas.openxmlformats.org/officeDocument/2006/relationships/hyperlink" Target="mailto:adchock1804@yahoo.com" TargetMode="External"/><Relationship Id="rId158" Type="http://schemas.openxmlformats.org/officeDocument/2006/relationships/hyperlink" Target="mailto:fedecordero@yahoo.com" TargetMode="External"/><Relationship Id="rId726" Type="http://schemas.openxmlformats.org/officeDocument/2006/relationships/hyperlink" Target="mailto:FABIOLACO@YAHOO.COM" TargetMode="External"/><Relationship Id="rId62" Type="http://schemas.openxmlformats.org/officeDocument/2006/relationships/hyperlink" Target="mailto:janchundiaheredia@gmail.com" TargetMode="External"/><Relationship Id="rId365" Type="http://schemas.openxmlformats.org/officeDocument/2006/relationships/hyperlink" Target="mailto:jorgeu1968@hotmail.com" TargetMode="External"/><Relationship Id="rId572" Type="http://schemas.openxmlformats.org/officeDocument/2006/relationships/hyperlink" Target="mailto:treese1040@me.com" TargetMode="External"/><Relationship Id="rId225" Type="http://schemas.openxmlformats.org/officeDocument/2006/relationships/hyperlink" Target="mailto:jessica.alvarezmonroy@gmail.com" TargetMode="External"/><Relationship Id="rId432" Type="http://schemas.openxmlformats.org/officeDocument/2006/relationships/hyperlink" Target="mailto:rgarzon48@gmail.com" TargetMode="External"/><Relationship Id="rId877" Type="http://schemas.openxmlformats.org/officeDocument/2006/relationships/hyperlink" Target="mailto:loliorellana18@gmail.com" TargetMode="External"/><Relationship Id="rId737" Type="http://schemas.openxmlformats.org/officeDocument/2006/relationships/hyperlink" Target="mailto:JOSEBUSTAMANTEM@GMAIL.COM" TargetMode="External"/><Relationship Id="rId73" Type="http://schemas.openxmlformats.org/officeDocument/2006/relationships/hyperlink" Target="mailto:martinomiotto43@gmail.com" TargetMode="External"/><Relationship Id="rId169" Type="http://schemas.openxmlformats.org/officeDocument/2006/relationships/hyperlink" Target="mailto:saraluzparrac@gmail.com" TargetMode="External"/><Relationship Id="rId376" Type="http://schemas.openxmlformats.org/officeDocument/2006/relationships/hyperlink" Target="mailto:jeimisramosmunori@gmail.com" TargetMode="External"/><Relationship Id="rId583" Type="http://schemas.openxmlformats.org/officeDocument/2006/relationships/hyperlink" Target="mailto:monicaandrade671@gmail.com" TargetMode="External"/><Relationship Id="rId790" Type="http://schemas.openxmlformats.org/officeDocument/2006/relationships/hyperlink" Target="mailto:ROBLES@GMAIL.COM" TargetMode="External"/><Relationship Id="rId804" Type="http://schemas.openxmlformats.org/officeDocument/2006/relationships/hyperlink" Target="mailto:POOL.FINO@HOTMAIL.COM" TargetMode="External"/><Relationship Id="rId4" Type="http://schemas.openxmlformats.org/officeDocument/2006/relationships/hyperlink" Target="mailto:panchog1980@hotmail.com" TargetMode="External"/><Relationship Id="rId236" Type="http://schemas.openxmlformats.org/officeDocument/2006/relationships/hyperlink" Target="mailto:byronnv@gmail.com" TargetMode="External"/><Relationship Id="rId443" Type="http://schemas.openxmlformats.org/officeDocument/2006/relationships/hyperlink" Target="mailto:info@redoffice.ec" TargetMode="External"/><Relationship Id="rId650" Type="http://schemas.openxmlformats.org/officeDocument/2006/relationships/hyperlink" Target="mailto:GERENCIA@GESTIONSEGURA.COM.EC" TargetMode="External"/><Relationship Id="rId888" Type="http://schemas.openxmlformats.org/officeDocument/2006/relationships/hyperlink" Target="mailto:ALFREDOHAEC31@GMAIL.COM" TargetMode="External"/><Relationship Id="rId303" Type="http://schemas.openxmlformats.org/officeDocument/2006/relationships/hyperlink" Target="mailto:jennyg@gmail.com" TargetMode="External"/><Relationship Id="rId748" Type="http://schemas.openxmlformats.org/officeDocument/2006/relationships/hyperlink" Target="mailto:MICHAEL.BERMEO@HOTMAIL.COM" TargetMode="External"/><Relationship Id="rId84" Type="http://schemas.openxmlformats.org/officeDocument/2006/relationships/hyperlink" Target="mailto:keli98flor@gmail.com" TargetMode="External"/><Relationship Id="rId387" Type="http://schemas.openxmlformats.org/officeDocument/2006/relationships/hyperlink" Target="mailto:juliopavo7@gmail.com" TargetMode="External"/><Relationship Id="rId510" Type="http://schemas.openxmlformats.org/officeDocument/2006/relationships/hyperlink" Target="mailto:gabiclaf.orellana@gmail.com" TargetMode="External"/><Relationship Id="rId594" Type="http://schemas.openxmlformats.org/officeDocument/2006/relationships/hyperlink" Target="mailto:MUEBLESCARENO2020@GMAIL.COM" TargetMode="External"/><Relationship Id="rId608" Type="http://schemas.openxmlformats.org/officeDocument/2006/relationships/hyperlink" Target="mailto:JENNETHQUEZADA97@GMAIL.COM" TargetMode="External"/><Relationship Id="rId815" Type="http://schemas.openxmlformats.org/officeDocument/2006/relationships/hyperlink" Target="mailto:DAVIDMUNOX30@HOTMAIL.COM" TargetMode="External"/><Relationship Id="rId247" Type="http://schemas.openxmlformats.org/officeDocument/2006/relationships/hyperlink" Target="mailto:gabytorres29@hotmail.com" TargetMode="External"/><Relationship Id="rId107" Type="http://schemas.openxmlformats.org/officeDocument/2006/relationships/hyperlink" Target="mailto:gerandresargudo@gmail.com" TargetMode="External"/><Relationship Id="rId454" Type="http://schemas.openxmlformats.org/officeDocument/2006/relationships/hyperlink" Target="mailto:mhicapie380@gmail.com" TargetMode="External"/><Relationship Id="rId661" Type="http://schemas.openxmlformats.org/officeDocument/2006/relationships/hyperlink" Target="mailto:ADMINISTRACION@QULMOV.COM.EC" TargetMode="External"/><Relationship Id="rId759" Type="http://schemas.openxmlformats.org/officeDocument/2006/relationships/hyperlink" Target="mailto:JACK2010121@GMAIL.COM" TargetMode="External"/><Relationship Id="rId11" Type="http://schemas.openxmlformats.org/officeDocument/2006/relationships/hyperlink" Target="mailto:hartman.pineda@gmail.com" TargetMode="External"/><Relationship Id="rId314" Type="http://schemas.openxmlformats.org/officeDocument/2006/relationships/hyperlink" Target="mailto:xicirubla84@hotmail.com" TargetMode="External"/><Relationship Id="rId398" Type="http://schemas.openxmlformats.org/officeDocument/2006/relationships/hyperlink" Target="mailto:ecuasa@hotmail.com" TargetMode="External"/><Relationship Id="rId521" Type="http://schemas.openxmlformats.org/officeDocument/2006/relationships/hyperlink" Target="mailto:ptorresz@hotmail.com" TargetMode="External"/><Relationship Id="rId619" Type="http://schemas.openxmlformats.org/officeDocument/2006/relationships/hyperlink" Target="mailto:LULUMEDINA13@GMAIL.COM" TargetMode="External"/><Relationship Id="rId95" Type="http://schemas.openxmlformats.org/officeDocument/2006/relationships/hyperlink" Target="mailto:vale-11@hotmail.com" TargetMode="External"/><Relationship Id="rId160" Type="http://schemas.openxmlformats.org/officeDocument/2006/relationships/hyperlink" Target="mailto:fedecordero@yahoo.com" TargetMode="External"/><Relationship Id="rId826" Type="http://schemas.openxmlformats.org/officeDocument/2006/relationships/hyperlink" Target="mailto:ENMARODASF@HOTMAIL.COM" TargetMode="External"/><Relationship Id="rId258" Type="http://schemas.openxmlformats.org/officeDocument/2006/relationships/hyperlink" Target="mailto:mzcpublicidad@hotmail.com" TargetMode="External"/><Relationship Id="rId465" Type="http://schemas.openxmlformats.org/officeDocument/2006/relationships/hyperlink" Target="mailto:viciciopullas1959@hotmail.com" TargetMode="External"/><Relationship Id="rId672" Type="http://schemas.openxmlformats.org/officeDocument/2006/relationships/hyperlink" Target="mailto:LANEPOWELL03@GMAIL.COM" TargetMode="External"/><Relationship Id="rId22" Type="http://schemas.openxmlformats.org/officeDocument/2006/relationships/hyperlink" Target="mailto:jossmerchan@hotmail.com" TargetMode="External"/><Relationship Id="rId118" Type="http://schemas.openxmlformats.org/officeDocument/2006/relationships/hyperlink" Target="mailto:juanccornejo9@gmail.com" TargetMode="External"/><Relationship Id="rId325" Type="http://schemas.openxmlformats.org/officeDocument/2006/relationships/hyperlink" Target="mailto:pserranointeriorismo@gmail.com" TargetMode="External"/><Relationship Id="rId532" Type="http://schemas.openxmlformats.org/officeDocument/2006/relationships/hyperlink" Target="mailto:pazreyescordero@hotmail.com" TargetMode="External"/><Relationship Id="rId171" Type="http://schemas.openxmlformats.org/officeDocument/2006/relationships/hyperlink" Target="mailto:saraluzparrac@gmail.com" TargetMode="External"/><Relationship Id="rId837" Type="http://schemas.openxmlformats.org/officeDocument/2006/relationships/hyperlink" Target="mailto:ALEXANDRAIDROVO1989@GMAIL.COM" TargetMode="External"/><Relationship Id="rId269" Type="http://schemas.openxmlformats.org/officeDocument/2006/relationships/hyperlink" Target="mailto:isamrezl@gmail.com" TargetMode="External"/><Relationship Id="rId476" Type="http://schemas.openxmlformats.org/officeDocument/2006/relationships/hyperlink" Target="mailto:diegofer21@hotmail.com" TargetMode="External"/><Relationship Id="rId683" Type="http://schemas.openxmlformats.org/officeDocument/2006/relationships/hyperlink" Target="mailto:ADRICNBALAREZO8@GMAIL.COM" TargetMode="External"/><Relationship Id="rId890" Type="http://schemas.openxmlformats.org/officeDocument/2006/relationships/hyperlink" Target="mailto:JORGEPB01@HOTMAIL.COM" TargetMode="External"/><Relationship Id="rId33" Type="http://schemas.openxmlformats.org/officeDocument/2006/relationships/hyperlink" Target="mailto:agustinajara74@hotmail.com" TargetMode="External"/><Relationship Id="rId129" Type="http://schemas.openxmlformats.org/officeDocument/2006/relationships/hyperlink" Target="mailto:luiscampoverderivera@gmail.com" TargetMode="External"/><Relationship Id="rId336" Type="http://schemas.openxmlformats.org/officeDocument/2006/relationships/hyperlink" Target="mailto:marcy-sarmy@hotmail.com" TargetMode="External"/><Relationship Id="rId543" Type="http://schemas.openxmlformats.org/officeDocument/2006/relationships/hyperlink" Target="mailto:ingelecort2018@gmail.com" TargetMode="External"/><Relationship Id="rId182" Type="http://schemas.openxmlformats.org/officeDocument/2006/relationships/hyperlink" Target="mailto:wilson2587@hotmail.com" TargetMode="External"/><Relationship Id="rId403" Type="http://schemas.openxmlformats.org/officeDocument/2006/relationships/hyperlink" Target="mailto:ecuasa@hotmail.com" TargetMode="External"/><Relationship Id="rId750" Type="http://schemas.openxmlformats.org/officeDocument/2006/relationships/hyperlink" Target="mailto:SCHONBERGERF@YAHOO.COM" TargetMode="External"/><Relationship Id="rId848" Type="http://schemas.openxmlformats.org/officeDocument/2006/relationships/hyperlink" Target="mailto:TURIZO3@HOTMAIL.COM" TargetMode="External"/><Relationship Id="rId487" Type="http://schemas.openxmlformats.org/officeDocument/2006/relationships/hyperlink" Target="mailto:psolis@hotmail.com" TargetMode="External"/><Relationship Id="rId610" Type="http://schemas.openxmlformats.org/officeDocument/2006/relationships/hyperlink" Target="mailto:DIEGOAB16@HOTMAIL.COM" TargetMode="External"/><Relationship Id="rId694" Type="http://schemas.openxmlformats.org/officeDocument/2006/relationships/hyperlink" Target="mailto:JOSE.ASTUDILLO16@HOTMAIL.COM" TargetMode="External"/><Relationship Id="rId708" Type="http://schemas.openxmlformats.org/officeDocument/2006/relationships/hyperlink" Target="mailto:DIEGO.ENCALADA@HOTMAIL.COM" TargetMode="External"/><Relationship Id="rId347" Type="http://schemas.openxmlformats.org/officeDocument/2006/relationships/hyperlink" Target="mailto:jorgemendez5@hotmail.com" TargetMode="External"/><Relationship Id="rId44" Type="http://schemas.openxmlformats.org/officeDocument/2006/relationships/hyperlink" Target="mailto:andresmks15@gmail.com" TargetMode="External"/><Relationship Id="rId554" Type="http://schemas.openxmlformats.org/officeDocument/2006/relationships/hyperlink" Target="mailto:cris.jim93@hotmail.com" TargetMode="External"/><Relationship Id="rId761" Type="http://schemas.openxmlformats.org/officeDocument/2006/relationships/hyperlink" Target="mailto:PCARRIORAREVALO@GMAIL.COM" TargetMode="External"/><Relationship Id="rId859" Type="http://schemas.openxmlformats.org/officeDocument/2006/relationships/hyperlink" Target="mailto:SAPGLORIA@YAHOO.COM" TargetMode="External"/><Relationship Id="rId193" Type="http://schemas.openxmlformats.org/officeDocument/2006/relationships/hyperlink" Target="mailto:pao.duran@gmail.com" TargetMode="External"/><Relationship Id="rId207" Type="http://schemas.openxmlformats.org/officeDocument/2006/relationships/hyperlink" Target="mailto:yolandamore7@hotmail.com" TargetMode="External"/><Relationship Id="rId414" Type="http://schemas.openxmlformats.org/officeDocument/2006/relationships/hyperlink" Target="mailto:eeorellana@hotmail.com" TargetMode="External"/><Relationship Id="rId498" Type="http://schemas.openxmlformats.org/officeDocument/2006/relationships/hyperlink" Target="mailto:sandyluzuriaga04@hotmail.com" TargetMode="External"/><Relationship Id="rId621" Type="http://schemas.openxmlformats.org/officeDocument/2006/relationships/hyperlink" Target="mailto:VERO.GUAMAN04@GMAIL.COM" TargetMode="External"/><Relationship Id="rId260" Type="http://schemas.openxmlformats.org/officeDocument/2006/relationships/hyperlink" Target="mailto:henrypolotapia@hotmail.com" TargetMode="External"/><Relationship Id="rId719" Type="http://schemas.openxmlformats.org/officeDocument/2006/relationships/hyperlink" Target="mailto:FACTURACIONFGB@OUTLOOK.COM" TargetMode="External"/><Relationship Id="rId55" Type="http://schemas.openxmlformats.org/officeDocument/2006/relationships/hyperlink" Target="mailto:dp.ortiz@hotmail.com" TargetMode="External"/><Relationship Id="rId120" Type="http://schemas.openxmlformats.org/officeDocument/2006/relationships/hyperlink" Target="mailto:juanccornejo9@gmail.com" TargetMode="External"/><Relationship Id="rId358" Type="http://schemas.openxmlformats.org/officeDocument/2006/relationships/hyperlink" Target="mailto:paulina_andrade_p@hotmail.com" TargetMode="External"/><Relationship Id="rId565" Type="http://schemas.openxmlformats.org/officeDocument/2006/relationships/hyperlink" Target="mailto:fsantacruzcz55@gmail.com" TargetMode="External"/><Relationship Id="rId772" Type="http://schemas.openxmlformats.org/officeDocument/2006/relationships/hyperlink" Target="mailto:karlafajardos.1997@gmail.com" TargetMode="External"/><Relationship Id="rId218" Type="http://schemas.openxmlformats.org/officeDocument/2006/relationships/hyperlink" Target="mailto:jessica.alvarezmonroy@gmail.com" TargetMode="External"/><Relationship Id="rId425" Type="http://schemas.openxmlformats.org/officeDocument/2006/relationships/hyperlink" Target="mailto:fabian.figueroa76@hotmail.com" TargetMode="External"/><Relationship Id="rId632" Type="http://schemas.openxmlformats.org/officeDocument/2006/relationships/hyperlink" Target="mailto:J.VELECELA@HOTMAIL.COM" TargetMode="External"/><Relationship Id="rId271" Type="http://schemas.openxmlformats.org/officeDocument/2006/relationships/hyperlink" Target="mailto:isamrezl@gmail.com" TargetMode="External"/><Relationship Id="rId66" Type="http://schemas.openxmlformats.org/officeDocument/2006/relationships/hyperlink" Target="mailto:paulmacancelasant@gmail.com" TargetMode="External"/><Relationship Id="rId131" Type="http://schemas.openxmlformats.org/officeDocument/2006/relationships/hyperlink" Target="mailto:luiscampoverderivera@gmail.com" TargetMode="External"/><Relationship Id="rId369" Type="http://schemas.openxmlformats.org/officeDocument/2006/relationships/hyperlink" Target="mailto:xfbernalb2014@hotmail.com" TargetMode="External"/><Relationship Id="rId576" Type="http://schemas.openxmlformats.org/officeDocument/2006/relationships/hyperlink" Target="mailto:vivvelezq28@gmail.com" TargetMode="External"/><Relationship Id="rId783" Type="http://schemas.openxmlformats.org/officeDocument/2006/relationships/hyperlink" Target="mailto:LUPITAGL27@HOTMAIL.COM" TargetMode="External"/><Relationship Id="rId229" Type="http://schemas.openxmlformats.org/officeDocument/2006/relationships/hyperlink" Target="mailto:jessica.alvarezmonroy@gmail.com" TargetMode="External"/><Relationship Id="rId436" Type="http://schemas.openxmlformats.org/officeDocument/2006/relationships/hyperlink" Target="mailto:maria.enderica@yahoo.com" TargetMode="External"/><Relationship Id="rId643" Type="http://schemas.openxmlformats.org/officeDocument/2006/relationships/hyperlink" Target="mailto:LACASADELSAZONCUENCA@GMAIL.COM" TargetMode="External"/><Relationship Id="rId850" Type="http://schemas.openxmlformats.org/officeDocument/2006/relationships/hyperlink" Target="mailto:LIESLIEALEXANDRA19@OUTLOOK.COM" TargetMode="External"/><Relationship Id="rId77" Type="http://schemas.openxmlformats.org/officeDocument/2006/relationships/hyperlink" Target="mailto:jorgeluis350000@hotmail.com" TargetMode="External"/><Relationship Id="rId282" Type="http://schemas.openxmlformats.org/officeDocument/2006/relationships/hyperlink" Target="mailto:gabrielaq@1988@gmail.com" TargetMode="External"/><Relationship Id="rId503" Type="http://schemas.openxmlformats.org/officeDocument/2006/relationships/hyperlink" Target="mailto:amavellejo79@outlook.es" TargetMode="External"/><Relationship Id="rId587" Type="http://schemas.openxmlformats.org/officeDocument/2006/relationships/hyperlink" Target="mailto:edniola@live.com" TargetMode="External"/><Relationship Id="rId710" Type="http://schemas.openxmlformats.org/officeDocument/2006/relationships/hyperlink" Target="mailto:LORENAMERCHANT@HOTMAIL.COM" TargetMode="External"/><Relationship Id="rId808" Type="http://schemas.openxmlformats.org/officeDocument/2006/relationships/hyperlink" Target="mailto:EUGIN.BARRET.2020@GMAIL.COM" TargetMode="External"/><Relationship Id="rId8" Type="http://schemas.openxmlformats.org/officeDocument/2006/relationships/hyperlink" Target="mailto:a.landy@hotmail.com" TargetMode="External"/><Relationship Id="rId142" Type="http://schemas.openxmlformats.org/officeDocument/2006/relationships/hyperlink" Target="mailto:marthacobosm@hotmail.com" TargetMode="External"/><Relationship Id="rId447" Type="http://schemas.openxmlformats.org/officeDocument/2006/relationships/hyperlink" Target="mailto:analucia.illescas@gmail.com" TargetMode="External"/><Relationship Id="rId794" Type="http://schemas.openxmlformats.org/officeDocument/2006/relationships/hyperlink" Target="mailto:PATRAMTO68@GMAIL.COM" TargetMode="External"/><Relationship Id="rId654" Type="http://schemas.openxmlformats.org/officeDocument/2006/relationships/hyperlink" Target="mailto:SOLMORALES2015@HOTMAIL.COM" TargetMode="External"/><Relationship Id="rId861" Type="http://schemas.openxmlformats.org/officeDocument/2006/relationships/hyperlink" Target="mailto:SEBASTIANLARRIVANOVO@GMAIL.COM" TargetMode="External"/><Relationship Id="rId293" Type="http://schemas.openxmlformats.org/officeDocument/2006/relationships/hyperlink" Target="mailto:genaroorellana@hotmail.com" TargetMode="External"/><Relationship Id="rId307" Type="http://schemas.openxmlformats.org/officeDocument/2006/relationships/hyperlink" Target="mailto:adrianheras@iclod.com" TargetMode="External"/><Relationship Id="rId514" Type="http://schemas.openxmlformats.org/officeDocument/2006/relationships/hyperlink" Target="mailto:alicia.rosi@yahoo.es" TargetMode="External"/><Relationship Id="rId721" Type="http://schemas.openxmlformats.org/officeDocument/2006/relationships/hyperlink" Target="mailto:KATALINAGOME.92@GMAIL.COM" TargetMode="External"/><Relationship Id="rId88" Type="http://schemas.openxmlformats.org/officeDocument/2006/relationships/hyperlink" Target="mailto:log8356401@gmail.com" TargetMode="External"/><Relationship Id="rId153" Type="http://schemas.openxmlformats.org/officeDocument/2006/relationships/hyperlink" Target="mailto:dignasaltoc@gmail.com" TargetMode="External"/><Relationship Id="rId360" Type="http://schemas.openxmlformats.org/officeDocument/2006/relationships/hyperlink" Target="mailto:xjearabad@hotmail.com" TargetMode="External"/><Relationship Id="rId598" Type="http://schemas.openxmlformats.org/officeDocument/2006/relationships/hyperlink" Target="mailto:ADMINISTRATIVO@SERVICIONOTARIAL.COM" TargetMode="External"/><Relationship Id="rId819" Type="http://schemas.openxmlformats.org/officeDocument/2006/relationships/hyperlink" Target="mailto:EUGENIAMOLINA42@HOTMAIL.COM" TargetMode="External"/><Relationship Id="rId220" Type="http://schemas.openxmlformats.org/officeDocument/2006/relationships/hyperlink" Target="mailto:jessica.alvarezmonroy@gmail.com" TargetMode="External"/><Relationship Id="rId458" Type="http://schemas.openxmlformats.org/officeDocument/2006/relationships/hyperlink" Target="mailto:fati.toral.leon@gmail.com" TargetMode="External"/><Relationship Id="rId665" Type="http://schemas.openxmlformats.org/officeDocument/2006/relationships/hyperlink" Target="mailto:MERCY.ARCE@TEKA.EC" TargetMode="External"/><Relationship Id="rId872" Type="http://schemas.openxmlformats.org/officeDocument/2006/relationships/hyperlink" Target="mailto:WILMACUMANDACS@GMAIL.COM" TargetMode="External"/><Relationship Id="rId15" Type="http://schemas.openxmlformats.org/officeDocument/2006/relationships/hyperlink" Target="mailto:biachi2309@hotmail.com" TargetMode="External"/><Relationship Id="rId318" Type="http://schemas.openxmlformats.org/officeDocument/2006/relationships/hyperlink" Target="mailto:ferzam@gmail.com" TargetMode="External"/><Relationship Id="rId525" Type="http://schemas.openxmlformats.org/officeDocument/2006/relationships/hyperlink" Target="mailto:dominguezpablo805@gmail.com" TargetMode="External"/><Relationship Id="rId732" Type="http://schemas.openxmlformats.org/officeDocument/2006/relationships/hyperlink" Target="mailto:MAURYGARNICA@ICLOUD.COM" TargetMode="External"/><Relationship Id="rId99" Type="http://schemas.openxmlformats.org/officeDocument/2006/relationships/hyperlink" Target="mailto:distribuidoracampeon@live.com" TargetMode="External"/><Relationship Id="rId164" Type="http://schemas.openxmlformats.org/officeDocument/2006/relationships/hyperlink" Target="mailto:josd@gmail.com" TargetMode="External"/><Relationship Id="rId371" Type="http://schemas.openxmlformats.org/officeDocument/2006/relationships/hyperlink" Target="mailto:ecorellana@hotmail.com" TargetMode="External"/><Relationship Id="rId469" Type="http://schemas.openxmlformats.org/officeDocument/2006/relationships/hyperlink" Target="mailto:juanca7010@hotmail.com" TargetMode="External"/><Relationship Id="rId676" Type="http://schemas.openxmlformats.org/officeDocument/2006/relationships/hyperlink" Target="mailto:J-VERAZORA@HOTMAIL.COM" TargetMode="External"/><Relationship Id="rId883" Type="http://schemas.openxmlformats.org/officeDocument/2006/relationships/hyperlink" Target="mailto:GABYCOBOS1990@HOT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JAIMEVELESACA88@GMAIL.COM" TargetMode="External"/><Relationship Id="rId21" Type="http://schemas.openxmlformats.org/officeDocument/2006/relationships/hyperlink" Target="mailto:c-ami-vazquez@hotmail.com" TargetMode="External"/><Relationship Id="rId42" Type="http://schemas.openxmlformats.org/officeDocument/2006/relationships/hyperlink" Target="mailto:jeannete.velastegui@hotmail.com" TargetMode="External"/><Relationship Id="rId63" Type="http://schemas.openxmlformats.org/officeDocument/2006/relationships/hyperlink" Target="mailto:nenacarrascot@hotmail.com" TargetMode="External"/><Relationship Id="rId84" Type="http://schemas.openxmlformats.org/officeDocument/2006/relationships/hyperlink" Target="mailto:perezreyescordero@hotmail.com" TargetMode="External"/><Relationship Id="rId138" Type="http://schemas.openxmlformats.org/officeDocument/2006/relationships/printerSettings" Target="../printerSettings/printerSettings2.bin"/><Relationship Id="rId16" Type="http://schemas.openxmlformats.org/officeDocument/2006/relationships/hyperlink" Target="mailto:crisfehrs@hotmail.com" TargetMode="External"/><Relationship Id="rId107" Type="http://schemas.openxmlformats.org/officeDocument/2006/relationships/hyperlink" Target="mailto:ELENAELHABIL@GMAIL.COM" TargetMode="External"/><Relationship Id="rId11" Type="http://schemas.openxmlformats.org/officeDocument/2006/relationships/hyperlink" Target="mailto:fervazcal@hotmail.com" TargetMode="External"/><Relationship Id="rId32" Type="http://schemas.openxmlformats.org/officeDocument/2006/relationships/hyperlink" Target="mailto:ventas@iglaceec.com" TargetMode="External"/><Relationship Id="rId37" Type="http://schemas.openxmlformats.org/officeDocument/2006/relationships/hyperlink" Target="mailto:prvivlla58@gmail.com" TargetMode="External"/><Relationship Id="rId53" Type="http://schemas.openxmlformats.org/officeDocument/2006/relationships/hyperlink" Target="mailto:victorpoma203@gmail.com" TargetMode="External"/><Relationship Id="rId58" Type="http://schemas.openxmlformats.org/officeDocument/2006/relationships/hyperlink" Target="mailto:paolapenah@hotmail.com" TargetMode="External"/><Relationship Id="rId74" Type="http://schemas.openxmlformats.org/officeDocument/2006/relationships/hyperlink" Target="mailto:mfrancisco202@gmail.com" TargetMode="External"/><Relationship Id="rId79" Type="http://schemas.openxmlformats.org/officeDocument/2006/relationships/hyperlink" Target="mailto:suitespresidentecordova@gmail.com" TargetMode="External"/><Relationship Id="rId102" Type="http://schemas.openxmlformats.org/officeDocument/2006/relationships/hyperlink" Target="mailto:JUANCZ44@HOTMAIL.COM" TargetMode="External"/><Relationship Id="rId123" Type="http://schemas.openxmlformats.org/officeDocument/2006/relationships/hyperlink" Target="mailto:GLORIAGAYBOR@HOTMAIL.COM" TargetMode="External"/><Relationship Id="rId128" Type="http://schemas.openxmlformats.org/officeDocument/2006/relationships/hyperlink" Target="mailto:GERENCIA@COMEXI.COM" TargetMode="External"/><Relationship Id="rId5" Type="http://schemas.openxmlformats.org/officeDocument/2006/relationships/hyperlink" Target="mailto:obepulape@hotmail.com" TargetMode="External"/><Relationship Id="rId90" Type="http://schemas.openxmlformats.org/officeDocument/2006/relationships/hyperlink" Target="mailto:wilsonortega2020@hotmail.com" TargetMode="External"/><Relationship Id="rId95" Type="http://schemas.openxmlformats.org/officeDocument/2006/relationships/hyperlink" Target="mailto:DAVEASTUD@GMAIL.COM" TargetMode="External"/><Relationship Id="rId22" Type="http://schemas.openxmlformats.org/officeDocument/2006/relationships/hyperlink" Target="mailto:idrovopaola76@gmail.com" TargetMode="External"/><Relationship Id="rId27" Type="http://schemas.openxmlformats.org/officeDocument/2006/relationships/hyperlink" Target="mailto:jhongila@gmail.com" TargetMode="External"/><Relationship Id="rId43" Type="http://schemas.openxmlformats.org/officeDocument/2006/relationships/hyperlink" Target="mailto:luismerchanh@gmail.com" TargetMode="External"/><Relationship Id="rId48" Type="http://schemas.openxmlformats.org/officeDocument/2006/relationships/hyperlink" Target="mailto:fabaus5@hotmail.com" TargetMode="External"/><Relationship Id="rId64" Type="http://schemas.openxmlformats.org/officeDocument/2006/relationships/hyperlink" Target="mailto:viniciopl@hotmail.com" TargetMode="External"/><Relationship Id="rId69" Type="http://schemas.openxmlformats.org/officeDocument/2006/relationships/hyperlink" Target="mailto:grupo.caminar@hotmail.com" TargetMode="External"/><Relationship Id="rId113" Type="http://schemas.openxmlformats.org/officeDocument/2006/relationships/hyperlink" Target="mailto:NELSON.VIDAL87@GMAIL.COM" TargetMode="External"/><Relationship Id="rId118" Type="http://schemas.openxmlformats.org/officeDocument/2006/relationships/hyperlink" Target="mailto:KATTYLEGARDA@GMAIL.COM" TargetMode="External"/><Relationship Id="rId134" Type="http://schemas.openxmlformats.org/officeDocument/2006/relationships/hyperlink" Target="mailto:GERENCIA@COMEXI.COM" TargetMode="External"/><Relationship Id="rId139" Type="http://schemas.openxmlformats.org/officeDocument/2006/relationships/drawing" Target="../drawings/drawing2.xml"/><Relationship Id="rId80" Type="http://schemas.openxmlformats.org/officeDocument/2006/relationships/hyperlink" Target="mailto:gcorreabarzallo@gmail.com" TargetMode="External"/><Relationship Id="rId85" Type="http://schemas.openxmlformats.org/officeDocument/2006/relationships/hyperlink" Target="mailto:ferzamora1989@gmail.com" TargetMode="External"/><Relationship Id="rId12" Type="http://schemas.openxmlformats.org/officeDocument/2006/relationships/hyperlink" Target="mailto:enaltos@gmail.com" TargetMode="External"/><Relationship Id="rId17" Type="http://schemas.openxmlformats.org/officeDocument/2006/relationships/hyperlink" Target="mailto:jeannete.velastegui@hotmail.com" TargetMode="External"/><Relationship Id="rId33" Type="http://schemas.openxmlformats.org/officeDocument/2006/relationships/hyperlink" Target="mailto:jorgeguillermod@hotmail.com" TargetMode="External"/><Relationship Id="rId38" Type="http://schemas.openxmlformats.org/officeDocument/2006/relationships/hyperlink" Target="mailto:edbeke@gmail.com" TargetMode="External"/><Relationship Id="rId59" Type="http://schemas.openxmlformats.org/officeDocument/2006/relationships/hyperlink" Target="mailto:ana.barrera7720@yahoo.com" TargetMode="External"/><Relationship Id="rId103" Type="http://schemas.openxmlformats.org/officeDocument/2006/relationships/hyperlink" Target="mailto:ADRIANHERAS@ICLOUD.COM" TargetMode="External"/><Relationship Id="rId108" Type="http://schemas.openxmlformats.org/officeDocument/2006/relationships/hyperlink" Target="mailto:JFZAMORAQ@HOTMAIL.COM" TargetMode="External"/><Relationship Id="rId124" Type="http://schemas.openxmlformats.org/officeDocument/2006/relationships/hyperlink" Target="mailto:GABYMALO@HOTMAIL.COM" TargetMode="External"/><Relationship Id="rId129" Type="http://schemas.openxmlformats.org/officeDocument/2006/relationships/hyperlink" Target="mailto:MEGAMUEBLESBELEN@HOTMAIL.COM" TargetMode="External"/><Relationship Id="rId54" Type="http://schemas.openxmlformats.org/officeDocument/2006/relationships/hyperlink" Target="mailto:bradleylaye@gmail.com" TargetMode="External"/><Relationship Id="rId70" Type="http://schemas.openxmlformats.org/officeDocument/2006/relationships/hyperlink" Target="mailto:ferriastral@hotmail.com" TargetMode="External"/><Relationship Id="rId75" Type="http://schemas.openxmlformats.org/officeDocument/2006/relationships/hyperlink" Target="mailto:ficomedina1951@gmail.com" TargetMode="External"/><Relationship Id="rId91" Type="http://schemas.openxmlformats.org/officeDocument/2006/relationships/hyperlink" Target="mailto:XICIRUBLA84@HOTMAIL.COM" TargetMode="External"/><Relationship Id="rId96" Type="http://schemas.openxmlformats.org/officeDocument/2006/relationships/hyperlink" Target="mailto:CECIOLIVARES24@GMAIL.COM" TargetMode="External"/><Relationship Id="rId1" Type="http://schemas.openxmlformats.org/officeDocument/2006/relationships/hyperlink" Target="mailto:juanisebastian2006@gmail.com" TargetMode="External"/><Relationship Id="rId6" Type="http://schemas.openxmlformats.org/officeDocument/2006/relationships/hyperlink" Target="mailto:klevervamega@hotmail.com" TargetMode="External"/><Relationship Id="rId23" Type="http://schemas.openxmlformats.org/officeDocument/2006/relationships/hyperlink" Target="mailto:jpidrovo@hotmail.com" TargetMode="External"/><Relationship Id="rId28" Type="http://schemas.openxmlformats.org/officeDocument/2006/relationships/hyperlink" Target="mailto:catalinacambi1611@hotmail.com" TargetMode="External"/><Relationship Id="rId49" Type="http://schemas.openxmlformats.org/officeDocument/2006/relationships/hyperlink" Target="mailto:jvasesorialegal@gmail.com" TargetMode="External"/><Relationship Id="rId114" Type="http://schemas.openxmlformats.org/officeDocument/2006/relationships/hyperlink" Target="mailto:BIBISCAM94@HOTMAIL.COM" TargetMode="External"/><Relationship Id="rId119" Type="http://schemas.openxmlformats.org/officeDocument/2006/relationships/hyperlink" Target="mailto:GABYCO_1993@HOTMAIL.COM" TargetMode="External"/><Relationship Id="rId44" Type="http://schemas.openxmlformats.org/officeDocument/2006/relationships/hyperlink" Target="mailto:gtamariz@hotmail.com" TargetMode="External"/><Relationship Id="rId60" Type="http://schemas.openxmlformats.org/officeDocument/2006/relationships/hyperlink" Target="mailto:ana.barrera7720@yahoo.com" TargetMode="External"/><Relationship Id="rId65" Type="http://schemas.openxmlformats.org/officeDocument/2006/relationships/hyperlink" Target="mailto:paulina_andradep@hotmail.com" TargetMode="External"/><Relationship Id="rId81" Type="http://schemas.openxmlformats.org/officeDocument/2006/relationships/hyperlink" Target="mailto:juanca7010@hotmail.com" TargetMode="External"/><Relationship Id="rId86" Type="http://schemas.openxmlformats.org/officeDocument/2006/relationships/hyperlink" Target="mailto:maryeugeniatam@hotmail.com" TargetMode="External"/><Relationship Id="rId130" Type="http://schemas.openxmlformats.org/officeDocument/2006/relationships/hyperlink" Target="mailto:RESPONSBLER@HOTMAIL.COM" TargetMode="External"/><Relationship Id="rId135" Type="http://schemas.openxmlformats.org/officeDocument/2006/relationships/hyperlink" Target="mailto:JENIFFERVALDIVIEZO@GMAIL.COM" TargetMode="External"/><Relationship Id="rId13" Type="http://schemas.openxmlformats.org/officeDocument/2006/relationships/hyperlink" Target="mailto:facturaspedroc@gmail.com" TargetMode="External"/><Relationship Id="rId18" Type="http://schemas.openxmlformats.org/officeDocument/2006/relationships/hyperlink" Target="mailto:luismerchanh@gmail.com" TargetMode="External"/><Relationship Id="rId39" Type="http://schemas.openxmlformats.org/officeDocument/2006/relationships/hyperlink" Target="mailto:majoserojascordero@hotmail.com" TargetMode="External"/><Relationship Id="rId109" Type="http://schemas.openxmlformats.org/officeDocument/2006/relationships/hyperlink" Target="mailto:FERVAZQUEZ@HOTMAIL.COM" TargetMode="External"/><Relationship Id="rId34" Type="http://schemas.openxmlformats.org/officeDocument/2006/relationships/hyperlink" Target="mailto:paolopuruncajasc@gmail.com" TargetMode="External"/><Relationship Id="rId50" Type="http://schemas.openxmlformats.org/officeDocument/2006/relationships/hyperlink" Target="mailto:andresmarquez73@gmail.com" TargetMode="External"/><Relationship Id="rId55" Type="http://schemas.openxmlformats.org/officeDocument/2006/relationships/hyperlink" Target="mailto:paoeliza@hotmail.com" TargetMode="External"/><Relationship Id="rId76" Type="http://schemas.openxmlformats.org/officeDocument/2006/relationships/hyperlink" Target="mailto:carlosugalden@yahoo.com" TargetMode="External"/><Relationship Id="rId97" Type="http://schemas.openxmlformats.org/officeDocument/2006/relationships/hyperlink" Target="mailto:ADRIANHERAS@ICLOUD.COM" TargetMode="External"/><Relationship Id="rId104" Type="http://schemas.openxmlformats.org/officeDocument/2006/relationships/hyperlink" Target="mailto:COSMETRAVELAGENCIA@HOTMAIL.COM" TargetMode="External"/><Relationship Id="rId120" Type="http://schemas.openxmlformats.org/officeDocument/2006/relationships/hyperlink" Target="mailto:SOLMORALES2015@HOTMAIL.COM" TargetMode="External"/><Relationship Id="rId125" Type="http://schemas.openxmlformats.org/officeDocument/2006/relationships/hyperlink" Target="mailto:PCAZORLACH@GMAIL.COM" TargetMode="External"/><Relationship Id="rId7" Type="http://schemas.openxmlformats.org/officeDocument/2006/relationships/hyperlink" Target="mailto:jeniffervaldiviezo@gmail.com" TargetMode="External"/><Relationship Id="rId71" Type="http://schemas.openxmlformats.org/officeDocument/2006/relationships/hyperlink" Target="mailto:charitoauquilla@yahoo.com" TargetMode="External"/><Relationship Id="rId92" Type="http://schemas.openxmlformats.org/officeDocument/2006/relationships/hyperlink" Target="mailto:PAZREYESCORDERO@HOTMAIL.COM" TargetMode="External"/><Relationship Id="rId2" Type="http://schemas.openxmlformats.org/officeDocument/2006/relationships/hyperlink" Target="mailto:mguayasamin56@hotmail.com" TargetMode="External"/><Relationship Id="rId29" Type="http://schemas.openxmlformats.org/officeDocument/2006/relationships/hyperlink" Target="mailto:colminitreum@abccomercioexterior.com" TargetMode="External"/><Relationship Id="rId24" Type="http://schemas.openxmlformats.org/officeDocument/2006/relationships/hyperlink" Target="mailto:juanvicuna@gmail.com" TargetMode="External"/><Relationship Id="rId40" Type="http://schemas.openxmlformats.org/officeDocument/2006/relationships/hyperlink" Target="mailto:elguchito86@hotmail.com" TargetMode="External"/><Relationship Id="rId45" Type="http://schemas.openxmlformats.org/officeDocument/2006/relationships/hyperlink" Target="mailto:ocabrera@homedeko.com.ec" TargetMode="External"/><Relationship Id="rId66" Type="http://schemas.openxmlformats.org/officeDocument/2006/relationships/hyperlink" Target="mailto:cristian181192@gmail.com" TargetMode="External"/><Relationship Id="rId87" Type="http://schemas.openxmlformats.org/officeDocument/2006/relationships/hyperlink" Target="mailto:angelgarcia34@hotmail.com" TargetMode="External"/><Relationship Id="rId110" Type="http://schemas.openxmlformats.org/officeDocument/2006/relationships/hyperlink" Target="mailto:AAACHUNDIAMERA@GMAIL.COM" TargetMode="External"/><Relationship Id="rId115" Type="http://schemas.openxmlformats.org/officeDocument/2006/relationships/hyperlink" Target="mailto:MARLENEBRAVO96@GMAIL.COM" TargetMode="External"/><Relationship Id="rId131" Type="http://schemas.openxmlformats.org/officeDocument/2006/relationships/hyperlink" Target="mailto:CHELOTORAL@GMAIL.COM" TargetMode="External"/><Relationship Id="rId136" Type="http://schemas.openxmlformats.org/officeDocument/2006/relationships/hyperlink" Target="mailto:GRUPO.CAMINAR@HOTMAIL.COM" TargetMode="External"/><Relationship Id="rId61" Type="http://schemas.openxmlformats.org/officeDocument/2006/relationships/hyperlink" Target="mailto:gelorgj@gmail.com" TargetMode="External"/><Relationship Id="rId82" Type="http://schemas.openxmlformats.org/officeDocument/2006/relationships/hyperlink" Target="mailto:edissoncampo90@gmail.com" TargetMode="External"/><Relationship Id="rId19" Type="http://schemas.openxmlformats.org/officeDocument/2006/relationships/hyperlink" Target="mailto:gtamariz@hotmail.com" TargetMode="External"/><Relationship Id="rId14" Type="http://schemas.openxmlformats.org/officeDocument/2006/relationships/hyperlink" Target="mailto:majoserojascordero@hotmail.com" TargetMode="External"/><Relationship Id="rId30" Type="http://schemas.openxmlformats.org/officeDocument/2006/relationships/hyperlink" Target="mailto:juanpablolandym@gmail.com" TargetMode="External"/><Relationship Id="rId35" Type="http://schemas.openxmlformats.org/officeDocument/2006/relationships/hyperlink" Target="mailto:paulmacancelaant@gmail.com" TargetMode="External"/><Relationship Id="rId56" Type="http://schemas.openxmlformats.org/officeDocument/2006/relationships/hyperlink" Target="mailto:emagamaru@outlook.com" TargetMode="External"/><Relationship Id="rId77" Type="http://schemas.openxmlformats.org/officeDocument/2006/relationships/hyperlink" Target="mailto:jaquesilva1963@gmail.com" TargetMode="External"/><Relationship Id="rId100" Type="http://schemas.openxmlformats.org/officeDocument/2006/relationships/hyperlink" Target="mailto:CRISTIANULLAURI@HOTMAIL.COM" TargetMode="External"/><Relationship Id="rId105" Type="http://schemas.openxmlformats.org/officeDocument/2006/relationships/hyperlink" Target="mailto:JAIMEVELESACA@ICLOUD.COM" TargetMode="External"/><Relationship Id="rId126" Type="http://schemas.openxmlformats.org/officeDocument/2006/relationships/hyperlink" Target="mailto:GERENCIA@FOGOCOTO.COM.EC" TargetMode="External"/><Relationship Id="rId8" Type="http://schemas.openxmlformats.org/officeDocument/2006/relationships/hyperlink" Target="mailto:franctapia13@hotmail.com" TargetMode="External"/><Relationship Id="rId51" Type="http://schemas.openxmlformats.org/officeDocument/2006/relationships/hyperlink" Target="mailto:iariasvelez@hotmail.com" TargetMode="External"/><Relationship Id="rId72" Type="http://schemas.openxmlformats.org/officeDocument/2006/relationships/hyperlink" Target="mailto:ybba503@gmail.com" TargetMode="External"/><Relationship Id="rId93" Type="http://schemas.openxmlformats.org/officeDocument/2006/relationships/hyperlink" Target="mailto:HERMAGMASACHE@HOTMAIL.COM" TargetMode="External"/><Relationship Id="rId98" Type="http://schemas.openxmlformats.org/officeDocument/2006/relationships/hyperlink" Target="mailto:VENTAS@COMERCIALSOLIS.COM.EC" TargetMode="External"/><Relationship Id="rId121" Type="http://schemas.openxmlformats.org/officeDocument/2006/relationships/hyperlink" Target="mailto:FACTURASGMLAB@GMAIL.COM" TargetMode="External"/><Relationship Id="rId3" Type="http://schemas.openxmlformats.org/officeDocument/2006/relationships/hyperlink" Target="mailto:alextapia12@hotmail.com" TargetMode="External"/><Relationship Id="rId25" Type="http://schemas.openxmlformats.org/officeDocument/2006/relationships/hyperlink" Target="mailto:sacmicas@gmail.com" TargetMode="External"/><Relationship Id="rId46" Type="http://schemas.openxmlformats.org/officeDocument/2006/relationships/hyperlink" Target="mailto:malvarado22@hotmail.com" TargetMode="External"/><Relationship Id="rId67" Type="http://schemas.openxmlformats.org/officeDocument/2006/relationships/hyperlink" Target="mailto:poloaymar38@hotmail.com" TargetMode="External"/><Relationship Id="rId116" Type="http://schemas.openxmlformats.org/officeDocument/2006/relationships/hyperlink" Target="mailto:A.LANDY@HOTMAIL.COM" TargetMode="External"/><Relationship Id="rId137" Type="http://schemas.openxmlformats.org/officeDocument/2006/relationships/hyperlink" Target="mailto:PCAZORLACH@GMAIL.COM" TargetMode="External"/><Relationship Id="rId20" Type="http://schemas.openxmlformats.org/officeDocument/2006/relationships/hyperlink" Target="mailto:ocabrera@homedeko.com.ec" TargetMode="External"/><Relationship Id="rId41" Type="http://schemas.openxmlformats.org/officeDocument/2006/relationships/hyperlink" Target="mailto:crisfehrs@hotmail.com" TargetMode="External"/><Relationship Id="rId62" Type="http://schemas.openxmlformats.org/officeDocument/2006/relationships/hyperlink" Target="mailto:ventas@iglaceec.com" TargetMode="External"/><Relationship Id="rId83" Type="http://schemas.openxmlformats.org/officeDocument/2006/relationships/hyperlink" Target="mailto:gerencia@oceacuns.com" TargetMode="External"/><Relationship Id="rId88" Type="http://schemas.openxmlformats.org/officeDocument/2006/relationships/hyperlink" Target="mailto:gabymalo@hotmail.com" TargetMode="External"/><Relationship Id="rId111" Type="http://schemas.openxmlformats.org/officeDocument/2006/relationships/hyperlink" Target="mailto:PCARRIONARGUDO@GMAIL.COM" TargetMode="External"/><Relationship Id="rId132" Type="http://schemas.openxmlformats.org/officeDocument/2006/relationships/hyperlink" Target="mailto:ANGELICASIGUENZA@YAHOO.COM" TargetMode="External"/><Relationship Id="rId15" Type="http://schemas.openxmlformats.org/officeDocument/2006/relationships/hyperlink" Target="mailto:elguchito86@hotmail.com" TargetMode="External"/><Relationship Id="rId36" Type="http://schemas.openxmlformats.org/officeDocument/2006/relationships/hyperlink" Target="mailto:fabcue5@hotmail.com" TargetMode="External"/><Relationship Id="rId57" Type="http://schemas.openxmlformats.org/officeDocument/2006/relationships/hyperlink" Target="mailto:henrypolotapia@hotmail.com" TargetMode="External"/><Relationship Id="rId106" Type="http://schemas.openxmlformats.org/officeDocument/2006/relationships/hyperlink" Target="mailto:JAVIERALBARRACIN27@GMAIL.COM" TargetMode="External"/><Relationship Id="rId127" Type="http://schemas.openxmlformats.org/officeDocument/2006/relationships/hyperlink" Target="mailto:LORENA.ANDRADE38@GMAIL.COM" TargetMode="External"/><Relationship Id="rId10" Type="http://schemas.openxmlformats.org/officeDocument/2006/relationships/hyperlink" Target="mailto:jjarteaga58@gmail.co" TargetMode="External"/><Relationship Id="rId31" Type="http://schemas.openxmlformats.org/officeDocument/2006/relationships/hyperlink" Target="mailto:alisas321@hotmail.com" TargetMode="External"/><Relationship Id="rId52" Type="http://schemas.openxmlformats.org/officeDocument/2006/relationships/hyperlink" Target="mailto:lorena@sensorvital.com" TargetMode="External"/><Relationship Id="rId73" Type="http://schemas.openxmlformats.org/officeDocument/2006/relationships/hyperlink" Target="mailto:aciroblas54@hotmail.com" TargetMode="External"/><Relationship Id="rId78" Type="http://schemas.openxmlformats.org/officeDocument/2006/relationships/hyperlink" Target="mailto:rosamariadelgado@live.com" TargetMode="External"/><Relationship Id="rId94" Type="http://schemas.openxmlformats.org/officeDocument/2006/relationships/hyperlink" Target="mailto:JJ.ARTEAGA58@GMAIL.COM" TargetMode="External"/><Relationship Id="rId99" Type="http://schemas.openxmlformats.org/officeDocument/2006/relationships/hyperlink" Target="mailto:VENTAS@COMERCIALSOLIS.COM.EC" TargetMode="External"/><Relationship Id="rId101" Type="http://schemas.openxmlformats.org/officeDocument/2006/relationships/hyperlink" Target="mailto:PAUL.GOMEZ976@HOTMAIL.COM" TargetMode="External"/><Relationship Id="rId122" Type="http://schemas.openxmlformats.org/officeDocument/2006/relationships/hyperlink" Target="mailto:ALI.SCS@HOTMAIL.COM" TargetMode="External"/><Relationship Id="rId4" Type="http://schemas.openxmlformats.org/officeDocument/2006/relationships/hyperlink" Target="mailto:gamolinaa@hotmail.com" TargetMode="External"/><Relationship Id="rId9" Type="http://schemas.openxmlformats.org/officeDocument/2006/relationships/hyperlink" Target="mailto:andre.18.ae@gmail.com" TargetMode="External"/><Relationship Id="rId26" Type="http://schemas.openxmlformats.org/officeDocument/2006/relationships/hyperlink" Target="mailto:fortizmorales@hotmail.com" TargetMode="External"/><Relationship Id="rId47" Type="http://schemas.openxmlformats.org/officeDocument/2006/relationships/hyperlink" Target="mailto:lorena.andrade.b@icloud.com" TargetMode="External"/><Relationship Id="rId68" Type="http://schemas.openxmlformats.org/officeDocument/2006/relationships/hyperlink" Target="mailto:gracevelastegui@yahoo.com" TargetMode="External"/><Relationship Id="rId89" Type="http://schemas.openxmlformats.org/officeDocument/2006/relationships/hyperlink" Target="mailto:felipebermeoq@gmail.com" TargetMode="External"/><Relationship Id="rId112" Type="http://schemas.openxmlformats.org/officeDocument/2006/relationships/hyperlink" Target="mailto:MARIBELVGS@OUTLOOK.COM" TargetMode="External"/><Relationship Id="rId133" Type="http://schemas.openxmlformats.org/officeDocument/2006/relationships/hyperlink" Target="mailto:ANA.ELISABETH.OCHOA@HOT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ventas@comercialsolis.com.ec" TargetMode="External"/><Relationship Id="rId21" Type="http://schemas.openxmlformats.org/officeDocument/2006/relationships/hyperlink" Target="mailto:danielapu85@gmail.com" TargetMode="External"/><Relationship Id="rId42" Type="http://schemas.openxmlformats.org/officeDocument/2006/relationships/hyperlink" Target="mailto:maka.alvenzo@kywi.com.ec" TargetMode="External"/><Relationship Id="rId47" Type="http://schemas.openxmlformats.org/officeDocument/2006/relationships/hyperlink" Target="mailto:JCRUZ@KYWI.COM.EC" TargetMode="External"/><Relationship Id="rId63" Type="http://schemas.openxmlformats.org/officeDocument/2006/relationships/hyperlink" Target="mailto:MMRTINEZCARD@GMAIL.COM" TargetMode="External"/><Relationship Id="rId68" Type="http://schemas.openxmlformats.org/officeDocument/2006/relationships/hyperlink" Target="mailto:SEGUROSJET@GMAIL.COM" TargetMode="External"/><Relationship Id="rId16" Type="http://schemas.openxmlformats.org/officeDocument/2006/relationships/hyperlink" Target="mailto:freddyn@kywi.com.ec" TargetMode="External"/><Relationship Id="rId11" Type="http://schemas.openxmlformats.org/officeDocument/2006/relationships/hyperlink" Target="mailto:paulinasemperteguiv@hotmail.com" TargetMode="External"/><Relationship Id="rId24" Type="http://schemas.openxmlformats.org/officeDocument/2006/relationships/hyperlink" Target="mailto:ventas@comercialsolis.com.ec" TargetMode="External"/><Relationship Id="rId32" Type="http://schemas.openxmlformats.org/officeDocument/2006/relationships/hyperlink" Target="mailto:cjchp181086@hotmail.com" TargetMode="External"/><Relationship Id="rId37" Type="http://schemas.openxmlformats.org/officeDocument/2006/relationships/hyperlink" Target="mailto:ventas@comercialsolis.com.ec" TargetMode="External"/><Relationship Id="rId40" Type="http://schemas.openxmlformats.org/officeDocument/2006/relationships/hyperlink" Target="mailto:alejandrotapia741@gmail.com" TargetMode="External"/><Relationship Id="rId45" Type="http://schemas.openxmlformats.org/officeDocument/2006/relationships/hyperlink" Target="mailto:ventas@comercialsolis.com.ec" TargetMode="External"/><Relationship Id="rId53" Type="http://schemas.openxmlformats.org/officeDocument/2006/relationships/hyperlink" Target="mailto:SEGUNDOGUAMAN65@HOTMAIL.COM" TargetMode="External"/><Relationship Id="rId58" Type="http://schemas.openxmlformats.org/officeDocument/2006/relationships/hyperlink" Target="mailto:FREDDYN@KYWI.COM.EC" TargetMode="External"/><Relationship Id="rId66" Type="http://schemas.openxmlformats.org/officeDocument/2006/relationships/hyperlink" Target="mailto:CONTACT@SUPORT.KYWI.COM" TargetMode="External"/><Relationship Id="rId74" Type="http://schemas.openxmlformats.org/officeDocument/2006/relationships/hyperlink" Target="mailto:EDISON777@OUTLOOK.COM" TargetMode="External"/><Relationship Id="rId5" Type="http://schemas.openxmlformats.org/officeDocument/2006/relationships/hyperlink" Target="mailto:skwayra@sukasa.com" TargetMode="External"/><Relationship Id="rId61" Type="http://schemas.openxmlformats.org/officeDocument/2006/relationships/hyperlink" Target="mailto:LMGIRON@GMAIL.COM" TargetMode="External"/><Relationship Id="rId19" Type="http://schemas.openxmlformats.org/officeDocument/2006/relationships/hyperlink" Target="mailto:freddyn@kywi.com.ec" TargetMode="External"/><Relationship Id="rId14" Type="http://schemas.openxmlformats.org/officeDocument/2006/relationships/hyperlink" Target="mailto:gloria-vallejo@hotmail.com" TargetMode="External"/><Relationship Id="rId22" Type="http://schemas.openxmlformats.org/officeDocument/2006/relationships/hyperlink" Target="mailto:cgflores28@hotmail.com" TargetMode="External"/><Relationship Id="rId27" Type="http://schemas.openxmlformats.org/officeDocument/2006/relationships/hyperlink" Target="mailto:chao8019@yahoo.com" TargetMode="External"/><Relationship Id="rId30" Type="http://schemas.openxmlformats.org/officeDocument/2006/relationships/hyperlink" Target="mailto:freddyn@kywi.com.ec" TargetMode="External"/><Relationship Id="rId35" Type="http://schemas.openxmlformats.org/officeDocument/2006/relationships/hyperlink" Target="mailto:fbernalb2014@hotmail.com" TargetMode="External"/><Relationship Id="rId43" Type="http://schemas.openxmlformats.org/officeDocument/2006/relationships/hyperlink" Target="mailto:maka.alvenzo@kywi.com.ec" TargetMode="External"/><Relationship Id="rId48" Type="http://schemas.openxmlformats.org/officeDocument/2006/relationships/hyperlink" Target="mailto:JCRUZ@KYWI.COM.EC" TargetMode="External"/><Relationship Id="rId56" Type="http://schemas.openxmlformats.org/officeDocument/2006/relationships/hyperlink" Target="mailto:FERNANDOGUERRA25@YAHOO.COM" TargetMode="External"/><Relationship Id="rId64" Type="http://schemas.openxmlformats.org/officeDocument/2006/relationships/hyperlink" Target="mailto:VENTAS@COMERCIALSOLIS.COM.EC" TargetMode="External"/><Relationship Id="rId69" Type="http://schemas.openxmlformats.org/officeDocument/2006/relationships/hyperlink" Target="mailto:MOHELEPODNECOQ@GMAIL.COM" TargetMode="External"/><Relationship Id="rId77" Type="http://schemas.openxmlformats.org/officeDocument/2006/relationships/hyperlink" Target="mailto:CHICAPES@HOTMAIL.COM" TargetMode="External"/><Relationship Id="rId8" Type="http://schemas.openxmlformats.org/officeDocument/2006/relationships/hyperlink" Target="mailto:pkbluejean@hotmail.com" TargetMode="External"/><Relationship Id="rId51" Type="http://schemas.openxmlformats.org/officeDocument/2006/relationships/hyperlink" Target="mailto:SOLMORALES2015@HOTMAIL.COM" TargetMode="External"/><Relationship Id="rId72" Type="http://schemas.openxmlformats.org/officeDocument/2006/relationships/hyperlink" Target="mailto:LARRYVONESCHEN@GMAIL.COM" TargetMode="External"/><Relationship Id="rId3" Type="http://schemas.openxmlformats.org/officeDocument/2006/relationships/hyperlink" Target="mailto:carlosd123123123@gmail.com" TargetMode="External"/><Relationship Id="rId12" Type="http://schemas.openxmlformats.org/officeDocument/2006/relationships/hyperlink" Target="mailto:abg.andresverar@hotmail.com" TargetMode="External"/><Relationship Id="rId17" Type="http://schemas.openxmlformats.org/officeDocument/2006/relationships/hyperlink" Target="mailto:freddyn@kywi.com.ec" TargetMode="External"/><Relationship Id="rId25" Type="http://schemas.openxmlformats.org/officeDocument/2006/relationships/hyperlink" Target="mailto:oximaldonado@hotmail.com" TargetMode="External"/><Relationship Id="rId33" Type="http://schemas.openxmlformats.org/officeDocument/2006/relationships/hyperlink" Target="mailto:lourdesespinoza6@hotmail.com" TargetMode="External"/><Relationship Id="rId38" Type="http://schemas.openxmlformats.org/officeDocument/2006/relationships/hyperlink" Target="mailto:ventas@comercialsolis.com.ec" TargetMode="External"/><Relationship Id="rId46" Type="http://schemas.openxmlformats.org/officeDocument/2006/relationships/hyperlink" Target="mailto:mscsegarramogrovejo@gmail.com" TargetMode="External"/><Relationship Id="rId59" Type="http://schemas.openxmlformats.org/officeDocument/2006/relationships/hyperlink" Target="mailto:MAYA8020@HOTMAIL.COM" TargetMode="External"/><Relationship Id="rId67" Type="http://schemas.openxmlformats.org/officeDocument/2006/relationships/hyperlink" Target="mailto:CONTACT@SUPORT.KYWI.COM" TargetMode="External"/><Relationship Id="rId20" Type="http://schemas.openxmlformats.org/officeDocument/2006/relationships/hyperlink" Target="mailto:cgflores28@hotmail.com" TargetMode="External"/><Relationship Id="rId41" Type="http://schemas.openxmlformats.org/officeDocument/2006/relationships/hyperlink" Target="mailto:vivipaulyzambrano@hotmail.com" TargetMode="External"/><Relationship Id="rId54" Type="http://schemas.openxmlformats.org/officeDocument/2006/relationships/hyperlink" Target="mailto:CERVEZACHAVINAN@GMAIL.COM" TargetMode="External"/><Relationship Id="rId62" Type="http://schemas.openxmlformats.org/officeDocument/2006/relationships/hyperlink" Target="mailto:DIANACARDENAS28@HOTMAIL.COM" TargetMode="External"/><Relationship Id="rId70" Type="http://schemas.openxmlformats.org/officeDocument/2006/relationships/hyperlink" Target="mailto:HUBERMEO@HOTMAIL.COM" TargetMode="External"/><Relationship Id="rId75" Type="http://schemas.openxmlformats.org/officeDocument/2006/relationships/hyperlink" Target="mailto:SERVICIOALCLIENTE@ECMERCAD.COM" TargetMode="External"/><Relationship Id="rId1" Type="http://schemas.openxmlformats.org/officeDocument/2006/relationships/hyperlink" Target="mailto:palaciosmorenod@yahoo.com" TargetMode="External"/><Relationship Id="rId6" Type="http://schemas.openxmlformats.org/officeDocument/2006/relationships/hyperlink" Target="mailto:skwayra@sukasa.com" TargetMode="External"/><Relationship Id="rId15" Type="http://schemas.openxmlformats.org/officeDocument/2006/relationships/hyperlink" Target="mailto:martinlazzarini@outlook.com" TargetMode="External"/><Relationship Id="rId23" Type="http://schemas.openxmlformats.org/officeDocument/2006/relationships/hyperlink" Target="mailto:ventas@comercialsolis.com.ec" TargetMode="External"/><Relationship Id="rId28" Type="http://schemas.openxmlformats.org/officeDocument/2006/relationships/hyperlink" Target="mailto:contabilidad@comercialsolis.com.ec" TargetMode="External"/><Relationship Id="rId36" Type="http://schemas.openxmlformats.org/officeDocument/2006/relationships/hyperlink" Target="mailto:ventas@comercialsolis.com.ec" TargetMode="External"/><Relationship Id="rId49" Type="http://schemas.openxmlformats.org/officeDocument/2006/relationships/hyperlink" Target="mailto:MARTINF_24@HOTMAIL.COM" TargetMode="External"/><Relationship Id="rId57" Type="http://schemas.openxmlformats.org/officeDocument/2006/relationships/hyperlink" Target="mailto:FREDDYN@KYWI.COM.EC" TargetMode="External"/><Relationship Id="rId10" Type="http://schemas.openxmlformats.org/officeDocument/2006/relationships/hyperlink" Target="mailto:rosichica30@hotmail.com" TargetMode="External"/><Relationship Id="rId31" Type="http://schemas.openxmlformats.org/officeDocument/2006/relationships/hyperlink" Target="mailto:freddyn@kywi.com.ec" TargetMode="External"/><Relationship Id="rId44" Type="http://schemas.openxmlformats.org/officeDocument/2006/relationships/hyperlink" Target="mailto:sendoluzuriga04@hotmail.com" TargetMode="External"/><Relationship Id="rId52" Type="http://schemas.openxmlformats.org/officeDocument/2006/relationships/hyperlink" Target="mailto:SEGUNDOGUAMAN65@HOTMAIL.COM" TargetMode="External"/><Relationship Id="rId60" Type="http://schemas.openxmlformats.org/officeDocument/2006/relationships/hyperlink" Target="mailto:DAVIDMAXXIE@OUTLOOK.COM" TargetMode="External"/><Relationship Id="rId65" Type="http://schemas.openxmlformats.org/officeDocument/2006/relationships/hyperlink" Target="mailto:ESTMUNDONOVA54@HOTMAIL.COM" TargetMode="External"/><Relationship Id="rId73" Type="http://schemas.openxmlformats.org/officeDocument/2006/relationships/hyperlink" Target="mailto:LUPEYEIS@YAHOO.COM" TargetMode="External"/><Relationship Id="rId78" Type="http://schemas.openxmlformats.org/officeDocument/2006/relationships/drawing" Target="../drawings/drawing3.xml"/><Relationship Id="rId4" Type="http://schemas.openxmlformats.org/officeDocument/2006/relationships/hyperlink" Target="mailto:comlupazmino@gmail.com" TargetMode="External"/><Relationship Id="rId9" Type="http://schemas.openxmlformats.org/officeDocument/2006/relationships/hyperlink" Target="mailto:ventas@comercialsolis.com.ec" TargetMode="External"/><Relationship Id="rId13" Type="http://schemas.openxmlformats.org/officeDocument/2006/relationships/hyperlink" Target="mailto:stefany-tacuri@hotmail.com" TargetMode="External"/><Relationship Id="rId18" Type="http://schemas.openxmlformats.org/officeDocument/2006/relationships/hyperlink" Target="mailto:freddyn@kywi.com.ec" TargetMode="External"/><Relationship Id="rId39" Type="http://schemas.openxmlformats.org/officeDocument/2006/relationships/hyperlink" Target="mailto:edgarhsald@yahoo.com" TargetMode="External"/><Relationship Id="rId34" Type="http://schemas.openxmlformats.org/officeDocument/2006/relationships/hyperlink" Target="mailto:cecicuesta10-1985@hotmail.com" TargetMode="External"/><Relationship Id="rId50" Type="http://schemas.openxmlformats.org/officeDocument/2006/relationships/hyperlink" Target="mailto:RAULVINTIMILLA65@GMAIL.COM" TargetMode="External"/><Relationship Id="rId55" Type="http://schemas.openxmlformats.org/officeDocument/2006/relationships/hyperlink" Target="mailto:PATYMOGROVEJO@YAHOO.COM" TargetMode="External"/><Relationship Id="rId76" Type="http://schemas.openxmlformats.org/officeDocument/2006/relationships/hyperlink" Target="mailto:SERVICIOALCLIENTE@ECMERCAD.COM" TargetMode="External"/><Relationship Id="rId7" Type="http://schemas.openxmlformats.org/officeDocument/2006/relationships/hyperlink" Target="mailto:boris.tipan.barros@gmail.com" TargetMode="External"/><Relationship Id="rId71" Type="http://schemas.openxmlformats.org/officeDocument/2006/relationships/hyperlink" Target="mailto:TAFANYVIDAL11@GMAIL.COM" TargetMode="External"/><Relationship Id="rId2" Type="http://schemas.openxmlformats.org/officeDocument/2006/relationships/hyperlink" Target="mailto:jaxstory@gmail.com" TargetMode="External"/><Relationship Id="rId29" Type="http://schemas.openxmlformats.org/officeDocument/2006/relationships/hyperlink" Target="mailto:contabilidad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ventas@comercialsolis.com.ec" TargetMode="External"/><Relationship Id="rId2" Type="http://schemas.openxmlformats.org/officeDocument/2006/relationships/hyperlink" Target="mailto:ventas@comercialsolis.com.ec" TargetMode="External"/><Relationship Id="rId1" Type="http://schemas.openxmlformats.org/officeDocument/2006/relationships/hyperlink" Target="mailto:ventas@comercialsolis.com.ec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mataellebelen@gmail.com" TargetMode="External"/><Relationship Id="rId299" Type="http://schemas.openxmlformats.org/officeDocument/2006/relationships/hyperlink" Target="mailto:VERONICAORDEN@GMAIL.COM" TargetMode="External"/><Relationship Id="rId21" Type="http://schemas.openxmlformats.org/officeDocument/2006/relationships/hyperlink" Target="mailto:gata_serrano@hotmail.com" TargetMode="External"/><Relationship Id="rId63" Type="http://schemas.openxmlformats.org/officeDocument/2006/relationships/hyperlink" Target="mailto:americorodast@gmail.com" TargetMode="External"/><Relationship Id="rId159" Type="http://schemas.openxmlformats.org/officeDocument/2006/relationships/hyperlink" Target="mailto:cris-raly@hotmail.com" TargetMode="External"/><Relationship Id="rId170" Type="http://schemas.openxmlformats.org/officeDocument/2006/relationships/hyperlink" Target="mailto:slopez@etapanet.net" TargetMode="External"/><Relationship Id="rId226" Type="http://schemas.openxmlformats.org/officeDocument/2006/relationships/hyperlink" Target="mailto:VEROARPI@HOTMAIL.COM" TargetMode="External"/><Relationship Id="rId268" Type="http://schemas.openxmlformats.org/officeDocument/2006/relationships/hyperlink" Target="mailto:KATTYLEGARDA@GMAIL.COM" TargetMode="External"/><Relationship Id="rId32" Type="http://schemas.openxmlformats.org/officeDocument/2006/relationships/hyperlink" Target="mailto:mbarzallo65@hotmail.com" TargetMode="External"/><Relationship Id="rId74" Type="http://schemas.openxmlformats.org/officeDocument/2006/relationships/hyperlink" Target="mailto:repair-repuestos@hotmail.com" TargetMode="External"/><Relationship Id="rId128" Type="http://schemas.openxmlformats.org/officeDocument/2006/relationships/hyperlink" Target="mailto:aukhate@gmail.com" TargetMode="External"/><Relationship Id="rId5" Type="http://schemas.openxmlformats.org/officeDocument/2006/relationships/hyperlink" Target="mailto:naneycolla1962@gmail.com" TargetMode="External"/><Relationship Id="rId181" Type="http://schemas.openxmlformats.org/officeDocument/2006/relationships/hyperlink" Target="mailto:EDISSONCAMPO90@GMAIL.COM" TargetMode="External"/><Relationship Id="rId237" Type="http://schemas.openxmlformats.org/officeDocument/2006/relationships/hyperlink" Target="mailto:JUBSTSYE@GMAIL.COM" TargetMode="External"/><Relationship Id="rId279" Type="http://schemas.openxmlformats.org/officeDocument/2006/relationships/hyperlink" Target="mailto:ANAPESANTEZO@GMAIL.COM" TargetMode="External"/><Relationship Id="rId43" Type="http://schemas.openxmlformats.org/officeDocument/2006/relationships/hyperlink" Target="mailto:churostiti@hotmail.com" TargetMode="External"/><Relationship Id="rId139" Type="http://schemas.openxmlformats.org/officeDocument/2006/relationships/hyperlink" Target="mailto:ma.eu60@hotmail.com" TargetMode="External"/><Relationship Id="rId290" Type="http://schemas.openxmlformats.org/officeDocument/2006/relationships/hyperlink" Target="mailto:SSEGARRA@ETAPA.NET.EC" TargetMode="External"/><Relationship Id="rId304" Type="http://schemas.openxmlformats.org/officeDocument/2006/relationships/hyperlink" Target="mailto:MONICAJUELA@GMAIL.COM" TargetMode="External"/><Relationship Id="rId85" Type="http://schemas.openxmlformats.org/officeDocument/2006/relationships/hyperlink" Target="mailto:karin-pad@hotmail.com" TargetMode="External"/><Relationship Id="rId150" Type="http://schemas.openxmlformats.org/officeDocument/2006/relationships/hyperlink" Target="mailto:aliteca@hotmail.com" TargetMode="External"/><Relationship Id="rId192" Type="http://schemas.openxmlformats.org/officeDocument/2006/relationships/hyperlink" Target="mailto:LJORGERENA@YAHOO.COM" TargetMode="External"/><Relationship Id="rId206" Type="http://schemas.openxmlformats.org/officeDocument/2006/relationships/hyperlink" Target="mailto:JERMAGMASACHE@HOTMAIL.COM" TargetMode="External"/><Relationship Id="rId248" Type="http://schemas.openxmlformats.org/officeDocument/2006/relationships/hyperlink" Target="mailto:OTWILA@GMAIL.COM" TargetMode="External"/><Relationship Id="rId12" Type="http://schemas.openxmlformats.org/officeDocument/2006/relationships/hyperlink" Target="mailto:p.solis@hotmail.com" TargetMode="External"/><Relationship Id="rId108" Type="http://schemas.openxmlformats.org/officeDocument/2006/relationships/hyperlink" Target="mailto:fbravo323@gmail.com" TargetMode="External"/><Relationship Id="rId54" Type="http://schemas.openxmlformats.org/officeDocument/2006/relationships/hyperlink" Target="mailto:soluciona@etapa.net.net" TargetMode="External"/><Relationship Id="rId96" Type="http://schemas.openxmlformats.org/officeDocument/2006/relationships/hyperlink" Target="mailto:andresseq@gmail.com" TargetMode="External"/><Relationship Id="rId161" Type="http://schemas.openxmlformats.org/officeDocument/2006/relationships/hyperlink" Target="mailto:betomacedo60@gmail.com" TargetMode="External"/><Relationship Id="rId217" Type="http://schemas.openxmlformats.org/officeDocument/2006/relationships/hyperlink" Target="mailto:SOLESOCT58@GMAIL.COM" TargetMode="External"/><Relationship Id="rId259" Type="http://schemas.openxmlformats.org/officeDocument/2006/relationships/hyperlink" Target="mailto:RRAMOS.AMBIENTE@GMAIL.COM" TargetMode="External"/><Relationship Id="rId23" Type="http://schemas.openxmlformats.org/officeDocument/2006/relationships/hyperlink" Target="mailto:mabel2.morocho@gmail.com" TargetMode="External"/><Relationship Id="rId119" Type="http://schemas.openxmlformats.org/officeDocument/2006/relationships/hyperlink" Target="mailto:cnauta@etapa.net.ec" TargetMode="External"/><Relationship Id="rId270" Type="http://schemas.openxmlformats.org/officeDocument/2006/relationships/hyperlink" Target="mailto:JESZPROYECTOSSAS@GMAIL.COM" TargetMode="External"/><Relationship Id="rId65" Type="http://schemas.openxmlformats.org/officeDocument/2006/relationships/hyperlink" Target="mailto:rrcb2009@hotmail.com" TargetMode="External"/><Relationship Id="rId130" Type="http://schemas.openxmlformats.org/officeDocument/2006/relationships/hyperlink" Target="mailto:marcosuscal@hotmail.com" TargetMode="External"/><Relationship Id="rId172" Type="http://schemas.openxmlformats.org/officeDocument/2006/relationships/hyperlink" Target="mailto:dorian87-19@outlook.com" TargetMode="External"/><Relationship Id="rId193" Type="http://schemas.openxmlformats.org/officeDocument/2006/relationships/hyperlink" Target="mailto:PAISAJE.GG@GMAIL.COM" TargetMode="External"/><Relationship Id="rId207" Type="http://schemas.openxmlformats.org/officeDocument/2006/relationships/hyperlink" Target="mailto:DIANA.ALBARRACIN@UCUENCA.EDU.EC" TargetMode="External"/><Relationship Id="rId228" Type="http://schemas.openxmlformats.org/officeDocument/2006/relationships/hyperlink" Target="mailto:MINIHANGQV@HOTMAIL.COM" TargetMode="External"/><Relationship Id="rId249" Type="http://schemas.openxmlformats.org/officeDocument/2006/relationships/hyperlink" Target="mailto:MGUZMAN4@HOTMAIL.COM" TargetMode="External"/><Relationship Id="rId13" Type="http://schemas.openxmlformats.org/officeDocument/2006/relationships/hyperlink" Target="mailto:orellana.102@outlook.com" TargetMode="External"/><Relationship Id="rId109" Type="http://schemas.openxmlformats.org/officeDocument/2006/relationships/hyperlink" Target="mailto:gorgeleon2016@gmail.com" TargetMode="External"/><Relationship Id="rId260" Type="http://schemas.openxmlformats.org/officeDocument/2006/relationships/hyperlink" Target="mailto:LORENA.ANDRADE68@GMAIL.COM" TargetMode="External"/><Relationship Id="rId281" Type="http://schemas.openxmlformats.org/officeDocument/2006/relationships/hyperlink" Target="mailto:JORGERAMONESPINOZA@YAHOO.COM" TargetMode="External"/><Relationship Id="rId34" Type="http://schemas.openxmlformats.org/officeDocument/2006/relationships/hyperlink" Target="mailto:adrianaastudillo@hotmail.com" TargetMode="External"/><Relationship Id="rId55" Type="http://schemas.openxmlformats.org/officeDocument/2006/relationships/hyperlink" Target="mailto:arrietasebastian@gmail.com" TargetMode="External"/><Relationship Id="rId76" Type="http://schemas.openxmlformats.org/officeDocument/2006/relationships/hyperlink" Target="mailto:juanmatuteayala@outlook.com" TargetMode="External"/><Relationship Id="rId97" Type="http://schemas.openxmlformats.org/officeDocument/2006/relationships/hyperlink" Target="mailto:scalle68@hotmail.com" TargetMode="External"/><Relationship Id="rId120" Type="http://schemas.openxmlformats.org/officeDocument/2006/relationships/hyperlink" Target="mailto:frankixd1991@gmail.com" TargetMode="External"/><Relationship Id="rId141" Type="http://schemas.openxmlformats.org/officeDocument/2006/relationships/hyperlink" Target="mailto:katlyva27@hotmail.com" TargetMode="External"/><Relationship Id="rId7" Type="http://schemas.openxmlformats.org/officeDocument/2006/relationships/hyperlink" Target="mailto:anivalalvear@hotmail.com" TargetMode="External"/><Relationship Id="rId162" Type="http://schemas.openxmlformats.org/officeDocument/2006/relationships/hyperlink" Target="mailto:bibiscam93@hotmail.com" TargetMode="External"/><Relationship Id="rId183" Type="http://schemas.openxmlformats.org/officeDocument/2006/relationships/hyperlink" Target="mailto:KARYONGECE@HOTMAIL.COM" TargetMode="External"/><Relationship Id="rId218" Type="http://schemas.openxmlformats.org/officeDocument/2006/relationships/hyperlink" Target="mailto:VERITOPURUNCAJAS@HOTMAIL.COM" TargetMode="External"/><Relationship Id="rId239" Type="http://schemas.openxmlformats.org/officeDocument/2006/relationships/hyperlink" Target="mailto:0102929418@GMAIL.COM" TargetMode="External"/><Relationship Id="rId250" Type="http://schemas.openxmlformats.org/officeDocument/2006/relationships/hyperlink" Target="mailto:CONTABILIDAD@MODATEX.COM.EC" TargetMode="External"/><Relationship Id="rId271" Type="http://schemas.openxmlformats.org/officeDocument/2006/relationships/hyperlink" Target="mailto:PGCARDENAS@YAHOO.COM" TargetMode="External"/><Relationship Id="rId292" Type="http://schemas.openxmlformats.org/officeDocument/2006/relationships/hyperlink" Target="mailto:PEZVACAB@HOTMAIL.COM" TargetMode="External"/><Relationship Id="rId306" Type="http://schemas.openxmlformats.org/officeDocument/2006/relationships/hyperlink" Target="mailto:CRISLIT77@GMAIL.COM" TargetMode="External"/><Relationship Id="rId24" Type="http://schemas.openxmlformats.org/officeDocument/2006/relationships/hyperlink" Target="mailto:orellanaconstructores@hotmail.com" TargetMode="External"/><Relationship Id="rId45" Type="http://schemas.openxmlformats.org/officeDocument/2006/relationships/hyperlink" Target="mailto:juanpabloordonezf@gmail.com" TargetMode="External"/><Relationship Id="rId66" Type="http://schemas.openxmlformats.org/officeDocument/2006/relationships/hyperlink" Target="mailto:caroseadem@gmail.com" TargetMode="External"/><Relationship Id="rId87" Type="http://schemas.openxmlformats.org/officeDocument/2006/relationships/hyperlink" Target="mailto:justovazquez49@hotmail.com" TargetMode="External"/><Relationship Id="rId110" Type="http://schemas.openxmlformats.org/officeDocument/2006/relationships/hyperlink" Target="mailto:ventas@iglaceec.com" TargetMode="External"/><Relationship Id="rId131" Type="http://schemas.openxmlformats.org/officeDocument/2006/relationships/hyperlink" Target="mailto:freddyastudillof@gmail.com" TargetMode="External"/><Relationship Id="rId152" Type="http://schemas.openxmlformats.org/officeDocument/2006/relationships/hyperlink" Target="mailto:elita_vazquez@hotmail.com" TargetMode="External"/><Relationship Id="rId173" Type="http://schemas.openxmlformats.org/officeDocument/2006/relationships/hyperlink" Target="mailto:rosaromy@gmail.com" TargetMode="External"/><Relationship Id="rId194" Type="http://schemas.openxmlformats.org/officeDocument/2006/relationships/hyperlink" Target="mailto:LAVAJARASA@GMAIL.COM" TargetMode="External"/><Relationship Id="rId208" Type="http://schemas.openxmlformats.org/officeDocument/2006/relationships/hyperlink" Target="mailto:XIMEU81@GMAIL.COM" TargetMode="External"/><Relationship Id="rId229" Type="http://schemas.openxmlformats.org/officeDocument/2006/relationships/hyperlink" Target="mailto:DIEGO.CG78@HOTMAIL.COM" TargetMode="External"/><Relationship Id="rId240" Type="http://schemas.openxmlformats.org/officeDocument/2006/relationships/hyperlink" Target="mailto:JUANPPINTADO@GMAIL.COM" TargetMode="External"/><Relationship Id="rId261" Type="http://schemas.openxmlformats.org/officeDocument/2006/relationships/hyperlink" Target="mailto:ANCHUNDIAMERA@GMAIL.COM" TargetMode="External"/><Relationship Id="rId14" Type="http://schemas.openxmlformats.org/officeDocument/2006/relationships/hyperlink" Target="mailto:efrenvelez1967@hotmail.com" TargetMode="External"/><Relationship Id="rId35" Type="http://schemas.openxmlformats.org/officeDocument/2006/relationships/hyperlink" Target="mailto:urgilescu@gmail.com" TargetMode="External"/><Relationship Id="rId56" Type="http://schemas.openxmlformats.org/officeDocument/2006/relationships/hyperlink" Target="mailto:carlospozo85@hotmail.com" TargetMode="External"/><Relationship Id="rId77" Type="http://schemas.openxmlformats.org/officeDocument/2006/relationships/hyperlink" Target="mailto:marcom697@gmail.com" TargetMode="External"/><Relationship Id="rId100" Type="http://schemas.openxmlformats.org/officeDocument/2006/relationships/hyperlink" Target="mailto:ckymi@live.com" TargetMode="External"/><Relationship Id="rId282" Type="http://schemas.openxmlformats.org/officeDocument/2006/relationships/hyperlink" Target="mailto:PICHISACA75@YAHOO.COM" TargetMode="External"/><Relationship Id="rId8" Type="http://schemas.openxmlformats.org/officeDocument/2006/relationships/hyperlink" Target="mailto:jorgesanchezvanegas@mail.com" TargetMode="External"/><Relationship Id="rId98" Type="http://schemas.openxmlformats.org/officeDocument/2006/relationships/hyperlink" Target="mailto:vicving1964@gmail.com" TargetMode="External"/><Relationship Id="rId121" Type="http://schemas.openxmlformats.org/officeDocument/2006/relationships/hyperlink" Target="mailto:jaime28@gmail.com" TargetMode="External"/><Relationship Id="rId142" Type="http://schemas.openxmlformats.org/officeDocument/2006/relationships/hyperlink" Target="mailto:alepalacios-19@hotmail.com" TargetMode="External"/><Relationship Id="rId163" Type="http://schemas.openxmlformats.org/officeDocument/2006/relationships/hyperlink" Target="mailto:mauroullua90@hotmail.com" TargetMode="External"/><Relationship Id="rId184" Type="http://schemas.openxmlformats.org/officeDocument/2006/relationships/hyperlink" Target="mailto:C.WEITH@OUTLOOK.COM" TargetMode="External"/><Relationship Id="rId219" Type="http://schemas.openxmlformats.org/officeDocument/2006/relationships/hyperlink" Target="mailto:LADY_TAPIA@HOTMAIL.COM" TargetMode="External"/><Relationship Id="rId230" Type="http://schemas.openxmlformats.org/officeDocument/2006/relationships/hyperlink" Target="mailto:GABYLOJA@HOTMAIL.COM" TargetMode="External"/><Relationship Id="rId251" Type="http://schemas.openxmlformats.org/officeDocument/2006/relationships/hyperlink" Target="mailto:ESTEBANDELGADO@ME.COM" TargetMode="External"/><Relationship Id="rId25" Type="http://schemas.openxmlformats.org/officeDocument/2006/relationships/hyperlink" Target="mailto:anicecyalba1957@gmail.com" TargetMode="External"/><Relationship Id="rId46" Type="http://schemas.openxmlformats.org/officeDocument/2006/relationships/hyperlink" Target="mailto:gracevelastestegui@yahoo.com" TargetMode="External"/><Relationship Id="rId67" Type="http://schemas.openxmlformats.org/officeDocument/2006/relationships/hyperlink" Target="mailto:blsura.83@gmail.com" TargetMode="External"/><Relationship Id="rId272" Type="http://schemas.openxmlformats.org/officeDocument/2006/relationships/hyperlink" Target="mailto:DPALACIOSCAR@HOTMAIL.COM" TargetMode="External"/><Relationship Id="rId293" Type="http://schemas.openxmlformats.org/officeDocument/2006/relationships/hyperlink" Target="mailto:CECERESBAIXERAS@GMAIL.COM" TargetMode="External"/><Relationship Id="rId307" Type="http://schemas.openxmlformats.org/officeDocument/2006/relationships/hyperlink" Target="mailto:PANCHOCALLE01@GMAIL.COM" TargetMode="External"/><Relationship Id="rId88" Type="http://schemas.openxmlformats.org/officeDocument/2006/relationships/hyperlink" Target="mailto:infodvark@gmail.com" TargetMode="External"/><Relationship Id="rId111" Type="http://schemas.openxmlformats.org/officeDocument/2006/relationships/hyperlink" Target="mailto:marcoch.18@hotmail.com" TargetMode="External"/><Relationship Id="rId132" Type="http://schemas.openxmlformats.org/officeDocument/2006/relationships/hyperlink" Target="mailto:abelenqp92@hotmail.com" TargetMode="External"/><Relationship Id="rId153" Type="http://schemas.openxmlformats.org/officeDocument/2006/relationships/hyperlink" Target="mailto:joq7768@hotmail.com" TargetMode="External"/><Relationship Id="rId174" Type="http://schemas.openxmlformats.org/officeDocument/2006/relationships/hyperlink" Target="mailto:verofarez@hotmail.com" TargetMode="External"/><Relationship Id="rId195" Type="http://schemas.openxmlformats.org/officeDocument/2006/relationships/hyperlink" Target="mailto:CARMIITALEONTV@GMAIL.COM" TargetMode="External"/><Relationship Id="rId209" Type="http://schemas.openxmlformats.org/officeDocument/2006/relationships/hyperlink" Target="mailto:CRISMORALES@GMAIL.COM" TargetMode="External"/><Relationship Id="rId220" Type="http://schemas.openxmlformats.org/officeDocument/2006/relationships/hyperlink" Target="mailto:NAYIALCALA@GMAIL.COM" TargetMode="External"/><Relationship Id="rId241" Type="http://schemas.openxmlformats.org/officeDocument/2006/relationships/hyperlink" Target="mailto:CLAUDIO2564@HOTMAIL.COM" TargetMode="External"/><Relationship Id="rId15" Type="http://schemas.openxmlformats.org/officeDocument/2006/relationships/hyperlink" Target="mailto:jjuca1964@hotmail.com" TargetMode="External"/><Relationship Id="rId36" Type="http://schemas.openxmlformats.org/officeDocument/2006/relationships/hyperlink" Target="mailto:ronald.msg@outlook.com" TargetMode="External"/><Relationship Id="rId57" Type="http://schemas.openxmlformats.org/officeDocument/2006/relationships/hyperlink" Target="mailto:panchofajardo@hotmail.com" TargetMode="External"/><Relationship Id="rId262" Type="http://schemas.openxmlformats.org/officeDocument/2006/relationships/hyperlink" Target="mailto:DTOLEDO@OUTLOOK.ES" TargetMode="External"/><Relationship Id="rId283" Type="http://schemas.openxmlformats.org/officeDocument/2006/relationships/hyperlink" Target="mailto:VICTOR.PALACIOS@OUTLLOK.COM" TargetMode="External"/><Relationship Id="rId78" Type="http://schemas.openxmlformats.org/officeDocument/2006/relationships/hyperlink" Target="mailto:isacocbos2000@gmail.com" TargetMode="External"/><Relationship Id="rId99" Type="http://schemas.openxmlformats.org/officeDocument/2006/relationships/hyperlink" Target="mailto:fer.mosesp@28@gmail.com" TargetMode="External"/><Relationship Id="rId101" Type="http://schemas.openxmlformats.org/officeDocument/2006/relationships/hyperlink" Target="mailto:augusta.vintimillac@gmail.com" TargetMode="External"/><Relationship Id="rId122" Type="http://schemas.openxmlformats.org/officeDocument/2006/relationships/hyperlink" Target="mailto:osuf_09@hotmail.com" TargetMode="External"/><Relationship Id="rId143" Type="http://schemas.openxmlformats.org/officeDocument/2006/relationships/hyperlink" Target="mailto:denissetintin@gmail.com" TargetMode="External"/><Relationship Id="rId164" Type="http://schemas.openxmlformats.org/officeDocument/2006/relationships/hyperlink" Target="mailto:nauntapiasdb@yahoo.com" TargetMode="External"/><Relationship Id="rId185" Type="http://schemas.openxmlformats.org/officeDocument/2006/relationships/hyperlink" Target="mailto:MARICARMEN_6@HOTMAIL.COM" TargetMode="External"/><Relationship Id="rId9" Type="http://schemas.openxmlformats.org/officeDocument/2006/relationships/hyperlink" Target="mailto:deaustral3@gmail.com" TargetMode="External"/><Relationship Id="rId210" Type="http://schemas.openxmlformats.org/officeDocument/2006/relationships/hyperlink" Target="mailto:FELIZBRITO660@GMAIL.COM" TargetMode="External"/><Relationship Id="rId26" Type="http://schemas.openxmlformats.org/officeDocument/2006/relationships/hyperlink" Target="mailto:jhonnathanmr@gmail.com" TargetMode="External"/><Relationship Id="rId231" Type="http://schemas.openxmlformats.org/officeDocument/2006/relationships/hyperlink" Target="mailto:SEBASAUQUILLA@GMAIL.COM" TargetMode="External"/><Relationship Id="rId252" Type="http://schemas.openxmlformats.org/officeDocument/2006/relationships/hyperlink" Target="mailto:ARTUROPENAFIEL51@GMAIL.COM" TargetMode="External"/><Relationship Id="rId273" Type="http://schemas.openxmlformats.org/officeDocument/2006/relationships/hyperlink" Target="mailto:NMMNINI@GMAIL.COM" TargetMode="External"/><Relationship Id="rId294" Type="http://schemas.openxmlformats.org/officeDocument/2006/relationships/hyperlink" Target="mailto:MIALTO53@HOTMAIL.COM" TargetMode="External"/><Relationship Id="rId308" Type="http://schemas.openxmlformats.org/officeDocument/2006/relationships/hyperlink" Target="mailto:MATIASFRANCISGUETTI@GMAIL.COM" TargetMode="External"/><Relationship Id="rId47" Type="http://schemas.openxmlformats.org/officeDocument/2006/relationships/hyperlink" Target="mailto:gynobs.sinai627@gmail.com" TargetMode="External"/><Relationship Id="rId68" Type="http://schemas.openxmlformats.org/officeDocument/2006/relationships/hyperlink" Target="mailto:nmoscoso@gaiman.com" TargetMode="External"/><Relationship Id="rId89" Type="http://schemas.openxmlformats.org/officeDocument/2006/relationships/hyperlink" Target="mailto:quintapomele@hotmail.com" TargetMode="External"/><Relationship Id="rId112" Type="http://schemas.openxmlformats.org/officeDocument/2006/relationships/hyperlink" Target="mailto:karinasaavedra2095@gmail.com" TargetMode="External"/><Relationship Id="rId133" Type="http://schemas.openxmlformats.org/officeDocument/2006/relationships/hyperlink" Target="mailto:elvia.pinoscantos@gmail.com" TargetMode="External"/><Relationship Id="rId154" Type="http://schemas.openxmlformats.org/officeDocument/2006/relationships/hyperlink" Target="mailto:elita_vazquez@hotmail.com" TargetMode="External"/><Relationship Id="rId175" Type="http://schemas.openxmlformats.org/officeDocument/2006/relationships/hyperlink" Target="mailto:LIDFER@GMAIL.COM" TargetMode="External"/><Relationship Id="rId196" Type="http://schemas.openxmlformats.org/officeDocument/2006/relationships/hyperlink" Target="mailto:JUANSANAY@OUTLOOK.COM" TargetMode="External"/><Relationship Id="rId200" Type="http://schemas.openxmlformats.org/officeDocument/2006/relationships/hyperlink" Target="mailto:TATIANA.VIDALDQ@HOTMAIL.COM" TargetMode="External"/><Relationship Id="rId16" Type="http://schemas.openxmlformats.org/officeDocument/2006/relationships/hyperlink" Target="mailto:mary52189@gmail.com" TargetMode="External"/><Relationship Id="rId221" Type="http://schemas.openxmlformats.org/officeDocument/2006/relationships/hyperlink" Target="mailto:TJTORRES.TJ7@GMAIL.COM" TargetMode="External"/><Relationship Id="rId242" Type="http://schemas.openxmlformats.org/officeDocument/2006/relationships/hyperlink" Target="mailto:BARROS.ARIZAGA@GMAIL.COM" TargetMode="External"/><Relationship Id="rId263" Type="http://schemas.openxmlformats.org/officeDocument/2006/relationships/hyperlink" Target="mailto:JOELGL6315@GMAIL.COM" TargetMode="External"/><Relationship Id="rId284" Type="http://schemas.openxmlformats.org/officeDocument/2006/relationships/hyperlink" Target="mailto:MCASTRO@HOTELOROVERDE.COM" TargetMode="External"/><Relationship Id="rId37" Type="http://schemas.openxmlformats.org/officeDocument/2006/relationships/hyperlink" Target="mailto:kathisamis@gmail.com" TargetMode="External"/><Relationship Id="rId58" Type="http://schemas.openxmlformats.org/officeDocument/2006/relationships/hyperlink" Target="mailto:loresanche1970@outlook.com" TargetMode="External"/><Relationship Id="rId79" Type="http://schemas.openxmlformats.org/officeDocument/2006/relationships/hyperlink" Target="mailto:panab24@gmail.com" TargetMode="External"/><Relationship Id="rId102" Type="http://schemas.openxmlformats.org/officeDocument/2006/relationships/hyperlink" Target="mailto:eavinti@gmail.com" TargetMode="External"/><Relationship Id="rId123" Type="http://schemas.openxmlformats.org/officeDocument/2006/relationships/hyperlink" Target="mailto:gelorgj@gmail.com" TargetMode="External"/><Relationship Id="rId144" Type="http://schemas.openxmlformats.org/officeDocument/2006/relationships/hyperlink" Target="mailto:marciamolina7@hotmail.com" TargetMode="External"/><Relationship Id="rId90" Type="http://schemas.openxmlformats.org/officeDocument/2006/relationships/hyperlink" Target="mailto:marc75@live.com" TargetMode="External"/><Relationship Id="rId165" Type="http://schemas.openxmlformats.org/officeDocument/2006/relationships/hyperlink" Target="mailto:mariapangol2014@gmail.com" TargetMode="External"/><Relationship Id="rId186" Type="http://schemas.openxmlformats.org/officeDocument/2006/relationships/hyperlink" Target="mailto:javieralbarracin27@gmail.com" TargetMode="External"/><Relationship Id="rId211" Type="http://schemas.openxmlformats.org/officeDocument/2006/relationships/hyperlink" Target="mailto:TAMY252930@HOTMAIL.COM" TargetMode="External"/><Relationship Id="rId232" Type="http://schemas.openxmlformats.org/officeDocument/2006/relationships/hyperlink" Target="mailto:ptorrest@hotmail.com" TargetMode="External"/><Relationship Id="rId253" Type="http://schemas.openxmlformats.org/officeDocument/2006/relationships/hyperlink" Target="mailto:PLLERANA@ECOCOMBUS.COM" TargetMode="External"/><Relationship Id="rId274" Type="http://schemas.openxmlformats.org/officeDocument/2006/relationships/hyperlink" Target="mailto:LIKALOV22@YAHOO.COM" TargetMode="External"/><Relationship Id="rId295" Type="http://schemas.openxmlformats.org/officeDocument/2006/relationships/hyperlink" Target="mailto:BERNICR@HOTMAIL.COM" TargetMode="External"/><Relationship Id="rId309" Type="http://schemas.openxmlformats.org/officeDocument/2006/relationships/hyperlink" Target="mailto:ONCOCHOP196@GMAIL.COM" TargetMode="External"/><Relationship Id="rId27" Type="http://schemas.openxmlformats.org/officeDocument/2006/relationships/hyperlink" Target="mailto:boodoko25@yahoo.com" TargetMode="External"/><Relationship Id="rId48" Type="http://schemas.openxmlformats.org/officeDocument/2006/relationships/hyperlink" Target="mailto:pablopacheco@gmail.com" TargetMode="External"/><Relationship Id="rId69" Type="http://schemas.openxmlformats.org/officeDocument/2006/relationships/hyperlink" Target="mailto:carlosvimos2024@outlook.com" TargetMode="External"/><Relationship Id="rId113" Type="http://schemas.openxmlformats.org/officeDocument/2006/relationships/hyperlink" Target="mailto:gabrielariossomas@gmail.com" TargetMode="External"/><Relationship Id="rId134" Type="http://schemas.openxmlformats.org/officeDocument/2006/relationships/hyperlink" Target="mailto:saldanacristian59@gmail.com" TargetMode="External"/><Relationship Id="rId80" Type="http://schemas.openxmlformats.org/officeDocument/2006/relationships/hyperlink" Target="mailto:berthavillacisv@gmail.com" TargetMode="External"/><Relationship Id="rId155" Type="http://schemas.openxmlformats.org/officeDocument/2006/relationships/hyperlink" Target="mailto:isacobos2000@gmail.com" TargetMode="External"/><Relationship Id="rId176" Type="http://schemas.openxmlformats.org/officeDocument/2006/relationships/hyperlink" Target="mailto:PACORAMIREZ24@YAHOO.COM" TargetMode="External"/><Relationship Id="rId197" Type="http://schemas.openxmlformats.org/officeDocument/2006/relationships/hyperlink" Target="mailto:CARMENBALAREZO@GMAIL.COM" TargetMode="External"/><Relationship Id="rId201" Type="http://schemas.openxmlformats.org/officeDocument/2006/relationships/hyperlink" Target="mailto:GIPADPUBLICIDAD@HOTMAIL.COM" TargetMode="External"/><Relationship Id="rId222" Type="http://schemas.openxmlformats.org/officeDocument/2006/relationships/hyperlink" Target="mailto:FERNANDODELGADO54@YAHOO.COM" TargetMode="External"/><Relationship Id="rId243" Type="http://schemas.openxmlformats.org/officeDocument/2006/relationships/hyperlink" Target="mailto:NACHIREYES@ICLOUD.COM" TargetMode="External"/><Relationship Id="rId264" Type="http://schemas.openxmlformats.org/officeDocument/2006/relationships/hyperlink" Target="mailto:LAJU1964@HOTMAIL.COM" TargetMode="External"/><Relationship Id="rId285" Type="http://schemas.openxmlformats.org/officeDocument/2006/relationships/hyperlink" Target="mailto:MARCETORLA@YAHOO.COM" TargetMode="External"/><Relationship Id="rId17" Type="http://schemas.openxmlformats.org/officeDocument/2006/relationships/hyperlink" Target="mailto:gustavobautista1988@hotmail.com" TargetMode="External"/><Relationship Id="rId38" Type="http://schemas.openxmlformats.org/officeDocument/2006/relationships/hyperlink" Target="mailto:robertoburton@gmail.com" TargetMode="External"/><Relationship Id="rId59" Type="http://schemas.openxmlformats.org/officeDocument/2006/relationships/hyperlink" Target="mailto:sebastianmendietar@gmail.com" TargetMode="External"/><Relationship Id="rId103" Type="http://schemas.openxmlformats.org/officeDocument/2006/relationships/hyperlink" Target="mailto:maggibaneracam@gmail.com" TargetMode="External"/><Relationship Id="rId124" Type="http://schemas.openxmlformats.org/officeDocument/2006/relationships/hyperlink" Target="mailto:adolfcarpio1804@hotmail.com" TargetMode="External"/><Relationship Id="rId310" Type="http://schemas.openxmlformats.org/officeDocument/2006/relationships/hyperlink" Target="mailto:CNSCOSMORA96@GMAIL.COM" TargetMode="External"/><Relationship Id="rId70" Type="http://schemas.openxmlformats.org/officeDocument/2006/relationships/hyperlink" Target="mailto:pumorell9971@gmail.com" TargetMode="External"/><Relationship Id="rId91" Type="http://schemas.openxmlformats.org/officeDocument/2006/relationships/hyperlink" Target="mailto:eritutana89@outlook.com" TargetMode="External"/><Relationship Id="rId145" Type="http://schemas.openxmlformats.org/officeDocument/2006/relationships/hyperlink" Target="mailto:melimorenoc2119@gmail.com" TargetMode="External"/><Relationship Id="rId166" Type="http://schemas.openxmlformats.org/officeDocument/2006/relationships/hyperlink" Target="mailto:pedro.balarezo@hotmail.com" TargetMode="External"/><Relationship Id="rId187" Type="http://schemas.openxmlformats.org/officeDocument/2006/relationships/hyperlink" Target="mailto:MARITZABACHOR@GMAIL.COM" TargetMode="External"/><Relationship Id="rId1" Type="http://schemas.openxmlformats.org/officeDocument/2006/relationships/hyperlink" Target="mailto:pilarcrespo69@hotmail.com" TargetMode="External"/><Relationship Id="rId212" Type="http://schemas.openxmlformats.org/officeDocument/2006/relationships/hyperlink" Target="mailto:PAZREYESCORDERO@HOTMAIL.COM" TargetMode="External"/><Relationship Id="rId233" Type="http://schemas.openxmlformats.org/officeDocument/2006/relationships/hyperlink" Target="mailto:ORELLANACONSTRUCTORES@HOTMAIL.COM" TargetMode="External"/><Relationship Id="rId254" Type="http://schemas.openxmlformats.org/officeDocument/2006/relationships/hyperlink" Target="mailto:JEWESTERG@HOTMAIL.COM" TargetMode="External"/><Relationship Id="rId28" Type="http://schemas.openxmlformats.org/officeDocument/2006/relationships/hyperlink" Target="mailto:martinamiotto@gmail.com" TargetMode="External"/><Relationship Id="rId49" Type="http://schemas.openxmlformats.org/officeDocument/2006/relationships/hyperlink" Target="mailto:juandiegomora01@hotmail.com" TargetMode="External"/><Relationship Id="rId114" Type="http://schemas.openxmlformats.org/officeDocument/2006/relationships/hyperlink" Target="mailto:ivanmauricioz@hotmail.com" TargetMode="External"/><Relationship Id="rId275" Type="http://schemas.openxmlformats.org/officeDocument/2006/relationships/hyperlink" Target="mailto:JAVIERYEPEZMEDINA83@GMAIL.COM" TargetMode="External"/><Relationship Id="rId296" Type="http://schemas.openxmlformats.org/officeDocument/2006/relationships/hyperlink" Target="mailto:FABRICIOTENESACA@PACAJEAN.COM" TargetMode="External"/><Relationship Id="rId300" Type="http://schemas.openxmlformats.org/officeDocument/2006/relationships/hyperlink" Target="mailto:LORENA.ANDRADEGI@GMAIL.COM" TargetMode="External"/><Relationship Id="rId60" Type="http://schemas.openxmlformats.org/officeDocument/2006/relationships/hyperlink" Target="mailto:ligiacriollo112014@gmail.com" TargetMode="External"/><Relationship Id="rId81" Type="http://schemas.openxmlformats.org/officeDocument/2006/relationships/hyperlink" Target="mailto:mariamedinaur@gmail.com" TargetMode="External"/><Relationship Id="rId135" Type="http://schemas.openxmlformats.org/officeDocument/2006/relationships/hyperlink" Target="mailto:pamelatapia200@gmail.com" TargetMode="External"/><Relationship Id="rId156" Type="http://schemas.openxmlformats.org/officeDocument/2006/relationships/hyperlink" Target="mailto:rectificadora.vasquez@hotmail.com" TargetMode="External"/><Relationship Id="rId177" Type="http://schemas.openxmlformats.org/officeDocument/2006/relationships/hyperlink" Target="mailto:CNVGMVS@HOTMAIL.COM" TargetMode="External"/><Relationship Id="rId198" Type="http://schemas.openxmlformats.org/officeDocument/2006/relationships/hyperlink" Target="mailto:CDCASITADECARAMELO@GAIL.COM" TargetMode="External"/><Relationship Id="rId202" Type="http://schemas.openxmlformats.org/officeDocument/2006/relationships/hyperlink" Target="mailto:PANFEGARCIA@HOTMAIL.COM" TargetMode="External"/><Relationship Id="rId223" Type="http://schemas.openxmlformats.org/officeDocument/2006/relationships/hyperlink" Target="mailto:XSERPENTEGUI@GMAIL.COM" TargetMode="External"/><Relationship Id="rId244" Type="http://schemas.openxmlformats.org/officeDocument/2006/relationships/hyperlink" Target="mailto:FD8964@GMAIL.COM" TargetMode="External"/><Relationship Id="rId18" Type="http://schemas.openxmlformats.org/officeDocument/2006/relationships/hyperlink" Target="mailto:oswaldo1958@yahoo.com" TargetMode="External"/><Relationship Id="rId39" Type="http://schemas.openxmlformats.org/officeDocument/2006/relationships/hyperlink" Target="mailto:gabolr94@gmail.com" TargetMode="External"/><Relationship Id="rId265" Type="http://schemas.openxmlformats.org/officeDocument/2006/relationships/hyperlink" Target="mailto:FLEONB@HOTMAIL.COM" TargetMode="External"/><Relationship Id="rId286" Type="http://schemas.openxmlformats.org/officeDocument/2006/relationships/hyperlink" Target="mailto:FERALVARADOP@HOTMAIL.COM" TargetMode="External"/><Relationship Id="rId50" Type="http://schemas.openxmlformats.org/officeDocument/2006/relationships/hyperlink" Target="mailto:sandrauyaguarit@gmail.com" TargetMode="External"/><Relationship Id="rId104" Type="http://schemas.openxmlformats.org/officeDocument/2006/relationships/hyperlink" Target="mailto:marc75@live.com" TargetMode="External"/><Relationship Id="rId125" Type="http://schemas.openxmlformats.org/officeDocument/2006/relationships/hyperlink" Target="mailto:samaniegotania148@gmail.com" TargetMode="External"/><Relationship Id="rId146" Type="http://schemas.openxmlformats.org/officeDocument/2006/relationships/hyperlink" Target="mailto:cenitp@gmail.com" TargetMode="External"/><Relationship Id="rId167" Type="http://schemas.openxmlformats.org/officeDocument/2006/relationships/hyperlink" Target="mailto:cosntructoraorellana@gmail.com" TargetMode="External"/><Relationship Id="rId188" Type="http://schemas.openxmlformats.org/officeDocument/2006/relationships/hyperlink" Target="mailto:ESPACIORAL@GMAIL.COM" TargetMode="External"/><Relationship Id="rId311" Type="http://schemas.openxmlformats.org/officeDocument/2006/relationships/hyperlink" Target="mailto:NUBEJIMENEZ93@HOTMAIL.COM" TargetMode="External"/><Relationship Id="rId71" Type="http://schemas.openxmlformats.org/officeDocument/2006/relationships/hyperlink" Target="mailto:fernando.bac03@hotmail.com" TargetMode="External"/><Relationship Id="rId92" Type="http://schemas.openxmlformats.org/officeDocument/2006/relationships/hyperlink" Target="mailto:gracevelastegui@yahoo.com" TargetMode="External"/><Relationship Id="rId213" Type="http://schemas.openxmlformats.org/officeDocument/2006/relationships/hyperlink" Target="mailto:SEBESTIANCALVACHE98@GMAIL.COM" TargetMode="External"/><Relationship Id="rId234" Type="http://schemas.openxmlformats.org/officeDocument/2006/relationships/hyperlink" Target="mailto:MARYPAOLA55@HOTMAIL.COM," TargetMode="External"/><Relationship Id="rId2" Type="http://schemas.openxmlformats.org/officeDocument/2006/relationships/hyperlink" Target="mailto:gustavoecordero@gmail.com" TargetMode="External"/><Relationship Id="rId29" Type="http://schemas.openxmlformats.org/officeDocument/2006/relationships/hyperlink" Target="mailto:veronica.ordo%C3%B1ez.a@gmail.com" TargetMode="External"/><Relationship Id="rId255" Type="http://schemas.openxmlformats.org/officeDocument/2006/relationships/hyperlink" Target="mailto:MUNDIG1951@GMAIL.COM" TargetMode="External"/><Relationship Id="rId276" Type="http://schemas.openxmlformats.org/officeDocument/2006/relationships/hyperlink" Target="mailto:BOLIVARVAN85@HOTMAIL.COM" TargetMode="External"/><Relationship Id="rId297" Type="http://schemas.openxmlformats.org/officeDocument/2006/relationships/hyperlink" Target="mailto:ALIV.SOS@HOTMAIL.COM" TargetMode="External"/><Relationship Id="rId40" Type="http://schemas.openxmlformats.org/officeDocument/2006/relationships/hyperlink" Target="mailto:maferhidalgo73@hotmail.com" TargetMode="External"/><Relationship Id="rId115" Type="http://schemas.openxmlformats.org/officeDocument/2006/relationships/hyperlink" Target="mailto:rocinaranjo197116@gmail.com" TargetMode="External"/><Relationship Id="rId136" Type="http://schemas.openxmlformats.org/officeDocument/2006/relationships/hyperlink" Target="mailto:vmoscoso@moscosoarquitectos" TargetMode="External"/><Relationship Id="rId157" Type="http://schemas.openxmlformats.org/officeDocument/2006/relationships/hyperlink" Target="mailto:yairgp@me.com" TargetMode="External"/><Relationship Id="rId178" Type="http://schemas.openxmlformats.org/officeDocument/2006/relationships/hyperlink" Target="mailto:ANTONIOROJAS66@YAHOO.COM" TargetMode="External"/><Relationship Id="rId301" Type="http://schemas.openxmlformats.org/officeDocument/2006/relationships/hyperlink" Target="mailto:PAULESJILA@GMAIL.COM" TargetMode="External"/><Relationship Id="rId61" Type="http://schemas.openxmlformats.org/officeDocument/2006/relationships/hyperlink" Target="mailto:julietajaramilloa@hotmail.com" TargetMode="External"/><Relationship Id="rId82" Type="http://schemas.openxmlformats.org/officeDocument/2006/relationships/hyperlink" Target="mailto:jeac7791@gmail.com" TargetMode="External"/><Relationship Id="rId199" Type="http://schemas.openxmlformats.org/officeDocument/2006/relationships/hyperlink" Target="mailto:DIEGOALEGRIA550@GMAIL.COM" TargetMode="External"/><Relationship Id="rId203" Type="http://schemas.openxmlformats.org/officeDocument/2006/relationships/hyperlink" Target="mailto:PAOLABRAVOM@HOTMAIL.COM" TargetMode="External"/><Relationship Id="rId19" Type="http://schemas.openxmlformats.org/officeDocument/2006/relationships/hyperlink" Target="mailto:a.azuayas@gmail.com" TargetMode="External"/><Relationship Id="rId224" Type="http://schemas.openxmlformats.org/officeDocument/2006/relationships/hyperlink" Target="mailto:GLADYSLORENA32@GMAIL.COM" TargetMode="External"/><Relationship Id="rId245" Type="http://schemas.openxmlformats.org/officeDocument/2006/relationships/hyperlink" Target="mailto:PEM_FLACK15@HOTMAIL.COM" TargetMode="External"/><Relationship Id="rId266" Type="http://schemas.openxmlformats.org/officeDocument/2006/relationships/hyperlink" Target="mailto:CARMIMALLA@HOTMAIL.COM" TargetMode="External"/><Relationship Id="rId287" Type="http://schemas.openxmlformats.org/officeDocument/2006/relationships/hyperlink" Target="mailto:PATTYCAZORLA@HOTMAIL.COM" TargetMode="External"/><Relationship Id="rId30" Type="http://schemas.openxmlformats.org/officeDocument/2006/relationships/hyperlink" Target="mailto:jonnathansba1200@gmail.com" TargetMode="External"/><Relationship Id="rId105" Type="http://schemas.openxmlformats.org/officeDocument/2006/relationships/hyperlink" Target="mailto:amandatenorioromero@hotmail.com" TargetMode="External"/><Relationship Id="rId126" Type="http://schemas.openxmlformats.org/officeDocument/2006/relationships/hyperlink" Target="mailto:karina.ordone391@gmail.com" TargetMode="External"/><Relationship Id="rId147" Type="http://schemas.openxmlformats.org/officeDocument/2006/relationships/hyperlink" Target="mailto:xavigenaro@hotmail.com" TargetMode="External"/><Relationship Id="rId168" Type="http://schemas.openxmlformats.org/officeDocument/2006/relationships/hyperlink" Target="mailto:pati26@gmail.com" TargetMode="External"/><Relationship Id="rId312" Type="http://schemas.openxmlformats.org/officeDocument/2006/relationships/hyperlink" Target="mailto:OJONA1959@GMAIL.COM" TargetMode="External"/><Relationship Id="rId51" Type="http://schemas.openxmlformats.org/officeDocument/2006/relationships/hyperlink" Target="mailto:max.bernal@ucuenca.edu.ec" TargetMode="External"/><Relationship Id="rId72" Type="http://schemas.openxmlformats.org/officeDocument/2006/relationships/hyperlink" Target="mailto:diego.arqlloivisaca@gmail.com" TargetMode="External"/><Relationship Id="rId93" Type="http://schemas.openxmlformats.org/officeDocument/2006/relationships/hyperlink" Target="mailto:mateoparra.elcrack@gmail.com" TargetMode="External"/><Relationship Id="rId189" Type="http://schemas.openxmlformats.org/officeDocument/2006/relationships/hyperlink" Target="mailto:ANA-CALORENA84@HOTMAIL.COM" TargetMode="External"/><Relationship Id="rId3" Type="http://schemas.openxmlformats.org/officeDocument/2006/relationships/hyperlink" Target="mailto:manuelnaranjobermeo1958@gmail.com" TargetMode="External"/><Relationship Id="rId214" Type="http://schemas.openxmlformats.org/officeDocument/2006/relationships/hyperlink" Target="mailto:SUSANAURENA20@GMAIL.COM" TargetMode="External"/><Relationship Id="rId235" Type="http://schemas.openxmlformats.org/officeDocument/2006/relationships/hyperlink" Target="mailto:MARTHAMONTENEGRO14@HOTMAIL.COM" TargetMode="External"/><Relationship Id="rId256" Type="http://schemas.openxmlformats.org/officeDocument/2006/relationships/hyperlink" Target="mailto:ERILIS_92@HOTMAIL.COM" TargetMode="External"/><Relationship Id="rId277" Type="http://schemas.openxmlformats.org/officeDocument/2006/relationships/hyperlink" Target="mailto:SUZANNA.BUSAT@MSN.COM" TargetMode="External"/><Relationship Id="rId298" Type="http://schemas.openxmlformats.org/officeDocument/2006/relationships/hyperlink" Target="mailto:HERNANDEZISMAEL28@HOTMAIL.COM" TargetMode="External"/><Relationship Id="rId116" Type="http://schemas.openxmlformats.org/officeDocument/2006/relationships/hyperlink" Target="mailto:carasarmi4567@gmail.com" TargetMode="External"/><Relationship Id="rId137" Type="http://schemas.openxmlformats.org/officeDocument/2006/relationships/hyperlink" Target="mailto:paopau34@yahoo.com" TargetMode="External"/><Relationship Id="rId158" Type="http://schemas.openxmlformats.org/officeDocument/2006/relationships/hyperlink" Target="mailto:ortenciarendon90@gmail.com" TargetMode="External"/><Relationship Id="rId302" Type="http://schemas.openxmlformats.org/officeDocument/2006/relationships/hyperlink" Target="mailto:NELITORRES273@GMAIL.COM" TargetMode="External"/><Relationship Id="rId20" Type="http://schemas.openxmlformats.org/officeDocument/2006/relationships/hyperlink" Target="mailto:mauroulloa90@hotmail.com" TargetMode="External"/><Relationship Id="rId41" Type="http://schemas.openxmlformats.org/officeDocument/2006/relationships/hyperlink" Target="mailto:fabiancrespo16@gmail.com" TargetMode="External"/><Relationship Id="rId62" Type="http://schemas.openxmlformats.org/officeDocument/2006/relationships/hyperlink" Target="mailto:cmaluna2018@gmail.com" TargetMode="External"/><Relationship Id="rId83" Type="http://schemas.openxmlformats.org/officeDocument/2006/relationships/hyperlink" Target="mailto:berthaganza@gmail.com" TargetMode="External"/><Relationship Id="rId179" Type="http://schemas.openxmlformats.org/officeDocument/2006/relationships/hyperlink" Target="mailto:ADELGADO@VELASHD.COM" TargetMode="External"/><Relationship Id="rId190" Type="http://schemas.openxmlformats.org/officeDocument/2006/relationships/hyperlink" Target="mailto:MRUBENCANDO@GAIL.COM" TargetMode="External"/><Relationship Id="rId204" Type="http://schemas.openxmlformats.org/officeDocument/2006/relationships/hyperlink" Target="mailto:BXGONZALES@HOTMAIL.COM" TargetMode="External"/><Relationship Id="rId225" Type="http://schemas.openxmlformats.org/officeDocument/2006/relationships/hyperlink" Target="mailto:ROUSZAMBRANO@HOTMAIL.COM" TargetMode="External"/><Relationship Id="rId246" Type="http://schemas.openxmlformats.org/officeDocument/2006/relationships/hyperlink" Target="mailto:PEM_FLACK15@HOTMAIL.COM" TargetMode="External"/><Relationship Id="rId267" Type="http://schemas.openxmlformats.org/officeDocument/2006/relationships/hyperlink" Target="mailto:MAGABY.DO@HOTMAIL.COM" TargetMode="External"/><Relationship Id="rId288" Type="http://schemas.openxmlformats.org/officeDocument/2006/relationships/hyperlink" Target="mailto:FMARCHANG-30@HOTMAIL.COM" TargetMode="External"/><Relationship Id="rId106" Type="http://schemas.openxmlformats.org/officeDocument/2006/relationships/hyperlink" Target="mailto:faustogutierrezc@gmail.com" TargetMode="External"/><Relationship Id="rId127" Type="http://schemas.openxmlformats.org/officeDocument/2006/relationships/hyperlink" Target="mailto:mamdradeca@gmail.com" TargetMode="External"/><Relationship Id="rId313" Type="http://schemas.openxmlformats.org/officeDocument/2006/relationships/hyperlink" Target="mailto:MANESSERRANO@HOTMAIL.COM" TargetMode="External"/><Relationship Id="rId10" Type="http://schemas.openxmlformats.org/officeDocument/2006/relationships/hyperlink" Target="mailto:rosacordova@hotmail.com" TargetMode="External"/><Relationship Id="rId31" Type="http://schemas.openxmlformats.org/officeDocument/2006/relationships/hyperlink" Target="mailto:distagrg@hotmail.com" TargetMode="External"/><Relationship Id="rId52" Type="http://schemas.openxmlformats.org/officeDocument/2006/relationships/hyperlink" Target="mailto:gerencia@ecuatablet.com" TargetMode="External"/><Relationship Id="rId73" Type="http://schemas.openxmlformats.org/officeDocument/2006/relationships/hyperlink" Target="mailto:gonzape@hotmail.com" TargetMode="External"/><Relationship Id="rId94" Type="http://schemas.openxmlformats.org/officeDocument/2006/relationships/hyperlink" Target="mailto:juliosantiago666@hotmail.com" TargetMode="External"/><Relationship Id="rId148" Type="http://schemas.openxmlformats.org/officeDocument/2006/relationships/hyperlink" Target="mailto:janyknda@hotmail.com" TargetMode="External"/><Relationship Id="rId169" Type="http://schemas.openxmlformats.org/officeDocument/2006/relationships/hyperlink" Target="mailto:eduand.chango@gmail.com" TargetMode="External"/><Relationship Id="rId4" Type="http://schemas.openxmlformats.org/officeDocument/2006/relationships/hyperlink" Target="mailto:andresfv@gmail.com" TargetMode="External"/><Relationship Id="rId180" Type="http://schemas.openxmlformats.org/officeDocument/2006/relationships/hyperlink" Target="mailto:ASTUDILLOMAICOL92@GMAIL.COM" TargetMode="External"/><Relationship Id="rId215" Type="http://schemas.openxmlformats.org/officeDocument/2006/relationships/hyperlink" Target="mailto:MONICACALLEJ.CPA@GMAIL.COM" TargetMode="External"/><Relationship Id="rId236" Type="http://schemas.openxmlformats.org/officeDocument/2006/relationships/hyperlink" Target="mailto:FIDELIAANOS25@YAHOO.ES" TargetMode="External"/><Relationship Id="rId257" Type="http://schemas.openxmlformats.org/officeDocument/2006/relationships/hyperlink" Target="mailto:LLANOS_CRSITIAN@HOTMAIL.COM" TargetMode="External"/><Relationship Id="rId278" Type="http://schemas.openxmlformats.org/officeDocument/2006/relationships/hyperlink" Target="mailto:CRISTIANTY81@HOTMAIL.COM" TargetMode="External"/><Relationship Id="rId303" Type="http://schemas.openxmlformats.org/officeDocument/2006/relationships/hyperlink" Target="mailto:TAFANYVIDAL11@GMAIL.COM" TargetMode="External"/><Relationship Id="rId42" Type="http://schemas.openxmlformats.org/officeDocument/2006/relationships/hyperlink" Target="mailto:bayu1582@gmail.com" TargetMode="External"/><Relationship Id="rId84" Type="http://schemas.openxmlformats.org/officeDocument/2006/relationships/hyperlink" Target="mailto:juanenrique1988@gmail.com" TargetMode="External"/><Relationship Id="rId138" Type="http://schemas.openxmlformats.org/officeDocument/2006/relationships/hyperlink" Target="mailto:rodol_rr@hotmail.com" TargetMode="External"/><Relationship Id="rId191" Type="http://schemas.openxmlformats.org/officeDocument/2006/relationships/hyperlink" Target="mailto:IRINACDT@YAHOO.COM" TargetMode="External"/><Relationship Id="rId205" Type="http://schemas.openxmlformats.org/officeDocument/2006/relationships/hyperlink" Target="mailto:ANGUINATY@HOTMAIL.COM" TargetMode="External"/><Relationship Id="rId247" Type="http://schemas.openxmlformats.org/officeDocument/2006/relationships/hyperlink" Target="mailto:REMOVIALTA@HOTMAIL.COM" TargetMode="External"/><Relationship Id="rId107" Type="http://schemas.openxmlformats.org/officeDocument/2006/relationships/hyperlink" Target="mailto:yadira.piedra@ucuenca.edu.ec" TargetMode="External"/><Relationship Id="rId289" Type="http://schemas.openxmlformats.org/officeDocument/2006/relationships/hyperlink" Target="mailto:DIEGOALCO@YAHOO.COM" TargetMode="External"/><Relationship Id="rId11" Type="http://schemas.openxmlformats.org/officeDocument/2006/relationships/hyperlink" Target="mailto:augustasalamea@gmail.com" TargetMode="External"/><Relationship Id="rId53" Type="http://schemas.openxmlformats.org/officeDocument/2006/relationships/hyperlink" Target="mailto:maluti@hotmail.com" TargetMode="External"/><Relationship Id="rId149" Type="http://schemas.openxmlformats.org/officeDocument/2006/relationships/hyperlink" Target="mailto:ncenteragrede@hotmail.com" TargetMode="External"/><Relationship Id="rId314" Type="http://schemas.openxmlformats.org/officeDocument/2006/relationships/printerSettings" Target="../printerSettings/printerSettings3.bin"/><Relationship Id="rId95" Type="http://schemas.openxmlformats.org/officeDocument/2006/relationships/hyperlink" Target="mailto:orellanacostructores@hotmail.com" TargetMode="External"/><Relationship Id="rId160" Type="http://schemas.openxmlformats.org/officeDocument/2006/relationships/hyperlink" Target="mailto:nelson.vidal87@gmail.com" TargetMode="External"/><Relationship Id="rId216" Type="http://schemas.openxmlformats.org/officeDocument/2006/relationships/hyperlink" Target="mailto:DAVICHO0115@GMAIL.COM" TargetMode="External"/><Relationship Id="rId258" Type="http://schemas.openxmlformats.org/officeDocument/2006/relationships/hyperlink" Target="mailto:KATTYLEGARDA@GMAIL.COM" TargetMode="External"/><Relationship Id="rId22" Type="http://schemas.openxmlformats.org/officeDocument/2006/relationships/hyperlink" Target="mailto:patoarizaga13@gmail.com" TargetMode="External"/><Relationship Id="rId64" Type="http://schemas.openxmlformats.org/officeDocument/2006/relationships/hyperlink" Target="mailto:josedavid.otavalo@gmail.com" TargetMode="External"/><Relationship Id="rId118" Type="http://schemas.openxmlformats.org/officeDocument/2006/relationships/hyperlink" Target="mailto:crisharoq@hotmail.com" TargetMode="External"/><Relationship Id="rId171" Type="http://schemas.openxmlformats.org/officeDocument/2006/relationships/hyperlink" Target="mailto:vcio1448@hotmail.com" TargetMode="External"/><Relationship Id="rId227" Type="http://schemas.openxmlformats.org/officeDocument/2006/relationships/hyperlink" Target="mailto:GCORDEROP.28@HOTMAIL.COM" TargetMode="External"/><Relationship Id="rId269" Type="http://schemas.openxmlformats.org/officeDocument/2006/relationships/hyperlink" Target="mailto:DAVILUCHO87@HOTMAIL.COM" TargetMode="External"/><Relationship Id="rId33" Type="http://schemas.openxmlformats.org/officeDocument/2006/relationships/hyperlink" Target="mailto:mriverol@hotmail.com" TargetMode="External"/><Relationship Id="rId129" Type="http://schemas.openxmlformats.org/officeDocument/2006/relationships/hyperlink" Target="mailto:romanleon123@gmail.com" TargetMode="External"/><Relationship Id="rId280" Type="http://schemas.openxmlformats.org/officeDocument/2006/relationships/hyperlink" Target="mailto:ANAPESANTEZO@GMAIL.COM" TargetMode="External"/><Relationship Id="rId75" Type="http://schemas.openxmlformats.org/officeDocument/2006/relationships/hyperlink" Target="mailto:mvazquez@gmail.com" TargetMode="External"/><Relationship Id="rId140" Type="http://schemas.openxmlformats.org/officeDocument/2006/relationships/hyperlink" Target="mailto:gladysmaldonado2@gmail.com" TargetMode="External"/><Relationship Id="rId182" Type="http://schemas.openxmlformats.org/officeDocument/2006/relationships/hyperlink" Target="mailto:RADOERNER1@GMAIL.COM" TargetMode="External"/><Relationship Id="rId6" Type="http://schemas.openxmlformats.org/officeDocument/2006/relationships/hyperlink" Target="mailto:efrenvelez1967@hotmail.com" TargetMode="External"/><Relationship Id="rId238" Type="http://schemas.openxmlformats.org/officeDocument/2006/relationships/hyperlink" Target="mailto:XLULIAN33@GMAIL.COM" TargetMode="External"/><Relationship Id="rId291" Type="http://schemas.openxmlformats.org/officeDocument/2006/relationships/hyperlink" Target="mailto:PCAZORLACH@GMAIL.COM" TargetMode="External"/><Relationship Id="rId305" Type="http://schemas.openxmlformats.org/officeDocument/2006/relationships/hyperlink" Target="mailto:PATRICIAAGUIRRE87@HOTMAIL.COM" TargetMode="External"/><Relationship Id="rId44" Type="http://schemas.openxmlformats.org/officeDocument/2006/relationships/hyperlink" Target="mailto:constructoraorellanaoficina@gmail.com" TargetMode="External"/><Relationship Id="rId86" Type="http://schemas.openxmlformats.org/officeDocument/2006/relationships/hyperlink" Target="mailto:julycastrokpesantez@outlook.com" TargetMode="External"/><Relationship Id="rId151" Type="http://schemas.openxmlformats.org/officeDocument/2006/relationships/hyperlink" Target="mailto:ruthort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930"/>
  <sheetViews>
    <sheetView tabSelected="1" zoomScaleNormal="100" workbookViewId="0">
      <selection activeCell="D278" sqref="D278"/>
    </sheetView>
  </sheetViews>
  <sheetFormatPr baseColWidth="10" defaultRowHeight="24" customHeight="1" x14ac:dyDescent="0.2"/>
  <cols>
    <col min="1" max="1" width="4.6640625" style="624" customWidth="1"/>
    <col min="2" max="2" width="15.1640625" style="624" customWidth="1"/>
    <col min="3" max="3" width="19.6640625" style="624" customWidth="1"/>
    <col min="4" max="4" width="21.33203125" style="624" customWidth="1"/>
    <col min="5" max="5" width="18" style="624" customWidth="1"/>
    <col min="6" max="6" width="41.33203125" style="624" customWidth="1"/>
    <col min="7" max="7" width="23.33203125" style="624" bestFit="1" customWidth="1"/>
    <col min="8" max="8" width="8.5" style="624" customWidth="1"/>
    <col min="9" max="9" width="14.6640625" style="624" customWidth="1"/>
    <col min="10" max="10" width="17.33203125" style="624" customWidth="1"/>
    <col min="11" max="11" width="14.5" style="624" customWidth="1"/>
    <col min="12" max="12" width="28.5" style="624" customWidth="1"/>
    <col min="13" max="13" width="38.5" style="624" customWidth="1"/>
    <col min="14" max="14" width="26.83203125" style="624" customWidth="1"/>
    <col min="15" max="15" width="11.1640625" style="624" customWidth="1"/>
    <col min="16" max="16" width="28.83203125" style="624" customWidth="1"/>
    <col min="17" max="17" width="18.33203125" style="624" customWidth="1"/>
    <col min="18" max="18" width="7.1640625" style="624" customWidth="1"/>
    <col min="19" max="19" width="20.5" style="624" customWidth="1"/>
    <col min="20" max="20" width="16.6640625" style="624" customWidth="1"/>
    <col min="21" max="21" width="29.5" style="624" customWidth="1"/>
    <col min="22" max="16384" width="10.83203125" style="624"/>
  </cols>
  <sheetData>
    <row r="3" spans="1:21" ht="24" customHeight="1" x14ac:dyDescent="0.2">
      <c r="A3" s="630"/>
      <c r="C3" s="631" t="s">
        <v>0</v>
      </c>
      <c r="E3" s="632"/>
      <c r="G3" s="633"/>
      <c r="H3" s="201"/>
      <c r="I3" s="634"/>
      <c r="J3" s="635"/>
      <c r="K3" s="201"/>
      <c r="L3" s="636"/>
      <c r="M3" s="636"/>
      <c r="N3" s="201"/>
      <c r="O3" s="637"/>
    </row>
    <row r="4" spans="1:21" ht="24" customHeight="1" x14ac:dyDescent="0.2">
      <c r="A4" s="630"/>
      <c r="C4" s="638" t="s">
        <v>1</v>
      </c>
      <c r="E4" s="201"/>
      <c r="G4" s="639"/>
      <c r="H4" s="640"/>
      <c r="I4" s="641"/>
      <c r="J4" s="642" t="s">
        <v>22</v>
      </c>
      <c r="K4" s="640"/>
      <c r="L4" s="643"/>
      <c r="M4" s="644"/>
      <c r="N4" s="201" t="s">
        <v>439</v>
      </c>
      <c r="O4" s="637"/>
      <c r="P4" s="645"/>
    </row>
    <row r="5" spans="1:21" ht="24" customHeight="1" x14ac:dyDescent="0.2">
      <c r="A5" s="646"/>
      <c r="B5" s="692" t="s">
        <v>2</v>
      </c>
      <c r="C5" s="692" t="s">
        <v>3</v>
      </c>
      <c r="D5" s="692" t="s">
        <v>4</v>
      </c>
      <c r="E5" s="692" t="s">
        <v>5</v>
      </c>
      <c r="F5" s="573" t="s">
        <v>6</v>
      </c>
      <c r="G5" s="692" t="s">
        <v>7</v>
      </c>
      <c r="H5" s="692" t="s">
        <v>8</v>
      </c>
      <c r="I5" s="692" t="s">
        <v>9</v>
      </c>
      <c r="J5" s="692" t="s">
        <v>10</v>
      </c>
      <c r="K5" s="692" t="s">
        <v>11</v>
      </c>
      <c r="L5" s="693" t="s">
        <v>12</v>
      </c>
      <c r="M5" s="693" t="s">
        <v>13</v>
      </c>
      <c r="N5" s="692" t="s">
        <v>14</v>
      </c>
      <c r="O5" s="694" t="s">
        <v>15</v>
      </c>
      <c r="P5" s="692" t="s">
        <v>16</v>
      </c>
      <c r="Q5" s="692" t="s">
        <v>17</v>
      </c>
      <c r="R5" s="692" t="s">
        <v>18</v>
      </c>
      <c r="S5" s="692" t="s">
        <v>19</v>
      </c>
      <c r="T5" s="692" t="s">
        <v>20</v>
      </c>
      <c r="U5" s="692" t="s">
        <v>21</v>
      </c>
    </row>
    <row r="6" spans="1:21" ht="24" customHeight="1" x14ac:dyDescent="0.2">
      <c r="A6" s="624">
        <v>1</v>
      </c>
      <c r="B6" s="574">
        <v>45378</v>
      </c>
      <c r="C6" s="575" t="s">
        <v>100</v>
      </c>
      <c r="D6" s="575" t="s">
        <v>101</v>
      </c>
      <c r="E6" s="576">
        <v>40584305</v>
      </c>
      <c r="F6" s="577" t="s">
        <v>102</v>
      </c>
      <c r="G6" s="577" t="s">
        <v>103</v>
      </c>
      <c r="H6" s="578" t="s">
        <v>41</v>
      </c>
      <c r="I6" s="578" t="s">
        <v>62</v>
      </c>
      <c r="J6" s="578" t="s">
        <v>63</v>
      </c>
      <c r="K6" s="579">
        <v>45660</v>
      </c>
      <c r="L6" s="580" t="s">
        <v>104</v>
      </c>
      <c r="M6" s="580" t="s">
        <v>105</v>
      </c>
      <c r="N6" s="581" t="s">
        <v>106</v>
      </c>
      <c r="O6" s="582">
        <v>15</v>
      </c>
      <c r="P6" s="578" t="s">
        <v>69</v>
      </c>
      <c r="Q6" s="578" t="s">
        <v>64</v>
      </c>
      <c r="R6" s="583"/>
      <c r="S6" s="577" t="str">
        <f>D6</f>
        <v>001-501-000001305</v>
      </c>
      <c r="T6" s="584" t="s">
        <v>107</v>
      </c>
      <c r="U6" s="627" t="s">
        <v>108</v>
      </c>
    </row>
    <row r="7" spans="1:21" ht="24" customHeight="1" x14ac:dyDescent="0.2">
      <c r="A7" s="624">
        <v>2</v>
      </c>
      <c r="B7" s="574">
        <v>45378</v>
      </c>
      <c r="C7" s="575" t="s">
        <v>100</v>
      </c>
      <c r="D7" s="575" t="s">
        <v>101</v>
      </c>
      <c r="E7" s="576">
        <v>111000051</v>
      </c>
      <c r="F7" s="577" t="s">
        <v>109</v>
      </c>
      <c r="G7" s="577" t="s">
        <v>112</v>
      </c>
      <c r="H7" s="578" t="s">
        <v>41</v>
      </c>
      <c r="I7" s="578" t="s">
        <v>62</v>
      </c>
      <c r="J7" s="578" t="s">
        <v>63</v>
      </c>
      <c r="K7" s="579">
        <v>45660</v>
      </c>
      <c r="L7" s="580" t="s">
        <v>104</v>
      </c>
      <c r="M7" s="580" t="s">
        <v>105</v>
      </c>
      <c r="N7" s="581" t="s">
        <v>106</v>
      </c>
      <c r="O7" s="582">
        <v>15</v>
      </c>
      <c r="P7" s="578" t="s">
        <v>69</v>
      </c>
      <c r="Q7" s="578" t="s">
        <v>64</v>
      </c>
      <c r="R7" s="583"/>
      <c r="S7" s="577" t="str">
        <f t="shared" ref="S7:S30" si="0">D7</f>
        <v>001-501-000001305</v>
      </c>
      <c r="T7" s="584" t="s">
        <v>107</v>
      </c>
      <c r="U7" s="627" t="s">
        <v>108</v>
      </c>
    </row>
    <row r="8" spans="1:21" ht="24" customHeight="1" x14ac:dyDescent="0.2">
      <c r="A8" s="624">
        <v>3</v>
      </c>
      <c r="B8" s="574">
        <v>45378</v>
      </c>
      <c r="C8" s="575" t="s">
        <v>100</v>
      </c>
      <c r="D8" s="575" t="s">
        <v>101</v>
      </c>
      <c r="E8" s="576">
        <v>112570068</v>
      </c>
      <c r="F8" s="577" t="s">
        <v>110</v>
      </c>
      <c r="G8" s="577" t="s">
        <v>113</v>
      </c>
      <c r="H8" s="578" t="s">
        <v>41</v>
      </c>
      <c r="I8" s="578" t="s">
        <v>62</v>
      </c>
      <c r="J8" s="578" t="s">
        <v>63</v>
      </c>
      <c r="K8" s="579">
        <v>45660</v>
      </c>
      <c r="L8" s="580" t="s">
        <v>104</v>
      </c>
      <c r="M8" s="580" t="s">
        <v>105</v>
      </c>
      <c r="N8" s="581" t="s">
        <v>106</v>
      </c>
      <c r="O8" s="582">
        <v>15</v>
      </c>
      <c r="P8" s="578" t="s">
        <v>69</v>
      </c>
      <c r="Q8" s="578" t="s">
        <v>64</v>
      </c>
      <c r="R8" s="583"/>
      <c r="S8" s="577" t="str">
        <f t="shared" si="0"/>
        <v>001-501-000001305</v>
      </c>
      <c r="T8" s="584" t="s">
        <v>107</v>
      </c>
      <c r="U8" s="627" t="s">
        <v>108</v>
      </c>
    </row>
    <row r="9" spans="1:21" ht="24" customHeight="1" x14ac:dyDescent="0.2">
      <c r="A9" s="624">
        <v>4</v>
      </c>
      <c r="B9" s="574">
        <v>45378</v>
      </c>
      <c r="C9" s="575" t="s">
        <v>100</v>
      </c>
      <c r="D9" s="575" t="s">
        <v>101</v>
      </c>
      <c r="E9" s="576">
        <v>40480321</v>
      </c>
      <c r="F9" s="577" t="s">
        <v>111</v>
      </c>
      <c r="G9" s="577" t="s">
        <v>114</v>
      </c>
      <c r="H9" s="578" t="s">
        <v>41</v>
      </c>
      <c r="I9" s="578" t="s">
        <v>62</v>
      </c>
      <c r="J9" s="578" t="s">
        <v>63</v>
      </c>
      <c r="K9" s="579">
        <v>45660</v>
      </c>
      <c r="L9" s="580" t="s">
        <v>104</v>
      </c>
      <c r="M9" s="580" t="s">
        <v>105</v>
      </c>
      <c r="N9" s="581" t="s">
        <v>106</v>
      </c>
      <c r="O9" s="582">
        <v>15</v>
      </c>
      <c r="P9" s="578" t="s">
        <v>69</v>
      </c>
      <c r="Q9" s="578" t="s">
        <v>64</v>
      </c>
      <c r="R9" s="583"/>
      <c r="S9" s="577" t="str">
        <f t="shared" si="0"/>
        <v>001-501-000001305</v>
      </c>
      <c r="T9" s="584" t="s">
        <v>107</v>
      </c>
      <c r="U9" s="627" t="s">
        <v>108</v>
      </c>
    </row>
    <row r="10" spans="1:21" ht="24" customHeight="1" x14ac:dyDescent="0.2">
      <c r="A10" s="624">
        <v>5</v>
      </c>
      <c r="B10" s="574">
        <v>45614</v>
      </c>
      <c r="C10" s="575" t="s">
        <v>75</v>
      </c>
      <c r="D10" s="575" t="s">
        <v>90</v>
      </c>
      <c r="E10" s="576">
        <v>112520025</v>
      </c>
      <c r="F10" s="577" t="s">
        <v>91</v>
      </c>
      <c r="G10" s="577" t="s">
        <v>92</v>
      </c>
      <c r="H10" s="578" t="s">
        <v>41</v>
      </c>
      <c r="I10" s="578" t="s">
        <v>62</v>
      </c>
      <c r="J10" s="578" t="s">
        <v>63</v>
      </c>
      <c r="K10" s="579">
        <v>45664</v>
      </c>
      <c r="L10" s="580" t="s">
        <v>93</v>
      </c>
      <c r="M10" s="580" t="s">
        <v>94</v>
      </c>
      <c r="N10" s="581" t="s">
        <v>95</v>
      </c>
      <c r="O10" s="582">
        <v>20</v>
      </c>
      <c r="P10" s="578" t="s">
        <v>69</v>
      </c>
      <c r="Q10" s="578" t="s">
        <v>64</v>
      </c>
      <c r="R10" s="583"/>
      <c r="S10" s="577" t="str">
        <f>D10</f>
        <v>001-001-000000277</v>
      </c>
      <c r="T10" s="584" t="s">
        <v>96</v>
      </c>
      <c r="U10" s="627" t="s">
        <v>97</v>
      </c>
    </row>
    <row r="11" spans="1:21" ht="24" customHeight="1" x14ac:dyDescent="0.2">
      <c r="A11" s="624">
        <v>6</v>
      </c>
      <c r="B11" s="574">
        <v>45614</v>
      </c>
      <c r="C11" s="575" t="s">
        <v>75</v>
      </c>
      <c r="D11" s="575" t="s">
        <v>115</v>
      </c>
      <c r="E11" s="576">
        <v>111020071</v>
      </c>
      <c r="F11" s="577" t="s">
        <v>98</v>
      </c>
      <c r="G11" s="577" t="s">
        <v>99</v>
      </c>
      <c r="H11" s="578" t="s">
        <v>41</v>
      </c>
      <c r="I11" s="578" t="s">
        <v>62</v>
      </c>
      <c r="J11" s="578" t="s">
        <v>63</v>
      </c>
      <c r="K11" s="579">
        <v>45664</v>
      </c>
      <c r="L11" s="580" t="s">
        <v>93</v>
      </c>
      <c r="M11" s="580" t="s">
        <v>94</v>
      </c>
      <c r="N11" s="581" t="s">
        <v>95</v>
      </c>
      <c r="O11" s="582">
        <v>20</v>
      </c>
      <c r="P11" s="578" t="s">
        <v>69</v>
      </c>
      <c r="Q11" s="578" t="s">
        <v>64</v>
      </c>
      <c r="R11" s="583"/>
      <c r="S11" s="577" t="str">
        <f t="shared" ref="S11" si="1">D11</f>
        <v>001-001-000000275</v>
      </c>
      <c r="T11" s="584" t="s">
        <v>96</v>
      </c>
      <c r="U11" s="627" t="s">
        <v>97</v>
      </c>
    </row>
    <row r="12" spans="1:21" ht="24" customHeight="1" x14ac:dyDescent="0.2">
      <c r="A12" s="624">
        <v>7</v>
      </c>
      <c r="B12" s="574">
        <v>45497</v>
      </c>
      <c r="C12" s="575" t="s">
        <v>190</v>
      </c>
      <c r="D12" s="575" t="s">
        <v>189</v>
      </c>
      <c r="E12" s="576">
        <v>41560166</v>
      </c>
      <c r="F12" s="577" t="s">
        <v>191</v>
      </c>
      <c r="G12" s="577" t="s">
        <v>192</v>
      </c>
      <c r="H12" s="578" t="s">
        <v>41</v>
      </c>
      <c r="I12" s="578" t="s">
        <v>62</v>
      </c>
      <c r="J12" s="578" t="s">
        <v>63</v>
      </c>
      <c r="K12" s="579">
        <v>45665</v>
      </c>
      <c r="L12" s="580" t="s">
        <v>193</v>
      </c>
      <c r="M12" s="580" t="s">
        <v>194</v>
      </c>
      <c r="N12" s="581" t="s">
        <v>195</v>
      </c>
      <c r="O12" s="582">
        <v>15</v>
      </c>
      <c r="P12" s="578" t="s">
        <v>69</v>
      </c>
      <c r="Q12" s="578" t="s">
        <v>64</v>
      </c>
      <c r="R12" s="583"/>
      <c r="S12" s="577" t="str">
        <f t="shared" si="0"/>
        <v>018-002-001151235</v>
      </c>
      <c r="T12" s="584" t="s">
        <v>196</v>
      </c>
      <c r="U12" s="627" t="s">
        <v>197</v>
      </c>
    </row>
    <row r="13" spans="1:21" ht="24" customHeight="1" x14ac:dyDescent="0.2">
      <c r="A13" s="624">
        <v>8</v>
      </c>
      <c r="B13" s="574">
        <v>45862</v>
      </c>
      <c r="C13" s="575" t="s">
        <v>187</v>
      </c>
      <c r="D13" s="575" t="s">
        <v>188</v>
      </c>
      <c r="E13" s="576">
        <v>112570073</v>
      </c>
      <c r="F13" s="577" t="s">
        <v>198</v>
      </c>
      <c r="G13" s="577" t="s">
        <v>199</v>
      </c>
      <c r="H13" s="578" t="s">
        <v>41</v>
      </c>
      <c r="I13" s="578" t="s">
        <v>62</v>
      </c>
      <c r="J13" s="578" t="s">
        <v>63</v>
      </c>
      <c r="K13" s="579">
        <v>45665</v>
      </c>
      <c r="L13" s="580" t="s">
        <v>193</v>
      </c>
      <c r="M13" s="580" t="s">
        <v>194</v>
      </c>
      <c r="N13" s="581" t="s">
        <v>195</v>
      </c>
      <c r="O13" s="582">
        <v>15</v>
      </c>
      <c r="P13" s="578" t="s">
        <v>69</v>
      </c>
      <c r="Q13" s="578" t="s">
        <v>64</v>
      </c>
      <c r="R13" s="583"/>
      <c r="S13" s="577" t="str">
        <f t="shared" si="0"/>
        <v>040-103-000006778</v>
      </c>
      <c r="T13" s="584" t="s">
        <v>196</v>
      </c>
      <c r="U13" s="627" t="s">
        <v>197</v>
      </c>
    </row>
    <row r="14" spans="1:21" ht="24" customHeight="1" x14ac:dyDescent="0.2">
      <c r="A14" s="624">
        <v>9</v>
      </c>
      <c r="B14" s="574">
        <v>45862</v>
      </c>
      <c r="C14" s="575" t="s">
        <v>187</v>
      </c>
      <c r="D14" s="575" t="s">
        <v>188</v>
      </c>
      <c r="E14" s="576">
        <v>113610005</v>
      </c>
      <c r="F14" s="577" t="s">
        <v>200</v>
      </c>
      <c r="G14" s="577" t="s">
        <v>201</v>
      </c>
      <c r="H14" s="578" t="s">
        <v>41</v>
      </c>
      <c r="I14" s="578" t="s">
        <v>62</v>
      </c>
      <c r="J14" s="578" t="s">
        <v>63</v>
      </c>
      <c r="K14" s="579">
        <v>45665</v>
      </c>
      <c r="L14" s="580" t="s">
        <v>193</v>
      </c>
      <c r="M14" s="580" t="s">
        <v>194</v>
      </c>
      <c r="N14" s="581" t="s">
        <v>195</v>
      </c>
      <c r="O14" s="582">
        <v>15</v>
      </c>
      <c r="P14" s="578" t="s">
        <v>69</v>
      </c>
      <c r="Q14" s="578" t="s">
        <v>64</v>
      </c>
      <c r="R14" s="583"/>
      <c r="S14" s="577" t="str">
        <f t="shared" si="0"/>
        <v>040-103-000006778</v>
      </c>
      <c r="T14" s="584" t="s">
        <v>196</v>
      </c>
      <c r="U14" s="627" t="s">
        <v>197</v>
      </c>
    </row>
    <row r="15" spans="1:21" ht="24" customHeight="1" x14ac:dyDescent="0.2">
      <c r="A15" s="624">
        <v>10</v>
      </c>
      <c r="B15" s="574">
        <v>45667</v>
      </c>
      <c r="C15" s="575" t="s">
        <v>100</v>
      </c>
      <c r="D15" s="575" t="s">
        <v>268</v>
      </c>
      <c r="E15" s="576">
        <v>40466241</v>
      </c>
      <c r="F15" s="577" t="s">
        <v>214</v>
      </c>
      <c r="G15" s="577" t="s">
        <v>269</v>
      </c>
      <c r="H15" s="578" t="s">
        <v>41</v>
      </c>
      <c r="I15" s="578" t="s">
        <v>62</v>
      </c>
      <c r="J15" s="578" t="s">
        <v>63</v>
      </c>
      <c r="K15" s="579">
        <v>45671</v>
      </c>
      <c r="L15" s="580" t="s">
        <v>270</v>
      </c>
      <c r="M15" s="580" t="s">
        <v>271</v>
      </c>
      <c r="N15" s="581" t="s">
        <v>272</v>
      </c>
      <c r="O15" s="582">
        <v>20</v>
      </c>
      <c r="P15" s="578" t="s">
        <v>69</v>
      </c>
      <c r="Q15" s="578" t="s">
        <v>64</v>
      </c>
      <c r="R15" s="583"/>
      <c r="S15" s="577" t="str">
        <f t="shared" si="0"/>
        <v>001-500-000069974</v>
      </c>
      <c r="T15" s="584" t="s">
        <v>273</v>
      </c>
      <c r="U15" s="627" t="s">
        <v>274</v>
      </c>
    </row>
    <row r="16" spans="1:21" ht="24" customHeight="1" x14ac:dyDescent="0.2">
      <c r="A16" s="624">
        <v>11</v>
      </c>
      <c r="B16" s="574">
        <v>45667</v>
      </c>
      <c r="C16" s="575" t="s">
        <v>100</v>
      </c>
      <c r="D16" s="575" t="s">
        <v>268</v>
      </c>
      <c r="E16" s="576">
        <v>40590835</v>
      </c>
      <c r="F16" s="577" t="s">
        <v>275</v>
      </c>
      <c r="G16" s="577" t="s">
        <v>276</v>
      </c>
      <c r="H16" s="578" t="s">
        <v>41</v>
      </c>
      <c r="I16" s="578" t="s">
        <v>62</v>
      </c>
      <c r="J16" s="578" t="s">
        <v>63</v>
      </c>
      <c r="K16" s="579">
        <v>45671</v>
      </c>
      <c r="L16" s="580" t="s">
        <v>270</v>
      </c>
      <c r="M16" s="580" t="s">
        <v>271</v>
      </c>
      <c r="N16" s="581" t="s">
        <v>272</v>
      </c>
      <c r="O16" s="582">
        <v>20</v>
      </c>
      <c r="P16" s="578" t="s">
        <v>69</v>
      </c>
      <c r="Q16" s="578" t="s">
        <v>64</v>
      </c>
      <c r="R16" s="583"/>
      <c r="S16" s="577" t="str">
        <f t="shared" si="0"/>
        <v>001-500-000069974</v>
      </c>
      <c r="T16" s="584" t="s">
        <v>273</v>
      </c>
      <c r="U16" s="627" t="s">
        <v>274</v>
      </c>
    </row>
    <row r="17" spans="1:21" ht="24" customHeight="1" x14ac:dyDescent="0.2">
      <c r="A17" s="624">
        <v>12</v>
      </c>
      <c r="B17" s="574">
        <v>45615</v>
      </c>
      <c r="C17" s="575" t="s">
        <v>125</v>
      </c>
      <c r="D17" s="575" t="s">
        <v>315</v>
      </c>
      <c r="E17" s="576">
        <v>40466111</v>
      </c>
      <c r="F17" s="577" t="s">
        <v>252</v>
      </c>
      <c r="G17" s="577" t="s">
        <v>316</v>
      </c>
      <c r="H17" s="578" t="s">
        <v>41</v>
      </c>
      <c r="I17" s="578" t="s">
        <v>62</v>
      </c>
      <c r="J17" s="578" t="s">
        <v>63</v>
      </c>
      <c r="K17" s="579">
        <v>45672</v>
      </c>
      <c r="L17" s="580" t="s">
        <v>318</v>
      </c>
      <c r="M17" s="580" t="s">
        <v>319</v>
      </c>
      <c r="N17" s="581" t="s">
        <v>320</v>
      </c>
      <c r="O17" s="582">
        <v>20</v>
      </c>
      <c r="P17" s="578" t="s">
        <v>69</v>
      </c>
      <c r="Q17" s="578" t="s">
        <v>64</v>
      </c>
      <c r="R17" s="583"/>
      <c r="S17" s="577" t="str">
        <f t="shared" si="0"/>
        <v>043-908-000043358</v>
      </c>
      <c r="T17" s="584" t="s">
        <v>321</v>
      </c>
      <c r="U17" s="627" t="s">
        <v>322</v>
      </c>
    </row>
    <row r="18" spans="1:21" ht="24" customHeight="1" x14ac:dyDescent="0.2">
      <c r="A18" s="624">
        <v>13</v>
      </c>
      <c r="B18" s="574">
        <v>45615</v>
      </c>
      <c r="C18" s="575" t="s">
        <v>125</v>
      </c>
      <c r="D18" s="575" t="s">
        <v>315</v>
      </c>
      <c r="E18" s="576">
        <v>111000051</v>
      </c>
      <c r="F18" s="577" t="s">
        <v>137</v>
      </c>
      <c r="G18" s="577" t="s">
        <v>317</v>
      </c>
      <c r="H18" s="578" t="s">
        <v>41</v>
      </c>
      <c r="I18" s="578" t="s">
        <v>62</v>
      </c>
      <c r="J18" s="578" t="s">
        <v>63</v>
      </c>
      <c r="K18" s="579">
        <v>45672</v>
      </c>
      <c r="L18" s="580" t="s">
        <v>318</v>
      </c>
      <c r="M18" s="580" t="s">
        <v>319</v>
      </c>
      <c r="N18" s="581" t="s">
        <v>320</v>
      </c>
      <c r="O18" s="582">
        <v>20</v>
      </c>
      <c r="P18" s="578" t="s">
        <v>69</v>
      </c>
      <c r="Q18" s="578" t="s">
        <v>64</v>
      </c>
      <c r="R18" s="583"/>
      <c r="S18" s="577" t="str">
        <f t="shared" ref="S18" si="2">D18</f>
        <v>043-908-000043358</v>
      </c>
      <c r="T18" s="584" t="s">
        <v>321</v>
      </c>
      <c r="U18" s="627" t="s">
        <v>322</v>
      </c>
    </row>
    <row r="19" spans="1:21" ht="24" customHeight="1" x14ac:dyDescent="0.2">
      <c r="A19" s="624">
        <v>14</v>
      </c>
      <c r="B19" s="574">
        <v>45661</v>
      </c>
      <c r="C19" s="575" t="s">
        <v>190</v>
      </c>
      <c r="D19" s="585" t="s">
        <v>343</v>
      </c>
      <c r="E19" s="576">
        <v>112030019</v>
      </c>
      <c r="F19" s="577" t="s">
        <v>323</v>
      </c>
      <c r="G19" s="577" t="s">
        <v>325</v>
      </c>
      <c r="H19" s="578" t="s">
        <v>41</v>
      </c>
      <c r="I19" s="578" t="s">
        <v>62</v>
      </c>
      <c r="J19" s="578" t="s">
        <v>63</v>
      </c>
      <c r="K19" s="579">
        <v>45674</v>
      </c>
      <c r="L19" s="580" t="s">
        <v>327</v>
      </c>
      <c r="M19" s="580" t="s">
        <v>328</v>
      </c>
      <c r="N19" s="581" t="s">
        <v>329</v>
      </c>
      <c r="O19" s="582">
        <v>20</v>
      </c>
      <c r="P19" s="578" t="s">
        <v>69</v>
      </c>
      <c r="Q19" s="578" t="s">
        <v>64</v>
      </c>
      <c r="R19" s="583"/>
      <c r="S19" s="577" t="str">
        <f t="shared" si="0"/>
        <v>006-002-000157349</v>
      </c>
      <c r="T19" s="584" t="s">
        <v>330</v>
      </c>
      <c r="U19" s="627" t="s">
        <v>331</v>
      </c>
    </row>
    <row r="20" spans="1:21" ht="24" customHeight="1" x14ac:dyDescent="0.2">
      <c r="A20" s="624">
        <v>15</v>
      </c>
      <c r="B20" s="574">
        <v>45661</v>
      </c>
      <c r="C20" s="575" t="s">
        <v>190</v>
      </c>
      <c r="D20" s="585" t="s">
        <v>343</v>
      </c>
      <c r="E20" s="576">
        <v>111000078</v>
      </c>
      <c r="F20" s="577" t="s">
        <v>324</v>
      </c>
      <c r="G20" s="577" t="s">
        <v>326</v>
      </c>
      <c r="H20" s="578" t="s">
        <v>41</v>
      </c>
      <c r="I20" s="578" t="s">
        <v>62</v>
      </c>
      <c r="J20" s="578" t="s">
        <v>63</v>
      </c>
      <c r="K20" s="579">
        <v>45674</v>
      </c>
      <c r="L20" s="580" t="s">
        <v>327</v>
      </c>
      <c r="M20" s="580" t="s">
        <v>328</v>
      </c>
      <c r="N20" s="581" t="s">
        <v>329</v>
      </c>
      <c r="O20" s="582">
        <v>20</v>
      </c>
      <c r="P20" s="578" t="s">
        <v>69</v>
      </c>
      <c r="Q20" s="578" t="s">
        <v>64</v>
      </c>
      <c r="R20" s="583"/>
      <c r="S20" s="577" t="str">
        <f t="shared" si="0"/>
        <v>006-002-000157349</v>
      </c>
      <c r="T20" s="584" t="s">
        <v>330</v>
      </c>
      <c r="U20" s="627" t="s">
        <v>331</v>
      </c>
    </row>
    <row r="21" spans="1:21" ht="24" customHeight="1" x14ac:dyDescent="0.2">
      <c r="A21" s="624">
        <v>16</v>
      </c>
      <c r="B21" s="574">
        <v>45671</v>
      </c>
      <c r="C21" s="575" t="s">
        <v>125</v>
      </c>
      <c r="D21" s="575" t="s">
        <v>332</v>
      </c>
      <c r="E21" s="576">
        <v>40466111</v>
      </c>
      <c r="F21" s="577" t="s">
        <v>252</v>
      </c>
      <c r="G21" s="577" t="s">
        <v>333</v>
      </c>
      <c r="H21" s="578" t="s">
        <v>41</v>
      </c>
      <c r="I21" s="578" t="s">
        <v>62</v>
      </c>
      <c r="J21" s="578" t="s">
        <v>63</v>
      </c>
      <c r="K21" s="579">
        <v>45674</v>
      </c>
      <c r="L21" s="580" t="s">
        <v>338</v>
      </c>
      <c r="M21" s="580" t="s">
        <v>339</v>
      </c>
      <c r="N21" s="581" t="s">
        <v>340</v>
      </c>
      <c r="O21" s="582">
        <v>15</v>
      </c>
      <c r="P21" s="578" t="s">
        <v>69</v>
      </c>
      <c r="Q21" s="578" t="s">
        <v>64</v>
      </c>
      <c r="R21" s="583"/>
      <c r="S21" s="577" t="str">
        <f t="shared" si="0"/>
        <v>043-903-000053187</v>
      </c>
      <c r="T21" s="584" t="s">
        <v>341</v>
      </c>
      <c r="U21" s="627" t="s">
        <v>342</v>
      </c>
    </row>
    <row r="22" spans="1:21" ht="24" customHeight="1" x14ac:dyDescent="0.2">
      <c r="A22" s="624">
        <v>17</v>
      </c>
      <c r="B22" s="574">
        <v>45671</v>
      </c>
      <c r="C22" s="575" t="s">
        <v>125</v>
      </c>
      <c r="D22" s="575" t="s">
        <v>332</v>
      </c>
      <c r="E22" s="576">
        <v>112580058</v>
      </c>
      <c r="F22" s="577" t="s">
        <v>334</v>
      </c>
      <c r="G22" s="577" t="s">
        <v>335</v>
      </c>
      <c r="H22" s="578" t="s">
        <v>41</v>
      </c>
      <c r="I22" s="578" t="s">
        <v>62</v>
      </c>
      <c r="J22" s="578" t="s">
        <v>63</v>
      </c>
      <c r="K22" s="579">
        <v>45674</v>
      </c>
      <c r="L22" s="580" t="s">
        <v>338</v>
      </c>
      <c r="M22" s="580" t="s">
        <v>339</v>
      </c>
      <c r="N22" s="581" t="s">
        <v>340</v>
      </c>
      <c r="O22" s="582">
        <v>15</v>
      </c>
      <c r="P22" s="578" t="s">
        <v>69</v>
      </c>
      <c r="Q22" s="578" t="s">
        <v>64</v>
      </c>
      <c r="R22" s="583"/>
      <c r="S22" s="577" t="str">
        <f t="shared" ref="S22:S23" si="3">D22</f>
        <v>043-903-000053187</v>
      </c>
      <c r="T22" s="584" t="s">
        <v>341</v>
      </c>
      <c r="U22" s="627" t="s">
        <v>342</v>
      </c>
    </row>
    <row r="23" spans="1:21" ht="24" customHeight="1" x14ac:dyDescent="0.2">
      <c r="A23" s="624">
        <v>18</v>
      </c>
      <c r="B23" s="574">
        <v>45671</v>
      </c>
      <c r="C23" s="575" t="s">
        <v>125</v>
      </c>
      <c r="D23" s="575" t="s">
        <v>332</v>
      </c>
      <c r="E23" s="576">
        <v>111030002</v>
      </c>
      <c r="F23" s="577" t="s">
        <v>336</v>
      </c>
      <c r="G23" s="577" t="s">
        <v>337</v>
      </c>
      <c r="H23" s="578" t="s">
        <v>41</v>
      </c>
      <c r="I23" s="578" t="s">
        <v>62</v>
      </c>
      <c r="J23" s="578" t="s">
        <v>63</v>
      </c>
      <c r="K23" s="579">
        <v>45674</v>
      </c>
      <c r="L23" s="580" t="s">
        <v>338</v>
      </c>
      <c r="M23" s="580" t="s">
        <v>339</v>
      </c>
      <c r="N23" s="581" t="s">
        <v>340</v>
      </c>
      <c r="O23" s="582">
        <v>15</v>
      </c>
      <c r="P23" s="578" t="s">
        <v>69</v>
      </c>
      <c r="Q23" s="578" t="s">
        <v>64</v>
      </c>
      <c r="R23" s="583"/>
      <c r="S23" s="577" t="str">
        <f t="shared" si="3"/>
        <v>043-903-000053187</v>
      </c>
      <c r="T23" s="584" t="s">
        <v>341</v>
      </c>
      <c r="U23" s="627" t="s">
        <v>342</v>
      </c>
    </row>
    <row r="24" spans="1:21" ht="24" customHeight="1" x14ac:dyDescent="0.2">
      <c r="A24" s="624">
        <v>19</v>
      </c>
      <c r="B24" s="574">
        <v>45364</v>
      </c>
      <c r="C24" s="575" t="s">
        <v>75</v>
      </c>
      <c r="D24" s="575" t="s">
        <v>395</v>
      </c>
      <c r="E24" s="576">
        <v>112570123</v>
      </c>
      <c r="F24" s="577" t="s">
        <v>390</v>
      </c>
      <c r="G24" s="577" t="s">
        <v>391</v>
      </c>
      <c r="H24" s="578" t="s">
        <v>41</v>
      </c>
      <c r="I24" s="578" t="s">
        <v>62</v>
      </c>
      <c r="J24" s="578" t="s">
        <v>63</v>
      </c>
      <c r="K24" s="579">
        <v>45674</v>
      </c>
      <c r="L24" s="580" t="s">
        <v>392</v>
      </c>
      <c r="M24" s="580" t="s">
        <v>393</v>
      </c>
      <c r="N24" s="581" t="s">
        <v>394</v>
      </c>
      <c r="O24" s="582">
        <v>15</v>
      </c>
      <c r="P24" s="578" t="s">
        <v>69</v>
      </c>
      <c r="Q24" s="578" t="s">
        <v>64</v>
      </c>
      <c r="R24" s="583"/>
      <c r="S24" s="577" t="str">
        <f t="shared" si="0"/>
        <v>001-101-000003219</v>
      </c>
      <c r="T24" s="584" t="s">
        <v>396</v>
      </c>
      <c r="U24" s="627" t="s">
        <v>397</v>
      </c>
    </row>
    <row r="25" spans="1:21" ht="24" customHeight="1" x14ac:dyDescent="0.2">
      <c r="A25" s="624">
        <v>20</v>
      </c>
      <c r="B25" s="574">
        <v>45258</v>
      </c>
      <c r="C25" s="575" t="s">
        <v>75</v>
      </c>
      <c r="D25" s="575" t="s">
        <v>389</v>
      </c>
      <c r="E25" s="576">
        <v>40584202</v>
      </c>
      <c r="F25" s="577" t="s">
        <v>398</v>
      </c>
      <c r="G25" s="577" t="s">
        <v>400</v>
      </c>
      <c r="H25" s="578" t="s">
        <v>41</v>
      </c>
      <c r="I25" s="578" t="s">
        <v>62</v>
      </c>
      <c r="J25" s="578" t="s">
        <v>63</v>
      </c>
      <c r="K25" s="579">
        <v>45674</v>
      </c>
      <c r="L25" s="580" t="s">
        <v>392</v>
      </c>
      <c r="M25" s="580" t="s">
        <v>393</v>
      </c>
      <c r="N25" s="581" t="s">
        <v>394</v>
      </c>
      <c r="O25" s="582">
        <v>15</v>
      </c>
      <c r="P25" s="578" t="s">
        <v>69</v>
      </c>
      <c r="Q25" s="578" t="s">
        <v>64</v>
      </c>
      <c r="R25" s="583"/>
      <c r="S25" s="577" t="str">
        <f t="shared" si="0"/>
        <v>001-101-000002847</v>
      </c>
      <c r="T25" s="584" t="s">
        <v>396</v>
      </c>
      <c r="U25" s="627" t="s">
        <v>397</v>
      </c>
    </row>
    <row r="26" spans="1:21" ht="24" customHeight="1" x14ac:dyDescent="0.2">
      <c r="A26" s="624">
        <v>21</v>
      </c>
      <c r="B26" s="574">
        <v>45258</v>
      </c>
      <c r="C26" s="575" t="s">
        <v>75</v>
      </c>
      <c r="D26" s="575" t="s">
        <v>389</v>
      </c>
      <c r="E26" s="576">
        <v>111000051</v>
      </c>
      <c r="F26" s="577" t="s">
        <v>109</v>
      </c>
      <c r="G26" s="577" t="s">
        <v>401</v>
      </c>
      <c r="H26" s="578" t="s">
        <v>41</v>
      </c>
      <c r="I26" s="578" t="s">
        <v>62</v>
      </c>
      <c r="J26" s="578" t="s">
        <v>63</v>
      </c>
      <c r="K26" s="579">
        <v>45674</v>
      </c>
      <c r="L26" s="580" t="s">
        <v>392</v>
      </c>
      <c r="M26" s="580" t="s">
        <v>393</v>
      </c>
      <c r="N26" s="581" t="s">
        <v>394</v>
      </c>
      <c r="O26" s="582">
        <v>15</v>
      </c>
      <c r="P26" s="578" t="s">
        <v>69</v>
      </c>
      <c r="Q26" s="578" t="s">
        <v>64</v>
      </c>
      <c r="R26" s="583"/>
      <c r="S26" s="577" t="str">
        <f t="shared" si="0"/>
        <v>001-101-000002847</v>
      </c>
      <c r="T26" s="584" t="s">
        <v>396</v>
      </c>
      <c r="U26" s="627" t="s">
        <v>397</v>
      </c>
    </row>
    <row r="27" spans="1:21" ht="24" customHeight="1" x14ac:dyDescent="0.2">
      <c r="A27" s="624">
        <v>22</v>
      </c>
      <c r="B27" s="586">
        <v>45258</v>
      </c>
      <c r="C27" s="587" t="s">
        <v>75</v>
      </c>
      <c r="D27" s="587" t="s">
        <v>389</v>
      </c>
      <c r="E27" s="588">
        <v>114270004</v>
      </c>
      <c r="F27" s="577" t="s">
        <v>399</v>
      </c>
      <c r="G27" s="577" t="s">
        <v>402</v>
      </c>
      <c r="H27" s="578" t="s">
        <v>41</v>
      </c>
      <c r="I27" s="578" t="s">
        <v>62</v>
      </c>
      <c r="J27" s="578" t="s">
        <v>63</v>
      </c>
      <c r="K27" s="579">
        <v>45674</v>
      </c>
      <c r="L27" s="580" t="s">
        <v>392</v>
      </c>
      <c r="M27" s="580" t="s">
        <v>393</v>
      </c>
      <c r="N27" s="581" t="s">
        <v>394</v>
      </c>
      <c r="O27" s="582">
        <v>15</v>
      </c>
      <c r="P27" s="578" t="s">
        <v>69</v>
      </c>
      <c r="Q27" s="578" t="s">
        <v>64</v>
      </c>
      <c r="R27" s="583"/>
      <c r="S27" s="577" t="str">
        <f t="shared" si="0"/>
        <v>001-101-000002847</v>
      </c>
      <c r="T27" s="584" t="s">
        <v>396</v>
      </c>
      <c r="U27" s="627" t="s">
        <v>397</v>
      </c>
    </row>
    <row r="28" spans="1:21" ht="24" customHeight="1" x14ac:dyDescent="0.2">
      <c r="A28" s="624">
        <v>23</v>
      </c>
      <c r="B28" s="589">
        <v>45618</v>
      </c>
      <c r="C28" s="203" t="s">
        <v>100</v>
      </c>
      <c r="D28" s="203" t="s">
        <v>384</v>
      </c>
      <c r="E28" s="578">
        <v>1129600001</v>
      </c>
      <c r="F28" s="203" t="s">
        <v>386</v>
      </c>
      <c r="G28" s="204" t="s">
        <v>385</v>
      </c>
      <c r="H28" s="578" t="s">
        <v>41</v>
      </c>
      <c r="I28" s="578" t="s">
        <v>62</v>
      </c>
      <c r="J28" s="578" t="s">
        <v>63</v>
      </c>
      <c r="K28" s="579">
        <v>45677</v>
      </c>
      <c r="L28" s="580" t="s">
        <v>409</v>
      </c>
      <c r="M28" s="580" t="s">
        <v>410</v>
      </c>
      <c r="N28" s="581" t="s">
        <v>411</v>
      </c>
      <c r="O28" s="582">
        <v>20</v>
      </c>
      <c r="P28" s="578" t="s">
        <v>69</v>
      </c>
      <c r="Q28" s="578" t="s">
        <v>64</v>
      </c>
      <c r="R28" s="583"/>
      <c r="S28" s="577" t="s">
        <v>384</v>
      </c>
      <c r="T28" s="584" t="s">
        <v>387</v>
      </c>
      <c r="U28" s="627" t="s">
        <v>388</v>
      </c>
    </row>
    <row r="29" spans="1:21" ht="24" customHeight="1" x14ac:dyDescent="0.2">
      <c r="A29" s="624">
        <v>24</v>
      </c>
      <c r="B29" s="574">
        <v>45671</v>
      </c>
      <c r="C29" s="590" t="s">
        <v>125</v>
      </c>
      <c r="D29" s="590" t="s">
        <v>412</v>
      </c>
      <c r="E29" s="591">
        <v>112570126</v>
      </c>
      <c r="F29" s="577" t="s">
        <v>413</v>
      </c>
      <c r="G29" s="577" t="s">
        <v>414</v>
      </c>
      <c r="H29" s="578" t="s">
        <v>41</v>
      </c>
      <c r="I29" s="578" t="s">
        <v>62</v>
      </c>
      <c r="J29" s="578" t="s">
        <v>63</v>
      </c>
      <c r="K29" s="579">
        <v>45677</v>
      </c>
      <c r="L29" s="580" t="s">
        <v>409</v>
      </c>
      <c r="M29" s="580" t="s">
        <v>410</v>
      </c>
      <c r="N29" s="581" t="s">
        <v>411</v>
      </c>
      <c r="O29" s="582">
        <v>20</v>
      </c>
      <c r="P29" s="578" t="s">
        <v>69</v>
      </c>
      <c r="Q29" s="578" t="s">
        <v>64</v>
      </c>
      <c r="R29" s="583"/>
      <c r="S29" s="577" t="str">
        <f t="shared" si="0"/>
        <v>043-902-600036642</v>
      </c>
      <c r="T29" s="584" t="s">
        <v>387</v>
      </c>
      <c r="U29" s="627" t="s">
        <v>388</v>
      </c>
    </row>
    <row r="30" spans="1:21" ht="24" customHeight="1" x14ac:dyDescent="0.2">
      <c r="A30" s="624">
        <v>25</v>
      </c>
      <c r="B30" s="574">
        <v>46014</v>
      </c>
      <c r="C30" s="575" t="s">
        <v>125</v>
      </c>
      <c r="D30" s="575" t="s">
        <v>416</v>
      </c>
      <c r="E30" s="576">
        <v>113430018</v>
      </c>
      <c r="F30" s="577" t="s">
        <v>417</v>
      </c>
      <c r="G30" s="577" t="s">
        <v>418</v>
      </c>
      <c r="H30" s="578" t="s">
        <v>41</v>
      </c>
      <c r="I30" s="578" t="s">
        <v>62</v>
      </c>
      <c r="J30" s="578" t="s">
        <v>63</v>
      </c>
      <c r="K30" s="579">
        <v>45677</v>
      </c>
      <c r="L30" s="580" t="s">
        <v>419</v>
      </c>
      <c r="M30" s="580" t="s">
        <v>420</v>
      </c>
      <c r="N30" s="581" t="s">
        <v>421</v>
      </c>
      <c r="O30" s="582">
        <v>20</v>
      </c>
      <c r="P30" s="578" t="s">
        <v>69</v>
      </c>
      <c r="Q30" s="578" t="s">
        <v>64</v>
      </c>
      <c r="R30" s="583"/>
      <c r="S30" s="577" t="str">
        <f t="shared" si="0"/>
        <v>016-902-000491241</v>
      </c>
      <c r="T30" s="584" t="s">
        <v>422</v>
      </c>
      <c r="U30" s="627" t="s">
        <v>423</v>
      </c>
    </row>
    <row r="31" spans="1:21" ht="24" customHeight="1" x14ac:dyDescent="0.2">
      <c r="A31" s="624">
        <v>26</v>
      </c>
      <c r="B31" s="574">
        <v>46014</v>
      </c>
      <c r="C31" s="575" t="s">
        <v>125</v>
      </c>
      <c r="D31" s="575" t="s">
        <v>437</v>
      </c>
      <c r="E31" s="592">
        <v>111040006</v>
      </c>
      <c r="F31" s="577" t="s">
        <v>424</v>
      </c>
      <c r="G31" s="577" t="s">
        <v>425</v>
      </c>
      <c r="H31" s="578" t="s">
        <v>41</v>
      </c>
      <c r="I31" s="578" t="s">
        <v>62</v>
      </c>
      <c r="J31" s="578" t="s">
        <v>63</v>
      </c>
      <c r="K31" s="579">
        <v>45677</v>
      </c>
      <c r="L31" s="580" t="s">
        <v>419</v>
      </c>
      <c r="M31" s="580" t="s">
        <v>420</v>
      </c>
      <c r="N31" s="581" t="s">
        <v>421</v>
      </c>
      <c r="O31" s="582">
        <v>20</v>
      </c>
      <c r="P31" s="578" t="s">
        <v>69</v>
      </c>
      <c r="Q31" s="578" t="s">
        <v>64</v>
      </c>
      <c r="R31" s="583"/>
      <c r="S31" s="577" t="str">
        <f t="shared" ref="S31" si="4">D31</f>
        <v>016-902-000491240</v>
      </c>
      <c r="T31" s="584" t="s">
        <v>422</v>
      </c>
      <c r="U31" s="627" t="s">
        <v>423</v>
      </c>
    </row>
    <row r="32" spans="1:21" ht="24" customHeight="1" x14ac:dyDescent="0.2">
      <c r="A32" s="624">
        <v>27</v>
      </c>
      <c r="B32" s="574">
        <v>45413</v>
      </c>
      <c r="C32" s="575" t="s">
        <v>426</v>
      </c>
      <c r="D32" s="575" t="s">
        <v>427</v>
      </c>
      <c r="E32" s="592">
        <v>40461543</v>
      </c>
      <c r="F32" s="577" t="s">
        <v>428</v>
      </c>
      <c r="G32" s="577" t="s">
        <v>429</v>
      </c>
      <c r="H32" s="578" t="s">
        <v>41</v>
      </c>
      <c r="I32" s="578" t="s">
        <v>62</v>
      </c>
      <c r="J32" s="578" t="s">
        <v>63</v>
      </c>
      <c r="K32" s="579">
        <v>45677</v>
      </c>
      <c r="L32" s="580" t="s">
        <v>430</v>
      </c>
      <c r="M32" s="580" t="s">
        <v>431</v>
      </c>
      <c r="N32" s="581" t="s">
        <v>432</v>
      </c>
      <c r="O32" s="582">
        <v>20</v>
      </c>
      <c r="P32" s="578" t="s">
        <v>69</v>
      </c>
      <c r="Q32" s="578" t="s">
        <v>64</v>
      </c>
      <c r="R32" s="583"/>
      <c r="S32" s="577" t="str">
        <f t="shared" ref="S32" si="5">D32</f>
        <v>001-500-000052578</v>
      </c>
      <c r="T32" s="584" t="s">
        <v>433</v>
      </c>
      <c r="U32" s="627" t="s">
        <v>434</v>
      </c>
    </row>
    <row r="33" spans="1:21" ht="24" customHeight="1" x14ac:dyDescent="0.2">
      <c r="A33" s="624">
        <v>28</v>
      </c>
      <c r="B33" s="574">
        <v>45371</v>
      </c>
      <c r="C33" s="575" t="s">
        <v>125</v>
      </c>
      <c r="D33" s="575" t="s">
        <v>435</v>
      </c>
      <c r="E33" s="592">
        <v>112520025</v>
      </c>
      <c r="F33" s="577" t="s">
        <v>91</v>
      </c>
      <c r="G33" s="577" t="s">
        <v>436</v>
      </c>
      <c r="H33" s="578" t="s">
        <v>41</v>
      </c>
      <c r="I33" s="578" t="s">
        <v>62</v>
      </c>
      <c r="J33" s="578" t="s">
        <v>63</v>
      </c>
      <c r="K33" s="579">
        <v>45677</v>
      </c>
      <c r="L33" s="580" t="s">
        <v>430</v>
      </c>
      <c r="M33" s="580" t="s">
        <v>431</v>
      </c>
      <c r="N33" s="581" t="s">
        <v>432</v>
      </c>
      <c r="O33" s="582">
        <v>20</v>
      </c>
      <c r="P33" s="578" t="s">
        <v>69</v>
      </c>
      <c r="Q33" s="578" t="s">
        <v>64</v>
      </c>
      <c r="R33" s="583"/>
      <c r="S33" s="577" t="str">
        <f t="shared" ref="S33" si="6">D33</f>
        <v>016-902-000458996</v>
      </c>
      <c r="T33" s="584" t="s">
        <v>433</v>
      </c>
      <c r="U33" s="627" t="s">
        <v>434</v>
      </c>
    </row>
    <row r="34" spans="1:21" ht="24" customHeight="1" x14ac:dyDescent="0.2">
      <c r="A34" s="624">
        <v>29</v>
      </c>
      <c r="B34" s="574">
        <v>45364</v>
      </c>
      <c r="C34" s="575" t="s">
        <v>75</v>
      </c>
      <c r="D34" s="575" t="s">
        <v>389</v>
      </c>
      <c r="E34" s="576">
        <v>111000051</v>
      </c>
      <c r="F34" s="575" t="s">
        <v>137</v>
      </c>
      <c r="G34" s="575" t="s">
        <v>401</v>
      </c>
      <c r="H34" s="576" t="s">
        <v>41</v>
      </c>
      <c r="I34" s="576" t="s">
        <v>62</v>
      </c>
      <c r="J34" s="576" t="s">
        <v>63</v>
      </c>
      <c r="K34" s="593">
        <v>45678</v>
      </c>
      <c r="L34" s="594" t="s">
        <v>440</v>
      </c>
      <c r="M34" s="594" t="s">
        <v>441</v>
      </c>
      <c r="N34" s="595" t="s">
        <v>394</v>
      </c>
      <c r="O34" s="596">
        <v>15</v>
      </c>
      <c r="P34" s="576" t="s">
        <v>442</v>
      </c>
      <c r="Q34" s="576" t="s">
        <v>62</v>
      </c>
      <c r="R34" s="597"/>
      <c r="S34" s="575" t="str">
        <f>D34</f>
        <v>001-101-000002847</v>
      </c>
      <c r="T34" s="598">
        <v>105254395</v>
      </c>
      <c r="U34" s="621" t="s">
        <v>443</v>
      </c>
    </row>
    <row r="35" spans="1:21" ht="24" customHeight="1" x14ac:dyDescent="0.2">
      <c r="A35" s="624">
        <v>30</v>
      </c>
      <c r="B35" s="574">
        <v>45364</v>
      </c>
      <c r="C35" s="575" t="s">
        <v>75</v>
      </c>
      <c r="D35" s="575" t="s">
        <v>389</v>
      </c>
      <c r="E35" s="576">
        <v>40584202</v>
      </c>
      <c r="F35" s="575" t="s">
        <v>444</v>
      </c>
      <c r="G35" s="575" t="s">
        <v>400</v>
      </c>
      <c r="H35" s="576" t="s">
        <v>41</v>
      </c>
      <c r="I35" s="576" t="s">
        <v>62</v>
      </c>
      <c r="J35" s="576" t="s">
        <v>63</v>
      </c>
      <c r="K35" s="593">
        <v>45678</v>
      </c>
      <c r="L35" s="594" t="s">
        <v>440</v>
      </c>
      <c r="M35" s="594" t="s">
        <v>441</v>
      </c>
      <c r="N35" s="595" t="s">
        <v>394</v>
      </c>
      <c r="O35" s="596">
        <v>15</v>
      </c>
      <c r="P35" s="576" t="s">
        <v>442</v>
      </c>
      <c r="Q35" s="576" t="s">
        <v>62</v>
      </c>
      <c r="R35" s="597"/>
      <c r="S35" s="575" t="str">
        <f t="shared" ref="S35:S94" si="7">D35</f>
        <v>001-101-000002847</v>
      </c>
      <c r="T35" s="598">
        <v>105254395</v>
      </c>
      <c r="U35" s="621" t="s">
        <v>443</v>
      </c>
    </row>
    <row r="36" spans="1:21" ht="24" customHeight="1" x14ac:dyDescent="0.2">
      <c r="A36" s="624">
        <v>31</v>
      </c>
      <c r="B36" s="574">
        <v>45364</v>
      </c>
      <c r="C36" s="575" t="s">
        <v>75</v>
      </c>
      <c r="D36" s="575" t="s">
        <v>395</v>
      </c>
      <c r="E36" s="576">
        <v>112570123</v>
      </c>
      <c r="F36" s="575" t="s">
        <v>445</v>
      </c>
      <c r="G36" s="575" t="s">
        <v>391</v>
      </c>
      <c r="H36" s="576" t="s">
        <v>41</v>
      </c>
      <c r="I36" s="576" t="s">
        <v>62</v>
      </c>
      <c r="J36" s="576" t="s">
        <v>63</v>
      </c>
      <c r="K36" s="593">
        <v>45678</v>
      </c>
      <c r="L36" s="594" t="s">
        <v>440</v>
      </c>
      <c r="M36" s="594" t="s">
        <v>441</v>
      </c>
      <c r="N36" s="595" t="s">
        <v>394</v>
      </c>
      <c r="O36" s="596">
        <v>15</v>
      </c>
      <c r="P36" s="576" t="s">
        <v>442</v>
      </c>
      <c r="Q36" s="576" t="s">
        <v>62</v>
      </c>
      <c r="R36" s="597"/>
      <c r="S36" s="575" t="str">
        <f t="shared" si="7"/>
        <v>001-101-000003219</v>
      </c>
      <c r="T36" s="598">
        <v>105254395</v>
      </c>
      <c r="U36" s="621" t="s">
        <v>443</v>
      </c>
    </row>
    <row r="37" spans="1:21" ht="24" customHeight="1" x14ac:dyDescent="0.2">
      <c r="A37" s="624">
        <v>32</v>
      </c>
      <c r="B37" s="574">
        <v>45364</v>
      </c>
      <c r="C37" s="575" t="s">
        <v>75</v>
      </c>
      <c r="D37" s="575" t="s">
        <v>389</v>
      </c>
      <c r="E37" s="576">
        <v>114270004</v>
      </c>
      <c r="F37" s="575" t="s">
        <v>399</v>
      </c>
      <c r="G37" s="575" t="s">
        <v>402</v>
      </c>
      <c r="H37" s="576" t="s">
        <v>41</v>
      </c>
      <c r="I37" s="576" t="s">
        <v>62</v>
      </c>
      <c r="J37" s="576" t="s">
        <v>63</v>
      </c>
      <c r="K37" s="593">
        <v>45678</v>
      </c>
      <c r="L37" s="594" t="s">
        <v>440</v>
      </c>
      <c r="M37" s="594" t="s">
        <v>441</v>
      </c>
      <c r="N37" s="595" t="s">
        <v>394</v>
      </c>
      <c r="O37" s="596">
        <v>15</v>
      </c>
      <c r="P37" s="576" t="s">
        <v>442</v>
      </c>
      <c r="Q37" s="576" t="s">
        <v>62</v>
      </c>
      <c r="R37" s="597"/>
      <c r="S37" s="575" t="str">
        <f t="shared" si="7"/>
        <v>001-101-000002847</v>
      </c>
      <c r="T37" s="598">
        <v>105254395</v>
      </c>
      <c r="U37" s="621" t="s">
        <v>443</v>
      </c>
    </row>
    <row r="38" spans="1:21" ht="24" customHeight="1" x14ac:dyDescent="0.2">
      <c r="A38" s="624">
        <v>33</v>
      </c>
      <c r="B38" s="574">
        <v>45500</v>
      </c>
      <c r="C38" s="575" t="s">
        <v>446</v>
      </c>
      <c r="D38" s="575" t="s">
        <v>447</v>
      </c>
      <c r="E38" s="576">
        <v>41596006</v>
      </c>
      <c r="F38" s="575" t="s">
        <v>448</v>
      </c>
      <c r="G38" s="575" t="s">
        <v>449</v>
      </c>
      <c r="H38" s="576" t="s">
        <v>41</v>
      </c>
      <c r="I38" s="576" t="s">
        <v>62</v>
      </c>
      <c r="J38" s="576" t="s">
        <v>63</v>
      </c>
      <c r="K38" s="593">
        <v>45679</v>
      </c>
      <c r="L38" s="594" t="s">
        <v>450</v>
      </c>
      <c r="M38" s="594" t="s">
        <v>451</v>
      </c>
      <c r="N38" s="595" t="s">
        <v>452</v>
      </c>
      <c r="O38" s="596">
        <v>15</v>
      </c>
      <c r="P38" s="576" t="s">
        <v>442</v>
      </c>
      <c r="Q38" s="576" t="s">
        <v>62</v>
      </c>
      <c r="R38" s="597"/>
      <c r="S38" s="575" t="str">
        <f t="shared" si="7"/>
        <v>040-103-000009707</v>
      </c>
      <c r="T38" s="598">
        <v>102045705</v>
      </c>
      <c r="U38" s="621" t="s">
        <v>453</v>
      </c>
    </row>
    <row r="39" spans="1:21" ht="24" customHeight="1" x14ac:dyDescent="0.2">
      <c r="A39" s="624">
        <v>34</v>
      </c>
      <c r="B39" s="574">
        <v>45500</v>
      </c>
      <c r="C39" s="575" t="s">
        <v>446</v>
      </c>
      <c r="D39" s="647" t="s">
        <v>454</v>
      </c>
      <c r="E39" s="576">
        <v>112570126</v>
      </c>
      <c r="F39" s="575" t="s">
        <v>455</v>
      </c>
      <c r="G39" s="575" t="s">
        <v>456</v>
      </c>
      <c r="H39" s="576" t="s">
        <v>41</v>
      </c>
      <c r="I39" s="576" t="s">
        <v>62</v>
      </c>
      <c r="J39" s="576" t="s">
        <v>63</v>
      </c>
      <c r="K39" s="593">
        <v>45679</v>
      </c>
      <c r="L39" s="594" t="s">
        <v>450</v>
      </c>
      <c r="M39" s="594" t="s">
        <v>451</v>
      </c>
      <c r="N39" s="595" t="s">
        <v>452</v>
      </c>
      <c r="O39" s="596">
        <v>15</v>
      </c>
      <c r="P39" s="576" t="s">
        <v>442</v>
      </c>
      <c r="Q39" s="576" t="s">
        <v>62</v>
      </c>
      <c r="R39" s="597"/>
      <c r="S39" s="575" t="str">
        <f t="shared" si="7"/>
        <v>040-103-000006905</v>
      </c>
      <c r="T39" s="598">
        <v>102045705</v>
      </c>
      <c r="U39" s="621" t="s">
        <v>453</v>
      </c>
    </row>
    <row r="40" spans="1:21" ht="24" customHeight="1" x14ac:dyDescent="0.2">
      <c r="A40" s="624">
        <v>35</v>
      </c>
      <c r="B40" s="574">
        <v>45500</v>
      </c>
      <c r="C40" s="575" t="s">
        <v>446</v>
      </c>
      <c r="D40" s="575" t="s">
        <v>447</v>
      </c>
      <c r="E40" s="576">
        <v>40483183</v>
      </c>
      <c r="F40" s="575" t="s">
        <v>457</v>
      </c>
      <c r="G40" s="575" t="s">
        <v>458</v>
      </c>
      <c r="H40" s="576" t="s">
        <v>41</v>
      </c>
      <c r="I40" s="576" t="s">
        <v>62</v>
      </c>
      <c r="J40" s="576" t="s">
        <v>63</v>
      </c>
      <c r="K40" s="593">
        <v>45679</v>
      </c>
      <c r="L40" s="594" t="s">
        <v>450</v>
      </c>
      <c r="M40" s="594" t="s">
        <v>451</v>
      </c>
      <c r="N40" s="595" t="s">
        <v>452</v>
      </c>
      <c r="O40" s="596">
        <v>30</v>
      </c>
      <c r="P40" s="576" t="s">
        <v>442</v>
      </c>
      <c r="Q40" s="576" t="s">
        <v>62</v>
      </c>
      <c r="R40" s="597"/>
      <c r="S40" s="575" t="str">
        <f t="shared" si="7"/>
        <v>040-103-000009707</v>
      </c>
      <c r="T40" s="598">
        <v>102045705</v>
      </c>
      <c r="U40" s="621" t="s">
        <v>453</v>
      </c>
    </row>
    <row r="41" spans="1:21" ht="24" customHeight="1" x14ac:dyDescent="0.2">
      <c r="A41" s="624">
        <v>36</v>
      </c>
      <c r="B41" s="574">
        <v>45677</v>
      </c>
      <c r="C41" s="575" t="s">
        <v>100</v>
      </c>
      <c r="D41" s="575" t="s">
        <v>459</v>
      </c>
      <c r="E41" s="576">
        <v>112580058</v>
      </c>
      <c r="F41" s="575" t="s">
        <v>334</v>
      </c>
      <c r="G41" s="575" t="s">
        <v>460</v>
      </c>
      <c r="H41" s="576" t="s">
        <v>41</v>
      </c>
      <c r="I41" s="576" t="s">
        <v>62</v>
      </c>
      <c r="J41" s="576" t="s">
        <v>63</v>
      </c>
      <c r="K41" s="593">
        <v>45680</v>
      </c>
      <c r="L41" s="594" t="s">
        <v>461</v>
      </c>
      <c r="M41" s="594" t="s">
        <v>328</v>
      </c>
      <c r="N41" s="595" t="s">
        <v>462</v>
      </c>
      <c r="O41" s="596">
        <v>15</v>
      </c>
      <c r="P41" s="576" t="s">
        <v>442</v>
      </c>
      <c r="Q41" s="576" t="s">
        <v>62</v>
      </c>
      <c r="R41" s="597"/>
      <c r="S41" s="575" t="str">
        <f t="shared" si="7"/>
        <v>001-500-000068460</v>
      </c>
      <c r="T41" s="598">
        <v>300776812</v>
      </c>
      <c r="U41" s="621" t="s">
        <v>463</v>
      </c>
    </row>
    <row r="42" spans="1:21" ht="24" customHeight="1" x14ac:dyDescent="0.2">
      <c r="A42" s="624">
        <v>37</v>
      </c>
      <c r="B42" s="574">
        <v>45677</v>
      </c>
      <c r="C42" s="575" t="s">
        <v>100</v>
      </c>
      <c r="D42" s="575" t="s">
        <v>459</v>
      </c>
      <c r="E42" s="576">
        <v>112030019</v>
      </c>
      <c r="F42" s="575" t="s">
        <v>464</v>
      </c>
      <c r="G42" s="575" t="s">
        <v>465</v>
      </c>
      <c r="H42" s="576" t="s">
        <v>41</v>
      </c>
      <c r="I42" s="576" t="s">
        <v>62</v>
      </c>
      <c r="J42" s="576" t="s">
        <v>63</v>
      </c>
      <c r="K42" s="593">
        <v>45680</v>
      </c>
      <c r="L42" s="594" t="s">
        <v>461</v>
      </c>
      <c r="M42" s="594" t="s">
        <v>328</v>
      </c>
      <c r="N42" s="595" t="s">
        <v>462</v>
      </c>
      <c r="O42" s="596">
        <v>15</v>
      </c>
      <c r="P42" s="576" t="s">
        <v>442</v>
      </c>
      <c r="Q42" s="576" t="s">
        <v>62</v>
      </c>
      <c r="R42" s="597"/>
      <c r="S42" s="575" t="str">
        <f t="shared" si="7"/>
        <v>001-500-000068460</v>
      </c>
      <c r="T42" s="598">
        <v>300776812</v>
      </c>
      <c r="U42" s="621" t="s">
        <v>463</v>
      </c>
    </row>
    <row r="43" spans="1:21" ht="24" customHeight="1" x14ac:dyDescent="0.2">
      <c r="A43" s="624">
        <v>38</v>
      </c>
      <c r="B43" s="574">
        <v>45677</v>
      </c>
      <c r="C43" s="575" t="s">
        <v>100</v>
      </c>
      <c r="D43" s="575" t="s">
        <v>459</v>
      </c>
      <c r="E43" s="576">
        <v>111000051</v>
      </c>
      <c r="F43" s="575" t="s">
        <v>137</v>
      </c>
      <c r="G43" s="575" t="s">
        <v>466</v>
      </c>
      <c r="H43" s="576" t="s">
        <v>41</v>
      </c>
      <c r="I43" s="576" t="s">
        <v>62</v>
      </c>
      <c r="J43" s="576" t="s">
        <v>63</v>
      </c>
      <c r="K43" s="593">
        <v>45680</v>
      </c>
      <c r="L43" s="594" t="s">
        <v>461</v>
      </c>
      <c r="M43" s="594" t="s">
        <v>328</v>
      </c>
      <c r="N43" s="595" t="s">
        <v>462</v>
      </c>
      <c r="O43" s="596">
        <v>15</v>
      </c>
      <c r="P43" s="576" t="s">
        <v>442</v>
      </c>
      <c r="Q43" s="576" t="s">
        <v>62</v>
      </c>
      <c r="R43" s="597"/>
      <c r="S43" s="575" t="str">
        <f t="shared" si="7"/>
        <v>001-500-000068460</v>
      </c>
      <c r="T43" s="598">
        <v>300776812</v>
      </c>
      <c r="U43" s="621" t="s">
        <v>463</v>
      </c>
    </row>
    <row r="44" spans="1:21" ht="24" customHeight="1" x14ac:dyDescent="0.2">
      <c r="A44" s="624">
        <v>39</v>
      </c>
      <c r="B44" s="574">
        <v>45677</v>
      </c>
      <c r="C44" s="575" t="s">
        <v>100</v>
      </c>
      <c r="D44" s="575" t="s">
        <v>467</v>
      </c>
      <c r="E44" s="576">
        <v>404467712</v>
      </c>
      <c r="F44" s="575" t="s">
        <v>468</v>
      </c>
      <c r="G44" s="575" t="s">
        <v>469</v>
      </c>
      <c r="H44" s="576" t="s">
        <v>41</v>
      </c>
      <c r="I44" s="576" t="s">
        <v>62</v>
      </c>
      <c r="J44" s="576" t="s">
        <v>63</v>
      </c>
      <c r="K44" s="593">
        <v>45680</v>
      </c>
      <c r="L44" s="594" t="s">
        <v>461</v>
      </c>
      <c r="M44" s="594" t="s">
        <v>328</v>
      </c>
      <c r="N44" s="595" t="s">
        <v>462</v>
      </c>
      <c r="O44" s="596">
        <v>15</v>
      </c>
      <c r="P44" s="576" t="s">
        <v>442</v>
      </c>
      <c r="Q44" s="576" t="s">
        <v>62</v>
      </c>
      <c r="R44" s="597"/>
      <c r="S44" s="575" t="str">
        <f t="shared" si="7"/>
        <v>001-500-000070264</v>
      </c>
      <c r="T44" s="598">
        <v>300776812</v>
      </c>
      <c r="U44" s="621" t="s">
        <v>463</v>
      </c>
    </row>
    <row r="45" spans="1:21" ht="24" customHeight="1" x14ac:dyDescent="0.2">
      <c r="A45" s="624">
        <v>40</v>
      </c>
      <c r="B45" s="574">
        <v>45591</v>
      </c>
      <c r="C45" s="575" t="s">
        <v>446</v>
      </c>
      <c r="D45" s="575" t="s">
        <v>470</v>
      </c>
      <c r="E45" s="576">
        <v>40782128</v>
      </c>
      <c r="F45" s="575" t="s">
        <v>471</v>
      </c>
      <c r="G45" s="575" t="s">
        <v>472</v>
      </c>
      <c r="H45" s="576" t="s">
        <v>41</v>
      </c>
      <c r="I45" s="576" t="s">
        <v>62</v>
      </c>
      <c r="J45" s="576" t="s">
        <v>63</v>
      </c>
      <c r="K45" s="593">
        <v>45680</v>
      </c>
      <c r="L45" s="594" t="s">
        <v>473</v>
      </c>
      <c r="M45" s="594" t="s">
        <v>474</v>
      </c>
      <c r="N45" s="595" t="s">
        <v>475</v>
      </c>
      <c r="O45" s="596">
        <v>20</v>
      </c>
      <c r="P45" s="576" t="s">
        <v>442</v>
      </c>
      <c r="Q45" s="576" t="s">
        <v>62</v>
      </c>
      <c r="R45" s="597"/>
      <c r="S45" s="575" t="str">
        <f t="shared" si="7"/>
        <v>040-103-000009042</v>
      </c>
      <c r="T45" s="598">
        <v>103741898</v>
      </c>
      <c r="U45" s="621" t="s">
        <v>476</v>
      </c>
    </row>
    <row r="46" spans="1:21" ht="24" customHeight="1" x14ac:dyDescent="0.2">
      <c r="A46" s="624">
        <v>41</v>
      </c>
      <c r="B46" s="574">
        <v>45591</v>
      </c>
      <c r="C46" s="575" t="s">
        <v>446</v>
      </c>
      <c r="D46" s="575" t="s">
        <v>470</v>
      </c>
      <c r="E46" s="576">
        <v>41000051</v>
      </c>
      <c r="F46" s="575" t="s">
        <v>137</v>
      </c>
      <c r="G46" s="575" t="s">
        <v>477</v>
      </c>
      <c r="H46" s="576" t="s">
        <v>41</v>
      </c>
      <c r="I46" s="576" t="s">
        <v>62</v>
      </c>
      <c r="J46" s="576" t="s">
        <v>63</v>
      </c>
      <c r="K46" s="593">
        <v>45680</v>
      </c>
      <c r="L46" s="594" t="s">
        <v>473</v>
      </c>
      <c r="M46" s="594" t="s">
        <v>474</v>
      </c>
      <c r="N46" s="595" t="s">
        <v>475</v>
      </c>
      <c r="O46" s="596">
        <v>20</v>
      </c>
      <c r="P46" s="576" t="s">
        <v>442</v>
      </c>
      <c r="Q46" s="576" t="s">
        <v>62</v>
      </c>
      <c r="R46" s="597"/>
      <c r="S46" s="575" t="str">
        <f t="shared" si="7"/>
        <v>040-103-000009042</v>
      </c>
      <c r="T46" s="598">
        <v>103741898</v>
      </c>
      <c r="U46" s="621" t="s">
        <v>476</v>
      </c>
    </row>
    <row r="47" spans="1:21" ht="24" customHeight="1" x14ac:dyDescent="0.2">
      <c r="A47" s="624">
        <v>42</v>
      </c>
      <c r="B47" s="574">
        <v>45636</v>
      </c>
      <c r="C47" s="575" t="s">
        <v>100</v>
      </c>
      <c r="D47" s="575" t="s">
        <v>478</v>
      </c>
      <c r="E47" s="576">
        <v>112570211</v>
      </c>
      <c r="F47" s="575" t="s">
        <v>479</v>
      </c>
      <c r="G47" s="575" t="s">
        <v>480</v>
      </c>
      <c r="H47" s="576" t="s">
        <v>41</v>
      </c>
      <c r="I47" s="576" t="s">
        <v>62</v>
      </c>
      <c r="J47" s="576" t="s">
        <v>63</v>
      </c>
      <c r="K47" s="593">
        <v>45684</v>
      </c>
      <c r="L47" s="594" t="s">
        <v>481</v>
      </c>
      <c r="M47" s="594" t="s">
        <v>349</v>
      </c>
      <c r="N47" s="595" t="s">
        <v>482</v>
      </c>
      <c r="O47" s="596">
        <v>20</v>
      </c>
      <c r="P47" s="576" t="s">
        <v>442</v>
      </c>
      <c r="Q47" s="576" t="s">
        <v>62</v>
      </c>
      <c r="R47" s="597"/>
      <c r="S47" s="575" t="str">
        <f t="shared" si="7"/>
        <v>001-500-000068937</v>
      </c>
      <c r="T47" s="598">
        <v>103061032</v>
      </c>
      <c r="U47" s="621" t="s">
        <v>483</v>
      </c>
    </row>
    <row r="48" spans="1:21" ht="24" customHeight="1" x14ac:dyDescent="0.2">
      <c r="A48" s="624">
        <v>43</v>
      </c>
      <c r="B48" s="574">
        <v>45636</v>
      </c>
      <c r="C48" s="575" t="s">
        <v>100</v>
      </c>
      <c r="D48" s="575" t="s">
        <v>478</v>
      </c>
      <c r="E48" s="576">
        <v>111000059</v>
      </c>
      <c r="F48" s="575" t="s">
        <v>484</v>
      </c>
      <c r="G48" s="575" t="s">
        <v>485</v>
      </c>
      <c r="H48" s="576" t="s">
        <v>41</v>
      </c>
      <c r="I48" s="576" t="s">
        <v>62</v>
      </c>
      <c r="J48" s="576" t="s">
        <v>63</v>
      </c>
      <c r="K48" s="593">
        <v>45684</v>
      </c>
      <c r="L48" s="594" t="s">
        <v>481</v>
      </c>
      <c r="M48" s="594" t="s">
        <v>349</v>
      </c>
      <c r="N48" s="595" t="s">
        <v>482</v>
      </c>
      <c r="O48" s="596">
        <v>20</v>
      </c>
      <c r="P48" s="576" t="s">
        <v>442</v>
      </c>
      <c r="Q48" s="576" t="s">
        <v>62</v>
      </c>
      <c r="R48" s="597"/>
      <c r="S48" s="575" t="str">
        <f t="shared" si="7"/>
        <v>001-500-000068937</v>
      </c>
      <c r="T48" s="598">
        <v>103061032</v>
      </c>
      <c r="U48" s="621" t="s">
        <v>483</v>
      </c>
    </row>
    <row r="49" spans="1:21" ht="24" customHeight="1" x14ac:dyDescent="0.2">
      <c r="A49" s="624">
        <v>44</v>
      </c>
      <c r="B49" s="574">
        <v>45624</v>
      </c>
      <c r="C49" s="575" t="s">
        <v>202</v>
      </c>
      <c r="D49" s="575" t="s">
        <v>486</v>
      </c>
      <c r="E49" s="576">
        <v>113600015</v>
      </c>
      <c r="F49" s="575" t="s">
        <v>487</v>
      </c>
      <c r="G49" s="575" t="s">
        <v>488</v>
      </c>
      <c r="H49" s="576" t="s">
        <v>41</v>
      </c>
      <c r="I49" s="576" t="s">
        <v>62</v>
      </c>
      <c r="J49" s="576" t="s">
        <v>63</v>
      </c>
      <c r="K49" s="593">
        <v>45685</v>
      </c>
      <c r="L49" s="594" t="s">
        <v>489</v>
      </c>
      <c r="M49" s="594" t="s">
        <v>490</v>
      </c>
      <c r="N49" s="595" t="s">
        <v>491</v>
      </c>
      <c r="O49" s="596">
        <v>15</v>
      </c>
      <c r="P49" s="576" t="s">
        <v>442</v>
      </c>
      <c r="Q49" s="576" t="s">
        <v>62</v>
      </c>
      <c r="R49" s="597"/>
      <c r="S49" s="575" t="str">
        <f t="shared" si="7"/>
        <v>007-006-000132846</v>
      </c>
      <c r="T49" s="598">
        <v>190449599</v>
      </c>
      <c r="U49" s="621" t="s">
        <v>492</v>
      </c>
    </row>
    <row r="50" spans="1:21" ht="24" customHeight="1" x14ac:dyDescent="0.2">
      <c r="A50" s="624">
        <v>45</v>
      </c>
      <c r="B50" s="574">
        <v>45624</v>
      </c>
      <c r="C50" s="575" t="s">
        <v>493</v>
      </c>
      <c r="D50" s="575" t="s">
        <v>494</v>
      </c>
      <c r="E50" s="576">
        <v>113430016</v>
      </c>
      <c r="F50" s="575" t="s">
        <v>495</v>
      </c>
      <c r="G50" s="575" t="s">
        <v>496</v>
      </c>
      <c r="H50" s="576" t="s">
        <v>41</v>
      </c>
      <c r="I50" s="576" t="s">
        <v>62</v>
      </c>
      <c r="J50" s="576" t="s">
        <v>63</v>
      </c>
      <c r="K50" s="593">
        <v>45685</v>
      </c>
      <c r="L50" s="594" t="s">
        <v>489</v>
      </c>
      <c r="M50" s="594" t="s">
        <v>490</v>
      </c>
      <c r="N50" s="595" t="s">
        <v>491</v>
      </c>
      <c r="O50" s="596">
        <v>15</v>
      </c>
      <c r="P50" s="576" t="s">
        <v>442</v>
      </c>
      <c r="Q50" s="576" t="s">
        <v>62</v>
      </c>
      <c r="R50" s="597"/>
      <c r="S50" s="575" t="str">
        <f t="shared" si="7"/>
        <v>008-501-000007944</v>
      </c>
      <c r="T50" s="598">
        <v>190449599</v>
      </c>
      <c r="U50" s="621" t="s">
        <v>492</v>
      </c>
    </row>
    <row r="51" spans="1:21" ht="24" customHeight="1" x14ac:dyDescent="0.2">
      <c r="A51" s="624">
        <v>46</v>
      </c>
      <c r="B51" s="574">
        <v>45624</v>
      </c>
      <c r="C51" s="575" t="s">
        <v>493</v>
      </c>
      <c r="D51" s="575" t="s">
        <v>494</v>
      </c>
      <c r="E51" s="576">
        <v>112570068</v>
      </c>
      <c r="F51" s="575" t="s">
        <v>110</v>
      </c>
      <c r="G51" s="575" t="s">
        <v>497</v>
      </c>
      <c r="H51" s="576" t="s">
        <v>41</v>
      </c>
      <c r="I51" s="576" t="s">
        <v>62</v>
      </c>
      <c r="J51" s="576" t="s">
        <v>63</v>
      </c>
      <c r="K51" s="593">
        <v>45685</v>
      </c>
      <c r="L51" s="594" t="s">
        <v>489</v>
      </c>
      <c r="M51" s="594" t="s">
        <v>490</v>
      </c>
      <c r="N51" s="595" t="s">
        <v>491</v>
      </c>
      <c r="O51" s="596">
        <v>15</v>
      </c>
      <c r="P51" s="576" t="s">
        <v>442</v>
      </c>
      <c r="Q51" s="576" t="s">
        <v>62</v>
      </c>
      <c r="R51" s="597"/>
      <c r="S51" s="575" t="str">
        <f t="shared" si="7"/>
        <v>008-501-000007944</v>
      </c>
      <c r="T51" s="598">
        <v>190449599</v>
      </c>
      <c r="U51" s="621" t="s">
        <v>492</v>
      </c>
    </row>
    <row r="52" spans="1:21" ht="24" customHeight="1" x14ac:dyDescent="0.2">
      <c r="A52" s="624">
        <v>47</v>
      </c>
      <c r="B52" s="574">
        <v>45624</v>
      </c>
      <c r="C52" s="575" t="s">
        <v>202</v>
      </c>
      <c r="D52" s="575" t="s">
        <v>486</v>
      </c>
      <c r="E52" s="576">
        <v>111000051</v>
      </c>
      <c r="F52" s="575" t="s">
        <v>137</v>
      </c>
      <c r="G52" s="575" t="s">
        <v>498</v>
      </c>
      <c r="H52" s="576" t="s">
        <v>41</v>
      </c>
      <c r="I52" s="576" t="s">
        <v>62</v>
      </c>
      <c r="J52" s="576" t="s">
        <v>63</v>
      </c>
      <c r="K52" s="593">
        <v>45685</v>
      </c>
      <c r="L52" s="594" t="s">
        <v>489</v>
      </c>
      <c r="M52" s="594" t="s">
        <v>490</v>
      </c>
      <c r="N52" s="595" t="s">
        <v>491</v>
      </c>
      <c r="O52" s="596">
        <v>15</v>
      </c>
      <c r="P52" s="576" t="s">
        <v>442</v>
      </c>
      <c r="Q52" s="576" t="s">
        <v>62</v>
      </c>
      <c r="R52" s="597"/>
      <c r="S52" s="575" t="str">
        <f t="shared" si="7"/>
        <v>007-006-000132846</v>
      </c>
      <c r="T52" s="598">
        <v>190449599</v>
      </c>
      <c r="U52" s="621" t="s">
        <v>492</v>
      </c>
    </row>
    <row r="53" spans="1:21" ht="24" customHeight="1" x14ac:dyDescent="0.2">
      <c r="A53" s="624">
        <v>48</v>
      </c>
      <c r="B53" s="574">
        <v>45624</v>
      </c>
      <c r="C53" s="575" t="s">
        <v>202</v>
      </c>
      <c r="D53" s="575" t="s">
        <v>486</v>
      </c>
      <c r="E53" s="576">
        <v>40584305</v>
      </c>
      <c r="F53" s="575" t="s">
        <v>102</v>
      </c>
      <c r="G53" s="575" t="s">
        <v>499</v>
      </c>
      <c r="H53" s="576" t="s">
        <v>41</v>
      </c>
      <c r="I53" s="576" t="s">
        <v>62</v>
      </c>
      <c r="J53" s="576" t="s">
        <v>63</v>
      </c>
      <c r="K53" s="593">
        <v>45685</v>
      </c>
      <c r="L53" s="594" t="s">
        <v>489</v>
      </c>
      <c r="M53" s="594" t="s">
        <v>490</v>
      </c>
      <c r="N53" s="595" t="s">
        <v>491</v>
      </c>
      <c r="O53" s="596">
        <v>15</v>
      </c>
      <c r="P53" s="576" t="s">
        <v>442</v>
      </c>
      <c r="Q53" s="576" t="s">
        <v>62</v>
      </c>
      <c r="R53" s="597"/>
      <c r="S53" s="575" t="str">
        <f t="shared" si="7"/>
        <v>007-006-000132846</v>
      </c>
      <c r="T53" s="598">
        <v>190449599</v>
      </c>
      <c r="U53" s="621" t="s">
        <v>492</v>
      </c>
    </row>
    <row r="54" spans="1:21" ht="24" customHeight="1" x14ac:dyDescent="0.2">
      <c r="A54" s="624">
        <v>49</v>
      </c>
      <c r="B54" s="574">
        <v>45684</v>
      </c>
      <c r="C54" s="575" t="s">
        <v>100</v>
      </c>
      <c r="D54" s="575" t="s">
        <v>500</v>
      </c>
      <c r="E54" s="576">
        <v>1125702111</v>
      </c>
      <c r="F54" s="575" t="s">
        <v>501</v>
      </c>
      <c r="G54" s="575" t="s">
        <v>502</v>
      </c>
      <c r="H54" s="576" t="s">
        <v>41</v>
      </c>
      <c r="I54" s="576" t="s">
        <v>62</v>
      </c>
      <c r="J54" s="576" t="s">
        <v>63</v>
      </c>
      <c r="K54" s="593">
        <v>45686</v>
      </c>
      <c r="L54" s="594" t="s">
        <v>503</v>
      </c>
      <c r="M54" s="594" t="s">
        <v>504</v>
      </c>
      <c r="N54" s="595" t="s">
        <v>505</v>
      </c>
      <c r="O54" s="596">
        <v>15</v>
      </c>
      <c r="P54" s="576" t="s">
        <v>442</v>
      </c>
      <c r="Q54" s="576" t="s">
        <v>62</v>
      </c>
      <c r="R54" s="597"/>
      <c r="S54" s="575" t="str">
        <f t="shared" si="7"/>
        <v>001-500-000070452</v>
      </c>
      <c r="T54" s="598">
        <v>101132116</v>
      </c>
      <c r="U54" s="621" t="s">
        <v>506</v>
      </c>
    </row>
    <row r="55" spans="1:21" ht="24" customHeight="1" x14ac:dyDescent="0.2">
      <c r="A55" s="624">
        <v>50</v>
      </c>
      <c r="B55" s="574">
        <v>45684</v>
      </c>
      <c r="C55" s="575" t="s">
        <v>100</v>
      </c>
      <c r="D55" s="575" t="s">
        <v>500</v>
      </c>
      <c r="E55" s="576">
        <v>111030002</v>
      </c>
      <c r="F55" s="575" t="s">
        <v>507</v>
      </c>
      <c r="G55" s="575" t="s">
        <v>508</v>
      </c>
      <c r="H55" s="576" t="s">
        <v>41</v>
      </c>
      <c r="I55" s="576" t="s">
        <v>62</v>
      </c>
      <c r="J55" s="576" t="s">
        <v>63</v>
      </c>
      <c r="K55" s="593">
        <v>45686</v>
      </c>
      <c r="L55" s="594" t="s">
        <v>503</v>
      </c>
      <c r="M55" s="594" t="s">
        <v>504</v>
      </c>
      <c r="N55" s="595" t="s">
        <v>505</v>
      </c>
      <c r="O55" s="596">
        <v>15</v>
      </c>
      <c r="P55" s="576" t="s">
        <v>442</v>
      </c>
      <c r="Q55" s="576" t="s">
        <v>62</v>
      </c>
      <c r="R55" s="597"/>
      <c r="S55" s="575" t="str">
        <f t="shared" si="7"/>
        <v>001-500-000070452</v>
      </c>
      <c r="T55" s="598">
        <v>101132116</v>
      </c>
      <c r="U55" s="621" t="s">
        <v>506</v>
      </c>
    </row>
    <row r="56" spans="1:21" ht="24" customHeight="1" x14ac:dyDescent="0.2">
      <c r="A56" s="624">
        <v>51</v>
      </c>
      <c r="B56" s="574">
        <v>45684</v>
      </c>
      <c r="C56" s="575" t="s">
        <v>100</v>
      </c>
      <c r="D56" s="575" t="s">
        <v>500</v>
      </c>
      <c r="E56" s="576">
        <v>113610001</v>
      </c>
      <c r="F56" s="575" t="s">
        <v>200</v>
      </c>
      <c r="G56" s="575" t="s">
        <v>509</v>
      </c>
      <c r="H56" s="576" t="s">
        <v>41</v>
      </c>
      <c r="I56" s="576" t="s">
        <v>62</v>
      </c>
      <c r="J56" s="576" t="s">
        <v>63</v>
      </c>
      <c r="K56" s="593">
        <v>45686</v>
      </c>
      <c r="L56" s="594" t="s">
        <v>503</v>
      </c>
      <c r="M56" s="594" t="s">
        <v>504</v>
      </c>
      <c r="N56" s="595" t="s">
        <v>505</v>
      </c>
      <c r="O56" s="596">
        <v>15</v>
      </c>
      <c r="P56" s="576" t="s">
        <v>442</v>
      </c>
      <c r="Q56" s="576" t="s">
        <v>62</v>
      </c>
      <c r="R56" s="597"/>
      <c r="S56" s="575" t="str">
        <f t="shared" si="7"/>
        <v>001-500-000070452</v>
      </c>
      <c r="T56" s="598">
        <v>101132116</v>
      </c>
      <c r="U56" s="621" t="s">
        <v>506</v>
      </c>
    </row>
    <row r="57" spans="1:21" ht="24" customHeight="1" x14ac:dyDescent="0.2">
      <c r="A57" s="624">
        <v>52</v>
      </c>
      <c r="B57" s="574">
        <v>45626</v>
      </c>
      <c r="C57" s="575" t="s">
        <v>100</v>
      </c>
      <c r="D57" s="575" t="s">
        <v>510</v>
      </c>
      <c r="E57" s="576">
        <v>111000078</v>
      </c>
      <c r="F57" s="575" t="s">
        <v>511</v>
      </c>
      <c r="G57" s="575" t="s">
        <v>512</v>
      </c>
      <c r="H57" s="576" t="s">
        <v>41</v>
      </c>
      <c r="I57" s="576" t="s">
        <v>62</v>
      </c>
      <c r="J57" s="576" t="s">
        <v>63</v>
      </c>
      <c r="K57" s="593">
        <v>45688</v>
      </c>
      <c r="L57" s="594" t="s">
        <v>513</v>
      </c>
      <c r="M57" s="594" t="s">
        <v>514</v>
      </c>
      <c r="N57" s="595" t="s">
        <v>515</v>
      </c>
      <c r="O57" s="596">
        <v>15</v>
      </c>
      <c r="P57" s="576" t="s">
        <v>442</v>
      </c>
      <c r="Q57" s="576" t="s">
        <v>62</v>
      </c>
      <c r="R57" s="597"/>
      <c r="S57" s="575" t="str">
        <f t="shared" si="7"/>
        <v>001-500-000068660</v>
      </c>
      <c r="T57" s="598">
        <v>301728549</v>
      </c>
      <c r="U57" s="621" t="s">
        <v>516</v>
      </c>
    </row>
    <row r="58" spans="1:21" ht="24" customHeight="1" x14ac:dyDescent="0.2">
      <c r="A58" s="624">
        <v>53</v>
      </c>
      <c r="B58" s="574">
        <v>45626</v>
      </c>
      <c r="C58" s="575" t="s">
        <v>100</v>
      </c>
      <c r="D58" s="575" t="s">
        <v>510</v>
      </c>
      <c r="E58" s="576">
        <v>112580027</v>
      </c>
      <c r="F58" s="575" t="s">
        <v>517</v>
      </c>
      <c r="G58" s="575" t="s">
        <v>518</v>
      </c>
      <c r="H58" s="576" t="s">
        <v>41</v>
      </c>
      <c r="I58" s="576" t="s">
        <v>62</v>
      </c>
      <c r="J58" s="576" t="s">
        <v>63</v>
      </c>
      <c r="K58" s="593">
        <v>45688</v>
      </c>
      <c r="L58" s="594" t="s">
        <v>513</v>
      </c>
      <c r="M58" s="594" t="s">
        <v>514</v>
      </c>
      <c r="N58" s="595" t="s">
        <v>515</v>
      </c>
      <c r="O58" s="596">
        <v>15</v>
      </c>
      <c r="P58" s="576" t="s">
        <v>442</v>
      </c>
      <c r="Q58" s="576" t="s">
        <v>62</v>
      </c>
      <c r="R58" s="597"/>
      <c r="S58" s="575" t="str">
        <f t="shared" si="7"/>
        <v>001-500-000068660</v>
      </c>
      <c r="T58" s="598">
        <v>301728549</v>
      </c>
      <c r="U58" s="621" t="s">
        <v>516</v>
      </c>
    </row>
    <row r="59" spans="1:21" ht="24" customHeight="1" x14ac:dyDescent="0.2">
      <c r="A59" s="624">
        <v>54</v>
      </c>
      <c r="B59" s="574">
        <v>45626</v>
      </c>
      <c r="C59" s="575" t="s">
        <v>100</v>
      </c>
      <c r="D59" s="575" t="s">
        <v>510</v>
      </c>
      <c r="E59" s="576">
        <v>40446712</v>
      </c>
      <c r="F59" s="575" t="s">
        <v>519</v>
      </c>
      <c r="G59" s="575" t="s">
        <v>520</v>
      </c>
      <c r="H59" s="576" t="s">
        <v>41</v>
      </c>
      <c r="I59" s="576" t="s">
        <v>62</v>
      </c>
      <c r="J59" s="576" t="s">
        <v>63</v>
      </c>
      <c r="K59" s="593">
        <v>45688</v>
      </c>
      <c r="L59" s="594" t="s">
        <v>513</v>
      </c>
      <c r="M59" s="594" t="s">
        <v>514</v>
      </c>
      <c r="N59" s="595" t="s">
        <v>515</v>
      </c>
      <c r="O59" s="596">
        <v>15</v>
      </c>
      <c r="P59" s="576" t="s">
        <v>442</v>
      </c>
      <c r="Q59" s="576" t="s">
        <v>62</v>
      </c>
      <c r="R59" s="597"/>
      <c r="S59" s="575" t="str">
        <f t="shared" si="7"/>
        <v>001-500-000068660</v>
      </c>
      <c r="T59" s="598">
        <v>301728549</v>
      </c>
      <c r="U59" s="621" t="s">
        <v>516</v>
      </c>
    </row>
    <row r="60" spans="1:21" ht="24" customHeight="1" x14ac:dyDescent="0.2">
      <c r="A60" s="624">
        <v>55</v>
      </c>
      <c r="B60" s="574">
        <v>45653</v>
      </c>
      <c r="C60" s="575" t="s">
        <v>100</v>
      </c>
      <c r="D60" s="575" t="s">
        <v>521</v>
      </c>
      <c r="E60" s="576">
        <v>112950011</v>
      </c>
      <c r="F60" s="575" t="s">
        <v>522</v>
      </c>
      <c r="G60" s="575" t="s">
        <v>523</v>
      </c>
      <c r="H60" s="576" t="s">
        <v>41</v>
      </c>
      <c r="I60" s="576" t="s">
        <v>62</v>
      </c>
      <c r="J60" s="576" t="s">
        <v>63</v>
      </c>
      <c r="K60" s="593">
        <v>45693</v>
      </c>
      <c r="L60" s="594" t="s">
        <v>524</v>
      </c>
      <c r="M60" s="594" t="s">
        <v>525</v>
      </c>
      <c r="N60" s="595" t="s">
        <v>526</v>
      </c>
      <c r="O60" s="596">
        <v>20</v>
      </c>
      <c r="P60" s="576" t="s">
        <v>442</v>
      </c>
      <c r="Q60" s="576" t="s">
        <v>62</v>
      </c>
      <c r="R60" s="597"/>
      <c r="S60" s="575" t="str">
        <f t="shared" si="7"/>
        <v>001-500-000069604</v>
      </c>
      <c r="T60" s="598">
        <v>301724936</v>
      </c>
      <c r="U60" s="621" t="s">
        <v>527</v>
      </c>
    </row>
    <row r="61" spans="1:21" ht="24" customHeight="1" x14ac:dyDescent="0.2">
      <c r="A61" s="624">
        <v>56</v>
      </c>
      <c r="B61" s="574">
        <v>45653</v>
      </c>
      <c r="C61" s="575" t="s">
        <v>100</v>
      </c>
      <c r="D61" s="575" t="s">
        <v>521</v>
      </c>
      <c r="E61" s="576">
        <v>112580058</v>
      </c>
      <c r="F61" s="575" t="s">
        <v>334</v>
      </c>
      <c r="G61" s="575" t="s">
        <v>528</v>
      </c>
      <c r="H61" s="576" t="s">
        <v>41</v>
      </c>
      <c r="I61" s="576" t="s">
        <v>62</v>
      </c>
      <c r="J61" s="576" t="s">
        <v>63</v>
      </c>
      <c r="K61" s="593">
        <v>45693</v>
      </c>
      <c r="L61" s="594" t="s">
        <v>524</v>
      </c>
      <c r="M61" s="594" t="s">
        <v>525</v>
      </c>
      <c r="N61" s="595" t="s">
        <v>526</v>
      </c>
      <c r="O61" s="596">
        <v>20</v>
      </c>
      <c r="P61" s="576" t="s">
        <v>442</v>
      </c>
      <c r="Q61" s="576" t="s">
        <v>62</v>
      </c>
      <c r="R61" s="597"/>
      <c r="S61" s="575" t="str">
        <f t="shared" si="7"/>
        <v>001-500-000069604</v>
      </c>
      <c r="T61" s="598">
        <v>301724936</v>
      </c>
      <c r="U61" s="621" t="s">
        <v>527</v>
      </c>
    </row>
    <row r="62" spans="1:21" ht="24" customHeight="1" x14ac:dyDescent="0.2">
      <c r="A62" s="624">
        <v>57</v>
      </c>
      <c r="B62" s="574">
        <v>45460</v>
      </c>
      <c r="C62" s="575" t="s">
        <v>125</v>
      </c>
      <c r="D62" s="575" t="s">
        <v>529</v>
      </c>
      <c r="E62" s="576">
        <v>111010028</v>
      </c>
      <c r="F62" s="575" t="s">
        <v>530</v>
      </c>
      <c r="G62" s="575" t="s">
        <v>531</v>
      </c>
      <c r="H62" s="576" t="s">
        <v>41</v>
      </c>
      <c r="I62" s="576" t="s">
        <v>62</v>
      </c>
      <c r="J62" s="576" t="s">
        <v>63</v>
      </c>
      <c r="K62" s="593">
        <v>45695</v>
      </c>
      <c r="L62" s="594" t="s">
        <v>532</v>
      </c>
      <c r="M62" s="594" t="s">
        <v>533</v>
      </c>
      <c r="N62" s="575">
        <v>999859200</v>
      </c>
      <c r="O62" s="596">
        <v>15</v>
      </c>
      <c r="P62" s="576" t="s">
        <v>442</v>
      </c>
      <c r="Q62" s="576" t="s">
        <v>62</v>
      </c>
      <c r="R62" s="597"/>
      <c r="S62" s="575" t="str">
        <f t="shared" si="7"/>
        <v>043-904-000026432</v>
      </c>
      <c r="T62" s="598">
        <v>104256664</v>
      </c>
      <c r="U62" s="621" t="s">
        <v>534</v>
      </c>
    </row>
    <row r="63" spans="1:21" ht="24" customHeight="1" x14ac:dyDescent="0.2">
      <c r="A63" s="624">
        <v>58</v>
      </c>
      <c r="B63" s="574">
        <v>45460</v>
      </c>
      <c r="C63" s="575" t="s">
        <v>125</v>
      </c>
      <c r="D63" s="575" t="s">
        <v>529</v>
      </c>
      <c r="E63" s="576">
        <v>40584012</v>
      </c>
      <c r="F63" s="575" t="s">
        <v>535</v>
      </c>
      <c r="G63" s="575" t="s">
        <v>536</v>
      </c>
      <c r="H63" s="576" t="s">
        <v>41</v>
      </c>
      <c r="I63" s="576" t="s">
        <v>62</v>
      </c>
      <c r="J63" s="576" t="s">
        <v>63</v>
      </c>
      <c r="K63" s="593">
        <v>45695</v>
      </c>
      <c r="L63" s="594" t="s">
        <v>532</v>
      </c>
      <c r="M63" s="594" t="s">
        <v>533</v>
      </c>
      <c r="N63" s="575">
        <v>999859200</v>
      </c>
      <c r="O63" s="596">
        <v>15</v>
      </c>
      <c r="P63" s="576" t="s">
        <v>442</v>
      </c>
      <c r="Q63" s="576" t="s">
        <v>62</v>
      </c>
      <c r="R63" s="597"/>
      <c r="S63" s="575" t="str">
        <f t="shared" si="7"/>
        <v>043-904-000026432</v>
      </c>
      <c r="T63" s="598">
        <v>104256664</v>
      </c>
      <c r="U63" s="621" t="s">
        <v>534</v>
      </c>
    </row>
    <row r="64" spans="1:21" ht="24" customHeight="1" x14ac:dyDescent="0.2">
      <c r="A64" s="624">
        <v>59</v>
      </c>
      <c r="B64" s="574">
        <v>45460</v>
      </c>
      <c r="C64" s="575" t="s">
        <v>125</v>
      </c>
      <c r="D64" s="575" t="s">
        <v>529</v>
      </c>
      <c r="E64" s="576">
        <v>112570068</v>
      </c>
      <c r="F64" s="575" t="s">
        <v>110</v>
      </c>
      <c r="G64" s="575" t="s">
        <v>537</v>
      </c>
      <c r="H64" s="576" t="s">
        <v>41</v>
      </c>
      <c r="I64" s="576" t="s">
        <v>62</v>
      </c>
      <c r="J64" s="576" t="s">
        <v>63</v>
      </c>
      <c r="K64" s="593">
        <v>45695</v>
      </c>
      <c r="L64" s="594" t="s">
        <v>532</v>
      </c>
      <c r="M64" s="594" t="s">
        <v>533</v>
      </c>
      <c r="N64" s="575">
        <v>999859200</v>
      </c>
      <c r="O64" s="596">
        <v>15</v>
      </c>
      <c r="P64" s="576" t="s">
        <v>442</v>
      </c>
      <c r="Q64" s="576" t="s">
        <v>62</v>
      </c>
      <c r="R64" s="597"/>
      <c r="S64" s="575" t="str">
        <f t="shared" si="7"/>
        <v>043-904-000026432</v>
      </c>
      <c r="T64" s="598">
        <v>104256664</v>
      </c>
      <c r="U64" s="621" t="s">
        <v>534</v>
      </c>
    </row>
    <row r="65" spans="1:21" ht="24" customHeight="1" x14ac:dyDescent="0.2">
      <c r="A65" s="624">
        <v>60</v>
      </c>
      <c r="B65" s="574">
        <v>45460</v>
      </c>
      <c r="C65" s="575" t="s">
        <v>125</v>
      </c>
      <c r="D65" s="575" t="s">
        <v>529</v>
      </c>
      <c r="E65" s="576">
        <v>430197255</v>
      </c>
      <c r="F65" s="575" t="s">
        <v>538</v>
      </c>
      <c r="G65" s="575" t="s">
        <v>539</v>
      </c>
      <c r="H65" s="576" t="s">
        <v>41</v>
      </c>
      <c r="I65" s="576" t="s">
        <v>62</v>
      </c>
      <c r="J65" s="576" t="s">
        <v>63</v>
      </c>
      <c r="K65" s="593">
        <v>45695</v>
      </c>
      <c r="L65" s="594" t="s">
        <v>532</v>
      </c>
      <c r="M65" s="594" t="s">
        <v>533</v>
      </c>
      <c r="N65" s="575">
        <v>999859200</v>
      </c>
      <c r="O65" s="596">
        <v>15</v>
      </c>
      <c r="P65" s="576" t="s">
        <v>442</v>
      </c>
      <c r="Q65" s="576" t="s">
        <v>62</v>
      </c>
      <c r="R65" s="597"/>
      <c r="S65" s="575" t="str">
        <f t="shared" si="7"/>
        <v>043-904-000026432</v>
      </c>
      <c r="T65" s="598">
        <v>104256664</v>
      </c>
      <c r="U65" s="621" t="s">
        <v>534</v>
      </c>
    </row>
    <row r="66" spans="1:21" ht="24" customHeight="1" x14ac:dyDescent="0.2">
      <c r="A66" s="624">
        <v>61</v>
      </c>
      <c r="B66" s="574">
        <v>45682</v>
      </c>
      <c r="C66" s="575" t="s">
        <v>100</v>
      </c>
      <c r="D66" s="575" t="s">
        <v>540</v>
      </c>
      <c r="E66" s="576">
        <v>112580058</v>
      </c>
      <c r="F66" s="575" t="s">
        <v>334</v>
      </c>
      <c r="G66" s="575" t="s">
        <v>541</v>
      </c>
      <c r="H66" s="576" t="s">
        <v>41</v>
      </c>
      <c r="I66" s="576" t="s">
        <v>62</v>
      </c>
      <c r="J66" s="576" t="s">
        <v>63</v>
      </c>
      <c r="K66" s="593">
        <v>45695</v>
      </c>
      <c r="L66" s="594" t="s">
        <v>542</v>
      </c>
      <c r="M66" s="594" t="s">
        <v>378</v>
      </c>
      <c r="N66" s="575">
        <v>987840123</v>
      </c>
      <c r="O66" s="596">
        <v>20</v>
      </c>
      <c r="P66" s="576" t="s">
        <v>442</v>
      </c>
      <c r="Q66" s="576" t="s">
        <v>62</v>
      </c>
      <c r="R66" s="597"/>
      <c r="S66" s="575" t="str">
        <f t="shared" si="7"/>
        <v>001-500-000070416</v>
      </c>
      <c r="T66" s="598">
        <v>105082838</v>
      </c>
      <c r="U66" s="621" t="s">
        <v>543</v>
      </c>
    </row>
    <row r="67" spans="1:21" ht="24" customHeight="1" x14ac:dyDescent="0.2">
      <c r="A67" s="624">
        <v>62</v>
      </c>
      <c r="B67" s="574">
        <v>45682</v>
      </c>
      <c r="C67" s="575" t="s">
        <v>100</v>
      </c>
      <c r="D67" s="575" t="s">
        <v>540</v>
      </c>
      <c r="E67" s="576">
        <v>40466111</v>
      </c>
      <c r="F67" s="575" t="s">
        <v>252</v>
      </c>
      <c r="G67" s="575" t="s">
        <v>544</v>
      </c>
      <c r="H67" s="576" t="s">
        <v>41</v>
      </c>
      <c r="I67" s="576" t="s">
        <v>62</v>
      </c>
      <c r="J67" s="576" t="s">
        <v>63</v>
      </c>
      <c r="K67" s="593">
        <v>45695</v>
      </c>
      <c r="L67" s="594" t="s">
        <v>542</v>
      </c>
      <c r="M67" s="594" t="s">
        <v>378</v>
      </c>
      <c r="N67" s="575">
        <v>987840123</v>
      </c>
      <c r="O67" s="596">
        <v>20</v>
      </c>
      <c r="P67" s="576" t="s">
        <v>442</v>
      </c>
      <c r="Q67" s="576" t="s">
        <v>62</v>
      </c>
      <c r="R67" s="597"/>
      <c r="S67" s="575" t="str">
        <f t="shared" si="7"/>
        <v>001-500-000070416</v>
      </c>
      <c r="T67" s="598">
        <v>105082838</v>
      </c>
      <c r="U67" s="621" t="s">
        <v>543</v>
      </c>
    </row>
    <row r="68" spans="1:21" ht="24" customHeight="1" x14ac:dyDescent="0.2">
      <c r="A68" s="624">
        <v>63</v>
      </c>
      <c r="B68" s="574">
        <v>45594</v>
      </c>
      <c r="C68" s="575" t="s">
        <v>190</v>
      </c>
      <c r="D68" s="575" t="s">
        <v>545</v>
      </c>
      <c r="E68" s="576">
        <v>112930048</v>
      </c>
      <c r="F68" s="575" t="s">
        <v>546</v>
      </c>
      <c r="G68" s="575" t="s">
        <v>547</v>
      </c>
      <c r="H68" s="576" t="s">
        <v>41</v>
      </c>
      <c r="I68" s="576" t="s">
        <v>62</v>
      </c>
      <c r="J68" s="576" t="s">
        <v>63</v>
      </c>
      <c r="K68" s="593">
        <v>45696</v>
      </c>
      <c r="L68" s="594" t="s">
        <v>548</v>
      </c>
      <c r="M68" s="594" t="s">
        <v>525</v>
      </c>
      <c r="N68" s="595" t="s">
        <v>549</v>
      </c>
      <c r="O68" s="596">
        <v>15</v>
      </c>
      <c r="P68" s="576" t="s">
        <v>442</v>
      </c>
      <c r="Q68" s="576" t="s">
        <v>62</v>
      </c>
      <c r="R68" s="597"/>
      <c r="S68" s="575" t="str">
        <f t="shared" si="7"/>
        <v>006-0001589946</v>
      </c>
      <c r="T68" s="598">
        <v>302605373</v>
      </c>
      <c r="U68" s="621" t="s">
        <v>550</v>
      </c>
    </row>
    <row r="69" spans="1:21" ht="24" customHeight="1" x14ac:dyDescent="0.2">
      <c r="A69" s="624">
        <v>64</v>
      </c>
      <c r="B69" s="574">
        <v>45594</v>
      </c>
      <c r="C69" s="575" t="s">
        <v>190</v>
      </c>
      <c r="D69" s="575" t="s">
        <v>545</v>
      </c>
      <c r="E69" s="576">
        <v>112580027</v>
      </c>
      <c r="F69" s="575" t="s">
        <v>517</v>
      </c>
      <c r="G69" s="575" t="s">
        <v>551</v>
      </c>
      <c r="H69" s="576" t="s">
        <v>41</v>
      </c>
      <c r="I69" s="576" t="s">
        <v>62</v>
      </c>
      <c r="J69" s="576" t="s">
        <v>63</v>
      </c>
      <c r="K69" s="593">
        <v>45696</v>
      </c>
      <c r="L69" s="594" t="s">
        <v>548</v>
      </c>
      <c r="M69" s="594" t="s">
        <v>525</v>
      </c>
      <c r="N69" s="595" t="s">
        <v>549</v>
      </c>
      <c r="O69" s="596">
        <v>15</v>
      </c>
      <c r="P69" s="576" t="s">
        <v>442</v>
      </c>
      <c r="Q69" s="576" t="s">
        <v>62</v>
      </c>
      <c r="R69" s="597"/>
      <c r="S69" s="575" t="str">
        <f t="shared" si="7"/>
        <v>006-0001589946</v>
      </c>
      <c r="T69" s="598">
        <v>302605373</v>
      </c>
      <c r="U69" s="621" t="s">
        <v>550</v>
      </c>
    </row>
    <row r="70" spans="1:21" ht="24" customHeight="1" x14ac:dyDescent="0.2">
      <c r="A70" s="624">
        <v>65</v>
      </c>
      <c r="B70" s="574">
        <v>45594</v>
      </c>
      <c r="C70" s="575" t="s">
        <v>190</v>
      </c>
      <c r="D70" s="575" t="s">
        <v>545</v>
      </c>
      <c r="E70" s="576">
        <v>40584305</v>
      </c>
      <c r="F70" s="575" t="s">
        <v>552</v>
      </c>
      <c r="G70" s="575" t="s">
        <v>553</v>
      </c>
      <c r="H70" s="576" t="s">
        <v>41</v>
      </c>
      <c r="I70" s="576" t="s">
        <v>62</v>
      </c>
      <c r="J70" s="576" t="s">
        <v>63</v>
      </c>
      <c r="K70" s="593">
        <v>45696</v>
      </c>
      <c r="L70" s="594" t="s">
        <v>548</v>
      </c>
      <c r="M70" s="594" t="s">
        <v>525</v>
      </c>
      <c r="N70" s="595" t="s">
        <v>549</v>
      </c>
      <c r="O70" s="596">
        <v>15</v>
      </c>
      <c r="P70" s="576" t="s">
        <v>442</v>
      </c>
      <c r="Q70" s="576" t="s">
        <v>62</v>
      </c>
      <c r="R70" s="597"/>
      <c r="S70" s="575" t="str">
        <f t="shared" si="7"/>
        <v>006-0001589946</v>
      </c>
      <c r="T70" s="598">
        <v>302605373</v>
      </c>
      <c r="U70" s="621" t="s">
        <v>550</v>
      </c>
    </row>
    <row r="71" spans="1:21" ht="24" customHeight="1" x14ac:dyDescent="0.2">
      <c r="A71" s="624">
        <v>66</v>
      </c>
      <c r="B71" s="574">
        <v>45594</v>
      </c>
      <c r="C71" s="575" t="s">
        <v>190</v>
      </c>
      <c r="D71" s="575" t="s">
        <v>545</v>
      </c>
      <c r="E71" s="576">
        <v>41560166</v>
      </c>
      <c r="F71" s="575" t="s">
        <v>554</v>
      </c>
      <c r="G71" s="575" t="s">
        <v>555</v>
      </c>
      <c r="H71" s="576" t="s">
        <v>41</v>
      </c>
      <c r="I71" s="576" t="s">
        <v>62</v>
      </c>
      <c r="J71" s="576" t="s">
        <v>63</v>
      </c>
      <c r="K71" s="593">
        <v>45696</v>
      </c>
      <c r="L71" s="594" t="s">
        <v>548</v>
      </c>
      <c r="M71" s="594" t="s">
        <v>525</v>
      </c>
      <c r="N71" s="595" t="s">
        <v>549</v>
      </c>
      <c r="O71" s="596">
        <v>15</v>
      </c>
      <c r="P71" s="576" t="s">
        <v>442</v>
      </c>
      <c r="Q71" s="576" t="s">
        <v>62</v>
      </c>
      <c r="R71" s="597"/>
      <c r="S71" s="575" t="str">
        <f t="shared" si="7"/>
        <v>006-0001589946</v>
      </c>
      <c r="T71" s="598">
        <v>302605373</v>
      </c>
      <c r="U71" s="621" t="s">
        <v>550</v>
      </c>
    </row>
    <row r="72" spans="1:21" ht="24" customHeight="1" x14ac:dyDescent="0.2">
      <c r="A72" s="624">
        <v>67</v>
      </c>
      <c r="B72" s="574">
        <v>45594</v>
      </c>
      <c r="C72" s="575" t="s">
        <v>190</v>
      </c>
      <c r="D72" s="575" t="s">
        <v>545</v>
      </c>
      <c r="E72" s="576">
        <v>113430051</v>
      </c>
      <c r="F72" s="575" t="s">
        <v>556</v>
      </c>
      <c r="G72" s="575" t="s">
        <v>557</v>
      </c>
      <c r="H72" s="576" t="s">
        <v>41</v>
      </c>
      <c r="I72" s="576" t="s">
        <v>62</v>
      </c>
      <c r="J72" s="576" t="s">
        <v>63</v>
      </c>
      <c r="K72" s="593">
        <v>45696</v>
      </c>
      <c r="L72" s="594" t="s">
        <v>548</v>
      </c>
      <c r="M72" s="594" t="s">
        <v>525</v>
      </c>
      <c r="N72" s="595" t="s">
        <v>549</v>
      </c>
      <c r="O72" s="596">
        <v>15</v>
      </c>
      <c r="P72" s="576" t="s">
        <v>442</v>
      </c>
      <c r="Q72" s="576" t="s">
        <v>62</v>
      </c>
      <c r="R72" s="597"/>
      <c r="S72" s="575" t="str">
        <f t="shared" si="7"/>
        <v>006-0001589946</v>
      </c>
      <c r="T72" s="598">
        <v>302605373</v>
      </c>
      <c r="U72" s="621" t="s">
        <v>550</v>
      </c>
    </row>
    <row r="73" spans="1:21" ht="24" customHeight="1" x14ac:dyDescent="0.2">
      <c r="A73" s="624">
        <v>68</v>
      </c>
      <c r="B73" s="574">
        <v>45625</v>
      </c>
      <c r="C73" s="575" t="s">
        <v>187</v>
      </c>
      <c r="D73" s="575" t="s">
        <v>558</v>
      </c>
      <c r="E73" s="576">
        <v>111000051</v>
      </c>
      <c r="F73" s="575" t="s">
        <v>137</v>
      </c>
      <c r="G73" s="575" t="s">
        <v>559</v>
      </c>
      <c r="H73" s="576" t="s">
        <v>41</v>
      </c>
      <c r="I73" s="576" t="s">
        <v>62</v>
      </c>
      <c r="J73" s="576" t="s">
        <v>63</v>
      </c>
      <c r="K73" s="593">
        <v>45700</v>
      </c>
      <c r="L73" s="594" t="s">
        <v>560</v>
      </c>
      <c r="M73" s="594" t="s">
        <v>561</v>
      </c>
      <c r="N73" s="575">
        <v>985384397</v>
      </c>
      <c r="O73" s="596">
        <v>20</v>
      </c>
      <c r="P73" s="576" t="s">
        <v>442</v>
      </c>
      <c r="Q73" s="576" t="s">
        <v>62</v>
      </c>
      <c r="R73" s="597"/>
      <c r="S73" s="575" t="str">
        <f t="shared" si="7"/>
        <v>040-104-000008328</v>
      </c>
      <c r="T73" s="598">
        <v>103817839</v>
      </c>
      <c r="U73" s="621" t="s">
        <v>562</v>
      </c>
    </row>
    <row r="74" spans="1:21" ht="24" customHeight="1" x14ac:dyDescent="0.2">
      <c r="A74" s="624">
        <v>69</v>
      </c>
      <c r="B74" s="574">
        <v>45637</v>
      </c>
      <c r="C74" s="575" t="s">
        <v>187</v>
      </c>
      <c r="D74" s="575" t="s">
        <v>563</v>
      </c>
      <c r="E74" s="576">
        <v>113600015</v>
      </c>
      <c r="F74" s="575" t="s">
        <v>487</v>
      </c>
      <c r="G74" s="575" t="s">
        <v>564</v>
      </c>
      <c r="H74" s="576" t="s">
        <v>41</v>
      </c>
      <c r="I74" s="576" t="s">
        <v>62</v>
      </c>
      <c r="J74" s="576" t="s">
        <v>63</v>
      </c>
      <c r="K74" s="593">
        <v>45700</v>
      </c>
      <c r="L74" s="594" t="s">
        <v>560</v>
      </c>
      <c r="M74" s="594" t="s">
        <v>561</v>
      </c>
      <c r="N74" s="575">
        <v>985384397</v>
      </c>
      <c r="O74" s="596">
        <v>20</v>
      </c>
      <c r="P74" s="576" t="s">
        <v>442</v>
      </c>
      <c r="Q74" s="576" t="s">
        <v>62</v>
      </c>
      <c r="R74" s="597"/>
      <c r="S74" s="575" t="str">
        <f t="shared" si="7"/>
        <v>040-104-000008609</v>
      </c>
      <c r="T74" s="598">
        <v>103817839</v>
      </c>
      <c r="U74" s="621" t="s">
        <v>562</v>
      </c>
    </row>
    <row r="75" spans="1:21" ht="24" customHeight="1" x14ac:dyDescent="0.2">
      <c r="A75" s="624">
        <v>70</v>
      </c>
      <c r="B75" s="574">
        <v>45506</v>
      </c>
      <c r="C75" s="575" t="s">
        <v>100</v>
      </c>
      <c r="D75" s="575" t="s">
        <v>565</v>
      </c>
      <c r="E75" s="576">
        <v>112580058</v>
      </c>
      <c r="F75" s="575" t="s">
        <v>566</v>
      </c>
      <c r="G75" s="575" t="s">
        <v>567</v>
      </c>
      <c r="H75" s="576" t="s">
        <v>41</v>
      </c>
      <c r="I75" s="576" t="s">
        <v>62</v>
      </c>
      <c r="J75" s="576" t="s">
        <v>63</v>
      </c>
      <c r="K75" s="593">
        <v>45700</v>
      </c>
      <c r="L75" s="594" t="s">
        <v>568</v>
      </c>
      <c r="M75" s="594" t="s">
        <v>533</v>
      </c>
      <c r="N75" s="575">
        <v>992569458</v>
      </c>
      <c r="O75" s="596">
        <v>20</v>
      </c>
      <c r="P75" s="576" t="s">
        <v>442</v>
      </c>
      <c r="Q75" s="576" t="s">
        <v>62</v>
      </c>
      <c r="R75" s="597"/>
      <c r="S75" s="575" t="str">
        <f t="shared" si="7"/>
        <v>001-500-000065243</v>
      </c>
      <c r="T75" s="598">
        <v>105622963</v>
      </c>
      <c r="U75" s="621" t="s">
        <v>569</v>
      </c>
    </row>
    <row r="76" spans="1:21" ht="24" customHeight="1" x14ac:dyDescent="0.2">
      <c r="A76" s="624">
        <v>71</v>
      </c>
      <c r="B76" s="574">
        <v>45506</v>
      </c>
      <c r="C76" s="575" t="s">
        <v>100</v>
      </c>
      <c r="D76" s="575" t="s">
        <v>565</v>
      </c>
      <c r="E76" s="576">
        <v>40467305</v>
      </c>
      <c r="F76" s="575" t="s">
        <v>128</v>
      </c>
      <c r="G76" s="575" t="s">
        <v>570</v>
      </c>
      <c r="H76" s="576" t="s">
        <v>41</v>
      </c>
      <c r="I76" s="576" t="s">
        <v>62</v>
      </c>
      <c r="J76" s="576" t="s">
        <v>63</v>
      </c>
      <c r="K76" s="593">
        <v>45700</v>
      </c>
      <c r="L76" s="594" t="s">
        <v>568</v>
      </c>
      <c r="M76" s="594" t="s">
        <v>533</v>
      </c>
      <c r="N76" s="575">
        <v>992569458</v>
      </c>
      <c r="O76" s="596">
        <v>20</v>
      </c>
      <c r="P76" s="576" t="s">
        <v>442</v>
      </c>
      <c r="Q76" s="576" t="s">
        <v>62</v>
      </c>
      <c r="R76" s="597"/>
      <c r="S76" s="575" t="str">
        <f t="shared" si="7"/>
        <v>001-500-000065243</v>
      </c>
      <c r="T76" s="598">
        <v>105622963</v>
      </c>
      <c r="U76" s="621" t="s">
        <v>571</v>
      </c>
    </row>
    <row r="77" spans="1:21" ht="24" customHeight="1" x14ac:dyDescent="0.2">
      <c r="A77" s="624">
        <v>72</v>
      </c>
      <c r="B77" s="574">
        <v>45624</v>
      </c>
      <c r="C77" s="575" t="s">
        <v>100</v>
      </c>
      <c r="D77" s="575" t="s">
        <v>572</v>
      </c>
      <c r="E77" s="576">
        <v>112510035</v>
      </c>
      <c r="F77" s="575" t="s">
        <v>573</v>
      </c>
      <c r="G77" s="575" t="s">
        <v>574</v>
      </c>
      <c r="H77" s="576" t="s">
        <v>41</v>
      </c>
      <c r="I77" s="576" t="s">
        <v>62</v>
      </c>
      <c r="J77" s="576" t="s">
        <v>63</v>
      </c>
      <c r="K77" s="593">
        <v>45700</v>
      </c>
      <c r="L77" s="594" t="s">
        <v>575</v>
      </c>
      <c r="M77" s="594" t="s">
        <v>576</v>
      </c>
      <c r="N77" s="575">
        <v>992940210</v>
      </c>
      <c r="O77" s="596">
        <v>20</v>
      </c>
      <c r="P77" s="576" t="s">
        <v>442</v>
      </c>
      <c r="Q77" s="576" t="s">
        <v>62</v>
      </c>
      <c r="R77" s="597"/>
      <c r="S77" s="575" t="str">
        <f t="shared" si="7"/>
        <v>001-500-000068295</v>
      </c>
      <c r="T77" s="599">
        <v>102514866001</v>
      </c>
      <c r="U77" s="621" t="s">
        <v>577</v>
      </c>
    </row>
    <row r="78" spans="1:21" ht="24" customHeight="1" x14ac:dyDescent="0.2">
      <c r="A78" s="624">
        <v>73</v>
      </c>
      <c r="B78" s="574">
        <v>45624</v>
      </c>
      <c r="C78" s="575" t="s">
        <v>100</v>
      </c>
      <c r="D78" s="575" t="s">
        <v>572</v>
      </c>
      <c r="E78" s="576">
        <v>111010040</v>
      </c>
      <c r="F78" s="575" t="s">
        <v>578</v>
      </c>
      <c r="G78" s="575" t="s">
        <v>579</v>
      </c>
      <c r="H78" s="576" t="s">
        <v>41</v>
      </c>
      <c r="I78" s="576" t="s">
        <v>62</v>
      </c>
      <c r="J78" s="576" t="s">
        <v>63</v>
      </c>
      <c r="K78" s="593">
        <v>45700</v>
      </c>
      <c r="L78" s="594" t="s">
        <v>575</v>
      </c>
      <c r="M78" s="594" t="s">
        <v>576</v>
      </c>
      <c r="N78" s="575">
        <v>992940210</v>
      </c>
      <c r="O78" s="596">
        <v>20</v>
      </c>
      <c r="P78" s="576" t="s">
        <v>442</v>
      </c>
      <c r="Q78" s="576" t="s">
        <v>62</v>
      </c>
      <c r="R78" s="597"/>
      <c r="S78" s="575" t="str">
        <f t="shared" si="7"/>
        <v>001-500-000068295</v>
      </c>
      <c r="T78" s="599">
        <v>102514866001</v>
      </c>
      <c r="U78" s="621" t="s">
        <v>577</v>
      </c>
    </row>
    <row r="79" spans="1:21" ht="24" customHeight="1" x14ac:dyDescent="0.2">
      <c r="A79" s="624">
        <v>74</v>
      </c>
      <c r="B79" s="574">
        <v>45672</v>
      </c>
      <c r="C79" s="575" t="s">
        <v>75</v>
      </c>
      <c r="D79" s="575" t="s">
        <v>580</v>
      </c>
      <c r="E79" s="576">
        <v>40584202</v>
      </c>
      <c r="F79" s="575" t="s">
        <v>581</v>
      </c>
      <c r="G79" s="575" t="s">
        <v>582</v>
      </c>
      <c r="H79" s="576" t="s">
        <v>41</v>
      </c>
      <c r="I79" s="576" t="s">
        <v>62</v>
      </c>
      <c r="J79" s="576" t="s">
        <v>63</v>
      </c>
      <c r="K79" s="593">
        <v>45702</v>
      </c>
      <c r="L79" s="594" t="s">
        <v>583</v>
      </c>
      <c r="M79" s="594" t="s">
        <v>584</v>
      </c>
      <c r="N79" s="575">
        <v>998100871</v>
      </c>
      <c r="O79" s="596">
        <v>15</v>
      </c>
      <c r="P79" s="576" t="s">
        <v>442</v>
      </c>
      <c r="Q79" s="576" t="s">
        <v>62</v>
      </c>
      <c r="R79" s="597"/>
      <c r="S79" s="575" t="str">
        <f t="shared" si="7"/>
        <v>001-001-000000521</v>
      </c>
      <c r="T79" s="599" t="s">
        <v>585</v>
      </c>
      <c r="U79" s="621" t="s">
        <v>586</v>
      </c>
    </row>
    <row r="80" spans="1:21" ht="24" customHeight="1" x14ac:dyDescent="0.2">
      <c r="A80" s="624">
        <v>75</v>
      </c>
      <c r="B80" s="574">
        <v>45672</v>
      </c>
      <c r="C80" s="575" t="s">
        <v>75</v>
      </c>
      <c r="D80" s="575" t="s">
        <v>580</v>
      </c>
      <c r="E80" s="576">
        <v>40782128</v>
      </c>
      <c r="F80" s="575" t="s">
        <v>587</v>
      </c>
      <c r="G80" s="575" t="s">
        <v>588</v>
      </c>
      <c r="H80" s="576" t="s">
        <v>41</v>
      </c>
      <c r="I80" s="576" t="s">
        <v>62</v>
      </c>
      <c r="J80" s="576" t="s">
        <v>63</v>
      </c>
      <c r="K80" s="593">
        <v>45702</v>
      </c>
      <c r="L80" s="594" t="s">
        <v>583</v>
      </c>
      <c r="M80" s="594" t="s">
        <v>584</v>
      </c>
      <c r="N80" s="575">
        <v>998100871</v>
      </c>
      <c r="O80" s="596">
        <v>15</v>
      </c>
      <c r="P80" s="576" t="s">
        <v>442</v>
      </c>
      <c r="Q80" s="576" t="s">
        <v>62</v>
      </c>
      <c r="R80" s="597"/>
      <c r="S80" s="575" t="str">
        <f t="shared" si="7"/>
        <v>001-001-000000521</v>
      </c>
      <c r="T80" s="599" t="s">
        <v>585</v>
      </c>
      <c r="U80" s="621" t="s">
        <v>586</v>
      </c>
    </row>
    <row r="81" spans="1:22" ht="24" customHeight="1" x14ac:dyDescent="0.2">
      <c r="A81" s="624">
        <v>76</v>
      </c>
      <c r="B81" s="574">
        <v>45672</v>
      </c>
      <c r="C81" s="575" t="s">
        <v>75</v>
      </c>
      <c r="D81" s="575" t="s">
        <v>580</v>
      </c>
      <c r="E81" s="576">
        <v>111020071</v>
      </c>
      <c r="F81" s="575" t="s">
        <v>589</v>
      </c>
      <c r="G81" s="575" t="s">
        <v>590</v>
      </c>
      <c r="H81" s="576" t="s">
        <v>41</v>
      </c>
      <c r="I81" s="576" t="s">
        <v>62</v>
      </c>
      <c r="J81" s="576" t="s">
        <v>63</v>
      </c>
      <c r="K81" s="593">
        <v>45702</v>
      </c>
      <c r="L81" s="594" t="s">
        <v>583</v>
      </c>
      <c r="M81" s="594" t="s">
        <v>584</v>
      </c>
      <c r="N81" s="575">
        <v>998100871</v>
      </c>
      <c r="O81" s="596">
        <v>15</v>
      </c>
      <c r="P81" s="576" t="s">
        <v>442</v>
      </c>
      <c r="Q81" s="576" t="s">
        <v>62</v>
      </c>
      <c r="R81" s="597"/>
      <c r="S81" s="575" t="str">
        <f t="shared" si="7"/>
        <v>001-001-000000521</v>
      </c>
      <c r="T81" s="599" t="s">
        <v>585</v>
      </c>
      <c r="U81" s="621" t="s">
        <v>586</v>
      </c>
    </row>
    <row r="82" spans="1:22" ht="24" customHeight="1" x14ac:dyDescent="0.2">
      <c r="A82" s="624">
        <v>77</v>
      </c>
      <c r="B82" s="574">
        <v>45672</v>
      </c>
      <c r="C82" s="575" t="s">
        <v>75</v>
      </c>
      <c r="D82" s="575" t="s">
        <v>591</v>
      </c>
      <c r="E82" s="576">
        <v>112570073</v>
      </c>
      <c r="F82" s="575" t="s">
        <v>592</v>
      </c>
      <c r="G82" s="575" t="s">
        <v>593</v>
      </c>
      <c r="H82" s="576" t="s">
        <v>41</v>
      </c>
      <c r="I82" s="576" t="s">
        <v>62</v>
      </c>
      <c r="J82" s="576" t="s">
        <v>63</v>
      </c>
      <c r="K82" s="593">
        <v>45702</v>
      </c>
      <c r="L82" s="594" t="s">
        <v>583</v>
      </c>
      <c r="M82" s="594" t="s">
        <v>584</v>
      </c>
      <c r="N82" s="575">
        <v>998100871</v>
      </c>
      <c r="O82" s="596">
        <v>15</v>
      </c>
      <c r="P82" s="576" t="s">
        <v>442</v>
      </c>
      <c r="Q82" s="576" t="s">
        <v>62</v>
      </c>
      <c r="R82" s="597"/>
      <c r="S82" s="575" t="str">
        <f t="shared" si="7"/>
        <v>001-001-000000522</v>
      </c>
      <c r="T82" s="599" t="s">
        <v>585</v>
      </c>
      <c r="U82" s="621" t="s">
        <v>586</v>
      </c>
    </row>
    <row r="83" spans="1:22" ht="24" customHeight="1" x14ac:dyDescent="0.2">
      <c r="A83" s="624">
        <v>78</v>
      </c>
      <c r="B83" s="574">
        <v>45674</v>
      </c>
      <c r="C83" s="575" t="s">
        <v>100</v>
      </c>
      <c r="D83" s="575" t="s">
        <v>594</v>
      </c>
      <c r="E83" s="576">
        <v>112610067</v>
      </c>
      <c r="F83" s="575" t="s">
        <v>595</v>
      </c>
      <c r="G83" s="575" t="s">
        <v>596</v>
      </c>
      <c r="H83" s="576" t="s">
        <v>41</v>
      </c>
      <c r="I83" s="576" t="s">
        <v>62</v>
      </c>
      <c r="J83" s="576" t="s">
        <v>63</v>
      </c>
      <c r="K83" s="593">
        <v>45702</v>
      </c>
      <c r="L83" s="594" t="s">
        <v>597</v>
      </c>
      <c r="M83" s="594" t="s">
        <v>598</v>
      </c>
      <c r="N83" s="575">
        <v>995373670</v>
      </c>
      <c r="O83" s="596">
        <v>15</v>
      </c>
      <c r="P83" s="576" t="s">
        <v>442</v>
      </c>
      <c r="Q83" s="576" t="s">
        <v>62</v>
      </c>
      <c r="R83" s="597"/>
      <c r="S83" s="575" t="str">
        <f t="shared" si="7"/>
        <v>001-500-000046179</v>
      </c>
      <c r="T83" s="599" t="s">
        <v>599</v>
      </c>
      <c r="U83" s="621" t="s">
        <v>600</v>
      </c>
    </row>
    <row r="84" spans="1:22" ht="24" customHeight="1" x14ac:dyDescent="0.2">
      <c r="A84" s="624">
        <v>79</v>
      </c>
      <c r="B84" s="574">
        <v>45674</v>
      </c>
      <c r="C84" s="575" t="s">
        <v>100</v>
      </c>
      <c r="D84" s="575" t="s">
        <v>594</v>
      </c>
      <c r="E84" s="576">
        <v>40466241</v>
      </c>
      <c r="F84" s="575" t="s">
        <v>214</v>
      </c>
      <c r="G84" s="575" t="s">
        <v>601</v>
      </c>
      <c r="H84" s="576" t="s">
        <v>41</v>
      </c>
      <c r="I84" s="576" t="s">
        <v>62</v>
      </c>
      <c r="J84" s="576" t="s">
        <v>63</v>
      </c>
      <c r="K84" s="593">
        <v>45702</v>
      </c>
      <c r="L84" s="594" t="s">
        <v>597</v>
      </c>
      <c r="M84" s="594" t="s">
        <v>598</v>
      </c>
      <c r="N84" s="575">
        <v>995373670</v>
      </c>
      <c r="O84" s="596">
        <v>15</v>
      </c>
      <c r="P84" s="576" t="s">
        <v>442</v>
      </c>
      <c r="Q84" s="576" t="s">
        <v>62</v>
      </c>
      <c r="R84" s="597"/>
      <c r="S84" s="575" t="str">
        <f t="shared" si="7"/>
        <v>001-500-000046179</v>
      </c>
      <c r="T84" s="599" t="s">
        <v>599</v>
      </c>
      <c r="U84" s="621" t="s">
        <v>600</v>
      </c>
    </row>
    <row r="85" spans="1:22" ht="24" customHeight="1" x14ac:dyDescent="0.2">
      <c r="A85" s="624">
        <v>80</v>
      </c>
      <c r="B85" s="574">
        <v>45674</v>
      </c>
      <c r="C85" s="575" t="s">
        <v>100</v>
      </c>
      <c r="D85" s="575" t="s">
        <v>594</v>
      </c>
      <c r="E85" s="576">
        <v>40590830</v>
      </c>
      <c r="F85" s="575" t="s">
        <v>602</v>
      </c>
      <c r="G85" s="575" t="s">
        <v>603</v>
      </c>
      <c r="H85" s="576" t="s">
        <v>41</v>
      </c>
      <c r="I85" s="576" t="s">
        <v>62</v>
      </c>
      <c r="J85" s="576" t="s">
        <v>63</v>
      </c>
      <c r="K85" s="593">
        <v>45702</v>
      </c>
      <c r="L85" s="594" t="s">
        <v>597</v>
      </c>
      <c r="M85" s="594" t="s">
        <v>598</v>
      </c>
      <c r="N85" s="575">
        <v>995373670</v>
      </c>
      <c r="O85" s="596">
        <v>15</v>
      </c>
      <c r="P85" s="576" t="s">
        <v>442</v>
      </c>
      <c r="Q85" s="576" t="s">
        <v>62</v>
      </c>
      <c r="R85" s="597"/>
      <c r="S85" s="575" t="str">
        <f t="shared" si="7"/>
        <v>001-500-000046179</v>
      </c>
      <c r="T85" s="599" t="s">
        <v>599</v>
      </c>
      <c r="U85" s="621" t="s">
        <v>600</v>
      </c>
    </row>
    <row r="86" spans="1:22" ht="24" customHeight="1" x14ac:dyDescent="0.2">
      <c r="A86" s="624">
        <v>81</v>
      </c>
      <c r="B86" s="574">
        <v>45674</v>
      </c>
      <c r="C86" s="575" t="s">
        <v>100</v>
      </c>
      <c r="D86" s="575" t="s">
        <v>594</v>
      </c>
      <c r="E86" s="576">
        <v>111030002</v>
      </c>
      <c r="F86" s="575" t="s">
        <v>507</v>
      </c>
      <c r="G86" s="575" t="s">
        <v>604</v>
      </c>
      <c r="H86" s="576" t="s">
        <v>41</v>
      </c>
      <c r="I86" s="576" t="s">
        <v>62</v>
      </c>
      <c r="J86" s="576" t="s">
        <v>63</v>
      </c>
      <c r="K86" s="593">
        <v>45702</v>
      </c>
      <c r="L86" s="594" t="s">
        <v>597</v>
      </c>
      <c r="M86" s="594" t="s">
        <v>598</v>
      </c>
      <c r="N86" s="575">
        <v>995373670</v>
      </c>
      <c r="O86" s="596">
        <v>15</v>
      </c>
      <c r="P86" s="576" t="s">
        <v>442</v>
      </c>
      <c r="Q86" s="576" t="s">
        <v>62</v>
      </c>
      <c r="R86" s="597"/>
      <c r="S86" s="575" t="str">
        <f t="shared" si="7"/>
        <v>001-500-000046179</v>
      </c>
      <c r="T86" s="599" t="s">
        <v>599</v>
      </c>
      <c r="U86" s="621" t="s">
        <v>600</v>
      </c>
    </row>
    <row r="87" spans="1:22" ht="24" customHeight="1" x14ac:dyDescent="0.2">
      <c r="A87" s="624">
        <v>82</v>
      </c>
      <c r="B87" s="574">
        <v>45565</v>
      </c>
      <c r="C87" s="575" t="s">
        <v>605</v>
      </c>
      <c r="D87" s="575" t="s">
        <v>606</v>
      </c>
      <c r="E87" s="576">
        <v>1125700068</v>
      </c>
      <c r="F87" s="575" t="s">
        <v>110</v>
      </c>
      <c r="G87" s="575" t="s">
        <v>607</v>
      </c>
      <c r="H87" s="576" t="s">
        <v>41</v>
      </c>
      <c r="I87" s="576" t="s">
        <v>62</v>
      </c>
      <c r="J87" s="576" t="s">
        <v>63</v>
      </c>
      <c r="K87" s="593">
        <v>45702</v>
      </c>
      <c r="L87" s="594" t="s">
        <v>608</v>
      </c>
      <c r="M87" s="594" t="s">
        <v>328</v>
      </c>
      <c r="N87" s="575">
        <v>993838213</v>
      </c>
      <c r="O87" s="596">
        <v>15</v>
      </c>
      <c r="P87" s="576" t="s">
        <v>442</v>
      </c>
      <c r="Q87" s="576" t="s">
        <v>62</v>
      </c>
      <c r="R87" s="597"/>
      <c r="S87" s="575" t="str">
        <f t="shared" si="7"/>
        <v>006-002-000156802</v>
      </c>
      <c r="T87" s="598">
        <v>301755286</v>
      </c>
      <c r="U87" s="621" t="s">
        <v>609</v>
      </c>
    </row>
    <row r="88" spans="1:22" ht="24" customHeight="1" x14ac:dyDescent="0.2">
      <c r="A88" s="624">
        <v>83</v>
      </c>
      <c r="B88" s="574">
        <v>45565</v>
      </c>
      <c r="C88" s="575" t="s">
        <v>605</v>
      </c>
      <c r="D88" s="575" t="s">
        <v>606</v>
      </c>
      <c r="E88" s="576">
        <v>113430051</v>
      </c>
      <c r="F88" s="575" t="s">
        <v>556</v>
      </c>
      <c r="G88" s="575" t="s">
        <v>610</v>
      </c>
      <c r="H88" s="576" t="s">
        <v>41</v>
      </c>
      <c r="I88" s="576" t="s">
        <v>62</v>
      </c>
      <c r="J88" s="576" t="s">
        <v>63</v>
      </c>
      <c r="K88" s="593">
        <v>45702</v>
      </c>
      <c r="L88" s="594" t="s">
        <v>608</v>
      </c>
      <c r="M88" s="594" t="s">
        <v>328</v>
      </c>
      <c r="N88" s="575">
        <v>993838213</v>
      </c>
      <c r="O88" s="596">
        <v>15</v>
      </c>
      <c r="P88" s="576" t="s">
        <v>442</v>
      </c>
      <c r="Q88" s="576" t="s">
        <v>62</v>
      </c>
      <c r="R88" s="597"/>
      <c r="S88" s="575" t="str">
        <f t="shared" si="7"/>
        <v>006-002-000156802</v>
      </c>
      <c r="T88" s="598">
        <v>301755286</v>
      </c>
      <c r="U88" s="621" t="s">
        <v>609</v>
      </c>
    </row>
    <row r="89" spans="1:22" ht="24" customHeight="1" x14ac:dyDescent="0.2">
      <c r="A89" s="624">
        <v>84</v>
      </c>
      <c r="B89" s="574">
        <v>45565</v>
      </c>
      <c r="C89" s="575" t="s">
        <v>605</v>
      </c>
      <c r="D89" s="575" t="s">
        <v>606</v>
      </c>
      <c r="E89" s="576">
        <v>111000051</v>
      </c>
      <c r="F89" s="575" t="s">
        <v>137</v>
      </c>
      <c r="G89" s="575" t="s">
        <v>611</v>
      </c>
      <c r="H89" s="576" t="s">
        <v>41</v>
      </c>
      <c r="I89" s="576" t="s">
        <v>62</v>
      </c>
      <c r="J89" s="576" t="s">
        <v>63</v>
      </c>
      <c r="K89" s="593">
        <v>45702</v>
      </c>
      <c r="L89" s="594" t="s">
        <v>608</v>
      </c>
      <c r="M89" s="594" t="s">
        <v>328</v>
      </c>
      <c r="N89" s="575">
        <v>993838213</v>
      </c>
      <c r="O89" s="596">
        <v>15</v>
      </c>
      <c r="P89" s="576" t="s">
        <v>442</v>
      </c>
      <c r="Q89" s="576" t="s">
        <v>62</v>
      </c>
      <c r="R89" s="597"/>
      <c r="S89" s="575" t="str">
        <f t="shared" si="7"/>
        <v>006-002-000156802</v>
      </c>
      <c r="T89" s="598">
        <v>301755286</v>
      </c>
      <c r="U89" s="621" t="s">
        <v>609</v>
      </c>
    </row>
    <row r="90" spans="1:22" ht="24" customHeight="1" x14ac:dyDescent="0.2">
      <c r="A90" s="624">
        <v>85</v>
      </c>
      <c r="B90" s="574">
        <v>45565</v>
      </c>
      <c r="C90" s="575" t="s">
        <v>605</v>
      </c>
      <c r="D90" s="575" t="s">
        <v>606</v>
      </c>
      <c r="E90" s="576">
        <v>40584012</v>
      </c>
      <c r="F90" s="575" t="s">
        <v>535</v>
      </c>
      <c r="G90" s="575" t="s">
        <v>612</v>
      </c>
      <c r="H90" s="576" t="s">
        <v>41</v>
      </c>
      <c r="I90" s="576" t="s">
        <v>62</v>
      </c>
      <c r="J90" s="576" t="s">
        <v>63</v>
      </c>
      <c r="K90" s="593">
        <v>45702</v>
      </c>
      <c r="L90" s="594" t="s">
        <v>608</v>
      </c>
      <c r="M90" s="594" t="s">
        <v>328</v>
      </c>
      <c r="N90" s="575">
        <v>993838213</v>
      </c>
      <c r="O90" s="596">
        <v>15</v>
      </c>
      <c r="P90" s="576" t="s">
        <v>442</v>
      </c>
      <c r="Q90" s="576" t="s">
        <v>62</v>
      </c>
      <c r="R90" s="597"/>
      <c r="S90" s="575" t="str">
        <f t="shared" si="7"/>
        <v>006-002-000156802</v>
      </c>
      <c r="T90" s="598">
        <v>301755286</v>
      </c>
      <c r="U90" s="621" t="s">
        <v>609</v>
      </c>
    </row>
    <row r="91" spans="1:22" ht="24" customHeight="1" x14ac:dyDescent="0.2">
      <c r="A91" s="624">
        <v>86</v>
      </c>
      <c r="B91" s="574">
        <v>45673</v>
      </c>
      <c r="C91" s="575" t="s">
        <v>100</v>
      </c>
      <c r="D91" s="575" t="s">
        <v>613</v>
      </c>
      <c r="E91" s="576">
        <v>40467305</v>
      </c>
      <c r="F91" s="575" t="s">
        <v>128</v>
      </c>
      <c r="G91" s="575" t="s">
        <v>614</v>
      </c>
      <c r="H91" s="576" t="s">
        <v>41</v>
      </c>
      <c r="I91" s="576" t="s">
        <v>62</v>
      </c>
      <c r="J91" s="576" t="s">
        <v>63</v>
      </c>
      <c r="K91" s="593">
        <v>45702</v>
      </c>
      <c r="L91" s="594" t="s">
        <v>615</v>
      </c>
      <c r="M91" s="594" t="s">
        <v>616</v>
      </c>
      <c r="N91" s="575">
        <v>9945600827</v>
      </c>
      <c r="O91" s="596">
        <v>20</v>
      </c>
      <c r="P91" s="576" t="s">
        <v>442</v>
      </c>
      <c r="Q91" s="576" t="s">
        <v>62</v>
      </c>
      <c r="R91" s="597"/>
      <c r="S91" s="575" t="str">
        <f t="shared" si="7"/>
        <v>001-500-000070163</v>
      </c>
      <c r="T91" s="598">
        <v>105929624</v>
      </c>
      <c r="U91" s="621" t="s">
        <v>617</v>
      </c>
    </row>
    <row r="92" spans="1:22" ht="24" customHeight="1" x14ac:dyDescent="0.2">
      <c r="A92" s="624">
        <v>87</v>
      </c>
      <c r="B92" s="574">
        <v>45673</v>
      </c>
      <c r="C92" s="575" t="s">
        <v>100</v>
      </c>
      <c r="D92" s="575" t="s">
        <v>613</v>
      </c>
      <c r="E92" s="576">
        <v>112580027</v>
      </c>
      <c r="F92" s="575" t="s">
        <v>618</v>
      </c>
      <c r="G92" s="575" t="s">
        <v>619</v>
      </c>
      <c r="H92" s="576" t="s">
        <v>41</v>
      </c>
      <c r="I92" s="576" t="s">
        <v>62</v>
      </c>
      <c r="J92" s="576" t="s">
        <v>63</v>
      </c>
      <c r="K92" s="593">
        <v>45702</v>
      </c>
      <c r="L92" s="594" t="s">
        <v>615</v>
      </c>
      <c r="M92" s="594" t="s">
        <v>616</v>
      </c>
      <c r="N92" s="575">
        <v>9945600827</v>
      </c>
      <c r="O92" s="596">
        <v>20</v>
      </c>
      <c r="P92" s="576" t="s">
        <v>442</v>
      </c>
      <c r="Q92" s="576" t="s">
        <v>62</v>
      </c>
      <c r="R92" s="597"/>
      <c r="S92" s="575" t="str">
        <f t="shared" si="7"/>
        <v>001-500-000070163</v>
      </c>
      <c r="T92" s="598">
        <v>105929624</v>
      </c>
      <c r="U92" s="621" t="s">
        <v>617</v>
      </c>
    </row>
    <row r="93" spans="1:22" ht="24" customHeight="1" x14ac:dyDescent="0.2">
      <c r="A93" s="624">
        <v>88</v>
      </c>
      <c r="B93" s="574">
        <v>45706</v>
      </c>
      <c r="C93" s="575" t="s">
        <v>187</v>
      </c>
      <c r="D93" s="575" t="s">
        <v>620</v>
      </c>
      <c r="E93" s="576">
        <v>112500047</v>
      </c>
      <c r="F93" s="575" t="s">
        <v>284</v>
      </c>
      <c r="G93" s="575" t="s">
        <v>621</v>
      </c>
      <c r="H93" s="576" t="s">
        <v>41</v>
      </c>
      <c r="I93" s="576" t="s">
        <v>62</v>
      </c>
      <c r="J93" s="576" t="s">
        <v>63</v>
      </c>
      <c r="K93" s="593">
        <v>45706</v>
      </c>
      <c r="L93" s="594" t="s">
        <v>622</v>
      </c>
      <c r="M93" s="594" t="s">
        <v>623</v>
      </c>
      <c r="N93" s="575">
        <v>999266775</v>
      </c>
      <c r="O93" s="596">
        <v>20</v>
      </c>
      <c r="P93" s="576" t="s">
        <v>442</v>
      </c>
      <c r="Q93" s="576" t="s">
        <v>62</v>
      </c>
      <c r="R93" s="597"/>
      <c r="S93" s="575" t="str">
        <f t="shared" si="7"/>
        <v>040-104-000004319</v>
      </c>
      <c r="T93" s="598">
        <v>100948488</v>
      </c>
      <c r="U93" s="621" t="s">
        <v>624</v>
      </c>
    </row>
    <row r="94" spans="1:22" ht="24" customHeight="1" x14ac:dyDescent="0.2">
      <c r="A94" s="624">
        <v>89</v>
      </c>
      <c r="B94" s="574">
        <v>45706</v>
      </c>
      <c r="C94" s="575" t="s">
        <v>125</v>
      </c>
      <c r="D94" s="575" t="s">
        <v>625</v>
      </c>
      <c r="E94" s="576">
        <v>40466241</v>
      </c>
      <c r="F94" s="575" t="s">
        <v>214</v>
      </c>
      <c r="G94" s="575" t="s">
        <v>626</v>
      </c>
      <c r="H94" s="576" t="s">
        <v>41</v>
      </c>
      <c r="I94" s="576" t="s">
        <v>62</v>
      </c>
      <c r="J94" s="576" t="s">
        <v>63</v>
      </c>
      <c r="K94" s="593">
        <v>45706</v>
      </c>
      <c r="L94" s="594" t="s">
        <v>622</v>
      </c>
      <c r="M94" s="594" t="s">
        <v>623</v>
      </c>
      <c r="N94" s="575">
        <v>999266775</v>
      </c>
      <c r="O94" s="596">
        <v>20</v>
      </c>
      <c r="P94" s="576" t="s">
        <v>442</v>
      </c>
      <c r="Q94" s="576" t="s">
        <v>62</v>
      </c>
      <c r="R94" s="597"/>
      <c r="S94" s="575" t="str">
        <f t="shared" si="7"/>
        <v>016-907-000239058</v>
      </c>
      <c r="T94" s="598">
        <v>100948488</v>
      </c>
      <c r="U94" s="621" t="s">
        <v>624</v>
      </c>
    </row>
    <row r="95" spans="1:22" ht="24" customHeight="1" x14ac:dyDescent="0.2">
      <c r="A95" s="624">
        <v>90</v>
      </c>
      <c r="B95" s="648" t="s">
        <v>935</v>
      </c>
      <c r="C95" s="649" t="s">
        <v>605</v>
      </c>
      <c r="D95" s="649" t="s">
        <v>936</v>
      </c>
      <c r="E95" s="650">
        <v>111000051</v>
      </c>
      <c r="F95" s="649" t="s">
        <v>137</v>
      </c>
      <c r="G95" s="651" t="s">
        <v>937</v>
      </c>
      <c r="H95" s="575"/>
      <c r="I95" s="649" t="s">
        <v>64</v>
      </c>
      <c r="J95" s="651" t="s">
        <v>65</v>
      </c>
      <c r="K95" s="652">
        <v>45709</v>
      </c>
      <c r="L95" s="653" t="s">
        <v>938</v>
      </c>
      <c r="M95" s="653" t="s">
        <v>328</v>
      </c>
      <c r="N95" s="654" t="s">
        <v>939</v>
      </c>
      <c r="O95" s="655">
        <v>20</v>
      </c>
      <c r="P95" s="649" t="s">
        <v>442</v>
      </c>
      <c r="Q95" s="649" t="s">
        <v>64</v>
      </c>
      <c r="R95" s="656"/>
      <c r="S95" s="576" t="str">
        <f>D95</f>
        <v>006-002-000156947</v>
      </c>
      <c r="T95" s="657" t="s">
        <v>940</v>
      </c>
      <c r="U95" s="658" t="s">
        <v>941</v>
      </c>
      <c r="V95" s="659"/>
    </row>
    <row r="96" spans="1:22" ht="24" customHeight="1" x14ac:dyDescent="0.2">
      <c r="A96" s="624">
        <v>91</v>
      </c>
      <c r="B96" s="648" t="s">
        <v>935</v>
      </c>
      <c r="C96" s="649" t="s">
        <v>605</v>
      </c>
      <c r="D96" s="649" t="s">
        <v>936</v>
      </c>
      <c r="E96" s="576">
        <v>112580049</v>
      </c>
      <c r="F96" s="649" t="s">
        <v>942</v>
      </c>
      <c r="G96" s="651" t="s">
        <v>943</v>
      </c>
      <c r="H96" s="575"/>
      <c r="I96" s="649" t="s">
        <v>64</v>
      </c>
      <c r="J96" s="651" t="s">
        <v>65</v>
      </c>
      <c r="K96" s="652">
        <v>45709</v>
      </c>
      <c r="L96" s="653" t="s">
        <v>938</v>
      </c>
      <c r="M96" s="653" t="s">
        <v>328</v>
      </c>
      <c r="N96" s="654" t="s">
        <v>939</v>
      </c>
      <c r="O96" s="655">
        <v>20</v>
      </c>
      <c r="P96" s="649" t="s">
        <v>442</v>
      </c>
      <c r="Q96" s="649" t="s">
        <v>64</v>
      </c>
      <c r="R96" s="656"/>
      <c r="S96" s="576" t="str">
        <f t="shared" ref="S96:S105" si="8">D96</f>
        <v>006-002-000156947</v>
      </c>
      <c r="T96" s="657" t="s">
        <v>940</v>
      </c>
      <c r="U96" s="658" t="s">
        <v>941</v>
      </c>
      <c r="V96" s="659"/>
    </row>
    <row r="97" spans="1:22" ht="24" customHeight="1" x14ac:dyDescent="0.2">
      <c r="A97" s="624">
        <v>92</v>
      </c>
      <c r="B97" s="648">
        <v>45695</v>
      </c>
      <c r="C97" s="649" t="s">
        <v>125</v>
      </c>
      <c r="D97" s="649" t="s">
        <v>944</v>
      </c>
      <c r="E97" s="576">
        <v>112610067</v>
      </c>
      <c r="F97" s="649" t="s">
        <v>945</v>
      </c>
      <c r="G97" s="651" t="s">
        <v>946</v>
      </c>
      <c r="H97" s="575"/>
      <c r="I97" s="649" t="s">
        <v>64</v>
      </c>
      <c r="J97" s="651" t="s">
        <v>65</v>
      </c>
      <c r="K97" s="652">
        <v>45712</v>
      </c>
      <c r="L97" s="653" t="s">
        <v>947</v>
      </c>
      <c r="M97" s="653" t="s">
        <v>948</v>
      </c>
      <c r="N97" s="654" t="s">
        <v>949</v>
      </c>
      <c r="O97" s="655">
        <v>20</v>
      </c>
      <c r="P97" s="649" t="s">
        <v>442</v>
      </c>
      <c r="Q97" s="649" t="s">
        <v>64</v>
      </c>
      <c r="R97" s="656"/>
      <c r="S97" s="576" t="str">
        <f t="shared" si="8"/>
        <v>043-903-00056842</v>
      </c>
      <c r="T97" s="657" t="s">
        <v>950</v>
      </c>
      <c r="U97" s="658" t="s">
        <v>951</v>
      </c>
      <c r="V97" s="659"/>
    </row>
    <row r="98" spans="1:22" ht="24" customHeight="1" x14ac:dyDescent="0.2">
      <c r="A98" s="624">
        <v>93</v>
      </c>
      <c r="B98" s="648">
        <v>45695</v>
      </c>
      <c r="C98" s="649" t="s">
        <v>125</v>
      </c>
      <c r="D98" s="649" t="s">
        <v>944</v>
      </c>
      <c r="E98" s="576">
        <v>40590835</v>
      </c>
      <c r="F98" s="649" t="s">
        <v>275</v>
      </c>
      <c r="G98" s="651" t="s">
        <v>952</v>
      </c>
      <c r="H98" s="575"/>
      <c r="I98" s="649" t="s">
        <v>64</v>
      </c>
      <c r="J98" s="651" t="s">
        <v>65</v>
      </c>
      <c r="K98" s="652">
        <v>45712</v>
      </c>
      <c r="L98" s="653" t="s">
        <v>947</v>
      </c>
      <c r="M98" s="653" t="s">
        <v>953</v>
      </c>
      <c r="N98" s="654" t="s">
        <v>949</v>
      </c>
      <c r="O98" s="655">
        <v>20</v>
      </c>
      <c r="P98" s="649" t="s">
        <v>442</v>
      </c>
      <c r="Q98" s="649" t="s">
        <v>64</v>
      </c>
      <c r="R98" s="656"/>
      <c r="S98" s="576" t="str">
        <f t="shared" si="8"/>
        <v>043-903-00056842</v>
      </c>
      <c r="T98" s="657" t="s">
        <v>950</v>
      </c>
      <c r="U98" s="658" t="s">
        <v>951</v>
      </c>
      <c r="V98" s="659"/>
    </row>
    <row r="99" spans="1:22" ht="24" customHeight="1" x14ac:dyDescent="0.2">
      <c r="A99" s="624">
        <v>94</v>
      </c>
      <c r="B99" s="648">
        <v>45648</v>
      </c>
      <c r="C99" s="649" t="s">
        <v>190</v>
      </c>
      <c r="D99" s="649" t="s">
        <v>954</v>
      </c>
      <c r="E99" s="576">
        <v>112500049</v>
      </c>
      <c r="F99" s="649" t="s">
        <v>942</v>
      </c>
      <c r="G99" s="651" t="s">
        <v>955</v>
      </c>
      <c r="H99" s="575"/>
      <c r="I99" s="649" t="s">
        <v>64</v>
      </c>
      <c r="J99" s="651" t="s">
        <v>65</v>
      </c>
      <c r="K99" s="652">
        <v>45712</v>
      </c>
      <c r="L99" s="653" t="s">
        <v>956</v>
      </c>
      <c r="M99" s="653" t="s">
        <v>748</v>
      </c>
      <c r="N99" s="654" t="s">
        <v>957</v>
      </c>
      <c r="O99" s="655">
        <v>20</v>
      </c>
      <c r="P99" s="649" t="s">
        <v>442</v>
      </c>
      <c r="Q99" s="649" t="s">
        <v>64</v>
      </c>
      <c r="R99" s="656"/>
      <c r="S99" s="576" t="str">
        <f t="shared" si="8"/>
        <v>006-002-000157260</v>
      </c>
      <c r="T99" s="657" t="s">
        <v>958</v>
      </c>
      <c r="U99" s="658" t="s">
        <v>959</v>
      </c>
      <c r="V99" s="659"/>
    </row>
    <row r="100" spans="1:22" ht="24" customHeight="1" x14ac:dyDescent="0.2">
      <c r="A100" s="624">
        <v>95</v>
      </c>
      <c r="B100" s="648">
        <v>45648</v>
      </c>
      <c r="C100" s="649" t="s">
        <v>190</v>
      </c>
      <c r="D100" s="649" t="s">
        <v>954</v>
      </c>
      <c r="E100" s="576">
        <v>111010028</v>
      </c>
      <c r="F100" s="649" t="s">
        <v>530</v>
      </c>
      <c r="G100" s="651" t="s">
        <v>960</v>
      </c>
      <c r="H100" s="575"/>
      <c r="I100" s="649" t="s">
        <v>64</v>
      </c>
      <c r="J100" s="651" t="s">
        <v>65</v>
      </c>
      <c r="K100" s="652">
        <v>45712</v>
      </c>
      <c r="L100" s="653" t="s">
        <v>956</v>
      </c>
      <c r="M100" s="653" t="s">
        <v>748</v>
      </c>
      <c r="N100" s="654" t="s">
        <v>957</v>
      </c>
      <c r="O100" s="655">
        <v>20</v>
      </c>
      <c r="P100" s="649" t="s">
        <v>442</v>
      </c>
      <c r="Q100" s="649" t="s">
        <v>64</v>
      </c>
      <c r="R100" s="656"/>
      <c r="S100" s="576" t="str">
        <f t="shared" si="8"/>
        <v>006-002-000157260</v>
      </c>
      <c r="T100" s="657" t="s">
        <v>958</v>
      </c>
      <c r="U100" s="658" t="s">
        <v>959</v>
      </c>
      <c r="V100" s="659"/>
    </row>
    <row r="101" spans="1:22" ht="24" customHeight="1" x14ac:dyDescent="0.2">
      <c r="A101" s="624">
        <v>96</v>
      </c>
      <c r="B101" s="648">
        <v>45575</v>
      </c>
      <c r="C101" s="649" t="s">
        <v>733</v>
      </c>
      <c r="D101" s="649" t="s">
        <v>961</v>
      </c>
      <c r="E101" s="576">
        <v>112570073</v>
      </c>
      <c r="F101" s="649" t="s">
        <v>198</v>
      </c>
      <c r="G101" s="575" t="s">
        <v>962</v>
      </c>
      <c r="H101" s="575"/>
      <c r="I101" s="649" t="s">
        <v>64</v>
      </c>
      <c r="J101" s="651" t="s">
        <v>65</v>
      </c>
      <c r="K101" s="652">
        <v>45714</v>
      </c>
      <c r="L101" s="653" t="s">
        <v>963</v>
      </c>
      <c r="M101" s="653" t="s">
        <v>964</v>
      </c>
      <c r="N101" s="654" t="s">
        <v>965</v>
      </c>
      <c r="O101" s="655">
        <v>15</v>
      </c>
      <c r="P101" s="649" t="s">
        <v>442</v>
      </c>
      <c r="Q101" s="649" t="s">
        <v>64</v>
      </c>
      <c r="R101" s="656"/>
      <c r="S101" s="576" t="str">
        <f t="shared" si="8"/>
        <v>002-101-000112176</v>
      </c>
      <c r="T101" s="657" t="s">
        <v>966</v>
      </c>
      <c r="U101" s="658" t="s">
        <v>967</v>
      </c>
      <c r="V101" s="659"/>
    </row>
    <row r="102" spans="1:22" ht="24" customHeight="1" x14ac:dyDescent="0.2">
      <c r="A102" s="624">
        <v>97</v>
      </c>
      <c r="B102" s="648">
        <v>45575</v>
      </c>
      <c r="C102" s="649" t="s">
        <v>733</v>
      </c>
      <c r="D102" s="649" t="s">
        <v>961</v>
      </c>
      <c r="E102" s="576">
        <v>41560041</v>
      </c>
      <c r="F102" s="649" t="s">
        <v>968</v>
      </c>
      <c r="G102" s="575" t="s">
        <v>969</v>
      </c>
      <c r="H102" s="575"/>
      <c r="I102" s="649" t="s">
        <v>64</v>
      </c>
      <c r="J102" s="651" t="s">
        <v>65</v>
      </c>
      <c r="K102" s="652">
        <v>45714</v>
      </c>
      <c r="L102" s="653" t="s">
        <v>963</v>
      </c>
      <c r="M102" s="653" t="s">
        <v>964</v>
      </c>
      <c r="N102" s="654" t="s">
        <v>965</v>
      </c>
      <c r="O102" s="655">
        <v>15</v>
      </c>
      <c r="P102" s="649" t="s">
        <v>442</v>
      </c>
      <c r="Q102" s="649" t="s">
        <v>64</v>
      </c>
      <c r="R102" s="656"/>
      <c r="S102" s="576" t="str">
        <f t="shared" si="8"/>
        <v>002-101-000112176</v>
      </c>
      <c r="T102" s="657" t="s">
        <v>966</v>
      </c>
      <c r="U102" s="658" t="s">
        <v>967</v>
      </c>
      <c r="V102" s="659"/>
    </row>
    <row r="103" spans="1:22" ht="24" customHeight="1" x14ac:dyDescent="0.2">
      <c r="A103" s="624">
        <v>98</v>
      </c>
      <c r="B103" s="648">
        <v>45575</v>
      </c>
      <c r="C103" s="649" t="s">
        <v>733</v>
      </c>
      <c r="D103" s="649" t="s">
        <v>961</v>
      </c>
      <c r="E103" s="576">
        <v>40455334</v>
      </c>
      <c r="F103" s="649" t="s">
        <v>736</v>
      </c>
      <c r="G103" s="651" t="s">
        <v>970</v>
      </c>
      <c r="H103" s="575"/>
      <c r="I103" s="649" t="s">
        <v>64</v>
      </c>
      <c r="J103" s="651" t="s">
        <v>65</v>
      </c>
      <c r="K103" s="652">
        <v>45714</v>
      </c>
      <c r="L103" s="653" t="s">
        <v>963</v>
      </c>
      <c r="M103" s="653" t="s">
        <v>964</v>
      </c>
      <c r="N103" s="654" t="s">
        <v>965</v>
      </c>
      <c r="O103" s="655">
        <v>15</v>
      </c>
      <c r="P103" s="649" t="s">
        <v>442</v>
      </c>
      <c r="Q103" s="649" t="s">
        <v>64</v>
      </c>
      <c r="R103" s="656"/>
      <c r="S103" s="576" t="str">
        <f t="shared" si="8"/>
        <v>002-101-000112176</v>
      </c>
      <c r="T103" s="657" t="s">
        <v>966</v>
      </c>
      <c r="U103" s="658" t="s">
        <v>967</v>
      </c>
      <c r="V103" s="659"/>
    </row>
    <row r="104" spans="1:22" ht="24" customHeight="1" x14ac:dyDescent="0.2">
      <c r="A104" s="624">
        <v>99</v>
      </c>
      <c r="B104" s="648">
        <v>45704</v>
      </c>
      <c r="C104" s="649" t="s">
        <v>100</v>
      </c>
      <c r="D104" s="649" t="s">
        <v>971</v>
      </c>
      <c r="E104" s="576">
        <v>112580027</v>
      </c>
      <c r="F104" s="649" t="s">
        <v>517</v>
      </c>
      <c r="G104" s="649" t="s">
        <v>972</v>
      </c>
      <c r="H104" s="575"/>
      <c r="I104" s="649" t="s">
        <v>64</v>
      </c>
      <c r="J104" s="651" t="s">
        <v>65</v>
      </c>
      <c r="K104" s="652">
        <v>45714</v>
      </c>
      <c r="L104" s="653" t="s">
        <v>973</v>
      </c>
      <c r="M104" s="653" t="s">
        <v>974</v>
      </c>
      <c r="N104" s="654" t="s">
        <v>975</v>
      </c>
      <c r="O104" s="655">
        <v>20</v>
      </c>
      <c r="P104" s="649" t="s">
        <v>442</v>
      </c>
      <c r="Q104" s="649" t="s">
        <v>64</v>
      </c>
      <c r="R104" s="656"/>
      <c r="S104" s="576" t="str">
        <f t="shared" si="8"/>
        <v>001-501-000006096</v>
      </c>
      <c r="T104" s="657" t="s">
        <v>976</v>
      </c>
      <c r="U104" s="658" t="s">
        <v>977</v>
      </c>
      <c r="V104" s="659"/>
    </row>
    <row r="105" spans="1:22" ht="24" customHeight="1" x14ac:dyDescent="0.2">
      <c r="A105" s="624">
        <v>100</v>
      </c>
      <c r="B105" s="648">
        <v>45704</v>
      </c>
      <c r="C105" s="649" t="s">
        <v>100</v>
      </c>
      <c r="D105" s="649" t="s">
        <v>971</v>
      </c>
      <c r="E105" s="660">
        <v>111000051</v>
      </c>
      <c r="F105" s="661" t="s">
        <v>137</v>
      </c>
      <c r="G105" s="661" t="s">
        <v>978</v>
      </c>
      <c r="H105" s="662"/>
      <c r="I105" s="661" t="s">
        <v>64</v>
      </c>
      <c r="J105" s="663" t="s">
        <v>65</v>
      </c>
      <c r="K105" s="652">
        <v>45714</v>
      </c>
      <c r="L105" s="653" t="s">
        <v>973</v>
      </c>
      <c r="M105" s="653" t="s">
        <v>974</v>
      </c>
      <c r="N105" s="654" t="s">
        <v>975</v>
      </c>
      <c r="O105" s="655">
        <v>20</v>
      </c>
      <c r="P105" s="661" t="s">
        <v>442</v>
      </c>
      <c r="Q105" s="661" t="s">
        <v>64</v>
      </c>
      <c r="R105" s="664"/>
      <c r="S105" s="576" t="str">
        <f t="shared" si="8"/>
        <v>001-501-000006096</v>
      </c>
      <c r="T105" s="657" t="s">
        <v>976</v>
      </c>
      <c r="U105" s="658" t="s">
        <v>977</v>
      </c>
      <c r="V105" s="659"/>
    </row>
    <row r="106" spans="1:22" ht="24" customHeight="1" x14ac:dyDescent="0.2">
      <c r="A106" s="624">
        <v>101</v>
      </c>
      <c r="B106" s="648">
        <v>45712</v>
      </c>
      <c r="C106" s="649" t="s">
        <v>100</v>
      </c>
      <c r="D106" s="649" t="s">
        <v>979</v>
      </c>
      <c r="E106" s="650">
        <v>40461543</v>
      </c>
      <c r="F106" s="649" t="s">
        <v>980</v>
      </c>
      <c r="G106" s="651" t="s">
        <v>981</v>
      </c>
      <c r="H106" s="575"/>
      <c r="I106" s="649" t="s">
        <v>64</v>
      </c>
      <c r="J106" s="651" t="s">
        <v>65</v>
      </c>
      <c r="K106" s="652">
        <v>45714</v>
      </c>
      <c r="L106" s="653" t="s">
        <v>982</v>
      </c>
      <c r="M106" s="653" t="s">
        <v>983</v>
      </c>
      <c r="N106" s="654" t="s">
        <v>984</v>
      </c>
      <c r="O106" s="655">
        <v>20</v>
      </c>
      <c r="P106" s="649" t="s">
        <v>442</v>
      </c>
      <c r="Q106" s="649" t="s">
        <v>64</v>
      </c>
      <c r="R106" s="656"/>
      <c r="S106" s="576" t="str">
        <f>D106</f>
        <v>001-500-000071190</v>
      </c>
      <c r="T106" s="657" t="s">
        <v>985</v>
      </c>
      <c r="U106" s="658" t="s">
        <v>986</v>
      </c>
    </row>
    <row r="107" spans="1:22" ht="24" customHeight="1" x14ac:dyDescent="0.2">
      <c r="A107" s="624">
        <v>102</v>
      </c>
      <c r="B107" s="648">
        <v>45712</v>
      </c>
      <c r="C107" s="649" t="s">
        <v>100</v>
      </c>
      <c r="D107" s="649" t="s">
        <v>979</v>
      </c>
      <c r="E107" s="650">
        <v>40461543</v>
      </c>
      <c r="F107" s="649" t="s">
        <v>980</v>
      </c>
      <c r="G107" s="651" t="s">
        <v>987</v>
      </c>
      <c r="H107" s="575"/>
      <c r="I107" s="649" t="s">
        <v>64</v>
      </c>
      <c r="J107" s="651" t="s">
        <v>65</v>
      </c>
      <c r="K107" s="652">
        <v>45714</v>
      </c>
      <c r="L107" s="653" t="s">
        <v>982</v>
      </c>
      <c r="M107" s="653" t="s">
        <v>983</v>
      </c>
      <c r="N107" s="654" t="s">
        <v>984</v>
      </c>
      <c r="O107" s="655">
        <v>20</v>
      </c>
      <c r="P107" s="649" t="s">
        <v>442</v>
      </c>
      <c r="Q107" s="649" t="s">
        <v>64</v>
      </c>
      <c r="R107" s="656"/>
      <c r="S107" s="576" t="str">
        <f t="shared" ref="S107:S141" si="9">D107</f>
        <v>001-500-000071190</v>
      </c>
      <c r="T107" s="657" t="s">
        <v>985</v>
      </c>
      <c r="U107" s="658" t="s">
        <v>986</v>
      </c>
    </row>
    <row r="108" spans="1:22" ht="24" customHeight="1" x14ac:dyDescent="0.2">
      <c r="A108" s="624">
        <v>103</v>
      </c>
      <c r="B108" s="648">
        <v>45522</v>
      </c>
      <c r="C108" s="649" t="s">
        <v>187</v>
      </c>
      <c r="D108" s="649" t="s">
        <v>988</v>
      </c>
      <c r="E108" s="576">
        <v>40480321</v>
      </c>
      <c r="F108" s="649" t="s">
        <v>111</v>
      </c>
      <c r="G108" s="651" t="s">
        <v>989</v>
      </c>
      <c r="H108" s="575"/>
      <c r="I108" s="649" t="s">
        <v>64</v>
      </c>
      <c r="J108" s="651" t="s">
        <v>65</v>
      </c>
      <c r="K108" s="652">
        <v>45715</v>
      </c>
      <c r="L108" s="653" t="s">
        <v>990</v>
      </c>
      <c r="M108" s="653" t="s">
        <v>991</v>
      </c>
      <c r="N108" s="654" t="s">
        <v>992</v>
      </c>
      <c r="O108" s="655">
        <v>15</v>
      </c>
      <c r="P108" s="649" t="s">
        <v>442</v>
      </c>
      <c r="Q108" s="649" t="s">
        <v>64</v>
      </c>
      <c r="R108" s="656"/>
      <c r="S108" s="576" t="str">
        <f t="shared" si="9"/>
        <v>040-103-000007443</v>
      </c>
      <c r="T108" s="657" t="s">
        <v>993</v>
      </c>
      <c r="U108" s="658" t="s">
        <v>994</v>
      </c>
    </row>
    <row r="109" spans="1:22" ht="24" customHeight="1" x14ac:dyDescent="0.2">
      <c r="A109" s="624">
        <v>104</v>
      </c>
      <c r="B109" s="648">
        <v>45522</v>
      </c>
      <c r="C109" s="649" t="s">
        <v>187</v>
      </c>
      <c r="D109" s="649" t="s">
        <v>988</v>
      </c>
      <c r="E109" s="576">
        <v>112580027</v>
      </c>
      <c r="F109" s="649" t="s">
        <v>517</v>
      </c>
      <c r="G109" s="651" t="s">
        <v>995</v>
      </c>
      <c r="H109" s="575"/>
      <c r="I109" s="649" t="s">
        <v>64</v>
      </c>
      <c r="J109" s="651" t="s">
        <v>65</v>
      </c>
      <c r="K109" s="652">
        <v>45715</v>
      </c>
      <c r="L109" s="653" t="s">
        <v>990</v>
      </c>
      <c r="M109" s="653" t="s">
        <v>991</v>
      </c>
      <c r="N109" s="654" t="s">
        <v>992</v>
      </c>
      <c r="O109" s="655">
        <v>15</v>
      </c>
      <c r="P109" s="649" t="s">
        <v>442</v>
      </c>
      <c r="Q109" s="649" t="s">
        <v>64</v>
      </c>
      <c r="R109" s="656"/>
      <c r="S109" s="576" t="str">
        <f t="shared" si="9"/>
        <v>040-103-000007443</v>
      </c>
      <c r="T109" s="657" t="s">
        <v>993</v>
      </c>
      <c r="U109" s="658" t="s">
        <v>994</v>
      </c>
    </row>
    <row r="110" spans="1:22" ht="24" customHeight="1" x14ac:dyDescent="0.2">
      <c r="A110" s="624">
        <v>105</v>
      </c>
      <c r="B110" s="648">
        <v>45522</v>
      </c>
      <c r="C110" s="649" t="s">
        <v>187</v>
      </c>
      <c r="D110" s="649" t="s">
        <v>988</v>
      </c>
      <c r="E110" s="576">
        <v>111010041</v>
      </c>
      <c r="F110" s="649" t="s">
        <v>996</v>
      </c>
      <c r="G110" s="651" t="s">
        <v>997</v>
      </c>
      <c r="H110" s="575"/>
      <c r="I110" s="649" t="s">
        <v>64</v>
      </c>
      <c r="J110" s="651" t="s">
        <v>65</v>
      </c>
      <c r="K110" s="652">
        <v>45715</v>
      </c>
      <c r="L110" s="653" t="s">
        <v>990</v>
      </c>
      <c r="M110" s="653" t="s">
        <v>991</v>
      </c>
      <c r="N110" s="654" t="s">
        <v>992</v>
      </c>
      <c r="O110" s="655">
        <v>15</v>
      </c>
      <c r="P110" s="649" t="s">
        <v>442</v>
      </c>
      <c r="Q110" s="649" t="s">
        <v>64</v>
      </c>
      <c r="R110" s="656"/>
      <c r="S110" s="576" t="str">
        <f t="shared" si="9"/>
        <v>040-103-000007443</v>
      </c>
      <c r="T110" s="657" t="s">
        <v>993</v>
      </c>
      <c r="U110" s="658" t="s">
        <v>994</v>
      </c>
    </row>
    <row r="111" spans="1:22" ht="24" customHeight="1" x14ac:dyDescent="0.2">
      <c r="A111" s="624">
        <v>106</v>
      </c>
      <c r="B111" s="648">
        <v>45703</v>
      </c>
      <c r="C111" s="649" t="s">
        <v>100</v>
      </c>
      <c r="D111" s="649" t="s">
        <v>998</v>
      </c>
      <c r="E111" s="576">
        <v>112580058</v>
      </c>
      <c r="F111" s="649" t="s">
        <v>334</v>
      </c>
      <c r="G111" s="651" t="s">
        <v>999</v>
      </c>
      <c r="H111" s="575"/>
      <c r="I111" s="649" t="s">
        <v>64</v>
      </c>
      <c r="J111" s="651" t="s">
        <v>65</v>
      </c>
      <c r="K111" s="652">
        <v>45715</v>
      </c>
      <c r="L111" s="653" t="s">
        <v>1000</v>
      </c>
      <c r="M111" s="653" t="s">
        <v>1001</v>
      </c>
      <c r="N111" s="654" t="s">
        <v>1002</v>
      </c>
      <c r="O111" s="655">
        <v>20</v>
      </c>
      <c r="P111" s="649" t="s">
        <v>442</v>
      </c>
      <c r="Q111" s="649" t="s">
        <v>64</v>
      </c>
      <c r="R111" s="656"/>
      <c r="S111" s="576" t="str">
        <f t="shared" si="9"/>
        <v>001-500-000070969</v>
      </c>
      <c r="T111" s="657" t="s">
        <v>1003</v>
      </c>
      <c r="U111" s="658" t="s">
        <v>1004</v>
      </c>
    </row>
    <row r="112" spans="1:22" ht="24" customHeight="1" x14ac:dyDescent="0.2">
      <c r="A112" s="624">
        <v>107</v>
      </c>
      <c r="B112" s="648">
        <v>45703</v>
      </c>
      <c r="C112" s="649" t="s">
        <v>100</v>
      </c>
      <c r="D112" s="649" t="s">
        <v>998</v>
      </c>
      <c r="E112" s="576">
        <v>40466111</v>
      </c>
      <c r="F112" s="649" t="s">
        <v>252</v>
      </c>
      <c r="G112" s="575" t="s">
        <v>1005</v>
      </c>
      <c r="H112" s="575"/>
      <c r="I112" s="649" t="s">
        <v>64</v>
      </c>
      <c r="J112" s="651" t="s">
        <v>65</v>
      </c>
      <c r="K112" s="652">
        <v>45715</v>
      </c>
      <c r="L112" s="653" t="s">
        <v>1000</v>
      </c>
      <c r="M112" s="653" t="s">
        <v>1001</v>
      </c>
      <c r="N112" s="654" t="s">
        <v>1002</v>
      </c>
      <c r="O112" s="655">
        <v>20</v>
      </c>
      <c r="P112" s="649" t="s">
        <v>442</v>
      </c>
      <c r="Q112" s="649" t="s">
        <v>64</v>
      </c>
      <c r="R112" s="656"/>
      <c r="S112" s="576" t="str">
        <f t="shared" si="9"/>
        <v>001-500-000070969</v>
      </c>
      <c r="T112" s="657" t="s">
        <v>1003</v>
      </c>
      <c r="U112" s="658" t="s">
        <v>1004</v>
      </c>
    </row>
    <row r="113" spans="1:21" ht="24" customHeight="1" x14ac:dyDescent="0.2">
      <c r="A113" s="624">
        <v>108</v>
      </c>
      <c r="B113" s="648">
        <v>45681</v>
      </c>
      <c r="C113" s="649" t="s">
        <v>100</v>
      </c>
      <c r="D113" s="649" t="s">
        <v>1006</v>
      </c>
      <c r="E113" s="576">
        <v>112610069</v>
      </c>
      <c r="F113" s="649" t="s">
        <v>1007</v>
      </c>
      <c r="G113" s="575" t="s">
        <v>1008</v>
      </c>
      <c r="H113" s="575"/>
      <c r="I113" s="649" t="s">
        <v>64</v>
      </c>
      <c r="J113" s="651" t="s">
        <v>65</v>
      </c>
      <c r="K113" s="652">
        <v>45681</v>
      </c>
      <c r="L113" s="653" t="s">
        <v>1009</v>
      </c>
      <c r="M113" s="653" t="s">
        <v>1010</v>
      </c>
      <c r="N113" s="654" t="s">
        <v>1011</v>
      </c>
      <c r="O113" s="655">
        <v>20</v>
      </c>
      <c r="P113" s="649" t="s">
        <v>442</v>
      </c>
      <c r="Q113" s="649" t="s">
        <v>64</v>
      </c>
      <c r="R113" s="656"/>
      <c r="S113" s="576" t="str">
        <f t="shared" si="9"/>
        <v>001-500-000070384</v>
      </c>
      <c r="T113" s="657" t="s">
        <v>1012</v>
      </c>
      <c r="U113" s="658" t="s">
        <v>1013</v>
      </c>
    </row>
    <row r="114" spans="1:21" ht="24" customHeight="1" x14ac:dyDescent="0.2">
      <c r="A114" s="624">
        <v>109</v>
      </c>
      <c r="B114" s="648">
        <v>45681</v>
      </c>
      <c r="C114" s="649" t="s">
        <v>100</v>
      </c>
      <c r="D114" s="649" t="s">
        <v>1006</v>
      </c>
      <c r="E114" s="576">
        <v>41596006</v>
      </c>
      <c r="F114" s="649" t="s">
        <v>1014</v>
      </c>
      <c r="G114" s="651" t="s">
        <v>1015</v>
      </c>
      <c r="H114" s="575"/>
      <c r="I114" s="649" t="s">
        <v>64</v>
      </c>
      <c r="J114" s="651" t="s">
        <v>65</v>
      </c>
      <c r="K114" s="652">
        <v>45681</v>
      </c>
      <c r="L114" s="653" t="s">
        <v>1009</v>
      </c>
      <c r="M114" s="653" t="s">
        <v>1010</v>
      </c>
      <c r="N114" s="654" t="s">
        <v>1011</v>
      </c>
      <c r="O114" s="655">
        <v>20</v>
      </c>
      <c r="P114" s="649" t="s">
        <v>442</v>
      </c>
      <c r="Q114" s="649" t="s">
        <v>64</v>
      </c>
      <c r="R114" s="656"/>
      <c r="S114" s="576" t="str">
        <f t="shared" si="9"/>
        <v>001-500-000070384</v>
      </c>
      <c r="T114" s="657" t="s">
        <v>1012</v>
      </c>
      <c r="U114" s="658" t="s">
        <v>1013</v>
      </c>
    </row>
    <row r="115" spans="1:21" ht="24" customHeight="1" x14ac:dyDescent="0.2">
      <c r="A115" s="624">
        <v>110</v>
      </c>
      <c r="B115" s="648">
        <v>45666</v>
      </c>
      <c r="C115" s="649" t="s">
        <v>100</v>
      </c>
      <c r="D115" s="649" t="s">
        <v>1016</v>
      </c>
      <c r="E115" s="576">
        <v>40466111</v>
      </c>
      <c r="F115" s="649" t="s">
        <v>1017</v>
      </c>
      <c r="G115" s="649" t="s">
        <v>1018</v>
      </c>
      <c r="H115" s="575"/>
      <c r="I115" s="649" t="s">
        <v>64</v>
      </c>
      <c r="J115" s="651" t="s">
        <v>65</v>
      </c>
      <c r="K115" s="652">
        <v>45716</v>
      </c>
      <c r="L115" s="653" t="s">
        <v>1019</v>
      </c>
      <c r="M115" s="653" t="s">
        <v>1020</v>
      </c>
      <c r="N115" s="654" t="s">
        <v>1021</v>
      </c>
      <c r="O115" s="655">
        <v>20</v>
      </c>
      <c r="P115" s="649" t="s">
        <v>442</v>
      </c>
      <c r="Q115" s="649" t="s">
        <v>64</v>
      </c>
      <c r="R115" s="656"/>
      <c r="S115" s="576" t="str">
        <f t="shared" si="9"/>
        <v>001-500-000069931</v>
      </c>
      <c r="T115" s="657" t="s">
        <v>1022</v>
      </c>
      <c r="U115" s="658" t="s">
        <v>1023</v>
      </c>
    </row>
    <row r="116" spans="1:21" ht="24" customHeight="1" x14ac:dyDescent="0.2">
      <c r="A116" s="624">
        <v>111</v>
      </c>
      <c r="B116" s="648">
        <v>45666</v>
      </c>
      <c r="C116" s="649" t="s">
        <v>100</v>
      </c>
      <c r="D116" s="649" t="s">
        <v>1016</v>
      </c>
      <c r="E116" s="660">
        <v>112580058</v>
      </c>
      <c r="F116" s="661" t="s">
        <v>334</v>
      </c>
      <c r="G116" s="661" t="s">
        <v>1024</v>
      </c>
      <c r="H116" s="662"/>
      <c r="I116" s="661" t="s">
        <v>64</v>
      </c>
      <c r="J116" s="663" t="s">
        <v>65</v>
      </c>
      <c r="K116" s="652">
        <v>45716</v>
      </c>
      <c r="L116" s="653" t="s">
        <v>1019</v>
      </c>
      <c r="M116" s="653" t="s">
        <v>1020</v>
      </c>
      <c r="N116" s="654" t="s">
        <v>1021</v>
      </c>
      <c r="O116" s="655">
        <v>20</v>
      </c>
      <c r="P116" s="661" t="s">
        <v>442</v>
      </c>
      <c r="Q116" s="661" t="s">
        <v>64</v>
      </c>
      <c r="R116" s="664"/>
      <c r="S116" s="576" t="str">
        <f t="shared" si="9"/>
        <v>001-500-000069931</v>
      </c>
      <c r="T116" s="657" t="s">
        <v>1022</v>
      </c>
      <c r="U116" s="658" t="s">
        <v>1023</v>
      </c>
    </row>
    <row r="117" spans="1:21" ht="24" customHeight="1" x14ac:dyDescent="0.2">
      <c r="A117" s="624">
        <v>112</v>
      </c>
      <c r="B117" s="648">
        <v>45712</v>
      </c>
      <c r="C117" s="649" t="s">
        <v>100</v>
      </c>
      <c r="D117" s="649" t="s">
        <v>1025</v>
      </c>
      <c r="E117" s="576">
        <v>112950021</v>
      </c>
      <c r="F117" s="649" t="s">
        <v>522</v>
      </c>
      <c r="G117" s="575" t="s">
        <v>1026</v>
      </c>
      <c r="H117" s="575"/>
      <c r="I117" s="649" t="s">
        <v>64</v>
      </c>
      <c r="J117" s="651" t="s">
        <v>65</v>
      </c>
      <c r="K117" s="652">
        <v>45716</v>
      </c>
      <c r="L117" s="653" t="s">
        <v>1027</v>
      </c>
      <c r="M117" s="653" t="s">
        <v>148</v>
      </c>
      <c r="N117" s="654" t="s">
        <v>1028</v>
      </c>
      <c r="O117" s="655">
        <v>20</v>
      </c>
      <c r="P117" s="649" t="s">
        <v>442</v>
      </c>
      <c r="Q117" s="649" t="s">
        <v>64</v>
      </c>
      <c r="R117" s="656"/>
      <c r="S117" s="576" t="str">
        <f t="shared" si="9"/>
        <v>001-500-000071215</v>
      </c>
      <c r="T117" s="657" t="s">
        <v>1029</v>
      </c>
      <c r="U117" s="658" t="s">
        <v>1030</v>
      </c>
    </row>
    <row r="118" spans="1:21" ht="24" customHeight="1" x14ac:dyDescent="0.2">
      <c r="A118" s="624">
        <v>113</v>
      </c>
      <c r="B118" s="648">
        <v>45712</v>
      </c>
      <c r="C118" s="649" t="s">
        <v>100</v>
      </c>
      <c r="D118" s="649" t="s">
        <v>1025</v>
      </c>
      <c r="E118" s="576">
        <v>112500034</v>
      </c>
      <c r="F118" s="649" t="s">
        <v>1031</v>
      </c>
      <c r="G118" s="651" t="s">
        <v>1032</v>
      </c>
      <c r="H118" s="575"/>
      <c r="I118" s="649" t="s">
        <v>64</v>
      </c>
      <c r="J118" s="651" t="s">
        <v>65</v>
      </c>
      <c r="K118" s="652">
        <v>45716</v>
      </c>
      <c r="L118" s="653" t="s">
        <v>1027</v>
      </c>
      <c r="M118" s="653" t="s">
        <v>148</v>
      </c>
      <c r="N118" s="654" t="s">
        <v>1028</v>
      </c>
      <c r="O118" s="655">
        <v>20</v>
      </c>
      <c r="P118" s="649" t="s">
        <v>442</v>
      </c>
      <c r="Q118" s="649" t="s">
        <v>64</v>
      </c>
      <c r="R118" s="656"/>
      <c r="S118" s="576" t="str">
        <f t="shared" si="9"/>
        <v>001-500-000071215</v>
      </c>
      <c r="T118" s="657" t="s">
        <v>1029</v>
      </c>
      <c r="U118" s="658" t="s">
        <v>1030</v>
      </c>
    </row>
    <row r="119" spans="1:21" ht="24" customHeight="1" x14ac:dyDescent="0.2">
      <c r="A119" s="624">
        <v>114</v>
      </c>
      <c r="B119" s="648">
        <v>45673</v>
      </c>
      <c r="C119" s="649" t="s">
        <v>100</v>
      </c>
      <c r="D119" s="649" t="s">
        <v>1033</v>
      </c>
      <c r="E119" s="576">
        <v>112580058</v>
      </c>
      <c r="F119" s="649" t="s">
        <v>334</v>
      </c>
      <c r="G119" s="649" t="s">
        <v>1034</v>
      </c>
      <c r="H119" s="575"/>
      <c r="I119" s="649" t="s">
        <v>64</v>
      </c>
      <c r="J119" s="651" t="s">
        <v>65</v>
      </c>
      <c r="K119" s="652">
        <v>45723</v>
      </c>
      <c r="L119" s="653" t="s">
        <v>1035</v>
      </c>
      <c r="M119" s="653" t="s">
        <v>1036</v>
      </c>
      <c r="N119" s="654" t="s">
        <v>1037</v>
      </c>
      <c r="O119" s="655">
        <v>20</v>
      </c>
      <c r="P119" s="649" t="s">
        <v>442</v>
      </c>
      <c r="Q119" s="649" t="s">
        <v>64</v>
      </c>
      <c r="R119" s="656"/>
      <c r="S119" s="576" t="str">
        <f t="shared" si="9"/>
        <v>001-500-000070170</v>
      </c>
      <c r="T119" s="657" t="s">
        <v>1038</v>
      </c>
      <c r="U119" s="658" t="s">
        <v>1039</v>
      </c>
    </row>
    <row r="120" spans="1:21" ht="24" customHeight="1" x14ac:dyDescent="0.2">
      <c r="A120" s="624">
        <v>115</v>
      </c>
      <c r="B120" s="648">
        <v>45673</v>
      </c>
      <c r="C120" s="649" t="s">
        <v>100</v>
      </c>
      <c r="D120" s="649" t="s">
        <v>1033</v>
      </c>
      <c r="E120" s="660">
        <v>111010040</v>
      </c>
      <c r="F120" s="661" t="s">
        <v>1040</v>
      </c>
      <c r="G120" s="661" t="s">
        <v>1041</v>
      </c>
      <c r="H120" s="662"/>
      <c r="I120" s="661" t="s">
        <v>64</v>
      </c>
      <c r="J120" s="663" t="s">
        <v>65</v>
      </c>
      <c r="K120" s="652">
        <v>45723</v>
      </c>
      <c r="L120" s="653" t="s">
        <v>1035</v>
      </c>
      <c r="M120" s="653" t="s">
        <v>1036</v>
      </c>
      <c r="N120" s="654" t="s">
        <v>1037</v>
      </c>
      <c r="O120" s="655">
        <v>20</v>
      </c>
      <c r="P120" s="661" t="s">
        <v>442</v>
      </c>
      <c r="Q120" s="661" t="s">
        <v>64</v>
      </c>
      <c r="R120" s="664"/>
      <c r="S120" s="576" t="str">
        <f t="shared" si="9"/>
        <v>001-500-000070170</v>
      </c>
      <c r="T120" s="657" t="s">
        <v>1038</v>
      </c>
      <c r="U120" s="658" t="s">
        <v>1039</v>
      </c>
    </row>
    <row r="121" spans="1:21" ht="24" customHeight="1" x14ac:dyDescent="0.2">
      <c r="A121" s="624">
        <v>116</v>
      </c>
      <c r="B121" s="648">
        <v>45713</v>
      </c>
      <c r="C121" s="649" t="s">
        <v>125</v>
      </c>
      <c r="D121" s="649" t="s">
        <v>1042</v>
      </c>
      <c r="E121" s="576">
        <v>40466111</v>
      </c>
      <c r="F121" s="649" t="s">
        <v>252</v>
      </c>
      <c r="G121" s="575" t="s">
        <v>1043</v>
      </c>
      <c r="H121" s="575"/>
      <c r="I121" s="649" t="s">
        <v>64</v>
      </c>
      <c r="J121" s="651" t="s">
        <v>65</v>
      </c>
      <c r="K121" s="652">
        <v>45726</v>
      </c>
      <c r="L121" s="653" t="s">
        <v>1044</v>
      </c>
      <c r="M121" s="653" t="s">
        <v>1045</v>
      </c>
      <c r="N121" s="654" t="s">
        <v>1046</v>
      </c>
      <c r="O121" s="655">
        <v>20</v>
      </c>
      <c r="P121" s="649" t="s">
        <v>442</v>
      </c>
      <c r="Q121" s="649" t="s">
        <v>64</v>
      </c>
      <c r="R121" s="656"/>
      <c r="S121" s="576" t="str">
        <f t="shared" si="9"/>
        <v>016-902-000499261</v>
      </c>
      <c r="T121" s="657" t="s">
        <v>1047</v>
      </c>
      <c r="U121" s="658" t="s">
        <v>1048</v>
      </c>
    </row>
    <row r="122" spans="1:21" ht="24" customHeight="1" x14ac:dyDescent="0.2">
      <c r="A122" s="624">
        <v>117</v>
      </c>
      <c r="B122" s="648">
        <v>45713</v>
      </c>
      <c r="C122" s="649" t="s">
        <v>125</v>
      </c>
      <c r="D122" s="649" t="s">
        <v>1042</v>
      </c>
      <c r="E122" s="576">
        <v>112580058</v>
      </c>
      <c r="F122" s="649" t="s">
        <v>334</v>
      </c>
      <c r="G122" s="651" t="s">
        <v>1049</v>
      </c>
      <c r="H122" s="575"/>
      <c r="I122" s="649" t="s">
        <v>64</v>
      </c>
      <c r="J122" s="651" t="s">
        <v>65</v>
      </c>
      <c r="K122" s="652">
        <v>45726</v>
      </c>
      <c r="L122" s="653" t="s">
        <v>1044</v>
      </c>
      <c r="M122" s="653" t="s">
        <v>1045</v>
      </c>
      <c r="N122" s="654" t="s">
        <v>1046</v>
      </c>
      <c r="O122" s="655">
        <v>20</v>
      </c>
      <c r="P122" s="649" t="s">
        <v>442</v>
      </c>
      <c r="Q122" s="649" t="s">
        <v>64</v>
      </c>
      <c r="R122" s="656"/>
      <c r="S122" s="576" t="str">
        <f t="shared" si="9"/>
        <v>016-902-000499261</v>
      </c>
      <c r="T122" s="657" t="s">
        <v>1047</v>
      </c>
      <c r="U122" s="658" t="s">
        <v>1048</v>
      </c>
    </row>
    <row r="123" spans="1:21" ht="24" customHeight="1" x14ac:dyDescent="0.2">
      <c r="A123" s="624">
        <v>118</v>
      </c>
      <c r="B123" s="648">
        <v>45714</v>
      </c>
      <c r="C123" s="649" t="s">
        <v>187</v>
      </c>
      <c r="D123" s="649" t="s">
        <v>1050</v>
      </c>
      <c r="E123" s="576">
        <v>40485141</v>
      </c>
      <c r="F123" s="649" t="s">
        <v>1051</v>
      </c>
      <c r="G123" s="649" t="s">
        <v>1052</v>
      </c>
      <c r="H123" s="575"/>
      <c r="I123" s="649" t="s">
        <v>64</v>
      </c>
      <c r="J123" s="651" t="s">
        <v>65</v>
      </c>
      <c r="K123" s="652">
        <v>45728</v>
      </c>
      <c r="L123" s="653" t="s">
        <v>1053</v>
      </c>
      <c r="M123" s="653" t="s">
        <v>748</v>
      </c>
      <c r="N123" s="654" t="s">
        <v>1054</v>
      </c>
      <c r="O123" s="655">
        <v>30</v>
      </c>
      <c r="P123" s="649" t="s">
        <v>442</v>
      </c>
      <c r="Q123" s="649" t="s">
        <v>64</v>
      </c>
      <c r="R123" s="656"/>
      <c r="S123" s="576" t="str">
        <f t="shared" si="9"/>
        <v>040-103-000012164</v>
      </c>
      <c r="T123" s="657" t="s">
        <v>1055</v>
      </c>
      <c r="U123" s="658" t="s">
        <v>1056</v>
      </c>
    </row>
    <row r="124" spans="1:21" ht="24" customHeight="1" x14ac:dyDescent="0.2">
      <c r="A124" s="624">
        <v>119</v>
      </c>
      <c r="B124" s="648">
        <v>45714</v>
      </c>
      <c r="C124" s="649" t="s">
        <v>187</v>
      </c>
      <c r="D124" s="649" t="s">
        <v>1050</v>
      </c>
      <c r="E124" s="660">
        <v>112520025</v>
      </c>
      <c r="F124" s="661" t="s">
        <v>91</v>
      </c>
      <c r="G124" s="661" t="s">
        <v>1057</v>
      </c>
      <c r="H124" s="662"/>
      <c r="I124" s="661" t="s">
        <v>64</v>
      </c>
      <c r="J124" s="663" t="s">
        <v>65</v>
      </c>
      <c r="K124" s="652">
        <v>45728</v>
      </c>
      <c r="L124" s="653" t="s">
        <v>1053</v>
      </c>
      <c r="M124" s="653" t="s">
        <v>748</v>
      </c>
      <c r="N124" s="654" t="s">
        <v>1054</v>
      </c>
      <c r="O124" s="655">
        <v>15</v>
      </c>
      <c r="P124" s="649" t="s">
        <v>442</v>
      </c>
      <c r="Q124" s="649" t="s">
        <v>64</v>
      </c>
      <c r="R124" s="656"/>
      <c r="S124" s="576" t="str">
        <f t="shared" si="9"/>
        <v>040-103-000012164</v>
      </c>
      <c r="T124" s="657" t="s">
        <v>1055</v>
      </c>
      <c r="U124" s="658" t="s">
        <v>1056</v>
      </c>
    </row>
    <row r="125" spans="1:21" ht="24" customHeight="1" x14ac:dyDescent="0.2">
      <c r="A125" s="624">
        <v>120</v>
      </c>
      <c r="B125" s="648">
        <v>45714</v>
      </c>
      <c r="C125" s="649" t="s">
        <v>187</v>
      </c>
      <c r="D125" s="649" t="s">
        <v>1050</v>
      </c>
      <c r="E125" s="660">
        <v>111010028</v>
      </c>
      <c r="F125" s="661" t="s">
        <v>1058</v>
      </c>
      <c r="G125" s="661" t="s">
        <v>1059</v>
      </c>
      <c r="H125" s="662"/>
      <c r="I125" s="661" t="s">
        <v>64</v>
      </c>
      <c r="J125" s="663" t="s">
        <v>65</v>
      </c>
      <c r="K125" s="652">
        <v>45728</v>
      </c>
      <c r="L125" s="653" t="s">
        <v>1053</v>
      </c>
      <c r="M125" s="653" t="s">
        <v>748</v>
      </c>
      <c r="N125" s="654" t="s">
        <v>1054</v>
      </c>
      <c r="O125" s="655">
        <v>15</v>
      </c>
      <c r="P125" s="649" t="s">
        <v>442</v>
      </c>
      <c r="Q125" s="649" t="s">
        <v>64</v>
      </c>
      <c r="R125" s="656"/>
      <c r="S125" s="576" t="str">
        <f t="shared" si="9"/>
        <v>040-103-000012164</v>
      </c>
      <c r="T125" s="657" t="s">
        <v>1055</v>
      </c>
      <c r="U125" s="658" t="s">
        <v>1056</v>
      </c>
    </row>
    <row r="126" spans="1:21" ht="24" customHeight="1" x14ac:dyDescent="0.2">
      <c r="A126" s="624">
        <v>121</v>
      </c>
      <c r="B126" s="648">
        <v>45444</v>
      </c>
      <c r="C126" s="649" t="s">
        <v>125</v>
      </c>
      <c r="D126" s="649" t="s">
        <v>1060</v>
      </c>
      <c r="E126" s="660">
        <v>40466241</v>
      </c>
      <c r="F126" s="661" t="s">
        <v>214</v>
      </c>
      <c r="G126" s="661" t="s">
        <v>1061</v>
      </c>
      <c r="H126" s="662"/>
      <c r="I126" s="661" t="s">
        <v>64</v>
      </c>
      <c r="J126" s="663" t="s">
        <v>65</v>
      </c>
      <c r="K126" s="652">
        <v>45728</v>
      </c>
      <c r="L126" s="653" t="s">
        <v>1062</v>
      </c>
      <c r="M126" s="653" t="s">
        <v>328</v>
      </c>
      <c r="N126" s="654" t="s">
        <v>1063</v>
      </c>
      <c r="O126" s="655">
        <v>20</v>
      </c>
      <c r="P126" s="649" t="s">
        <v>442</v>
      </c>
      <c r="Q126" s="649" t="s">
        <v>64</v>
      </c>
      <c r="R126" s="656"/>
      <c r="S126" s="576" t="str">
        <f t="shared" si="9"/>
        <v>043-901-000007056</v>
      </c>
      <c r="T126" s="657" t="s">
        <v>1064</v>
      </c>
      <c r="U126" s="658" t="s">
        <v>1065</v>
      </c>
    </row>
    <row r="127" spans="1:21" ht="24" customHeight="1" x14ac:dyDescent="0.2">
      <c r="A127" s="624">
        <v>122</v>
      </c>
      <c r="B127" s="648">
        <v>45444</v>
      </c>
      <c r="C127" s="649" t="s">
        <v>125</v>
      </c>
      <c r="D127" s="649" t="s">
        <v>1060</v>
      </c>
      <c r="E127" s="665">
        <v>112610067</v>
      </c>
      <c r="F127" s="661" t="s">
        <v>1066</v>
      </c>
      <c r="G127" s="661" t="s">
        <v>1067</v>
      </c>
      <c r="H127" s="662"/>
      <c r="I127" s="661" t="s">
        <v>64</v>
      </c>
      <c r="J127" s="663" t="s">
        <v>65</v>
      </c>
      <c r="K127" s="652">
        <v>45728</v>
      </c>
      <c r="L127" s="653" t="s">
        <v>1062</v>
      </c>
      <c r="M127" s="653" t="s">
        <v>328</v>
      </c>
      <c r="N127" s="654" t="s">
        <v>1063</v>
      </c>
      <c r="O127" s="655">
        <v>20</v>
      </c>
      <c r="P127" s="649" t="s">
        <v>442</v>
      </c>
      <c r="Q127" s="649" t="s">
        <v>64</v>
      </c>
      <c r="R127" s="656"/>
      <c r="S127" s="576" t="str">
        <f t="shared" si="9"/>
        <v>043-901-000007056</v>
      </c>
      <c r="T127" s="657" t="s">
        <v>1064</v>
      </c>
      <c r="U127" s="658" t="s">
        <v>1065</v>
      </c>
    </row>
    <row r="128" spans="1:21" ht="24" customHeight="1" x14ac:dyDescent="0.2">
      <c r="A128" s="624">
        <v>123</v>
      </c>
      <c r="B128" s="648">
        <v>45700</v>
      </c>
      <c r="C128" s="649" t="s">
        <v>100</v>
      </c>
      <c r="D128" s="649" t="s">
        <v>1068</v>
      </c>
      <c r="E128" s="665">
        <v>112950020</v>
      </c>
      <c r="F128" s="661" t="s">
        <v>1069</v>
      </c>
      <c r="G128" s="661" t="s">
        <v>311</v>
      </c>
      <c r="H128" s="662"/>
      <c r="I128" s="661" t="s">
        <v>64</v>
      </c>
      <c r="J128" s="663" t="s">
        <v>65</v>
      </c>
      <c r="K128" s="652">
        <v>45729</v>
      </c>
      <c r="L128" s="653" t="s">
        <v>1070</v>
      </c>
      <c r="M128" s="653" t="s">
        <v>1071</v>
      </c>
      <c r="N128" s="654" t="s">
        <v>1072</v>
      </c>
      <c r="O128" s="655">
        <v>15</v>
      </c>
      <c r="P128" s="649" t="s">
        <v>442</v>
      </c>
      <c r="Q128" s="649" t="s">
        <v>64</v>
      </c>
      <c r="R128" s="656"/>
      <c r="S128" s="576" t="str">
        <f t="shared" si="9"/>
        <v>001-502-000000133</v>
      </c>
      <c r="T128" s="657" t="s">
        <v>1073</v>
      </c>
      <c r="U128" s="658" t="s">
        <v>1074</v>
      </c>
    </row>
    <row r="129" spans="1:21" ht="24" customHeight="1" x14ac:dyDescent="0.2">
      <c r="A129" s="624">
        <v>124</v>
      </c>
      <c r="B129" s="648">
        <v>45700</v>
      </c>
      <c r="C129" s="649" t="s">
        <v>100</v>
      </c>
      <c r="D129" s="649" t="s">
        <v>1068</v>
      </c>
      <c r="E129" s="665">
        <v>112670093</v>
      </c>
      <c r="F129" s="661" t="s">
        <v>1075</v>
      </c>
      <c r="G129" s="661" t="s">
        <v>1076</v>
      </c>
      <c r="H129" s="662"/>
      <c r="I129" s="661" t="s">
        <v>64</v>
      </c>
      <c r="J129" s="663" t="s">
        <v>65</v>
      </c>
      <c r="K129" s="652">
        <v>45729</v>
      </c>
      <c r="L129" s="653" t="s">
        <v>1070</v>
      </c>
      <c r="M129" s="653" t="s">
        <v>1071</v>
      </c>
      <c r="N129" s="654" t="s">
        <v>1072</v>
      </c>
      <c r="O129" s="655">
        <v>15</v>
      </c>
      <c r="P129" s="649" t="s">
        <v>442</v>
      </c>
      <c r="Q129" s="649" t="s">
        <v>64</v>
      </c>
      <c r="R129" s="656"/>
      <c r="S129" s="576" t="str">
        <f t="shared" si="9"/>
        <v>001-502-000000133</v>
      </c>
      <c r="T129" s="657" t="s">
        <v>1073</v>
      </c>
      <c r="U129" s="658" t="s">
        <v>1074</v>
      </c>
    </row>
    <row r="130" spans="1:21" ht="24" customHeight="1" x14ac:dyDescent="0.2">
      <c r="A130" s="624">
        <v>125</v>
      </c>
      <c r="B130" s="648">
        <v>45700</v>
      </c>
      <c r="C130" s="649" t="s">
        <v>100</v>
      </c>
      <c r="D130" s="649" t="s">
        <v>1068</v>
      </c>
      <c r="E130" s="665">
        <v>111000051</v>
      </c>
      <c r="F130" s="661" t="s">
        <v>137</v>
      </c>
      <c r="G130" s="661" t="s">
        <v>1077</v>
      </c>
      <c r="H130" s="662"/>
      <c r="I130" s="661" t="s">
        <v>64</v>
      </c>
      <c r="J130" s="663" t="s">
        <v>65</v>
      </c>
      <c r="K130" s="652">
        <v>45729</v>
      </c>
      <c r="L130" s="653" t="s">
        <v>1070</v>
      </c>
      <c r="M130" s="653" t="s">
        <v>1071</v>
      </c>
      <c r="N130" s="654" t="s">
        <v>1072</v>
      </c>
      <c r="O130" s="655">
        <v>15</v>
      </c>
      <c r="P130" s="649" t="s">
        <v>442</v>
      </c>
      <c r="Q130" s="649" t="s">
        <v>64</v>
      </c>
      <c r="R130" s="656"/>
      <c r="S130" s="576" t="str">
        <f t="shared" si="9"/>
        <v>001-502-000000133</v>
      </c>
      <c r="T130" s="657" t="s">
        <v>1073</v>
      </c>
      <c r="U130" s="658" t="s">
        <v>1074</v>
      </c>
    </row>
    <row r="131" spans="1:21" ht="24" customHeight="1" x14ac:dyDescent="0.2">
      <c r="A131" s="624">
        <v>126</v>
      </c>
      <c r="B131" s="648">
        <v>45080</v>
      </c>
      <c r="C131" s="649" t="s">
        <v>100</v>
      </c>
      <c r="D131" s="649" t="s">
        <v>1078</v>
      </c>
      <c r="E131" s="660">
        <v>113430016</v>
      </c>
      <c r="F131" s="661" t="s">
        <v>1079</v>
      </c>
      <c r="G131" s="661" t="s">
        <v>1080</v>
      </c>
      <c r="H131" s="662"/>
      <c r="I131" s="661" t="s">
        <v>64</v>
      </c>
      <c r="J131" s="663" t="s">
        <v>65</v>
      </c>
      <c r="K131" s="652">
        <v>45728</v>
      </c>
      <c r="L131" s="653" t="s">
        <v>1081</v>
      </c>
      <c r="M131" s="653" t="s">
        <v>1082</v>
      </c>
      <c r="N131" s="654" t="s">
        <v>1083</v>
      </c>
      <c r="O131" s="655">
        <v>15</v>
      </c>
      <c r="P131" s="649" t="s">
        <v>442</v>
      </c>
      <c r="Q131" s="649" t="s">
        <v>64</v>
      </c>
      <c r="R131" s="656"/>
      <c r="S131" s="576" t="str">
        <f t="shared" si="9"/>
        <v>001-500-000053028</v>
      </c>
      <c r="T131" s="657" t="s">
        <v>1084</v>
      </c>
      <c r="U131" s="658" t="s">
        <v>1085</v>
      </c>
    </row>
    <row r="132" spans="1:21" ht="24" customHeight="1" x14ac:dyDescent="0.2">
      <c r="A132" s="624">
        <v>127</v>
      </c>
      <c r="B132" s="648">
        <v>45080</v>
      </c>
      <c r="C132" s="649" t="s">
        <v>100</v>
      </c>
      <c r="D132" s="649" t="s">
        <v>1078</v>
      </c>
      <c r="E132" s="665">
        <v>40584305</v>
      </c>
      <c r="F132" s="661" t="s">
        <v>102</v>
      </c>
      <c r="G132" s="661" t="s">
        <v>1086</v>
      </c>
      <c r="H132" s="662"/>
      <c r="I132" s="661" t="s">
        <v>64</v>
      </c>
      <c r="J132" s="663" t="s">
        <v>65</v>
      </c>
      <c r="K132" s="652">
        <v>45728</v>
      </c>
      <c r="L132" s="653" t="s">
        <v>1081</v>
      </c>
      <c r="M132" s="653" t="s">
        <v>1082</v>
      </c>
      <c r="N132" s="654" t="s">
        <v>1083</v>
      </c>
      <c r="O132" s="655">
        <v>15</v>
      </c>
      <c r="P132" s="649" t="s">
        <v>442</v>
      </c>
      <c r="Q132" s="649" t="s">
        <v>64</v>
      </c>
      <c r="R132" s="656"/>
      <c r="S132" s="576" t="str">
        <f t="shared" si="9"/>
        <v>001-500-000053028</v>
      </c>
      <c r="T132" s="657" t="s">
        <v>1084</v>
      </c>
      <c r="U132" s="658" t="s">
        <v>1085</v>
      </c>
    </row>
    <row r="133" spans="1:21" ht="24" customHeight="1" x14ac:dyDescent="0.2">
      <c r="A133" s="624">
        <v>128</v>
      </c>
      <c r="B133" s="648">
        <v>45080</v>
      </c>
      <c r="C133" s="649" t="s">
        <v>100</v>
      </c>
      <c r="D133" s="649" t="s">
        <v>1078</v>
      </c>
      <c r="E133" s="665">
        <v>40483180</v>
      </c>
      <c r="F133" s="661" t="s">
        <v>1087</v>
      </c>
      <c r="G133" s="661" t="s">
        <v>1088</v>
      </c>
      <c r="H133" s="662"/>
      <c r="I133" s="661" t="s">
        <v>64</v>
      </c>
      <c r="J133" s="663" t="s">
        <v>65</v>
      </c>
      <c r="K133" s="652">
        <v>45729</v>
      </c>
      <c r="L133" s="653" t="s">
        <v>1081</v>
      </c>
      <c r="M133" s="653" t="s">
        <v>1082</v>
      </c>
      <c r="N133" s="654" t="s">
        <v>1083</v>
      </c>
      <c r="O133" s="655">
        <v>30</v>
      </c>
      <c r="P133" s="649" t="s">
        <v>442</v>
      </c>
      <c r="Q133" s="649" t="s">
        <v>64</v>
      </c>
      <c r="R133" s="656"/>
      <c r="S133" s="576" t="str">
        <f t="shared" si="9"/>
        <v>001-500-000053028</v>
      </c>
      <c r="T133" s="657" t="s">
        <v>1084</v>
      </c>
      <c r="U133" s="658" t="s">
        <v>1085</v>
      </c>
    </row>
    <row r="134" spans="1:21" ht="24" customHeight="1" x14ac:dyDescent="0.2">
      <c r="A134" s="624">
        <v>129</v>
      </c>
      <c r="B134" s="648">
        <v>45080</v>
      </c>
      <c r="C134" s="649" t="s">
        <v>100</v>
      </c>
      <c r="D134" s="649" t="s">
        <v>1078</v>
      </c>
      <c r="E134" s="665">
        <v>112500048</v>
      </c>
      <c r="F134" s="661" t="s">
        <v>1031</v>
      </c>
      <c r="G134" s="661" t="s">
        <v>1089</v>
      </c>
      <c r="H134" s="662"/>
      <c r="I134" s="661" t="s">
        <v>64</v>
      </c>
      <c r="J134" s="663" t="s">
        <v>65</v>
      </c>
      <c r="K134" s="652">
        <v>45729</v>
      </c>
      <c r="L134" s="653" t="s">
        <v>1081</v>
      </c>
      <c r="M134" s="653" t="s">
        <v>1082</v>
      </c>
      <c r="N134" s="654" t="s">
        <v>1083</v>
      </c>
      <c r="O134" s="655">
        <v>15</v>
      </c>
      <c r="P134" s="649" t="s">
        <v>442</v>
      </c>
      <c r="Q134" s="649" t="s">
        <v>64</v>
      </c>
      <c r="R134" s="656"/>
      <c r="S134" s="576" t="str">
        <f t="shared" si="9"/>
        <v>001-500-000053028</v>
      </c>
      <c r="T134" s="657" t="s">
        <v>1084</v>
      </c>
      <c r="U134" s="658" t="s">
        <v>1085</v>
      </c>
    </row>
    <row r="135" spans="1:21" ht="24" customHeight="1" x14ac:dyDescent="0.2">
      <c r="A135" s="624">
        <v>130</v>
      </c>
      <c r="B135" s="648">
        <v>45080</v>
      </c>
      <c r="C135" s="649" t="s">
        <v>100</v>
      </c>
      <c r="D135" s="649" t="s">
        <v>1078</v>
      </c>
      <c r="E135" s="665">
        <v>111000030</v>
      </c>
      <c r="F135" s="661" t="s">
        <v>1090</v>
      </c>
      <c r="G135" s="661" t="s">
        <v>1091</v>
      </c>
      <c r="H135" s="662"/>
      <c r="I135" s="661" t="s">
        <v>64</v>
      </c>
      <c r="J135" s="663" t="s">
        <v>65</v>
      </c>
      <c r="K135" s="652">
        <v>45729</v>
      </c>
      <c r="L135" s="653" t="s">
        <v>1081</v>
      </c>
      <c r="M135" s="653" t="s">
        <v>1082</v>
      </c>
      <c r="N135" s="654" t="s">
        <v>1083</v>
      </c>
      <c r="O135" s="655">
        <v>15</v>
      </c>
      <c r="P135" s="649" t="s">
        <v>442</v>
      </c>
      <c r="Q135" s="649" t="s">
        <v>64</v>
      </c>
      <c r="R135" s="656"/>
      <c r="S135" s="576" t="str">
        <f t="shared" si="9"/>
        <v>001-500-000053028</v>
      </c>
      <c r="T135" s="657" t="s">
        <v>1084</v>
      </c>
      <c r="U135" s="658" t="s">
        <v>1085</v>
      </c>
    </row>
    <row r="136" spans="1:21" ht="24" customHeight="1" x14ac:dyDescent="0.2">
      <c r="A136" s="624">
        <v>131</v>
      </c>
      <c r="B136" s="648">
        <v>45596</v>
      </c>
      <c r="C136" s="649" t="s">
        <v>100</v>
      </c>
      <c r="D136" s="649" t="s">
        <v>1092</v>
      </c>
      <c r="E136" s="665">
        <v>112580027</v>
      </c>
      <c r="F136" s="661" t="s">
        <v>517</v>
      </c>
      <c r="G136" s="661" t="s">
        <v>1093</v>
      </c>
      <c r="H136" s="662"/>
      <c r="I136" s="661" t="s">
        <v>64</v>
      </c>
      <c r="J136" s="663" t="s">
        <v>65</v>
      </c>
      <c r="K136" s="652">
        <v>45730</v>
      </c>
      <c r="L136" s="653" t="s">
        <v>1094</v>
      </c>
      <c r="M136" s="653" t="s">
        <v>1095</v>
      </c>
      <c r="N136" s="654" t="s">
        <v>1096</v>
      </c>
      <c r="O136" s="655">
        <v>20</v>
      </c>
      <c r="P136" s="649" t="s">
        <v>442</v>
      </c>
      <c r="Q136" s="649" t="s">
        <v>64</v>
      </c>
      <c r="R136" s="656"/>
      <c r="S136" s="576" t="str">
        <f t="shared" si="9"/>
        <v>001-500-000067591</v>
      </c>
      <c r="T136" s="657" t="s">
        <v>1097</v>
      </c>
      <c r="U136" s="658" t="s">
        <v>1098</v>
      </c>
    </row>
    <row r="137" spans="1:21" ht="24" customHeight="1" x14ac:dyDescent="0.2">
      <c r="A137" s="624">
        <v>132</v>
      </c>
      <c r="B137" s="648">
        <v>45596</v>
      </c>
      <c r="C137" s="649" t="s">
        <v>100</v>
      </c>
      <c r="D137" s="649" t="s">
        <v>1092</v>
      </c>
      <c r="E137" s="665">
        <v>112950020</v>
      </c>
      <c r="F137" s="661" t="s">
        <v>1069</v>
      </c>
      <c r="G137" s="661" t="s">
        <v>1099</v>
      </c>
      <c r="H137" s="662"/>
      <c r="I137" s="661" t="s">
        <v>64</v>
      </c>
      <c r="J137" s="663" t="s">
        <v>65</v>
      </c>
      <c r="K137" s="652">
        <v>45730</v>
      </c>
      <c r="L137" s="653" t="s">
        <v>1094</v>
      </c>
      <c r="M137" s="653" t="s">
        <v>1095</v>
      </c>
      <c r="N137" s="654" t="s">
        <v>1096</v>
      </c>
      <c r="O137" s="655">
        <v>20</v>
      </c>
      <c r="P137" s="649" t="s">
        <v>442</v>
      </c>
      <c r="Q137" s="649" t="s">
        <v>64</v>
      </c>
      <c r="R137" s="656"/>
      <c r="S137" s="576" t="str">
        <f t="shared" si="9"/>
        <v>001-500-000067591</v>
      </c>
      <c r="T137" s="657" t="s">
        <v>1097</v>
      </c>
      <c r="U137" s="658" t="s">
        <v>1098</v>
      </c>
    </row>
    <row r="138" spans="1:21" ht="24" customHeight="1" x14ac:dyDescent="0.2">
      <c r="A138" s="624">
        <v>133</v>
      </c>
      <c r="B138" s="648">
        <v>45675</v>
      </c>
      <c r="C138" s="649" t="s">
        <v>125</v>
      </c>
      <c r="D138" s="649" t="s">
        <v>1100</v>
      </c>
      <c r="E138" s="665">
        <v>112580058</v>
      </c>
      <c r="F138" s="661" t="s">
        <v>334</v>
      </c>
      <c r="G138" s="661" t="s">
        <v>1101</v>
      </c>
      <c r="H138" s="662"/>
      <c r="I138" s="661" t="s">
        <v>64</v>
      </c>
      <c r="J138" s="663" t="s">
        <v>65</v>
      </c>
      <c r="K138" s="652">
        <v>45702</v>
      </c>
      <c r="L138" s="653" t="s">
        <v>1102</v>
      </c>
      <c r="M138" s="653" t="s">
        <v>1103</v>
      </c>
      <c r="N138" s="654" t="s">
        <v>1104</v>
      </c>
      <c r="O138" s="655">
        <v>20</v>
      </c>
      <c r="P138" s="649" t="s">
        <v>442</v>
      </c>
      <c r="Q138" s="649" t="s">
        <v>64</v>
      </c>
      <c r="R138" s="656"/>
      <c r="S138" s="576" t="str">
        <f t="shared" si="9"/>
        <v>043-904-000059090</v>
      </c>
      <c r="T138" s="657" t="s">
        <v>1105</v>
      </c>
      <c r="U138" s="658" t="s">
        <v>1106</v>
      </c>
    </row>
    <row r="139" spans="1:21" ht="24" customHeight="1" x14ac:dyDescent="0.2">
      <c r="A139" s="624">
        <v>134</v>
      </c>
      <c r="B139" s="648">
        <v>45675</v>
      </c>
      <c r="C139" s="649" t="s">
        <v>190</v>
      </c>
      <c r="D139" s="649" t="s">
        <v>1107</v>
      </c>
      <c r="E139" s="665">
        <v>112570093</v>
      </c>
      <c r="F139" s="661" t="s">
        <v>1075</v>
      </c>
      <c r="G139" s="661" t="s">
        <v>1108</v>
      </c>
      <c r="H139" s="662"/>
      <c r="I139" s="661" t="s">
        <v>64</v>
      </c>
      <c r="J139" s="663" t="s">
        <v>65</v>
      </c>
      <c r="K139" s="652">
        <v>45730</v>
      </c>
      <c r="L139" s="653" t="s">
        <v>1109</v>
      </c>
      <c r="M139" s="653" t="s">
        <v>1110</v>
      </c>
      <c r="N139" s="654" t="s">
        <v>1111</v>
      </c>
      <c r="O139" s="655">
        <v>15</v>
      </c>
      <c r="P139" s="649" t="s">
        <v>442</v>
      </c>
      <c r="Q139" s="649" t="s">
        <v>64</v>
      </c>
      <c r="R139" s="656"/>
      <c r="S139" s="576" t="str">
        <f t="shared" si="9"/>
        <v>006-002-000157366</v>
      </c>
      <c r="T139" s="657" t="s">
        <v>1112</v>
      </c>
      <c r="U139" s="658" t="s">
        <v>1113</v>
      </c>
    </row>
    <row r="140" spans="1:21" ht="24" customHeight="1" x14ac:dyDescent="0.2">
      <c r="A140" s="624">
        <v>135</v>
      </c>
      <c r="B140" s="648">
        <v>45675</v>
      </c>
      <c r="C140" s="649" t="s">
        <v>190</v>
      </c>
      <c r="D140" s="649" t="s">
        <v>1107</v>
      </c>
      <c r="E140" s="665">
        <v>43782127</v>
      </c>
      <c r="F140" s="661" t="s">
        <v>1114</v>
      </c>
      <c r="G140" s="661" t="s">
        <v>1115</v>
      </c>
      <c r="H140" s="662"/>
      <c r="I140" s="661" t="s">
        <v>64</v>
      </c>
      <c r="J140" s="663" t="s">
        <v>65</v>
      </c>
      <c r="K140" s="652">
        <v>45730</v>
      </c>
      <c r="L140" s="653" t="s">
        <v>1109</v>
      </c>
      <c r="M140" s="653" t="s">
        <v>1110</v>
      </c>
      <c r="N140" s="654" t="s">
        <v>1111</v>
      </c>
      <c r="O140" s="655">
        <v>15</v>
      </c>
      <c r="P140" s="649" t="s">
        <v>442</v>
      </c>
      <c r="Q140" s="649" t="s">
        <v>64</v>
      </c>
      <c r="R140" s="656"/>
      <c r="S140" s="576" t="str">
        <f t="shared" si="9"/>
        <v>006-002-000157366</v>
      </c>
      <c r="T140" s="657" t="s">
        <v>1112</v>
      </c>
      <c r="U140" s="658" t="s">
        <v>1113</v>
      </c>
    </row>
    <row r="141" spans="1:21" ht="24" customHeight="1" x14ac:dyDescent="0.2">
      <c r="A141" s="624">
        <v>136</v>
      </c>
      <c r="B141" s="648">
        <v>45675</v>
      </c>
      <c r="C141" s="649" t="s">
        <v>190</v>
      </c>
      <c r="D141" s="649" t="s">
        <v>1107</v>
      </c>
      <c r="E141" s="665">
        <v>111030002</v>
      </c>
      <c r="F141" s="661" t="s">
        <v>336</v>
      </c>
      <c r="G141" s="661" t="s">
        <v>1116</v>
      </c>
      <c r="H141" s="662"/>
      <c r="I141" s="661" t="s">
        <v>64</v>
      </c>
      <c r="J141" s="663" t="s">
        <v>65</v>
      </c>
      <c r="K141" s="652">
        <v>45730</v>
      </c>
      <c r="L141" s="653" t="s">
        <v>1109</v>
      </c>
      <c r="M141" s="653" t="s">
        <v>1110</v>
      </c>
      <c r="N141" s="654" t="s">
        <v>1111</v>
      </c>
      <c r="O141" s="655">
        <v>15</v>
      </c>
      <c r="P141" s="649" t="s">
        <v>442</v>
      </c>
      <c r="Q141" s="649" t="s">
        <v>64</v>
      </c>
      <c r="R141" s="656"/>
      <c r="S141" s="576" t="str">
        <f t="shared" si="9"/>
        <v>006-002-000157366</v>
      </c>
      <c r="T141" s="657" t="s">
        <v>1112</v>
      </c>
      <c r="U141" s="658" t="s">
        <v>1113</v>
      </c>
    </row>
    <row r="142" spans="1:21" ht="24" customHeight="1" x14ac:dyDescent="0.2">
      <c r="A142" s="624">
        <v>137</v>
      </c>
      <c r="B142" s="574">
        <v>45703</v>
      </c>
      <c r="C142" s="575" t="s">
        <v>125</v>
      </c>
      <c r="D142" s="575" t="s">
        <v>1323</v>
      </c>
      <c r="E142" s="576">
        <v>112570068</v>
      </c>
      <c r="F142" s="575" t="s">
        <v>1324</v>
      </c>
      <c r="G142" s="575" t="s">
        <v>1325</v>
      </c>
      <c r="H142" s="576" t="s">
        <v>41</v>
      </c>
      <c r="I142" s="576" t="s">
        <v>62</v>
      </c>
      <c r="J142" s="576" t="s">
        <v>63</v>
      </c>
      <c r="K142" s="593">
        <v>45733</v>
      </c>
      <c r="L142" s="594" t="s">
        <v>1326</v>
      </c>
      <c r="M142" s="594" t="s">
        <v>1327</v>
      </c>
      <c r="N142" s="595" t="s">
        <v>1328</v>
      </c>
      <c r="O142" s="596">
        <v>15</v>
      </c>
      <c r="P142" s="576" t="s">
        <v>442</v>
      </c>
      <c r="Q142" s="576" t="s">
        <v>62</v>
      </c>
      <c r="R142" s="597"/>
      <c r="S142" s="575" t="str">
        <f>D142</f>
        <v>043-907-000020954</v>
      </c>
      <c r="T142" s="599" t="s">
        <v>1329</v>
      </c>
      <c r="U142" s="621" t="s">
        <v>1330</v>
      </c>
    </row>
    <row r="143" spans="1:21" ht="24" customHeight="1" x14ac:dyDescent="0.2">
      <c r="A143" s="624">
        <v>138</v>
      </c>
      <c r="B143" s="574">
        <v>45703</v>
      </c>
      <c r="C143" s="575" t="s">
        <v>125</v>
      </c>
      <c r="D143" s="575" t="s">
        <v>1323</v>
      </c>
      <c r="E143" s="576">
        <v>112950021</v>
      </c>
      <c r="F143" s="575" t="s">
        <v>522</v>
      </c>
      <c r="G143" s="575" t="s">
        <v>1331</v>
      </c>
      <c r="H143" s="576" t="s">
        <v>41</v>
      </c>
      <c r="I143" s="576" t="s">
        <v>62</v>
      </c>
      <c r="J143" s="576" t="s">
        <v>63</v>
      </c>
      <c r="K143" s="593">
        <v>45733</v>
      </c>
      <c r="L143" s="594" t="s">
        <v>1326</v>
      </c>
      <c r="M143" s="594" t="s">
        <v>1327</v>
      </c>
      <c r="N143" s="595" t="s">
        <v>1328</v>
      </c>
      <c r="O143" s="596">
        <v>15</v>
      </c>
      <c r="P143" s="576" t="s">
        <v>442</v>
      </c>
      <c r="Q143" s="576" t="s">
        <v>62</v>
      </c>
      <c r="R143" s="597"/>
      <c r="S143" s="575" t="str">
        <f t="shared" ref="S143:S206" si="10">D143</f>
        <v>043-907-000020954</v>
      </c>
      <c r="T143" s="599" t="s">
        <v>1329</v>
      </c>
      <c r="U143" s="621" t="s">
        <v>1330</v>
      </c>
    </row>
    <row r="144" spans="1:21" ht="24" customHeight="1" x14ac:dyDescent="0.2">
      <c r="A144" s="624">
        <v>139</v>
      </c>
      <c r="B144" s="574">
        <v>45718</v>
      </c>
      <c r="C144" s="575" t="s">
        <v>125</v>
      </c>
      <c r="D144" s="575" t="s">
        <v>1332</v>
      </c>
      <c r="E144" s="576">
        <v>111000051</v>
      </c>
      <c r="F144" s="575" t="s">
        <v>109</v>
      </c>
      <c r="G144" s="575" t="s">
        <v>1333</v>
      </c>
      <c r="H144" s="576" t="s">
        <v>41</v>
      </c>
      <c r="I144" s="576" t="s">
        <v>62</v>
      </c>
      <c r="J144" s="576" t="s">
        <v>63</v>
      </c>
      <c r="K144" s="593">
        <v>45733</v>
      </c>
      <c r="L144" s="594" t="s">
        <v>1326</v>
      </c>
      <c r="M144" s="594" t="s">
        <v>1327</v>
      </c>
      <c r="N144" s="595" t="s">
        <v>1328</v>
      </c>
      <c r="O144" s="596">
        <v>15</v>
      </c>
      <c r="P144" s="576" t="s">
        <v>442</v>
      </c>
      <c r="Q144" s="576" t="s">
        <v>62</v>
      </c>
      <c r="R144" s="597"/>
      <c r="S144" s="575" t="str">
        <f t="shared" si="10"/>
        <v>043-905-000061359</v>
      </c>
      <c r="T144" s="599" t="s">
        <v>1329</v>
      </c>
      <c r="U144" s="621" t="s">
        <v>1330</v>
      </c>
    </row>
    <row r="145" spans="1:21" ht="24" customHeight="1" x14ac:dyDescent="0.2">
      <c r="A145" s="624">
        <v>140</v>
      </c>
      <c r="B145" s="574">
        <v>45718</v>
      </c>
      <c r="C145" s="575" t="s">
        <v>125</v>
      </c>
      <c r="D145" s="575" t="s">
        <v>1332</v>
      </c>
      <c r="E145" s="576">
        <v>40584202</v>
      </c>
      <c r="F145" s="575" t="s">
        <v>1334</v>
      </c>
      <c r="G145" s="575" t="s">
        <v>1335</v>
      </c>
      <c r="H145" s="576" t="s">
        <v>41</v>
      </c>
      <c r="I145" s="576" t="s">
        <v>62</v>
      </c>
      <c r="J145" s="576" t="s">
        <v>63</v>
      </c>
      <c r="K145" s="593">
        <v>45733</v>
      </c>
      <c r="L145" s="594" t="s">
        <v>1326</v>
      </c>
      <c r="M145" s="594" t="s">
        <v>1327</v>
      </c>
      <c r="N145" s="595" t="s">
        <v>1328</v>
      </c>
      <c r="O145" s="596">
        <v>15</v>
      </c>
      <c r="P145" s="576" t="s">
        <v>442</v>
      </c>
      <c r="Q145" s="576" t="s">
        <v>62</v>
      </c>
      <c r="R145" s="597"/>
      <c r="S145" s="575" t="str">
        <f t="shared" si="10"/>
        <v>043-905-000061359</v>
      </c>
      <c r="T145" s="599" t="s">
        <v>1329</v>
      </c>
      <c r="U145" s="621" t="s">
        <v>1330</v>
      </c>
    </row>
    <row r="146" spans="1:21" ht="24" customHeight="1" x14ac:dyDescent="0.2">
      <c r="A146" s="624">
        <v>141</v>
      </c>
      <c r="B146" s="574">
        <v>45376</v>
      </c>
      <c r="C146" s="575" t="s">
        <v>100</v>
      </c>
      <c r="D146" s="575" t="s">
        <v>1336</v>
      </c>
      <c r="E146" s="576">
        <v>111000050</v>
      </c>
      <c r="F146" s="575" t="s">
        <v>1337</v>
      </c>
      <c r="G146" s="575" t="s">
        <v>1338</v>
      </c>
      <c r="H146" s="576" t="s">
        <v>41</v>
      </c>
      <c r="I146" s="576" t="s">
        <v>62</v>
      </c>
      <c r="J146" s="576" t="s">
        <v>63</v>
      </c>
      <c r="K146" s="593">
        <v>45733</v>
      </c>
      <c r="L146" s="594" t="s">
        <v>1339</v>
      </c>
      <c r="M146" s="594" t="s">
        <v>1340</v>
      </c>
      <c r="N146" s="595" t="s">
        <v>1341</v>
      </c>
      <c r="O146" s="596">
        <v>20</v>
      </c>
      <c r="P146" s="576" t="s">
        <v>442</v>
      </c>
      <c r="Q146" s="576" t="s">
        <v>62</v>
      </c>
      <c r="R146" s="597"/>
      <c r="S146" s="600" t="str">
        <f t="shared" si="10"/>
        <v>001-500-000061515</v>
      </c>
      <c r="T146" s="599" t="s">
        <v>1342</v>
      </c>
      <c r="U146" s="621" t="s">
        <v>1343</v>
      </c>
    </row>
    <row r="147" spans="1:21" ht="24" customHeight="1" x14ac:dyDescent="0.2">
      <c r="A147" s="624">
        <v>142</v>
      </c>
      <c r="B147" s="574">
        <v>45376</v>
      </c>
      <c r="C147" s="575" t="s">
        <v>100</v>
      </c>
      <c r="D147" s="575" t="s">
        <v>1336</v>
      </c>
      <c r="E147" s="576">
        <v>40584320</v>
      </c>
      <c r="F147" s="575" t="s">
        <v>1344</v>
      </c>
      <c r="G147" s="575" t="s">
        <v>1345</v>
      </c>
      <c r="H147" s="576" t="s">
        <v>41</v>
      </c>
      <c r="I147" s="576" t="s">
        <v>62</v>
      </c>
      <c r="J147" s="576" t="s">
        <v>63</v>
      </c>
      <c r="K147" s="593">
        <v>45733</v>
      </c>
      <c r="L147" s="594" t="s">
        <v>1339</v>
      </c>
      <c r="M147" s="594" t="s">
        <v>1340</v>
      </c>
      <c r="N147" s="595" t="s">
        <v>1341</v>
      </c>
      <c r="O147" s="596">
        <v>20</v>
      </c>
      <c r="P147" s="576" t="s">
        <v>442</v>
      </c>
      <c r="Q147" s="576" t="s">
        <v>62</v>
      </c>
      <c r="R147" s="597"/>
      <c r="S147" s="600" t="str">
        <f t="shared" si="10"/>
        <v>001-500-000061515</v>
      </c>
      <c r="T147" s="599" t="s">
        <v>1342</v>
      </c>
      <c r="U147" s="621" t="s">
        <v>1343</v>
      </c>
    </row>
    <row r="148" spans="1:21" ht="24" customHeight="1" x14ac:dyDescent="0.2">
      <c r="A148" s="624">
        <v>143</v>
      </c>
      <c r="B148" s="574">
        <v>45714</v>
      </c>
      <c r="C148" s="575" t="s">
        <v>733</v>
      </c>
      <c r="D148" s="575" t="s">
        <v>1346</v>
      </c>
      <c r="E148" s="576">
        <v>112580027</v>
      </c>
      <c r="F148" s="575" t="s">
        <v>517</v>
      </c>
      <c r="G148" s="575" t="s">
        <v>1347</v>
      </c>
      <c r="H148" s="576" t="s">
        <v>41</v>
      </c>
      <c r="I148" s="576" t="s">
        <v>62</v>
      </c>
      <c r="J148" s="576" t="s">
        <v>63</v>
      </c>
      <c r="K148" s="593">
        <v>45706</v>
      </c>
      <c r="L148" s="594" t="s">
        <v>1348</v>
      </c>
      <c r="M148" s="594" t="s">
        <v>1349</v>
      </c>
      <c r="N148" s="595" t="s">
        <v>1350</v>
      </c>
      <c r="O148" s="596">
        <v>15</v>
      </c>
      <c r="P148" s="576" t="s">
        <v>442</v>
      </c>
      <c r="Q148" s="576" t="s">
        <v>62</v>
      </c>
      <c r="R148" s="597"/>
      <c r="S148" s="600" t="str">
        <f t="shared" si="10"/>
        <v>002-201-00006009</v>
      </c>
      <c r="T148" s="599" t="s">
        <v>1351</v>
      </c>
      <c r="U148" s="621" t="s">
        <v>1352</v>
      </c>
    </row>
    <row r="149" spans="1:21" ht="24" customHeight="1" x14ac:dyDescent="0.2">
      <c r="A149" s="624">
        <v>144</v>
      </c>
      <c r="B149" s="574">
        <v>45714</v>
      </c>
      <c r="C149" s="575" t="s">
        <v>125</v>
      </c>
      <c r="D149" s="575" t="s">
        <v>1353</v>
      </c>
      <c r="E149" s="576">
        <v>111030002</v>
      </c>
      <c r="F149" s="575" t="s">
        <v>336</v>
      </c>
      <c r="G149" s="575" t="s">
        <v>1354</v>
      </c>
      <c r="H149" s="576" t="s">
        <v>41</v>
      </c>
      <c r="I149" s="576" t="s">
        <v>62</v>
      </c>
      <c r="J149" s="576" t="s">
        <v>63</v>
      </c>
      <c r="K149" s="593">
        <v>45706</v>
      </c>
      <c r="L149" s="594" t="s">
        <v>1348</v>
      </c>
      <c r="M149" s="594" t="s">
        <v>1349</v>
      </c>
      <c r="N149" s="595" t="s">
        <v>1350</v>
      </c>
      <c r="O149" s="596">
        <v>15</v>
      </c>
      <c r="P149" s="576" t="s">
        <v>442</v>
      </c>
      <c r="Q149" s="576" t="s">
        <v>62</v>
      </c>
      <c r="R149" s="597"/>
      <c r="S149" s="600" t="str">
        <f t="shared" si="10"/>
        <v>016-902-03050470</v>
      </c>
      <c r="T149" s="599" t="s">
        <v>1351</v>
      </c>
      <c r="U149" s="621" t="s">
        <v>1352</v>
      </c>
    </row>
    <row r="150" spans="1:21" ht="24" customHeight="1" x14ac:dyDescent="0.2">
      <c r="A150" s="624">
        <v>145</v>
      </c>
      <c r="B150" s="574">
        <v>45714</v>
      </c>
      <c r="C150" s="575" t="s">
        <v>125</v>
      </c>
      <c r="D150" s="575" t="s">
        <v>1353</v>
      </c>
      <c r="E150" s="576">
        <v>40590830</v>
      </c>
      <c r="F150" s="575" t="s">
        <v>1355</v>
      </c>
      <c r="G150" s="575" t="s">
        <v>1356</v>
      </c>
      <c r="H150" s="576" t="s">
        <v>41</v>
      </c>
      <c r="I150" s="576" t="s">
        <v>62</v>
      </c>
      <c r="J150" s="576" t="s">
        <v>63</v>
      </c>
      <c r="K150" s="593">
        <v>45706</v>
      </c>
      <c r="L150" s="594" t="s">
        <v>1348</v>
      </c>
      <c r="M150" s="594" t="s">
        <v>1349</v>
      </c>
      <c r="N150" s="595" t="s">
        <v>1350</v>
      </c>
      <c r="O150" s="596">
        <v>15</v>
      </c>
      <c r="P150" s="576" t="s">
        <v>442</v>
      </c>
      <c r="Q150" s="576" t="s">
        <v>62</v>
      </c>
      <c r="R150" s="597"/>
      <c r="S150" s="600" t="str">
        <f t="shared" si="10"/>
        <v>016-902-03050470</v>
      </c>
      <c r="T150" s="599" t="s">
        <v>1351</v>
      </c>
      <c r="U150" s="621" t="s">
        <v>1352</v>
      </c>
    </row>
    <row r="151" spans="1:21" ht="24" customHeight="1" x14ac:dyDescent="0.2">
      <c r="A151" s="624">
        <v>146</v>
      </c>
      <c r="B151" s="574">
        <v>45604</v>
      </c>
      <c r="C151" s="575" t="s">
        <v>100</v>
      </c>
      <c r="D151" s="575" t="s">
        <v>1357</v>
      </c>
      <c r="E151" s="576">
        <v>112570041</v>
      </c>
      <c r="F151" s="575" t="s">
        <v>1358</v>
      </c>
      <c r="G151" s="575" t="s">
        <v>1359</v>
      </c>
      <c r="H151" s="576" t="s">
        <v>41</v>
      </c>
      <c r="I151" s="576" t="s">
        <v>62</v>
      </c>
      <c r="J151" s="576" t="s">
        <v>63</v>
      </c>
      <c r="K151" s="593">
        <v>45734</v>
      </c>
      <c r="L151" s="594" t="s">
        <v>1360</v>
      </c>
      <c r="M151" s="594" t="s">
        <v>1361</v>
      </c>
      <c r="N151" s="595" t="s">
        <v>1362</v>
      </c>
      <c r="O151" s="596">
        <v>20</v>
      </c>
      <c r="P151" s="576" t="s">
        <v>442</v>
      </c>
      <c r="Q151" s="576" t="s">
        <v>62</v>
      </c>
      <c r="R151" s="597"/>
      <c r="S151" s="575" t="str">
        <f t="shared" si="10"/>
        <v>001-500-000067752</v>
      </c>
      <c r="T151" s="599" t="s">
        <v>1363</v>
      </c>
      <c r="U151" s="621" t="s">
        <v>1364</v>
      </c>
    </row>
    <row r="152" spans="1:21" ht="24" customHeight="1" x14ac:dyDescent="0.2">
      <c r="A152" s="624">
        <v>147</v>
      </c>
      <c r="B152" s="574">
        <v>45604</v>
      </c>
      <c r="C152" s="575" t="s">
        <v>100</v>
      </c>
      <c r="D152" s="575" t="s">
        <v>1357</v>
      </c>
      <c r="E152" s="576">
        <v>111030002</v>
      </c>
      <c r="F152" s="575" t="s">
        <v>336</v>
      </c>
      <c r="G152" s="575" t="s">
        <v>1365</v>
      </c>
      <c r="H152" s="576" t="s">
        <v>41</v>
      </c>
      <c r="I152" s="576" t="s">
        <v>62</v>
      </c>
      <c r="J152" s="576" t="s">
        <v>63</v>
      </c>
      <c r="K152" s="593">
        <v>45734</v>
      </c>
      <c r="L152" s="594" t="s">
        <v>1360</v>
      </c>
      <c r="M152" s="594" t="s">
        <v>1361</v>
      </c>
      <c r="N152" s="595" t="s">
        <v>1362</v>
      </c>
      <c r="O152" s="596">
        <v>20</v>
      </c>
      <c r="P152" s="576" t="s">
        <v>442</v>
      </c>
      <c r="Q152" s="576" t="s">
        <v>62</v>
      </c>
      <c r="R152" s="597"/>
      <c r="S152" s="575" t="str">
        <f t="shared" si="10"/>
        <v>001-500-000067752</v>
      </c>
      <c r="T152" s="599" t="s">
        <v>1363</v>
      </c>
      <c r="U152" s="621" t="s">
        <v>1364</v>
      </c>
    </row>
    <row r="153" spans="1:21" ht="24" customHeight="1" x14ac:dyDescent="0.2">
      <c r="A153" s="624">
        <v>148</v>
      </c>
      <c r="B153" s="574">
        <v>45728</v>
      </c>
      <c r="C153" s="575" t="s">
        <v>100</v>
      </c>
      <c r="D153" s="575" t="s">
        <v>1366</v>
      </c>
      <c r="E153" s="576">
        <v>111000051</v>
      </c>
      <c r="F153" s="575" t="s">
        <v>137</v>
      </c>
      <c r="G153" s="575" t="s">
        <v>1367</v>
      </c>
      <c r="H153" s="576" t="s">
        <v>41</v>
      </c>
      <c r="I153" s="576" t="s">
        <v>62</v>
      </c>
      <c r="J153" s="576" t="s">
        <v>63</v>
      </c>
      <c r="K153" s="593">
        <v>45735</v>
      </c>
      <c r="L153" s="594" t="s">
        <v>1368</v>
      </c>
      <c r="M153" s="594" t="s">
        <v>1369</v>
      </c>
      <c r="N153" s="595" t="s">
        <v>1370</v>
      </c>
      <c r="O153" s="596">
        <v>20</v>
      </c>
      <c r="P153" s="576" t="s">
        <v>442</v>
      </c>
      <c r="Q153" s="576" t="s">
        <v>62</v>
      </c>
      <c r="R153" s="597"/>
      <c r="S153" s="575" t="str">
        <f t="shared" si="10"/>
        <v>001-500-000071548</v>
      </c>
      <c r="T153" s="599" t="s">
        <v>1371</v>
      </c>
      <c r="U153" s="621" t="s">
        <v>1372</v>
      </c>
    </row>
    <row r="154" spans="1:21" ht="24" customHeight="1" x14ac:dyDescent="0.2">
      <c r="A154" s="624">
        <v>149</v>
      </c>
      <c r="B154" s="574">
        <v>45728</v>
      </c>
      <c r="C154" s="575" t="s">
        <v>100</v>
      </c>
      <c r="D154" s="575" t="s">
        <v>1366</v>
      </c>
      <c r="E154" s="576">
        <v>112030019</v>
      </c>
      <c r="F154" s="575" t="s">
        <v>1373</v>
      </c>
      <c r="G154" s="575" t="s">
        <v>1374</v>
      </c>
      <c r="H154" s="576" t="s">
        <v>41</v>
      </c>
      <c r="I154" s="576" t="s">
        <v>62</v>
      </c>
      <c r="J154" s="576" t="s">
        <v>63</v>
      </c>
      <c r="K154" s="593">
        <v>45735</v>
      </c>
      <c r="L154" s="594" t="s">
        <v>1368</v>
      </c>
      <c r="M154" s="594" t="s">
        <v>1369</v>
      </c>
      <c r="N154" s="595" t="s">
        <v>1370</v>
      </c>
      <c r="O154" s="596">
        <v>20</v>
      </c>
      <c r="P154" s="576" t="s">
        <v>442</v>
      </c>
      <c r="Q154" s="576" t="s">
        <v>62</v>
      </c>
      <c r="R154" s="597"/>
      <c r="S154" s="575" t="str">
        <f t="shared" si="10"/>
        <v>001-500-000071548</v>
      </c>
      <c r="T154" s="599" t="s">
        <v>1371</v>
      </c>
      <c r="U154" s="621" t="s">
        <v>1372</v>
      </c>
    </row>
    <row r="155" spans="1:21" ht="24" customHeight="1" x14ac:dyDescent="0.2">
      <c r="A155" s="624">
        <v>150</v>
      </c>
      <c r="B155" s="574">
        <v>45482</v>
      </c>
      <c r="C155" s="575" t="s">
        <v>100</v>
      </c>
      <c r="D155" s="575" t="s">
        <v>1375</v>
      </c>
      <c r="E155" s="576">
        <v>111910000</v>
      </c>
      <c r="F155" s="575" t="s">
        <v>1376</v>
      </c>
      <c r="G155" s="595" t="s">
        <v>1377</v>
      </c>
      <c r="H155" s="576" t="s">
        <v>41</v>
      </c>
      <c r="I155" s="576" t="s">
        <v>62</v>
      </c>
      <c r="J155" s="576" t="s">
        <v>63</v>
      </c>
      <c r="K155" s="593">
        <v>45736</v>
      </c>
      <c r="L155" s="594" t="s">
        <v>1378</v>
      </c>
      <c r="M155" s="594" t="s">
        <v>1379</v>
      </c>
      <c r="N155" s="595" t="s">
        <v>1380</v>
      </c>
      <c r="O155" s="596">
        <v>20</v>
      </c>
      <c r="P155" s="576" t="s">
        <v>442</v>
      </c>
      <c r="Q155" s="576" t="s">
        <v>62</v>
      </c>
      <c r="R155" s="597"/>
      <c r="S155" s="575" t="str">
        <f t="shared" si="10"/>
        <v>001-500-000064639</v>
      </c>
      <c r="T155" s="599" t="s">
        <v>1381</v>
      </c>
      <c r="U155" s="621" t="s">
        <v>1382</v>
      </c>
    </row>
    <row r="156" spans="1:21" ht="24" customHeight="1" x14ac:dyDescent="0.2">
      <c r="A156" s="624">
        <v>151</v>
      </c>
      <c r="B156" s="666">
        <v>45482</v>
      </c>
      <c r="C156" s="647" t="s">
        <v>100</v>
      </c>
      <c r="D156" s="667" t="s">
        <v>1375</v>
      </c>
      <c r="E156" s="576">
        <v>40212044</v>
      </c>
      <c r="F156" s="575" t="s">
        <v>1383</v>
      </c>
      <c r="G156" s="575" t="s">
        <v>1384</v>
      </c>
      <c r="H156" s="576" t="s">
        <v>41</v>
      </c>
      <c r="I156" s="576" t="s">
        <v>62</v>
      </c>
      <c r="J156" s="576" t="s">
        <v>63</v>
      </c>
      <c r="K156" s="593">
        <v>45736</v>
      </c>
      <c r="L156" s="594" t="s">
        <v>1378</v>
      </c>
      <c r="M156" s="594" t="s">
        <v>1379</v>
      </c>
      <c r="N156" s="595" t="s">
        <v>1380</v>
      </c>
      <c r="O156" s="596">
        <v>20</v>
      </c>
      <c r="P156" s="576" t="s">
        <v>442</v>
      </c>
      <c r="Q156" s="576" t="s">
        <v>62</v>
      </c>
      <c r="R156" s="597"/>
      <c r="S156" s="575" t="str">
        <f t="shared" si="10"/>
        <v>001-500-000064639</v>
      </c>
      <c r="T156" s="599" t="s">
        <v>1381</v>
      </c>
      <c r="U156" s="621" t="s">
        <v>1382</v>
      </c>
    </row>
    <row r="157" spans="1:21" ht="24" customHeight="1" x14ac:dyDescent="0.2">
      <c r="A157" s="624">
        <v>152</v>
      </c>
      <c r="B157" s="574">
        <v>45734</v>
      </c>
      <c r="C157" s="575" t="s">
        <v>125</v>
      </c>
      <c r="D157" s="575" t="s">
        <v>1385</v>
      </c>
      <c r="E157" s="576">
        <v>40466241</v>
      </c>
      <c r="F157" s="575" t="s">
        <v>214</v>
      </c>
      <c r="G157" s="575" t="s">
        <v>1386</v>
      </c>
      <c r="H157" s="576" t="s">
        <v>41</v>
      </c>
      <c r="I157" s="576" t="s">
        <v>62</v>
      </c>
      <c r="J157" s="576" t="s">
        <v>63</v>
      </c>
      <c r="K157" s="593">
        <v>45736</v>
      </c>
      <c r="L157" s="594" t="s">
        <v>1387</v>
      </c>
      <c r="M157" s="594" t="s">
        <v>148</v>
      </c>
      <c r="N157" s="595" t="s">
        <v>1388</v>
      </c>
      <c r="O157" s="596">
        <v>20</v>
      </c>
      <c r="P157" s="576" t="s">
        <v>442</v>
      </c>
      <c r="Q157" s="576" t="s">
        <v>62</v>
      </c>
      <c r="R157" s="597"/>
      <c r="S157" s="575" t="str">
        <f t="shared" si="10"/>
        <v>016-902-000502096</v>
      </c>
      <c r="T157" s="599" t="s">
        <v>1389</v>
      </c>
      <c r="U157" s="621" t="s">
        <v>1390</v>
      </c>
    </row>
    <row r="158" spans="1:21" ht="24" customHeight="1" x14ac:dyDescent="0.2">
      <c r="A158" s="624">
        <v>153</v>
      </c>
      <c r="B158" s="574">
        <v>45734</v>
      </c>
      <c r="C158" s="575" t="s">
        <v>125</v>
      </c>
      <c r="D158" s="575" t="s">
        <v>1385</v>
      </c>
      <c r="E158" s="576">
        <v>40466241</v>
      </c>
      <c r="F158" s="575" t="s">
        <v>214</v>
      </c>
      <c r="G158" s="575" t="s">
        <v>1391</v>
      </c>
      <c r="H158" s="576" t="s">
        <v>41</v>
      </c>
      <c r="I158" s="576" t="s">
        <v>62</v>
      </c>
      <c r="J158" s="576" t="s">
        <v>63</v>
      </c>
      <c r="K158" s="593">
        <v>45736</v>
      </c>
      <c r="L158" s="594" t="s">
        <v>1387</v>
      </c>
      <c r="M158" s="594" t="s">
        <v>148</v>
      </c>
      <c r="N158" s="595" t="s">
        <v>1388</v>
      </c>
      <c r="O158" s="596">
        <v>20</v>
      </c>
      <c r="P158" s="576" t="s">
        <v>442</v>
      </c>
      <c r="Q158" s="576" t="s">
        <v>62</v>
      </c>
      <c r="R158" s="597"/>
      <c r="S158" s="575" t="str">
        <f t="shared" si="10"/>
        <v>016-902-000502096</v>
      </c>
      <c r="T158" s="599" t="s">
        <v>1389</v>
      </c>
      <c r="U158" s="621" t="s">
        <v>1390</v>
      </c>
    </row>
    <row r="159" spans="1:21" ht="24" customHeight="1" x14ac:dyDescent="0.2">
      <c r="A159" s="624">
        <v>154</v>
      </c>
      <c r="B159" s="574">
        <v>45659</v>
      </c>
      <c r="C159" s="575" t="s">
        <v>100</v>
      </c>
      <c r="D159" s="575" t="s">
        <v>1392</v>
      </c>
      <c r="E159" s="576">
        <v>112610069</v>
      </c>
      <c r="F159" s="575" t="s">
        <v>1007</v>
      </c>
      <c r="G159" s="575" t="s">
        <v>1393</v>
      </c>
      <c r="H159" s="576" t="s">
        <v>41</v>
      </c>
      <c r="I159" s="576" t="s">
        <v>62</v>
      </c>
      <c r="J159" s="576" t="s">
        <v>63</v>
      </c>
      <c r="K159" s="593">
        <v>45737</v>
      </c>
      <c r="L159" s="594" t="s">
        <v>1394</v>
      </c>
      <c r="M159" s="594" t="s">
        <v>328</v>
      </c>
      <c r="N159" s="595" t="s">
        <v>1395</v>
      </c>
      <c r="O159" s="596">
        <v>20</v>
      </c>
      <c r="P159" s="576" t="s">
        <v>442</v>
      </c>
      <c r="Q159" s="576" t="s">
        <v>62</v>
      </c>
      <c r="R159" s="597"/>
      <c r="S159" s="575" t="str">
        <f t="shared" si="10"/>
        <v>001-500-00006977</v>
      </c>
      <c r="T159" s="599" t="s">
        <v>1396</v>
      </c>
      <c r="U159" s="621" t="s">
        <v>1397</v>
      </c>
    </row>
    <row r="160" spans="1:21" ht="24" customHeight="1" x14ac:dyDescent="0.2">
      <c r="A160" s="624">
        <v>155</v>
      </c>
      <c r="B160" s="574">
        <v>45659</v>
      </c>
      <c r="C160" s="575" t="s">
        <v>100</v>
      </c>
      <c r="D160" s="575" t="s">
        <v>1392</v>
      </c>
      <c r="E160" s="576">
        <v>40466241</v>
      </c>
      <c r="F160" s="575" t="s">
        <v>214</v>
      </c>
      <c r="G160" s="575" t="s">
        <v>1398</v>
      </c>
      <c r="H160" s="576" t="s">
        <v>41</v>
      </c>
      <c r="I160" s="576" t="s">
        <v>62</v>
      </c>
      <c r="J160" s="576" t="s">
        <v>63</v>
      </c>
      <c r="K160" s="593">
        <v>45737</v>
      </c>
      <c r="L160" s="594" t="s">
        <v>1394</v>
      </c>
      <c r="M160" s="594" t="s">
        <v>328</v>
      </c>
      <c r="N160" s="595" t="s">
        <v>1395</v>
      </c>
      <c r="O160" s="596">
        <v>20</v>
      </c>
      <c r="P160" s="576" t="s">
        <v>442</v>
      </c>
      <c r="Q160" s="576" t="s">
        <v>62</v>
      </c>
      <c r="R160" s="597"/>
      <c r="S160" s="575" t="str">
        <f t="shared" si="10"/>
        <v>001-500-00006977</v>
      </c>
      <c r="T160" s="599" t="s">
        <v>1396</v>
      </c>
      <c r="U160" s="621" t="s">
        <v>1397</v>
      </c>
    </row>
    <row r="161" spans="1:21" ht="24" customHeight="1" x14ac:dyDescent="0.2">
      <c r="A161" s="624">
        <v>156</v>
      </c>
      <c r="B161" s="574">
        <v>45346</v>
      </c>
      <c r="C161" s="575" t="s">
        <v>1399</v>
      </c>
      <c r="D161" s="575" t="s">
        <v>1400</v>
      </c>
      <c r="E161" s="576">
        <v>111000051</v>
      </c>
      <c r="F161" s="575" t="s">
        <v>137</v>
      </c>
      <c r="G161" s="575" t="s">
        <v>1401</v>
      </c>
      <c r="H161" s="576" t="s">
        <v>41</v>
      </c>
      <c r="I161" s="576" t="s">
        <v>62</v>
      </c>
      <c r="J161" s="576" t="s">
        <v>63</v>
      </c>
      <c r="K161" s="593">
        <v>45737</v>
      </c>
      <c r="L161" s="594" t="s">
        <v>1402</v>
      </c>
      <c r="M161" s="594" t="s">
        <v>533</v>
      </c>
      <c r="N161" s="595" t="s">
        <v>1403</v>
      </c>
      <c r="O161" s="596">
        <v>15</v>
      </c>
      <c r="P161" s="576" t="s">
        <v>442</v>
      </c>
      <c r="Q161" s="576" t="s">
        <v>62</v>
      </c>
      <c r="R161" s="597"/>
      <c r="S161" s="575" t="str">
        <f t="shared" si="10"/>
        <v>001-002-000368421</v>
      </c>
      <c r="T161" s="599" t="s">
        <v>1404</v>
      </c>
      <c r="U161" s="621" t="s">
        <v>1405</v>
      </c>
    </row>
    <row r="162" spans="1:21" ht="24" customHeight="1" x14ac:dyDescent="0.2">
      <c r="A162" s="624">
        <v>157</v>
      </c>
      <c r="B162" s="574">
        <v>45346</v>
      </c>
      <c r="C162" s="575" t="s">
        <v>1399</v>
      </c>
      <c r="D162" s="575" t="s">
        <v>1400</v>
      </c>
      <c r="E162" s="576">
        <v>1710198</v>
      </c>
      <c r="F162" s="575" t="s">
        <v>1406</v>
      </c>
      <c r="G162" s="575" t="s">
        <v>1407</v>
      </c>
      <c r="H162" s="576" t="s">
        <v>41</v>
      </c>
      <c r="I162" s="576" t="s">
        <v>62</v>
      </c>
      <c r="J162" s="576" t="s">
        <v>63</v>
      </c>
      <c r="K162" s="593">
        <v>45737</v>
      </c>
      <c r="L162" s="594" t="s">
        <v>1402</v>
      </c>
      <c r="M162" s="594" t="s">
        <v>533</v>
      </c>
      <c r="N162" s="595" t="s">
        <v>1403</v>
      </c>
      <c r="O162" s="596">
        <v>15</v>
      </c>
      <c r="P162" s="576" t="s">
        <v>442</v>
      </c>
      <c r="Q162" s="576" t="s">
        <v>62</v>
      </c>
      <c r="R162" s="597"/>
      <c r="S162" s="575" t="str">
        <f t="shared" si="10"/>
        <v>001-002-000368421</v>
      </c>
      <c r="T162" s="599" t="s">
        <v>1404</v>
      </c>
      <c r="U162" s="621" t="s">
        <v>1405</v>
      </c>
    </row>
    <row r="163" spans="1:21" ht="24" customHeight="1" x14ac:dyDescent="0.2">
      <c r="A163" s="624">
        <v>158</v>
      </c>
      <c r="B163" s="574">
        <v>45346</v>
      </c>
      <c r="C163" s="575" t="s">
        <v>1399</v>
      </c>
      <c r="D163" s="575" t="s">
        <v>1400</v>
      </c>
      <c r="E163" s="576">
        <v>112730000</v>
      </c>
      <c r="F163" s="575" t="s">
        <v>1408</v>
      </c>
      <c r="G163" s="575" t="s">
        <v>1409</v>
      </c>
      <c r="H163" s="576" t="s">
        <v>41</v>
      </c>
      <c r="I163" s="576" t="s">
        <v>62</v>
      </c>
      <c r="J163" s="576" t="s">
        <v>63</v>
      </c>
      <c r="K163" s="593">
        <v>45737</v>
      </c>
      <c r="L163" s="594" t="s">
        <v>1402</v>
      </c>
      <c r="M163" s="594" t="s">
        <v>533</v>
      </c>
      <c r="N163" s="595" t="s">
        <v>1403</v>
      </c>
      <c r="O163" s="596">
        <v>15</v>
      </c>
      <c r="P163" s="576" t="s">
        <v>442</v>
      </c>
      <c r="Q163" s="576" t="s">
        <v>62</v>
      </c>
      <c r="R163" s="597"/>
      <c r="S163" s="575" t="str">
        <f t="shared" si="10"/>
        <v>001-002-000368421</v>
      </c>
      <c r="T163" s="599" t="s">
        <v>1404</v>
      </c>
      <c r="U163" s="621" t="s">
        <v>1405</v>
      </c>
    </row>
    <row r="164" spans="1:21" ht="24" customHeight="1" x14ac:dyDescent="0.2">
      <c r="A164" s="624">
        <v>159</v>
      </c>
      <c r="B164" s="574">
        <v>45346</v>
      </c>
      <c r="C164" s="575" t="s">
        <v>1399</v>
      </c>
      <c r="D164" s="575" t="s">
        <v>1410</v>
      </c>
      <c r="E164" s="576">
        <v>41598031</v>
      </c>
      <c r="F164" s="575" t="s">
        <v>1411</v>
      </c>
      <c r="G164" s="575" t="s">
        <v>1412</v>
      </c>
      <c r="H164" s="576" t="s">
        <v>41</v>
      </c>
      <c r="I164" s="576" t="s">
        <v>62</v>
      </c>
      <c r="J164" s="576" t="s">
        <v>63</v>
      </c>
      <c r="K164" s="593">
        <v>45737</v>
      </c>
      <c r="L164" s="594" t="s">
        <v>1402</v>
      </c>
      <c r="M164" s="594" t="s">
        <v>533</v>
      </c>
      <c r="N164" s="595" t="s">
        <v>1403</v>
      </c>
      <c r="O164" s="596">
        <v>15</v>
      </c>
      <c r="P164" s="576" t="s">
        <v>442</v>
      </c>
      <c r="Q164" s="576" t="s">
        <v>62</v>
      </c>
      <c r="R164" s="597"/>
      <c r="S164" s="575" t="str">
        <f t="shared" si="10"/>
        <v>001-002-000348083</v>
      </c>
      <c r="T164" s="599" t="s">
        <v>1404</v>
      </c>
      <c r="U164" s="621" t="s">
        <v>1405</v>
      </c>
    </row>
    <row r="165" spans="1:21" ht="24" customHeight="1" x14ac:dyDescent="0.2">
      <c r="A165" s="624">
        <v>160</v>
      </c>
      <c r="B165" s="574">
        <v>45346</v>
      </c>
      <c r="C165" s="575" t="s">
        <v>1399</v>
      </c>
      <c r="D165" s="575" t="s">
        <v>1400</v>
      </c>
      <c r="E165" s="576">
        <v>113631003</v>
      </c>
      <c r="F165" s="575" t="s">
        <v>200</v>
      </c>
      <c r="G165" s="575" t="s">
        <v>1413</v>
      </c>
      <c r="H165" s="576" t="s">
        <v>41</v>
      </c>
      <c r="I165" s="576" t="s">
        <v>62</v>
      </c>
      <c r="J165" s="576" t="s">
        <v>63</v>
      </c>
      <c r="K165" s="593">
        <v>45737</v>
      </c>
      <c r="L165" s="594" t="s">
        <v>1402</v>
      </c>
      <c r="M165" s="594" t="s">
        <v>533</v>
      </c>
      <c r="N165" s="595" t="s">
        <v>1403</v>
      </c>
      <c r="O165" s="596">
        <v>15</v>
      </c>
      <c r="P165" s="576" t="s">
        <v>442</v>
      </c>
      <c r="Q165" s="576" t="s">
        <v>62</v>
      </c>
      <c r="R165" s="597"/>
      <c r="S165" s="575" t="str">
        <f t="shared" si="10"/>
        <v>001-002-000368421</v>
      </c>
      <c r="T165" s="599" t="s">
        <v>1404</v>
      </c>
      <c r="U165" s="621" t="s">
        <v>1405</v>
      </c>
    </row>
    <row r="166" spans="1:21" ht="24" customHeight="1" x14ac:dyDescent="0.2">
      <c r="A166" s="624">
        <v>161</v>
      </c>
      <c r="B166" s="574">
        <v>45741</v>
      </c>
      <c r="C166" s="575" t="s">
        <v>1414</v>
      </c>
      <c r="D166" s="575" t="s">
        <v>1415</v>
      </c>
      <c r="E166" s="576">
        <v>41596006</v>
      </c>
      <c r="F166" s="575" t="s">
        <v>1014</v>
      </c>
      <c r="G166" s="575" t="s">
        <v>1416</v>
      </c>
      <c r="H166" s="576" t="s">
        <v>41</v>
      </c>
      <c r="I166" s="576" t="s">
        <v>62</v>
      </c>
      <c r="J166" s="576" t="s">
        <v>63</v>
      </c>
      <c r="K166" s="593">
        <v>45741</v>
      </c>
      <c r="L166" s="594" t="s">
        <v>1417</v>
      </c>
      <c r="M166" s="594" t="s">
        <v>1414</v>
      </c>
      <c r="N166" s="595" t="s">
        <v>1418</v>
      </c>
      <c r="O166" s="596">
        <v>20</v>
      </c>
      <c r="P166" s="576" t="s">
        <v>442</v>
      </c>
      <c r="Q166" s="576" t="s">
        <v>62</v>
      </c>
      <c r="R166" s="597"/>
      <c r="S166" s="575" t="str">
        <f t="shared" si="10"/>
        <v>040-101-000000254</v>
      </c>
      <c r="T166" s="599" t="s">
        <v>1419</v>
      </c>
      <c r="U166" s="621" t="s">
        <v>1420</v>
      </c>
    </row>
    <row r="167" spans="1:21" ht="24" customHeight="1" x14ac:dyDescent="0.2">
      <c r="A167" s="624">
        <v>162</v>
      </c>
      <c r="B167" s="574">
        <v>45741</v>
      </c>
      <c r="C167" s="575" t="s">
        <v>1414</v>
      </c>
      <c r="D167" s="575" t="s">
        <v>1415</v>
      </c>
      <c r="E167" s="576" t="s">
        <v>1421</v>
      </c>
      <c r="F167" s="575" t="s">
        <v>1422</v>
      </c>
      <c r="G167" s="575" t="s">
        <v>1423</v>
      </c>
      <c r="H167" s="576" t="s">
        <v>41</v>
      </c>
      <c r="I167" s="576" t="s">
        <v>62</v>
      </c>
      <c r="J167" s="576" t="s">
        <v>63</v>
      </c>
      <c r="K167" s="593">
        <v>45741</v>
      </c>
      <c r="L167" s="594" t="s">
        <v>1417</v>
      </c>
      <c r="M167" s="594" t="s">
        <v>1414</v>
      </c>
      <c r="N167" s="595" t="s">
        <v>1418</v>
      </c>
      <c r="O167" s="596">
        <v>20</v>
      </c>
      <c r="P167" s="576" t="s">
        <v>442</v>
      </c>
      <c r="Q167" s="576" t="s">
        <v>62</v>
      </c>
      <c r="R167" s="597"/>
      <c r="S167" s="575" t="str">
        <f t="shared" si="10"/>
        <v>040-101-000000254</v>
      </c>
      <c r="T167" s="599" t="s">
        <v>1419</v>
      </c>
      <c r="U167" s="621" t="s">
        <v>1420</v>
      </c>
    </row>
    <row r="168" spans="1:21" ht="24" customHeight="1" x14ac:dyDescent="0.2">
      <c r="A168" s="624">
        <v>163</v>
      </c>
      <c r="B168" s="574">
        <v>45730</v>
      </c>
      <c r="C168" s="575" t="s">
        <v>622</v>
      </c>
      <c r="D168" s="575" t="s">
        <v>1424</v>
      </c>
      <c r="E168" s="576">
        <v>40584202</v>
      </c>
      <c r="F168" s="575" t="s">
        <v>1425</v>
      </c>
      <c r="G168" s="575" t="s">
        <v>1426</v>
      </c>
      <c r="H168" s="576" t="s">
        <v>41</v>
      </c>
      <c r="I168" s="576" t="s">
        <v>62</v>
      </c>
      <c r="J168" s="576" t="s">
        <v>63</v>
      </c>
      <c r="K168" s="593">
        <v>45741</v>
      </c>
      <c r="L168" s="594" t="s">
        <v>622</v>
      </c>
      <c r="M168" s="594" t="s">
        <v>1427</v>
      </c>
      <c r="N168" s="595" t="s">
        <v>813</v>
      </c>
      <c r="O168" s="596">
        <v>20</v>
      </c>
      <c r="P168" s="576" t="s">
        <v>442</v>
      </c>
      <c r="Q168" s="576" t="s">
        <v>62</v>
      </c>
      <c r="R168" s="597"/>
      <c r="S168" s="575" t="str">
        <f t="shared" si="10"/>
        <v>001-501-000057694</v>
      </c>
      <c r="T168" s="599" t="s">
        <v>1428</v>
      </c>
      <c r="U168" s="621" t="s">
        <v>1429</v>
      </c>
    </row>
    <row r="169" spans="1:21" ht="24" customHeight="1" x14ac:dyDescent="0.2">
      <c r="A169" s="624">
        <v>164</v>
      </c>
      <c r="B169" s="574">
        <v>45730</v>
      </c>
      <c r="C169" s="575" t="s">
        <v>622</v>
      </c>
      <c r="D169" s="575" t="s">
        <v>1424</v>
      </c>
      <c r="E169" s="576">
        <v>40584202</v>
      </c>
      <c r="F169" s="575" t="s">
        <v>1425</v>
      </c>
      <c r="G169" s="575" t="s">
        <v>1430</v>
      </c>
      <c r="H169" s="576" t="s">
        <v>41</v>
      </c>
      <c r="I169" s="576" t="s">
        <v>62</v>
      </c>
      <c r="J169" s="576" t="s">
        <v>63</v>
      </c>
      <c r="K169" s="593" t="s">
        <v>1431</v>
      </c>
      <c r="L169" s="594" t="s">
        <v>622</v>
      </c>
      <c r="M169" s="594" t="s">
        <v>1427</v>
      </c>
      <c r="N169" s="595" t="s">
        <v>813</v>
      </c>
      <c r="O169" s="596">
        <v>20</v>
      </c>
      <c r="P169" s="576" t="s">
        <v>442</v>
      </c>
      <c r="Q169" s="576" t="s">
        <v>62</v>
      </c>
      <c r="R169" s="597"/>
      <c r="S169" s="575" t="str">
        <f t="shared" si="10"/>
        <v>001-501-000057694</v>
      </c>
      <c r="T169" s="599" t="s">
        <v>1428</v>
      </c>
      <c r="U169" s="621" t="s">
        <v>1429</v>
      </c>
    </row>
    <row r="170" spans="1:21" ht="24" customHeight="1" x14ac:dyDescent="0.2">
      <c r="A170" s="624">
        <v>165</v>
      </c>
      <c r="B170" s="574">
        <v>45722</v>
      </c>
      <c r="C170" s="575" t="s">
        <v>125</v>
      </c>
      <c r="D170" s="575" t="s">
        <v>1432</v>
      </c>
      <c r="E170" s="576">
        <v>112930045</v>
      </c>
      <c r="F170" s="575" t="s">
        <v>1433</v>
      </c>
      <c r="G170" s="575" t="s">
        <v>1434</v>
      </c>
      <c r="H170" s="576" t="s">
        <v>41</v>
      </c>
      <c r="I170" s="576" t="s">
        <v>62</v>
      </c>
      <c r="J170" s="576" t="s">
        <v>63</v>
      </c>
      <c r="K170" s="593">
        <v>45742</v>
      </c>
      <c r="L170" s="594" t="s">
        <v>1435</v>
      </c>
      <c r="M170" s="594" t="s">
        <v>1436</v>
      </c>
      <c r="N170" s="595" t="s">
        <v>1437</v>
      </c>
      <c r="O170" s="596">
        <v>20</v>
      </c>
      <c r="P170" s="576" t="s">
        <v>442</v>
      </c>
      <c r="Q170" s="576" t="s">
        <v>62</v>
      </c>
      <c r="R170" s="597"/>
      <c r="S170" s="575" t="str">
        <f t="shared" si="10"/>
        <v>016-907-000242064</v>
      </c>
      <c r="T170" s="599" t="s">
        <v>1438</v>
      </c>
      <c r="U170" s="621" t="s">
        <v>1439</v>
      </c>
    </row>
    <row r="171" spans="1:21" ht="24" customHeight="1" x14ac:dyDescent="0.2">
      <c r="A171" s="624">
        <v>166</v>
      </c>
      <c r="B171" s="574">
        <v>45684</v>
      </c>
      <c r="C171" s="575" t="s">
        <v>125</v>
      </c>
      <c r="D171" s="575" t="s">
        <v>1440</v>
      </c>
      <c r="E171" s="576">
        <v>11250128</v>
      </c>
      <c r="F171" s="575" t="s">
        <v>1215</v>
      </c>
      <c r="G171" s="575" t="s">
        <v>1441</v>
      </c>
      <c r="H171" s="576" t="s">
        <v>41</v>
      </c>
      <c r="I171" s="576" t="s">
        <v>62</v>
      </c>
      <c r="J171" s="576" t="s">
        <v>63</v>
      </c>
      <c r="K171" s="593">
        <v>45742</v>
      </c>
      <c r="L171" s="594" t="s">
        <v>1435</v>
      </c>
      <c r="M171" s="594" t="s">
        <v>1436</v>
      </c>
      <c r="N171" s="595" t="s">
        <v>1437</v>
      </c>
      <c r="O171" s="596">
        <v>20</v>
      </c>
      <c r="P171" s="576" t="s">
        <v>442</v>
      </c>
      <c r="Q171" s="576" t="s">
        <v>62</v>
      </c>
      <c r="R171" s="597"/>
      <c r="S171" s="575" t="str">
        <f t="shared" si="10"/>
        <v>039-903-000160057</v>
      </c>
      <c r="T171" s="668" t="s">
        <v>1438</v>
      </c>
      <c r="U171" s="669" t="s">
        <v>1439</v>
      </c>
    </row>
    <row r="172" spans="1:21" ht="24" customHeight="1" x14ac:dyDescent="0.2">
      <c r="A172" s="624">
        <v>167</v>
      </c>
      <c r="B172" s="574">
        <v>45426</v>
      </c>
      <c r="C172" s="575" t="s">
        <v>75</v>
      </c>
      <c r="D172" s="575" t="s">
        <v>1442</v>
      </c>
      <c r="E172" s="576">
        <v>112500053</v>
      </c>
      <c r="F172" s="575" t="s">
        <v>1443</v>
      </c>
      <c r="G172" s="575" t="s">
        <v>1444</v>
      </c>
      <c r="H172" s="576" t="s">
        <v>41</v>
      </c>
      <c r="I172" s="576" t="s">
        <v>62</v>
      </c>
      <c r="J172" s="576" t="s">
        <v>63</v>
      </c>
      <c r="K172" s="593">
        <v>45742</v>
      </c>
      <c r="L172" s="594" t="s">
        <v>1445</v>
      </c>
      <c r="M172" s="594" t="s">
        <v>1414</v>
      </c>
      <c r="N172" s="595" t="s">
        <v>1446</v>
      </c>
      <c r="O172" s="596">
        <v>15</v>
      </c>
      <c r="P172" s="576" t="s">
        <v>442</v>
      </c>
      <c r="Q172" s="576" t="s">
        <v>62</v>
      </c>
      <c r="R172" s="597"/>
      <c r="S172" s="575" t="str">
        <f t="shared" si="10"/>
        <v>001-101-000003407</v>
      </c>
      <c r="T172" s="599" t="s">
        <v>1447</v>
      </c>
      <c r="U172" s="621" t="s">
        <v>1448</v>
      </c>
    </row>
    <row r="173" spans="1:21" ht="24" customHeight="1" x14ac:dyDescent="0.2">
      <c r="A173" s="624">
        <v>168</v>
      </c>
      <c r="B173" s="574">
        <v>45426</v>
      </c>
      <c r="C173" s="575" t="s">
        <v>75</v>
      </c>
      <c r="D173" s="575" t="s">
        <v>1442</v>
      </c>
      <c r="E173" s="576">
        <v>111000051</v>
      </c>
      <c r="F173" s="575" t="s">
        <v>109</v>
      </c>
      <c r="G173" s="575" t="s">
        <v>1449</v>
      </c>
      <c r="H173" s="576" t="s">
        <v>41</v>
      </c>
      <c r="I173" s="576" t="s">
        <v>62</v>
      </c>
      <c r="J173" s="576" t="s">
        <v>63</v>
      </c>
      <c r="K173" s="593">
        <v>45742</v>
      </c>
      <c r="L173" s="594" t="s">
        <v>1445</v>
      </c>
      <c r="M173" s="594" t="s">
        <v>1414</v>
      </c>
      <c r="N173" s="595" t="s">
        <v>1446</v>
      </c>
      <c r="O173" s="596">
        <v>15</v>
      </c>
      <c r="P173" s="576" t="s">
        <v>442</v>
      </c>
      <c r="Q173" s="576" t="s">
        <v>62</v>
      </c>
      <c r="R173" s="597"/>
      <c r="S173" s="575" t="str">
        <f t="shared" si="10"/>
        <v>001-101-000003407</v>
      </c>
      <c r="T173" s="599" t="s">
        <v>1447</v>
      </c>
      <c r="U173" s="621" t="s">
        <v>1448</v>
      </c>
    </row>
    <row r="174" spans="1:21" ht="24" customHeight="1" x14ac:dyDescent="0.2">
      <c r="A174" s="624">
        <v>169</v>
      </c>
      <c r="B174" s="574">
        <v>45426</v>
      </c>
      <c r="C174" s="575" t="s">
        <v>75</v>
      </c>
      <c r="D174" s="575" t="s">
        <v>1442</v>
      </c>
      <c r="E174" s="576">
        <v>41598031</v>
      </c>
      <c r="F174" s="575" t="s">
        <v>1411</v>
      </c>
      <c r="G174" s="575" t="s">
        <v>1450</v>
      </c>
      <c r="H174" s="576" t="s">
        <v>41</v>
      </c>
      <c r="I174" s="576" t="s">
        <v>62</v>
      </c>
      <c r="J174" s="576" t="s">
        <v>63</v>
      </c>
      <c r="K174" s="593">
        <v>45742</v>
      </c>
      <c r="L174" s="594" t="s">
        <v>1445</v>
      </c>
      <c r="M174" s="594" t="s">
        <v>1414</v>
      </c>
      <c r="N174" s="595" t="s">
        <v>1446</v>
      </c>
      <c r="O174" s="596">
        <v>15</v>
      </c>
      <c r="P174" s="576" t="s">
        <v>442</v>
      </c>
      <c r="Q174" s="576" t="s">
        <v>62</v>
      </c>
      <c r="R174" s="597"/>
      <c r="S174" s="575" t="str">
        <f t="shared" si="10"/>
        <v>001-101-000003407</v>
      </c>
      <c r="T174" s="599" t="s">
        <v>1447</v>
      </c>
      <c r="U174" s="621" t="s">
        <v>1448</v>
      </c>
    </row>
    <row r="175" spans="1:21" ht="24" customHeight="1" x14ac:dyDescent="0.2">
      <c r="A175" s="624">
        <v>170</v>
      </c>
      <c r="B175" s="574">
        <v>45426</v>
      </c>
      <c r="C175" s="575" t="s">
        <v>75</v>
      </c>
      <c r="D175" s="575" t="s">
        <v>1442</v>
      </c>
      <c r="E175" s="576">
        <v>11360096</v>
      </c>
      <c r="F175" s="575" t="s">
        <v>1451</v>
      </c>
      <c r="G175" s="575" t="s">
        <v>1452</v>
      </c>
      <c r="H175" s="576" t="s">
        <v>41</v>
      </c>
      <c r="I175" s="576" t="s">
        <v>62</v>
      </c>
      <c r="J175" s="576" t="s">
        <v>63</v>
      </c>
      <c r="K175" s="593">
        <v>45742</v>
      </c>
      <c r="L175" s="594" t="s">
        <v>1445</v>
      </c>
      <c r="M175" s="594" t="s">
        <v>1414</v>
      </c>
      <c r="N175" s="595" t="s">
        <v>1446</v>
      </c>
      <c r="O175" s="596">
        <v>15</v>
      </c>
      <c r="P175" s="576" t="s">
        <v>442</v>
      </c>
      <c r="Q175" s="576" t="s">
        <v>62</v>
      </c>
      <c r="R175" s="597"/>
      <c r="S175" s="575" t="str">
        <f t="shared" si="10"/>
        <v>001-101-000003407</v>
      </c>
      <c r="T175" s="599" t="s">
        <v>1447</v>
      </c>
      <c r="U175" s="621" t="s">
        <v>1448</v>
      </c>
    </row>
    <row r="176" spans="1:21" ht="24" customHeight="1" x14ac:dyDescent="0.2">
      <c r="A176" s="624">
        <v>171</v>
      </c>
      <c r="B176" s="574">
        <v>45426</v>
      </c>
      <c r="C176" s="575" t="s">
        <v>75</v>
      </c>
      <c r="D176" s="575" t="s">
        <v>1442</v>
      </c>
      <c r="E176" s="576">
        <v>40446712</v>
      </c>
      <c r="F176" s="575" t="s">
        <v>519</v>
      </c>
      <c r="G176" s="575" t="s">
        <v>1453</v>
      </c>
      <c r="H176" s="576" t="s">
        <v>41</v>
      </c>
      <c r="I176" s="576" t="s">
        <v>62</v>
      </c>
      <c r="J176" s="576" t="s">
        <v>63</v>
      </c>
      <c r="K176" s="593">
        <v>45742</v>
      </c>
      <c r="L176" s="594" t="s">
        <v>1445</v>
      </c>
      <c r="M176" s="594" t="s">
        <v>1414</v>
      </c>
      <c r="N176" s="595" t="s">
        <v>1446</v>
      </c>
      <c r="O176" s="596">
        <v>15</v>
      </c>
      <c r="P176" s="576" t="s">
        <v>442</v>
      </c>
      <c r="Q176" s="576" t="s">
        <v>62</v>
      </c>
      <c r="R176" s="597"/>
      <c r="S176" s="575" t="str">
        <f t="shared" si="10"/>
        <v>001-101-000003407</v>
      </c>
      <c r="T176" s="599" t="s">
        <v>1447</v>
      </c>
      <c r="U176" s="621" t="s">
        <v>1448</v>
      </c>
    </row>
    <row r="177" spans="1:21" ht="24" customHeight="1" x14ac:dyDescent="0.2">
      <c r="A177" s="624">
        <v>172</v>
      </c>
      <c r="B177" s="574">
        <v>45426</v>
      </c>
      <c r="C177" s="575" t="s">
        <v>75</v>
      </c>
      <c r="D177" s="575" t="s">
        <v>1442</v>
      </c>
      <c r="E177" s="576">
        <v>40584305</v>
      </c>
      <c r="F177" s="575" t="s">
        <v>1406</v>
      </c>
      <c r="G177" s="575" t="s">
        <v>1454</v>
      </c>
      <c r="H177" s="576" t="s">
        <v>41</v>
      </c>
      <c r="I177" s="576" t="s">
        <v>62</v>
      </c>
      <c r="J177" s="576" t="s">
        <v>63</v>
      </c>
      <c r="K177" s="593">
        <v>45742</v>
      </c>
      <c r="L177" s="594" t="s">
        <v>1445</v>
      </c>
      <c r="M177" s="594" t="s">
        <v>1414</v>
      </c>
      <c r="N177" s="595" t="s">
        <v>1446</v>
      </c>
      <c r="O177" s="596">
        <v>15</v>
      </c>
      <c r="P177" s="576" t="s">
        <v>442</v>
      </c>
      <c r="Q177" s="576" t="s">
        <v>62</v>
      </c>
      <c r="R177" s="597"/>
      <c r="S177" s="575" t="str">
        <f t="shared" si="10"/>
        <v>001-101-000003407</v>
      </c>
      <c r="T177" s="599" t="s">
        <v>1447</v>
      </c>
      <c r="U177" s="621" t="s">
        <v>1448</v>
      </c>
    </row>
    <row r="178" spans="1:21" ht="24" customHeight="1" x14ac:dyDescent="0.2">
      <c r="A178" s="624">
        <v>173</v>
      </c>
      <c r="B178" s="574">
        <v>45426</v>
      </c>
      <c r="C178" s="575" t="s">
        <v>75</v>
      </c>
      <c r="D178" s="575" t="s">
        <v>1442</v>
      </c>
      <c r="E178" s="576">
        <v>112570016</v>
      </c>
      <c r="F178" s="575" t="s">
        <v>1455</v>
      </c>
      <c r="G178" s="575" t="s">
        <v>1456</v>
      </c>
      <c r="H178" s="576" t="s">
        <v>41</v>
      </c>
      <c r="I178" s="576" t="s">
        <v>62</v>
      </c>
      <c r="J178" s="576" t="s">
        <v>63</v>
      </c>
      <c r="K178" s="593">
        <v>45742</v>
      </c>
      <c r="L178" s="594" t="s">
        <v>1445</v>
      </c>
      <c r="M178" s="594" t="s">
        <v>1414</v>
      </c>
      <c r="N178" s="595" t="s">
        <v>1446</v>
      </c>
      <c r="O178" s="596">
        <v>15</v>
      </c>
      <c r="P178" s="576" t="s">
        <v>442</v>
      </c>
      <c r="Q178" s="576" t="s">
        <v>62</v>
      </c>
      <c r="R178" s="597"/>
      <c r="S178" s="575" t="str">
        <f t="shared" si="10"/>
        <v>001-101-000003407</v>
      </c>
      <c r="T178" s="599" t="s">
        <v>1447</v>
      </c>
      <c r="U178" s="621" t="s">
        <v>1448</v>
      </c>
    </row>
    <row r="179" spans="1:21" ht="24" customHeight="1" x14ac:dyDescent="0.2">
      <c r="A179" s="624">
        <v>174</v>
      </c>
      <c r="B179" s="574">
        <v>45426</v>
      </c>
      <c r="C179" s="575" t="s">
        <v>75</v>
      </c>
      <c r="D179" s="575" t="s">
        <v>1442</v>
      </c>
      <c r="E179" s="576">
        <v>407822128</v>
      </c>
      <c r="F179" s="575" t="s">
        <v>838</v>
      </c>
      <c r="G179" s="575" t="s">
        <v>1457</v>
      </c>
      <c r="H179" s="576" t="s">
        <v>41</v>
      </c>
      <c r="I179" s="576" t="s">
        <v>62</v>
      </c>
      <c r="J179" s="576" t="s">
        <v>63</v>
      </c>
      <c r="K179" s="593">
        <v>45742</v>
      </c>
      <c r="L179" s="594" t="s">
        <v>1445</v>
      </c>
      <c r="M179" s="594" t="s">
        <v>1414</v>
      </c>
      <c r="N179" s="595" t="s">
        <v>1446</v>
      </c>
      <c r="O179" s="596">
        <v>15</v>
      </c>
      <c r="P179" s="576" t="s">
        <v>442</v>
      </c>
      <c r="Q179" s="576" t="s">
        <v>62</v>
      </c>
      <c r="R179" s="597"/>
      <c r="S179" s="575" t="str">
        <f t="shared" si="10"/>
        <v>001-101-000003407</v>
      </c>
      <c r="T179" s="599" t="s">
        <v>1447</v>
      </c>
      <c r="U179" s="621" t="s">
        <v>1448</v>
      </c>
    </row>
    <row r="180" spans="1:21" ht="24" customHeight="1" x14ac:dyDescent="0.2">
      <c r="A180" s="624">
        <v>175</v>
      </c>
      <c r="B180" s="574">
        <v>45716</v>
      </c>
      <c r="C180" s="575" t="s">
        <v>125</v>
      </c>
      <c r="D180" s="575" t="s">
        <v>1458</v>
      </c>
      <c r="E180" s="576">
        <v>111000051</v>
      </c>
      <c r="F180" s="575" t="s">
        <v>1459</v>
      </c>
      <c r="G180" s="575" t="s">
        <v>1460</v>
      </c>
      <c r="H180" s="576" t="s">
        <v>41</v>
      </c>
      <c r="I180" s="576" t="s">
        <v>62</v>
      </c>
      <c r="J180" s="576" t="s">
        <v>63</v>
      </c>
      <c r="K180" s="593">
        <v>45742</v>
      </c>
      <c r="L180" s="594" t="s">
        <v>1461</v>
      </c>
      <c r="M180" s="594" t="s">
        <v>1462</v>
      </c>
      <c r="N180" s="595" t="s">
        <v>1463</v>
      </c>
      <c r="O180" s="596">
        <v>20</v>
      </c>
      <c r="P180" s="576" t="s">
        <v>442</v>
      </c>
      <c r="Q180" s="576" t="s">
        <v>62</v>
      </c>
      <c r="R180" s="597"/>
      <c r="S180" s="575" t="str">
        <f t="shared" si="10"/>
        <v>043-903-000059915</v>
      </c>
      <c r="T180" s="599" t="s">
        <v>1464</v>
      </c>
      <c r="U180" s="621" t="s">
        <v>1465</v>
      </c>
    </row>
    <row r="181" spans="1:21" ht="24" customHeight="1" x14ac:dyDescent="0.2">
      <c r="A181" s="624">
        <v>176</v>
      </c>
      <c r="B181" s="574">
        <v>45716</v>
      </c>
      <c r="C181" s="575" t="s">
        <v>125</v>
      </c>
      <c r="D181" s="575" t="s">
        <v>1458</v>
      </c>
      <c r="E181" s="576">
        <v>40466241</v>
      </c>
      <c r="F181" s="575" t="s">
        <v>214</v>
      </c>
      <c r="G181" s="575" t="s">
        <v>1466</v>
      </c>
      <c r="H181" s="576" t="s">
        <v>41</v>
      </c>
      <c r="I181" s="576" t="s">
        <v>62</v>
      </c>
      <c r="J181" s="576" t="s">
        <v>63</v>
      </c>
      <c r="K181" s="593">
        <v>45742</v>
      </c>
      <c r="L181" s="594" t="s">
        <v>1461</v>
      </c>
      <c r="M181" s="594" t="s">
        <v>1462</v>
      </c>
      <c r="N181" s="595" t="s">
        <v>1463</v>
      </c>
      <c r="O181" s="596">
        <v>20</v>
      </c>
      <c r="P181" s="576" t="s">
        <v>442</v>
      </c>
      <c r="Q181" s="576" t="s">
        <v>62</v>
      </c>
      <c r="R181" s="597"/>
      <c r="S181" s="575" t="str">
        <f t="shared" si="10"/>
        <v>043-903-000059915</v>
      </c>
      <c r="T181" s="599" t="s">
        <v>1464</v>
      </c>
      <c r="U181" s="621" t="s">
        <v>1465</v>
      </c>
    </row>
    <row r="182" spans="1:21" ht="24" customHeight="1" x14ac:dyDescent="0.2">
      <c r="A182" s="624">
        <v>177</v>
      </c>
      <c r="B182" s="574">
        <v>45741</v>
      </c>
      <c r="C182" s="575" t="s">
        <v>100</v>
      </c>
      <c r="D182" s="575" t="s">
        <v>1467</v>
      </c>
      <c r="E182" s="576">
        <v>40782127</v>
      </c>
      <c r="F182" s="575" t="s">
        <v>838</v>
      </c>
      <c r="G182" s="575" t="s">
        <v>1468</v>
      </c>
      <c r="H182" s="576" t="s">
        <v>41</v>
      </c>
      <c r="I182" s="576" t="s">
        <v>62</v>
      </c>
      <c r="J182" s="576" t="s">
        <v>63</v>
      </c>
      <c r="K182" s="593">
        <v>45742</v>
      </c>
      <c r="L182" s="594" t="s">
        <v>1339</v>
      </c>
      <c r="M182" s="594" t="s">
        <v>1469</v>
      </c>
      <c r="N182" s="595" t="s">
        <v>1341</v>
      </c>
      <c r="O182" s="596">
        <v>15</v>
      </c>
      <c r="P182" s="576" t="s">
        <v>442</v>
      </c>
      <c r="Q182" s="576" t="s">
        <v>62</v>
      </c>
      <c r="R182" s="597"/>
      <c r="S182" s="575" t="str">
        <f t="shared" si="10"/>
        <v>001-500-00061515</v>
      </c>
      <c r="T182" s="599" t="s">
        <v>1341</v>
      </c>
      <c r="U182" s="621" t="s">
        <v>1470</v>
      </c>
    </row>
    <row r="183" spans="1:21" ht="24" customHeight="1" x14ac:dyDescent="0.2">
      <c r="A183" s="624">
        <v>178</v>
      </c>
      <c r="B183" s="574">
        <v>45741</v>
      </c>
      <c r="C183" s="575" t="s">
        <v>100</v>
      </c>
      <c r="D183" s="575" t="s">
        <v>1467</v>
      </c>
      <c r="E183" s="576">
        <v>40455334</v>
      </c>
      <c r="F183" s="575" t="s">
        <v>111</v>
      </c>
      <c r="G183" s="575" t="s">
        <v>1471</v>
      </c>
      <c r="H183" s="576" t="s">
        <v>41</v>
      </c>
      <c r="I183" s="576" t="s">
        <v>62</v>
      </c>
      <c r="J183" s="576" t="s">
        <v>63</v>
      </c>
      <c r="K183" s="593">
        <v>45742</v>
      </c>
      <c r="L183" s="594" t="s">
        <v>1339</v>
      </c>
      <c r="M183" s="594" t="s">
        <v>1469</v>
      </c>
      <c r="N183" s="595" t="s">
        <v>1341</v>
      </c>
      <c r="O183" s="596">
        <v>30</v>
      </c>
      <c r="P183" s="576" t="s">
        <v>442</v>
      </c>
      <c r="Q183" s="576" t="s">
        <v>62</v>
      </c>
      <c r="R183" s="597"/>
      <c r="S183" s="575" t="str">
        <f t="shared" si="10"/>
        <v>001-500-00061515</v>
      </c>
      <c r="T183" s="599" t="s">
        <v>1341</v>
      </c>
      <c r="U183" s="621" t="s">
        <v>1470</v>
      </c>
    </row>
    <row r="184" spans="1:21" ht="24" customHeight="1" x14ac:dyDescent="0.2">
      <c r="A184" s="624">
        <v>179</v>
      </c>
      <c r="B184" s="574">
        <v>45741</v>
      </c>
      <c r="C184" s="575" t="s">
        <v>100</v>
      </c>
      <c r="D184" s="575" t="s">
        <v>1467</v>
      </c>
      <c r="E184" s="576">
        <v>112570093</v>
      </c>
      <c r="F184" s="575" t="s">
        <v>1472</v>
      </c>
      <c r="G184" s="575" t="s">
        <v>1473</v>
      </c>
      <c r="H184" s="576" t="s">
        <v>41</v>
      </c>
      <c r="I184" s="576" t="s">
        <v>62</v>
      </c>
      <c r="J184" s="576" t="s">
        <v>63</v>
      </c>
      <c r="K184" s="593">
        <v>45742</v>
      </c>
      <c r="L184" s="594" t="s">
        <v>1339</v>
      </c>
      <c r="M184" s="594" t="s">
        <v>1469</v>
      </c>
      <c r="N184" s="595" t="s">
        <v>1341</v>
      </c>
      <c r="O184" s="596">
        <v>15</v>
      </c>
      <c r="P184" s="576" t="s">
        <v>442</v>
      </c>
      <c r="Q184" s="576" t="s">
        <v>62</v>
      </c>
      <c r="R184" s="597"/>
      <c r="S184" s="575" t="str">
        <f t="shared" si="10"/>
        <v>001-500-00061515</v>
      </c>
      <c r="T184" s="599" t="s">
        <v>1341</v>
      </c>
      <c r="U184" s="621" t="s">
        <v>1470</v>
      </c>
    </row>
    <row r="185" spans="1:21" ht="24" customHeight="1" x14ac:dyDescent="0.2">
      <c r="A185" s="624">
        <v>180</v>
      </c>
      <c r="B185" s="574">
        <v>45675</v>
      </c>
      <c r="C185" s="575" t="s">
        <v>190</v>
      </c>
      <c r="D185" s="575" t="s">
        <v>1474</v>
      </c>
      <c r="E185" s="576">
        <v>111030002</v>
      </c>
      <c r="F185" s="575" t="s">
        <v>1475</v>
      </c>
      <c r="G185" s="575" t="s">
        <v>1476</v>
      </c>
      <c r="H185" s="576" t="s">
        <v>41</v>
      </c>
      <c r="I185" s="576" t="s">
        <v>62</v>
      </c>
      <c r="J185" s="576" t="s">
        <v>63</v>
      </c>
      <c r="K185" s="593">
        <v>45743</v>
      </c>
      <c r="L185" s="594" t="s">
        <v>1109</v>
      </c>
      <c r="M185" s="594" t="s">
        <v>1477</v>
      </c>
      <c r="N185" s="595" t="s">
        <v>1111</v>
      </c>
      <c r="O185" s="596">
        <v>15</v>
      </c>
      <c r="P185" s="576" t="s">
        <v>442</v>
      </c>
      <c r="Q185" s="576" t="s">
        <v>62</v>
      </c>
      <c r="R185" s="597"/>
      <c r="S185" s="575" t="str">
        <f t="shared" si="10"/>
        <v>006-002-000137366</v>
      </c>
      <c r="T185" s="599" t="s">
        <v>1478</v>
      </c>
      <c r="U185" s="621" t="s">
        <v>1113</v>
      </c>
    </row>
    <row r="186" spans="1:21" ht="24" customHeight="1" x14ac:dyDescent="0.2">
      <c r="A186" s="624">
        <v>181</v>
      </c>
      <c r="B186" s="574">
        <v>45675</v>
      </c>
      <c r="C186" s="575" t="s">
        <v>190</v>
      </c>
      <c r="D186" s="575" t="s">
        <v>1474</v>
      </c>
      <c r="E186" s="576">
        <v>112570093</v>
      </c>
      <c r="F186" s="575" t="s">
        <v>1479</v>
      </c>
      <c r="G186" s="575" t="s">
        <v>1480</v>
      </c>
      <c r="H186" s="576" t="s">
        <v>41</v>
      </c>
      <c r="I186" s="576" t="s">
        <v>62</v>
      </c>
      <c r="J186" s="576" t="s">
        <v>63</v>
      </c>
      <c r="K186" s="593">
        <v>45743</v>
      </c>
      <c r="L186" s="594" t="s">
        <v>1109</v>
      </c>
      <c r="M186" s="594" t="s">
        <v>1477</v>
      </c>
      <c r="N186" s="595" t="s">
        <v>1111</v>
      </c>
      <c r="O186" s="596">
        <v>15</v>
      </c>
      <c r="P186" s="576" t="s">
        <v>442</v>
      </c>
      <c r="Q186" s="576" t="s">
        <v>62</v>
      </c>
      <c r="R186" s="597"/>
      <c r="S186" s="575" t="str">
        <f t="shared" si="10"/>
        <v>006-002-000137366</v>
      </c>
      <c r="T186" s="599" t="s">
        <v>1478</v>
      </c>
      <c r="U186" s="621" t="s">
        <v>1113</v>
      </c>
    </row>
    <row r="187" spans="1:21" ht="24" customHeight="1" x14ac:dyDescent="0.2">
      <c r="A187" s="624">
        <v>182</v>
      </c>
      <c r="B187" s="574">
        <v>45675</v>
      </c>
      <c r="C187" s="575" t="s">
        <v>190</v>
      </c>
      <c r="D187" s="575" t="s">
        <v>1474</v>
      </c>
      <c r="E187" s="576">
        <v>40782127</v>
      </c>
      <c r="F187" s="575" t="s">
        <v>838</v>
      </c>
      <c r="G187" s="575" t="s">
        <v>1115</v>
      </c>
      <c r="H187" s="576" t="s">
        <v>41</v>
      </c>
      <c r="I187" s="576" t="s">
        <v>62</v>
      </c>
      <c r="J187" s="576" t="s">
        <v>63</v>
      </c>
      <c r="K187" s="593">
        <v>45743</v>
      </c>
      <c r="L187" s="594" t="s">
        <v>1109</v>
      </c>
      <c r="M187" s="594" t="s">
        <v>1477</v>
      </c>
      <c r="N187" s="595" t="s">
        <v>1111</v>
      </c>
      <c r="O187" s="596">
        <v>15</v>
      </c>
      <c r="P187" s="576" t="s">
        <v>442</v>
      </c>
      <c r="Q187" s="576" t="s">
        <v>62</v>
      </c>
      <c r="R187" s="597"/>
      <c r="S187" s="575" t="str">
        <f t="shared" si="10"/>
        <v>006-002-000137366</v>
      </c>
      <c r="T187" s="599" t="s">
        <v>1478</v>
      </c>
      <c r="U187" s="621" t="s">
        <v>1113</v>
      </c>
    </row>
    <row r="188" spans="1:21" ht="24" customHeight="1" x14ac:dyDescent="0.2">
      <c r="A188" s="624">
        <v>183</v>
      </c>
      <c r="B188" s="574">
        <v>45801</v>
      </c>
      <c r="C188" s="575" t="s">
        <v>161</v>
      </c>
      <c r="D188" s="575" t="s">
        <v>1481</v>
      </c>
      <c r="E188" s="576">
        <v>111010040</v>
      </c>
      <c r="F188" s="575" t="s">
        <v>1482</v>
      </c>
      <c r="G188" s="575" t="s">
        <v>1483</v>
      </c>
      <c r="H188" s="576" t="s">
        <v>41</v>
      </c>
      <c r="I188" s="576" t="s">
        <v>62</v>
      </c>
      <c r="J188" s="576" t="s">
        <v>63</v>
      </c>
      <c r="K188" s="593">
        <v>45743</v>
      </c>
      <c r="L188" s="594" t="s">
        <v>1484</v>
      </c>
      <c r="M188" s="594" t="s">
        <v>1485</v>
      </c>
      <c r="N188" s="595" t="s">
        <v>1486</v>
      </c>
      <c r="O188" s="596">
        <v>20</v>
      </c>
      <c r="P188" s="576" t="s">
        <v>442</v>
      </c>
      <c r="Q188" s="576" t="s">
        <v>62</v>
      </c>
      <c r="R188" s="597"/>
      <c r="S188" s="575" t="str">
        <f t="shared" si="10"/>
        <v>040-103-00012635</v>
      </c>
      <c r="T188" s="599" t="s">
        <v>1487</v>
      </c>
      <c r="U188" s="621" t="s">
        <v>1488</v>
      </c>
    </row>
    <row r="189" spans="1:21" ht="24" customHeight="1" x14ac:dyDescent="0.2">
      <c r="A189" s="624">
        <v>184</v>
      </c>
      <c r="B189" s="574">
        <v>45801</v>
      </c>
      <c r="C189" s="575" t="s">
        <v>161</v>
      </c>
      <c r="D189" s="575" t="s">
        <v>1481</v>
      </c>
      <c r="E189" s="576">
        <v>40584202</v>
      </c>
      <c r="F189" s="575" t="s">
        <v>398</v>
      </c>
      <c r="G189" s="575" t="s">
        <v>1489</v>
      </c>
      <c r="H189" s="576" t="s">
        <v>41</v>
      </c>
      <c r="I189" s="576" t="s">
        <v>62</v>
      </c>
      <c r="J189" s="576" t="s">
        <v>63</v>
      </c>
      <c r="K189" s="593">
        <v>45743</v>
      </c>
      <c r="L189" s="594" t="s">
        <v>1484</v>
      </c>
      <c r="M189" s="594" t="s">
        <v>1485</v>
      </c>
      <c r="N189" s="595" t="s">
        <v>1486</v>
      </c>
      <c r="O189" s="596">
        <v>20</v>
      </c>
      <c r="P189" s="576" t="s">
        <v>442</v>
      </c>
      <c r="Q189" s="576" t="s">
        <v>62</v>
      </c>
      <c r="R189" s="597"/>
      <c r="S189" s="575" t="str">
        <f t="shared" si="10"/>
        <v>040-103-00012635</v>
      </c>
      <c r="T189" s="599" t="s">
        <v>1487</v>
      </c>
      <c r="U189" s="621" t="s">
        <v>1488</v>
      </c>
    </row>
    <row r="190" spans="1:21" ht="24" customHeight="1" x14ac:dyDescent="0.2">
      <c r="A190" s="624">
        <v>185</v>
      </c>
      <c r="B190" s="574">
        <v>45411</v>
      </c>
      <c r="C190" s="575" t="s">
        <v>100</v>
      </c>
      <c r="D190" s="575" t="s">
        <v>1490</v>
      </c>
      <c r="E190" s="576">
        <v>112570093</v>
      </c>
      <c r="F190" s="575" t="s">
        <v>1479</v>
      </c>
      <c r="G190" s="575" t="s">
        <v>1491</v>
      </c>
      <c r="H190" s="576" t="s">
        <v>41</v>
      </c>
      <c r="I190" s="576" t="s">
        <v>62</v>
      </c>
      <c r="J190" s="576" t="s">
        <v>63</v>
      </c>
      <c r="K190" s="593">
        <v>45743</v>
      </c>
      <c r="L190" s="594" t="s">
        <v>1492</v>
      </c>
      <c r="M190" s="594" t="s">
        <v>1110</v>
      </c>
      <c r="N190" s="595" t="s">
        <v>1493</v>
      </c>
      <c r="O190" s="596">
        <v>15</v>
      </c>
      <c r="P190" s="576" t="s">
        <v>442</v>
      </c>
      <c r="Q190" s="576" t="s">
        <v>62</v>
      </c>
      <c r="R190" s="597"/>
      <c r="S190" s="575" t="str">
        <f t="shared" si="10"/>
        <v>001-500-000068461</v>
      </c>
      <c r="T190" s="599" t="s">
        <v>1494</v>
      </c>
      <c r="U190" s="621" t="s">
        <v>1495</v>
      </c>
    </row>
    <row r="191" spans="1:21" ht="24" customHeight="1" x14ac:dyDescent="0.2">
      <c r="A191" s="624">
        <v>186</v>
      </c>
      <c r="B191" s="574">
        <v>45411</v>
      </c>
      <c r="C191" s="575" t="s">
        <v>100</v>
      </c>
      <c r="D191" s="575" t="s">
        <v>1490</v>
      </c>
      <c r="E191" s="576">
        <v>40467305</v>
      </c>
      <c r="F191" s="575" t="s">
        <v>922</v>
      </c>
      <c r="G191" s="575" t="s">
        <v>1496</v>
      </c>
      <c r="H191" s="576" t="s">
        <v>41</v>
      </c>
      <c r="I191" s="576" t="s">
        <v>62</v>
      </c>
      <c r="J191" s="576" t="s">
        <v>63</v>
      </c>
      <c r="K191" s="593">
        <v>45743</v>
      </c>
      <c r="L191" s="594" t="s">
        <v>1492</v>
      </c>
      <c r="M191" s="594" t="s">
        <v>1110</v>
      </c>
      <c r="N191" s="595" t="s">
        <v>1493</v>
      </c>
      <c r="O191" s="596">
        <v>15</v>
      </c>
      <c r="P191" s="576" t="s">
        <v>442</v>
      </c>
      <c r="Q191" s="576" t="s">
        <v>62</v>
      </c>
      <c r="R191" s="597"/>
      <c r="S191" s="575" t="str">
        <f t="shared" si="10"/>
        <v>001-500-000068461</v>
      </c>
      <c r="T191" s="599" t="s">
        <v>1494</v>
      </c>
      <c r="U191" s="621" t="s">
        <v>1495</v>
      </c>
    </row>
    <row r="192" spans="1:21" ht="24" customHeight="1" x14ac:dyDescent="0.2">
      <c r="A192" s="624">
        <v>187</v>
      </c>
      <c r="B192" s="574">
        <v>45411</v>
      </c>
      <c r="C192" s="575" t="s">
        <v>100</v>
      </c>
      <c r="D192" s="575" t="s">
        <v>1490</v>
      </c>
      <c r="E192" s="576">
        <v>111030002</v>
      </c>
      <c r="F192" s="575" t="s">
        <v>336</v>
      </c>
      <c r="G192" s="575" t="s">
        <v>1497</v>
      </c>
      <c r="H192" s="576" t="s">
        <v>41</v>
      </c>
      <c r="I192" s="576" t="s">
        <v>62</v>
      </c>
      <c r="J192" s="576" t="s">
        <v>63</v>
      </c>
      <c r="K192" s="593">
        <v>45743</v>
      </c>
      <c r="L192" s="594" t="s">
        <v>1492</v>
      </c>
      <c r="M192" s="594" t="s">
        <v>1110</v>
      </c>
      <c r="N192" s="595" t="s">
        <v>1493</v>
      </c>
      <c r="O192" s="596">
        <v>15</v>
      </c>
      <c r="P192" s="576" t="s">
        <v>442</v>
      </c>
      <c r="Q192" s="576" t="s">
        <v>62</v>
      </c>
      <c r="R192" s="597"/>
      <c r="S192" s="575" t="str">
        <f t="shared" si="10"/>
        <v>001-500-000068461</v>
      </c>
      <c r="T192" s="599" t="s">
        <v>1494</v>
      </c>
      <c r="U192" s="621" t="s">
        <v>1495</v>
      </c>
    </row>
    <row r="193" spans="1:21" ht="24" customHeight="1" x14ac:dyDescent="0.2">
      <c r="A193" s="624">
        <v>188</v>
      </c>
      <c r="B193" s="574">
        <v>45411</v>
      </c>
      <c r="C193" s="575" t="s">
        <v>100</v>
      </c>
      <c r="D193" s="575" t="s">
        <v>1490</v>
      </c>
      <c r="E193" s="576">
        <v>4058465</v>
      </c>
      <c r="F193" s="575" t="s">
        <v>1498</v>
      </c>
      <c r="G193" s="575" t="s">
        <v>1499</v>
      </c>
      <c r="H193" s="576" t="s">
        <v>41</v>
      </c>
      <c r="I193" s="576" t="s">
        <v>62</v>
      </c>
      <c r="J193" s="576" t="s">
        <v>63</v>
      </c>
      <c r="K193" s="593">
        <v>45743</v>
      </c>
      <c r="L193" s="594" t="s">
        <v>1492</v>
      </c>
      <c r="M193" s="594" t="s">
        <v>1110</v>
      </c>
      <c r="N193" s="595" t="s">
        <v>1493</v>
      </c>
      <c r="O193" s="596">
        <v>15</v>
      </c>
      <c r="P193" s="576" t="s">
        <v>442</v>
      </c>
      <c r="Q193" s="576" t="s">
        <v>62</v>
      </c>
      <c r="R193" s="597"/>
      <c r="S193" s="575" t="str">
        <f t="shared" si="10"/>
        <v>001-500-000068461</v>
      </c>
      <c r="T193" s="599" t="s">
        <v>1494</v>
      </c>
      <c r="U193" s="621" t="s">
        <v>1495</v>
      </c>
    </row>
    <row r="194" spans="1:21" ht="24" customHeight="1" x14ac:dyDescent="0.2">
      <c r="A194" s="624">
        <v>189</v>
      </c>
      <c r="B194" s="574">
        <v>45457</v>
      </c>
      <c r="C194" s="575" t="s">
        <v>187</v>
      </c>
      <c r="D194" s="575" t="s">
        <v>1500</v>
      </c>
      <c r="E194" s="576">
        <v>112570073</v>
      </c>
      <c r="F194" s="575" t="s">
        <v>198</v>
      </c>
      <c r="G194" s="575" t="s">
        <v>1501</v>
      </c>
      <c r="H194" s="576" t="s">
        <v>41</v>
      </c>
      <c r="I194" s="576" t="s">
        <v>62</v>
      </c>
      <c r="J194" s="576" t="s">
        <v>63</v>
      </c>
      <c r="K194" s="593">
        <v>45744</v>
      </c>
      <c r="L194" s="594" t="s">
        <v>1502</v>
      </c>
      <c r="M194" s="594" t="s">
        <v>1503</v>
      </c>
      <c r="N194" s="595" t="s">
        <v>1504</v>
      </c>
      <c r="O194" s="596">
        <v>15</v>
      </c>
      <c r="P194" s="576" t="s">
        <v>442</v>
      </c>
      <c r="Q194" s="576" t="s">
        <v>62</v>
      </c>
      <c r="R194" s="597"/>
      <c r="S194" s="575" t="str">
        <f t="shared" si="10"/>
        <v>040-103-000005832</v>
      </c>
      <c r="T194" s="599" t="s">
        <v>1505</v>
      </c>
      <c r="U194" s="621" t="s">
        <v>1506</v>
      </c>
    </row>
    <row r="195" spans="1:21" ht="24" customHeight="1" x14ac:dyDescent="0.2">
      <c r="A195" s="624">
        <v>190</v>
      </c>
      <c r="B195" s="574">
        <v>45457</v>
      </c>
      <c r="C195" s="575" t="s">
        <v>187</v>
      </c>
      <c r="D195" s="575" t="s">
        <v>1500</v>
      </c>
      <c r="E195" s="576">
        <v>41592227</v>
      </c>
      <c r="F195" s="575" t="s">
        <v>1507</v>
      </c>
      <c r="G195" s="575" t="s">
        <v>1508</v>
      </c>
      <c r="H195" s="576" t="s">
        <v>41</v>
      </c>
      <c r="I195" s="576" t="s">
        <v>62</v>
      </c>
      <c r="J195" s="576" t="s">
        <v>63</v>
      </c>
      <c r="K195" s="593">
        <v>45744</v>
      </c>
      <c r="L195" s="594" t="s">
        <v>1502</v>
      </c>
      <c r="M195" s="594" t="s">
        <v>1503</v>
      </c>
      <c r="N195" s="595" t="s">
        <v>1504</v>
      </c>
      <c r="O195" s="596">
        <v>15</v>
      </c>
      <c r="P195" s="576" t="s">
        <v>442</v>
      </c>
      <c r="Q195" s="576" t="s">
        <v>62</v>
      </c>
      <c r="R195" s="597"/>
      <c r="S195" s="575" t="str">
        <f t="shared" si="10"/>
        <v>040-103-000005832</v>
      </c>
      <c r="T195" s="599" t="s">
        <v>1505</v>
      </c>
      <c r="U195" s="621" t="s">
        <v>1506</v>
      </c>
    </row>
    <row r="196" spans="1:21" ht="24" customHeight="1" x14ac:dyDescent="0.2">
      <c r="A196" s="624">
        <v>191</v>
      </c>
      <c r="B196" s="574">
        <v>45457</v>
      </c>
      <c r="C196" s="575" t="s">
        <v>187</v>
      </c>
      <c r="D196" s="575" t="s">
        <v>1500</v>
      </c>
      <c r="E196" s="576">
        <v>40446712</v>
      </c>
      <c r="F196" s="575" t="s">
        <v>1509</v>
      </c>
      <c r="G196" s="575" t="s">
        <v>1453</v>
      </c>
      <c r="H196" s="576" t="s">
        <v>41</v>
      </c>
      <c r="I196" s="576" t="s">
        <v>62</v>
      </c>
      <c r="J196" s="576" t="s">
        <v>63</v>
      </c>
      <c r="K196" s="593">
        <v>45744</v>
      </c>
      <c r="L196" s="594" t="s">
        <v>1502</v>
      </c>
      <c r="M196" s="594" t="s">
        <v>1503</v>
      </c>
      <c r="N196" s="595" t="s">
        <v>1504</v>
      </c>
      <c r="O196" s="596">
        <v>15</v>
      </c>
      <c r="P196" s="576" t="s">
        <v>442</v>
      </c>
      <c r="Q196" s="576" t="s">
        <v>62</v>
      </c>
      <c r="R196" s="597"/>
      <c r="S196" s="575" t="str">
        <f t="shared" si="10"/>
        <v>040-103-000005832</v>
      </c>
      <c r="T196" s="599" t="s">
        <v>1505</v>
      </c>
      <c r="U196" s="621" t="s">
        <v>1506</v>
      </c>
    </row>
    <row r="197" spans="1:21" ht="24" customHeight="1" x14ac:dyDescent="0.2">
      <c r="A197" s="624">
        <v>192</v>
      </c>
      <c r="B197" s="574" t="s">
        <v>1510</v>
      </c>
      <c r="C197" s="575" t="s">
        <v>100</v>
      </c>
      <c r="D197" s="575" t="s">
        <v>1511</v>
      </c>
      <c r="E197" s="576">
        <v>4156042</v>
      </c>
      <c r="F197" s="575" t="s">
        <v>1512</v>
      </c>
      <c r="G197" s="575" t="s">
        <v>1513</v>
      </c>
      <c r="H197" s="576" t="s">
        <v>41</v>
      </c>
      <c r="I197" s="576" t="s">
        <v>62</v>
      </c>
      <c r="J197" s="576" t="s">
        <v>63</v>
      </c>
      <c r="K197" s="593">
        <v>45744</v>
      </c>
      <c r="L197" s="594" t="s">
        <v>1514</v>
      </c>
      <c r="M197" s="594" t="s">
        <v>1515</v>
      </c>
      <c r="N197" s="595" t="s">
        <v>1516</v>
      </c>
      <c r="O197" s="596">
        <v>20</v>
      </c>
      <c r="P197" s="576" t="s">
        <v>442</v>
      </c>
      <c r="Q197" s="576" t="s">
        <v>62</v>
      </c>
      <c r="R197" s="597"/>
      <c r="S197" s="575" t="str">
        <f t="shared" si="10"/>
        <v>001-500-000071774</v>
      </c>
      <c r="T197" s="599" t="s">
        <v>1517</v>
      </c>
      <c r="U197" s="621" t="s">
        <v>1518</v>
      </c>
    </row>
    <row r="198" spans="1:21" ht="24" customHeight="1" x14ac:dyDescent="0.2">
      <c r="A198" s="624">
        <v>193</v>
      </c>
      <c r="B198" s="574">
        <v>45736</v>
      </c>
      <c r="C198" s="575" t="s">
        <v>100</v>
      </c>
      <c r="D198" s="575" t="s">
        <v>1511</v>
      </c>
      <c r="E198" s="576">
        <v>11520025</v>
      </c>
      <c r="F198" s="575" t="s">
        <v>1519</v>
      </c>
      <c r="G198" s="575" t="s">
        <v>1520</v>
      </c>
      <c r="H198" s="576" t="s">
        <v>41</v>
      </c>
      <c r="I198" s="576" t="s">
        <v>62</v>
      </c>
      <c r="J198" s="576" t="s">
        <v>63</v>
      </c>
      <c r="K198" s="593">
        <v>45744</v>
      </c>
      <c r="L198" s="594" t="s">
        <v>1514</v>
      </c>
      <c r="M198" s="594" t="s">
        <v>1515</v>
      </c>
      <c r="N198" s="595" t="s">
        <v>1516</v>
      </c>
      <c r="O198" s="596">
        <v>20</v>
      </c>
      <c r="P198" s="576" t="s">
        <v>442</v>
      </c>
      <c r="Q198" s="576" t="s">
        <v>62</v>
      </c>
      <c r="R198" s="597"/>
      <c r="S198" s="575" t="str">
        <f t="shared" si="10"/>
        <v>001-500-000071774</v>
      </c>
      <c r="T198" s="599" t="s">
        <v>1517</v>
      </c>
      <c r="U198" s="621" t="s">
        <v>1518</v>
      </c>
    </row>
    <row r="199" spans="1:21" ht="24" customHeight="1" x14ac:dyDescent="0.2">
      <c r="A199" s="624">
        <v>194</v>
      </c>
      <c r="B199" s="574">
        <v>45737</v>
      </c>
      <c r="C199" s="575" t="s">
        <v>1521</v>
      </c>
      <c r="D199" s="575" t="s">
        <v>1522</v>
      </c>
      <c r="E199" s="576">
        <v>41596006</v>
      </c>
      <c r="F199" s="575" t="s">
        <v>1014</v>
      </c>
      <c r="G199" s="575" t="s">
        <v>1523</v>
      </c>
      <c r="H199" s="576" t="s">
        <v>41</v>
      </c>
      <c r="I199" s="576" t="s">
        <v>62</v>
      </c>
      <c r="J199" s="576" t="s">
        <v>63</v>
      </c>
      <c r="K199" s="593">
        <v>45744</v>
      </c>
      <c r="L199" s="594" t="s">
        <v>1524</v>
      </c>
      <c r="M199" s="594" t="s">
        <v>1525</v>
      </c>
      <c r="N199" s="595" t="s">
        <v>1526</v>
      </c>
      <c r="O199" s="596">
        <v>20</v>
      </c>
      <c r="P199" s="576" t="s">
        <v>442</v>
      </c>
      <c r="Q199" s="576" t="s">
        <v>62</v>
      </c>
      <c r="R199" s="597"/>
      <c r="S199" s="575" t="str">
        <f t="shared" si="10"/>
        <v>001-001-000001112</v>
      </c>
      <c r="T199" s="599" t="s">
        <v>1527</v>
      </c>
      <c r="U199" s="621" t="s">
        <v>1528</v>
      </c>
    </row>
    <row r="200" spans="1:21" ht="24" customHeight="1" x14ac:dyDescent="0.2">
      <c r="A200" s="624">
        <v>195</v>
      </c>
      <c r="B200" s="574">
        <v>45737</v>
      </c>
      <c r="C200" s="575" t="s">
        <v>1521</v>
      </c>
      <c r="D200" s="575" t="s">
        <v>1522</v>
      </c>
      <c r="E200" s="576">
        <v>41596006</v>
      </c>
      <c r="F200" s="575" t="s">
        <v>1014</v>
      </c>
      <c r="G200" s="575" t="s">
        <v>1529</v>
      </c>
      <c r="H200" s="576" t="s">
        <v>41</v>
      </c>
      <c r="I200" s="576" t="s">
        <v>62</v>
      </c>
      <c r="J200" s="576" t="s">
        <v>63</v>
      </c>
      <c r="K200" s="593">
        <v>45744</v>
      </c>
      <c r="L200" s="594" t="s">
        <v>1524</v>
      </c>
      <c r="M200" s="594" t="s">
        <v>1525</v>
      </c>
      <c r="N200" s="595" t="s">
        <v>1526</v>
      </c>
      <c r="O200" s="596">
        <v>20</v>
      </c>
      <c r="P200" s="576" t="s">
        <v>442</v>
      </c>
      <c r="Q200" s="576" t="s">
        <v>62</v>
      </c>
      <c r="R200" s="597"/>
      <c r="S200" s="575" t="str">
        <f t="shared" si="10"/>
        <v>001-001-000001112</v>
      </c>
      <c r="T200" s="599" t="s">
        <v>1527</v>
      </c>
      <c r="U200" s="621" t="s">
        <v>1528</v>
      </c>
    </row>
    <row r="201" spans="1:21" ht="24" customHeight="1" x14ac:dyDescent="0.2">
      <c r="A201" s="624">
        <v>196</v>
      </c>
      <c r="B201" s="574">
        <v>45733</v>
      </c>
      <c r="C201" s="575" t="s">
        <v>100</v>
      </c>
      <c r="D201" s="575" t="s">
        <v>1530</v>
      </c>
      <c r="E201" s="576">
        <v>112580058</v>
      </c>
      <c r="F201" s="575" t="s">
        <v>334</v>
      </c>
      <c r="G201" s="575" t="s">
        <v>1531</v>
      </c>
      <c r="H201" s="576" t="s">
        <v>41</v>
      </c>
      <c r="I201" s="576" t="s">
        <v>62</v>
      </c>
      <c r="J201" s="576" t="s">
        <v>63</v>
      </c>
      <c r="K201" s="593">
        <v>45747</v>
      </c>
      <c r="L201" s="594" t="s">
        <v>1532</v>
      </c>
      <c r="M201" s="594" t="s">
        <v>1533</v>
      </c>
      <c r="N201" s="595" t="s">
        <v>1534</v>
      </c>
      <c r="O201" s="596">
        <v>20</v>
      </c>
      <c r="P201" s="576" t="s">
        <v>442</v>
      </c>
      <c r="Q201" s="576" t="s">
        <v>62</v>
      </c>
      <c r="R201" s="597"/>
      <c r="S201" s="575" t="str">
        <f t="shared" si="10"/>
        <v>001-500-000071682</v>
      </c>
      <c r="T201" s="599" t="s">
        <v>1534</v>
      </c>
      <c r="U201" s="621" t="s">
        <v>1535</v>
      </c>
    </row>
    <row r="202" spans="1:21" ht="24" customHeight="1" x14ac:dyDescent="0.2">
      <c r="A202" s="624">
        <v>197</v>
      </c>
      <c r="B202" s="574">
        <v>45733</v>
      </c>
      <c r="C202" s="575" t="s">
        <v>100</v>
      </c>
      <c r="D202" s="575" t="s">
        <v>1536</v>
      </c>
      <c r="E202" s="576">
        <v>111010040</v>
      </c>
      <c r="F202" s="575" t="s">
        <v>1482</v>
      </c>
      <c r="G202" s="575" t="s">
        <v>1537</v>
      </c>
      <c r="H202" s="576" t="s">
        <v>41</v>
      </c>
      <c r="I202" s="576" t="s">
        <v>62</v>
      </c>
      <c r="J202" s="576" t="s">
        <v>63</v>
      </c>
      <c r="K202" s="593">
        <v>45747</v>
      </c>
      <c r="L202" s="594" t="s">
        <v>1532</v>
      </c>
      <c r="M202" s="594" t="s">
        <v>1533</v>
      </c>
      <c r="N202" s="595" t="s">
        <v>1534</v>
      </c>
      <c r="O202" s="596">
        <v>20</v>
      </c>
      <c r="P202" s="576" t="s">
        <v>442</v>
      </c>
      <c r="Q202" s="576" t="s">
        <v>62</v>
      </c>
      <c r="R202" s="597"/>
      <c r="S202" s="575" t="str">
        <f t="shared" si="10"/>
        <v>001-500-000071888</v>
      </c>
      <c r="T202" s="599" t="s">
        <v>1534</v>
      </c>
      <c r="U202" s="621" t="s">
        <v>1535</v>
      </c>
    </row>
    <row r="203" spans="1:21" ht="24" customHeight="1" x14ac:dyDescent="0.2">
      <c r="A203" s="624">
        <v>198</v>
      </c>
      <c r="B203" s="574">
        <v>45703</v>
      </c>
      <c r="C203" s="575" t="s">
        <v>100</v>
      </c>
      <c r="D203" s="575" t="s">
        <v>1538</v>
      </c>
      <c r="E203" s="576">
        <v>40467305</v>
      </c>
      <c r="F203" s="575" t="s">
        <v>922</v>
      </c>
      <c r="G203" s="575" t="s">
        <v>1539</v>
      </c>
      <c r="H203" s="576" t="s">
        <v>41</v>
      </c>
      <c r="I203" s="576" t="s">
        <v>62</v>
      </c>
      <c r="J203" s="576" t="s">
        <v>63</v>
      </c>
      <c r="K203" s="593">
        <v>45747</v>
      </c>
      <c r="L203" s="594" t="s">
        <v>1540</v>
      </c>
      <c r="M203" s="594" t="s">
        <v>328</v>
      </c>
      <c r="N203" s="595" t="s">
        <v>1541</v>
      </c>
      <c r="O203" s="596">
        <v>20</v>
      </c>
      <c r="P203" s="576" t="s">
        <v>442</v>
      </c>
      <c r="Q203" s="576" t="s">
        <v>62</v>
      </c>
      <c r="R203" s="597"/>
      <c r="S203" s="575" t="str">
        <f t="shared" si="10"/>
        <v>001-500-000070972</v>
      </c>
      <c r="T203" s="599" t="s">
        <v>1541</v>
      </c>
      <c r="U203" s="621" t="s">
        <v>1542</v>
      </c>
    </row>
    <row r="204" spans="1:21" ht="24" customHeight="1" x14ac:dyDescent="0.2">
      <c r="A204" s="624">
        <v>199</v>
      </c>
      <c r="B204" s="574">
        <v>45703</v>
      </c>
      <c r="C204" s="575" t="s">
        <v>100</v>
      </c>
      <c r="D204" s="575" t="s">
        <v>1538</v>
      </c>
      <c r="E204" s="576">
        <v>112580027</v>
      </c>
      <c r="F204" s="575" t="s">
        <v>517</v>
      </c>
      <c r="G204" s="575" t="s">
        <v>1543</v>
      </c>
      <c r="H204" s="576" t="s">
        <v>41</v>
      </c>
      <c r="I204" s="576" t="s">
        <v>62</v>
      </c>
      <c r="J204" s="576" t="s">
        <v>63</v>
      </c>
      <c r="K204" s="593">
        <v>45747</v>
      </c>
      <c r="L204" s="594" t="s">
        <v>1540</v>
      </c>
      <c r="M204" s="594" t="s">
        <v>328</v>
      </c>
      <c r="N204" s="595" t="s">
        <v>1541</v>
      </c>
      <c r="O204" s="596">
        <v>20</v>
      </c>
      <c r="P204" s="576" t="s">
        <v>442</v>
      </c>
      <c r="Q204" s="576" t="s">
        <v>62</v>
      </c>
      <c r="R204" s="597"/>
      <c r="S204" s="575" t="str">
        <f t="shared" si="10"/>
        <v>001-500-000070972</v>
      </c>
      <c r="T204" s="599" t="s">
        <v>1541</v>
      </c>
      <c r="U204" s="621" t="s">
        <v>1542</v>
      </c>
    </row>
    <row r="205" spans="1:21" ht="24" customHeight="1" x14ac:dyDescent="0.2">
      <c r="A205" s="624">
        <v>200</v>
      </c>
      <c r="B205" s="574">
        <v>45503</v>
      </c>
      <c r="C205" s="575" t="s">
        <v>100</v>
      </c>
      <c r="D205" s="575" t="s">
        <v>1544</v>
      </c>
      <c r="E205" s="576">
        <v>112730000</v>
      </c>
      <c r="F205" s="575" t="s">
        <v>1545</v>
      </c>
      <c r="G205" s="575" t="s">
        <v>1546</v>
      </c>
      <c r="H205" s="576" t="s">
        <v>41</v>
      </c>
      <c r="I205" s="576" t="s">
        <v>62</v>
      </c>
      <c r="J205" s="576" t="s">
        <v>63</v>
      </c>
      <c r="K205" s="593">
        <v>45748</v>
      </c>
      <c r="L205" s="594" t="s">
        <v>1547</v>
      </c>
      <c r="M205" s="594" t="s">
        <v>1548</v>
      </c>
      <c r="N205" s="595" t="s">
        <v>1549</v>
      </c>
      <c r="O205" s="596">
        <v>15</v>
      </c>
      <c r="P205" s="576" t="s">
        <v>442</v>
      </c>
      <c r="Q205" s="576" t="s">
        <v>62</v>
      </c>
      <c r="R205" s="597"/>
      <c r="S205" s="575" t="str">
        <f t="shared" si="10"/>
        <v>001-500-000065138</v>
      </c>
      <c r="T205" s="599" t="s">
        <v>1550</v>
      </c>
      <c r="U205" s="621" t="s">
        <v>1551</v>
      </c>
    </row>
    <row r="206" spans="1:21" ht="24" customHeight="1" x14ac:dyDescent="0.2">
      <c r="A206" s="624">
        <v>201</v>
      </c>
      <c r="B206" s="574">
        <v>45503</v>
      </c>
      <c r="C206" s="575" t="s">
        <v>100</v>
      </c>
      <c r="D206" s="575" t="s">
        <v>1544</v>
      </c>
      <c r="E206" s="576">
        <v>41560074</v>
      </c>
      <c r="F206" s="575" t="s">
        <v>1552</v>
      </c>
      <c r="G206" s="575" t="s">
        <v>1553</v>
      </c>
      <c r="H206" s="576" t="s">
        <v>41</v>
      </c>
      <c r="I206" s="576" t="s">
        <v>62</v>
      </c>
      <c r="J206" s="576" t="s">
        <v>63</v>
      </c>
      <c r="K206" s="593">
        <v>45748</v>
      </c>
      <c r="L206" s="594" t="s">
        <v>1547</v>
      </c>
      <c r="M206" s="594" t="s">
        <v>1548</v>
      </c>
      <c r="N206" s="595" t="s">
        <v>1549</v>
      </c>
      <c r="O206" s="596">
        <v>15</v>
      </c>
      <c r="P206" s="576" t="s">
        <v>442</v>
      </c>
      <c r="Q206" s="576" t="s">
        <v>62</v>
      </c>
      <c r="R206" s="597"/>
      <c r="S206" s="575" t="str">
        <f t="shared" si="10"/>
        <v>001-500-000065138</v>
      </c>
      <c r="T206" s="599" t="s">
        <v>1550</v>
      </c>
      <c r="U206" s="621" t="s">
        <v>1551</v>
      </c>
    </row>
    <row r="207" spans="1:21" ht="24" customHeight="1" x14ac:dyDescent="0.2">
      <c r="A207" s="624">
        <v>202</v>
      </c>
      <c r="B207" s="574">
        <v>45503</v>
      </c>
      <c r="C207" s="575" t="s">
        <v>100</v>
      </c>
      <c r="D207" s="575" t="s">
        <v>1544</v>
      </c>
      <c r="E207" s="576">
        <v>142030019</v>
      </c>
      <c r="F207" s="575" t="s">
        <v>1554</v>
      </c>
      <c r="G207" s="575" t="s">
        <v>1555</v>
      </c>
      <c r="H207" s="576" t="s">
        <v>41</v>
      </c>
      <c r="I207" s="576" t="s">
        <v>62</v>
      </c>
      <c r="J207" s="576" t="s">
        <v>63</v>
      </c>
      <c r="K207" s="593">
        <v>45748</v>
      </c>
      <c r="L207" s="594" t="s">
        <v>1547</v>
      </c>
      <c r="M207" s="594" t="s">
        <v>1548</v>
      </c>
      <c r="N207" s="595" t="s">
        <v>1549</v>
      </c>
      <c r="O207" s="596">
        <v>15</v>
      </c>
      <c r="P207" s="576" t="s">
        <v>442</v>
      </c>
      <c r="Q207" s="576" t="s">
        <v>62</v>
      </c>
      <c r="R207" s="597"/>
      <c r="S207" s="575" t="str">
        <f t="shared" ref="S207:S254" si="11">D207</f>
        <v>001-500-000065138</v>
      </c>
      <c r="T207" s="599" t="s">
        <v>1550</v>
      </c>
      <c r="U207" s="621" t="s">
        <v>1551</v>
      </c>
    </row>
    <row r="208" spans="1:21" ht="24" customHeight="1" x14ac:dyDescent="0.2">
      <c r="A208" s="624">
        <v>203</v>
      </c>
      <c r="B208" s="574">
        <v>45503</v>
      </c>
      <c r="C208" s="575" t="s">
        <v>100</v>
      </c>
      <c r="D208" s="575" t="s">
        <v>1544</v>
      </c>
      <c r="E208" s="576">
        <v>113610005</v>
      </c>
      <c r="F208" s="575" t="s">
        <v>200</v>
      </c>
      <c r="G208" s="575" t="s">
        <v>1556</v>
      </c>
      <c r="H208" s="576" t="s">
        <v>41</v>
      </c>
      <c r="I208" s="576" t="s">
        <v>62</v>
      </c>
      <c r="J208" s="576" t="s">
        <v>63</v>
      </c>
      <c r="K208" s="593">
        <v>45748</v>
      </c>
      <c r="L208" s="594" t="s">
        <v>1547</v>
      </c>
      <c r="M208" s="594" t="s">
        <v>1548</v>
      </c>
      <c r="N208" s="595" t="s">
        <v>1549</v>
      </c>
      <c r="O208" s="596">
        <v>15</v>
      </c>
      <c r="P208" s="576" t="s">
        <v>442</v>
      </c>
      <c r="Q208" s="576" t="s">
        <v>62</v>
      </c>
      <c r="R208" s="597"/>
      <c r="S208" s="575" t="str">
        <f t="shared" si="11"/>
        <v>001-500-000065138</v>
      </c>
      <c r="T208" s="599" t="s">
        <v>1550</v>
      </c>
      <c r="U208" s="621" t="s">
        <v>1551</v>
      </c>
    </row>
    <row r="209" spans="1:21" ht="24" customHeight="1" x14ac:dyDescent="0.2">
      <c r="A209" s="624">
        <v>204</v>
      </c>
      <c r="B209" s="574">
        <v>45743</v>
      </c>
      <c r="C209" s="575" t="s">
        <v>100</v>
      </c>
      <c r="D209" s="575" t="s">
        <v>1557</v>
      </c>
      <c r="E209" s="576">
        <v>40782127</v>
      </c>
      <c r="F209" s="575" t="s">
        <v>838</v>
      </c>
      <c r="G209" s="575" t="s">
        <v>1558</v>
      </c>
      <c r="H209" s="576" t="s">
        <v>41</v>
      </c>
      <c r="I209" s="576" t="s">
        <v>62</v>
      </c>
      <c r="J209" s="576" t="s">
        <v>63</v>
      </c>
      <c r="K209" s="593">
        <v>45748</v>
      </c>
      <c r="L209" s="594" t="s">
        <v>1559</v>
      </c>
      <c r="M209" s="594" t="s">
        <v>349</v>
      </c>
      <c r="N209" s="595" t="s">
        <v>1560</v>
      </c>
      <c r="O209" s="596">
        <v>20</v>
      </c>
      <c r="P209" s="576" t="s">
        <v>442</v>
      </c>
      <c r="Q209" s="576" t="s">
        <v>62</v>
      </c>
      <c r="R209" s="597"/>
      <c r="S209" s="575" t="str">
        <f t="shared" si="11"/>
        <v>001-500-000071940</v>
      </c>
      <c r="T209" s="599" t="s">
        <v>1561</v>
      </c>
      <c r="U209" s="621" t="s">
        <v>1562</v>
      </c>
    </row>
    <row r="210" spans="1:21" ht="24" customHeight="1" x14ac:dyDescent="0.2">
      <c r="A210" s="624">
        <v>205</v>
      </c>
      <c r="B210" s="574">
        <v>45743</v>
      </c>
      <c r="C210" s="575" t="s">
        <v>100</v>
      </c>
      <c r="D210" s="575" t="s">
        <v>1557</v>
      </c>
      <c r="E210" s="576">
        <v>41560041</v>
      </c>
      <c r="F210" s="575" t="s">
        <v>1233</v>
      </c>
      <c r="G210" s="575" t="s">
        <v>1563</v>
      </c>
      <c r="H210" s="576" t="s">
        <v>41</v>
      </c>
      <c r="I210" s="576" t="s">
        <v>62</v>
      </c>
      <c r="J210" s="576" t="s">
        <v>63</v>
      </c>
      <c r="K210" s="593">
        <v>45748</v>
      </c>
      <c r="L210" s="594" t="s">
        <v>1559</v>
      </c>
      <c r="M210" s="594" t="s">
        <v>349</v>
      </c>
      <c r="N210" s="595" t="s">
        <v>1560</v>
      </c>
      <c r="O210" s="596">
        <v>20</v>
      </c>
      <c r="P210" s="576" t="s">
        <v>442</v>
      </c>
      <c r="Q210" s="576" t="s">
        <v>62</v>
      </c>
      <c r="R210" s="597"/>
      <c r="S210" s="575" t="str">
        <f t="shared" si="11"/>
        <v>001-500-000071940</v>
      </c>
      <c r="T210" s="599" t="s">
        <v>1561</v>
      </c>
      <c r="U210" s="621" t="s">
        <v>1562</v>
      </c>
    </row>
    <row r="211" spans="1:21" ht="24" customHeight="1" x14ac:dyDescent="0.2">
      <c r="A211" s="624">
        <v>206</v>
      </c>
      <c r="B211" s="574">
        <v>45722</v>
      </c>
      <c r="C211" s="575" t="s">
        <v>733</v>
      </c>
      <c r="D211" s="575" t="s">
        <v>1564</v>
      </c>
      <c r="E211" s="576">
        <v>111910000</v>
      </c>
      <c r="F211" s="575" t="s">
        <v>1376</v>
      </c>
      <c r="G211" s="594">
        <v>111910000000090</v>
      </c>
      <c r="H211" s="576" t="s">
        <v>41</v>
      </c>
      <c r="I211" s="576" t="s">
        <v>62</v>
      </c>
      <c r="J211" s="576" t="s">
        <v>63</v>
      </c>
      <c r="K211" s="593">
        <v>45750</v>
      </c>
      <c r="L211" s="594" t="s">
        <v>1565</v>
      </c>
      <c r="M211" s="594" t="s">
        <v>1566</v>
      </c>
      <c r="N211" s="595" t="s">
        <v>1567</v>
      </c>
      <c r="O211" s="596">
        <v>20</v>
      </c>
      <c r="P211" s="576" t="s">
        <v>442</v>
      </c>
      <c r="Q211" s="576" t="s">
        <v>62</v>
      </c>
      <c r="R211" s="597"/>
      <c r="S211" s="575" t="str">
        <f t="shared" si="11"/>
        <v>002-201-00006242</v>
      </c>
      <c r="T211" s="599" t="s">
        <v>1568</v>
      </c>
      <c r="U211" s="621" t="s">
        <v>1569</v>
      </c>
    </row>
    <row r="212" spans="1:21" ht="24" customHeight="1" x14ac:dyDescent="0.2">
      <c r="A212" s="624">
        <v>207</v>
      </c>
      <c r="B212" s="574">
        <v>45722</v>
      </c>
      <c r="C212" s="575" t="s">
        <v>733</v>
      </c>
      <c r="D212" s="575" t="s">
        <v>1564</v>
      </c>
      <c r="E212" s="576">
        <v>112580027</v>
      </c>
      <c r="F212" s="575" t="s">
        <v>517</v>
      </c>
      <c r="G212" s="594" t="s">
        <v>1570</v>
      </c>
      <c r="H212" s="576" t="s">
        <v>41</v>
      </c>
      <c r="I212" s="576" t="s">
        <v>62</v>
      </c>
      <c r="J212" s="576" t="s">
        <v>63</v>
      </c>
      <c r="K212" s="593">
        <v>45750</v>
      </c>
      <c r="L212" s="594" t="s">
        <v>1565</v>
      </c>
      <c r="M212" s="594" t="s">
        <v>1566</v>
      </c>
      <c r="N212" s="595" t="s">
        <v>1567</v>
      </c>
      <c r="O212" s="596">
        <v>20</v>
      </c>
      <c r="P212" s="576" t="s">
        <v>442</v>
      </c>
      <c r="Q212" s="576" t="s">
        <v>62</v>
      </c>
      <c r="R212" s="597"/>
      <c r="S212" s="575" t="str">
        <f t="shared" si="11"/>
        <v>002-201-00006242</v>
      </c>
      <c r="T212" s="599" t="s">
        <v>1568</v>
      </c>
      <c r="U212" s="621" t="s">
        <v>1569</v>
      </c>
    </row>
    <row r="213" spans="1:21" ht="24" customHeight="1" x14ac:dyDescent="0.2">
      <c r="A213" s="624">
        <v>208</v>
      </c>
      <c r="B213" s="574">
        <v>45704</v>
      </c>
      <c r="C213" s="575" t="s">
        <v>125</v>
      </c>
      <c r="D213" s="575" t="s">
        <v>1571</v>
      </c>
      <c r="E213" s="576">
        <v>40466111</v>
      </c>
      <c r="F213" s="575" t="s">
        <v>252</v>
      </c>
      <c r="G213" s="575" t="s">
        <v>1572</v>
      </c>
      <c r="H213" s="576" t="s">
        <v>41</v>
      </c>
      <c r="I213" s="576" t="s">
        <v>62</v>
      </c>
      <c r="J213" s="576" t="s">
        <v>63</v>
      </c>
      <c r="K213" s="593">
        <v>45750</v>
      </c>
      <c r="L213" s="594" t="s">
        <v>1573</v>
      </c>
      <c r="M213" s="594" t="s">
        <v>148</v>
      </c>
      <c r="N213" s="595" t="s">
        <v>1574</v>
      </c>
      <c r="O213" s="596">
        <v>20</v>
      </c>
      <c r="P213" s="576" t="s">
        <v>442</v>
      </c>
      <c r="Q213" s="576" t="s">
        <v>62</v>
      </c>
      <c r="R213" s="597"/>
      <c r="S213" s="575" t="str">
        <f t="shared" si="11"/>
        <v>016-907-000239435</v>
      </c>
      <c r="T213" s="599" t="s">
        <v>1575</v>
      </c>
      <c r="U213" s="621" t="s">
        <v>1576</v>
      </c>
    </row>
    <row r="214" spans="1:21" ht="24" customHeight="1" x14ac:dyDescent="0.2">
      <c r="A214" s="624">
        <v>209</v>
      </c>
      <c r="B214" s="574">
        <v>45704</v>
      </c>
      <c r="C214" s="575" t="s">
        <v>125</v>
      </c>
      <c r="D214" s="575" t="s">
        <v>1571</v>
      </c>
      <c r="E214" s="576">
        <v>112580027</v>
      </c>
      <c r="F214" s="575" t="s">
        <v>517</v>
      </c>
      <c r="G214" s="575" t="s">
        <v>1577</v>
      </c>
      <c r="H214" s="576" t="s">
        <v>41</v>
      </c>
      <c r="I214" s="576" t="s">
        <v>62</v>
      </c>
      <c r="J214" s="576" t="s">
        <v>63</v>
      </c>
      <c r="K214" s="593">
        <v>45750</v>
      </c>
      <c r="L214" s="594" t="s">
        <v>1573</v>
      </c>
      <c r="M214" s="594" t="s">
        <v>148</v>
      </c>
      <c r="N214" s="595" t="s">
        <v>1574</v>
      </c>
      <c r="O214" s="596">
        <v>20</v>
      </c>
      <c r="P214" s="576" t="s">
        <v>442</v>
      </c>
      <c r="Q214" s="576" t="s">
        <v>62</v>
      </c>
      <c r="R214" s="597"/>
      <c r="S214" s="575" t="str">
        <f t="shared" si="11"/>
        <v>016-907-000239435</v>
      </c>
      <c r="T214" s="599" t="s">
        <v>1575</v>
      </c>
      <c r="U214" s="621" t="s">
        <v>1576</v>
      </c>
    </row>
    <row r="215" spans="1:21" ht="24" customHeight="1" x14ac:dyDescent="0.2">
      <c r="A215" s="624">
        <v>210</v>
      </c>
      <c r="B215" s="574">
        <v>46020</v>
      </c>
      <c r="C215" s="575" t="s">
        <v>75</v>
      </c>
      <c r="D215" s="575" t="s">
        <v>1578</v>
      </c>
      <c r="E215" s="576">
        <v>112030019</v>
      </c>
      <c r="F215" s="575" t="s">
        <v>323</v>
      </c>
      <c r="G215" s="575" t="s">
        <v>1579</v>
      </c>
      <c r="H215" s="576" t="s">
        <v>41</v>
      </c>
      <c r="I215" s="576" t="s">
        <v>62</v>
      </c>
      <c r="J215" s="576" t="s">
        <v>63</v>
      </c>
      <c r="K215" s="593">
        <v>45751</v>
      </c>
      <c r="L215" s="594" t="s">
        <v>1580</v>
      </c>
      <c r="M215" s="594" t="s">
        <v>1581</v>
      </c>
      <c r="N215" s="595" t="s">
        <v>1582</v>
      </c>
      <c r="O215" s="596">
        <v>20</v>
      </c>
      <c r="P215" s="576" t="s">
        <v>442</v>
      </c>
      <c r="Q215" s="576" t="s">
        <v>62</v>
      </c>
      <c r="R215" s="597"/>
      <c r="S215" s="575" t="str">
        <f t="shared" si="11"/>
        <v>001-001-000000463</v>
      </c>
      <c r="T215" s="599" t="s">
        <v>1583</v>
      </c>
      <c r="U215" s="621" t="s">
        <v>1584</v>
      </c>
    </row>
    <row r="216" spans="1:21" ht="24" customHeight="1" x14ac:dyDescent="0.2">
      <c r="A216" s="624">
        <v>211</v>
      </c>
      <c r="B216" s="574">
        <v>46020</v>
      </c>
      <c r="C216" s="575" t="s">
        <v>75</v>
      </c>
      <c r="D216" s="575" t="s">
        <v>1578</v>
      </c>
      <c r="E216" s="576">
        <v>113600016</v>
      </c>
      <c r="F216" s="575" t="s">
        <v>1585</v>
      </c>
      <c r="G216" s="575" t="s">
        <v>1586</v>
      </c>
      <c r="H216" s="576" t="s">
        <v>41</v>
      </c>
      <c r="I216" s="576" t="s">
        <v>62</v>
      </c>
      <c r="J216" s="576" t="s">
        <v>63</v>
      </c>
      <c r="K216" s="593">
        <v>45751</v>
      </c>
      <c r="L216" s="594" t="s">
        <v>1580</v>
      </c>
      <c r="M216" s="594" t="s">
        <v>1581</v>
      </c>
      <c r="N216" s="595" t="s">
        <v>1582</v>
      </c>
      <c r="O216" s="596">
        <v>20</v>
      </c>
      <c r="P216" s="576" t="s">
        <v>442</v>
      </c>
      <c r="Q216" s="576" t="s">
        <v>62</v>
      </c>
      <c r="R216" s="597"/>
      <c r="S216" s="575" t="str">
        <f t="shared" si="11"/>
        <v>001-001-000000463</v>
      </c>
      <c r="T216" s="599" t="s">
        <v>1583</v>
      </c>
      <c r="U216" s="621" t="s">
        <v>1584</v>
      </c>
    </row>
    <row r="217" spans="1:21" ht="24" customHeight="1" x14ac:dyDescent="0.2">
      <c r="A217" s="624">
        <v>212</v>
      </c>
      <c r="B217" s="574">
        <v>45730</v>
      </c>
      <c r="C217" s="575" t="s">
        <v>125</v>
      </c>
      <c r="D217" s="575" t="s">
        <v>1587</v>
      </c>
      <c r="E217" s="576">
        <v>40460111</v>
      </c>
      <c r="F217" s="575" t="s">
        <v>252</v>
      </c>
      <c r="G217" s="594" t="s">
        <v>1588</v>
      </c>
      <c r="H217" s="576" t="s">
        <v>41</v>
      </c>
      <c r="I217" s="576" t="s">
        <v>62</v>
      </c>
      <c r="J217" s="576" t="s">
        <v>63</v>
      </c>
      <c r="K217" s="593">
        <v>45754</v>
      </c>
      <c r="L217" s="594" t="s">
        <v>1589</v>
      </c>
      <c r="M217" s="594" t="s">
        <v>1590</v>
      </c>
      <c r="N217" s="595" t="s">
        <v>1591</v>
      </c>
      <c r="O217" s="596">
        <v>20</v>
      </c>
      <c r="P217" s="576" t="s">
        <v>442</v>
      </c>
      <c r="Q217" s="576" t="s">
        <v>62</v>
      </c>
      <c r="R217" s="597"/>
      <c r="S217" s="575" t="str">
        <f t="shared" si="11"/>
        <v>043-905-000063995</v>
      </c>
      <c r="T217" s="599" t="s">
        <v>1592</v>
      </c>
      <c r="U217" s="621" t="s">
        <v>1593</v>
      </c>
    </row>
    <row r="218" spans="1:21" ht="24" customHeight="1" x14ac:dyDescent="0.2">
      <c r="A218" s="624">
        <v>213</v>
      </c>
      <c r="B218" s="574">
        <v>45730</v>
      </c>
      <c r="C218" s="575" t="s">
        <v>125</v>
      </c>
      <c r="D218" s="575" t="s">
        <v>1587</v>
      </c>
      <c r="E218" s="576">
        <v>112580017</v>
      </c>
      <c r="F218" s="575" t="s">
        <v>228</v>
      </c>
      <c r="G218" s="594" t="s">
        <v>1594</v>
      </c>
      <c r="H218" s="576" t="s">
        <v>41</v>
      </c>
      <c r="I218" s="576" t="s">
        <v>62</v>
      </c>
      <c r="J218" s="576" t="s">
        <v>63</v>
      </c>
      <c r="K218" s="593">
        <v>45754</v>
      </c>
      <c r="L218" s="594" t="s">
        <v>1589</v>
      </c>
      <c r="M218" s="594" t="s">
        <v>1590</v>
      </c>
      <c r="N218" s="595" t="s">
        <v>1591</v>
      </c>
      <c r="O218" s="596">
        <v>20</v>
      </c>
      <c r="P218" s="576" t="s">
        <v>442</v>
      </c>
      <c r="Q218" s="576" t="s">
        <v>62</v>
      </c>
      <c r="R218" s="597"/>
      <c r="S218" s="575" t="str">
        <f t="shared" si="11"/>
        <v>043-905-000063995</v>
      </c>
      <c r="T218" s="599" t="s">
        <v>1592</v>
      </c>
      <c r="U218" s="621" t="s">
        <v>1593</v>
      </c>
    </row>
    <row r="219" spans="1:21" ht="24" customHeight="1" x14ac:dyDescent="0.2">
      <c r="A219" s="624">
        <v>214</v>
      </c>
      <c r="B219" s="574">
        <v>45731</v>
      </c>
      <c r="C219" s="575" t="s">
        <v>100</v>
      </c>
      <c r="D219" s="575" t="s">
        <v>1595</v>
      </c>
      <c r="E219" s="576">
        <v>112580017</v>
      </c>
      <c r="F219" s="575" t="s">
        <v>228</v>
      </c>
      <c r="G219" s="575" t="s">
        <v>1596</v>
      </c>
      <c r="H219" s="576" t="s">
        <v>41</v>
      </c>
      <c r="I219" s="576" t="s">
        <v>62</v>
      </c>
      <c r="J219" s="576" t="s">
        <v>63</v>
      </c>
      <c r="K219" s="593">
        <v>45754</v>
      </c>
      <c r="L219" s="594" t="s">
        <v>1597</v>
      </c>
      <c r="M219" s="594" t="s">
        <v>1598</v>
      </c>
      <c r="N219" s="595" t="s">
        <v>1599</v>
      </c>
      <c r="O219" s="596">
        <v>15</v>
      </c>
      <c r="P219" s="576" t="s">
        <v>442</v>
      </c>
      <c r="Q219" s="576" t="s">
        <v>62</v>
      </c>
      <c r="R219" s="597"/>
      <c r="S219" s="575" t="str">
        <f t="shared" si="11"/>
        <v>001-500-000071628</v>
      </c>
      <c r="T219" s="599" t="s">
        <v>1600</v>
      </c>
      <c r="U219" s="621" t="s">
        <v>1601</v>
      </c>
    </row>
    <row r="220" spans="1:21" ht="24" customHeight="1" x14ac:dyDescent="0.2">
      <c r="A220" s="624">
        <v>215</v>
      </c>
      <c r="B220" s="574">
        <v>45731</v>
      </c>
      <c r="C220" s="575" t="s">
        <v>100</v>
      </c>
      <c r="D220" s="575" t="s">
        <v>1595</v>
      </c>
      <c r="E220" s="576">
        <v>111010041</v>
      </c>
      <c r="F220" s="575" t="s">
        <v>1602</v>
      </c>
      <c r="G220" s="575" t="s">
        <v>1603</v>
      </c>
      <c r="H220" s="576" t="s">
        <v>41</v>
      </c>
      <c r="I220" s="576" t="s">
        <v>62</v>
      </c>
      <c r="J220" s="576" t="s">
        <v>63</v>
      </c>
      <c r="K220" s="593">
        <v>45754</v>
      </c>
      <c r="L220" s="594" t="s">
        <v>1597</v>
      </c>
      <c r="M220" s="594" t="s">
        <v>1598</v>
      </c>
      <c r="N220" s="595" t="s">
        <v>1599</v>
      </c>
      <c r="O220" s="596">
        <v>15</v>
      </c>
      <c r="P220" s="576" t="s">
        <v>442</v>
      </c>
      <c r="Q220" s="576" t="s">
        <v>62</v>
      </c>
      <c r="R220" s="597"/>
      <c r="S220" s="575" t="str">
        <f t="shared" si="11"/>
        <v>001-500-000071628</v>
      </c>
      <c r="T220" s="599" t="s">
        <v>1600</v>
      </c>
      <c r="U220" s="621" t="s">
        <v>1601</v>
      </c>
    </row>
    <row r="221" spans="1:21" ht="24" customHeight="1" x14ac:dyDescent="0.2">
      <c r="A221" s="624">
        <v>216</v>
      </c>
      <c r="B221" s="601">
        <v>45731</v>
      </c>
      <c r="C221" s="602" t="s">
        <v>100</v>
      </c>
      <c r="D221" s="602" t="s">
        <v>1604</v>
      </c>
      <c r="E221" s="603">
        <v>40590835</v>
      </c>
      <c r="F221" s="602" t="s">
        <v>1605</v>
      </c>
      <c r="G221" s="602" t="s">
        <v>1606</v>
      </c>
      <c r="H221" s="603" t="s">
        <v>41</v>
      </c>
      <c r="I221" s="603" t="s">
        <v>62</v>
      </c>
      <c r="J221" s="603" t="s">
        <v>63</v>
      </c>
      <c r="K221" s="604">
        <v>45754</v>
      </c>
      <c r="L221" s="605" t="s">
        <v>1597</v>
      </c>
      <c r="M221" s="605" t="s">
        <v>1598</v>
      </c>
      <c r="N221" s="606" t="s">
        <v>1599</v>
      </c>
      <c r="O221" s="607">
        <v>15</v>
      </c>
      <c r="P221" s="603" t="s">
        <v>442</v>
      </c>
      <c r="Q221" s="603" t="s">
        <v>62</v>
      </c>
      <c r="R221" s="608"/>
      <c r="S221" s="602" t="str">
        <f t="shared" si="11"/>
        <v>043-904-000067179</v>
      </c>
      <c r="T221" s="609" t="s">
        <v>1600</v>
      </c>
      <c r="U221" s="628" t="s">
        <v>1601</v>
      </c>
    </row>
    <row r="222" spans="1:21" ht="24" customHeight="1" x14ac:dyDescent="0.2">
      <c r="A222" s="624">
        <v>217</v>
      </c>
      <c r="B222" s="610">
        <v>45746</v>
      </c>
      <c r="C222" s="611" t="s">
        <v>125</v>
      </c>
      <c r="D222" s="611" t="s">
        <v>1607</v>
      </c>
      <c r="E222" s="612">
        <v>111000051</v>
      </c>
      <c r="F222" s="611" t="s">
        <v>137</v>
      </c>
      <c r="G222" s="611" t="s">
        <v>1608</v>
      </c>
      <c r="H222" s="612" t="s">
        <v>41</v>
      </c>
      <c r="I222" s="612" t="s">
        <v>62</v>
      </c>
      <c r="J222" s="612" t="s">
        <v>63</v>
      </c>
      <c r="K222" s="613">
        <v>45755</v>
      </c>
      <c r="L222" s="614" t="s">
        <v>1609</v>
      </c>
      <c r="M222" s="614" t="s">
        <v>1610</v>
      </c>
      <c r="N222" s="615" t="s">
        <v>1611</v>
      </c>
      <c r="O222" s="616">
        <v>20</v>
      </c>
      <c r="P222" s="612" t="s">
        <v>442</v>
      </c>
      <c r="Q222" s="612" t="s">
        <v>62</v>
      </c>
      <c r="R222" s="617"/>
      <c r="S222" s="611" t="str">
        <f t="shared" si="11"/>
        <v>043-901-000020191</v>
      </c>
      <c r="T222" s="615" t="s">
        <v>1612</v>
      </c>
      <c r="U222" s="629" t="s">
        <v>1613</v>
      </c>
    </row>
    <row r="223" spans="1:21" ht="24" customHeight="1" x14ac:dyDescent="0.2">
      <c r="A223" s="624">
        <v>218</v>
      </c>
      <c r="B223" s="610">
        <v>45746</v>
      </c>
      <c r="C223" s="611" t="s">
        <v>125</v>
      </c>
      <c r="D223" s="618" t="s">
        <v>1607</v>
      </c>
      <c r="E223" s="612">
        <v>111000051</v>
      </c>
      <c r="F223" s="611" t="s">
        <v>1614</v>
      </c>
      <c r="G223" s="611" t="s">
        <v>1615</v>
      </c>
      <c r="H223" s="612" t="s">
        <v>41</v>
      </c>
      <c r="I223" s="612" t="s">
        <v>62</v>
      </c>
      <c r="J223" s="612" t="s">
        <v>63</v>
      </c>
      <c r="K223" s="613">
        <v>45755</v>
      </c>
      <c r="L223" s="614" t="s">
        <v>1609</v>
      </c>
      <c r="M223" s="614" t="s">
        <v>1610</v>
      </c>
      <c r="N223" s="615" t="s">
        <v>1611</v>
      </c>
      <c r="O223" s="616">
        <v>20</v>
      </c>
      <c r="P223" s="612" t="s">
        <v>442</v>
      </c>
      <c r="Q223" s="612" t="s">
        <v>62</v>
      </c>
      <c r="R223" s="617"/>
      <c r="S223" s="611" t="str">
        <f t="shared" si="11"/>
        <v>043-901-000020191</v>
      </c>
      <c r="T223" s="615" t="s">
        <v>1612</v>
      </c>
      <c r="U223" s="629" t="s">
        <v>1613</v>
      </c>
    </row>
    <row r="224" spans="1:21" ht="24" customHeight="1" x14ac:dyDescent="0.2">
      <c r="A224" s="624">
        <v>219</v>
      </c>
      <c r="B224" s="574">
        <v>45577</v>
      </c>
      <c r="C224" s="575" t="s">
        <v>187</v>
      </c>
      <c r="D224" s="575" t="s">
        <v>1616</v>
      </c>
      <c r="E224" s="576">
        <v>112580017</v>
      </c>
      <c r="F224" s="575" t="s">
        <v>228</v>
      </c>
      <c r="G224" s="594" t="s">
        <v>1617</v>
      </c>
      <c r="H224" s="576" t="s">
        <v>41</v>
      </c>
      <c r="I224" s="576" t="s">
        <v>62</v>
      </c>
      <c r="J224" s="576" t="s">
        <v>63</v>
      </c>
      <c r="K224" s="593">
        <v>45754</v>
      </c>
      <c r="L224" s="594" t="s">
        <v>1445</v>
      </c>
      <c r="M224" s="594" t="s">
        <v>1618</v>
      </c>
      <c r="N224" s="595" t="s">
        <v>1446</v>
      </c>
      <c r="O224" s="596">
        <v>15</v>
      </c>
      <c r="P224" s="576" t="s">
        <v>442</v>
      </c>
      <c r="Q224" s="576" t="s">
        <v>62</v>
      </c>
      <c r="R224" s="597"/>
      <c r="S224" s="575" t="str">
        <f t="shared" si="11"/>
        <v>044-012-000002143</v>
      </c>
      <c r="T224" s="599" t="s">
        <v>1619</v>
      </c>
      <c r="U224" s="621" t="s">
        <v>1620</v>
      </c>
    </row>
    <row r="225" spans="1:21" ht="24" customHeight="1" x14ac:dyDescent="0.2">
      <c r="A225" s="624">
        <v>220</v>
      </c>
      <c r="B225" s="574">
        <v>45577</v>
      </c>
      <c r="C225" s="575" t="s">
        <v>187</v>
      </c>
      <c r="D225" s="575" t="s">
        <v>1616</v>
      </c>
      <c r="E225" s="576">
        <v>111020071</v>
      </c>
      <c r="F225" s="575" t="s">
        <v>1621</v>
      </c>
      <c r="G225" s="575" t="s">
        <v>1622</v>
      </c>
      <c r="H225" s="576" t="s">
        <v>41</v>
      </c>
      <c r="I225" s="576" t="s">
        <v>62</v>
      </c>
      <c r="J225" s="576" t="s">
        <v>63</v>
      </c>
      <c r="K225" s="593">
        <v>45754</v>
      </c>
      <c r="L225" s="594" t="s">
        <v>1445</v>
      </c>
      <c r="M225" s="594" t="s">
        <v>1618</v>
      </c>
      <c r="N225" s="595" t="s">
        <v>1446</v>
      </c>
      <c r="O225" s="596">
        <v>15</v>
      </c>
      <c r="P225" s="576" t="s">
        <v>442</v>
      </c>
      <c r="Q225" s="576" t="s">
        <v>62</v>
      </c>
      <c r="R225" s="597"/>
      <c r="S225" s="575" t="str">
        <f t="shared" si="11"/>
        <v>044-012-000002143</v>
      </c>
      <c r="T225" s="599" t="s">
        <v>1619</v>
      </c>
      <c r="U225" s="621" t="s">
        <v>1620</v>
      </c>
    </row>
    <row r="226" spans="1:21" ht="24" customHeight="1" x14ac:dyDescent="0.2">
      <c r="A226" s="624">
        <v>221</v>
      </c>
      <c r="B226" s="574">
        <v>45577</v>
      </c>
      <c r="C226" s="575" t="s">
        <v>187</v>
      </c>
      <c r="D226" s="575" t="s">
        <v>1616</v>
      </c>
      <c r="E226" s="576">
        <v>40446702</v>
      </c>
      <c r="F226" s="575" t="s">
        <v>1623</v>
      </c>
      <c r="G226" s="575" t="s">
        <v>1624</v>
      </c>
      <c r="H226" s="576" t="s">
        <v>41</v>
      </c>
      <c r="I226" s="576" t="s">
        <v>62</v>
      </c>
      <c r="J226" s="576" t="s">
        <v>63</v>
      </c>
      <c r="K226" s="593">
        <v>45754</v>
      </c>
      <c r="L226" s="594" t="s">
        <v>1445</v>
      </c>
      <c r="M226" s="594" t="s">
        <v>1618</v>
      </c>
      <c r="N226" s="595" t="s">
        <v>1446</v>
      </c>
      <c r="O226" s="596">
        <v>15</v>
      </c>
      <c r="P226" s="576" t="s">
        <v>442</v>
      </c>
      <c r="Q226" s="576" t="s">
        <v>62</v>
      </c>
      <c r="R226" s="597"/>
      <c r="S226" s="575" t="str">
        <f t="shared" si="11"/>
        <v>044-012-000002143</v>
      </c>
      <c r="T226" s="599" t="s">
        <v>1619</v>
      </c>
      <c r="U226" s="621" t="s">
        <v>1620</v>
      </c>
    </row>
    <row r="227" spans="1:21" ht="24" customHeight="1" x14ac:dyDescent="0.2">
      <c r="A227" s="624">
        <v>222</v>
      </c>
      <c r="B227" s="601">
        <v>45728</v>
      </c>
      <c r="C227" s="602" t="s">
        <v>125</v>
      </c>
      <c r="D227" s="602" t="s">
        <v>1625</v>
      </c>
      <c r="E227" s="603">
        <v>40584012</v>
      </c>
      <c r="F227" s="602" t="s">
        <v>1626</v>
      </c>
      <c r="G227" s="602" t="s">
        <v>1627</v>
      </c>
      <c r="H227" s="603" t="s">
        <v>41</v>
      </c>
      <c r="I227" s="603" t="s">
        <v>62</v>
      </c>
      <c r="J227" s="603" t="s">
        <v>63</v>
      </c>
      <c r="K227" s="604">
        <v>45754</v>
      </c>
      <c r="L227" s="605" t="s">
        <v>1628</v>
      </c>
      <c r="M227" s="605" t="s">
        <v>1629</v>
      </c>
      <c r="N227" s="606" t="s">
        <v>1630</v>
      </c>
      <c r="O227" s="607">
        <v>20</v>
      </c>
      <c r="P227" s="603" t="s">
        <v>442</v>
      </c>
      <c r="Q227" s="603" t="s">
        <v>62</v>
      </c>
      <c r="R227" s="608"/>
      <c r="S227" s="602" t="str">
        <f t="shared" si="11"/>
        <v>043-405-000062718</v>
      </c>
      <c r="T227" s="609" t="s">
        <v>1631</v>
      </c>
      <c r="U227" s="628" t="s">
        <v>1632</v>
      </c>
    </row>
    <row r="228" spans="1:21" ht="24" customHeight="1" x14ac:dyDescent="0.2">
      <c r="A228" s="624">
        <v>223</v>
      </c>
      <c r="B228" s="601">
        <v>45728</v>
      </c>
      <c r="C228" s="602" t="s">
        <v>125</v>
      </c>
      <c r="D228" s="602" t="s">
        <v>1625</v>
      </c>
      <c r="E228" s="612">
        <v>41560041</v>
      </c>
      <c r="F228" s="611" t="s">
        <v>1233</v>
      </c>
      <c r="G228" s="611" t="s">
        <v>1633</v>
      </c>
      <c r="H228" s="612" t="s">
        <v>41</v>
      </c>
      <c r="I228" s="612" t="s">
        <v>62</v>
      </c>
      <c r="J228" s="612" t="s">
        <v>63</v>
      </c>
      <c r="K228" s="613">
        <v>45755</v>
      </c>
      <c r="L228" s="605" t="s">
        <v>1628</v>
      </c>
      <c r="M228" s="605" t="s">
        <v>1629</v>
      </c>
      <c r="N228" s="606" t="s">
        <v>1630</v>
      </c>
      <c r="O228" s="607">
        <v>20</v>
      </c>
      <c r="P228" s="603" t="s">
        <v>442</v>
      </c>
      <c r="Q228" s="603" t="s">
        <v>62</v>
      </c>
      <c r="R228" s="608"/>
      <c r="S228" s="602" t="str">
        <f t="shared" si="11"/>
        <v>043-405-000062718</v>
      </c>
      <c r="T228" s="609" t="s">
        <v>1631</v>
      </c>
      <c r="U228" s="628" t="s">
        <v>1632</v>
      </c>
    </row>
    <row r="229" spans="1:21" ht="24" customHeight="1" x14ac:dyDescent="0.2">
      <c r="A229" s="624">
        <v>224</v>
      </c>
      <c r="B229" s="610">
        <v>45721</v>
      </c>
      <c r="C229" s="611" t="s">
        <v>125</v>
      </c>
      <c r="D229" s="618" t="s">
        <v>1634</v>
      </c>
      <c r="E229" s="612">
        <v>112580027</v>
      </c>
      <c r="F229" s="611" t="s">
        <v>517</v>
      </c>
      <c r="G229" s="611" t="s">
        <v>1635</v>
      </c>
      <c r="H229" s="612" t="s">
        <v>41</v>
      </c>
      <c r="I229" s="612" t="s">
        <v>62</v>
      </c>
      <c r="J229" s="612" t="s">
        <v>63</v>
      </c>
      <c r="K229" s="613">
        <v>45755</v>
      </c>
      <c r="L229" s="614" t="s">
        <v>1636</v>
      </c>
      <c r="M229" s="614" t="s">
        <v>1637</v>
      </c>
      <c r="N229" s="615" t="s">
        <v>1638</v>
      </c>
      <c r="O229" s="616">
        <v>20</v>
      </c>
      <c r="P229" s="612" t="s">
        <v>442</v>
      </c>
      <c r="Q229" s="612" t="s">
        <v>62</v>
      </c>
      <c r="R229" s="617"/>
      <c r="S229" s="611" t="str">
        <f t="shared" si="11"/>
        <v>043-903-000050982</v>
      </c>
      <c r="T229" s="615" t="s">
        <v>1639</v>
      </c>
      <c r="U229" s="629" t="s">
        <v>1640</v>
      </c>
    </row>
    <row r="230" spans="1:21" ht="24" customHeight="1" x14ac:dyDescent="0.2">
      <c r="A230" s="624">
        <v>225</v>
      </c>
      <c r="B230" s="610">
        <v>45721</v>
      </c>
      <c r="C230" s="611" t="s">
        <v>125</v>
      </c>
      <c r="D230" s="618" t="s">
        <v>1634</v>
      </c>
      <c r="E230" s="612">
        <v>111030002</v>
      </c>
      <c r="F230" s="611" t="s">
        <v>336</v>
      </c>
      <c r="G230" s="611" t="s">
        <v>1641</v>
      </c>
      <c r="H230" s="612" t="s">
        <v>41</v>
      </c>
      <c r="I230" s="612" t="s">
        <v>62</v>
      </c>
      <c r="J230" s="612" t="s">
        <v>63</v>
      </c>
      <c r="K230" s="613">
        <v>45755</v>
      </c>
      <c r="L230" s="614" t="s">
        <v>1636</v>
      </c>
      <c r="M230" s="614" t="s">
        <v>1637</v>
      </c>
      <c r="N230" s="615" t="s">
        <v>1638</v>
      </c>
      <c r="O230" s="616">
        <v>20</v>
      </c>
      <c r="P230" s="612" t="s">
        <v>442</v>
      </c>
      <c r="Q230" s="612" t="s">
        <v>62</v>
      </c>
      <c r="R230" s="617"/>
      <c r="S230" s="611" t="str">
        <f t="shared" si="11"/>
        <v>043-903-000050982</v>
      </c>
      <c r="T230" s="615" t="s">
        <v>1639</v>
      </c>
      <c r="U230" s="629" t="s">
        <v>1640</v>
      </c>
    </row>
    <row r="231" spans="1:21" ht="24" customHeight="1" x14ac:dyDescent="0.2">
      <c r="A231" s="624">
        <v>226</v>
      </c>
      <c r="B231" s="610">
        <v>45518</v>
      </c>
      <c r="C231" s="611" t="s">
        <v>100</v>
      </c>
      <c r="D231" s="618" t="s">
        <v>1642</v>
      </c>
      <c r="E231" s="612">
        <v>112580027</v>
      </c>
      <c r="F231" s="611" t="s">
        <v>517</v>
      </c>
      <c r="G231" s="611" t="s">
        <v>1643</v>
      </c>
      <c r="H231" s="612" t="s">
        <v>41</v>
      </c>
      <c r="I231" s="612" t="s">
        <v>62</v>
      </c>
      <c r="J231" s="612" t="s">
        <v>63</v>
      </c>
      <c r="K231" s="613">
        <v>45763</v>
      </c>
      <c r="L231" s="614" t="s">
        <v>1644</v>
      </c>
      <c r="M231" s="614" t="s">
        <v>349</v>
      </c>
      <c r="N231" s="615" t="s">
        <v>1645</v>
      </c>
      <c r="O231" s="616">
        <v>20</v>
      </c>
      <c r="P231" s="612" t="s">
        <v>442</v>
      </c>
      <c r="Q231" s="612" t="s">
        <v>62</v>
      </c>
      <c r="R231" s="617"/>
      <c r="S231" s="611" t="str">
        <f t="shared" si="11"/>
        <v>001-500-000065582</v>
      </c>
      <c r="T231" s="615" t="s">
        <v>1646</v>
      </c>
      <c r="U231" s="629" t="s">
        <v>1647</v>
      </c>
    </row>
    <row r="232" spans="1:21" ht="24" customHeight="1" x14ac:dyDescent="0.2">
      <c r="A232" s="624">
        <v>227</v>
      </c>
      <c r="B232" s="610">
        <v>45518</v>
      </c>
      <c r="C232" s="611" t="s">
        <v>100</v>
      </c>
      <c r="D232" s="618" t="s">
        <v>1642</v>
      </c>
      <c r="E232" s="612">
        <v>111010040</v>
      </c>
      <c r="F232" s="611" t="s">
        <v>1482</v>
      </c>
      <c r="G232" s="611" t="s">
        <v>1648</v>
      </c>
      <c r="H232" s="612" t="s">
        <v>41</v>
      </c>
      <c r="I232" s="612" t="s">
        <v>62</v>
      </c>
      <c r="J232" s="612" t="s">
        <v>63</v>
      </c>
      <c r="K232" s="613">
        <v>45763</v>
      </c>
      <c r="L232" s="614" t="s">
        <v>1644</v>
      </c>
      <c r="M232" s="614" t="s">
        <v>349</v>
      </c>
      <c r="N232" s="615" t="s">
        <v>1645</v>
      </c>
      <c r="O232" s="616">
        <v>20</v>
      </c>
      <c r="P232" s="612" t="s">
        <v>442</v>
      </c>
      <c r="Q232" s="612" t="s">
        <v>62</v>
      </c>
      <c r="R232" s="617"/>
      <c r="S232" s="611" t="str">
        <f t="shared" si="11"/>
        <v>001-500-000065582</v>
      </c>
      <c r="T232" s="615" t="s">
        <v>1646</v>
      </c>
      <c r="U232" s="629" t="s">
        <v>1647</v>
      </c>
    </row>
    <row r="233" spans="1:21" ht="24" customHeight="1" x14ac:dyDescent="0.2">
      <c r="A233" s="624">
        <v>228</v>
      </c>
      <c r="B233" s="610">
        <v>46046</v>
      </c>
      <c r="C233" s="611" t="s">
        <v>100</v>
      </c>
      <c r="D233" s="618" t="s">
        <v>1649</v>
      </c>
      <c r="E233" s="612">
        <v>112580017</v>
      </c>
      <c r="F233" s="611" t="s">
        <v>228</v>
      </c>
      <c r="G233" s="611" t="s">
        <v>1650</v>
      </c>
      <c r="H233" s="612" t="s">
        <v>41</v>
      </c>
      <c r="I233" s="612" t="s">
        <v>62</v>
      </c>
      <c r="J233" s="612" t="s">
        <v>63</v>
      </c>
      <c r="K233" s="613">
        <v>45763</v>
      </c>
      <c r="L233" s="614" t="s">
        <v>1651</v>
      </c>
      <c r="M233" s="614" t="s">
        <v>1652</v>
      </c>
      <c r="N233" s="615" t="s">
        <v>1653</v>
      </c>
      <c r="O233" s="616">
        <v>15</v>
      </c>
      <c r="P233" s="612" t="s">
        <v>442</v>
      </c>
      <c r="Q233" s="612" t="s">
        <v>62</v>
      </c>
      <c r="R233" s="617"/>
      <c r="S233" s="611" t="str">
        <f t="shared" si="11"/>
        <v>001-500-000070390</v>
      </c>
      <c r="T233" s="615" t="s">
        <v>1654</v>
      </c>
      <c r="U233" s="629" t="s">
        <v>1655</v>
      </c>
    </row>
    <row r="234" spans="1:21" ht="24" customHeight="1" x14ac:dyDescent="0.2">
      <c r="A234" s="624">
        <v>229</v>
      </c>
      <c r="B234" s="610">
        <v>46046</v>
      </c>
      <c r="C234" s="611" t="s">
        <v>100</v>
      </c>
      <c r="D234" s="618" t="s">
        <v>1656</v>
      </c>
      <c r="E234" s="612">
        <v>112580017</v>
      </c>
      <c r="F234" s="611" t="s">
        <v>228</v>
      </c>
      <c r="G234" s="611" t="s">
        <v>1657</v>
      </c>
      <c r="H234" s="612" t="s">
        <v>41</v>
      </c>
      <c r="I234" s="612" t="s">
        <v>62</v>
      </c>
      <c r="J234" s="612" t="s">
        <v>63</v>
      </c>
      <c r="K234" s="613">
        <v>45763</v>
      </c>
      <c r="L234" s="614" t="s">
        <v>1651</v>
      </c>
      <c r="M234" s="614" t="s">
        <v>1652</v>
      </c>
      <c r="N234" s="615" t="s">
        <v>1653</v>
      </c>
      <c r="O234" s="616">
        <v>15</v>
      </c>
      <c r="P234" s="612" t="s">
        <v>442</v>
      </c>
      <c r="Q234" s="612" t="s">
        <v>62</v>
      </c>
      <c r="R234" s="617"/>
      <c r="S234" s="611" t="str">
        <f t="shared" si="11"/>
        <v>001-500-000070523</v>
      </c>
      <c r="T234" s="615" t="s">
        <v>1654</v>
      </c>
      <c r="U234" s="629" t="s">
        <v>1655</v>
      </c>
    </row>
    <row r="235" spans="1:21" ht="24" customHeight="1" x14ac:dyDescent="0.2">
      <c r="A235" s="624">
        <v>230</v>
      </c>
      <c r="B235" s="610">
        <v>46046</v>
      </c>
      <c r="C235" s="611" t="s">
        <v>100</v>
      </c>
      <c r="D235" s="618" t="s">
        <v>1656</v>
      </c>
      <c r="E235" s="612">
        <v>112580017</v>
      </c>
      <c r="F235" s="611" t="s">
        <v>228</v>
      </c>
      <c r="G235" s="611" t="s">
        <v>1658</v>
      </c>
      <c r="H235" s="612" t="s">
        <v>41</v>
      </c>
      <c r="I235" s="612" t="s">
        <v>62</v>
      </c>
      <c r="J235" s="612" t="s">
        <v>63</v>
      </c>
      <c r="K235" s="613">
        <v>45763</v>
      </c>
      <c r="L235" s="614" t="s">
        <v>1651</v>
      </c>
      <c r="M235" s="614" t="s">
        <v>1652</v>
      </c>
      <c r="N235" s="615" t="s">
        <v>1653</v>
      </c>
      <c r="O235" s="616">
        <v>15</v>
      </c>
      <c r="P235" s="612" t="s">
        <v>442</v>
      </c>
      <c r="Q235" s="612" t="s">
        <v>62</v>
      </c>
      <c r="R235" s="617"/>
      <c r="S235" s="611" t="str">
        <f t="shared" si="11"/>
        <v>001-500-000070523</v>
      </c>
      <c r="T235" s="615" t="s">
        <v>1654</v>
      </c>
      <c r="U235" s="629" t="s">
        <v>1655</v>
      </c>
    </row>
    <row r="236" spans="1:21" ht="24" customHeight="1" x14ac:dyDescent="0.2">
      <c r="A236" s="624">
        <v>231</v>
      </c>
      <c r="B236" s="610">
        <v>46046</v>
      </c>
      <c r="C236" s="611" t="s">
        <v>100</v>
      </c>
      <c r="D236" s="618" t="s">
        <v>1656</v>
      </c>
      <c r="E236" s="612">
        <v>112580017</v>
      </c>
      <c r="F236" s="611" t="s">
        <v>228</v>
      </c>
      <c r="G236" s="611" t="s">
        <v>1659</v>
      </c>
      <c r="H236" s="612" t="s">
        <v>41</v>
      </c>
      <c r="I236" s="612" t="s">
        <v>62</v>
      </c>
      <c r="J236" s="612" t="s">
        <v>63</v>
      </c>
      <c r="K236" s="613">
        <v>45763</v>
      </c>
      <c r="L236" s="614" t="s">
        <v>1651</v>
      </c>
      <c r="M236" s="614" t="s">
        <v>1652</v>
      </c>
      <c r="N236" s="615" t="s">
        <v>1653</v>
      </c>
      <c r="O236" s="616">
        <v>15</v>
      </c>
      <c r="P236" s="612" t="s">
        <v>442</v>
      </c>
      <c r="Q236" s="612" t="s">
        <v>62</v>
      </c>
      <c r="R236" s="617"/>
      <c r="S236" s="611" t="str">
        <f t="shared" si="11"/>
        <v>001-500-000070523</v>
      </c>
      <c r="T236" s="615" t="s">
        <v>1654</v>
      </c>
      <c r="U236" s="629" t="s">
        <v>1655</v>
      </c>
    </row>
    <row r="237" spans="1:21" ht="24" customHeight="1" x14ac:dyDescent="0.2">
      <c r="A237" s="624">
        <v>232</v>
      </c>
      <c r="B237" s="610">
        <v>46046</v>
      </c>
      <c r="C237" s="611" t="s">
        <v>100</v>
      </c>
      <c r="D237" s="618" t="s">
        <v>1649</v>
      </c>
      <c r="E237" s="612">
        <v>112580017</v>
      </c>
      <c r="F237" s="611" t="s">
        <v>228</v>
      </c>
      <c r="G237" s="611" t="s">
        <v>1660</v>
      </c>
      <c r="H237" s="612" t="s">
        <v>41</v>
      </c>
      <c r="I237" s="612" t="s">
        <v>62</v>
      </c>
      <c r="J237" s="612" t="s">
        <v>63</v>
      </c>
      <c r="K237" s="613">
        <v>45763</v>
      </c>
      <c r="L237" s="614" t="s">
        <v>1651</v>
      </c>
      <c r="M237" s="614" t="s">
        <v>1652</v>
      </c>
      <c r="N237" s="615" t="s">
        <v>1653</v>
      </c>
      <c r="O237" s="616">
        <v>15</v>
      </c>
      <c r="P237" s="612" t="s">
        <v>442</v>
      </c>
      <c r="Q237" s="612" t="s">
        <v>62</v>
      </c>
      <c r="R237" s="617"/>
      <c r="S237" s="611" t="str">
        <f t="shared" si="11"/>
        <v>001-500-000070390</v>
      </c>
      <c r="T237" s="615" t="s">
        <v>1654</v>
      </c>
      <c r="U237" s="629" t="s">
        <v>1655</v>
      </c>
    </row>
    <row r="238" spans="1:21" ht="24" customHeight="1" x14ac:dyDescent="0.2">
      <c r="A238" s="624">
        <v>233</v>
      </c>
      <c r="B238" s="610">
        <v>46046</v>
      </c>
      <c r="C238" s="611" t="s">
        <v>100</v>
      </c>
      <c r="D238" s="618" t="s">
        <v>1649</v>
      </c>
      <c r="E238" s="612">
        <v>112580017</v>
      </c>
      <c r="F238" s="611" t="s">
        <v>228</v>
      </c>
      <c r="G238" s="611" t="s">
        <v>1661</v>
      </c>
      <c r="H238" s="612" t="s">
        <v>41</v>
      </c>
      <c r="I238" s="612" t="s">
        <v>62</v>
      </c>
      <c r="J238" s="612" t="s">
        <v>63</v>
      </c>
      <c r="K238" s="613">
        <v>45763</v>
      </c>
      <c r="L238" s="614" t="s">
        <v>1651</v>
      </c>
      <c r="M238" s="614" t="s">
        <v>1652</v>
      </c>
      <c r="N238" s="615" t="s">
        <v>1653</v>
      </c>
      <c r="O238" s="616">
        <v>15</v>
      </c>
      <c r="P238" s="612" t="s">
        <v>442</v>
      </c>
      <c r="Q238" s="612" t="s">
        <v>62</v>
      </c>
      <c r="R238" s="617"/>
      <c r="S238" s="611" t="str">
        <f t="shared" si="11"/>
        <v>001-500-000070390</v>
      </c>
      <c r="T238" s="615" t="s">
        <v>1654</v>
      </c>
      <c r="U238" s="629" t="s">
        <v>1655</v>
      </c>
    </row>
    <row r="239" spans="1:21" ht="24" customHeight="1" x14ac:dyDescent="0.2">
      <c r="A239" s="624">
        <v>234</v>
      </c>
      <c r="B239" s="610">
        <v>46046</v>
      </c>
      <c r="C239" s="611" t="s">
        <v>100</v>
      </c>
      <c r="D239" s="618" t="s">
        <v>1649</v>
      </c>
      <c r="E239" s="612">
        <v>112580017</v>
      </c>
      <c r="F239" s="611" t="s">
        <v>228</v>
      </c>
      <c r="G239" s="611" t="s">
        <v>1662</v>
      </c>
      <c r="H239" s="612" t="s">
        <v>41</v>
      </c>
      <c r="I239" s="612" t="s">
        <v>62</v>
      </c>
      <c r="J239" s="612" t="s">
        <v>63</v>
      </c>
      <c r="K239" s="613">
        <v>45763</v>
      </c>
      <c r="L239" s="614" t="s">
        <v>1651</v>
      </c>
      <c r="M239" s="614" t="s">
        <v>1652</v>
      </c>
      <c r="N239" s="615" t="s">
        <v>1653</v>
      </c>
      <c r="O239" s="616">
        <v>15</v>
      </c>
      <c r="P239" s="612" t="s">
        <v>442</v>
      </c>
      <c r="Q239" s="612" t="s">
        <v>62</v>
      </c>
      <c r="R239" s="617"/>
      <c r="S239" s="611" t="str">
        <f t="shared" si="11"/>
        <v>001-500-000070390</v>
      </c>
      <c r="T239" s="615" t="s">
        <v>1654</v>
      </c>
      <c r="U239" s="629" t="s">
        <v>1655</v>
      </c>
    </row>
    <row r="240" spans="1:21" ht="24" customHeight="1" x14ac:dyDescent="0.2">
      <c r="A240" s="624">
        <v>235</v>
      </c>
      <c r="B240" s="610">
        <v>46046</v>
      </c>
      <c r="C240" s="611" t="s">
        <v>100</v>
      </c>
      <c r="D240" s="618" t="s">
        <v>1656</v>
      </c>
      <c r="E240" s="612">
        <v>40466111</v>
      </c>
      <c r="F240" s="611" t="s">
        <v>252</v>
      </c>
      <c r="G240" s="611" t="s">
        <v>1663</v>
      </c>
      <c r="H240" s="612" t="s">
        <v>41</v>
      </c>
      <c r="I240" s="612" t="s">
        <v>62</v>
      </c>
      <c r="J240" s="612" t="s">
        <v>63</v>
      </c>
      <c r="K240" s="613">
        <v>45763</v>
      </c>
      <c r="L240" s="614" t="s">
        <v>1651</v>
      </c>
      <c r="M240" s="614" t="s">
        <v>1652</v>
      </c>
      <c r="N240" s="615" t="s">
        <v>1653</v>
      </c>
      <c r="O240" s="616">
        <v>15</v>
      </c>
      <c r="P240" s="612" t="s">
        <v>442</v>
      </c>
      <c r="Q240" s="612" t="s">
        <v>62</v>
      </c>
      <c r="R240" s="617"/>
      <c r="S240" s="611" t="str">
        <f t="shared" si="11"/>
        <v>001-500-000070523</v>
      </c>
      <c r="T240" s="615" t="s">
        <v>1654</v>
      </c>
      <c r="U240" s="629" t="s">
        <v>1655</v>
      </c>
    </row>
    <row r="241" spans="1:21" ht="24" customHeight="1" x14ac:dyDescent="0.2">
      <c r="A241" s="624">
        <v>236</v>
      </c>
      <c r="B241" s="610">
        <v>46046</v>
      </c>
      <c r="C241" s="611" t="s">
        <v>100</v>
      </c>
      <c r="D241" s="618" t="s">
        <v>1656</v>
      </c>
      <c r="E241" s="612">
        <v>40466111</v>
      </c>
      <c r="F241" s="611" t="s">
        <v>252</v>
      </c>
      <c r="G241" s="611" t="s">
        <v>1664</v>
      </c>
      <c r="H241" s="612" t="s">
        <v>41</v>
      </c>
      <c r="I241" s="612" t="s">
        <v>62</v>
      </c>
      <c r="J241" s="612" t="s">
        <v>63</v>
      </c>
      <c r="K241" s="613">
        <v>45763</v>
      </c>
      <c r="L241" s="614" t="s">
        <v>1651</v>
      </c>
      <c r="M241" s="614" t="s">
        <v>1652</v>
      </c>
      <c r="N241" s="615" t="s">
        <v>1653</v>
      </c>
      <c r="O241" s="616">
        <v>15</v>
      </c>
      <c r="P241" s="612" t="s">
        <v>442</v>
      </c>
      <c r="Q241" s="612" t="s">
        <v>62</v>
      </c>
      <c r="R241" s="617"/>
      <c r="S241" s="611" t="str">
        <f t="shared" si="11"/>
        <v>001-500-000070523</v>
      </c>
      <c r="T241" s="615" t="s">
        <v>1654</v>
      </c>
      <c r="U241" s="629" t="s">
        <v>1655</v>
      </c>
    </row>
    <row r="242" spans="1:21" ht="24" customHeight="1" x14ac:dyDescent="0.2">
      <c r="A242" s="624">
        <v>237</v>
      </c>
      <c r="B242" s="610">
        <v>46046</v>
      </c>
      <c r="C242" s="611" t="s">
        <v>100</v>
      </c>
      <c r="D242" s="618" t="s">
        <v>1656</v>
      </c>
      <c r="E242" s="612">
        <v>40466111</v>
      </c>
      <c r="F242" s="611" t="s">
        <v>252</v>
      </c>
      <c r="G242" s="611" t="s">
        <v>1665</v>
      </c>
      <c r="H242" s="612" t="s">
        <v>41</v>
      </c>
      <c r="I242" s="612" t="s">
        <v>62</v>
      </c>
      <c r="J242" s="612" t="s">
        <v>63</v>
      </c>
      <c r="K242" s="613">
        <v>45763</v>
      </c>
      <c r="L242" s="614" t="s">
        <v>1651</v>
      </c>
      <c r="M242" s="614" t="s">
        <v>1652</v>
      </c>
      <c r="N242" s="615" t="s">
        <v>1653</v>
      </c>
      <c r="O242" s="616">
        <v>15</v>
      </c>
      <c r="P242" s="612" t="s">
        <v>442</v>
      </c>
      <c r="Q242" s="612" t="s">
        <v>62</v>
      </c>
      <c r="R242" s="617"/>
      <c r="S242" s="611" t="str">
        <f t="shared" si="11"/>
        <v>001-500-000070523</v>
      </c>
      <c r="T242" s="615" t="s">
        <v>1654</v>
      </c>
      <c r="U242" s="629" t="s">
        <v>1655</v>
      </c>
    </row>
    <row r="243" spans="1:21" ht="24" customHeight="1" x14ac:dyDescent="0.2">
      <c r="A243" s="624">
        <v>238</v>
      </c>
      <c r="B243" s="610">
        <v>46046</v>
      </c>
      <c r="C243" s="611" t="s">
        <v>100</v>
      </c>
      <c r="D243" s="618" t="s">
        <v>1656</v>
      </c>
      <c r="E243" s="612">
        <v>40466111</v>
      </c>
      <c r="F243" s="611" t="s">
        <v>252</v>
      </c>
      <c r="G243" s="611" t="s">
        <v>1666</v>
      </c>
      <c r="H243" s="612" t="s">
        <v>41</v>
      </c>
      <c r="I243" s="612" t="s">
        <v>62</v>
      </c>
      <c r="J243" s="612" t="s">
        <v>63</v>
      </c>
      <c r="K243" s="613">
        <v>45763</v>
      </c>
      <c r="L243" s="614" t="s">
        <v>1651</v>
      </c>
      <c r="M243" s="614" t="s">
        <v>1652</v>
      </c>
      <c r="N243" s="615" t="s">
        <v>1653</v>
      </c>
      <c r="O243" s="616">
        <v>15</v>
      </c>
      <c r="P243" s="612" t="s">
        <v>442</v>
      </c>
      <c r="Q243" s="612" t="s">
        <v>62</v>
      </c>
      <c r="R243" s="617"/>
      <c r="S243" s="611" t="str">
        <f t="shared" si="11"/>
        <v>001-500-000070523</v>
      </c>
      <c r="T243" s="615" t="s">
        <v>1654</v>
      </c>
      <c r="U243" s="629" t="s">
        <v>1655</v>
      </c>
    </row>
    <row r="244" spans="1:21" ht="24" customHeight="1" x14ac:dyDescent="0.2">
      <c r="A244" s="624">
        <v>239</v>
      </c>
      <c r="B244" s="610">
        <v>46046</v>
      </c>
      <c r="C244" s="611" t="s">
        <v>100</v>
      </c>
      <c r="D244" s="618" t="s">
        <v>1649</v>
      </c>
      <c r="E244" s="612">
        <v>40466111</v>
      </c>
      <c r="F244" s="611" t="s">
        <v>252</v>
      </c>
      <c r="G244" s="611" t="s">
        <v>1667</v>
      </c>
      <c r="H244" s="612" t="s">
        <v>41</v>
      </c>
      <c r="I244" s="612" t="s">
        <v>62</v>
      </c>
      <c r="J244" s="612" t="s">
        <v>63</v>
      </c>
      <c r="K244" s="613">
        <v>45763</v>
      </c>
      <c r="L244" s="614" t="s">
        <v>1651</v>
      </c>
      <c r="M244" s="614" t="s">
        <v>1652</v>
      </c>
      <c r="N244" s="615" t="s">
        <v>1653</v>
      </c>
      <c r="O244" s="616">
        <v>15</v>
      </c>
      <c r="P244" s="612" t="s">
        <v>442</v>
      </c>
      <c r="Q244" s="612" t="s">
        <v>62</v>
      </c>
      <c r="R244" s="617"/>
      <c r="S244" s="611" t="str">
        <f t="shared" si="11"/>
        <v>001-500-000070390</v>
      </c>
      <c r="T244" s="615" t="s">
        <v>1654</v>
      </c>
      <c r="U244" s="629" t="s">
        <v>1655</v>
      </c>
    </row>
    <row r="245" spans="1:21" ht="24" customHeight="1" x14ac:dyDescent="0.2">
      <c r="A245" s="624">
        <v>240</v>
      </c>
      <c r="B245" s="610">
        <v>46046</v>
      </c>
      <c r="C245" s="611" t="s">
        <v>100</v>
      </c>
      <c r="D245" s="618" t="s">
        <v>1649</v>
      </c>
      <c r="E245" s="612">
        <v>40466111</v>
      </c>
      <c r="F245" s="611" t="s">
        <v>252</v>
      </c>
      <c r="G245" s="611" t="s">
        <v>1668</v>
      </c>
      <c r="H245" s="612" t="s">
        <v>41</v>
      </c>
      <c r="I245" s="612" t="s">
        <v>62</v>
      </c>
      <c r="J245" s="612" t="s">
        <v>63</v>
      </c>
      <c r="K245" s="613">
        <v>45763</v>
      </c>
      <c r="L245" s="614" t="s">
        <v>1651</v>
      </c>
      <c r="M245" s="614" t="s">
        <v>1652</v>
      </c>
      <c r="N245" s="615" t="s">
        <v>1653</v>
      </c>
      <c r="O245" s="616">
        <v>15</v>
      </c>
      <c r="P245" s="612" t="s">
        <v>442</v>
      </c>
      <c r="Q245" s="612" t="s">
        <v>62</v>
      </c>
      <c r="R245" s="617"/>
      <c r="S245" s="611" t="str">
        <f t="shared" si="11"/>
        <v>001-500-000070390</v>
      </c>
      <c r="T245" s="615" t="s">
        <v>1654</v>
      </c>
      <c r="U245" s="629" t="s">
        <v>1655</v>
      </c>
    </row>
    <row r="246" spans="1:21" ht="24" customHeight="1" x14ac:dyDescent="0.2">
      <c r="A246" s="624">
        <v>241</v>
      </c>
      <c r="B246" s="610">
        <v>46046</v>
      </c>
      <c r="C246" s="611" t="s">
        <v>100</v>
      </c>
      <c r="D246" s="618" t="s">
        <v>1649</v>
      </c>
      <c r="E246" s="612">
        <v>40466111</v>
      </c>
      <c r="F246" s="611" t="s">
        <v>252</v>
      </c>
      <c r="G246" s="611" t="s">
        <v>1669</v>
      </c>
      <c r="H246" s="612" t="s">
        <v>41</v>
      </c>
      <c r="I246" s="612" t="s">
        <v>62</v>
      </c>
      <c r="J246" s="612" t="s">
        <v>63</v>
      </c>
      <c r="K246" s="613">
        <v>45763</v>
      </c>
      <c r="L246" s="614" t="s">
        <v>1651</v>
      </c>
      <c r="M246" s="614" t="s">
        <v>1652</v>
      </c>
      <c r="N246" s="615" t="s">
        <v>1653</v>
      </c>
      <c r="O246" s="616">
        <v>15</v>
      </c>
      <c r="P246" s="612" t="s">
        <v>442</v>
      </c>
      <c r="Q246" s="612" t="s">
        <v>62</v>
      </c>
      <c r="R246" s="617"/>
      <c r="S246" s="611" t="str">
        <f t="shared" si="11"/>
        <v>001-500-000070390</v>
      </c>
      <c r="T246" s="615" t="s">
        <v>1654</v>
      </c>
      <c r="U246" s="629" t="s">
        <v>1655</v>
      </c>
    </row>
    <row r="247" spans="1:21" ht="24" customHeight="1" x14ac:dyDescent="0.2">
      <c r="A247" s="624">
        <v>242</v>
      </c>
      <c r="B247" s="610">
        <v>45625</v>
      </c>
      <c r="C247" s="611" t="s">
        <v>75</v>
      </c>
      <c r="D247" s="618" t="s">
        <v>1670</v>
      </c>
      <c r="E247" s="612">
        <v>111000</v>
      </c>
      <c r="F247" s="611" t="s">
        <v>137</v>
      </c>
      <c r="G247" s="611" t="s">
        <v>1671</v>
      </c>
      <c r="H247" s="612" t="s">
        <v>41</v>
      </c>
      <c r="I247" s="612" t="s">
        <v>62</v>
      </c>
      <c r="J247" s="612" t="s">
        <v>63</v>
      </c>
      <c r="K247" s="613">
        <v>45763</v>
      </c>
      <c r="L247" s="614" t="s">
        <v>1672</v>
      </c>
      <c r="M247" s="614" t="s">
        <v>525</v>
      </c>
      <c r="N247" s="615" t="s">
        <v>1673</v>
      </c>
      <c r="O247" s="616">
        <v>15</v>
      </c>
      <c r="P247" s="612" t="s">
        <v>442</v>
      </c>
      <c r="Q247" s="612" t="s">
        <v>62</v>
      </c>
      <c r="R247" s="617"/>
      <c r="S247" s="611" t="str">
        <f t="shared" si="11"/>
        <v>001-001-00000319</v>
      </c>
      <c r="T247" s="615" t="s">
        <v>1674</v>
      </c>
      <c r="U247" s="629" t="s">
        <v>1675</v>
      </c>
    </row>
    <row r="248" spans="1:21" ht="24" customHeight="1" x14ac:dyDescent="0.2">
      <c r="A248" s="624">
        <v>243</v>
      </c>
      <c r="B248" s="610">
        <v>45625</v>
      </c>
      <c r="C248" s="611" t="s">
        <v>75</v>
      </c>
      <c r="D248" s="618" t="s">
        <v>1670</v>
      </c>
      <c r="E248" s="612">
        <v>40584202</v>
      </c>
      <c r="F248" s="611" t="s">
        <v>1425</v>
      </c>
      <c r="G248" s="611" t="s">
        <v>1676</v>
      </c>
      <c r="H248" s="612" t="s">
        <v>41</v>
      </c>
      <c r="I248" s="612" t="s">
        <v>62</v>
      </c>
      <c r="J248" s="612" t="s">
        <v>63</v>
      </c>
      <c r="K248" s="613">
        <v>45763</v>
      </c>
      <c r="L248" s="614" t="s">
        <v>1672</v>
      </c>
      <c r="M248" s="614" t="s">
        <v>525</v>
      </c>
      <c r="N248" s="615" t="s">
        <v>1673</v>
      </c>
      <c r="O248" s="616">
        <v>15</v>
      </c>
      <c r="P248" s="612" t="s">
        <v>442</v>
      </c>
      <c r="Q248" s="612" t="s">
        <v>62</v>
      </c>
      <c r="R248" s="617"/>
      <c r="S248" s="611" t="str">
        <f t="shared" si="11"/>
        <v>001-001-00000319</v>
      </c>
      <c r="T248" s="615" t="s">
        <v>1674</v>
      </c>
      <c r="U248" s="629" t="s">
        <v>1675</v>
      </c>
    </row>
    <row r="249" spans="1:21" ht="24" customHeight="1" x14ac:dyDescent="0.2">
      <c r="A249" s="624">
        <v>244</v>
      </c>
      <c r="B249" s="610">
        <v>45625</v>
      </c>
      <c r="C249" s="611" t="s">
        <v>75</v>
      </c>
      <c r="D249" s="618" t="s">
        <v>1670</v>
      </c>
      <c r="E249" s="612">
        <v>112570073</v>
      </c>
      <c r="F249" s="611" t="s">
        <v>198</v>
      </c>
      <c r="G249" s="611" t="s">
        <v>1677</v>
      </c>
      <c r="H249" s="612" t="s">
        <v>41</v>
      </c>
      <c r="I249" s="612" t="s">
        <v>62</v>
      </c>
      <c r="J249" s="612" t="s">
        <v>63</v>
      </c>
      <c r="K249" s="613">
        <v>45763</v>
      </c>
      <c r="L249" s="614" t="s">
        <v>1672</v>
      </c>
      <c r="M249" s="614" t="s">
        <v>525</v>
      </c>
      <c r="N249" s="615" t="s">
        <v>1673</v>
      </c>
      <c r="O249" s="616">
        <v>15</v>
      </c>
      <c r="P249" s="612" t="s">
        <v>442</v>
      </c>
      <c r="Q249" s="612" t="s">
        <v>62</v>
      </c>
      <c r="R249" s="617"/>
      <c r="S249" s="611" t="str">
        <f t="shared" si="11"/>
        <v>001-001-00000319</v>
      </c>
      <c r="T249" s="615" t="s">
        <v>1674</v>
      </c>
      <c r="U249" s="629" t="s">
        <v>1675</v>
      </c>
    </row>
    <row r="250" spans="1:21" ht="24" customHeight="1" x14ac:dyDescent="0.2">
      <c r="A250" s="624">
        <v>245</v>
      </c>
      <c r="B250" s="610">
        <v>45625</v>
      </c>
      <c r="C250" s="611" t="s">
        <v>75</v>
      </c>
      <c r="D250" s="618" t="s">
        <v>1670</v>
      </c>
      <c r="E250" s="612">
        <v>40480321</v>
      </c>
      <c r="F250" s="611" t="s">
        <v>1678</v>
      </c>
      <c r="G250" s="611" t="s">
        <v>1679</v>
      </c>
      <c r="H250" s="612" t="s">
        <v>41</v>
      </c>
      <c r="I250" s="612" t="s">
        <v>62</v>
      </c>
      <c r="J250" s="612" t="s">
        <v>63</v>
      </c>
      <c r="K250" s="613">
        <v>45763</v>
      </c>
      <c r="L250" s="614" t="s">
        <v>1672</v>
      </c>
      <c r="M250" s="614" t="s">
        <v>525</v>
      </c>
      <c r="N250" s="615" t="s">
        <v>1673</v>
      </c>
      <c r="O250" s="616">
        <v>30</v>
      </c>
      <c r="P250" s="612" t="s">
        <v>442</v>
      </c>
      <c r="Q250" s="612" t="s">
        <v>62</v>
      </c>
      <c r="R250" s="617"/>
      <c r="S250" s="611" t="str">
        <f t="shared" si="11"/>
        <v>001-001-00000319</v>
      </c>
      <c r="T250" s="615" t="s">
        <v>1674</v>
      </c>
      <c r="U250" s="629" t="s">
        <v>1675</v>
      </c>
    </row>
    <row r="251" spans="1:21" ht="24" customHeight="1" x14ac:dyDescent="0.2">
      <c r="A251" s="624">
        <v>246</v>
      </c>
      <c r="B251" s="610">
        <v>45728</v>
      </c>
      <c r="C251" s="611" t="s">
        <v>125</v>
      </c>
      <c r="D251" s="618" t="s">
        <v>1680</v>
      </c>
      <c r="E251" s="612">
        <v>112520025</v>
      </c>
      <c r="F251" s="611" t="s">
        <v>91</v>
      </c>
      <c r="G251" s="611" t="s">
        <v>1681</v>
      </c>
      <c r="H251" s="612" t="s">
        <v>41</v>
      </c>
      <c r="I251" s="612" t="s">
        <v>62</v>
      </c>
      <c r="J251" s="612" t="s">
        <v>63</v>
      </c>
      <c r="K251" s="613">
        <v>45764</v>
      </c>
      <c r="L251" s="614" t="s">
        <v>1682</v>
      </c>
      <c r="M251" s="614" t="s">
        <v>1683</v>
      </c>
      <c r="N251" s="615" t="s">
        <v>1684</v>
      </c>
      <c r="O251" s="616">
        <v>20</v>
      </c>
      <c r="P251" s="612" t="s">
        <v>442</v>
      </c>
      <c r="Q251" s="612" t="s">
        <v>62</v>
      </c>
      <c r="R251" s="617"/>
      <c r="S251" s="611" t="str">
        <f t="shared" si="11"/>
        <v>043-905-000062718</v>
      </c>
      <c r="T251" s="615" t="s">
        <v>1631</v>
      </c>
      <c r="U251" s="629" t="s">
        <v>1632</v>
      </c>
    </row>
    <row r="252" spans="1:21" ht="24" customHeight="1" x14ac:dyDescent="0.2">
      <c r="A252" s="624">
        <v>247</v>
      </c>
      <c r="B252" s="610">
        <v>45728</v>
      </c>
      <c r="C252" s="611" t="s">
        <v>125</v>
      </c>
      <c r="D252" s="618" t="s">
        <v>1680</v>
      </c>
      <c r="E252" s="612">
        <v>40480321</v>
      </c>
      <c r="F252" s="611" t="s">
        <v>1678</v>
      </c>
      <c r="G252" s="611" t="s">
        <v>1685</v>
      </c>
      <c r="H252" s="612" t="s">
        <v>41</v>
      </c>
      <c r="I252" s="612" t="s">
        <v>62</v>
      </c>
      <c r="J252" s="612" t="s">
        <v>63</v>
      </c>
      <c r="K252" s="613">
        <v>45764</v>
      </c>
      <c r="L252" s="614" t="s">
        <v>1682</v>
      </c>
      <c r="M252" s="614" t="s">
        <v>1683</v>
      </c>
      <c r="N252" s="615" t="s">
        <v>1684</v>
      </c>
      <c r="O252" s="616">
        <v>30</v>
      </c>
      <c r="P252" s="612" t="s">
        <v>442</v>
      </c>
      <c r="Q252" s="612" t="s">
        <v>62</v>
      </c>
      <c r="R252" s="617"/>
      <c r="S252" s="611" t="str">
        <f t="shared" si="11"/>
        <v>043-905-000062718</v>
      </c>
      <c r="T252" s="615" t="s">
        <v>1631</v>
      </c>
      <c r="U252" s="629" t="s">
        <v>1632</v>
      </c>
    </row>
    <row r="253" spans="1:21" ht="24" customHeight="1" x14ac:dyDescent="0.2">
      <c r="A253" s="624">
        <v>248</v>
      </c>
      <c r="B253" s="610">
        <v>45660</v>
      </c>
      <c r="C253" s="611" t="s">
        <v>187</v>
      </c>
      <c r="D253" s="618" t="s">
        <v>1686</v>
      </c>
      <c r="E253" s="612">
        <v>112580017</v>
      </c>
      <c r="F253" s="611" t="s">
        <v>228</v>
      </c>
      <c r="G253" s="611" t="s">
        <v>1687</v>
      </c>
      <c r="H253" s="612" t="s">
        <v>41</v>
      </c>
      <c r="I253" s="612" t="s">
        <v>62</v>
      </c>
      <c r="J253" s="612" t="s">
        <v>63</v>
      </c>
      <c r="K253" s="613">
        <v>45764</v>
      </c>
      <c r="L253" s="614" t="s">
        <v>1688</v>
      </c>
      <c r="M253" s="614" t="s">
        <v>1689</v>
      </c>
      <c r="N253" s="615" t="s">
        <v>1690</v>
      </c>
      <c r="O253" s="616">
        <v>20</v>
      </c>
      <c r="P253" s="612" t="s">
        <v>442</v>
      </c>
      <c r="Q253" s="612" t="s">
        <v>62</v>
      </c>
      <c r="R253" s="617"/>
      <c r="S253" s="611" t="str">
        <f t="shared" si="11"/>
        <v>040-103-000010855</v>
      </c>
      <c r="T253" s="615" t="s">
        <v>1691</v>
      </c>
      <c r="U253" s="629" t="s">
        <v>1692</v>
      </c>
    </row>
    <row r="254" spans="1:21" ht="24" customHeight="1" x14ac:dyDescent="0.2">
      <c r="A254" s="624">
        <v>249</v>
      </c>
      <c r="B254" s="610">
        <v>45686</v>
      </c>
      <c r="C254" s="611" t="s">
        <v>202</v>
      </c>
      <c r="D254" s="618" t="s">
        <v>1693</v>
      </c>
      <c r="E254" s="612">
        <v>40446702</v>
      </c>
      <c r="F254" s="611" t="s">
        <v>1623</v>
      </c>
      <c r="G254" s="611" t="s">
        <v>1694</v>
      </c>
      <c r="H254" s="612" t="s">
        <v>41</v>
      </c>
      <c r="I254" s="612" t="s">
        <v>62</v>
      </c>
      <c r="J254" s="612" t="s">
        <v>63</v>
      </c>
      <c r="K254" s="613">
        <v>45764</v>
      </c>
      <c r="L254" s="614" t="s">
        <v>1688</v>
      </c>
      <c r="M254" s="614" t="s">
        <v>1689</v>
      </c>
      <c r="N254" s="615" t="s">
        <v>1690</v>
      </c>
      <c r="O254" s="616">
        <v>20</v>
      </c>
      <c r="P254" s="612" t="s">
        <v>442</v>
      </c>
      <c r="Q254" s="612" t="s">
        <v>62</v>
      </c>
      <c r="R254" s="617"/>
      <c r="S254" s="611" t="str">
        <f t="shared" si="11"/>
        <v>014-004-000065316</v>
      </c>
      <c r="T254" s="615" t="s">
        <v>1691</v>
      </c>
      <c r="U254" s="629" t="s">
        <v>1692</v>
      </c>
    </row>
    <row r="255" spans="1:21" ht="24" customHeight="1" x14ac:dyDescent="0.2">
      <c r="A255" s="624">
        <v>250</v>
      </c>
      <c r="B255" s="574">
        <v>45757</v>
      </c>
      <c r="C255" s="575" t="s">
        <v>277</v>
      </c>
      <c r="D255" s="575" t="s">
        <v>2074</v>
      </c>
      <c r="E255" s="576">
        <v>112580058</v>
      </c>
      <c r="F255" s="575" t="s">
        <v>334</v>
      </c>
      <c r="G255" s="575" t="s">
        <v>2075</v>
      </c>
      <c r="H255" s="576" t="s">
        <v>41</v>
      </c>
      <c r="I255" s="576" t="s">
        <v>62</v>
      </c>
      <c r="J255" s="576" t="s">
        <v>63</v>
      </c>
      <c r="K255" s="593">
        <v>45768</v>
      </c>
      <c r="L255" s="594" t="s">
        <v>2076</v>
      </c>
      <c r="M255" s="594" t="s">
        <v>2077</v>
      </c>
      <c r="N255" s="575">
        <v>34731343223</v>
      </c>
      <c r="O255" s="596">
        <v>15</v>
      </c>
      <c r="P255" s="576" t="s">
        <v>442</v>
      </c>
      <c r="Q255" s="576" t="s">
        <v>62</v>
      </c>
      <c r="R255" s="597"/>
      <c r="S255" s="575" t="str">
        <f>D255</f>
        <v>002-201-000000815</v>
      </c>
      <c r="T255" s="598">
        <v>104974589</v>
      </c>
      <c r="U255" s="621" t="s">
        <v>2078</v>
      </c>
    </row>
    <row r="256" spans="1:21" ht="24" customHeight="1" x14ac:dyDescent="0.2">
      <c r="A256" s="624">
        <v>251</v>
      </c>
      <c r="B256" s="574">
        <v>45757</v>
      </c>
      <c r="C256" s="575" t="s">
        <v>277</v>
      </c>
      <c r="D256" s="575" t="s">
        <v>2074</v>
      </c>
      <c r="E256" s="576">
        <v>111000078</v>
      </c>
      <c r="F256" s="575" t="s">
        <v>511</v>
      </c>
      <c r="G256" s="575" t="s">
        <v>2079</v>
      </c>
      <c r="H256" s="576" t="s">
        <v>41</v>
      </c>
      <c r="I256" s="576" t="s">
        <v>62</v>
      </c>
      <c r="J256" s="576" t="s">
        <v>63</v>
      </c>
      <c r="K256" s="593">
        <v>45768</v>
      </c>
      <c r="L256" s="594" t="s">
        <v>2076</v>
      </c>
      <c r="M256" s="594" t="s">
        <v>2077</v>
      </c>
      <c r="N256" s="575">
        <v>34731343223</v>
      </c>
      <c r="O256" s="596">
        <v>15</v>
      </c>
      <c r="P256" s="576" t="s">
        <v>442</v>
      </c>
      <c r="Q256" s="576" t="s">
        <v>62</v>
      </c>
      <c r="R256" s="597"/>
      <c r="S256" s="575" t="str">
        <f t="shared" ref="S256:S312" si="12">D256</f>
        <v>002-201-000000815</v>
      </c>
      <c r="T256" s="598">
        <v>104974589</v>
      </c>
      <c r="U256" s="621" t="s">
        <v>2078</v>
      </c>
    </row>
    <row r="257" spans="1:21" ht="24" customHeight="1" x14ac:dyDescent="0.2">
      <c r="A257" s="624">
        <v>252</v>
      </c>
      <c r="B257" s="574">
        <v>45757</v>
      </c>
      <c r="C257" s="575" t="s">
        <v>277</v>
      </c>
      <c r="D257" s="575" t="s">
        <v>2080</v>
      </c>
      <c r="E257" s="576">
        <v>40590835</v>
      </c>
      <c r="F257" s="575" t="s">
        <v>275</v>
      </c>
      <c r="G257" s="575" t="s">
        <v>2081</v>
      </c>
      <c r="H257" s="576" t="s">
        <v>41</v>
      </c>
      <c r="I257" s="576" t="s">
        <v>62</v>
      </c>
      <c r="J257" s="576" t="s">
        <v>63</v>
      </c>
      <c r="K257" s="593">
        <v>45768</v>
      </c>
      <c r="L257" s="594" t="s">
        <v>2076</v>
      </c>
      <c r="M257" s="594" t="s">
        <v>2077</v>
      </c>
      <c r="N257" s="575">
        <v>34731343223</v>
      </c>
      <c r="O257" s="596">
        <v>15</v>
      </c>
      <c r="P257" s="576" t="s">
        <v>442</v>
      </c>
      <c r="Q257" s="576" t="s">
        <v>62</v>
      </c>
      <c r="R257" s="597"/>
      <c r="S257" s="575" t="str">
        <f t="shared" si="12"/>
        <v>002-201-000000811</v>
      </c>
      <c r="T257" s="598">
        <v>104974589</v>
      </c>
      <c r="U257" s="621" t="s">
        <v>2078</v>
      </c>
    </row>
    <row r="258" spans="1:21" ht="24" customHeight="1" x14ac:dyDescent="0.2">
      <c r="A258" s="624">
        <v>253</v>
      </c>
      <c r="B258" s="574">
        <v>45755</v>
      </c>
      <c r="C258" s="575" t="s">
        <v>710</v>
      </c>
      <c r="D258" s="575" t="s">
        <v>2082</v>
      </c>
      <c r="E258" s="576">
        <v>112580017</v>
      </c>
      <c r="F258" s="575" t="s">
        <v>228</v>
      </c>
      <c r="G258" s="575" t="s">
        <v>2083</v>
      </c>
      <c r="H258" s="576" t="s">
        <v>41</v>
      </c>
      <c r="I258" s="576" t="s">
        <v>62</v>
      </c>
      <c r="J258" s="576" t="s">
        <v>63</v>
      </c>
      <c r="K258" s="593">
        <v>45768</v>
      </c>
      <c r="L258" s="594" t="s">
        <v>2084</v>
      </c>
      <c r="M258" s="594" t="s">
        <v>2085</v>
      </c>
      <c r="N258" s="575">
        <v>988540660</v>
      </c>
      <c r="O258" s="596">
        <v>20</v>
      </c>
      <c r="P258" s="576" t="s">
        <v>442</v>
      </c>
      <c r="Q258" s="576" t="s">
        <v>62</v>
      </c>
      <c r="R258" s="597"/>
      <c r="S258" s="575" t="str">
        <f t="shared" si="12"/>
        <v>043-902-000045473</v>
      </c>
      <c r="T258" s="598">
        <v>1790174417</v>
      </c>
      <c r="U258" s="621" t="s">
        <v>2086</v>
      </c>
    </row>
    <row r="259" spans="1:21" ht="24" customHeight="1" x14ac:dyDescent="0.2">
      <c r="A259" s="624">
        <v>254</v>
      </c>
      <c r="B259" s="574">
        <v>45755</v>
      </c>
      <c r="C259" s="575" t="s">
        <v>710</v>
      </c>
      <c r="D259" s="575" t="s">
        <v>2087</v>
      </c>
      <c r="E259" s="576">
        <v>40461507</v>
      </c>
      <c r="F259" s="575" t="s">
        <v>1221</v>
      </c>
      <c r="G259" s="575" t="s">
        <v>2088</v>
      </c>
      <c r="H259" s="576" t="s">
        <v>41</v>
      </c>
      <c r="I259" s="576" t="s">
        <v>62</v>
      </c>
      <c r="J259" s="576" t="s">
        <v>63</v>
      </c>
      <c r="K259" s="593">
        <v>45768</v>
      </c>
      <c r="L259" s="594" t="s">
        <v>2084</v>
      </c>
      <c r="M259" s="594" t="s">
        <v>2085</v>
      </c>
      <c r="N259" s="575">
        <v>988540660</v>
      </c>
      <c r="O259" s="596">
        <v>20</v>
      </c>
      <c r="P259" s="576" t="s">
        <v>442</v>
      </c>
      <c r="Q259" s="576" t="s">
        <v>62</v>
      </c>
      <c r="R259" s="597"/>
      <c r="S259" s="575" t="str">
        <f t="shared" si="12"/>
        <v>043-901-000020928</v>
      </c>
      <c r="T259" s="598">
        <v>1790174417</v>
      </c>
      <c r="U259" s="621" t="s">
        <v>2086</v>
      </c>
    </row>
    <row r="260" spans="1:21" ht="24" customHeight="1" x14ac:dyDescent="0.2">
      <c r="A260" s="624">
        <v>255</v>
      </c>
      <c r="B260" s="574">
        <v>45920</v>
      </c>
      <c r="C260" s="575" t="s">
        <v>710</v>
      </c>
      <c r="D260" s="575" t="s">
        <v>2089</v>
      </c>
      <c r="E260" s="576">
        <v>40466241</v>
      </c>
      <c r="F260" s="575" t="s">
        <v>214</v>
      </c>
      <c r="G260" s="575" t="s">
        <v>2090</v>
      </c>
      <c r="H260" s="576" t="s">
        <v>41</v>
      </c>
      <c r="I260" s="576" t="s">
        <v>62</v>
      </c>
      <c r="J260" s="576" t="s">
        <v>63</v>
      </c>
      <c r="K260" s="593">
        <v>45769</v>
      </c>
      <c r="L260" s="594" t="s">
        <v>2091</v>
      </c>
      <c r="M260" s="594" t="s">
        <v>720</v>
      </c>
      <c r="N260" s="575">
        <v>958645999</v>
      </c>
      <c r="O260" s="596">
        <v>20</v>
      </c>
      <c r="P260" s="576" t="s">
        <v>442</v>
      </c>
      <c r="Q260" s="576" t="s">
        <v>62</v>
      </c>
      <c r="R260" s="597"/>
      <c r="S260" s="575" t="str">
        <f t="shared" si="12"/>
        <v>016-902-000506534</v>
      </c>
      <c r="T260" s="598">
        <v>102099097</v>
      </c>
      <c r="U260" s="621" t="s">
        <v>2092</v>
      </c>
    </row>
    <row r="261" spans="1:21" ht="24" customHeight="1" x14ac:dyDescent="0.2">
      <c r="A261" s="624">
        <v>256</v>
      </c>
      <c r="B261" s="574">
        <v>45920</v>
      </c>
      <c r="C261" s="575" t="s">
        <v>710</v>
      </c>
      <c r="D261" s="575" t="s">
        <v>2089</v>
      </c>
      <c r="E261" s="576">
        <v>112580058</v>
      </c>
      <c r="F261" s="575" t="s">
        <v>334</v>
      </c>
      <c r="G261" s="575" t="s">
        <v>2093</v>
      </c>
      <c r="H261" s="576" t="s">
        <v>41</v>
      </c>
      <c r="I261" s="576" t="s">
        <v>62</v>
      </c>
      <c r="J261" s="576" t="s">
        <v>63</v>
      </c>
      <c r="K261" s="593">
        <v>45769</v>
      </c>
      <c r="L261" s="594" t="s">
        <v>2091</v>
      </c>
      <c r="M261" s="594" t="s">
        <v>720</v>
      </c>
      <c r="N261" s="575">
        <v>958645999</v>
      </c>
      <c r="O261" s="596">
        <v>20</v>
      </c>
      <c r="P261" s="576" t="s">
        <v>442</v>
      </c>
      <c r="Q261" s="576" t="s">
        <v>62</v>
      </c>
      <c r="R261" s="597"/>
      <c r="S261" s="575" t="str">
        <f t="shared" si="12"/>
        <v>016-902-000506534</v>
      </c>
      <c r="T261" s="598">
        <v>102099097</v>
      </c>
      <c r="U261" s="621" t="s">
        <v>2092</v>
      </c>
    </row>
    <row r="262" spans="1:21" ht="24" customHeight="1" x14ac:dyDescent="0.2">
      <c r="A262" s="624">
        <v>257</v>
      </c>
      <c r="B262" s="574">
        <v>45708</v>
      </c>
      <c r="C262" s="575" t="s">
        <v>100</v>
      </c>
      <c r="D262" s="575" t="s">
        <v>2094</v>
      </c>
      <c r="E262" s="576">
        <v>112570126</v>
      </c>
      <c r="F262" s="575" t="s">
        <v>1422</v>
      </c>
      <c r="G262" s="575" t="s">
        <v>2095</v>
      </c>
      <c r="H262" s="576" t="s">
        <v>41</v>
      </c>
      <c r="I262" s="576" t="s">
        <v>62</v>
      </c>
      <c r="J262" s="576" t="s">
        <v>63</v>
      </c>
      <c r="K262" s="593">
        <v>45769</v>
      </c>
      <c r="L262" s="594" t="s">
        <v>2096</v>
      </c>
      <c r="M262" s="594" t="s">
        <v>1110</v>
      </c>
      <c r="N262" s="575">
        <v>991022774</v>
      </c>
      <c r="O262" s="596">
        <v>15</v>
      </c>
      <c r="P262" s="576" t="s">
        <v>442</v>
      </c>
      <c r="Q262" s="576" t="s">
        <v>62</v>
      </c>
      <c r="R262" s="597"/>
      <c r="S262" s="575" t="str">
        <f t="shared" si="12"/>
        <v>001-500-000071095</v>
      </c>
      <c r="T262" s="598">
        <v>105622674</v>
      </c>
      <c r="U262" s="621" t="s">
        <v>2097</v>
      </c>
    </row>
    <row r="263" spans="1:21" ht="24" customHeight="1" x14ac:dyDescent="0.2">
      <c r="A263" s="624">
        <v>258</v>
      </c>
      <c r="B263" s="574">
        <v>45708</v>
      </c>
      <c r="C263" s="575" t="s">
        <v>100</v>
      </c>
      <c r="D263" s="575" t="s">
        <v>2098</v>
      </c>
      <c r="E263" s="576">
        <v>112030019</v>
      </c>
      <c r="F263" s="575" t="s">
        <v>2099</v>
      </c>
      <c r="G263" s="575" t="s">
        <v>2100</v>
      </c>
      <c r="H263" s="576" t="s">
        <v>41</v>
      </c>
      <c r="I263" s="576" t="s">
        <v>62</v>
      </c>
      <c r="J263" s="576" t="s">
        <v>63</v>
      </c>
      <c r="K263" s="593">
        <v>45769</v>
      </c>
      <c r="L263" s="594" t="s">
        <v>2096</v>
      </c>
      <c r="M263" s="594" t="s">
        <v>1110</v>
      </c>
      <c r="N263" s="575">
        <v>991022774</v>
      </c>
      <c r="O263" s="596">
        <v>15</v>
      </c>
      <c r="P263" s="576" t="s">
        <v>442</v>
      </c>
      <c r="Q263" s="576" t="s">
        <v>62</v>
      </c>
      <c r="R263" s="597"/>
      <c r="S263" s="575" t="str">
        <f t="shared" si="12"/>
        <v>001-500-000071025</v>
      </c>
      <c r="T263" s="598">
        <v>105622674</v>
      </c>
      <c r="U263" s="621" t="s">
        <v>2097</v>
      </c>
    </row>
    <row r="264" spans="1:21" ht="24" customHeight="1" x14ac:dyDescent="0.2">
      <c r="A264" s="624">
        <v>259</v>
      </c>
      <c r="B264" s="574">
        <v>45708</v>
      </c>
      <c r="C264" s="575" t="s">
        <v>100</v>
      </c>
      <c r="D264" s="575" t="s">
        <v>2098</v>
      </c>
      <c r="E264" s="576">
        <v>111000051</v>
      </c>
      <c r="F264" s="575" t="s">
        <v>137</v>
      </c>
      <c r="G264" s="575" t="s">
        <v>2101</v>
      </c>
      <c r="H264" s="576" t="s">
        <v>41</v>
      </c>
      <c r="I264" s="576" t="s">
        <v>62</v>
      </c>
      <c r="J264" s="576" t="s">
        <v>63</v>
      </c>
      <c r="K264" s="593">
        <v>45769</v>
      </c>
      <c r="L264" s="594" t="s">
        <v>2096</v>
      </c>
      <c r="M264" s="594" t="s">
        <v>1110</v>
      </c>
      <c r="N264" s="575">
        <v>991022774</v>
      </c>
      <c r="O264" s="596">
        <v>15</v>
      </c>
      <c r="P264" s="576" t="s">
        <v>442</v>
      </c>
      <c r="Q264" s="576" t="s">
        <v>62</v>
      </c>
      <c r="R264" s="597"/>
      <c r="S264" s="575" t="str">
        <f t="shared" si="12"/>
        <v>001-500-000071025</v>
      </c>
      <c r="T264" s="598">
        <v>105622674</v>
      </c>
      <c r="U264" s="621" t="s">
        <v>2097</v>
      </c>
    </row>
    <row r="265" spans="1:21" ht="24" customHeight="1" x14ac:dyDescent="0.2">
      <c r="A265" s="624">
        <v>260</v>
      </c>
      <c r="B265" s="574">
        <v>45686</v>
      </c>
      <c r="C265" s="575" t="s">
        <v>161</v>
      </c>
      <c r="D265" s="575" t="s">
        <v>2102</v>
      </c>
      <c r="E265" s="576">
        <v>112570126</v>
      </c>
      <c r="F265" s="575" t="s">
        <v>1422</v>
      </c>
      <c r="G265" s="575" t="s">
        <v>2103</v>
      </c>
      <c r="H265" s="576" t="s">
        <v>41</v>
      </c>
      <c r="I265" s="576" t="s">
        <v>62</v>
      </c>
      <c r="J265" s="576" t="s">
        <v>63</v>
      </c>
      <c r="K265" s="593">
        <v>45770</v>
      </c>
      <c r="L265" s="594" t="s">
        <v>2104</v>
      </c>
      <c r="M265" s="594" t="s">
        <v>2105</v>
      </c>
      <c r="N265" s="575" t="s">
        <v>2106</v>
      </c>
      <c r="O265" s="596">
        <v>20</v>
      </c>
      <c r="P265" s="576" t="s">
        <v>442</v>
      </c>
      <c r="Q265" s="576" t="s">
        <v>62</v>
      </c>
      <c r="R265" s="597"/>
      <c r="S265" s="575" t="str">
        <f t="shared" si="12"/>
        <v>040-103-000011651</v>
      </c>
      <c r="T265" s="598">
        <v>102995057</v>
      </c>
      <c r="U265" s="621" t="s">
        <v>2107</v>
      </c>
    </row>
    <row r="266" spans="1:21" ht="24" customHeight="1" x14ac:dyDescent="0.2">
      <c r="A266" s="624">
        <v>261</v>
      </c>
      <c r="B266" s="574">
        <v>45686</v>
      </c>
      <c r="C266" s="575" t="s">
        <v>161</v>
      </c>
      <c r="D266" s="575" t="s">
        <v>2102</v>
      </c>
      <c r="E266" s="576">
        <v>40197255</v>
      </c>
      <c r="F266" s="575" t="s">
        <v>538</v>
      </c>
      <c r="G266" s="575" t="s">
        <v>2108</v>
      </c>
      <c r="H266" s="576" t="s">
        <v>41</v>
      </c>
      <c r="I266" s="576" t="s">
        <v>62</v>
      </c>
      <c r="J266" s="576" t="s">
        <v>63</v>
      </c>
      <c r="K266" s="593">
        <v>45770</v>
      </c>
      <c r="L266" s="594" t="s">
        <v>2104</v>
      </c>
      <c r="M266" s="594" t="s">
        <v>2105</v>
      </c>
      <c r="N266" s="575" t="s">
        <v>2106</v>
      </c>
      <c r="O266" s="596">
        <v>20</v>
      </c>
      <c r="P266" s="576" t="s">
        <v>442</v>
      </c>
      <c r="Q266" s="576" t="s">
        <v>62</v>
      </c>
      <c r="R266" s="597"/>
      <c r="S266" s="575" t="str">
        <f t="shared" si="12"/>
        <v>040-103-000011651</v>
      </c>
      <c r="T266" s="598">
        <v>102995057</v>
      </c>
      <c r="U266" s="621" t="s">
        <v>2107</v>
      </c>
    </row>
    <row r="267" spans="1:21" ht="24" customHeight="1" x14ac:dyDescent="0.2">
      <c r="A267" s="624">
        <v>262</v>
      </c>
      <c r="B267" s="574">
        <v>45766</v>
      </c>
      <c r="C267" s="575" t="s">
        <v>710</v>
      </c>
      <c r="D267" s="575" t="s">
        <v>2109</v>
      </c>
      <c r="E267" s="576">
        <v>111000051</v>
      </c>
      <c r="F267" s="575" t="s">
        <v>137</v>
      </c>
      <c r="G267" s="575" t="s">
        <v>2110</v>
      </c>
      <c r="H267" s="576" t="s">
        <v>41</v>
      </c>
      <c r="I267" s="576" t="s">
        <v>62</v>
      </c>
      <c r="J267" s="576" t="s">
        <v>63</v>
      </c>
      <c r="K267" s="593">
        <v>45772</v>
      </c>
      <c r="L267" s="594" t="s">
        <v>2111</v>
      </c>
      <c r="M267" s="594" t="s">
        <v>1045</v>
      </c>
      <c r="N267" s="575">
        <v>998915951</v>
      </c>
      <c r="O267" s="596">
        <v>20</v>
      </c>
      <c r="P267" s="576" t="s">
        <v>442</v>
      </c>
      <c r="Q267" s="576" t="s">
        <v>62</v>
      </c>
      <c r="R267" s="597"/>
      <c r="S267" s="575" t="str">
        <f t="shared" si="12"/>
        <v>043-907-000023213</v>
      </c>
      <c r="T267" s="598">
        <v>103754495</v>
      </c>
      <c r="U267" s="621" t="s">
        <v>2112</v>
      </c>
    </row>
    <row r="268" spans="1:21" ht="24" customHeight="1" x14ac:dyDescent="0.2">
      <c r="A268" s="624">
        <v>263</v>
      </c>
      <c r="B268" s="574">
        <v>45766</v>
      </c>
      <c r="C268" s="575" t="s">
        <v>710</v>
      </c>
      <c r="D268" s="575" t="s">
        <v>2109</v>
      </c>
      <c r="E268" s="576">
        <v>112030019</v>
      </c>
      <c r="F268" s="575" t="s">
        <v>1554</v>
      </c>
      <c r="G268" s="575" t="s">
        <v>2113</v>
      </c>
      <c r="H268" s="576" t="s">
        <v>41</v>
      </c>
      <c r="I268" s="576" t="s">
        <v>62</v>
      </c>
      <c r="J268" s="576" t="s">
        <v>63</v>
      </c>
      <c r="K268" s="593">
        <v>45772</v>
      </c>
      <c r="L268" s="594" t="s">
        <v>2111</v>
      </c>
      <c r="M268" s="594" t="s">
        <v>1045</v>
      </c>
      <c r="N268" s="575">
        <v>998915951</v>
      </c>
      <c r="O268" s="596">
        <v>20</v>
      </c>
      <c r="P268" s="576" t="s">
        <v>442</v>
      </c>
      <c r="Q268" s="576" t="s">
        <v>62</v>
      </c>
      <c r="R268" s="597"/>
      <c r="S268" s="575" t="str">
        <f t="shared" si="12"/>
        <v>043-907-000023213</v>
      </c>
      <c r="T268" s="598">
        <v>103754495</v>
      </c>
      <c r="U268" s="621" t="s">
        <v>2112</v>
      </c>
    </row>
    <row r="269" spans="1:21" ht="24" customHeight="1" x14ac:dyDescent="0.2">
      <c r="A269" s="624">
        <v>264</v>
      </c>
      <c r="B269" s="574">
        <v>45707</v>
      </c>
      <c r="C269" s="575" t="s">
        <v>161</v>
      </c>
      <c r="D269" s="575" t="s">
        <v>2114</v>
      </c>
      <c r="E269" s="576">
        <v>40446712</v>
      </c>
      <c r="F269" s="575" t="s">
        <v>2115</v>
      </c>
      <c r="G269" s="575" t="s">
        <v>2116</v>
      </c>
      <c r="H269" s="576" t="s">
        <v>41</v>
      </c>
      <c r="I269" s="576" t="s">
        <v>62</v>
      </c>
      <c r="J269" s="576" t="s">
        <v>63</v>
      </c>
      <c r="K269" s="593">
        <v>45772</v>
      </c>
      <c r="L269" s="594" t="s">
        <v>2117</v>
      </c>
      <c r="M269" s="594" t="s">
        <v>2118</v>
      </c>
      <c r="N269" s="575">
        <v>999878218</v>
      </c>
      <c r="O269" s="596">
        <v>30</v>
      </c>
      <c r="P269" s="576" t="s">
        <v>442</v>
      </c>
      <c r="Q269" s="576" t="s">
        <v>62</v>
      </c>
      <c r="R269" s="597"/>
      <c r="S269" s="575" t="str">
        <f t="shared" si="12"/>
        <v>040-103-000012056</v>
      </c>
      <c r="T269" s="598">
        <v>103086021</v>
      </c>
      <c r="U269" s="621" t="s">
        <v>2119</v>
      </c>
    </row>
    <row r="270" spans="1:21" ht="24" customHeight="1" x14ac:dyDescent="0.2">
      <c r="A270" s="624">
        <v>265</v>
      </c>
      <c r="B270" s="574">
        <v>45707</v>
      </c>
      <c r="C270" s="575" t="s">
        <v>161</v>
      </c>
      <c r="D270" s="575" t="s">
        <v>2114</v>
      </c>
      <c r="E270" s="576">
        <v>40782127</v>
      </c>
      <c r="F270" s="575" t="s">
        <v>838</v>
      </c>
      <c r="G270" s="575" t="s">
        <v>2120</v>
      </c>
      <c r="H270" s="576" t="s">
        <v>41</v>
      </c>
      <c r="I270" s="576" t="s">
        <v>62</v>
      </c>
      <c r="J270" s="576" t="s">
        <v>63</v>
      </c>
      <c r="K270" s="593">
        <v>45772</v>
      </c>
      <c r="L270" s="594" t="s">
        <v>2117</v>
      </c>
      <c r="M270" s="594" t="s">
        <v>2118</v>
      </c>
      <c r="N270" s="575">
        <v>999878218</v>
      </c>
      <c r="O270" s="596">
        <v>15</v>
      </c>
      <c r="P270" s="576" t="s">
        <v>442</v>
      </c>
      <c r="Q270" s="576" t="s">
        <v>62</v>
      </c>
      <c r="R270" s="597"/>
      <c r="S270" s="575" t="str">
        <f t="shared" si="12"/>
        <v>040-103-000012056</v>
      </c>
      <c r="T270" s="598">
        <v>103086021</v>
      </c>
      <c r="U270" s="621" t="s">
        <v>2119</v>
      </c>
    </row>
    <row r="271" spans="1:21" ht="24" customHeight="1" x14ac:dyDescent="0.2">
      <c r="A271" s="624">
        <v>266</v>
      </c>
      <c r="B271" s="574">
        <v>45707</v>
      </c>
      <c r="C271" s="575" t="s">
        <v>161</v>
      </c>
      <c r="D271" s="575" t="s">
        <v>2114</v>
      </c>
      <c r="E271" s="576">
        <v>112570073</v>
      </c>
      <c r="F271" s="575" t="s">
        <v>198</v>
      </c>
      <c r="G271" s="575" t="s">
        <v>2121</v>
      </c>
      <c r="H271" s="576" t="s">
        <v>41</v>
      </c>
      <c r="I271" s="576" t="s">
        <v>62</v>
      </c>
      <c r="J271" s="576" t="s">
        <v>63</v>
      </c>
      <c r="K271" s="593">
        <v>45772</v>
      </c>
      <c r="L271" s="594" t="s">
        <v>2117</v>
      </c>
      <c r="M271" s="594" t="s">
        <v>2118</v>
      </c>
      <c r="N271" s="575">
        <v>999878218</v>
      </c>
      <c r="O271" s="596">
        <v>15</v>
      </c>
      <c r="P271" s="576" t="s">
        <v>442</v>
      </c>
      <c r="Q271" s="576" t="s">
        <v>62</v>
      </c>
      <c r="R271" s="597"/>
      <c r="S271" s="575" t="str">
        <f t="shared" si="12"/>
        <v>040-103-000012056</v>
      </c>
      <c r="T271" s="598">
        <v>103086021</v>
      </c>
      <c r="U271" s="621" t="s">
        <v>2119</v>
      </c>
    </row>
    <row r="272" spans="1:21" ht="24" customHeight="1" x14ac:dyDescent="0.2">
      <c r="A272" s="624">
        <v>267</v>
      </c>
      <c r="B272" s="574">
        <v>45752</v>
      </c>
      <c r="C272" s="575" t="s">
        <v>710</v>
      </c>
      <c r="D272" s="575" t="s">
        <v>2122</v>
      </c>
      <c r="E272" s="576">
        <v>111030002</v>
      </c>
      <c r="F272" s="575" t="s">
        <v>336</v>
      </c>
      <c r="G272" s="575" t="s">
        <v>2123</v>
      </c>
      <c r="H272" s="576" t="s">
        <v>41</v>
      </c>
      <c r="I272" s="576" t="s">
        <v>62</v>
      </c>
      <c r="J272" s="576" t="s">
        <v>63</v>
      </c>
      <c r="K272" s="593">
        <v>45773</v>
      </c>
      <c r="L272" s="594" t="s">
        <v>2124</v>
      </c>
      <c r="M272" s="594" t="s">
        <v>2125</v>
      </c>
      <c r="N272" s="575">
        <v>998585707</v>
      </c>
      <c r="O272" s="596">
        <v>20</v>
      </c>
      <c r="P272" s="576" t="s">
        <v>442</v>
      </c>
      <c r="Q272" s="576" t="s">
        <v>62</v>
      </c>
      <c r="R272" s="597"/>
      <c r="S272" s="575" t="str">
        <f t="shared" si="12"/>
        <v>043-905-000067084</v>
      </c>
      <c r="T272" s="598">
        <v>105281257</v>
      </c>
      <c r="U272" s="621" t="s">
        <v>2126</v>
      </c>
    </row>
    <row r="273" spans="1:21" ht="24" customHeight="1" x14ac:dyDescent="0.2">
      <c r="A273" s="624">
        <v>268</v>
      </c>
      <c r="B273" s="574">
        <v>45752</v>
      </c>
      <c r="C273" s="575" t="s">
        <v>710</v>
      </c>
      <c r="D273" s="575" t="s">
        <v>2122</v>
      </c>
      <c r="E273" s="576">
        <v>40782127</v>
      </c>
      <c r="F273" s="575" t="s">
        <v>838</v>
      </c>
      <c r="G273" s="575" t="s">
        <v>2127</v>
      </c>
      <c r="H273" s="576" t="s">
        <v>41</v>
      </c>
      <c r="I273" s="576" t="s">
        <v>62</v>
      </c>
      <c r="J273" s="576" t="s">
        <v>63</v>
      </c>
      <c r="K273" s="593">
        <v>45773</v>
      </c>
      <c r="L273" s="594" t="s">
        <v>2124</v>
      </c>
      <c r="M273" s="594" t="s">
        <v>2125</v>
      </c>
      <c r="N273" s="575">
        <v>998585707</v>
      </c>
      <c r="O273" s="596">
        <v>20</v>
      </c>
      <c r="P273" s="576" t="s">
        <v>442</v>
      </c>
      <c r="Q273" s="576" t="s">
        <v>62</v>
      </c>
      <c r="R273" s="597"/>
      <c r="S273" s="575" t="str">
        <f t="shared" si="12"/>
        <v>043-905-000067084</v>
      </c>
      <c r="T273" s="598">
        <v>105281257</v>
      </c>
      <c r="U273" s="621" t="s">
        <v>2126</v>
      </c>
    </row>
    <row r="274" spans="1:21" ht="24" customHeight="1" x14ac:dyDescent="0.2">
      <c r="A274" s="624">
        <v>269</v>
      </c>
      <c r="B274" s="574" t="s">
        <v>2128</v>
      </c>
      <c r="C274" s="575" t="s">
        <v>100</v>
      </c>
      <c r="D274" s="575" t="s">
        <v>2129</v>
      </c>
      <c r="E274" s="576">
        <v>112570093</v>
      </c>
      <c r="F274" s="575" t="s">
        <v>1479</v>
      </c>
      <c r="G274" s="575" t="s">
        <v>2130</v>
      </c>
      <c r="H274" s="576" t="s">
        <v>41</v>
      </c>
      <c r="I274" s="576" t="s">
        <v>62</v>
      </c>
      <c r="J274" s="576" t="s">
        <v>63</v>
      </c>
      <c r="K274" s="593">
        <v>45775</v>
      </c>
      <c r="L274" s="594" t="s">
        <v>2131</v>
      </c>
      <c r="M274" s="594" t="s">
        <v>2132</v>
      </c>
      <c r="N274" s="575">
        <v>9998294429</v>
      </c>
      <c r="O274" s="596">
        <v>20</v>
      </c>
      <c r="P274" s="576" t="s">
        <v>442</v>
      </c>
      <c r="Q274" s="576" t="s">
        <v>62</v>
      </c>
      <c r="R274" s="597"/>
      <c r="S274" s="575" t="str">
        <f t="shared" si="12"/>
        <v>001-500-000069655</v>
      </c>
      <c r="T274" s="598">
        <v>102437712</v>
      </c>
      <c r="U274" s="621" t="s">
        <v>2133</v>
      </c>
    </row>
    <row r="275" spans="1:21" ht="24" customHeight="1" x14ac:dyDescent="0.2">
      <c r="A275" s="624">
        <v>270</v>
      </c>
      <c r="B275" s="574" t="s">
        <v>2128</v>
      </c>
      <c r="C275" s="575" t="s">
        <v>100</v>
      </c>
      <c r="D275" s="575" t="s">
        <v>2129</v>
      </c>
      <c r="E275" s="576">
        <v>112950020</v>
      </c>
      <c r="F275" s="575" t="s">
        <v>309</v>
      </c>
      <c r="G275" s="575" t="s">
        <v>2134</v>
      </c>
      <c r="H275" s="576" t="s">
        <v>41</v>
      </c>
      <c r="I275" s="576" t="s">
        <v>62</v>
      </c>
      <c r="J275" s="576" t="s">
        <v>63</v>
      </c>
      <c r="K275" s="593">
        <v>45775</v>
      </c>
      <c r="L275" s="594" t="s">
        <v>2131</v>
      </c>
      <c r="M275" s="594" t="s">
        <v>2132</v>
      </c>
      <c r="N275" s="575">
        <v>9998294429</v>
      </c>
      <c r="O275" s="596">
        <v>20</v>
      </c>
      <c r="P275" s="576" t="s">
        <v>442</v>
      </c>
      <c r="Q275" s="576" t="s">
        <v>62</v>
      </c>
      <c r="R275" s="597"/>
      <c r="S275" s="575" t="str">
        <f t="shared" si="12"/>
        <v>001-500-000069655</v>
      </c>
      <c r="T275" s="598">
        <v>102437712</v>
      </c>
      <c r="U275" s="621" t="s">
        <v>2133</v>
      </c>
    </row>
    <row r="276" spans="1:21" ht="24" customHeight="1" x14ac:dyDescent="0.2">
      <c r="A276" s="624">
        <v>271</v>
      </c>
      <c r="B276" s="574">
        <v>45743</v>
      </c>
      <c r="C276" s="575" t="s">
        <v>75</v>
      </c>
      <c r="D276" s="575" t="s">
        <v>2135</v>
      </c>
      <c r="E276" s="576">
        <v>112570126</v>
      </c>
      <c r="F276" s="575" t="s">
        <v>1422</v>
      </c>
      <c r="G276" s="575" t="s">
        <v>2136</v>
      </c>
      <c r="H276" s="576" t="s">
        <v>41</v>
      </c>
      <c r="I276" s="576" t="s">
        <v>62</v>
      </c>
      <c r="J276" s="576" t="s">
        <v>63</v>
      </c>
      <c r="K276" s="593">
        <v>45777</v>
      </c>
      <c r="L276" s="594" t="s">
        <v>2137</v>
      </c>
      <c r="M276" s="594" t="s">
        <v>1020</v>
      </c>
      <c r="N276" s="575">
        <v>995139222</v>
      </c>
      <c r="O276" s="596">
        <v>15</v>
      </c>
      <c r="P276" s="576" t="s">
        <v>442</v>
      </c>
      <c r="Q276" s="576" t="s">
        <v>62</v>
      </c>
      <c r="R276" s="597"/>
      <c r="S276" s="575" t="str">
        <f t="shared" si="12"/>
        <v>001-001-000000719</v>
      </c>
      <c r="T276" s="598">
        <v>101106086</v>
      </c>
      <c r="U276" s="621" t="s">
        <v>2138</v>
      </c>
    </row>
    <row r="277" spans="1:21" ht="24" customHeight="1" x14ac:dyDescent="0.2">
      <c r="A277" s="624">
        <v>272</v>
      </c>
      <c r="B277" s="574">
        <v>45743</v>
      </c>
      <c r="C277" s="575" t="s">
        <v>75</v>
      </c>
      <c r="D277" s="575" t="s">
        <v>2139</v>
      </c>
      <c r="E277" s="576">
        <v>113100004</v>
      </c>
      <c r="F277" s="575" t="s">
        <v>2140</v>
      </c>
      <c r="G277" s="575" t="s">
        <v>2141</v>
      </c>
      <c r="H277" s="576" t="s">
        <v>41</v>
      </c>
      <c r="I277" s="576" t="s">
        <v>62</v>
      </c>
      <c r="J277" s="576" t="s">
        <v>63</v>
      </c>
      <c r="K277" s="593">
        <v>45777</v>
      </c>
      <c r="L277" s="594" t="s">
        <v>2137</v>
      </c>
      <c r="M277" s="594" t="s">
        <v>1020</v>
      </c>
      <c r="N277" s="575">
        <v>995139222</v>
      </c>
      <c r="O277" s="596">
        <v>30</v>
      </c>
      <c r="P277" s="576" t="s">
        <v>442</v>
      </c>
      <c r="Q277" s="576" t="s">
        <v>62</v>
      </c>
      <c r="R277" s="597"/>
      <c r="S277" s="575" t="str">
        <f t="shared" si="12"/>
        <v>001-001-000000787</v>
      </c>
      <c r="T277" s="598">
        <v>101106086</v>
      </c>
      <c r="U277" s="621" t="s">
        <v>2138</v>
      </c>
    </row>
    <row r="278" spans="1:21" ht="24" customHeight="1" x14ac:dyDescent="0.2">
      <c r="A278" s="624">
        <v>273</v>
      </c>
      <c r="B278" s="574">
        <v>45743</v>
      </c>
      <c r="C278" s="575" t="s">
        <v>75</v>
      </c>
      <c r="D278" s="575" t="s">
        <v>2135</v>
      </c>
      <c r="E278" s="576">
        <v>111000051</v>
      </c>
      <c r="F278" s="575" t="s">
        <v>137</v>
      </c>
      <c r="G278" s="575" t="s">
        <v>2142</v>
      </c>
      <c r="H278" s="576" t="s">
        <v>41</v>
      </c>
      <c r="I278" s="576" t="s">
        <v>62</v>
      </c>
      <c r="J278" s="576" t="s">
        <v>63</v>
      </c>
      <c r="K278" s="593">
        <v>45777</v>
      </c>
      <c r="L278" s="594" t="s">
        <v>2137</v>
      </c>
      <c r="M278" s="594" t="s">
        <v>1020</v>
      </c>
      <c r="N278" s="575">
        <v>995139222</v>
      </c>
      <c r="O278" s="596">
        <v>15</v>
      </c>
      <c r="P278" s="576" t="s">
        <v>442</v>
      </c>
      <c r="Q278" s="576" t="s">
        <v>62</v>
      </c>
      <c r="R278" s="597"/>
      <c r="S278" s="575" t="str">
        <f t="shared" si="12"/>
        <v>001-001-000000719</v>
      </c>
      <c r="T278" s="598">
        <v>101106086</v>
      </c>
      <c r="U278" s="621" t="s">
        <v>2138</v>
      </c>
    </row>
    <row r="279" spans="1:21" ht="24" customHeight="1" x14ac:dyDescent="0.2">
      <c r="A279" s="624">
        <v>274</v>
      </c>
      <c r="B279" s="574">
        <v>45779</v>
      </c>
      <c r="C279" s="575" t="s">
        <v>710</v>
      </c>
      <c r="D279" s="575" t="s">
        <v>2143</v>
      </c>
      <c r="E279" s="576">
        <v>112570073</v>
      </c>
      <c r="F279" s="575" t="s">
        <v>198</v>
      </c>
      <c r="G279" s="575" t="s">
        <v>2144</v>
      </c>
      <c r="H279" s="576" t="s">
        <v>41</v>
      </c>
      <c r="I279" s="576" t="s">
        <v>62</v>
      </c>
      <c r="J279" s="576" t="s">
        <v>63</v>
      </c>
      <c r="K279" s="593">
        <v>45783</v>
      </c>
      <c r="L279" s="594" t="s">
        <v>2145</v>
      </c>
      <c r="M279" s="594" t="s">
        <v>2125</v>
      </c>
      <c r="N279" s="575">
        <v>980485572</v>
      </c>
      <c r="O279" s="596">
        <v>20</v>
      </c>
      <c r="P279" s="576" t="s">
        <v>442</v>
      </c>
      <c r="Q279" s="576" t="s">
        <v>62</v>
      </c>
      <c r="R279" s="597"/>
      <c r="S279" s="575" t="str">
        <f t="shared" si="12"/>
        <v>016-907-00001439</v>
      </c>
      <c r="T279" s="598">
        <v>102663705</v>
      </c>
      <c r="U279" s="621" t="s">
        <v>2146</v>
      </c>
    </row>
    <row r="280" spans="1:21" ht="24" customHeight="1" x14ac:dyDescent="0.2">
      <c r="A280" s="624">
        <v>275</v>
      </c>
      <c r="B280" s="574">
        <v>45779</v>
      </c>
      <c r="C280" s="575" t="s">
        <v>710</v>
      </c>
      <c r="D280" s="575" t="s">
        <v>2143</v>
      </c>
      <c r="E280" s="576">
        <v>111030002</v>
      </c>
      <c r="F280" s="575" t="s">
        <v>336</v>
      </c>
      <c r="G280" s="575" t="s">
        <v>2147</v>
      </c>
      <c r="H280" s="576" t="s">
        <v>41</v>
      </c>
      <c r="I280" s="576" t="s">
        <v>62</v>
      </c>
      <c r="J280" s="576" t="s">
        <v>63</v>
      </c>
      <c r="K280" s="593">
        <v>45783</v>
      </c>
      <c r="L280" s="594" t="s">
        <v>2145</v>
      </c>
      <c r="M280" s="594" t="s">
        <v>2125</v>
      </c>
      <c r="N280" s="575">
        <v>980485572</v>
      </c>
      <c r="O280" s="596">
        <v>20</v>
      </c>
      <c r="P280" s="576" t="s">
        <v>442</v>
      </c>
      <c r="Q280" s="576" t="s">
        <v>62</v>
      </c>
      <c r="R280" s="597"/>
      <c r="S280" s="575" t="str">
        <f t="shared" si="12"/>
        <v>016-907-00001439</v>
      </c>
      <c r="T280" s="598">
        <v>102663705</v>
      </c>
      <c r="U280" s="621" t="s">
        <v>2146</v>
      </c>
    </row>
    <row r="281" spans="1:21" ht="24" customHeight="1" x14ac:dyDescent="0.2">
      <c r="A281" s="624">
        <v>276</v>
      </c>
      <c r="B281" s="574">
        <v>45624</v>
      </c>
      <c r="C281" s="575" t="s">
        <v>161</v>
      </c>
      <c r="D281" s="575" t="s">
        <v>2148</v>
      </c>
      <c r="E281" s="576">
        <v>41596006</v>
      </c>
      <c r="F281" s="575" t="s">
        <v>1014</v>
      </c>
      <c r="G281" s="575" t="s">
        <v>2149</v>
      </c>
      <c r="H281" s="576" t="s">
        <v>41</v>
      </c>
      <c r="I281" s="576" t="s">
        <v>62</v>
      </c>
      <c r="J281" s="576" t="s">
        <v>63</v>
      </c>
      <c r="K281" s="593">
        <v>45785</v>
      </c>
      <c r="L281" s="594" t="s">
        <v>2150</v>
      </c>
      <c r="M281" s="594" t="s">
        <v>2151</v>
      </c>
      <c r="N281" s="575">
        <v>992866889</v>
      </c>
      <c r="O281" s="596">
        <v>20</v>
      </c>
      <c r="P281" s="576" t="s">
        <v>442</v>
      </c>
      <c r="Q281" s="576" t="s">
        <v>62</v>
      </c>
      <c r="R281" s="597"/>
      <c r="S281" s="575" t="str">
        <f t="shared" si="12"/>
        <v>040-104-000008237</v>
      </c>
      <c r="T281" s="598">
        <v>190413861</v>
      </c>
      <c r="U281" s="621" t="s">
        <v>2152</v>
      </c>
    </row>
    <row r="282" spans="1:21" ht="24" customHeight="1" x14ac:dyDescent="0.2">
      <c r="A282" s="624">
        <v>277</v>
      </c>
      <c r="B282" s="574">
        <v>45624</v>
      </c>
      <c r="C282" s="575" t="s">
        <v>161</v>
      </c>
      <c r="D282" s="575" t="s">
        <v>2148</v>
      </c>
      <c r="E282" s="576">
        <v>112030019</v>
      </c>
      <c r="F282" s="575" t="s">
        <v>1554</v>
      </c>
      <c r="G282" s="575" t="s">
        <v>2153</v>
      </c>
      <c r="H282" s="576" t="s">
        <v>41</v>
      </c>
      <c r="I282" s="576" t="s">
        <v>62</v>
      </c>
      <c r="J282" s="576" t="s">
        <v>63</v>
      </c>
      <c r="K282" s="593">
        <v>45785</v>
      </c>
      <c r="L282" s="594" t="s">
        <v>2150</v>
      </c>
      <c r="M282" s="594" t="s">
        <v>2151</v>
      </c>
      <c r="N282" s="575">
        <v>992866889</v>
      </c>
      <c r="O282" s="596">
        <v>20</v>
      </c>
      <c r="P282" s="576" t="s">
        <v>442</v>
      </c>
      <c r="Q282" s="576" t="s">
        <v>62</v>
      </c>
      <c r="R282" s="597"/>
      <c r="S282" s="575" t="str">
        <f t="shared" si="12"/>
        <v>040-104-000008237</v>
      </c>
      <c r="T282" s="598">
        <v>190413861</v>
      </c>
      <c r="U282" s="621" t="s">
        <v>2152</v>
      </c>
    </row>
    <row r="283" spans="1:21" ht="24" customHeight="1" x14ac:dyDescent="0.2">
      <c r="A283" s="624">
        <v>278</v>
      </c>
      <c r="B283" s="574">
        <v>45165</v>
      </c>
      <c r="C283" s="575" t="s">
        <v>2154</v>
      </c>
      <c r="D283" s="575" t="s">
        <v>2155</v>
      </c>
      <c r="E283" s="576">
        <v>41560061</v>
      </c>
      <c r="F283" s="575" t="s">
        <v>2156</v>
      </c>
      <c r="G283" s="575" t="s">
        <v>2157</v>
      </c>
      <c r="H283" s="576" t="s">
        <v>41</v>
      </c>
      <c r="I283" s="576" t="s">
        <v>62</v>
      </c>
      <c r="J283" s="576" t="s">
        <v>63</v>
      </c>
      <c r="K283" s="593">
        <v>45786</v>
      </c>
      <c r="L283" s="594" t="s">
        <v>2158</v>
      </c>
      <c r="M283" s="594" t="s">
        <v>328</v>
      </c>
      <c r="N283" s="575">
        <v>998199828</v>
      </c>
      <c r="O283" s="596">
        <v>20</v>
      </c>
      <c r="P283" s="576" t="s">
        <v>442</v>
      </c>
      <c r="Q283" s="576" t="s">
        <v>62</v>
      </c>
      <c r="R283" s="597"/>
      <c r="S283" s="575" t="str">
        <f t="shared" si="12"/>
        <v>008-501-000007001</v>
      </c>
      <c r="T283" s="598">
        <v>105783633</v>
      </c>
      <c r="U283" s="621" t="s">
        <v>2159</v>
      </c>
    </row>
    <row r="284" spans="1:21" ht="24" customHeight="1" x14ac:dyDescent="0.2">
      <c r="A284" s="624">
        <v>279</v>
      </c>
      <c r="B284" s="574">
        <v>45165</v>
      </c>
      <c r="C284" s="575" t="s">
        <v>2154</v>
      </c>
      <c r="D284" s="575" t="s">
        <v>2155</v>
      </c>
      <c r="E284" s="576">
        <v>40540835</v>
      </c>
      <c r="F284" s="575" t="s">
        <v>2160</v>
      </c>
      <c r="G284" s="575" t="s">
        <v>2161</v>
      </c>
      <c r="H284" s="576" t="s">
        <v>41</v>
      </c>
      <c r="I284" s="576" t="s">
        <v>62</v>
      </c>
      <c r="J284" s="576" t="s">
        <v>63</v>
      </c>
      <c r="K284" s="593">
        <v>45786</v>
      </c>
      <c r="L284" s="594" t="s">
        <v>2158</v>
      </c>
      <c r="M284" s="594" t="s">
        <v>328</v>
      </c>
      <c r="N284" s="575">
        <v>998199828</v>
      </c>
      <c r="O284" s="596">
        <v>20</v>
      </c>
      <c r="P284" s="576" t="s">
        <v>442</v>
      </c>
      <c r="Q284" s="576" t="s">
        <v>62</v>
      </c>
      <c r="R284" s="597"/>
      <c r="S284" s="575" t="str">
        <f t="shared" si="12"/>
        <v>008-501-000007001</v>
      </c>
      <c r="T284" s="598">
        <v>105783633</v>
      </c>
      <c r="U284" s="621" t="s">
        <v>2159</v>
      </c>
    </row>
    <row r="285" spans="1:21" ht="24" customHeight="1" x14ac:dyDescent="0.2">
      <c r="A285" s="624">
        <v>280</v>
      </c>
      <c r="B285" s="574">
        <v>45297</v>
      </c>
      <c r="C285" s="575" t="s">
        <v>187</v>
      </c>
      <c r="D285" s="575" t="s">
        <v>2162</v>
      </c>
      <c r="E285" s="576">
        <v>112520024</v>
      </c>
      <c r="F285" s="575" t="s">
        <v>2163</v>
      </c>
      <c r="G285" s="575" t="s">
        <v>2164</v>
      </c>
      <c r="H285" s="576" t="s">
        <v>41</v>
      </c>
      <c r="I285" s="576" t="s">
        <v>62</v>
      </c>
      <c r="J285" s="576" t="s">
        <v>63</v>
      </c>
      <c r="K285" s="593">
        <v>45787</v>
      </c>
      <c r="L285" s="594" t="s">
        <v>2165</v>
      </c>
      <c r="M285" s="594" t="s">
        <v>2166</v>
      </c>
      <c r="N285" s="575">
        <v>983347819</v>
      </c>
      <c r="O285" s="596">
        <v>15</v>
      </c>
      <c r="P285" s="576" t="s">
        <v>442</v>
      </c>
      <c r="Q285" s="576" t="s">
        <v>62</v>
      </c>
      <c r="R285" s="597"/>
      <c r="S285" s="575" t="str">
        <f t="shared" si="12"/>
        <v>040-103-000001740</v>
      </c>
      <c r="T285" s="598">
        <v>103016630</v>
      </c>
      <c r="U285" s="621" t="s">
        <v>2167</v>
      </c>
    </row>
    <row r="286" spans="1:21" ht="24" customHeight="1" x14ac:dyDescent="0.2">
      <c r="A286" s="624">
        <v>281</v>
      </c>
      <c r="B286" s="574">
        <v>45297</v>
      </c>
      <c r="C286" s="575" t="s">
        <v>187</v>
      </c>
      <c r="D286" s="575" t="s">
        <v>2168</v>
      </c>
      <c r="E286" s="576">
        <v>40584202</v>
      </c>
      <c r="F286" s="575" t="s">
        <v>398</v>
      </c>
      <c r="G286" s="575" t="s">
        <v>2169</v>
      </c>
      <c r="H286" s="576" t="s">
        <v>41</v>
      </c>
      <c r="I286" s="576" t="s">
        <v>62</v>
      </c>
      <c r="J286" s="576" t="s">
        <v>63</v>
      </c>
      <c r="K286" s="593">
        <v>45787</v>
      </c>
      <c r="L286" s="594" t="s">
        <v>2165</v>
      </c>
      <c r="M286" s="594" t="s">
        <v>2166</v>
      </c>
      <c r="N286" s="575">
        <v>983347819</v>
      </c>
      <c r="O286" s="596">
        <v>15</v>
      </c>
      <c r="P286" s="576" t="s">
        <v>442</v>
      </c>
      <c r="Q286" s="576" t="s">
        <v>62</v>
      </c>
      <c r="R286" s="597"/>
      <c r="S286" s="575" t="str">
        <f t="shared" si="12"/>
        <v>040-105-000001080</v>
      </c>
      <c r="T286" s="598">
        <v>103016630</v>
      </c>
      <c r="U286" s="621" t="s">
        <v>2167</v>
      </c>
    </row>
    <row r="287" spans="1:21" ht="24" customHeight="1" x14ac:dyDescent="0.2">
      <c r="A287" s="624">
        <v>282</v>
      </c>
      <c r="B287" s="574">
        <v>45297</v>
      </c>
      <c r="C287" s="575" t="s">
        <v>187</v>
      </c>
      <c r="D287" s="575" t="s">
        <v>2170</v>
      </c>
      <c r="E287" s="576">
        <v>112580017</v>
      </c>
      <c r="F287" s="575" t="s">
        <v>228</v>
      </c>
      <c r="G287" s="575" t="s">
        <v>2171</v>
      </c>
      <c r="H287" s="576" t="s">
        <v>41</v>
      </c>
      <c r="I287" s="576" t="s">
        <v>62</v>
      </c>
      <c r="J287" s="576" t="s">
        <v>63</v>
      </c>
      <c r="K287" s="593">
        <v>45787</v>
      </c>
      <c r="L287" s="594" t="s">
        <v>2165</v>
      </c>
      <c r="M287" s="594" t="s">
        <v>2166</v>
      </c>
      <c r="N287" s="575">
        <v>983347819</v>
      </c>
      <c r="O287" s="596">
        <v>15</v>
      </c>
      <c r="P287" s="576" t="s">
        <v>442</v>
      </c>
      <c r="Q287" s="576" t="s">
        <v>62</v>
      </c>
      <c r="R287" s="597"/>
      <c r="S287" s="575" t="str">
        <f t="shared" si="12"/>
        <v>040-103-000001867</v>
      </c>
      <c r="T287" s="598">
        <v>103016630</v>
      </c>
      <c r="U287" s="621" t="s">
        <v>2167</v>
      </c>
    </row>
    <row r="288" spans="1:21" ht="24" customHeight="1" x14ac:dyDescent="0.2">
      <c r="A288" s="624">
        <v>283</v>
      </c>
      <c r="B288" s="574">
        <v>45297</v>
      </c>
      <c r="C288" s="575" t="s">
        <v>187</v>
      </c>
      <c r="D288" s="575" t="s">
        <v>2168</v>
      </c>
      <c r="E288" s="576">
        <v>113430016</v>
      </c>
      <c r="F288" s="575" t="s">
        <v>2172</v>
      </c>
      <c r="G288" s="575" t="s">
        <v>2173</v>
      </c>
      <c r="H288" s="576" t="s">
        <v>41</v>
      </c>
      <c r="I288" s="576" t="s">
        <v>62</v>
      </c>
      <c r="J288" s="576" t="s">
        <v>63</v>
      </c>
      <c r="K288" s="593">
        <v>45787</v>
      </c>
      <c r="L288" s="594" t="s">
        <v>2165</v>
      </c>
      <c r="M288" s="594" t="s">
        <v>2166</v>
      </c>
      <c r="N288" s="575">
        <v>983347819</v>
      </c>
      <c r="O288" s="596">
        <v>15</v>
      </c>
      <c r="P288" s="576" t="s">
        <v>442</v>
      </c>
      <c r="Q288" s="576" t="s">
        <v>62</v>
      </c>
      <c r="R288" s="597"/>
      <c r="S288" s="575" t="str">
        <f t="shared" si="12"/>
        <v>040-105-000001080</v>
      </c>
      <c r="T288" s="598">
        <v>103016630</v>
      </c>
      <c r="U288" s="621" t="s">
        <v>2167</v>
      </c>
    </row>
    <row r="289" spans="1:21" ht="24" customHeight="1" x14ac:dyDescent="0.2">
      <c r="A289" s="624">
        <v>284</v>
      </c>
      <c r="B289" s="574">
        <v>45297</v>
      </c>
      <c r="C289" s="575" t="s">
        <v>100</v>
      </c>
      <c r="D289" s="575" t="s">
        <v>2174</v>
      </c>
      <c r="E289" s="576">
        <v>111010040</v>
      </c>
      <c r="F289" s="575" t="s">
        <v>1482</v>
      </c>
      <c r="G289" s="575" t="s">
        <v>2175</v>
      </c>
      <c r="H289" s="576" t="s">
        <v>41</v>
      </c>
      <c r="I289" s="576" t="s">
        <v>62</v>
      </c>
      <c r="J289" s="576" t="s">
        <v>63</v>
      </c>
      <c r="K289" s="593">
        <v>45787</v>
      </c>
      <c r="L289" s="594" t="s">
        <v>2165</v>
      </c>
      <c r="M289" s="594" t="s">
        <v>2166</v>
      </c>
      <c r="N289" s="575">
        <v>983347819</v>
      </c>
      <c r="O289" s="596">
        <v>15</v>
      </c>
      <c r="P289" s="576" t="s">
        <v>442</v>
      </c>
      <c r="Q289" s="576" t="s">
        <v>62</v>
      </c>
      <c r="R289" s="597"/>
      <c r="S289" s="575" t="str">
        <f t="shared" si="12"/>
        <v>premio sorteo</v>
      </c>
      <c r="T289" s="598">
        <v>103016630</v>
      </c>
      <c r="U289" s="621" t="s">
        <v>2167</v>
      </c>
    </row>
    <row r="290" spans="1:21" ht="24" customHeight="1" x14ac:dyDescent="0.2">
      <c r="A290" s="624">
        <v>285</v>
      </c>
      <c r="B290" s="574">
        <v>45624</v>
      </c>
      <c r="C290" s="575" t="s">
        <v>161</v>
      </c>
      <c r="D290" s="575" t="s">
        <v>2148</v>
      </c>
      <c r="E290" s="576">
        <v>113430051</v>
      </c>
      <c r="F290" s="575" t="s">
        <v>2176</v>
      </c>
      <c r="G290" s="575" t="s">
        <v>2177</v>
      </c>
      <c r="H290" s="576" t="s">
        <v>41</v>
      </c>
      <c r="I290" s="576" t="s">
        <v>62</v>
      </c>
      <c r="J290" s="576" t="s">
        <v>63</v>
      </c>
      <c r="K290" s="593">
        <v>45785</v>
      </c>
      <c r="L290" s="594" t="s">
        <v>2150</v>
      </c>
      <c r="M290" s="594" t="s">
        <v>2151</v>
      </c>
      <c r="N290" s="575">
        <v>992866889</v>
      </c>
      <c r="O290" s="596">
        <v>20</v>
      </c>
      <c r="P290" s="576" t="s">
        <v>442</v>
      </c>
      <c r="Q290" s="576" t="s">
        <v>62</v>
      </c>
      <c r="R290" s="597"/>
      <c r="S290" s="575" t="str">
        <f t="shared" si="12"/>
        <v>040-104-000008237</v>
      </c>
      <c r="T290" s="598">
        <v>190413861</v>
      </c>
      <c r="U290" s="621" t="s">
        <v>2152</v>
      </c>
    </row>
    <row r="291" spans="1:21" ht="24" customHeight="1" x14ac:dyDescent="0.2">
      <c r="A291" s="624">
        <v>286</v>
      </c>
      <c r="B291" s="574">
        <v>45624</v>
      </c>
      <c r="C291" s="575" t="s">
        <v>161</v>
      </c>
      <c r="D291" s="575" t="s">
        <v>2148</v>
      </c>
      <c r="E291" s="576">
        <v>113600015</v>
      </c>
      <c r="F291" s="575" t="s">
        <v>2178</v>
      </c>
      <c r="G291" s="575" t="s">
        <v>2179</v>
      </c>
      <c r="H291" s="576" t="s">
        <v>41</v>
      </c>
      <c r="I291" s="576" t="s">
        <v>62</v>
      </c>
      <c r="J291" s="576" t="s">
        <v>63</v>
      </c>
      <c r="K291" s="593">
        <v>45785</v>
      </c>
      <c r="L291" s="594" t="s">
        <v>2150</v>
      </c>
      <c r="M291" s="594" t="s">
        <v>2151</v>
      </c>
      <c r="N291" s="575">
        <v>992866889</v>
      </c>
      <c r="O291" s="596">
        <v>20</v>
      </c>
      <c r="P291" s="576" t="s">
        <v>442</v>
      </c>
      <c r="Q291" s="576" t="s">
        <v>62</v>
      </c>
      <c r="R291" s="597"/>
      <c r="S291" s="575" t="str">
        <f t="shared" si="12"/>
        <v>040-104-000008237</v>
      </c>
      <c r="T291" s="598">
        <v>190413861</v>
      </c>
      <c r="U291" s="621" t="s">
        <v>2152</v>
      </c>
    </row>
    <row r="292" spans="1:21" ht="24" customHeight="1" x14ac:dyDescent="0.2">
      <c r="A292" s="624">
        <v>287</v>
      </c>
      <c r="B292" s="574">
        <v>45624</v>
      </c>
      <c r="C292" s="575" t="s">
        <v>161</v>
      </c>
      <c r="D292" s="575" t="s">
        <v>2148</v>
      </c>
      <c r="E292" s="576">
        <v>40483182</v>
      </c>
      <c r="F292" s="575" t="s">
        <v>1087</v>
      </c>
      <c r="G292" s="575" t="s">
        <v>2180</v>
      </c>
      <c r="H292" s="576" t="s">
        <v>41</v>
      </c>
      <c r="I292" s="576" t="s">
        <v>62</v>
      </c>
      <c r="J292" s="576" t="s">
        <v>63</v>
      </c>
      <c r="K292" s="593">
        <v>45785</v>
      </c>
      <c r="L292" s="594" t="s">
        <v>2150</v>
      </c>
      <c r="M292" s="594" t="s">
        <v>2151</v>
      </c>
      <c r="N292" s="575">
        <v>992866889</v>
      </c>
      <c r="O292" s="596">
        <v>30</v>
      </c>
      <c r="P292" s="576" t="s">
        <v>442</v>
      </c>
      <c r="Q292" s="576" t="s">
        <v>62</v>
      </c>
      <c r="R292" s="597"/>
      <c r="S292" s="575" t="str">
        <f t="shared" si="12"/>
        <v>040-104-000008237</v>
      </c>
      <c r="T292" s="598">
        <v>190413861</v>
      </c>
      <c r="U292" s="621" t="s">
        <v>2152</v>
      </c>
    </row>
    <row r="293" spans="1:21" ht="24" customHeight="1" x14ac:dyDescent="0.2">
      <c r="A293" s="624">
        <v>288</v>
      </c>
      <c r="B293" s="574">
        <v>45624</v>
      </c>
      <c r="C293" s="575" t="s">
        <v>161</v>
      </c>
      <c r="D293" s="575" t="s">
        <v>2148</v>
      </c>
      <c r="E293" s="576">
        <v>112570075</v>
      </c>
      <c r="F293" s="575" t="s">
        <v>198</v>
      </c>
      <c r="G293" s="575" t="s">
        <v>2181</v>
      </c>
      <c r="H293" s="576" t="s">
        <v>41</v>
      </c>
      <c r="I293" s="576" t="s">
        <v>62</v>
      </c>
      <c r="J293" s="576" t="s">
        <v>63</v>
      </c>
      <c r="K293" s="593">
        <v>45785</v>
      </c>
      <c r="L293" s="594" t="s">
        <v>2150</v>
      </c>
      <c r="M293" s="594" t="s">
        <v>2151</v>
      </c>
      <c r="N293" s="575">
        <v>992866889</v>
      </c>
      <c r="O293" s="596">
        <v>20</v>
      </c>
      <c r="P293" s="576" t="s">
        <v>442</v>
      </c>
      <c r="Q293" s="576" t="s">
        <v>62</v>
      </c>
      <c r="R293" s="597"/>
      <c r="S293" s="575" t="str">
        <f t="shared" si="12"/>
        <v>040-104-000008237</v>
      </c>
      <c r="T293" s="598">
        <v>190413861</v>
      </c>
      <c r="U293" s="621" t="s">
        <v>2152</v>
      </c>
    </row>
    <row r="294" spans="1:21" ht="24" customHeight="1" x14ac:dyDescent="0.2">
      <c r="A294" s="624">
        <v>289</v>
      </c>
      <c r="B294" s="574">
        <v>45624</v>
      </c>
      <c r="C294" s="575" t="s">
        <v>100</v>
      </c>
      <c r="D294" s="575" t="s">
        <v>2182</v>
      </c>
      <c r="E294" s="576">
        <v>40782127</v>
      </c>
      <c r="F294" s="575" t="s">
        <v>838</v>
      </c>
      <c r="G294" s="575" t="s">
        <v>2183</v>
      </c>
      <c r="H294" s="576" t="s">
        <v>41</v>
      </c>
      <c r="I294" s="576" t="s">
        <v>62</v>
      </c>
      <c r="J294" s="576" t="s">
        <v>63</v>
      </c>
      <c r="K294" s="593">
        <v>45792</v>
      </c>
      <c r="L294" s="594" t="s">
        <v>2184</v>
      </c>
      <c r="M294" s="594" t="s">
        <v>2185</v>
      </c>
      <c r="N294" s="575">
        <v>99688684</v>
      </c>
      <c r="O294" s="596">
        <v>15</v>
      </c>
      <c r="P294" s="576" t="s">
        <v>442</v>
      </c>
      <c r="Q294" s="576" t="s">
        <v>62</v>
      </c>
      <c r="R294" s="597"/>
      <c r="S294" s="575" t="str">
        <f t="shared" si="12"/>
        <v>001-500-000072253</v>
      </c>
      <c r="T294" s="598">
        <v>201284603</v>
      </c>
      <c r="U294" s="621" t="s">
        <v>2186</v>
      </c>
    </row>
    <row r="295" spans="1:21" ht="24" customHeight="1" x14ac:dyDescent="0.2">
      <c r="A295" s="624">
        <v>290</v>
      </c>
      <c r="B295" s="574">
        <v>45624</v>
      </c>
      <c r="C295" s="575" t="s">
        <v>100</v>
      </c>
      <c r="D295" s="575" t="s">
        <v>2182</v>
      </c>
      <c r="E295" s="576">
        <v>113620002</v>
      </c>
      <c r="F295" s="575" t="s">
        <v>2187</v>
      </c>
      <c r="G295" s="575" t="s">
        <v>2188</v>
      </c>
      <c r="H295" s="576" t="s">
        <v>41</v>
      </c>
      <c r="I295" s="576" t="s">
        <v>62</v>
      </c>
      <c r="J295" s="576" t="s">
        <v>63</v>
      </c>
      <c r="K295" s="593">
        <v>45792</v>
      </c>
      <c r="L295" s="594" t="s">
        <v>2184</v>
      </c>
      <c r="M295" s="594" t="s">
        <v>2185</v>
      </c>
      <c r="N295" s="575">
        <v>99688684</v>
      </c>
      <c r="O295" s="596">
        <v>15</v>
      </c>
      <c r="P295" s="576" t="s">
        <v>442</v>
      </c>
      <c r="Q295" s="576" t="s">
        <v>62</v>
      </c>
      <c r="R295" s="597"/>
      <c r="S295" s="575" t="str">
        <f t="shared" si="12"/>
        <v>001-500-000072253</v>
      </c>
      <c r="T295" s="598">
        <v>201284603</v>
      </c>
      <c r="U295" s="621" t="s">
        <v>2186</v>
      </c>
    </row>
    <row r="296" spans="1:21" ht="24" customHeight="1" x14ac:dyDescent="0.2">
      <c r="A296" s="624">
        <v>291</v>
      </c>
      <c r="B296" s="574">
        <v>45624</v>
      </c>
      <c r="C296" s="575" t="s">
        <v>100</v>
      </c>
      <c r="D296" s="575" t="s">
        <v>2189</v>
      </c>
      <c r="E296" s="576">
        <v>111000051</v>
      </c>
      <c r="F296" s="575" t="s">
        <v>137</v>
      </c>
      <c r="G296" s="575" t="s">
        <v>2190</v>
      </c>
      <c r="H296" s="576" t="s">
        <v>41</v>
      </c>
      <c r="I296" s="576" t="s">
        <v>62</v>
      </c>
      <c r="J296" s="576" t="s">
        <v>63</v>
      </c>
      <c r="K296" s="593">
        <v>45792</v>
      </c>
      <c r="L296" s="594" t="s">
        <v>2184</v>
      </c>
      <c r="M296" s="594" t="s">
        <v>2185</v>
      </c>
      <c r="N296" s="575">
        <v>99688684</v>
      </c>
      <c r="O296" s="596">
        <v>15</v>
      </c>
      <c r="P296" s="576" t="s">
        <v>442</v>
      </c>
      <c r="Q296" s="576" t="s">
        <v>62</v>
      </c>
      <c r="R296" s="597"/>
      <c r="S296" s="575" t="str">
        <f t="shared" si="12"/>
        <v>001-501-000068309</v>
      </c>
      <c r="T296" s="598">
        <v>201284603</v>
      </c>
      <c r="U296" s="621" t="s">
        <v>2186</v>
      </c>
    </row>
    <row r="297" spans="1:21" ht="24" customHeight="1" x14ac:dyDescent="0.2">
      <c r="A297" s="624">
        <v>292</v>
      </c>
      <c r="B297" s="574">
        <v>45143</v>
      </c>
      <c r="C297" s="575" t="s">
        <v>100</v>
      </c>
      <c r="D297" s="575" t="s">
        <v>2191</v>
      </c>
      <c r="E297" s="576">
        <v>112580027</v>
      </c>
      <c r="F297" s="575" t="s">
        <v>517</v>
      </c>
      <c r="G297" s="575" t="s">
        <v>2192</v>
      </c>
      <c r="H297" s="576" t="s">
        <v>41</v>
      </c>
      <c r="I297" s="576" t="s">
        <v>62</v>
      </c>
      <c r="J297" s="576" t="s">
        <v>63</v>
      </c>
      <c r="K297" s="593">
        <v>45793</v>
      </c>
      <c r="L297" s="594" t="s">
        <v>2193</v>
      </c>
      <c r="M297" s="594" t="s">
        <v>720</v>
      </c>
      <c r="N297" s="575">
        <v>983056803</v>
      </c>
      <c r="O297" s="596">
        <v>20</v>
      </c>
      <c r="P297" s="576" t="s">
        <v>442</v>
      </c>
      <c r="Q297" s="576" t="s">
        <v>62</v>
      </c>
      <c r="R297" s="597"/>
      <c r="S297" s="575" t="str">
        <f t="shared" si="12"/>
        <v>001-500-000054696</v>
      </c>
      <c r="T297" s="598">
        <v>104177597</v>
      </c>
      <c r="U297" s="621" t="s">
        <v>2194</v>
      </c>
    </row>
    <row r="298" spans="1:21" ht="24" customHeight="1" x14ac:dyDescent="0.2">
      <c r="A298" s="624">
        <v>293</v>
      </c>
      <c r="B298" s="574">
        <v>45143</v>
      </c>
      <c r="C298" s="575" t="s">
        <v>100</v>
      </c>
      <c r="D298" s="575" t="s">
        <v>2191</v>
      </c>
      <c r="E298" s="576">
        <v>40456111</v>
      </c>
      <c r="F298" s="575" t="s">
        <v>252</v>
      </c>
      <c r="G298" s="575" t="s">
        <v>2195</v>
      </c>
      <c r="H298" s="576" t="s">
        <v>41</v>
      </c>
      <c r="I298" s="576" t="s">
        <v>62</v>
      </c>
      <c r="J298" s="576" t="s">
        <v>63</v>
      </c>
      <c r="K298" s="593">
        <v>45793</v>
      </c>
      <c r="L298" s="594" t="s">
        <v>2193</v>
      </c>
      <c r="M298" s="594" t="s">
        <v>720</v>
      </c>
      <c r="N298" s="575">
        <v>983056803</v>
      </c>
      <c r="O298" s="596">
        <v>20</v>
      </c>
      <c r="P298" s="576" t="s">
        <v>442</v>
      </c>
      <c r="Q298" s="576" t="s">
        <v>62</v>
      </c>
      <c r="R298" s="597"/>
      <c r="S298" s="575" t="str">
        <f t="shared" si="12"/>
        <v>001-500-000054696</v>
      </c>
      <c r="T298" s="598">
        <v>104177597</v>
      </c>
      <c r="U298" s="621" t="s">
        <v>2194</v>
      </c>
    </row>
    <row r="299" spans="1:21" ht="24" customHeight="1" x14ac:dyDescent="0.2">
      <c r="A299" s="624">
        <v>294</v>
      </c>
      <c r="B299" s="574">
        <v>45756</v>
      </c>
      <c r="C299" s="575" t="s">
        <v>100</v>
      </c>
      <c r="D299" s="575" t="s">
        <v>2189</v>
      </c>
      <c r="E299" s="576">
        <v>112960004</v>
      </c>
      <c r="F299" s="575" t="s">
        <v>301</v>
      </c>
      <c r="G299" s="575" t="s">
        <v>2196</v>
      </c>
      <c r="H299" s="576" t="s">
        <v>41</v>
      </c>
      <c r="I299" s="576" t="s">
        <v>62</v>
      </c>
      <c r="J299" s="576" t="s">
        <v>63</v>
      </c>
      <c r="K299" s="593">
        <v>45793</v>
      </c>
      <c r="L299" s="594" t="s">
        <v>2184</v>
      </c>
      <c r="M299" s="594" t="s">
        <v>2185</v>
      </c>
      <c r="N299" s="575">
        <v>99688684</v>
      </c>
      <c r="O299" s="596">
        <v>20</v>
      </c>
      <c r="P299" s="576" t="s">
        <v>442</v>
      </c>
      <c r="Q299" s="576" t="s">
        <v>62</v>
      </c>
      <c r="R299" s="597"/>
      <c r="S299" s="575" t="str">
        <f t="shared" si="12"/>
        <v>001-501-000068309</v>
      </c>
      <c r="T299" s="598">
        <v>201284603</v>
      </c>
      <c r="U299" s="621" t="s">
        <v>2186</v>
      </c>
    </row>
    <row r="300" spans="1:21" ht="24" customHeight="1" x14ac:dyDescent="0.2">
      <c r="A300" s="624">
        <v>295</v>
      </c>
      <c r="B300" s="574">
        <v>45756</v>
      </c>
      <c r="C300" s="575" t="s">
        <v>100</v>
      </c>
      <c r="D300" s="575" t="s">
        <v>2189</v>
      </c>
      <c r="E300" s="576">
        <v>112570128</v>
      </c>
      <c r="F300" s="575" t="s">
        <v>1215</v>
      </c>
      <c r="G300" s="575" t="s">
        <v>2197</v>
      </c>
      <c r="H300" s="576" t="s">
        <v>41</v>
      </c>
      <c r="I300" s="576" t="s">
        <v>62</v>
      </c>
      <c r="J300" s="576" t="s">
        <v>63</v>
      </c>
      <c r="K300" s="593">
        <v>45793</v>
      </c>
      <c r="L300" s="594" t="s">
        <v>2184</v>
      </c>
      <c r="M300" s="594" t="s">
        <v>2185</v>
      </c>
      <c r="N300" s="575">
        <v>99688684</v>
      </c>
      <c r="O300" s="596">
        <v>20</v>
      </c>
      <c r="P300" s="576" t="s">
        <v>442</v>
      </c>
      <c r="Q300" s="576" t="s">
        <v>62</v>
      </c>
      <c r="R300" s="597"/>
      <c r="S300" s="575" t="str">
        <f t="shared" si="12"/>
        <v>001-501-000068309</v>
      </c>
      <c r="T300" s="598">
        <v>201284603</v>
      </c>
      <c r="U300" s="621" t="s">
        <v>2186</v>
      </c>
    </row>
    <row r="301" spans="1:21" ht="24" customHeight="1" x14ac:dyDescent="0.2">
      <c r="A301" s="624">
        <v>296</v>
      </c>
      <c r="B301" s="574">
        <v>45523</v>
      </c>
      <c r="C301" s="575" t="s">
        <v>2198</v>
      </c>
      <c r="D301" s="575" t="s">
        <v>2199</v>
      </c>
      <c r="E301" s="576">
        <v>111000051</v>
      </c>
      <c r="F301" s="575" t="s">
        <v>137</v>
      </c>
      <c r="G301" s="575" t="s">
        <v>2200</v>
      </c>
      <c r="H301" s="576" t="s">
        <v>41</v>
      </c>
      <c r="I301" s="576" t="s">
        <v>62</v>
      </c>
      <c r="J301" s="576" t="s">
        <v>63</v>
      </c>
      <c r="K301" s="593">
        <v>45793</v>
      </c>
      <c r="L301" s="594" t="s">
        <v>2201</v>
      </c>
      <c r="M301" s="594" t="s">
        <v>720</v>
      </c>
      <c r="N301" s="575">
        <v>989661501</v>
      </c>
      <c r="O301" s="596">
        <v>15</v>
      </c>
      <c r="P301" s="576" t="s">
        <v>442</v>
      </c>
      <c r="Q301" s="576" t="s">
        <v>62</v>
      </c>
      <c r="R301" s="597"/>
      <c r="S301" s="575" t="str">
        <f t="shared" si="12"/>
        <v>007-006-000129478</v>
      </c>
      <c r="T301" s="598">
        <v>301530069</v>
      </c>
      <c r="U301" s="621" t="s">
        <v>2202</v>
      </c>
    </row>
    <row r="302" spans="1:21" ht="24" customHeight="1" x14ac:dyDescent="0.2">
      <c r="A302" s="624">
        <v>297</v>
      </c>
      <c r="B302" s="574">
        <v>45507</v>
      </c>
      <c r="C302" s="575" t="s">
        <v>710</v>
      </c>
      <c r="D302" s="575" t="s">
        <v>2203</v>
      </c>
      <c r="E302" s="576">
        <v>112580058</v>
      </c>
      <c r="F302" s="575" t="s">
        <v>334</v>
      </c>
      <c r="G302" s="575" t="s">
        <v>2204</v>
      </c>
      <c r="H302" s="576" t="s">
        <v>41</v>
      </c>
      <c r="I302" s="576" t="s">
        <v>62</v>
      </c>
      <c r="J302" s="576" t="s">
        <v>63</v>
      </c>
      <c r="K302" s="593">
        <v>45793</v>
      </c>
      <c r="L302" s="594" t="s">
        <v>2201</v>
      </c>
      <c r="M302" s="594" t="s">
        <v>720</v>
      </c>
      <c r="N302" s="575">
        <v>989661501</v>
      </c>
      <c r="O302" s="596">
        <v>15</v>
      </c>
      <c r="P302" s="576" t="s">
        <v>442</v>
      </c>
      <c r="Q302" s="576" t="s">
        <v>62</v>
      </c>
      <c r="R302" s="597"/>
      <c r="S302" s="575" t="str">
        <f t="shared" si="12"/>
        <v>016-902-000472415</v>
      </c>
      <c r="T302" s="598">
        <v>301530069</v>
      </c>
      <c r="U302" s="621" t="s">
        <v>2202</v>
      </c>
    </row>
    <row r="303" spans="1:21" ht="24" customHeight="1" x14ac:dyDescent="0.2">
      <c r="A303" s="624">
        <v>298</v>
      </c>
      <c r="B303" s="574">
        <v>45507</v>
      </c>
      <c r="C303" s="575" t="s">
        <v>100</v>
      </c>
      <c r="D303" s="575" t="s">
        <v>2205</v>
      </c>
      <c r="E303" s="576">
        <v>40466111</v>
      </c>
      <c r="F303" s="575" t="s">
        <v>252</v>
      </c>
      <c r="G303" s="575" t="s">
        <v>2206</v>
      </c>
      <c r="H303" s="576" t="s">
        <v>41</v>
      </c>
      <c r="I303" s="576" t="s">
        <v>62</v>
      </c>
      <c r="J303" s="576" t="s">
        <v>63</v>
      </c>
      <c r="K303" s="593">
        <v>45793</v>
      </c>
      <c r="L303" s="594" t="s">
        <v>2201</v>
      </c>
      <c r="M303" s="594" t="s">
        <v>720</v>
      </c>
      <c r="N303" s="575">
        <v>989661501</v>
      </c>
      <c r="O303" s="596">
        <v>15</v>
      </c>
      <c r="P303" s="576" t="s">
        <v>442</v>
      </c>
      <c r="Q303" s="576" t="s">
        <v>62</v>
      </c>
      <c r="R303" s="597"/>
      <c r="S303" s="575" t="str">
        <f t="shared" si="12"/>
        <v>001-500-000065258</v>
      </c>
      <c r="T303" s="598">
        <v>301530069</v>
      </c>
      <c r="U303" s="621" t="s">
        <v>2202</v>
      </c>
    </row>
    <row r="304" spans="1:21" ht="24" customHeight="1" x14ac:dyDescent="0.2">
      <c r="A304" s="624">
        <v>299</v>
      </c>
      <c r="B304" s="574">
        <v>45708</v>
      </c>
      <c r="C304" s="575" t="s">
        <v>277</v>
      </c>
      <c r="D304" s="575" t="s">
        <v>2207</v>
      </c>
      <c r="E304" s="576">
        <v>40467305</v>
      </c>
      <c r="F304" s="575" t="s">
        <v>128</v>
      </c>
      <c r="G304" s="575" t="s">
        <v>2208</v>
      </c>
      <c r="H304" s="576" t="s">
        <v>41</v>
      </c>
      <c r="I304" s="576" t="s">
        <v>62</v>
      </c>
      <c r="J304" s="576" t="s">
        <v>63</v>
      </c>
      <c r="K304" s="593">
        <v>45794</v>
      </c>
      <c r="L304" s="594" t="s">
        <v>2209</v>
      </c>
      <c r="M304" s="594" t="s">
        <v>2210</v>
      </c>
      <c r="N304" s="575">
        <v>99284569</v>
      </c>
      <c r="O304" s="596">
        <v>20</v>
      </c>
      <c r="P304" s="576" t="s">
        <v>442</v>
      </c>
      <c r="Q304" s="576" t="s">
        <v>62</v>
      </c>
      <c r="R304" s="597"/>
      <c r="S304" s="575" t="str">
        <f t="shared" si="12"/>
        <v>002-201-00005695</v>
      </c>
      <c r="T304" s="598">
        <v>102491933</v>
      </c>
      <c r="U304" s="621" t="s">
        <v>2211</v>
      </c>
    </row>
    <row r="305" spans="1:21" ht="24" customHeight="1" x14ac:dyDescent="0.2">
      <c r="A305" s="624">
        <v>300</v>
      </c>
      <c r="B305" s="574">
        <v>45708</v>
      </c>
      <c r="C305" s="575" t="s">
        <v>277</v>
      </c>
      <c r="D305" s="575" t="s">
        <v>2212</v>
      </c>
      <c r="E305" s="576">
        <v>11258027</v>
      </c>
      <c r="F305" s="575" t="s">
        <v>517</v>
      </c>
      <c r="G305" s="575" t="s">
        <v>2213</v>
      </c>
      <c r="H305" s="576" t="s">
        <v>41</v>
      </c>
      <c r="I305" s="576" t="s">
        <v>62</v>
      </c>
      <c r="J305" s="576" t="s">
        <v>63</v>
      </c>
      <c r="K305" s="593">
        <v>45794</v>
      </c>
      <c r="L305" s="594" t="s">
        <v>2209</v>
      </c>
      <c r="M305" s="594" t="s">
        <v>2210</v>
      </c>
      <c r="N305" s="575">
        <v>99284569</v>
      </c>
      <c r="O305" s="596">
        <v>20</v>
      </c>
      <c r="P305" s="576" t="s">
        <v>442</v>
      </c>
      <c r="Q305" s="576" t="s">
        <v>62</v>
      </c>
      <c r="R305" s="597"/>
      <c r="S305" s="575" t="str">
        <f t="shared" si="12"/>
        <v>002-201-00004058</v>
      </c>
      <c r="T305" s="598">
        <v>102491933</v>
      </c>
      <c r="U305" s="621" t="s">
        <v>2211</v>
      </c>
    </row>
    <row r="306" spans="1:21" ht="24" customHeight="1" x14ac:dyDescent="0.2">
      <c r="A306" s="624">
        <v>301</v>
      </c>
      <c r="B306" s="574">
        <v>44965</v>
      </c>
      <c r="C306" s="575" t="s">
        <v>100</v>
      </c>
      <c r="D306" s="575" t="s">
        <v>2214</v>
      </c>
      <c r="E306" s="576">
        <v>112570126</v>
      </c>
      <c r="F306" s="575" t="s">
        <v>1422</v>
      </c>
      <c r="G306" s="575" t="s">
        <v>2215</v>
      </c>
      <c r="H306" s="576" t="s">
        <v>41</v>
      </c>
      <c r="I306" s="576" t="s">
        <v>62</v>
      </c>
      <c r="J306" s="576" t="s">
        <v>63</v>
      </c>
      <c r="K306" s="593">
        <v>45794</v>
      </c>
      <c r="L306" s="594" t="s">
        <v>2216</v>
      </c>
      <c r="M306" s="594" t="s">
        <v>2217</v>
      </c>
      <c r="N306" s="575">
        <v>969205406</v>
      </c>
      <c r="O306" s="596">
        <v>15</v>
      </c>
      <c r="P306" s="576" t="s">
        <v>442</v>
      </c>
      <c r="Q306" s="576" t="s">
        <v>62</v>
      </c>
      <c r="R306" s="597"/>
      <c r="S306" s="575" t="str">
        <f t="shared" si="12"/>
        <v>001-502-000000127</v>
      </c>
      <c r="T306" s="598">
        <v>103567483</v>
      </c>
      <c r="U306" s="621" t="s">
        <v>2218</v>
      </c>
    </row>
    <row r="307" spans="1:21" ht="24" customHeight="1" x14ac:dyDescent="0.2">
      <c r="A307" s="624">
        <v>302</v>
      </c>
      <c r="B307" s="574">
        <v>44965</v>
      </c>
      <c r="C307" s="575" t="s">
        <v>100</v>
      </c>
      <c r="D307" s="575" t="s">
        <v>2214</v>
      </c>
      <c r="E307" s="576">
        <v>111000078</v>
      </c>
      <c r="F307" s="575" t="s">
        <v>1918</v>
      </c>
      <c r="G307" s="575" t="s">
        <v>2219</v>
      </c>
      <c r="H307" s="576" t="s">
        <v>41</v>
      </c>
      <c r="I307" s="576" t="s">
        <v>62</v>
      </c>
      <c r="J307" s="576" t="s">
        <v>63</v>
      </c>
      <c r="K307" s="593">
        <v>45794</v>
      </c>
      <c r="L307" s="594" t="s">
        <v>2216</v>
      </c>
      <c r="M307" s="594" t="s">
        <v>2217</v>
      </c>
      <c r="N307" s="575">
        <v>969205406</v>
      </c>
      <c r="O307" s="596">
        <v>15</v>
      </c>
      <c r="P307" s="576" t="s">
        <v>442</v>
      </c>
      <c r="Q307" s="576" t="s">
        <v>62</v>
      </c>
      <c r="R307" s="597"/>
      <c r="S307" s="575" t="str">
        <f t="shared" si="12"/>
        <v>001-502-000000127</v>
      </c>
      <c r="T307" s="598">
        <v>103567483</v>
      </c>
      <c r="U307" s="621" t="s">
        <v>2218</v>
      </c>
    </row>
    <row r="308" spans="1:21" ht="24" customHeight="1" x14ac:dyDescent="0.2">
      <c r="A308" s="624">
        <v>303</v>
      </c>
      <c r="B308" s="574">
        <v>44965</v>
      </c>
      <c r="C308" s="575" t="s">
        <v>100</v>
      </c>
      <c r="D308" s="575" t="s">
        <v>2214</v>
      </c>
      <c r="E308" s="576">
        <v>112030015</v>
      </c>
      <c r="F308" s="575" t="s">
        <v>323</v>
      </c>
      <c r="G308" s="575" t="s">
        <v>2220</v>
      </c>
      <c r="H308" s="576" t="s">
        <v>41</v>
      </c>
      <c r="I308" s="576" t="s">
        <v>62</v>
      </c>
      <c r="J308" s="576" t="s">
        <v>63</v>
      </c>
      <c r="K308" s="593">
        <v>45794</v>
      </c>
      <c r="L308" s="594" t="s">
        <v>2216</v>
      </c>
      <c r="M308" s="594" t="s">
        <v>2217</v>
      </c>
      <c r="N308" s="575">
        <v>969205406</v>
      </c>
      <c r="O308" s="596">
        <v>15</v>
      </c>
      <c r="P308" s="576" t="s">
        <v>442</v>
      </c>
      <c r="Q308" s="576" t="s">
        <v>62</v>
      </c>
      <c r="R308" s="597"/>
      <c r="S308" s="575" t="str">
        <f t="shared" si="12"/>
        <v>001-502-000000127</v>
      </c>
      <c r="T308" s="598">
        <v>103567483</v>
      </c>
      <c r="U308" s="621" t="s">
        <v>2218</v>
      </c>
    </row>
    <row r="309" spans="1:21" ht="24" customHeight="1" x14ac:dyDescent="0.2">
      <c r="A309" s="624">
        <v>304</v>
      </c>
      <c r="B309" s="574">
        <v>45418</v>
      </c>
      <c r="C309" s="575" t="s">
        <v>100</v>
      </c>
      <c r="D309" s="575" t="s">
        <v>2221</v>
      </c>
      <c r="E309" s="576">
        <v>40467305</v>
      </c>
      <c r="F309" s="575" t="s">
        <v>128</v>
      </c>
      <c r="G309" s="575" t="s">
        <v>2222</v>
      </c>
      <c r="H309" s="576" t="s">
        <v>41</v>
      </c>
      <c r="I309" s="576" t="s">
        <v>62</v>
      </c>
      <c r="J309" s="576" t="s">
        <v>63</v>
      </c>
      <c r="K309" s="593">
        <v>45794</v>
      </c>
      <c r="L309" s="594" t="s">
        <v>2223</v>
      </c>
      <c r="M309" s="594" t="s">
        <v>339</v>
      </c>
      <c r="N309" s="575">
        <v>983380922</v>
      </c>
      <c r="O309" s="596">
        <v>20</v>
      </c>
      <c r="P309" s="576" t="s">
        <v>442</v>
      </c>
      <c r="Q309" s="576" t="s">
        <v>62</v>
      </c>
      <c r="R309" s="597"/>
      <c r="S309" s="575" t="str">
        <f t="shared" si="12"/>
        <v>001-502-000000258</v>
      </c>
      <c r="T309" s="598">
        <v>702057498</v>
      </c>
      <c r="U309" s="621" t="s">
        <v>2224</v>
      </c>
    </row>
    <row r="310" spans="1:21" ht="24" customHeight="1" x14ac:dyDescent="0.2">
      <c r="A310" s="624">
        <v>305</v>
      </c>
      <c r="B310" s="574">
        <v>45418</v>
      </c>
      <c r="C310" s="575" t="s">
        <v>100</v>
      </c>
      <c r="D310" s="575" t="s">
        <v>2221</v>
      </c>
      <c r="E310" s="576">
        <v>112580017</v>
      </c>
      <c r="F310" s="575" t="s">
        <v>228</v>
      </c>
      <c r="G310" s="575" t="s">
        <v>2225</v>
      </c>
      <c r="H310" s="576" t="s">
        <v>41</v>
      </c>
      <c r="I310" s="576" t="s">
        <v>62</v>
      </c>
      <c r="J310" s="576" t="s">
        <v>63</v>
      </c>
      <c r="K310" s="593">
        <v>45794</v>
      </c>
      <c r="L310" s="594" t="s">
        <v>2223</v>
      </c>
      <c r="M310" s="594" t="s">
        <v>339</v>
      </c>
      <c r="N310" s="575">
        <v>983380922</v>
      </c>
      <c r="O310" s="596">
        <v>20</v>
      </c>
      <c r="P310" s="576" t="s">
        <v>442</v>
      </c>
      <c r="Q310" s="576" t="s">
        <v>62</v>
      </c>
      <c r="R310" s="597"/>
      <c r="S310" s="575" t="str">
        <f t="shared" si="12"/>
        <v>001-502-000000258</v>
      </c>
      <c r="T310" s="598">
        <v>702057498</v>
      </c>
      <c r="U310" s="621" t="s">
        <v>2224</v>
      </c>
    </row>
    <row r="311" spans="1:21" ht="24" customHeight="1" x14ac:dyDescent="0.2">
      <c r="A311" s="624">
        <v>306</v>
      </c>
      <c r="B311" s="574">
        <v>45787</v>
      </c>
      <c r="C311" s="575" t="s">
        <v>2226</v>
      </c>
      <c r="D311" s="575" t="s">
        <v>2227</v>
      </c>
      <c r="E311" s="576">
        <v>113430018</v>
      </c>
      <c r="F311" s="575" t="s">
        <v>2228</v>
      </c>
      <c r="G311" s="575" t="s">
        <v>2229</v>
      </c>
      <c r="H311" s="576" t="s">
        <v>41</v>
      </c>
      <c r="I311" s="576" t="s">
        <v>62</v>
      </c>
      <c r="J311" s="576" t="s">
        <v>63</v>
      </c>
      <c r="K311" s="593">
        <v>45795</v>
      </c>
      <c r="L311" s="594" t="s">
        <v>2230</v>
      </c>
      <c r="M311" s="594" t="s">
        <v>2231</v>
      </c>
      <c r="N311" s="575">
        <v>997937836</v>
      </c>
      <c r="O311" s="596">
        <v>20</v>
      </c>
      <c r="P311" s="576" t="s">
        <v>442</v>
      </c>
      <c r="Q311" s="576" t="s">
        <v>62</v>
      </c>
      <c r="R311" s="597"/>
      <c r="S311" s="575" t="str">
        <f t="shared" si="12"/>
        <v>040-104-000011315</v>
      </c>
      <c r="T311" s="598">
        <v>103365227</v>
      </c>
      <c r="U311" s="621" t="s">
        <v>2232</v>
      </c>
    </row>
    <row r="312" spans="1:21" ht="24" customHeight="1" x14ac:dyDescent="0.2">
      <c r="A312" s="624">
        <v>307</v>
      </c>
      <c r="B312" s="574">
        <v>45766</v>
      </c>
      <c r="C312" s="575" t="s">
        <v>100</v>
      </c>
      <c r="D312" s="575" t="s">
        <v>2233</v>
      </c>
      <c r="E312" s="576">
        <v>40467305</v>
      </c>
      <c r="F312" s="575" t="s">
        <v>128</v>
      </c>
      <c r="G312" s="575" t="s">
        <v>2234</v>
      </c>
      <c r="H312" s="576" t="s">
        <v>41</v>
      </c>
      <c r="I312" s="576" t="s">
        <v>62</v>
      </c>
      <c r="J312" s="576" t="s">
        <v>63</v>
      </c>
      <c r="K312" s="593">
        <v>45795</v>
      </c>
      <c r="L312" s="594" t="s">
        <v>2230</v>
      </c>
      <c r="M312" s="594" t="s">
        <v>2231</v>
      </c>
      <c r="N312" s="575">
        <v>997937836</v>
      </c>
      <c r="O312" s="596">
        <v>20</v>
      </c>
      <c r="P312" s="576" t="s">
        <v>442</v>
      </c>
      <c r="Q312" s="576" t="s">
        <v>62</v>
      </c>
      <c r="R312" s="597"/>
      <c r="S312" s="575" t="str">
        <f t="shared" si="12"/>
        <v>001-500-000072612</v>
      </c>
      <c r="T312" s="598">
        <v>103365227</v>
      </c>
      <c r="U312" s="621" t="s">
        <v>2232</v>
      </c>
    </row>
    <row r="313" spans="1:21" ht="24" customHeight="1" x14ac:dyDescent="0.2">
      <c r="A313" s="624">
        <v>308</v>
      </c>
      <c r="B313" s="619">
        <v>45780</v>
      </c>
      <c r="C313" s="575" t="s">
        <v>100</v>
      </c>
      <c r="D313" s="575" t="s">
        <v>2473</v>
      </c>
      <c r="E313" s="576">
        <v>112550020</v>
      </c>
      <c r="F313" s="575" t="s">
        <v>2474</v>
      </c>
      <c r="G313" s="575" t="s">
        <v>2475</v>
      </c>
      <c r="H313" s="576" t="s">
        <v>41</v>
      </c>
      <c r="I313" s="576" t="s">
        <v>62</v>
      </c>
      <c r="J313" s="576" t="s">
        <v>63</v>
      </c>
      <c r="K313" s="593">
        <v>45796</v>
      </c>
      <c r="L313" s="594" t="s">
        <v>2476</v>
      </c>
      <c r="M313" s="594" t="s">
        <v>2477</v>
      </c>
      <c r="N313" s="575">
        <v>999396211</v>
      </c>
      <c r="O313" s="596">
        <v>20</v>
      </c>
      <c r="P313" s="576" t="s">
        <v>442</v>
      </c>
      <c r="Q313" s="576" t="s">
        <v>62</v>
      </c>
      <c r="R313" s="597"/>
      <c r="S313" s="575" t="s">
        <v>2473</v>
      </c>
      <c r="T313" s="599" t="s">
        <v>2478</v>
      </c>
      <c r="U313" s="621" t="s">
        <v>2479</v>
      </c>
    </row>
    <row r="314" spans="1:21" ht="24" customHeight="1" x14ac:dyDescent="0.2">
      <c r="A314" s="624">
        <v>309</v>
      </c>
      <c r="B314" s="619">
        <v>45625</v>
      </c>
      <c r="C314" s="575" t="s">
        <v>75</v>
      </c>
      <c r="D314" s="575" t="s">
        <v>2480</v>
      </c>
      <c r="E314" s="576">
        <v>113430031</v>
      </c>
      <c r="F314" s="575" t="s">
        <v>2481</v>
      </c>
      <c r="G314" s="575" t="s">
        <v>2482</v>
      </c>
      <c r="H314" s="576" t="s">
        <v>41</v>
      </c>
      <c r="I314" s="576" t="s">
        <v>62</v>
      </c>
      <c r="J314" s="576" t="s">
        <v>63</v>
      </c>
      <c r="K314" s="593">
        <v>45796</v>
      </c>
      <c r="L314" s="594" t="s">
        <v>2476</v>
      </c>
      <c r="M314" s="594" t="s">
        <v>2477</v>
      </c>
      <c r="N314" s="575">
        <v>999396211</v>
      </c>
      <c r="O314" s="596">
        <v>20</v>
      </c>
      <c r="P314" s="576" t="s">
        <v>442</v>
      </c>
      <c r="Q314" s="576" t="s">
        <v>62</v>
      </c>
      <c r="R314" s="597"/>
      <c r="S314" s="575" t="str">
        <f>D314</f>
        <v>001-001-000000319</v>
      </c>
      <c r="T314" s="599" t="s">
        <v>2478</v>
      </c>
      <c r="U314" s="621" t="s">
        <v>2479</v>
      </c>
    </row>
    <row r="315" spans="1:21" ht="24" customHeight="1" x14ac:dyDescent="0.2">
      <c r="A315" s="624">
        <v>310</v>
      </c>
      <c r="B315" s="619">
        <v>45751</v>
      </c>
      <c r="C315" s="575" t="s">
        <v>100</v>
      </c>
      <c r="D315" s="575" t="s">
        <v>2483</v>
      </c>
      <c r="E315" s="576">
        <v>113430073</v>
      </c>
      <c r="F315" s="575" t="s">
        <v>2481</v>
      </c>
      <c r="G315" s="575" t="s">
        <v>2484</v>
      </c>
      <c r="H315" s="576" t="s">
        <v>41</v>
      </c>
      <c r="I315" s="576" t="s">
        <v>62</v>
      </c>
      <c r="J315" s="576" t="s">
        <v>63</v>
      </c>
      <c r="K315" s="593">
        <v>45798</v>
      </c>
      <c r="L315" s="594" t="s">
        <v>2485</v>
      </c>
      <c r="M315" s="594" t="s">
        <v>2486</v>
      </c>
      <c r="N315" s="575">
        <v>983444924</v>
      </c>
      <c r="O315" s="596">
        <v>15</v>
      </c>
      <c r="P315" s="576" t="s">
        <v>442</v>
      </c>
      <c r="Q315" s="576" t="s">
        <v>62</v>
      </c>
      <c r="R315" s="597"/>
      <c r="S315" s="575" t="str">
        <f>D315</f>
        <v>001-500-000073529</v>
      </c>
      <c r="T315" s="598">
        <v>702657321</v>
      </c>
      <c r="U315" s="621" t="s">
        <v>2487</v>
      </c>
    </row>
    <row r="316" spans="1:21" ht="24" customHeight="1" x14ac:dyDescent="0.2">
      <c r="A316" s="624">
        <v>311</v>
      </c>
      <c r="B316" s="619">
        <v>45751</v>
      </c>
      <c r="C316" s="575" t="s">
        <v>100</v>
      </c>
      <c r="D316" s="575" t="s">
        <v>2488</v>
      </c>
      <c r="E316" s="576">
        <v>40466241</v>
      </c>
      <c r="F316" s="575" t="s">
        <v>2386</v>
      </c>
      <c r="G316" s="575" t="s">
        <v>2489</v>
      </c>
      <c r="H316" s="576" t="s">
        <v>41</v>
      </c>
      <c r="I316" s="576" t="s">
        <v>62</v>
      </c>
      <c r="J316" s="576" t="s">
        <v>63</v>
      </c>
      <c r="K316" s="593">
        <v>45798</v>
      </c>
      <c r="L316" s="594" t="s">
        <v>2485</v>
      </c>
      <c r="M316" s="594" t="s">
        <v>2486</v>
      </c>
      <c r="N316" s="575">
        <v>983444924</v>
      </c>
      <c r="O316" s="596">
        <v>15</v>
      </c>
      <c r="P316" s="576" t="s">
        <v>442</v>
      </c>
      <c r="Q316" s="576" t="s">
        <v>62</v>
      </c>
      <c r="R316" s="597"/>
      <c r="S316" s="575" t="str">
        <f t="shared" ref="S316:S378" si="13">D316</f>
        <v>001-500-000072114</v>
      </c>
      <c r="T316" s="598">
        <v>702657321</v>
      </c>
      <c r="U316" s="621" t="s">
        <v>2487</v>
      </c>
    </row>
    <row r="317" spans="1:21" ht="24" customHeight="1" x14ac:dyDescent="0.2">
      <c r="A317" s="624">
        <v>312</v>
      </c>
      <c r="B317" s="619">
        <v>45751</v>
      </c>
      <c r="C317" s="575" t="s">
        <v>100</v>
      </c>
      <c r="D317" s="575" t="s">
        <v>2490</v>
      </c>
      <c r="E317" s="576">
        <v>40219050</v>
      </c>
      <c r="F317" s="575" t="s">
        <v>2491</v>
      </c>
      <c r="G317" s="575" t="s">
        <v>2492</v>
      </c>
      <c r="H317" s="576" t="s">
        <v>41</v>
      </c>
      <c r="I317" s="576" t="s">
        <v>62</v>
      </c>
      <c r="J317" s="576" t="s">
        <v>63</v>
      </c>
      <c r="K317" s="593">
        <v>45798</v>
      </c>
      <c r="L317" s="594" t="s">
        <v>2485</v>
      </c>
      <c r="M317" s="594" t="s">
        <v>2486</v>
      </c>
      <c r="N317" s="575">
        <v>983444924</v>
      </c>
      <c r="O317" s="596">
        <v>15</v>
      </c>
      <c r="P317" s="576" t="s">
        <v>442</v>
      </c>
      <c r="Q317" s="576" t="s">
        <v>62</v>
      </c>
      <c r="R317" s="597"/>
      <c r="S317" s="575" t="str">
        <f t="shared" si="13"/>
        <v>001-500-000072143</v>
      </c>
      <c r="T317" s="598">
        <v>702657321</v>
      </c>
      <c r="U317" s="621" t="s">
        <v>2487</v>
      </c>
    </row>
    <row r="318" spans="1:21" ht="24" customHeight="1" x14ac:dyDescent="0.2">
      <c r="A318" s="624">
        <v>313</v>
      </c>
      <c r="B318" s="619">
        <v>45751</v>
      </c>
      <c r="C318" s="575" t="s">
        <v>100</v>
      </c>
      <c r="D318" s="575" t="s">
        <v>2490</v>
      </c>
      <c r="E318" s="576">
        <v>40584305</v>
      </c>
      <c r="F318" s="575" t="s">
        <v>2493</v>
      </c>
      <c r="G318" s="575" t="s">
        <v>2494</v>
      </c>
      <c r="H318" s="576" t="s">
        <v>41</v>
      </c>
      <c r="I318" s="576" t="s">
        <v>62</v>
      </c>
      <c r="J318" s="576" t="s">
        <v>63</v>
      </c>
      <c r="K318" s="593">
        <v>45798</v>
      </c>
      <c r="L318" s="594" t="s">
        <v>2485</v>
      </c>
      <c r="M318" s="594" t="s">
        <v>2486</v>
      </c>
      <c r="N318" s="575">
        <v>983444924</v>
      </c>
      <c r="O318" s="596">
        <v>15</v>
      </c>
      <c r="P318" s="576" t="s">
        <v>442</v>
      </c>
      <c r="Q318" s="576" t="s">
        <v>62</v>
      </c>
      <c r="R318" s="597"/>
      <c r="S318" s="575" t="str">
        <f t="shared" si="13"/>
        <v>001-500-000072143</v>
      </c>
      <c r="T318" s="598">
        <v>702657321</v>
      </c>
      <c r="U318" s="621" t="s">
        <v>2487</v>
      </c>
    </row>
    <row r="319" spans="1:21" ht="24" customHeight="1" x14ac:dyDescent="0.2">
      <c r="A319" s="624">
        <v>314</v>
      </c>
      <c r="B319" s="619">
        <v>45751</v>
      </c>
      <c r="C319" s="575" t="s">
        <v>100</v>
      </c>
      <c r="D319" s="575" t="s">
        <v>2488</v>
      </c>
      <c r="E319" s="576">
        <v>111000051</v>
      </c>
      <c r="F319" s="575" t="s">
        <v>109</v>
      </c>
      <c r="G319" s="575" t="s">
        <v>2495</v>
      </c>
      <c r="H319" s="576" t="s">
        <v>41</v>
      </c>
      <c r="I319" s="576" t="s">
        <v>62</v>
      </c>
      <c r="J319" s="576" t="s">
        <v>63</v>
      </c>
      <c r="K319" s="593">
        <v>45798</v>
      </c>
      <c r="L319" s="594" t="s">
        <v>2485</v>
      </c>
      <c r="M319" s="594" t="s">
        <v>2486</v>
      </c>
      <c r="N319" s="575">
        <v>983444924</v>
      </c>
      <c r="O319" s="596">
        <v>15</v>
      </c>
      <c r="P319" s="576" t="s">
        <v>442</v>
      </c>
      <c r="Q319" s="576" t="s">
        <v>62</v>
      </c>
      <c r="R319" s="597"/>
      <c r="S319" s="575" t="str">
        <f t="shared" si="13"/>
        <v>001-500-000072114</v>
      </c>
      <c r="T319" s="598">
        <v>702657321</v>
      </c>
      <c r="U319" s="621" t="s">
        <v>2487</v>
      </c>
    </row>
    <row r="320" spans="1:21" ht="24" customHeight="1" x14ac:dyDescent="0.2">
      <c r="A320" s="624">
        <v>315</v>
      </c>
      <c r="B320" s="574">
        <v>45788</v>
      </c>
      <c r="C320" s="575" t="s">
        <v>187</v>
      </c>
      <c r="D320" s="575" t="s">
        <v>2496</v>
      </c>
      <c r="E320" s="576">
        <v>111010041</v>
      </c>
      <c r="F320" s="575" t="s">
        <v>996</v>
      </c>
      <c r="G320" s="575" t="s">
        <v>2497</v>
      </c>
      <c r="H320" s="576" t="s">
        <v>41</v>
      </c>
      <c r="I320" s="576" t="s">
        <v>62</v>
      </c>
      <c r="J320" s="576" t="s">
        <v>63</v>
      </c>
      <c r="K320" s="593">
        <v>45798</v>
      </c>
      <c r="L320" s="594" t="s">
        <v>2498</v>
      </c>
      <c r="M320" s="594" t="s">
        <v>378</v>
      </c>
      <c r="N320" s="575">
        <v>987225259</v>
      </c>
      <c r="O320" s="596">
        <v>20</v>
      </c>
      <c r="P320" s="576" t="s">
        <v>442</v>
      </c>
      <c r="Q320" s="576" t="s">
        <v>62</v>
      </c>
      <c r="R320" s="597"/>
      <c r="S320" s="600" t="str">
        <f t="shared" si="13"/>
        <v>044-014-000007311</v>
      </c>
      <c r="T320" s="598">
        <v>102218500</v>
      </c>
      <c r="U320" s="621" t="s">
        <v>2499</v>
      </c>
    </row>
    <row r="321" spans="1:21" ht="24" customHeight="1" x14ac:dyDescent="0.2">
      <c r="A321" s="624">
        <v>316</v>
      </c>
      <c r="B321" s="574">
        <v>45788</v>
      </c>
      <c r="C321" s="575" t="s">
        <v>187</v>
      </c>
      <c r="D321" s="575" t="s">
        <v>2496</v>
      </c>
      <c r="E321" s="576">
        <v>112570128</v>
      </c>
      <c r="F321" s="575" t="s">
        <v>1215</v>
      </c>
      <c r="G321" s="575" t="s">
        <v>2500</v>
      </c>
      <c r="H321" s="576" t="s">
        <v>41</v>
      </c>
      <c r="I321" s="576" t="s">
        <v>62</v>
      </c>
      <c r="J321" s="576" t="s">
        <v>63</v>
      </c>
      <c r="K321" s="593">
        <v>45798</v>
      </c>
      <c r="L321" s="594" t="s">
        <v>2498</v>
      </c>
      <c r="M321" s="594" t="s">
        <v>378</v>
      </c>
      <c r="N321" s="575">
        <v>987225259</v>
      </c>
      <c r="O321" s="596">
        <v>20</v>
      </c>
      <c r="P321" s="576" t="s">
        <v>442</v>
      </c>
      <c r="Q321" s="576" t="s">
        <v>62</v>
      </c>
      <c r="R321" s="597"/>
      <c r="S321" s="600" t="str">
        <f t="shared" si="13"/>
        <v>044-014-000007311</v>
      </c>
      <c r="T321" s="598">
        <v>102218500</v>
      </c>
      <c r="U321" s="621" t="s">
        <v>2499</v>
      </c>
    </row>
    <row r="322" spans="1:21" ht="24" customHeight="1" x14ac:dyDescent="0.2">
      <c r="A322" s="624">
        <v>317</v>
      </c>
      <c r="B322" s="574">
        <v>45793</v>
      </c>
      <c r="C322" s="575" t="s">
        <v>100</v>
      </c>
      <c r="D322" s="575" t="s">
        <v>2501</v>
      </c>
      <c r="E322" s="576">
        <v>112580017</v>
      </c>
      <c r="F322" s="575" t="s">
        <v>228</v>
      </c>
      <c r="G322" s="575" t="s">
        <v>2502</v>
      </c>
      <c r="H322" s="576" t="s">
        <v>41</v>
      </c>
      <c r="I322" s="576" t="s">
        <v>62</v>
      </c>
      <c r="J322" s="576" t="s">
        <v>63</v>
      </c>
      <c r="K322" s="593">
        <v>45799</v>
      </c>
      <c r="L322" s="594" t="s">
        <v>2503</v>
      </c>
      <c r="M322" s="594" t="s">
        <v>2504</v>
      </c>
      <c r="N322" s="575">
        <v>997929536</v>
      </c>
      <c r="O322" s="596">
        <v>20</v>
      </c>
      <c r="P322" s="576" t="s">
        <v>442</v>
      </c>
      <c r="Q322" s="576" t="s">
        <v>62</v>
      </c>
      <c r="R322" s="597"/>
      <c r="S322" s="600" t="str">
        <f t="shared" si="13"/>
        <v>001-500-000073495</v>
      </c>
      <c r="T322" s="598">
        <v>195149100</v>
      </c>
      <c r="U322" s="621" t="s">
        <v>2505</v>
      </c>
    </row>
    <row r="323" spans="1:21" ht="24" customHeight="1" x14ac:dyDescent="0.2">
      <c r="A323" s="624">
        <v>318</v>
      </c>
      <c r="B323" s="574">
        <v>45793</v>
      </c>
      <c r="C323" s="575" t="s">
        <v>100</v>
      </c>
      <c r="D323" s="575" t="s">
        <v>2501</v>
      </c>
      <c r="E323" s="576">
        <v>40466241</v>
      </c>
      <c r="F323" s="575" t="s">
        <v>214</v>
      </c>
      <c r="G323" s="575" t="s">
        <v>2506</v>
      </c>
      <c r="H323" s="576" t="s">
        <v>41</v>
      </c>
      <c r="I323" s="576" t="s">
        <v>62</v>
      </c>
      <c r="J323" s="576" t="s">
        <v>63</v>
      </c>
      <c r="K323" s="593">
        <v>45799</v>
      </c>
      <c r="L323" s="594" t="s">
        <v>2503</v>
      </c>
      <c r="M323" s="594" t="s">
        <v>2504</v>
      </c>
      <c r="N323" s="575">
        <v>997929536</v>
      </c>
      <c r="O323" s="596">
        <v>20</v>
      </c>
      <c r="P323" s="576" t="s">
        <v>442</v>
      </c>
      <c r="Q323" s="576" t="s">
        <v>62</v>
      </c>
      <c r="R323" s="597"/>
      <c r="S323" s="600" t="str">
        <f t="shared" si="13"/>
        <v>001-500-000073495</v>
      </c>
      <c r="T323" s="598">
        <v>195149100</v>
      </c>
      <c r="U323" s="621" t="s">
        <v>2505</v>
      </c>
    </row>
    <row r="324" spans="1:21" ht="24" customHeight="1" x14ac:dyDescent="0.2">
      <c r="A324" s="624">
        <v>319</v>
      </c>
      <c r="B324" s="574">
        <v>45738</v>
      </c>
      <c r="C324" s="575" t="s">
        <v>125</v>
      </c>
      <c r="D324" s="575" t="s">
        <v>2507</v>
      </c>
      <c r="E324" s="576">
        <v>40584202</v>
      </c>
      <c r="F324" s="575" t="s">
        <v>2508</v>
      </c>
      <c r="G324" s="575" t="s">
        <v>2509</v>
      </c>
      <c r="H324" s="576" t="s">
        <v>41</v>
      </c>
      <c r="I324" s="576" t="s">
        <v>62</v>
      </c>
      <c r="J324" s="576" t="s">
        <v>63</v>
      </c>
      <c r="K324" s="593">
        <v>45799</v>
      </c>
      <c r="L324" s="594" t="s">
        <v>2510</v>
      </c>
      <c r="M324" s="594" t="s">
        <v>2511</v>
      </c>
      <c r="N324" s="575">
        <v>990251569</v>
      </c>
      <c r="O324" s="596">
        <v>20</v>
      </c>
      <c r="P324" s="576" t="s">
        <v>442</v>
      </c>
      <c r="Q324" s="576" t="s">
        <v>62</v>
      </c>
      <c r="R324" s="597"/>
      <c r="S324" s="600" t="str">
        <f t="shared" si="13"/>
        <v>016-907-000244497</v>
      </c>
      <c r="T324" s="598">
        <v>106456429</v>
      </c>
      <c r="U324" s="621" t="s">
        <v>2512</v>
      </c>
    </row>
    <row r="325" spans="1:21" ht="24" customHeight="1" x14ac:dyDescent="0.2">
      <c r="A325" s="624">
        <v>320</v>
      </c>
      <c r="B325" s="574">
        <v>45738</v>
      </c>
      <c r="C325" s="575" t="s">
        <v>125</v>
      </c>
      <c r="D325" s="575" t="s">
        <v>2507</v>
      </c>
      <c r="E325" s="576">
        <v>111000051</v>
      </c>
      <c r="F325" s="575" t="s">
        <v>109</v>
      </c>
      <c r="G325" s="575" t="s">
        <v>2513</v>
      </c>
      <c r="H325" s="576" t="s">
        <v>41</v>
      </c>
      <c r="I325" s="576" t="s">
        <v>62</v>
      </c>
      <c r="J325" s="576" t="s">
        <v>63</v>
      </c>
      <c r="K325" s="593">
        <v>45799</v>
      </c>
      <c r="L325" s="594" t="s">
        <v>2510</v>
      </c>
      <c r="M325" s="594" t="s">
        <v>2511</v>
      </c>
      <c r="N325" s="575">
        <v>990251569</v>
      </c>
      <c r="O325" s="596">
        <v>20</v>
      </c>
      <c r="P325" s="576" t="s">
        <v>442</v>
      </c>
      <c r="Q325" s="576" t="s">
        <v>62</v>
      </c>
      <c r="R325" s="597"/>
      <c r="S325" s="600" t="str">
        <f t="shared" si="13"/>
        <v>016-907-000244497</v>
      </c>
      <c r="T325" s="598">
        <v>106456429</v>
      </c>
      <c r="U325" s="621" t="s">
        <v>2512</v>
      </c>
    </row>
    <row r="326" spans="1:21" ht="24" customHeight="1" x14ac:dyDescent="0.2">
      <c r="A326" s="624">
        <v>321</v>
      </c>
      <c r="B326" s="574">
        <v>45688</v>
      </c>
      <c r="C326" s="575" t="s">
        <v>190</v>
      </c>
      <c r="D326" s="575" t="s">
        <v>2514</v>
      </c>
      <c r="E326" s="576">
        <v>112500048</v>
      </c>
      <c r="F326" s="575" t="s">
        <v>1031</v>
      </c>
      <c r="G326" s="575" t="s">
        <v>2515</v>
      </c>
      <c r="H326" s="576" t="s">
        <v>41</v>
      </c>
      <c r="I326" s="576" t="s">
        <v>62</v>
      </c>
      <c r="J326" s="576" t="s">
        <v>63</v>
      </c>
      <c r="K326" s="593">
        <v>45799</v>
      </c>
      <c r="L326" s="594" t="s">
        <v>2516</v>
      </c>
      <c r="M326" s="594" t="s">
        <v>2517</v>
      </c>
      <c r="N326" s="575">
        <v>982660042</v>
      </c>
      <c r="O326" s="596">
        <v>15</v>
      </c>
      <c r="P326" s="576" t="s">
        <v>442</v>
      </c>
      <c r="Q326" s="576" t="s">
        <v>62</v>
      </c>
      <c r="R326" s="597"/>
      <c r="S326" s="575" t="str">
        <f t="shared" si="13"/>
        <v>006-002-000157953</v>
      </c>
      <c r="T326" s="598">
        <v>104435417</v>
      </c>
      <c r="U326" s="621" t="s">
        <v>2518</v>
      </c>
    </row>
    <row r="327" spans="1:21" ht="24" customHeight="1" x14ac:dyDescent="0.2">
      <c r="A327" s="624">
        <v>322</v>
      </c>
      <c r="B327" s="574">
        <v>45688</v>
      </c>
      <c r="C327" s="575" t="s">
        <v>190</v>
      </c>
      <c r="D327" s="575" t="s">
        <v>2514</v>
      </c>
      <c r="E327" s="576">
        <v>111000051</v>
      </c>
      <c r="F327" s="575" t="s">
        <v>137</v>
      </c>
      <c r="G327" s="575" t="s">
        <v>2519</v>
      </c>
      <c r="H327" s="576" t="s">
        <v>41</v>
      </c>
      <c r="I327" s="576" t="s">
        <v>62</v>
      </c>
      <c r="J327" s="576" t="s">
        <v>63</v>
      </c>
      <c r="K327" s="593">
        <v>45799</v>
      </c>
      <c r="L327" s="594" t="s">
        <v>2516</v>
      </c>
      <c r="M327" s="594" t="s">
        <v>2517</v>
      </c>
      <c r="N327" s="575">
        <v>982660042</v>
      </c>
      <c r="O327" s="596">
        <v>15</v>
      </c>
      <c r="P327" s="576" t="s">
        <v>442</v>
      </c>
      <c r="Q327" s="576" t="s">
        <v>62</v>
      </c>
      <c r="R327" s="597"/>
      <c r="S327" s="575" t="str">
        <f t="shared" si="13"/>
        <v>006-002-000157953</v>
      </c>
      <c r="T327" s="598">
        <v>104435417</v>
      </c>
      <c r="U327" s="621" t="s">
        <v>2518</v>
      </c>
    </row>
    <row r="328" spans="1:21" ht="24" customHeight="1" x14ac:dyDescent="0.2">
      <c r="A328" s="624">
        <v>323</v>
      </c>
      <c r="B328" s="574">
        <v>45688</v>
      </c>
      <c r="C328" s="575" t="s">
        <v>190</v>
      </c>
      <c r="D328" s="575" t="s">
        <v>2514</v>
      </c>
      <c r="E328" s="576">
        <v>113100004</v>
      </c>
      <c r="F328" s="575" t="s">
        <v>2140</v>
      </c>
      <c r="G328" s="575" t="s">
        <v>2520</v>
      </c>
      <c r="H328" s="576" t="s">
        <v>41</v>
      </c>
      <c r="I328" s="576" t="s">
        <v>62</v>
      </c>
      <c r="J328" s="576" t="s">
        <v>63</v>
      </c>
      <c r="K328" s="593">
        <v>45799</v>
      </c>
      <c r="L328" s="594" t="s">
        <v>2516</v>
      </c>
      <c r="M328" s="594" t="s">
        <v>2517</v>
      </c>
      <c r="N328" s="575">
        <v>982660042</v>
      </c>
      <c r="O328" s="596">
        <v>30</v>
      </c>
      <c r="P328" s="576" t="s">
        <v>442</v>
      </c>
      <c r="Q328" s="576" t="s">
        <v>62</v>
      </c>
      <c r="R328" s="597"/>
      <c r="S328" s="575" t="str">
        <f t="shared" si="13"/>
        <v>006-002-000157953</v>
      </c>
      <c r="T328" s="598">
        <v>104435417</v>
      </c>
      <c r="U328" s="621" t="s">
        <v>2518</v>
      </c>
    </row>
    <row r="329" spans="1:21" ht="24" customHeight="1" x14ac:dyDescent="0.2">
      <c r="A329" s="624">
        <v>324</v>
      </c>
      <c r="B329" s="574">
        <v>45626</v>
      </c>
      <c r="C329" s="575" t="s">
        <v>190</v>
      </c>
      <c r="D329" s="575" t="s">
        <v>2521</v>
      </c>
      <c r="E329" s="576">
        <v>112570108</v>
      </c>
      <c r="F329" s="575" t="s">
        <v>1215</v>
      </c>
      <c r="G329" s="575" t="s">
        <v>2522</v>
      </c>
      <c r="H329" s="576" t="s">
        <v>41</v>
      </c>
      <c r="I329" s="576" t="s">
        <v>62</v>
      </c>
      <c r="J329" s="576" t="s">
        <v>63</v>
      </c>
      <c r="K329" s="593">
        <v>45800</v>
      </c>
      <c r="L329" s="594" t="s">
        <v>2523</v>
      </c>
      <c r="M329" s="594" t="s">
        <v>2524</v>
      </c>
      <c r="N329" s="575">
        <v>999509380</v>
      </c>
      <c r="O329" s="596">
        <v>15</v>
      </c>
      <c r="P329" s="576" t="s">
        <v>442</v>
      </c>
      <c r="Q329" s="576" t="s">
        <v>62</v>
      </c>
      <c r="R329" s="597"/>
      <c r="S329" s="575" t="str">
        <f t="shared" si="13"/>
        <v>006-002-000157117</v>
      </c>
      <c r="T329" s="598">
        <v>102283629</v>
      </c>
      <c r="U329" s="621" t="s">
        <v>2525</v>
      </c>
    </row>
    <row r="330" spans="1:21" ht="24" customHeight="1" x14ac:dyDescent="0.2">
      <c r="A330" s="624">
        <v>325</v>
      </c>
      <c r="B330" s="574">
        <v>45626</v>
      </c>
      <c r="C330" s="575" t="s">
        <v>190</v>
      </c>
      <c r="D330" s="575" t="s">
        <v>2521</v>
      </c>
      <c r="E330" s="576">
        <v>111000059</v>
      </c>
      <c r="F330" s="575" t="s">
        <v>2526</v>
      </c>
      <c r="G330" s="575" t="s">
        <v>2527</v>
      </c>
      <c r="H330" s="576" t="s">
        <v>41</v>
      </c>
      <c r="I330" s="576" t="s">
        <v>62</v>
      </c>
      <c r="J330" s="576" t="s">
        <v>63</v>
      </c>
      <c r="K330" s="593">
        <v>45800</v>
      </c>
      <c r="L330" s="594" t="s">
        <v>2523</v>
      </c>
      <c r="M330" s="594" t="s">
        <v>2524</v>
      </c>
      <c r="N330" s="575">
        <v>999509380</v>
      </c>
      <c r="O330" s="596">
        <v>15</v>
      </c>
      <c r="P330" s="576" t="s">
        <v>442</v>
      </c>
      <c r="Q330" s="576" t="s">
        <v>62</v>
      </c>
      <c r="R330" s="597"/>
      <c r="S330" s="575" t="str">
        <f t="shared" si="13"/>
        <v>006-002-000157117</v>
      </c>
      <c r="T330" s="598">
        <v>102283629</v>
      </c>
      <c r="U330" s="621" t="s">
        <v>2525</v>
      </c>
    </row>
    <row r="331" spans="1:21" ht="24" customHeight="1" x14ac:dyDescent="0.2">
      <c r="A331" s="624">
        <v>326</v>
      </c>
      <c r="B331" s="574">
        <v>45626</v>
      </c>
      <c r="C331" s="575" t="s">
        <v>190</v>
      </c>
      <c r="D331" s="575" t="s">
        <v>2521</v>
      </c>
      <c r="E331" s="576">
        <v>112030010</v>
      </c>
      <c r="F331" s="575" t="s">
        <v>2528</v>
      </c>
      <c r="G331" s="575" t="s">
        <v>2529</v>
      </c>
      <c r="H331" s="576" t="s">
        <v>41</v>
      </c>
      <c r="I331" s="576" t="s">
        <v>62</v>
      </c>
      <c r="J331" s="576" t="s">
        <v>63</v>
      </c>
      <c r="K331" s="593">
        <v>45800</v>
      </c>
      <c r="L331" s="594" t="s">
        <v>2523</v>
      </c>
      <c r="M331" s="594" t="s">
        <v>2524</v>
      </c>
      <c r="N331" s="575">
        <v>999509380</v>
      </c>
      <c r="O331" s="596">
        <v>15</v>
      </c>
      <c r="P331" s="576" t="s">
        <v>442</v>
      </c>
      <c r="Q331" s="576" t="s">
        <v>62</v>
      </c>
      <c r="R331" s="597"/>
      <c r="S331" s="575" t="str">
        <f t="shared" si="13"/>
        <v>006-002-000157117</v>
      </c>
      <c r="T331" s="598">
        <v>102283629</v>
      </c>
      <c r="U331" s="621" t="s">
        <v>2525</v>
      </c>
    </row>
    <row r="332" spans="1:21" ht="24" customHeight="1" x14ac:dyDescent="0.2">
      <c r="A332" s="624">
        <v>327</v>
      </c>
      <c r="B332" s="574">
        <v>45626</v>
      </c>
      <c r="C332" s="575" t="s">
        <v>190</v>
      </c>
      <c r="D332" s="575" t="s">
        <v>2521</v>
      </c>
      <c r="E332" s="576">
        <v>40197155</v>
      </c>
      <c r="F332" s="575" t="s">
        <v>2269</v>
      </c>
      <c r="G332" s="575" t="s">
        <v>2530</v>
      </c>
      <c r="H332" s="576" t="s">
        <v>41</v>
      </c>
      <c r="I332" s="576" t="s">
        <v>62</v>
      </c>
      <c r="J332" s="576" t="s">
        <v>63</v>
      </c>
      <c r="K332" s="593">
        <v>45800</v>
      </c>
      <c r="L332" s="594" t="s">
        <v>2523</v>
      </c>
      <c r="M332" s="594" t="s">
        <v>2524</v>
      </c>
      <c r="N332" s="575">
        <v>999509380</v>
      </c>
      <c r="O332" s="596">
        <v>15</v>
      </c>
      <c r="P332" s="576" t="s">
        <v>442</v>
      </c>
      <c r="Q332" s="576" t="s">
        <v>62</v>
      </c>
      <c r="R332" s="597"/>
      <c r="S332" s="575" t="str">
        <f t="shared" si="13"/>
        <v>006-002-000157117</v>
      </c>
      <c r="T332" s="598">
        <v>102283629</v>
      </c>
      <c r="U332" s="621" t="s">
        <v>2525</v>
      </c>
    </row>
    <row r="333" spans="1:21" ht="24" customHeight="1" x14ac:dyDescent="0.2">
      <c r="A333" s="624">
        <v>328</v>
      </c>
      <c r="B333" s="574">
        <v>45627</v>
      </c>
      <c r="C333" s="575" t="s">
        <v>187</v>
      </c>
      <c r="D333" s="575" t="s">
        <v>2531</v>
      </c>
      <c r="E333" s="576">
        <v>111000051</v>
      </c>
      <c r="F333" s="575" t="s">
        <v>137</v>
      </c>
      <c r="G333" s="575" t="s">
        <v>2532</v>
      </c>
      <c r="H333" s="576" t="s">
        <v>41</v>
      </c>
      <c r="I333" s="576" t="s">
        <v>62</v>
      </c>
      <c r="J333" s="576" t="s">
        <v>63</v>
      </c>
      <c r="K333" s="593">
        <v>45800</v>
      </c>
      <c r="L333" s="594" t="s">
        <v>2533</v>
      </c>
      <c r="M333" s="594" t="s">
        <v>2534</v>
      </c>
      <c r="N333" s="575">
        <v>995961394</v>
      </c>
      <c r="O333" s="596">
        <v>15</v>
      </c>
      <c r="P333" s="576" t="s">
        <v>442</v>
      </c>
      <c r="Q333" s="576" t="s">
        <v>62</v>
      </c>
      <c r="R333" s="597"/>
      <c r="S333" s="575" t="str">
        <f t="shared" si="13"/>
        <v>040-107-000001532</v>
      </c>
      <c r="T333" s="598">
        <v>102311651</v>
      </c>
      <c r="U333" s="621" t="s">
        <v>2535</v>
      </c>
    </row>
    <row r="334" spans="1:21" ht="24" customHeight="1" x14ac:dyDescent="0.2">
      <c r="A334" s="624">
        <v>329</v>
      </c>
      <c r="B334" s="574">
        <v>45627</v>
      </c>
      <c r="C334" s="575" t="s">
        <v>187</v>
      </c>
      <c r="D334" s="575" t="s">
        <v>2531</v>
      </c>
      <c r="E334" s="576">
        <v>112030019</v>
      </c>
      <c r="F334" s="575" t="s">
        <v>323</v>
      </c>
      <c r="G334" s="575" t="s">
        <v>2536</v>
      </c>
      <c r="H334" s="576" t="s">
        <v>41</v>
      </c>
      <c r="I334" s="576" t="s">
        <v>62</v>
      </c>
      <c r="J334" s="576" t="s">
        <v>63</v>
      </c>
      <c r="K334" s="593">
        <v>45800</v>
      </c>
      <c r="L334" s="594" t="s">
        <v>2533</v>
      </c>
      <c r="M334" s="594" t="s">
        <v>2534</v>
      </c>
      <c r="N334" s="575">
        <v>995961394</v>
      </c>
      <c r="O334" s="596">
        <v>15</v>
      </c>
      <c r="P334" s="576" t="s">
        <v>442</v>
      </c>
      <c r="Q334" s="576" t="s">
        <v>62</v>
      </c>
      <c r="R334" s="597"/>
      <c r="S334" s="575" t="str">
        <f t="shared" si="13"/>
        <v>040-107-000001532</v>
      </c>
      <c r="T334" s="598">
        <v>102311651</v>
      </c>
      <c r="U334" s="621" t="s">
        <v>2535</v>
      </c>
    </row>
    <row r="335" spans="1:21" ht="24" customHeight="1" x14ac:dyDescent="0.2">
      <c r="A335" s="624">
        <v>330</v>
      </c>
      <c r="B335" s="574">
        <v>45627</v>
      </c>
      <c r="C335" s="575" t="s">
        <v>187</v>
      </c>
      <c r="D335" s="575" t="s">
        <v>2531</v>
      </c>
      <c r="E335" s="576">
        <v>41398037</v>
      </c>
      <c r="F335" s="575" t="s">
        <v>1411</v>
      </c>
      <c r="G335" s="575" t="s">
        <v>2537</v>
      </c>
      <c r="H335" s="576" t="s">
        <v>41</v>
      </c>
      <c r="I335" s="576" t="s">
        <v>62</v>
      </c>
      <c r="J335" s="576" t="s">
        <v>63</v>
      </c>
      <c r="K335" s="593">
        <v>45800</v>
      </c>
      <c r="L335" s="594" t="s">
        <v>2533</v>
      </c>
      <c r="M335" s="594" t="s">
        <v>2534</v>
      </c>
      <c r="N335" s="575">
        <v>995961394</v>
      </c>
      <c r="O335" s="596">
        <v>15</v>
      </c>
      <c r="P335" s="576" t="s">
        <v>442</v>
      </c>
      <c r="Q335" s="576" t="s">
        <v>62</v>
      </c>
      <c r="R335" s="597"/>
      <c r="S335" s="575" t="str">
        <f t="shared" si="13"/>
        <v>040-107-000001532</v>
      </c>
      <c r="T335" s="598">
        <v>102311651</v>
      </c>
      <c r="U335" s="621" t="s">
        <v>2535</v>
      </c>
    </row>
    <row r="336" spans="1:21" ht="24" customHeight="1" x14ac:dyDescent="0.2">
      <c r="A336" s="624">
        <v>331</v>
      </c>
      <c r="B336" s="574">
        <v>45752</v>
      </c>
      <c r="C336" s="575" t="s">
        <v>100</v>
      </c>
      <c r="D336" s="575" t="s">
        <v>2538</v>
      </c>
      <c r="E336" s="576">
        <v>40461507</v>
      </c>
      <c r="F336" s="575" t="s">
        <v>364</v>
      </c>
      <c r="G336" s="575" t="s">
        <v>2539</v>
      </c>
      <c r="H336" s="576" t="s">
        <v>41</v>
      </c>
      <c r="I336" s="576" t="s">
        <v>62</v>
      </c>
      <c r="J336" s="576" t="s">
        <v>63</v>
      </c>
      <c r="K336" s="593">
        <v>45802</v>
      </c>
      <c r="L336" s="594" t="s">
        <v>2540</v>
      </c>
      <c r="M336" s="594" t="s">
        <v>2541</v>
      </c>
      <c r="N336" s="575">
        <v>997024036</v>
      </c>
      <c r="O336" s="596">
        <v>15</v>
      </c>
      <c r="P336" s="576" t="s">
        <v>442</v>
      </c>
      <c r="Q336" s="576" t="s">
        <v>62</v>
      </c>
      <c r="R336" s="597"/>
      <c r="S336" s="575" t="str">
        <f t="shared" si="13"/>
        <v>001-500-00007219</v>
      </c>
      <c r="T336" s="598">
        <v>301173050</v>
      </c>
      <c r="U336" s="621" t="s">
        <v>2542</v>
      </c>
    </row>
    <row r="337" spans="1:21" ht="24" customHeight="1" x14ac:dyDescent="0.2">
      <c r="A337" s="624">
        <v>332</v>
      </c>
      <c r="B337" s="574">
        <v>45752</v>
      </c>
      <c r="C337" s="575" t="s">
        <v>100</v>
      </c>
      <c r="D337" s="575" t="s">
        <v>2538</v>
      </c>
      <c r="E337" s="576">
        <v>112580014</v>
      </c>
      <c r="F337" s="575" t="s">
        <v>228</v>
      </c>
      <c r="G337" s="575" t="s">
        <v>2543</v>
      </c>
      <c r="H337" s="576" t="s">
        <v>41</v>
      </c>
      <c r="I337" s="576" t="s">
        <v>62</v>
      </c>
      <c r="J337" s="576" t="s">
        <v>63</v>
      </c>
      <c r="K337" s="593">
        <v>45802</v>
      </c>
      <c r="L337" s="594" t="s">
        <v>2540</v>
      </c>
      <c r="M337" s="594" t="s">
        <v>2541</v>
      </c>
      <c r="N337" s="575">
        <v>997024036</v>
      </c>
      <c r="O337" s="596">
        <v>15</v>
      </c>
      <c r="P337" s="576" t="s">
        <v>442</v>
      </c>
      <c r="Q337" s="576" t="s">
        <v>62</v>
      </c>
      <c r="R337" s="597"/>
      <c r="S337" s="575" t="str">
        <f t="shared" si="13"/>
        <v>001-500-00007219</v>
      </c>
      <c r="T337" s="598">
        <v>301173050</v>
      </c>
      <c r="U337" s="621" t="s">
        <v>2542</v>
      </c>
    </row>
    <row r="338" spans="1:21" ht="24" customHeight="1" x14ac:dyDescent="0.2">
      <c r="A338" s="624">
        <v>333</v>
      </c>
      <c r="B338" s="574">
        <v>45752</v>
      </c>
      <c r="C338" s="575" t="s">
        <v>100</v>
      </c>
      <c r="D338" s="575" t="s">
        <v>2538</v>
      </c>
      <c r="E338" s="576">
        <v>111020071</v>
      </c>
      <c r="F338" s="575" t="s">
        <v>589</v>
      </c>
      <c r="G338" s="575" t="s">
        <v>2544</v>
      </c>
      <c r="H338" s="576" t="s">
        <v>41</v>
      </c>
      <c r="I338" s="576" t="s">
        <v>62</v>
      </c>
      <c r="J338" s="576" t="s">
        <v>63</v>
      </c>
      <c r="K338" s="593">
        <v>45802</v>
      </c>
      <c r="L338" s="594" t="s">
        <v>2540</v>
      </c>
      <c r="M338" s="594" t="s">
        <v>2541</v>
      </c>
      <c r="N338" s="575">
        <v>997024036</v>
      </c>
      <c r="O338" s="596">
        <v>15</v>
      </c>
      <c r="P338" s="576" t="s">
        <v>442</v>
      </c>
      <c r="Q338" s="576" t="s">
        <v>62</v>
      </c>
      <c r="R338" s="597"/>
      <c r="S338" s="575" t="str">
        <f t="shared" si="13"/>
        <v>001-500-00007219</v>
      </c>
      <c r="T338" s="598">
        <v>301173050</v>
      </c>
      <c r="U338" s="621" t="s">
        <v>2542</v>
      </c>
    </row>
    <row r="339" spans="1:21" ht="24" customHeight="1" x14ac:dyDescent="0.2">
      <c r="A339" s="624">
        <v>334</v>
      </c>
      <c r="B339" s="574">
        <v>45799</v>
      </c>
      <c r="C339" s="575" t="s">
        <v>125</v>
      </c>
      <c r="D339" s="575" t="s">
        <v>2545</v>
      </c>
      <c r="E339" s="576">
        <v>11250058</v>
      </c>
      <c r="F339" s="575" t="s">
        <v>2546</v>
      </c>
      <c r="G339" s="575" t="s">
        <v>2547</v>
      </c>
      <c r="H339" s="576" t="s">
        <v>41</v>
      </c>
      <c r="I339" s="576" t="s">
        <v>62</v>
      </c>
      <c r="J339" s="576" t="s">
        <v>63</v>
      </c>
      <c r="K339" s="593">
        <v>45805</v>
      </c>
      <c r="L339" s="594" t="s">
        <v>2548</v>
      </c>
      <c r="M339" s="594" t="s">
        <v>358</v>
      </c>
      <c r="N339" s="575">
        <v>986379450</v>
      </c>
      <c r="O339" s="596">
        <v>15</v>
      </c>
      <c r="P339" s="576" t="s">
        <v>442</v>
      </c>
      <c r="Q339" s="576" t="s">
        <v>62</v>
      </c>
      <c r="R339" s="597"/>
      <c r="S339" s="575" t="str">
        <f t="shared" si="13"/>
        <v>043-902-000050777</v>
      </c>
      <c r="T339" s="598">
        <v>103217584</v>
      </c>
      <c r="U339" s="621" t="s">
        <v>2549</v>
      </c>
    </row>
    <row r="340" spans="1:21" ht="24" customHeight="1" x14ac:dyDescent="0.2">
      <c r="A340" s="624">
        <v>335</v>
      </c>
      <c r="B340" s="574">
        <v>45799</v>
      </c>
      <c r="C340" s="575" t="s">
        <v>125</v>
      </c>
      <c r="D340" s="575" t="s">
        <v>2545</v>
      </c>
      <c r="E340" s="576">
        <v>113430018</v>
      </c>
      <c r="F340" s="575" t="s">
        <v>1710</v>
      </c>
      <c r="G340" s="575" t="s">
        <v>2550</v>
      </c>
      <c r="H340" s="576" t="s">
        <v>41</v>
      </c>
      <c r="I340" s="576" t="s">
        <v>62</v>
      </c>
      <c r="J340" s="576" t="s">
        <v>63</v>
      </c>
      <c r="K340" s="593">
        <v>45805</v>
      </c>
      <c r="L340" s="594" t="s">
        <v>2548</v>
      </c>
      <c r="M340" s="594" t="s">
        <v>358</v>
      </c>
      <c r="N340" s="575">
        <v>986379450</v>
      </c>
      <c r="O340" s="596">
        <v>15</v>
      </c>
      <c r="P340" s="576" t="s">
        <v>442</v>
      </c>
      <c r="Q340" s="576" t="s">
        <v>62</v>
      </c>
      <c r="R340" s="597"/>
      <c r="S340" s="575" t="str">
        <f t="shared" si="13"/>
        <v>043-902-000050777</v>
      </c>
      <c r="T340" s="598">
        <v>103217584</v>
      </c>
      <c r="U340" s="621" t="s">
        <v>2549</v>
      </c>
    </row>
    <row r="341" spans="1:21" ht="24" customHeight="1" x14ac:dyDescent="0.2">
      <c r="A341" s="624">
        <v>336</v>
      </c>
      <c r="B341" s="574">
        <v>45733</v>
      </c>
      <c r="C341" s="575" t="s">
        <v>100</v>
      </c>
      <c r="D341" s="575" t="s">
        <v>2551</v>
      </c>
      <c r="E341" s="576">
        <v>112580017</v>
      </c>
      <c r="F341" s="575" t="s">
        <v>228</v>
      </c>
      <c r="G341" s="575" t="s">
        <v>2552</v>
      </c>
      <c r="H341" s="576" t="s">
        <v>41</v>
      </c>
      <c r="I341" s="576" t="s">
        <v>62</v>
      </c>
      <c r="J341" s="576" t="s">
        <v>63</v>
      </c>
      <c r="K341" s="593">
        <v>45804</v>
      </c>
      <c r="L341" s="594" t="s">
        <v>2553</v>
      </c>
      <c r="M341" s="594" t="s">
        <v>2554</v>
      </c>
      <c r="N341" s="575">
        <v>984887275</v>
      </c>
      <c r="O341" s="596">
        <v>15</v>
      </c>
      <c r="P341" s="576" t="s">
        <v>442</v>
      </c>
      <c r="Q341" s="576" t="s">
        <v>62</v>
      </c>
      <c r="R341" s="597"/>
      <c r="S341" s="575" t="str">
        <f t="shared" si="13"/>
        <v>001-500-000071688</v>
      </c>
      <c r="T341" s="598">
        <v>300386141</v>
      </c>
      <c r="U341" s="621" t="s">
        <v>2555</v>
      </c>
    </row>
    <row r="342" spans="1:21" ht="24" customHeight="1" x14ac:dyDescent="0.2">
      <c r="A342" s="624">
        <v>337</v>
      </c>
      <c r="B342" s="574">
        <v>45733</v>
      </c>
      <c r="C342" s="575" t="s">
        <v>100</v>
      </c>
      <c r="D342" s="575" t="s">
        <v>2551</v>
      </c>
      <c r="E342" s="576">
        <v>111020071</v>
      </c>
      <c r="F342" s="575" t="s">
        <v>589</v>
      </c>
      <c r="G342" s="575" t="s">
        <v>2556</v>
      </c>
      <c r="H342" s="576" t="s">
        <v>41</v>
      </c>
      <c r="I342" s="576" t="s">
        <v>62</v>
      </c>
      <c r="J342" s="576" t="s">
        <v>63</v>
      </c>
      <c r="K342" s="593">
        <v>45804</v>
      </c>
      <c r="L342" s="594" t="s">
        <v>2553</v>
      </c>
      <c r="M342" s="594" t="s">
        <v>2554</v>
      </c>
      <c r="N342" s="575">
        <v>984887275</v>
      </c>
      <c r="O342" s="596">
        <v>15</v>
      </c>
      <c r="P342" s="576" t="s">
        <v>442</v>
      </c>
      <c r="Q342" s="576" t="s">
        <v>62</v>
      </c>
      <c r="R342" s="597"/>
      <c r="S342" s="575" t="str">
        <f t="shared" si="13"/>
        <v>001-500-000071688</v>
      </c>
      <c r="T342" s="598">
        <v>300386141</v>
      </c>
      <c r="U342" s="621" t="s">
        <v>2555</v>
      </c>
    </row>
    <row r="343" spans="1:21" ht="24" customHeight="1" x14ac:dyDescent="0.2">
      <c r="A343" s="624">
        <v>338</v>
      </c>
      <c r="B343" s="574">
        <v>45733</v>
      </c>
      <c r="C343" s="575" t="s">
        <v>100</v>
      </c>
      <c r="D343" s="575" t="s">
        <v>2551</v>
      </c>
      <c r="E343" s="576">
        <v>40467305</v>
      </c>
      <c r="F343" s="575" t="s">
        <v>922</v>
      </c>
      <c r="G343" s="575" t="s">
        <v>2557</v>
      </c>
      <c r="H343" s="576" t="s">
        <v>41</v>
      </c>
      <c r="I343" s="576" t="s">
        <v>62</v>
      </c>
      <c r="J343" s="576" t="s">
        <v>63</v>
      </c>
      <c r="K343" s="593">
        <v>45804</v>
      </c>
      <c r="L343" s="594" t="s">
        <v>2553</v>
      </c>
      <c r="M343" s="594" t="s">
        <v>2554</v>
      </c>
      <c r="N343" s="575">
        <v>984887275</v>
      </c>
      <c r="O343" s="596">
        <v>15</v>
      </c>
      <c r="P343" s="576" t="s">
        <v>442</v>
      </c>
      <c r="Q343" s="576" t="s">
        <v>62</v>
      </c>
      <c r="R343" s="597"/>
      <c r="S343" s="575" t="str">
        <f t="shared" si="13"/>
        <v>001-500-000071688</v>
      </c>
      <c r="T343" s="598">
        <v>300386141</v>
      </c>
      <c r="U343" s="621" t="s">
        <v>2555</v>
      </c>
    </row>
    <row r="344" spans="1:21" ht="24" customHeight="1" x14ac:dyDescent="0.2">
      <c r="A344" s="624">
        <v>339</v>
      </c>
      <c r="B344" s="574">
        <v>45627</v>
      </c>
      <c r="C344" s="575" t="s">
        <v>187</v>
      </c>
      <c r="D344" s="575" t="s">
        <v>2531</v>
      </c>
      <c r="E344" s="576">
        <v>112500047</v>
      </c>
      <c r="F344" s="575" t="s">
        <v>284</v>
      </c>
      <c r="G344" s="575" t="s">
        <v>2558</v>
      </c>
      <c r="H344" s="576" t="s">
        <v>41</v>
      </c>
      <c r="I344" s="576" t="s">
        <v>62</v>
      </c>
      <c r="J344" s="576" t="s">
        <v>63</v>
      </c>
      <c r="K344" s="593">
        <v>45804</v>
      </c>
      <c r="L344" s="594" t="s">
        <v>2559</v>
      </c>
      <c r="M344" s="594" t="s">
        <v>2560</v>
      </c>
      <c r="N344" s="575">
        <v>995961394</v>
      </c>
      <c r="O344" s="596">
        <v>20</v>
      </c>
      <c r="P344" s="576" t="s">
        <v>442</v>
      </c>
      <c r="Q344" s="576" t="s">
        <v>62</v>
      </c>
      <c r="R344" s="597"/>
      <c r="S344" s="575" t="str">
        <f t="shared" si="13"/>
        <v>040-107-000001532</v>
      </c>
      <c r="T344" s="598">
        <v>102311651</v>
      </c>
      <c r="U344" s="621" t="s">
        <v>2561</v>
      </c>
    </row>
    <row r="345" spans="1:21" ht="24" customHeight="1" x14ac:dyDescent="0.2">
      <c r="A345" s="624">
        <v>340</v>
      </c>
      <c r="B345" s="574">
        <v>45627</v>
      </c>
      <c r="C345" s="575" t="s">
        <v>187</v>
      </c>
      <c r="D345" s="575" t="s">
        <v>2531</v>
      </c>
      <c r="E345" s="576">
        <v>40446712</v>
      </c>
      <c r="F345" s="575" t="s">
        <v>2115</v>
      </c>
      <c r="G345" s="575" t="s">
        <v>2562</v>
      </c>
      <c r="H345" s="576" t="s">
        <v>41</v>
      </c>
      <c r="I345" s="576" t="s">
        <v>62</v>
      </c>
      <c r="J345" s="576" t="s">
        <v>63</v>
      </c>
      <c r="K345" s="593">
        <v>45804</v>
      </c>
      <c r="L345" s="594" t="s">
        <v>2559</v>
      </c>
      <c r="M345" s="594" t="s">
        <v>2560</v>
      </c>
      <c r="N345" s="575">
        <v>995961394</v>
      </c>
      <c r="O345" s="596">
        <v>20</v>
      </c>
      <c r="P345" s="576" t="s">
        <v>442</v>
      </c>
      <c r="Q345" s="576" t="s">
        <v>62</v>
      </c>
      <c r="R345" s="597"/>
      <c r="S345" s="575" t="str">
        <f t="shared" si="13"/>
        <v>040-107-000001532</v>
      </c>
      <c r="T345" s="598">
        <v>102311651</v>
      </c>
      <c r="U345" s="621" t="s">
        <v>2561</v>
      </c>
    </row>
    <row r="346" spans="1:21" ht="24" customHeight="1" x14ac:dyDescent="0.2">
      <c r="A346" s="624">
        <v>341</v>
      </c>
      <c r="B346" s="574">
        <v>45626</v>
      </c>
      <c r="C346" s="575" t="s">
        <v>190</v>
      </c>
      <c r="D346" s="575" t="s">
        <v>2563</v>
      </c>
      <c r="E346" s="576">
        <v>112030010</v>
      </c>
      <c r="F346" s="575" t="s">
        <v>2564</v>
      </c>
      <c r="G346" s="575" t="s">
        <v>2565</v>
      </c>
      <c r="H346" s="576" t="s">
        <v>41</v>
      </c>
      <c r="I346" s="576" t="s">
        <v>62</v>
      </c>
      <c r="J346" s="576" t="s">
        <v>63</v>
      </c>
      <c r="K346" s="593">
        <v>45805</v>
      </c>
      <c r="L346" s="594" t="s">
        <v>2566</v>
      </c>
      <c r="M346" s="594" t="s">
        <v>1414</v>
      </c>
      <c r="N346" s="575">
        <v>999884620</v>
      </c>
      <c r="O346" s="596">
        <v>15</v>
      </c>
      <c r="P346" s="576" t="s">
        <v>442</v>
      </c>
      <c r="Q346" s="576" t="s">
        <v>62</v>
      </c>
      <c r="R346" s="597"/>
      <c r="S346" s="575" t="str">
        <f t="shared" si="13"/>
        <v>006-000157115</v>
      </c>
      <c r="T346" s="598">
        <v>195142580</v>
      </c>
      <c r="U346" s="621" t="s">
        <v>2567</v>
      </c>
    </row>
    <row r="347" spans="1:21" ht="24" customHeight="1" x14ac:dyDescent="0.2">
      <c r="A347" s="624">
        <v>342</v>
      </c>
      <c r="B347" s="574">
        <v>45626</v>
      </c>
      <c r="C347" s="575" t="s">
        <v>190</v>
      </c>
      <c r="D347" s="575" t="s">
        <v>2563</v>
      </c>
      <c r="E347" s="576">
        <v>111000059</v>
      </c>
      <c r="F347" s="575" t="s">
        <v>2568</v>
      </c>
      <c r="G347" s="575" t="s">
        <v>2569</v>
      </c>
      <c r="H347" s="576" t="s">
        <v>41</v>
      </c>
      <c r="I347" s="576" t="s">
        <v>62</v>
      </c>
      <c r="J347" s="576" t="s">
        <v>63</v>
      </c>
      <c r="K347" s="593">
        <v>45805</v>
      </c>
      <c r="L347" s="594" t="s">
        <v>2566</v>
      </c>
      <c r="M347" s="594" t="s">
        <v>1414</v>
      </c>
      <c r="N347" s="575">
        <v>999884620</v>
      </c>
      <c r="O347" s="596">
        <v>15</v>
      </c>
      <c r="P347" s="576" t="s">
        <v>442</v>
      </c>
      <c r="Q347" s="576" t="s">
        <v>62</v>
      </c>
      <c r="R347" s="597"/>
      <c r="S347" s="575" t="str">
        <f t="shared" si="13"/>
        <v>006-000157115</v>
      </c>
      <c r="T347" s="598">
        <v>195142580</v>
      </c>
      <c r="U347" s="621" t="s">
        <v>2567</v>
      </c>
    </row>
    <row r="348" spans="1:21" ht="24" customHeight="1" x14ac:dyDescent="0.2">
      <c r="A348" s="624">
        <v>343</v>
      </c>
      <c r="B348" s="574">
        <v>45626</v>
      </c>
      <c r="C348" s="575" t="s">
        <v>190</v>
      </c>
      <c r="D348" s="575" t="s">
        <v>2563</v>
      </c>
      <c r="E348" s="576">
        <v>112570128</v>
      </c>
      <c r="F348" s="575" t="s">
        <v>1215</v>
      </c>
      <c r="G348" s="575" t="s">
        <v>2570</v>
      </c>
      <c r="H348" s="576" t="s">
        <v>41</v>
      </c>
      <c r="I348" s="576" t="s">
        <v>62</v>
      </c>
      <c r="J348" s="576" t="s">
        <v>63</v>
      </c>
      <c r="K348" s="593">
        <v>45805</v>
      </c>
      <c r="L348" s="594" t="s">
        <v>2566</v>
      </c>
      <c r="M348" s="594" t="s">
        <v>1414</v>
      </c>
      <c r="N348" s="575">
        <v>999884620</v>
      </c>
      <c r="O348" s="596">
        <v>15</v>
      </c>
      <c r="P348" s="576" t="s">
        <v>442</v>
      </c>
      <c r="Q348" s="576" t="s">
        <v>62</v>
      </c>
      <c r="R348" s="597"/>
      <c r="S348" s="575" t="str">
        <f t="shared" si="13"/>
        <v>006-000157115</v>
      </c>
      <c r="T348" s="598">
        <v>195142580</v>
      </c>
      <c r="U348" s="621" t="s">
        <v>2567</v>
      </c>
    </row>
    <row r="349" spans="1:21" ht="24" customHeight="1" x14ac:dyDescent="0.2">
      <c r="A349" s="624">
        <v>344</v>
      </c>
      <c r="B349" s="574">
        <v>45735</v>
      </c>
      <c r="C349" s="575" t="s">
        <v>100</v>
      </c>
      <c r="D349" s="575" t="s">
        <v>2571</v>
      </c>
      <c r="E349" s="576">
        <v>40485140</v>
      </c>
      <c r="F349" s="575" t="s">
        <v>1051</v>
      </c>
      <c r="G349" s="575" t="s">
        <v>2572</v>
      </c>
      <c r="H349" s="576" t="s">
        <v>41</v>
      </c>
      <c r="I349" s="576" t="s">
        <v>62</v>
      </c>
      <c r="J349" s="576" t="s">
        <v>63</v>
      </c>
      <c r="K349" s="593">
        <v>45806</v>
      </c>
      <c r="L349" s="594" t="s">
        <v>2573</v>
      </c>
      <c r="M349" s="594" t="s">
        <v>2504</v>
      </c>
      <c r="N349" s="575">
        <v>995105702</v>
      </c>
      <c r="O349" s="596">
        <v>30</v>
      </c>
      <c r="P349" s="576" t="s">
        <v>442</v>
      </c>
      <c r="Q349" s="576" t="s">
        <v>62</v>
      </c>
      <c r="R349" s="597"/>
      <c r="S349" s="575" t="str">
        <f t="shared" si="13"/>
        <v>001-500-000000180</v>
      </c>
      <c r="T349" s="598">
        <v>302093398</v>
      </c>
      <c r="U349" s="621" t="s">
        <v>2574</v>
      </c>
    </row>
    <row r="350" spans="1:21" ht="24" customHeight="1" x14ac:dyDescent="0.2">
      <c r="A350" s="624">
        <v>345</v>
      </c>
      <c r="B350" s="574">
        <v>45735</v>
      </c>
      <c r="C350" s="575" t="s">
        <v>100</v>
      </c>
      <c r="D350" s="575" t="s">
        <v>2575</v>
      </c>
      <c r="E350" s="576">
        <v>112580027</v>
      </c>
      <c r="F350" s="575" t="s">
        <v>2576</v>
      </c>
      <c r="G350" s="575" t="s">
        <v>2577</v>
      </c>
      <c r="H350" s="576" t="s">
        <v>41</v>
      </c>
      <c r="I350" s="576" t="s">
        <v>62</v>
      </c>
      <c r="J350" s="576" t="s">
        <v>63</v>
      </c>
      <c r="K350" s="593">
        <v>45806</v>
      </c>
      <c r="L350" s="594" t="s">
        <v>2573</v>
      </c>
      <c r="M350" s="594" t="s">
        <v>2504</v>
      </c>
      <c r="N350" s="575">
        <v>995105702</v>
      </c>
      <c r="O350" s="596">
        <v>15</v>
      </c>
      <c r="P350" s="576" t="s">
        <v>442</v>
      </c>
      <c r="Q350" s="576" t="s">
        <v>62</v>
      </c>
      <c r="R350" s="597"/>
      <c r="S350" s="575" t="str">
        <f t="shared" si="13"/>
        <v>001-500-000070886</v>
      </c>
      <c r="T350" s="598">
        <v>302093398</v>
      </c>
      <c r="U350" s="621" t="s">
        <v>2574</v>
      </c>
    </row>
    <row r="351" spans="1:21" ht="24" customHeight="1" x14ac:dyDescent="0.2">
      <c r="A351" s="624">
        <v>346</v>
      </c>
      <c r="B351" s="574">
        <v>45735</v>
      </c>
      <c r="C351" s="575" t="s">
        <v>100</v>
      </c>
      <c r="D351" s="575" t="s">
        <v>2575</v>
      </c>
      <c r="E351" s="576">
        <v>40584202</v>
      </c>
      <c r="F351" s="575" t="s">
        <v>1425</v>
      </c>
      <c r="G351" s="575" t="s">
        <v>2578</v>
      </c>
      <c r="H351" s="576" t="s">
        <v>41</v>
      </c>
      <c r="I351" s="576" t="s">
        <v>62</v>
      </c>
      <c r="J351" s="576" t="s">
        <v>63</v>
      </c>
      <c r="K351" s="593">
        <v>45806</v>
      </c>
      <c r="L351" s="594" t="s">
        <v>2573</v>
      </c>
      <c r="M351" s="594" t="s">
        <v>2504</v>
      </c>
      <c r="N351" s="575">
        <v>995105702</v>
      </c>
      <c r="O351" s="596">
        <v>15</v>
      </c>
      <c r="P351" s="576" t="s">
        <v>442</v>
      </c>
      <c r="Q351" s="576" t="s">
        <v>62</v>
      </c>
      <c r="R351" s="597"/>
      <c r="S351" s="575" t="str">
        <f t="shared" si="13"/>
        <v>001-500-000070886</v>
      </c>
      <c r="T351" s="598">
        <v>302093398</v>
      </c>
      <c r="U351" s="621" t="s">
        <v>2574</v>
      </c>
    </row>
    <row r="352" spans="1:21" ht="24" customHeight="1" x14ac:dyDescent="0.2">
      <c r="A352" s="624">
        <v>347</v>
      </c>
      <c r="B352" s="574">
        <v>45759</v>
      </c>
      <c r="C352" s="575" t="s">
        <v>100</v>
      </c>
      <c r="D352" s="575" t="s">
        <v>2579</v>
      </c>
      <c r="E352" s="576">
        <v>112580058</v>
      </c>
      <c r="F352" s="575" t="s">
        <v>334</v>
      </c>
      <c r="G352" s="575" t="s">
        <v>2580</v>
      </c>
      <c r="H352" s="576" t="s">
        <v>41</v>
      </c>
      <c r="I352" s="576" t="s">
        <v>62</v>
      </c>
      <c r="J352" s="576" t="s">
        <v>63</v>
      </c>
      <c r="K352" s="593">
        <v>45807</v>
      </c>
      <c r="L352" s="594" t="s">
        <v>2581</v>
      </c>
      <c r="M352" s="594" t="s">
        <v>2582</v>
      </c>
      <c r="N352" s="575">
        <v>983324951</v>
      </c>
      <c r="O352" s="596">
        <v>20</v>
      </c>
      <c r="P352" s="576" t="s">
        <v>442</v>
      </c>
      <c r="Q352" s="576" t="s">
        <v>62</v>
      </c>
      <c r="R352" s="597"/>
      <c r="S352" s="575" t="str">
        <f t="shared" si="13"/>
        <v>001-500-000072348</v>
      </c>
      <c r="T352" s="598">
        <v>300651528</v>
      </c>
      <c r="U352" s="621" t="s">
        <v>2583</v>
      </c>
    </row>
    <row r="353" spans="1:21" ht="24" customHeight="1" x14ac:dyDescent="0.2">
      <c r="A353" s="624">
        <v>348</v>
      </c>
      <c r="B353" s="574">
        <v>45759</v>
      </c>
      <c r="C353" s="575" t="s">
        <v>100</v>
      </c>
      <c r="D353" s="575" t="s">
        <v>2579</v>
      </c>
      <c r="E353" s="576">
        <v>111000078</v>
      </c>
      <c r="F353" s="575" t="s">
        <v>511</v>
      </c>
      <c r="G353" s="575" t="s">
        <v>2584</v>
      </c>
      <c r="H353" s="576" t="s">
        <v>41</v>
      </c>
      <c r="I353" s="576" t="s">
        <v>62</v>
      </c>
      <c r="J353" s="576" t="s">
        <v>63</v>
      </c>
      <c r="K353" s="593">
        <v>45807</v>
      </c>
      <c r="L353" s="594" t="s">
        <v>2581</v>
      </c>
      <c r="M353" s="594" t="s">
        <v>2582</v>
      </c>
      <c r="N353" s="575">
        <v>983324951</v>
      </c>
      <c r="O353" s="596">
        <v>20</v>
      </c>
      <c r="P353" s="576" t="s">
        <v>442</v>
      </c>
      <c r="Q353" s="576" t="s">
        <v>62</v>
      </c>
      <c r="R353" s="597"/>
      <c r="S353" s="575" t="str">
        <f t="shared" si="13"/>
        <v>001-500-000072348</v>
      </c>
      <c r="T353" s="598">
        <v>300651528</v>
      </c>
      <c r="U353" s="621" t="s">
        <v>2583</v>
      </c>
    </row>
    <row r="354" spans="1:21" ht="24" customHeight="1" x14ac:dyDescent="0.2">
      <c r="A354" s="624">
        <v>349</v>
      </c>
      <c r="B354" s="574">
        <v>45783</v>
      </c>
      <c r="C354" s="575" t="s">
        <v>125</v>
      </c>
      <c r="D354" s="575" t="s">
        <v>2585</v>
      </c>
      <c r="E354" s="576">
        <v>112580017</v>
      </c>
      <c r="F354" s="575" t="s">
        <v>228</v>
      </c>
      <c r="G354" s="575" t="s">
        <v>2586</v>
      </c>
      <c r="H354" s="576" t="s">
        <v>41</v>
      </c>
      <c r="I354" s="576" t="s">
        <v>62</v>
      </c>
      <c r="J354" s="576" t="s">
        <v>63</v>
      </c>
      <c r="K354" s="593">
        <v>45808</v>
      </c>
      <c r="L354" s="594" t="s">
        <v>2587</v>
      </c>
      <c r="M354" s="594" t="s">
        <v>148</v>
      </c>
      <c r="N354" s="575">
        <v>962622034</v>
      </c>
      <c r="O354" s="596">
        <v>20</v>
      </c>
      <c r="P354" s="576" t="s">
        <v>442</v>
      </c>
      <c r="Q354" s="576" t="s">
        <v>62</v>
      </c>
      <c r="R354" s="597"/>
      <c r="S354" s="575" t="str">
        <f t="shared" si="13"/>
        <v>016-907-000251275</v>
      </c>
      <c r="T354" s="598">
        <v>102124419</v>
      </c>
      <c r="U354" s="621" t="s">
        <v>2588</v>
      </c>
    </row>
    <row r="355" spans="1:21" ht="24" customHeight="1" x14ac:dyDescent="0.2">
      <c r="A355" s="624">
        <v>350</v>
      </c>
      <c r="B355" s="574">
        <v>45783</v>
      </c>
      <c r="C355" s="575" t="s">
        <v>125</v>
      </c>
      <c r="D355" s="575" t="s">
        <v>2585</v>
      </c>
      <c r="E355" s="576">
        <v>40467305</v>
      </c>
      <c r="F355" s="575" t="s">
        <v>922</v>
      </c>
      <c r="G355" s="575" t="s">
        <v>2589</v>
      </c>
      <c r="H355" s="576" t="s">
        <v>41</v>
      </c>
      <c r="I355" s="576" t="s">
        <v>62</v>
      </c>
      <c r="J355" s="576" t="s">
        <v>63</v>
      </c>
      <c r="K355" s="593">
        <v>45808</v>
      </c>
      <c r="L355" s="594" t="s">
        <v>2587</v>
      </c>
      <c r="M355" s="594" t="s">
        <v>148</v>
      </c>
      <c r="N355" s="575">
        <v>962622034</v>
      </c>
      <c r="O355" s="596">
        <v>20</v>
      </c>
      <c r="P355" s="576" t="s">
        <v>442</v>
      </c>
      <c r="Q355" s="576" t="s">
        <v>62</v>
      </c>
      <c r="R355" s="597"/>
      <c r="S355" s="575" t="str">
        <f t="shared" si="13"/>
        <v>016-907-000251275</v>
      </c>
      <c r="T355" s="598">
        <v>102124419</v>
      </c>
      <c r="U355" s="621" t="s">
        <v>2588</v>
      </c>
    </row>
    <row r="356" spans="1:21" ht="24" customHeight="1" x14ac:dyDescent="0.2">
      <c r="A356" s="624">
        <v>351</v>
      </c>
      <c r="B356" s="574">
        <v>45796</v>
      </c>
      <c r="C356" s="575" t="s">
        <v>125</v>
      </c>
      <c r="D356" s="575" t="s">
        <v>2590</v>
      </c>
      <c r="E356" s="576">
        <v>113430073</v>
      </c>
      <c r="F356" s="575" t="s">
        <v>2481</v>
      </c>
      <c r="G356" s="575" t="s">
        <v>2591</v>
      </c>
      <c r="H356" s="576" t="s">
        <v>41</v>
      </c>
      <c r="I356" s="576" t="s">
        <v>62</v>
      </c>
      <c r="J356" s="576" t="s">
        <v>63</v>
      </c>
      <c r="K356" s="593">
        <v>45810</v>
      </c>
      <c r="L356" s="594" t="s">
        <v>2592</v>
      </c>
      <c r="M356" s="594" t="s">
        <v>2593</v>
      </c>
      <c r="N356" s="575">
        <v>967479757</v>
      </c>
      <c r="O356" s="596">
        <v>15</v>
      </c>
      <c r="P356" s="576" t="s">
        <v>442</v>
      </c>
      <c r="Q356" s="576" t="s">
        <v>62</v>
      </c>
      <c r="R356" s="597"/>
      <c r="S356" s="575" t="str">
        <f t="shared" si="13"/>
        <v>043-907-000024491</v>
      </c>
      <c r="T356" s="598">
        <v>104892013</v>
      </c>
      <c r="U356" s="621" t="s">
        <v>2594</v>
      </c>
    </row>
    <row r="357" spans="1:21" ht="24" customHeight="1" x14ac:dyDescent="0.2">
      <c r="A357" s="624">
        <v>352</v>
      </c>
      <c r="B357" s="574">
        <v>45796</v>
      </c>
      <c r="C357" s="575" t="s">
        <v>125</v>
      </c>
      <c r="D357" s="575" t="s">
        <v>2590</v>
      </c>
      <c r="E357" s="576">
        <v>112570126</v>
      </c>
      <c r="F357" s="575" t="s">
        <v>1422</v>
      </c>
      <c r="G357" s="575" t="s">
        <v>2595</v>
      </c>
      <c r="H357" s="576" t="s">
        <v>41</v>
      </c>
      <c r="I357" s="576" t="s">
        <v>62</v>
      </c>
      <c r="J357" s="576" t="s">
        <v>63</v>
      </c>
      <c r="K357" s="593">
        <v>45810</v>
      </c>
      <c r="L357" s="594" t="s">
        <v>2592</v>
      </c>
      <c r="M357" s="594" t="s">
        <v>2593</v>
      </c>
      <c r="N357" s="575">
        <v>967479757</v>
      </c>
      <c r="O357" s="596">
        <v>15</v>
      </c>
      <c r="P357" s="576" t="s">
        <v>442</v>
      </c>
      <c r="Q357" s="576" t="s">
        <v>62</v>
      </c>
      <c r="R357" s="597"/>
      <c r="S357" s="575" t="str">
        <f t="shared" si="13"/>
        <v>043-907-000024491</v>
      </c>
      <c r="T357" s="598">
        <v>104892013</v>
      </c>
      <c r="U357" s="621" t="s">
        <v>2594</v>
      </c>
    </row>
    <row r="358" spans="1:21" ht="24" customHeight="1" x14ac:dyDescent="0.2">
      <c r="A358" s="624">
        <v>353</v>
      </c>
      <c r="B358" s="574">
        <v>45796</v>
      </c>
      <c r="C358" s="575" t="s">
        <v>125</v>
      </c>
      <c r="D358" s="575" t="s">
        <v>2590</v>
      </c>
      <c r="E358" s="576">
        <v>111000051</v>
      </c>
      <c r="F358" s="575" t="s">
        <v>137</v>
      </c>
      <c r="G358" s="575" t="s">
        <v>2596</v>
      </c>
      <c r="H358" s="576" t="s">
        <v>41</v>
      </c>
      <c r="I358" s="576" t="s">
        <v>62</v>
      </c>
      <c r="J358" s="576" t="s">
        <v>63</v>
      </c>
      <c r="K358" s="593">
        <v>45810</v>
      </c>
      <c r="L358" s="594" t="s">
        <v>2592</v>
      </c>
      <c r="M358" s="594" t="s">
        <v>2593</v>
      </c>
      <c r="N358" s="575">
        <v>967479757</v>
      </c>
      <c r="O358" s="596">
        <v>15</v>
      </c>
      <c r="P358" s="576" t="s">
        <v>442</v>
      </c>
      <c r="Q358" s="576" t="s">
        <v>62</v>
      </c>
      <c r="R358" s="597"/>
      <c r="S358" s="575" t="str">
        <f t="shared" si="13"/>
        <v>043-907-000024491</v>
      </c>
      <c r="T358" s="598">
        <v>104892013</v>
      </c>
      <c r="U358" s="621" t="s">
        <v>2594</v>
      </c>
    </row>
    <row r="359" spans="1:21" ht="24" customHeight="1" x14ac:dyDescent="0.2">
      <c r="A359" s="624">
        <v>354</v>
      </c>
      <c r="B359" s="574">
        <v>45796</v>
      </c>
      <c r="C359" s="575" t="s">
        <v>125</v>
      </c>
      <c r="D359" s="575" t="s">
        <v>2590</v>
      </c>
      <c r="E359" s="576">
        <v>40584202</v>
      </c>
      <c r="F359" s="575" t="s">
        <v>398</v>
      </c>
      <c r="G359" s="575" t="s">
        <v>2597</v>
      </c>
      <c r="H359" s="576" t="s">
        <v>41</v>
      </c>
      <c r="I359" s="576" t="s">
        <v>62</v>
      </c>
      <c r="J359" s="576" t="s">
        <v>63</v>
      </c>
      <c r="K359" s="593">
        <v>45810</v>
      </c>
      <c r="L359" s="594" t="s">
        <v>2592</v>
      </c>
      <c r="M359" s="594" t="s">
        <v>2593</v>
      </c>
      <c r="N359" s="575">
        <v>967479757</v>
      </c>
      <c r="O359" s="596">
        <v>15</v>
      </c>
      <c r="P359" s="576" t="s">
        <v>442</v>
      </c>
      <c r="Q359" s="576" t="s">
        <v>62</v>
      </c>
      <c r="R359" s="597"/>
      <c r="S359" s="575" t="str">
        <f t="shared" si="13"/>
        <v>043-907-000024491</v>
      </c>
      <c r="T359" s="598">
        <v>104892013</v>
      </c>
      <c r="U359" s="621" t="s">
        <v>2594</v>
      </c>
    </row>
    <row r="360" spans="1:21" ht="24" customHeight="1" x14ac:dyDescent="0.2">
      <c r="A360" s="624">
        <v>355</v>
      </c>
      <c r="B360" s="574">
        <v>45695</v>
      </c>
      <c r="C360" s="575" t="s">
        <v>100</v>
      </c>
      <c r="D360" s="575" t="s">
        <v>2598</v>
      </c>
      <c r="E360" s="576">
        <v>40782127</v>
      </c>
      <c r="F360" s="575" t="s">
        <v>838</v>
      </c>
      <c r="G360" s="575" t="s">
        <v>2599</v>
      </c>
      <c r="H360" s="576" t="s">
        <v>41</v>
      </c>
      <c r="I360" s="576" t="s">
        <v>62</v>
      </c>
      <c r="J360" s="576" t="s">
        <v>63</v>
      </c>
      <c r="K360" s="593">
        <v>45811</v>
      </c>
      <c r="L360" s="594" t="s">
        <v>2600</v>
      </c>
      <c r="M360" s="594" t="s">
        <v>2601</v>
      </c>
      <c r="N360" s="575">
        <v>993096099</v>
      </c>
      <c r="O360" s="596">
        <v>20</v>
      </c>
      <c r="P360" s="576" t="s">
        <v>442</v>
      </c>
      <c r="Q360" s="576" t="s">
        <v>62</v>
      </c>
      <c r="R360" s="597"/>
      <c r="S360" s="575" t="str">
        <f t="shared" si="13"/>
        <v>001-500-000070726</v>
      </c>
      <c r="T360" s="598">
        <v>40782127</v>
      </c>
      <c r="U360" s="621" t="s">
        <v>2602</v>
      </c>
    </row>
    <row r="361" spans="1:21" ht="24" customHeight="1" x14ac:dyDescent="0.2">
      <c r="A361" s="624">
        <v>356</v>
      </c>
      <c r="B361" s="574">
        <v>45695</v>
      </c>
      <c r="C361" s="575" t="s">
        <v>100</v>
      </c>
      <c r="D361" s="575" t="s">
        <v>2598</v>
      </c>
      <c r="E361" s="576">
        <v>112950020</v>
      </c>
      <c r="F361" s="575" t="s">
        <v>2603</v>
      </c>
      <c r="G361" s="575" t="s">
        <v>2604</v>
      </c>
      <c r="H361" s="576" t="s">
        <v>41</v>
      </c>
      <c r="I361" s="576" t="s">
        <v>62</v>
      </c>
      <c r="J361" s="576" t="s">
        <v>63</v>
      </c>
      <c r="K361" s="593">
        <v>45811</v>
      </c>
      <c r="L361" s="594" t="s">
        <v>2600</v>
      </c>
      <c r="M361" s="594" t="s">
        <v>2601</v>
      </c>
      <c r="N361" s="575">
        <v>993096099</v>
      </c>
      <c r="O361" s="596">
        <v>20</v>
      </c>
      <c r="P361" s="576" t="s">
        <v>442</v>
      </c>
      <c r="Q361" s="576" t="s">
        <v>62</v>
      </c>
      <c r="R361" s="597"/>
      <c r="S361" s="575" t="str">
        <f t="shared" si="13"/>
        <v>001-500-000070726</v>
      </c>
      <c r="T361" s="598">
        <v>40782127</v>
      </c>
      <c r="U361" s="621" t="s">
        <v>2602</v>
      </c>
    </row>
    <row r="362" spans="1:21" ht="24" customHeight="1" x14ac:dyDescent="0.2">
      <c r="A362" s="624">
        <v>357</v>
      </c>
      <c r="B362" s="574">
        <v>45774</v>
      </c>
      <c r="C362" s="575" t="s">
        <v>187</v>
      </c>
      <c r="D362" s="575" t="s">
        <v>2605</v>
      </c>
      <c r="E362" s="576">
        <v>41592227</v>
      </c>
      <c r="F362" s="575" t="s">
        <v>2606</v>
      </c>
      <c r="G362" s="575" t="s">
        <v>2607</v>
      </c>
      <c r="H362" s="576" t="s">
        <v>41</v>
      </c>
      <c r="I362" s="576" t="s">
        <v>62</v>
      </c>
      <c r="J362" s="576" t="s">
        <v>63</v>
      </c>
      <c r="K362" s="593">
        <v>45813</v>
      </c>
      <c r="L362" s="594" t="s">
        <v>2608</v>
      </c>
      <c r="M362" s="594" t="s">
        <v>2609</v>
      </c>
      <c r="N362" s="575">
        <v>990832551</v>
      </c>
      <c r="O362" s="596">
        <v>15</v>
      </c>
      <c r="P362" s="576" t="s">
        <v>442</v>
      </c>
      <c r="Q362" s="576" t="s">
        <v>62</v>
      </c>
      <c r="R362" s="597"/>
      <c r="S362" s="575" t="str">
        <f t="shared" si="13"/>
        <v>040-101-000000650</v>
      </c>
      <c r="T362" s="598">
        <v>102172053</v>
      </c>
      <c r="U362" s="621" t="s">
        <v>2610</v>
      </c>
    </row>
    <row r="363" spans="1:21" ht="24" customHeight="1" x14ac:dyDescent="0.2">
      <c r="A363" s="624">
        <v>358</v>
      </c>
      <c r="B363" s="574">
        <v>45774</v>
      </c>
      <c r="C363" s="575" t="s">
        <v>125</v>
      </c>
      <c r="D363" s="575" t="s">
        <v>2611</v>
      </c>
      <c r="E363" s="576">
        <v>40584901</v>
      </c>
      <c r="F363" s="575" t="s">
        <v>2612</v>
      </c>
      <c r="G363" s="575" t="s">
        <v>2613</v>
      </c>
      <c r="H363" s="576" t="s">
        <v>41</v>
      </c>
      <c r="I363" s="576" t="s">
        <v>62</v>
      </c>
      <c r="J363" s="576" t="s">
        <v>63</v>
      </c>
      <c r="K363" s="593">
        <v>45813</v>
      </c>
      <c r="L363" s="594" t="s">
        <v>2608</v>
      </c>
      <c r="M363" s="594" t="s">
        <v>2609</v>
      </c>
      <c r="N363" s="575">
        <v>990832551</v>
      </c>
      <c r="O363" s="596">
        <v>15</v>
      </c>
      <c r="P363" s="576" t="s">
        <v>442</v>
      </c>
      <c r="Q363" s="576" t="s">
        <v>62</v>
      </c>
      <c r="R363" s="597"/>
      <c r="S363" s="575" t="str">
        <f t="shared" si="13"/>
        <v>043-906-000043088</v>
      </c>
      <c r="T363" s="598">
        <v>102172053</v>
      </c>
      <c r="U363" s="621" t="s">
        <v>2610</v>
      </c>
    </row>
    <row r="364" spans="1:21" ht="24" customHeight="1" x14ac:dyDescent="0.2">
      <c r="A364" s="624">
        <v>359</v>
      </c>
      <c r="B364" s="574">
        <v>45774</v>
      </c>
      <c r="C364" s="575" t="s">
        <v>187</v>
      </c>
      <c r="D364" s="575" t="s">
        <v>2605</v>
      </c>
      <c r="E364" s="576">
        <v>40487192</v>
      </c>
      <c r="F364" s="575" t="s">
        <v>2614</v>
      </c>
      <c r="G364" s="575" t="s">
        <v>2615</v>
      </c>
      <c r="H364" s="576" t="s">
        <v>41</v>
      </c>
      <c r="I364" s="576" t="s">
        <v>62</v>
      </c>
      <c r="J364" s="576" t="s">
        <v>63</v>
      </c>
      <c r="K364" s="593">
        <v>45813</v>
      </c>
      <c r="L364" s="594" t="s">
        <v>2608</v>
      </c>
      <c r="M364" s="594" t="s">
        <v>2609</v>
      </c>
      <c r="N364" s="575">
        <v>990832551</v>
      </c>
      <c r="O364" s="596">
        <v>15</v>
      </c>
      <c r="P364" s="576" t="s">
        <v>442</v>
      </c>
      <c r="Q364" s="576" t="s">
        <v>62</v>
      </c>
      <c r="R364" s="597"/>
      <c r="S364" s="575" t="str">
        <f t="shared" si="13"/>
        <v>040-101-000000650</v>
      </c>
      <c r="T364" s="598">
        <v>102172053</v>
      </c>
      <c r="U364" s="621" t="s">
        <v>2610</v>
      </c>
    </row>
    <row r="365" spans="1:21" ht="24" customHeight="1" x14ac:dyDescent="0.2">
      <c r="A365" s="624">
        <v>360</v>
      </c>
      <c r="B365" s="574">
        <v>45571</v>
      </c>
      <c r="C365" s="575" t="s">
        <v>125</v>
      </c>
      <c r="D365" s="575" t="s">
        <v>2616</v>
      </c>
      <c r="E365" s="576">
        <v>112950021</v>
      </c>
      <c r="F365" s="575" t="s">
        <v>2617</v>
      </c>
      <c r="G365" s="575" t="s">
        <v>2618</v>
      </c>
      <c r="H365" s="576" t="s">
        <v>41</v>
      </c>
      <c r="I365" s="576" t="s">
        <v>62</v>
      </c>
      <c r="J365" s="576" t="s">
        <v>63</v>
      </c>
      <c r="K365" s="593">
        <v>45813</v>
      </c>
      <c r="L365" s="594" t="s">
        <v>2619</v>
      </c>
      <c r="M365" s="594" t="s">
        <v>533</v>
      </c>
      <c r="N365" s="575">
        <v>939630930</v>
      </c>
      <c r="O365" s="596">
        <v>20</v>
      </c>
      <c r="P365" s="576" t="s">
        <v>442</v>
      </c>
      <c r="Q365" s="576" t="s">
        <v>62</v>
      </c>
      <c r="R365" s="597"/>
      <c r="S365" s="575" t="str">
        <f t="shared" si="13"/>
        <v>043-904-000042471</v>
      </c>
      <c r="T365" s="598">
        <v>103534202</v>
      </c>
      <c r="U365" s="621" t="s">
        <v>2620</v>
      </c>
    </row>
    <row r="366" spans="1:21" ht="24" customHeight="1" x14ac:dyDescent="0.2">
      <c r="A366" s="624">
        <v>361</v>
      </c>
      <c r="B366" s="574">
        <v>45571</v>
      </c>
      <c r="C366" s="575" t="s">
        <v>125</v>
      </c>
      <c r="D366" s="575" t="s">
        <v>2616</v>
      </c>
      <c r="E366" s="576">
        <v>112580058</v>
      </c>
      <c r="F366" s="575" t="s">
        <v>334</v>
      </c>
      <c r="G366" s="575" t="s">
        <v>2621</v>
      </c>
      <c r="H366" s="576" t="s">
        <v>41</v>
      </c>
      <c r="I366" s="576" t="s">
        <v>62</v>
      </c>
      <c r="J366" s="576" t="s">
        <v>63</v>
      </c>
      <c r="K366" s="593">
        <v>45813</v>
      </c>
      <c r="L366" s="594" t="s">
        <v>2619</v>
      </c>
      <c r="M366" s="594" t="s">
        <v>533</v>
      </c>
      <c r="N366" s="575">
        <v>939630930</v>
      </c>
      <c r="O366" s="596">
        <v>20</v>
      </c>
      <c r="P366" s="576" t="s">
        <v>442</v>
      </c>
      <c r="Q366" s="576" t="s">
        <v>62</v>
      </c>
      <c r="R366" s="597"/>
      <c r="S366" s="575" t="str">
        <f t="shared" si="13"/>
        <v>043-904-000042471</v>
      </c>
      <c r="T366" s="598">
        <v>103534202</v>
      </c>
      <c r="U366" s="621" t="s">
        <v>2620</v>
      </c>
    </row>
    <row r="367" spans="1:21" ht="24" customHeight="1" x14ac:dyDescent="0.2">
      <c r="A367" s="624">
        <v>362</v>
      </c>
      <c r="B367" s="574">
        <v>45561</v>
      </c>
      <c r="C367" s="575" t="s">
        <v>190</v>
      </c>
      <c r="D367" s="575" t="s">
        <v>2622</v>
      </c>
      <c r="E367" s="576">
        <v>41598031</v>
      </c>
      <c r="F367" s="575" t="s">
        <v>2623</v>
      </c>
      <c r="G367" s="575" t="s">
        <v>2624</v>
      </c>
      <c r="H367" s="576" t="s">
        <v>41</v>
      </c>
      <c r="I367" s="576" t="s">
        <v>62</v>
      </c>
      <c r="J367" s="576" t="s">
        <v>63</v>
      </c>
      <c r="K367" s="593">
        <v>45814</v>
      </c>
      <c r="L367" s="594" t="s">
        <v>2625</v>
      </c>
      <c r="M367" s="594" t="s">
        <v>2626</v>
      </c>
      <c r="N367" s="575">
        <v>995572662</v>
      </c>
      <c r="O367" s="596">
        <v>15</v>
      </c>
      <c r="P367" s="576" t="s">
        <v>442</v>
      </c>
      <c r="Q367" s="576" t="s">
        <v>62</v>
      </c>
      <c r="R367" s="597"/>
      <c r="S367" s="575" t="str">
        <f t="shared" si="13"/>
        <v>006-000156526</v>
      </c>
      <c r="T367" s="599" t="s">
        <v>2627</v>
      </c>
      <c r="U367" s="621" t="s">
        <v>2628</v>
      </c>
    </row>
    <row r="368" spans="1:21" ht="24" customHeight="1" x14ac:dyDescent="0.2">
      <c r="A368" s="624">
        <v>363</v>
      </c>
      <c r="B368" s="574">
        <v>45561</v>
      </c>
      <c r="C368" s="575" t="s">
        <v>190</v>
      </c>
      <c r="D368" s="575" t="s">
        <v>2622</v>
      </c>
      <c r="E368" s="576">
        <v>40584305</v>
      </c>
      <c r="F368" s="575" t="s">
        <v>102</v>
      </c>
      <c r="G368" s="575" t="s">
        <v>2629</v>
      </c>
      <c r="H368" s="576" t="s">
        <v>41</v>
      </c>
      <c r="I368" s="576" t="s">
        <v>62</v>
      </c>
      <c r="J368" s="576" t="s">
        <v>63</v>
      </c>
      <c r="K368" s="593">
        <v>45814</v>
      </c>
      <c r="L368" s="594" t="s">
        <v>2625</v>
      </c>
      <c r="M368" s="594" t="s">
        <v>2626</v>
      </c>
      <c r="N368" s="575">
        <v>995572662</v>
      </c>
      <c r="O368" s="596">
        <v>15</v>
      </c>
      <c r="P368" s="576" t="s">
        <v>442</v>
      </c>
      <c r="Q368" s="576" t="s">
        <v>62</v>
      </c>
      <c r="R368" s="597"/>
      <c r="S368" s="575" t="str">
        <f t="shared" si="13"/>
        <v>006-000156526</v>
      </c>
      <c r="T368" s="599" t="s">
        <v>2627</v>
      </c>
      <c r="U368" s="621" t="s">
        <v>2628</v>
      </c>
    </row>
    <row r="369" spans="1:21" ht="24" customHeight="1" x14ac:dyDescent="0.2">
      <c r="A369" s="624">
        <v>364</v>
      </c>
      <c r="B369" s="574">
        <v>45561</v>
      </c>
      <c r="C369" s="575" t="s">
        <v>190</v>
      </c>
      <c r="D369" s="575" t="s">
        <v>2622</v>
      </c>
      <c r="E369" s="576">
        <v>111030002</v>
      </c>
      <c r="F369" s="575" t="s">
        <v>336</v>
      </c>
      <c r="G369" s="575" t="s">
        <v>2630</v>
      </c>
      <c r="H369" s="576" t="s">
        <v>41</v>
      </c>
      <c r="I369" s="576" t="s">
        <v>62</v>
      </c>
      <c r="J369" s="576" t="s">
        <v>63</v>
      </c>
      <c r="K369" s="593">
        <v>45814</v>
      </c>
      <c r="L369" s="594" t="s">
        <v>2625</v>
      </c>
      <c r="M369" s="594" t="s">
        <v>2626</v>
      </c>
      <c r="N369" s="575">
        <v>995572662</v>
      </c>
      <c r="O369" s="596">
        <v>15</v>
      </c>
      <c r="P369" s="576" t="s">
        <v>442</v>
      </c>
      <c r="Q369" s="576" t="s">
        <v>62</v>
      </c>
      <c r="R369" s="597"/>
      <c r="S369" s="575" t="str">
        <f t="shared" si="13"/>
        <v>006-000156526</v>
      </c>
      <c r="T369" s="599" t="s">
        <v>2627</v>
      </c>
      <c r="U369" s="621" t="s">
        <v>2628</v>
      </c>
    </row>
    <row r="370" spans="1:21" ht="24" customHeight="1" x14ac:dyDescent="0.2">
      <c r="A370" s="624">
        <v>365</v>
      </c>
      <c r="B370" s="574">
        <v>45561</v>
      </c>
      <c r="C370" s="575" t="s">
        <v>190</v>
      </c>
      <c r="D370" s="575" t="s">
        <v>2622</v>
      </c>
      <c r="E370" s="576">
        <v>112500048</v>
      </c>
      <c r="F370" s="575" t="s">
        <v>2631</v>
      </c>
      <c r="G370" s="575" t="s">
        <v>2632</v>
      </c>
      <c r="H370" s="576" t="s">
        <v>41</v>
      </c>
      <c r="I370" s="576" t="s">
        <v>62</v>
      </c>
      <c r="J370" s="576" t="s">
        <v>63</v>
      </c>
      <c r="K370" s="593">
        <v>45814</v>
      </c>
      <c r="L370" s="594" t="s">
        <v>2625</v>
      </c>
      <c r="M370" s="594" t="s">
        <v>2626</v>
      </c>
      <c r="N370" s="575">
        <v>995572662</v>
      </c>
      <c r="O370" s="596">
        <v>15</v>
      </c>
      <c r="P370" s="576" t="s">
        <v>442</v>
      </c>
      <c r="Q370" s="576" t="s">
        <v>62</v>
      </c>
      <c r="R370" s="597"/>
      <c r="S370" s="575" t="str">
        <f t="shared" si="13"/>
        <v>006-000156526</v>
      </c>
      <c r="T370" s="599" t="s">
        <v>2627</v>
      </c>
      <c r="U370" s="621" t="s">
        <v>2628</v>
      </c>
    </row>
    <row r="371" spans="1:21" ht="24" customHeight="1" x14ac:dyDescent="0.2">
      <c r="A371" s="624">
        <v>366</v>
      </c>
      <c r="B371" s="574">
        <v>45561</v>
      </c>
      <c r="C371" s="575" t="s">
        <v>190</v>
      </c>
      <c r="D371" s="575" t="s">
        <v>2622</v>
      </c>
      <c r="E371" s="576">
        <v>113600017</v>
      </c>
      <c r="F371" s="575" t="s">
        <v>2633</v>
      </c>
      <c r="G371" s="575" t="s">
        <v>2634</v>
      </c>
      <c r="H371" s="576" t="s">
        <v>41</v>
      </c>
      <c r="I371" s="576" t="s">
        <v>62</v>
      </c>
      <c r="J371" s="576" t="s">
        <v>63</v>
      </c>
      <c r="K371" s="593">
        <v>45814</v>
      </c>
      <c r="L371" s="594" t="s">
        <v>2625</v>
      </c>
      <c r="M371" s="594" t="s">
        <v>2626</v>
      </c>
      <c r="N371" s="575">
        <v>995572662</v>
      </c>
      <c r="O371" s="596">
        <v>15</v>
      </c>
      <c r="P371" s="576" t="s">
        <v>442</v>
      </c>
      <c r="Q371" s="576" t="s">
        <v>62</v>
      </c>
      <c r="R371" s="597"/>
      <c r="S371" s="575" t="str">
        <f t="shared" si="13"/>
        <v>006-000156526</v>
      </c>
      <c r="T371" s="599" t="s">
        <v>2627</v>
      </c>
      <c r="U371" s="621" t="s">
        <v>2628</v>
      </c>
    </row>
    <row r="372" spans="1:21" ht="24" customHeight="1" x14ac:dyDescent="0.2">
      <c r="A372" s="624">
        <v>367</v>
      </c>
      <c r="B372" s="574">
        <v>45813</v>
      </c>
      <c r="C372" s="575" t="s">
        <v>125</v>
      </c>
      <c r="D372" s="575" t="s">
        <v>2635</v>
      </c>
      <c r="E372" s="576">
        <v>112580058</v>
      </c>
      <c r="F372" s="575" t="s">
        <v>334</v>
      </c>
      <c r="G372" s="575" t="s">
        <v>2636</v>
      </c>
      <c r="H372" s="576" t="s">
        <v>41</v>
      </c>
      <c r="I372" s="576" t="s">
        <v>62</v>
      </c>
      <c r="J372" s="576" t="s">
        <v>63</v>
      </c>
      <c r="K372" s="593">
        <v>45814</v>
      </c>
      <c r="L372" s="594" t="s">
        <v>2637</v>
      </c>
      <c r="M372" s="594" t="s">
        <v>1963</v>
      </c>
      <c r="N372" s="575">
        <v>74150020</v>
      </c>
      <c r="O372" s="596">
        <v>20</v>
      </c>
      <c r="P372" s="576" t="s">
        <v>442</v>
      </c>
      <c r="Q372" s="576" t="s">
        <v>62</v>
      </c>
      <c r="R372" s="597"/>
      <c r="S372" s="575" t="str">
        <f t="shared" si="13"/>
        <v>043-907-000025013</v>
      </c>
      <c r="T372" s="599" t="s">
        <v>2638</v>
      </c>
      <c r="U372" s="621" t="s">
        <v>2639</v>
      </c>
    </row>
    <row r="373" spans="1:21" ht="24" customHeight="1" x14ac:dyDescent="0.2">
      <c r="A373" s="624">
        <v>368</v>
      </c>
      <c r="B373" s="574">
        <v>45813</v>
      </c>
      <c r="C373" s="575" t="s">
        <v>125</v>
      </c>
      <c r="D373" s="575" t="s">
        <v>2635</v>
      </c>
      <c r="E373" s="576">
        <v>40466241</v>
      </c>
      <c r="F373" s="575" t="s">
        <v>2386</v>
      </c>
      <c r="G373" s="575" t="s">
        <v>2640</v>
      </c>
      <c r="H373" s="576" t="s">
        <v>41</v>
      </c>
      <c r="I373" s="576" t="s">
        <v>62</v>
      </c>
      <c r="J373" s="576" t="s">
        <v>63</v>
      </c>
      <c r="K373" s="593">
        <v>45814</v>
      </c>
      <c r="L373" s="594" t="s">
        <v>2637</v>
      </c>
      <c r="M373" s="594" t="s">
        <v>1963</v>
      </c>
      <c r="N373" s="575">
        <v>74150020</v>
      </c>
      <c r="O373" s="596">
        <v>20</v>
      </c>
      <c r="P373" s="576" t="s">
        <v>442</v>
      </c>
      <c r="Q373" s="576" t="s">
        <v>62</v>
      </c>
      <c r="R373" s="597"/>
      <c r="S373" s="575" t="str">
        <f t="shared" si="13"/>
        <v>043-907-000025013</v>
      </c>
      <c r="T373" s="599" t="s">
        <v>2638</v>
      </c>
      <c r="U373" s="621" t="s">
        <v>2639</v>
      </c>
    </row>
    <row r="374" spans="1:21" ht="24" customHeight="1" x14ac:dyDescent="0.2">
      <c r="A374" s="624">
        <v>369</v>
      </c>
      <c r="B374" s="574">
        <v>45724</v>
      </c>
      <c r="C374" s="575" t="s">
        <v>100</v>
      </c>
      <c r="D374" s="575" t="s">
        <v>2641</v>
      </c>
      <c r="E374" s="576">
        <v>40782127</v>
      </c>
      <c r="F374" s="575" t="s">
        <v>2642</v>
      </c>
      <c r="G374" s="575" t="s">
        <v>2643</v>
      </c>
      <c r="H374" s="576" t="s">
        <v>41</v>
      </c>
      <c r="I374" s="576" t="s">
        <v>62</v>
      </c>
      <c r="J374" s="576" t="s">
        <v>63</v>
      </c>
      <c r="K374" s="593">
        <v>45814</v>
      </c>
      <c r="L374" s="594" t="s">
        <v>2644</v>
      </c>
      <c r="M374" s="594" t="s">
        <v>2645</v>
      </c>
      <c r="N374" s="575">
        <v>986353015</v>
      </c>
      <c r="O374" s="596">
        <v>15</v>
      </c>
      <c r="P374" s="576" t="s">
        <v>442</v>
      </c>
      <c r="Q374" s="576" t="s">
        <v>62</v>
      </c>
      <c r="R374" s="597"/>
      <c r="S374" s="575" t="str">
        <f t="shared" si="13"/>
        <v>001-500-000071464</v>
      </c>
      <c r="T374" s="599" t="s">
        <v>2646</v>
      </c>
      <c r="U374" s="621" t="s">
        <v>2647</v>
      </c>
    </row>
    <row r="375" spans="1:21" ht="24" customHeight="1" x14ac:dyDescent="0.2">
      <c r="A375" s="624">
        <v>370</v>
      </c>
      <c r="B375" s="574">
        <v>45724</v>
      </c>
      <c r="C375" s="575" t="s">
        <v>100</v>
      </c>
      <c r="D375" s="575" t="s">
        <v>2641</v>
      </c>
      <c r="E375" s="576">
        <v>112030019</v>
      </c>
      <c r="F375" s="575" t="s">
        <v>323</v>
      </c>
      <c r="G375" s="575" t="s">
        <v>2648</v>
      </c>
      <c r="H375" s="576" t="s">
        <v>41</v>
      </c>
      <c r="I375" s="576" t="s">
        <v>62</v>
      </c>
      <c r="J375" s="576" t="s">
        <v>63</v>
      </c>
      <c r="K375" s="593">
        <v>45814</v>
      </c>
      <c r="L375" s="594" t="s">
        <v>2644</v>
      </c>
      <c r="M375" s="594" t="s">
        <v>2645</v>
      </c>
      <c r="N375" s="575">
        <v>986353015</v>
      </c>
      <c r="O375" s="596">
        <v>15</v>
      </c>
      <c r="P375" s="576" t="s">
        <v>442</v>
      </c>
      <c r="Q375" s="576" t="s">
        <v>62</v>
      </c>
      <c r="R375" s="597"/>
      <c r="S375" s="575" t="str">
        <f t="shared" si="13"/>
        <v>001-500-000071464</v>
      </c>
      <c r="T375" s="599" t="s">
        <v>2646</v>
      </c>
      <c r="U375" s="621" t="s">
        <v>2647</v>
      </c>
    </row>
    <row r="376" spans="1:21" ht="24" customHeight="1" x14ac:dyDescent="0.2">
      <c r="A376" s="624">
        <v>371</v>
      </c>
      <c r="B376" s="574">
        <v>45724</v>
      </c>
      <c r="C376" s="575" t="s">
        <v>100</v>
      </c>
      <c r="D376" s="575" t="s">
        <v>2641</v>
      </c>
      <c r="E376" s="576">
        <v>111000051</v>
      </c>
      <c r="F376" s="575" t="s">
        <v>137</v>
      </c>
      <c r="G376" s="575" t="s">
        <v>2649</v>
      </c>
      <c r="H376" s="576" t="s">
        <v>41</v>
      </c>
      <c r="I376" s="576" t="s">
        <v>62</v>
      </c>
      <c r="J376" s="576" t="s">
        <v>63</v>
      </c>
      <c r="K376" s="593">
        <v>45814</v>
      </c>
      <c r="L376" s="594" t="s">
        <v>2644</v>
      </c>
      <c r="M376" s="594" t="s">
        <v>2645</v>
      </c>
      <c r="N376" s="575">
        <v>986353015</v>
      </c>
      <c r="O376" s="596">
        <v>15</v>
      </c>
      <c r="P376" s="576" t="s">
        <v>442</v>
      </c>
      <c r="Q376" s="576" t="s">
        <v>62</v>
      </c>
      <c r="R376" s="597"/>
      <c r="S376" s="575" t="str">
        <f t="shared" si="13"/>
        <v>001-500-000071464</v>
      </c>
      <c r="T376" s="599" t="s">
        <v>2646</v>
      </c>
      <c r="U376" s="621" t="s">
        <v>2647</v>
      </c>
    </row>
    <row r="377" spans="1:21" ht="24" customHeight="1" x14ac:dyDescent="0.2">
      <c r="A377" s="624">
        <v>372</v>
      </c>
      <c r="B377" s="574">
        <v>45724</v>
      </c>
      <c r="C377" s="575" t="s">
        <v>100</v>
      </c>
      <c r="D377" s="575" t="s">
        <v>2641</v>
      </c>
      <c r="E377" s="576">
        <v>112570126</v>
      </c>
      <c r="F377" s="575" t="s">
        <v>2650</v>
      </c>
      <c r="G377" s="575" t="s">
        <v>2651</v>
      </c>
      <c r="H377" s="576" t="s">
        <v>41</v>
      </c>
      <c r="I377" s="576" t="s">
        <v>62</v>
      </c>
      <c r="J377" s="576" t="s">
        <v>63</v>
      </c>
      <c r="K377" s="593">
        <v>45814</v>
      </c>
      <c r="L377" s="594" t="s">
        <v>2644</v>
      </c>
      <c r="M377" s="594" t="s">
        <v>2645</v>
      </c>
      <c r="N377" s="575">
        <v>986353015</v>
      </c>
      <c r="O377" s="596">
        <v>15</v>
      </c>
      <c r="P377" s="576" t="s">
        <v>442</v>
      </c>
      <c r="Q377" s="576" t="s">
        <v>62</v>
      </c>
      <c r="R377" s="597"/>
      <c r="S377" s="575" t="str">
        <f t="shared" si="13"/>
        <v>001-500-000071464</v>
      </c>
      <c r="T377" s="599" t="s">
        <v>2646</v>
      </c>
      <c r="U377" s="621" t="s">
        <v>2647</v>
      </c>
    </row>
    <row r="378" spans="1:21" ht="24" customHeight="1" x14ac:dyDescent="0.2">
      <c r="A378" s="624">
        <v>373</v>
      </c>
      <c r="B378" s="574">
        <v>45724</v>
      </c>
      <c r="C378" s="575" t="s">
        <v>100</v>
      </c>
      <c r="D378" s="575" t="s">
        <v>2641</v>
      </c>
      <c r="E378" s="576">
        <v>40483280</v>
      </c>
      <c r="F378" s="575" t="s">
        <v>1087</v>
      </c>
      <c r="G378" s="575" t="s">
        <v>2652</v>
      </c>
      <c r="H378" s="576" t="s">
        <v>41</v>
      </c>
      <c r="I378" s="576" t="s">
        <v>62</v>
      </c>
      <c r="J378" s="576" t="s">
        <v>63</v>
      </c>
      <c r="K378" s="593">
        <v>45814</v>
      </c>
      <c r="L378" s="594" t="s">
        <v>2644</v>
      </c>
      <c r="M378" s="594" t="s">
        <v>2645</v>
      </c>
      <c r="N378" s="575">
        <v>986353015</v>
      </c>
      <c r="O378" s="596">
        <v>30</v>
      </c>
      <c r="P378" s="576" t="s">
        <v>442</v>
      </c>
      <c r="Q378" s="576" t="s">
        <v>62</v>
      </c>
      <c r="R378" s="597"/>
      <c r="S378" s="575" t="str">
        <f t="shared" si="13"/>
        <v>001-500-000071464</v>
      </c>
      <c r="T378" s="599" t="s">
        <v>2646</v>
      </c>
      <c r="U378" s="621" t="s">
        <v>2647</v>
      </c>
    </row>
    <row r="379" spans="1:21" ht="24" customHeight="1" x14ac:dyDescent="0.2">
      <c r="A379" s="624">
        <v>374</v>
      </c>
      <c r="B379" s="574">
        <v>45620</v>
      </c>
      <c r="C379" s="575" t="s">
        <v>161</v>
      </c>
      <c r="D379" s="575" t="s">
        <v>2653</v>
      </c>
      <c r="E379" s="576">
        <v>113430051</v>
      </c>
      <c r="F379" s="575" t="s">
        <v>2654</v>
      </c>
      <c r="G379" s="575" t="s">
        <v>2655</v>
      </c>
      <c r="H379" s="576" t="s">
        <v>41</v>
      </c>
      <c r="I379" s="576" t="s">
        <v>62</v>
      </c>
      <c r="J379" s="576" t="s">
        <v>63</v>
      </c>
      <c r="K379" s="593">
        <v>45818</v>
      </c>
      <c r="L379" s="594" t="s">
        <v>2656</v>
      </c>
      <c r="M379" s="594" t="s">
        <v>2657</v>
      </c>
      <c r="N379" s="575">
        <v>995116588</v>
      </c>
      <c r="O379" s="596">
        <v>15</v>
      </c>
      <c r="P379" s="576" t="s">
        <v>442</v>
      </c>
      <c r="Q379" s="576" t="s">
        <v>62</v>
      </c>
      <c r="R379" s="597"/>
      <c r="S379" s="575" t="str">
        <f>D379</f>
        <v>040-104-000008196</v>
      </c>
      <c r="T379" s="599" t="s">
        <v>2658</v>
      </c>
      <c r="U379" s="621" t="s">
        <v>2659</v>
      </c>
    </row>
    <row r="380" spans="1:21" ht="24" customHeight="1" x14ac:dyDescent="0.2">
      <c r="A380" s="624">
        <v>375</v>
      </c>
      <c r="B380" s="574">
        <v>45620</v>
      </c>
      <c r="C380" s="575" t="s">
        <v>161</v>
      </c>
      <c r="D380" s="575" t="s">
        <v>2653</v>
      </c>
      <c r="E380" s="576">
        <v>407822128</v>
      </c>
      <c r="F380" s="575" t="s">
        <v>838</v>
      </c>
      <c r="G380" s="575" t="s">
        <v>2660</v>
      </c>
      <c r="H380" s="576" t="s">
        <v>41</v>
      </c>
      <c r="I380" s="576" t="s">
        <v>62</v>
      </c>
      <c r="J380" s="576" t="s">
        <v>63</v>
      </c>
      <c r="K380" s="593">
        <v>45818</v>
      </c>
      <c r="L380" s="594" t="s">
        <v>2656</v>
      </c>
      <c r="M380" s="594" t="s">
        <v>2657</v>
      </c>
      <c r="N380" s="575">
        <v>995116588</v>
      </c>
      <c r="O380" s="596">
        <v>15</v>
      </c>
      <c r="P380" s="576" t="s">
        <v>442</v>
      </c>
      <c r="Q380" s="576" t="s">
        <v>62</v>
      </c>
      <c r="R380" s="597"/>
      <c r="S380" s="575" t="str">
        <f>D380</f>
        <v>040-104-000008196</v>
      </c>
      <c r="T380" s="599" t="s">
        <v>2658</v>
      </c>
      <c r="U380" s="621" t="s">
        <v>2659</v>
      </c>
    </row>
    <row r="381" spans="1:21" ht="24" customHeight="1" x14ac:dyDescent="0.2">
      <c r="A381" s="624">
        <v>376</v>
      </c>
      <c r="B381" s="574">
        <v>45620</v>
      </c>
      <c r="C381" s="575" t="s">
        <v>161</v>
      </c>
      <c r="D381" s="575" t="s">
        <v>2653</v>
      </c>
      <c r="E381" s="576">
        <v>111000030</v>
      </c>
      <c r="F381" s="575" t="s">
        <v>1090</v>
      </c>
      <c r="G381" s="575" t="s">
        <v>2661</v>
      </c>
      <c r="H381" s="576" t="s">
        <v>41</v>
      </c>
      <c r="I381" s="576" t="s">
        <v>62</v>
      </c>
      <c r="J381" s="576" t="s">
        <v>63</v>
      </c>
      <c r="K381" s="593">
        <v>45818</v>
      </c>
      <c r="L381" s="594" t="s">
        <v>2656</v>
      </c>
      <c r="M381" s="594" t="s">
        <v>2657</v>
      </c>
      <c r="N381" s="575">
        <v>995116588</v>
      </c>
      <c r="O381" s="596">
        <v>15</v>
      </c>
      <c r="P381" s="576" t="s">
        <v>442</v>
      </c>
      <c r="Q381" s="576" t="s">
        <v>62</v>
      </c>
      <c r="R381" s="597"/>
      <c r="S381" s="575" t="str">
        <f t="shared" ref="S381:S409" si="14">D381</f>
        <v>040-104-000008196</v>
      </c>
      <c r="T381" s="599" t="s">
        <v>2658</v>
      </c>
      <c r="U381" s="621" t="s">
        <v>2659</v>
      </c>
    </row>
    <row r="382" spans="1:21" ht="24" customHeight="1" x14ac:dyDescent="0.2">
      <c r="A382" s="624">
        <v>377</v>
      </c>
      <c r="B382" s="574">
        <v>45620</v>
      </c>
      <c r="C382" s="575" t="s">
        <v>161</v>
      </c>
      <c r="D382" s="575" t="s">
        <v>2653</v>
      </c>
      <c r="E382" s="576">
        <v>40584305</v>
      </c>
      <c r="F382" s="575" t="s">
        <v>1425</v>
      </c>
      <c r="G382" s="575" t="s">
        <v>2662</v>
      </c>
      <c r="H382" s="576" t="s">
        <v>41</v>
      </c>
      <c r="I382" s="576" t="s">
        <v>62</v>
      </c>
      <c r="J382" s="576" t="s">
        <v>63</v>
      </c>
      <c r="K382" s="593">
        <v>45818</v>
      </c>
      <c r="L382" s="594" t="s">
        <v>2656</v>
      </c>
      <c r="M382" s="594" t="s">
        <v>2657</v>
      </c>
      <c r="N382" s="575">
        <v>995116588</v>
      </c>
      <c r="O382" s="596">
        <v>15</v>
      </c>
      <c r="P382" s="576" t="s">
        <v>442</v>
      </c>
      <c r="Q382" s="576" t="s">
        <v>62</v>
      </c>
      <c r="R382" s="597"/>
      <c r="S382" s="575" t="str">
        <f t="shared" si="14"/>
        <v>040-104-000008196</v>
      </c>
      <c r="T382" s="599" t="s">
        <v>2658</v>
      </c>
      <c r="U382" s="621" t="s">
        <v>2659</v>
      </c>
    </row>
    <row r="383" spans="1:21" ht="24" customHeight="1" x14ac:dyDescent="0.2">
      <c r="A383" s="624">
        <v>378</v>
      </c>
      <c r="B383" s="574">
        <v>45620</v>
      </c>
      <c r="C383" s="575" t="s">
        <v>161</v>
      </c>
      <c r="D383" s="575" t="s">
        <v>2653</v>
      </c>
      <c r="E383" s="576">
        <v>112580058</v>
      </c>
      <c r="F383" s="575" t="s">
        <v>334</v>
      </c>
      <c r="G383" s="575" t="s">
        <v>2663</v>
      </c>
      <c r="H383" s="576" t="s">
        <v>41</v>
      </c>
      <c r="I383" s="576" t="s">
        <v>62</v>
      </c>
      <c r="J383" s="576" t="s">
        <v>63</v>
      </c>
      <c r="K383" s="593">
        <v>45818</v>
      </c>
      <c r="L383" s="594" t="s">
        <v>2656</v>
      </c>
      <c r="M383" s="594" t="s">
        <v>2657</v>
      </c>
      <c r="N383" s="575">
        <v>995116588</v>
      </c>
      <c r="O383" s="596">
        <v>15</v>
      </c>
      <c r="P383" s="576" t="s">
        <v>442</v>
      </c>
      <c r="Q383" s="576" t="s">
        <v>62</v>
      </c>
      <c r="R383" s="597"/>
      <c r="S383" s="575" t="str">
        <f t="shared" si="14"/>
        <v>040-104-000008196</v>
      </c>
      <c r="T383" s="599" t="s">
        <v>2658</v>
      </c>
      <c r="U383" s="621" t="s">
        <v>2659</v>
      </c>
    </row>
    <row r="384" spans="1:21" ht="24" customHeight="1" x14ac:dyDescent="0.2">
      <c r="A384" s="624">
        <v>379</v>
      </c>
      <c r="B384" s="574">
        <v>45815</v>
      </c>
      <c r="C384" s="575" t="s">
        <v>125</v>
      </c>
      <c r="D384" s="575" t="s">
        <v>2664</v>
      </c>
      <c r="E384" s="576">
        <v>112570125</v>
      </c>
      <c r="F384" s="575" t="s">
        <v>2665</v>
      </c>
      <c r="G384" s="575" t="s">
        <v>2666</v>
      </c>
      <c r="H384" s="576" t="s">
        <v>41</v>
      </c>
      <c r="I384" s="576" t="s">
        <v>62</v>
      </c>
      <c r="J384" s="576" t="s">
        <v>63</v>
      </c>
      <c r="K384" s="593">
        <v>45818</v>
      </c>
      <c r="L384" s="594" t="s">
        <v>2667</v>
      </c>
      <c r="M384" s="594" t="s">
        <v>2668</v>
      </c>
      <c r="N384" s="575">
        <v>98479269</v>
      </c>
      <c r="O384" s="596">
        <v>15</v>
      </c>
      <c r="P384" s="576" t="s">
        <v>442</v>
      </c>
      <c r="Q384" s="576" t="s">
        <v>62</v>
      </c>
      <c r="R384" s="597"/>
      <c r="S384" s="575" t="str">
        <f t="shared" si="14"/>
        <v>016-907-000257154</v>
      </c>
      <c r="T384" s="599" t="s">
        <v>2669</v>
      </c>
      <c r="U384" s="621" t="s">
        <v>2670</v>
      </c>
    </row>
    <row r="385" spans="1:21" ht="24" customHeight="1" x14ac:dyDescent="0.2">
      <c r="A385" s="624">
        <v>380</v>
      </c>
      <c r="B385" s="574">
        <v>45815</v>
      </c>
      <c r="C385" s="575" t="s">
        <v>125</v>
      </c>
      <c r="D385" s="575" t="s">
        <v>2664</v>
      </c>
      <c r="E385" s="576">
        <v>111010028</v>
      </c>
      <c r="F385" s="575" t="s">
        <v>2671</v>
      </c>
      <c r="G385" s="575" t="s">
        <v>2672</v>
      </c>
      <c r="H385" s="576" t="s">
        <v>41</v>
      </c>
      <c r="I385" s="576" t="s">
        <v>62</v>
      </c>
      <c r="J385" s="576" t="s">
        <v>63</v>
      </c>
      <c r="K385" s="593">
        <v>45818</v>
      </c>
      <c r="L385" s="594" t="s">
        <v>2667</v>
      </c>
      <c r="M385" s="594" t="s">
        <v>2668</v>
      </c>
      <c r="N385" s="575">
        <v>98479269</v>
      </c>
      <c r="O385" s="596">
        <v>15</v>
      </c>
      <c r="P385" s="576" t="s">
        <v>442</v>
      </c>
      <c r="Q385" s="576" t="s">
        <v>62</v>
      </c>
      <c r="R385" s="597"/>
      <c r="S385" s="575" t="str">
        <f t="shared" si="14"/>
        <v>016-907-000257154</v>
      </c>
      <c r="T385" s="599" t="s">
        <v>2669</v>
      </c>
      <c r="U385" s="621" t="s">
        <v>2670</v>
      </c>
    </row>
    <row r="386" spans="1:21" ht="24" customHeight="1" x14ac:dyDescent="0.2">
      <c r="A386" s="624">
        <v>381</v>
      </c>
      <c r="B386" s="574">
        <v>45815</v>
      </c>
      <c r="C386" s="575" t="s">
        <v>125</v>
      </c>
      <c r="D386" s="575" t="s">
        <v>2664</v>
      </c>
      <c r="E386" s="576">
        <v>40467320</v>
      </c>
      <c r="F386" s="575" t="s">
        <v>855</v>
      </c>
      <c r="G386" s="575" t="s">
        <v>2673</v>
      </c>
      <c r="H386" s="576" t="s">
        <v>41</v>
      </c>
      <c r="I386" s="576" t="s">
        <v>62</v>
      </c>
      <c r="J386" s="576" t="s">
        <v>63</v>
      </c>
      <c r="K386" s="593">
        <v>45818</v>
      </c>
      <c r="L386" s="594" t="s">
        <v>2667</v>
      </c>
      <c r="M386" s="594" t="s">
        <v>2668</v>
      </c>
      <c r="N386" s="575">
        <v>98479269</v>
      </c>
      <c r="O386" s="596">
        <v>15</v>
      </c>
      <c r="P386" s="576" t="s">
        <v>442</v>
      </c>
      <c r="Q386" s="576" t="s">
        <v>62</v>
      </c>
      <c r="R386" s="597"/>
      <c r="S386" s="575" t="str">
        <f t="shared" si="14"/>
        <v>016-907-000257154</v>
      </c>
      <c r="T386" s="599" t="s">
        <v>2669</v>
      </c>
      <c r="U386" s="621" t="s">
        <v>2670</v>
      </c>
    </row>
    <row r="387" spans="1:21" ht="24" customHeight="1" x14ac:dyDescent="0.2">
      <c r="A387" s="624">
        <v>382</v>
      </c>
      <c r="B387" s="574">
        <v>45812</v>
      </c>
      <c r="C387" s="575" t="s">
        <v>125</v>
      </c>
      <c r="D387" s="575" t="s">
        <v>2674</v>
      </c>
      <c r="E387" s="576">
        <v>40584202</v>
      </c>
      <c r="F387" s="575" t="s">
        <v>1425</v>
      </c>
      <c r="G387" s="575" t="s">
        <v>2675</v>
      </c>
      <c r="H387" s="576" t="s">
        <v>41</v>
      </c>
      <c r="I387" s="576" t="s">
        <v>62</v>
      </c>
      <c r="J387" s="576" t="s">
        <v>63</v>
      </c>
      <c r="K387" s="593">
        <v>45819</v>
      </c>
      <c r="L387" s="594" t="s">
        <v>2676</v>
      </c>
      <c r="M387" s="594" t="s">
        <v>2677</v>
      </c>
      <c r="N387" s="575">
        <v>993098737</v>
      </c>
      <c r="O387" s="596">
        <v>15</v>
      </c>
      <c r="P387" s="576" t="s">
        <v>442</v>
      </c>
      <c r="Q387" s="576" t="s">
        <v>62</v>
      </c>
      <c r="R387" s="597"/>
      <c r="S387" s="575" t="str">
        <f t="shared" si="14"/>
        <v>043-903-000076718</v>
      </c>
      <c r="T387" s="599" t="s">
        <v>2678</v>
      </c>
      <c r="U387" s="621" t="s">
        <v>2679</v>
      </c>
    </row>
    <row r="388" spans="1:21" ht="24" customHeight="1" x14ac:dyDescent="0.2">
      <c r="A388" s="624">
        <v>383</v>
      </c>
      <c r="B388" s="574">
        <v>45812</v>
      </c>
      <c r="C388" s="575" t="s">
        <v>125</v>
      </c>
      <c r="D388" s="575" t="s">
        <v>2674</v>
      </c>
      <c r="E388" s="576">
        <v>112580058</v>
      </c>
      <c r="F388" s="575" t="s">
        <v>334</v>
      </c>
      <c r="G388" s="575" t="s">
        <v>2680</v>
      </c>
      <c r="H388" s="576" t="s">
        <v>41</v>
      </c>
      <c r="I388" s="576" t="s">
        <v>62</v>
      </c>
      <c r="J388" s="576" t="s">
        <v>63</v>
      </c>
      <c r="K388" s="593">
        <v>45819</v>
      </c>
      <c r="L388" s="594" t="s">
        <v>2676</v>
      </c>
      <c r="M388" s="594" t="s">
        <v>2677</v>
      </c>
      <c r="N388" s="575">
        <v>993098737</v>
      </c>
      <c r="O388" s="596">
        <v>15</v>
      </c>
      <c r="P388" s="576" t="s">
        <v>442</v>
      </c>
      <c r="Q388" s="576" t="s">
        <v>62</v>
      </c>
      <c r="R388" s="597"/>
      <c r="S388" s="575" t="str">
        <f t="shared" si="14"/>
        <v>043-903-000076718</v>
      </c>
      <c r="T388" s="599" t="s">
        <v>2678</v>
      </c>
      <c r="U388" s="621" t="s">
        <v>2679</v>
      </c>
    </row>
    <row r="389" spans="1:21" ht="24" customHeight="1" x14ac:dyDescent="0.2">
      <c r="A389" s="624">
        <v>384</v>
      </c>
      <c r="B389" s="574">
        <v>45812</v>
      </c>
      <c r="C389" s="575" t="s">
        <v>125</v>
      </c>
      <c r="D389" s="575" t="s">
        <v>2674</v>
      </c>
      <c r="E389" s="576">
        <v>41560061</v>
      </c>
      <c r="F389" s="575" t="s">
        <v>2681</v>
      </c>
      <c r="G389" s="575" t="s">
        <v>2682</v>
      </c>
      <c r="H389" s="576" t="s">
        <v>41</v>
      </c>
      <c r="I389" s="576" t="s">
        <v>62</v>
      </c>
      <c r="J389" s="576" t="s">
        <v>63</v>
      </c>
      <c r="K389" s="593">
        <v>45819</v>
      </c>
      <c r="L389" s="594" t="s">
        <v>2676</v>
      </c>
      <c r="M389" s="594" t="s">
        <v>2677</v>
      </c>
      <c r="N389" s="575">
        <v>993098737</v>
      </c>
      <c r="O389" s="596">
        <v>15</v>
      </c>
      <c r="P389" s="576" t="s">
        <v>442</v>
      </c>
      <c r="Q389" s="576" t="s">
        <v>62</v>
      </c>
      <c r="R389" s="597"/>
      <c r="S389" s="575" t="str">
        <f t="shared" si="14"/>
        <v>043-903-000076718</v>
      </c>
      <c r="T389" s="599" t="s">
        <v>2678</v>
      </c>
      <c r="U389" s="621" t="s">
        <v>2679</v>
      </c>
    </row>
    <row r="390" spans="1:21" ht="24" customHeight="1" x14ac:dyDescent="0.2">
      <c r="A390" s="624">
        <v>385</v>
      </c>
      <c r="B390" s="574">
        <v>45817</v>
      </c>
      <c r="C390" s="575" t="s">
        <v>100</v>
      </c>
      <c r="D390" s="575" t="s">
        <v>2683</v>
      </c>
      <c r="E390" s="576">
        <v>111000051</v>
      </c>
      <c r="F390" s="575" t="s">
        <v>137</v>
      </c>
      <c r="G390" s="575" t="s">
        <v>2684</v>
      </c>
      <c r="H390" s="576" t="s">
        <v>41</v>
      </c>
      <c r="I390" s="576" t="s">
        <v>62</v>
      </c>
      <c r="J390" s="576" t="s">
        <v>63</v>
      </c>
      <c r="K390" s="593">
        <v>45821</v>
      </c>
      <c r="L390" s="594" t="s">
        <v>2600</v>
      </c>
      <c r="M390" s="594" t="s">
        <v>1683</v>
      </c>
      <c r="N390" s="575">
        <v>993096099</v>
      </c>
      <c r="O390" s="596">
        <v>20</v>
      </c>
      <c r="P390" s="576" t="s">
        <v>442</v>
      </c>
      <c r="Q390" s="576" t="s">
        <v>62</v>
      </c>
      <c r="R390" s="597"/>
      <c r="S390" s="575" t="str">
        <f t="shared" si="14"/>
        <v>001-500-000074113</v>
      </c>
      <c r="T390" s="599" t="s">
        <v>2685</v>
      </c>
      <c r="U390" s="621" t="s">
        <v>2686</v>
      </c>
    </row>
    <row r="391" spans="1:21" ht="24" customHeight="1" x14ac:dyDescent="0.2">
      <c r="A391" s="624">
        <v>386</v>
      </c>
      <c r="B391" s="574">
        <v>45817</v>
      </c>
      <c r="C391" s="575" t="s">
        <v>100</v>
      </c>
      <c r="D391" s="575" t="s">
        <v>2683</v>
      </c>
      <c r="E391" s="576">
        <v>40584305</v>
      </c>
      <c r="F391" s="575" t="s">
        <v>102</v>
      </c>
      <c r="G391" s="575" t="s">
        <v>2687</v>
      </c>
      <c r="H391" s="576" t="s">
        <v>41</v>
      </c>
      <c r="I391" s="576" t="s">
        <v>62</v>
      </c>
      <c r="J391" s="576" t="s">
        <v>63</v>
      </c>
      <c r="K391" s="593">
        <v>45821</v>
      </c>
      <c r="L391" s="594" t="s">
        <v>2600</v>
      </c>
      <c r="M391" s="594" t="s">
        <v>1683</v>
      </c>
      <c r="N391" s="575">
        <v>993096099</v>
      </c>
      <c r="O391" s="596">
        <v>20</v>
      </c>
      <c r="P391" s="576" t="s">
        <v>442</v>
      </c>
      <c r="Q391" s="576" t="s">
        <v>62</v>
      </c>
      <c r="R391" s="597"/>
      <c r="S391" s="575" t="str">
        <f t="shared" si="14"/>
        <v>001-500-000074113</v>
      </c>
      <c r="T391" s="599" t="s">
        <v>2685</v>
      </c>
      <c r="U391" s="621" t="s">
        <v>2686</v>
      </c>
    </row>
    <row r="392" spans="1:21" ht="24" customHeight="1" x14ac:dyDescent="0.2">
      <c r="A392" s="624">
        <v>387</v>
      </c>
      <c r="B392" s="574">
        <v>45789</v>
      </c>
      <c r="C392" s="575" t="s">
        <v>100</v>
      </c>
      <c r="D392" s="575" t="s">
        <v>2688</v>
      </c>
      <c r="E392" s="576">
        <v>112570238</v>
      </c>
      <c r="F392" s="575" t="s">
        <v>2689</v>
      </c>
      <c r="G392" s="575" t="s">
        <v>2690</v>
      </c>
      <c r="H392" s="576" t="s">
        <v>41</v>
      </c>
      <c r="I392" s="576" t="s">
        <v>62</v>
      </c>
      <c r="J392" s="576" t="s">
        <v>63</v>
      </c>
      <c r="K392" s="593">
        <v>45821</v>
      </c>
      <c r="L392" s="594" t="s">
        <v>2691</v>
      </c>
      <c r="M392" s="594" t="s">
        <v>2692</v>
      </c>
      <c r="N392" s="575">
        <v>72853604</v>
      </c>
      <c r="O392" s="596">
        <v>15</v>
      </c>
      <c r="P392" s="576" t="s">
        <v>442</v>
      </c>
      <c r="Q392" s="576" t="s">
        <v>62</v>
      </c>
      <c r="R392" s="597"/>
      <c r="S392" s="575" t="str">
        <f t="shared" si="14"/>
        <v>001-500-000073379</v>
      </c>
      <c r="T392" s="599" t="s">
        <v>2693</v>
      </c>
      <c r="U392" s="621" t="s">
        <v>2694</v>
      </c>
    </row>
    <row r="393" spans="1:21" ht="24" customHeight="1" x14ac:dyDescent="0.2">
      <c r="A393" s="624">
        <v>388</v>
      </c>
      <c r="B393" s="574">
        <v>45789</v>
      </c>
      <c r="C393" s="575" t="s">
        <v>100</v>
      </c>
      <c r="D393" s="575" t="s">
        <v>2688</v>
      </c>
      <c r="E393" s="576">
        <v>112030008</v>
      </c>
      <c r="F393" s="575" t="s">
        <v>102</v>
      </c>
      <c r="G393" s="575" t="s">
        <v>2695</v>
      </c>
      <c r="H393" s="576" t="s">
        <v>41</v>
      </c>
      <c r="I393" s="576" t="s">
        <v>62</v>
      </c>
      <c r="J393" s="576" t="s">
        <v>63</v>
      </c>
      <c r="K393" s="593">
        <v>45821</v>
      </c>
      <c r="L393" s="594" t="s">
        <v>2691</v>
      </c>
      <c r="M393" s="594" t="s">
        <v>2692</v>
      </c>
      <c r="N393" s="575">
        <v>72853604</v>
      </c>
      <c r="O393" s="596">
        <v>15</v>
      </c>
      <c r="P393" s="576" t="s">
        <v>442</v>
      </c>
      <c r="Q393" s="576" t="s">
        <v>62</v>
      </c>
      <c r="R393" s="597"/>
      <c r="S393" s="575" t="str">
        <f t="shared" si="14"/>
        <v>001-500-000073379</v>
      </c>
      <c r="T393" s="599" t="s">
        <v>2693</v>
      </c>
      <c r="U393" s="621" t="s">
        <v>2694</v>
      </c>
    </row>
    <row r="394" spans="1:21" ht="24" customHeight="1" x14ac:dyDescent="0.2">
      <c r="A394" s="624">
        <v>389</v>
      </c>
      <c r="B394" s="574">
        <v>45789</v>
      </c>
      <c r="C394" s="575" t="s">
        <v>100</v>
      </c>
      <c r="D394" s="575" t="s">
        <v>2688</v>
      </c>
      <c r="E394" s="576">
        <v>1110000051</v>
      </c>
      <c r="F394" s="575" t="s">
        <v>2696</v>
      </c>
      <c r="G394" s="575" t="s">
        <v>2697</v>
      </c>
      <c r="H394" s="576" t="s">
        <v>41</v>
      </c>
      <c r="I394" s="576" t="s">
        <v>62</v>
      </c>
      <c r="J394" s="576" t="s">
        <v>63</v>
      </c>
      <c r="K394" s="593">
        <v>45821</v>
      </c>
      <c r="L394" s="594" t="s">
        <v>2691</v>
      </c>
      <c r="M394" s="594" t="s">
        <v>2692</v>
      </c>
      <c r="N394" s="575">
        <v>72853604</v>
      </c>
      <c r="O394" s="596">
        <v>15</v>
      </c>
      <c r="P394" s="576" t="s">
        <v>442</v>
      </c>
      <c r="Q394" s="576" t="s">
        <v>62</v>
      </c>
      <c r="R394" s="597"/>
      <c r="S394" s="575" t="str">
        <f t="shared" si="14"/>
        <v>001-500-000073379</v>
      </c>
      <c r="T394" s="599" t="s">
        <v>2693</v>
      </c>
      <c r="U394" s="621" t="s">
        <v>2694</v>
      </c>
    </row>
    <row r="395" spans="1:21" ht="24" customHeight="1" x14ac:dyDescent="0.2">
      <c r="A395" s="624">
        <v>390</v>
      </c>
      <c r="B395" s="574">
        <v>45735</v>
      </c>
      <c r="C395" s="575" t="s">
        <v>161</v>
      </c>
      <c r="D395" s="575" t="s">
        <v>2698</v>
      </c>
      <c r="E395" s="576">
        <v>112030019</v>
      </c>
      <c r="F395" s="575" t="s">
        <v>2699</v>
      </c>
      <c r="G395" s="575" t="s">
        <v>2700</v>
      </c>
      <c r="H395" s="576" t="s">
        <v>41</v>
      </c>
      <c r="I395" s="576" t="s">
        <v>62</v>
      </c>
      <c r="J395" s="576" t="s">
        <v>63</v>
      </c>
      <c r="K395" s="593">
        <v>45824</v>
      </c>
      <c r="L395" s="594" t="s">
        <v>2701</v>
      </c>
      <c r="M395" s="594" t="s">
        <v>2702</v>
      </c>
      <c r="N395" s="575">
        <v>72892847</v>
      </c>
      <c r="O395" s="596">
        <v>15</v>
      </c>
      <c r="P395" s="576" t="s">
        <v>442</v>
      </c>
      <c r="Q395" s="576" t="s">
        <v>62</v>
      </c>
      <c r="R395" s="597"/>
      <c r="S395" s="575" t="str">
        <f t="shared" si="14"/>
        <v>040-103-000012549</v>
      </c>
      <c r="T395" s="599" t="s">
        <v>2703</v>
      </c>
      <c r="U395" s="621" t="s">
        <v>2704</v>
      </c>
    </row>
    <row r="396" spans="1:21" ht="24" customHeight="1" x14ac:dyDescent="0.2">
      <c r="A396" s="624">
        <v>391</v>
      </c>
      <c r="B396" s="574">
        <v>45735</v>
      </c>
      <c r="C396" s="575" t="s">
        <v>161</v>
      </c>
      <c r="D396" s="575" t="s">
        <v>2698</v>
      </c>
      <c r="E396" s="576">
        <v>111000051</v>
      </c>
      <c r="F396" s="575" t="s">
        <v>109</v>
      </c>
      <c r="G396" s="575" t="s">
        <v>2705</v>
      </c>
      <c r="H396" s="576" t="s">
        <v>41</v>
      </c>
      <c r="I396" s="576" t="s">
        <v>62</v>
      </c>
      <c r="J396" s="576" t="s">
        <v>63</v>
      </c>
      <c r="K396" s="593">
        <v>45824</v>
      </c>
      <c r="L396" s="594" t="s">
        <v>2701</v>
      </c>
      <c r="M396" s="594" t="s">
        <v>2702</v>
      </c>
      <c r="N396" s="575">
        <v>72892847</v>
      </c>
      <c r="O396" s="596">
        <v>15</v>
      </c>
      <c r="P396" s="576" t="s">
        <v>442</v>
      </c>
      <c r="Q396" s="576" t="s">
        <v>62</v>
      </c>
      <c r="R396" s="597"/>
      <c r="S396" s="575" t="str">
        <f t="shared" si="14"/>
        <v>040-103-000012549</v>
      </c>
      <c r="T396" s="599" t="s">
        <v>2703</v>
      </c>
      <c r="U396" s="621" t="s">
        <v>2704</v>
      </c>
    </row>
    <row r="397" spans="1:21" ht="24" customHeight="1" x14ac:dyDescent="0.2">
      <c r="A397" s="624">
        <v>392</v>
      </c>
      <c r="B397" s="574">
        <v>45735</v>
      </c>
      <c r="C397" s="575" t="s">
        <v>161</v>
      </c>
      <c r="D397" s="575" t="s">
        <v>2698</v>
      </c>
      <c r="E397" s="576">
        <v>40782127</v>
      </c>
      <c r="F397" s="575" t="s">
        <v>838</v>
      </c>
      <c r="G397" s="575" t="s">
        <v>2706</v>
      </c>
      <c r="H397" s="576" t="s">
        <v>41</v>
      </c>
      <c r="I397" s="576" t="s">
        <v>62</v>
      </c>
      <c r="J397" s="576" t="s">
        <v>63</v>
      </c>
      <c r="K397" s="593">
        <v>45824</v>
      </c>
      <c r="L397" s="594" t="s">
        <v>2701</v>
      </c>
      <c r="M397" s="594" t="s">
        <v>2702</v>
      </c>
      <c r="N397" s="575">
        <v>72892847</v>
      </c>
      <c r="O397" s="596">
        <v>15</v>
      </c>
      <c r="P397" s="576" t="s">
        <v>442</v>
      </c>
      <c r="Q397" s="576" t="s">
        <v>62</v>
      </c>
      <c r="R397" s="597"/>
      <c r="S397" s="575" t="str">
        <f t="shared" si="14"/>
        <v>040-103-000012549</v>
      </c>
      <c r="T397" s="599" t="s">
        <v>2703</v>
      </c>
      <c r="U397" s="621" t="s">
        <v>2704</v>
      </c>
    </row>
    <row r="398" spans="1:21" ht="24" customHeight="1" x14ac:dyDescent="0.2">
      <c r="A398" s="624">
        <v>393</v>
      </c>
      <c r="B398" s="574">
        <v>45735</v>
      </c>
      <c r="C398" s="575" t="s">
        <v>161</v>
      </c>
      <c r="D398" s="575" t="s">
        <v>2698</v>
      </c>
      <c r="E398" s="576">
        <v>113436051</v>
      </c>
      <c r="F398" s="575" t="s">
        <v>2654</v>
      </c>
      <c r="G398" s="575" t="s">
        <v>2707</v>
      </c>
      <c r="H398" s="576" t="s">
        <v>41</v>
      </c>
      <c r="I398" s="576" t="s">
        <v>62</v>
      </c>
      <c r="J398" s="576" t="s">
        <v>63</v>
      </c>
      <c r="K398" s="593">
        <v>45824</v>
      </c>
      <c r="L398" s="594" t="s">
        <v>2701</v>
      </c>
      <c r="M398" s="594" t="s">
        <v>2702</v>
      </c>
      <c r="N398" s="575">
        <v>72892847</v>
      </c>
      <c r="O398" s="596">
        <v>15</v>
      </c>
      <c r="P398" s="576" t="s">
        <v>442</v>
      </c>
      <c r="Q398" s="576" t="s">
        <v>62</v>
      </c>
      <c r="R398" s="597"/>
      <c r="S398" s="575" t="str">
        <f t="shared" si="14"/>
        <v>040-103-000012549</v>
      </c>
      <c r="T398" s="599" t="s">
        <v>2703</v>
      </c>
      <c r="U398" s="621" t="s">
        <v>2704</v>
      </c>
    </row>
    <row r="399" spans="1:21" ht="24" customHeight="1" x14ac:dyDescent="0.2">
      <c r="A399" s="624">
        <v>394</v>
      </c>
      <c r="B399" s="574">
        <v>45735</v>
      </c>
      <c r="C399" s="575" t="s">
        <v>161</v>
      </c>
      <c r="D399" s="575" t="s">
        <v>2698</v>
      </c>
      <c r="E399" s="576">
        <v>113600015</v>
      </c>
      <c r="F399" s="575" t="s">
        <v>2178</v>
      </c>
      <c r="G399" s="575" t="s">
        <v>2708</v>
      </c>
      <c r="H399" s="576" t="s">
        <v>41</v>
      </c>
      <c r="I399" s="576" t="s">
        <v>62</v>
      </c>
      <c r="J399" s="576" t="s">
        <v>63</v>
      </c>
      <c r="K399" s="593">
        <v>45824</v>
      </c>
      <c r="L399" s="594" t="s">
        <v>2701</v>
      </c>
      <c r="M399" s="594" t="s">
        <v>2702</v>
      </c>
      <c r="N399" s="575">
        <v>72892847</v>
      </c>
      <c r="O399" s="596">
        <v>15</v>
      </c>
      <c r="P399" s="576" t="s">
        <v>442</v>
      </c>
      <c r="Q399" s="576" t="s">
        <v>62</v>
      </c>
      <c r="R399" s="597"/>
      <c r="S399" s="575" t="str">
        <f t="shared" si="14"/>
        <v>040-103-000012549</v>
      </c>
      <c r="T399" s="599" t="s">
        <v>2703</v>
      </c>
      <c r="U399" s="621" t="s">
        <v>2704</v>
      </c>
    </row>
    <row r="400" spans="1:21" ht="24" customHeight="1" x14ac:dyDescent="0.2">
      <c r="A400" s="624">
        <v>395</v>
      </c>
      <c r="B400" s="574">
        <v>45692</v>
      </c>
      <c r="C400" s="575" t="s">
        <v>161</v>
      </c>
      <c r="D400" s="575" t="s">
        <v>2709</v>
      </c>
      <c r="E400" s="576">
        <v>113436051</v>
      </c>
      <c r="F400" s="575" t="s">
        <v>2654</v>
      </c>
      <c r="G400" s="575" t="s">
        <v>2710</v>
      </c>
      <c r="H400" s="576" t="s">
        <v>41</v>
      </c>
      <c r="I400" s="576" t="s">
        <v>62</v>
      </c>
      <c r="J400" s="576" t="s">
        <v>63</v>
      </c>
      <c r="K400" s="593">
        <v>45824</v>
      </c>
      <c r="L400" s="594" t="s">
        <v>2711</v>
      </c>
      <c r="M400" s="594" t="s">
        <v>2712</v>
      </c>
      <c r="N400" s="575">
        <v>985475236</v>
      </c>
      <c r="O400" s="596">
        <v>15</v>
      </c>
      <c r="P400" s="576" t="s">
        <v>442</v>
      </c>
      <c r="Q400" s="576" t="s">
        <v>62</v>
      </c>
      <c r="R400" s="597"/>
      <c r="S400" s="575" t="str">
        <f t="shared" si="14"/>
        <v>040-104-000009784</v>
      </c>
      <c r="T400" s="599" t="s">
        <v>2713</v>
      </c>
      <c r="U400" s="621" t="s">
        <v>2714</v>
      </c>
    </row>
    <row r="401" spans="1:21" ht="24" customHeight="1" x14ac:dyDescent="0.2">
      <c r="A401" s="624">
        <v>396</v>
      </c>
      <c r="B401" s="574">
        <v>45692</v>
      </c>
      <c r="C401" s="575" t="s">
        <v>161</v>
      </c>
      <c r="D401" s="575" t="s">
        <v>2709</v>
      </c>
      <c r="E401" s="576">
        <v>112030019</v>
      </c>
      <c r="F401" s="575" t="s">
        <v>2699</v>
      </c>
      <c r="G401" s="575" t="s">
        <v>2715</v>
      </c>
      <c r="H401" s="576" t="s">
        <v>41</v>
      </c>
      <c r="I401" s="576" t="s">
        <v>62</v>
      </c>
      <c r="J401" s="576" t="s">
        <v>63</v>
      </c>
      <c r="K401" s="593">
        <v>45824</v>
      </c>
      <c r="L401" s="594" t="s">
        <v>2711</v>
      </c>
      <c r="M401" s="594" t="s">
        <v>2712</v>
      </c>
      <c r="N401" s="575">
        <v>985475236</v>
      </c>
      <c r="O401" s="596">
        <v>15</v>
      </c>
      <c r="P401" s="576" t="s">
        <v>442</v>
      </c>
      <c r="Q401" s="576" t="s">
        <v>62</v>
      </c>
      <c r="R401" s="597"/>
      <c r="S401" s="575" t="str">
        <f t="shared" si="14"/>
        <v>040-104-000009784</v>
      </c>
      <c r="T401" s="599" t="s">
        <v>2713</v>
      </c>
      <c r="U401" s="621" t="s">
        <v>2714</v>
      </c>
    </row>
    <row r="402" spans="1:21" ht="24" customHeight="1" x14ac:dyDescent="0.2">
      <c r="A402" s="624">
        <v>397</v>
      </c>
      <c r="B402" s="574">
        <v>45692</v>
      </c>
      <c r="C402" s="575" t="s">
        <v>161</v>
      </c>
      <c r="D402" s="575" t="s">
        <v>2709</v>
      </c>
      <c r="E402" s="576">
        <v>111000051</v>
      </c>
      <c r="F402" s="575" t="s">
        <v>109</v>
      </c>
      <c r="G402" s="575" t="s">
        <v>2716</v>
      </c>
      <c r="H402" s="576" t="s">
        <v>41</v>
      </c>
      <c r="I402" s="576" t="s">
        <v>62</v>
      </c>
      <c r="J402" s="576" t="s">
        <v>63</v>
      </c>
      <c r="K402" s="593">
        <v>45824</v>
      </c>
      <c r="L402" s="594" t="s">
        <v>2711</v>
      </c>
      <c r="M402" s="594" t="s">
        <v>2712</v>
      </c>
      <c r="N402" s="575">
        <v>985475236</v>
      </c>
      <c r="O402" s="596">
        <v>15</v>
      </c>
      <c r="P402" s="576" t="s">
        <v>442</v>
      </c>
      <c r="Q402" s="576" t="s">
        <v>62</v>
      </c>
      <c r="R402" s="597"/>
      <c r="S402" s="575" t="str">
        <f t="shared" si="14"/>
        <v>040-104-000009784</v>
      </c>
      <c r="T402" s="599" t="s">
        <v>2713</v>
      </c>
      <c r="U402" s="621" t="s">
        <v>2714</v>
      </c>
    </row>
    <row r="403" spans="1:21" ht="24" customHeight="1" x14ac:dyDescent="0.2">
      <c r="A403" s="624">
        <v>398</v>
      </c>
      <c r="B403" s="574">
        <v>45692</v>
      </c>
      <c r="C403" s="575" t="s">
        <v>161</v>
      </c>
      <c r="D403" s="575" t="s">
        <v>2709</v>
      </c>
      <c r="E403" s="576">
        <v>40782127</v>
      </c>
      <c r="F403" s="575" t="s">
        <v>838</v>
      </c>
      <c r="G403" s="575" t="s">
        <v>2717</v>
      </c>
      <c r="H403" s="576" t="s">
        <v>41</v>
      </c>
      <c r="I403" s="576" t="s">
        <v>62</v>
      </c>
      <c r="J403" s="576" t="s">
        <v>63</v>
      </c>
      <c r="K403" s="593">
        <v>45824</v>
      </c>
      <c r="L403" s="594" t="s">
        <v>2711</v>
      </c>
      <c r="M403" s="594" t="s">
        <v>2712</v>
      </c>
      <c r="N403" s="575">
        <v>985475236</v>
      </c>
      <c r="O403" s="596">
        <v>15</v>
      </c>
      <c r="P403" s="576" t="s">
        <v>442</v>
      </c>
      <c r="Q403" s="576" t="s">
        <v>62</v>
      </c>
      <c r="R403" s="597"/>
      <c r="S403" s="575" t="str">
        <f t="shared" si="14"/>
        <v>040-104-000009784</v>
      </c>
      <c r="T403" s="599" t="s">
        <v>2713</v>
      </c>
      <c r="U403" s="621" t="s">
        <v>2714</v>
      </c>
    </row>
    <row r="404" spans="1:21" ht="24" customHeight="1" x14ac:dyDescent="0.2">
      <c r="A404" s="624">
        <v>399</v>
      </c>
      <c r="B404" s="574">
        <v>45619</v>
      </c>
      <c r="C404" s="575" t="s">
        <v>161</v>
      </c>
      <c r="D404" s="575" t="s">
        <v>2718</v>
      </c>
      <c r="E404" s="576">
        <v>112510035</v>
      </c>
      <c r="F404" s="575" t="s">
        <v>2719</v>
      </c>
      <c r="G404" s="575" t="s">
        <v>2720</v>
      </c>
      <c r="H404" s="576" t="s">
        <v>41</v>
      </c>
      <c r="I404" s="576" t="s">
        <v>62</v>
      </c>
      <c r="J404" s="576" t="s">
        <v>63</v>
      </c>
      <c r="K404" s="593">
        <v>45824</v>
      </c>
      <c r="L404" s="594" t="s">
        <v>2721</v>
      </c>
      <c r="M404" s="594" t="s">
        <v>2722</v>
      </c>
      <c r="N404" s="575">
        <v>997273379</v>
      </c>
      <c r="O404" s="596">
        <v>20</v>
      </c>
      <c r="P404" s="576" t="s">
        <v>442</v>
      </c>
      <c r="Q404" s="576" t="s">
        <v>62</v>
      </c>
      <c r="R404" s="597"/>
      <c r="S404" s="575" t="str">
        <f t="shared" si="14"/>
        <v>040-105-000001749</v>
      </c>
      <c r="T404" s="599" t="s">
        <v>2723</v>
      </c>
      <c r="U404" s="621" t="s">
        <v>2724</v>
      </c>
    </row>
    <row r="405" spans="1:21" ht="24" customHeight="1" x14ac:dyDescent="0.2">
      <c r="A405" s="624">
        <v>400</v>
      </c>
      <c r="B405" s="574">
        <v>45619</v>
      </c>
      <c r="C405" s="575" t="s">
        <v>161</v>
      </c>
      <c r="D405" s="575" t="s">
        <v>2718</v>
      </c>
      <c r="E405" s="576">
        <v>40446712</v>
      </c>
      <c r="F405" s="575" t="s">
        <v>519</v>
      </c>
      <c r="G405" s="575" t="s">
        <v>2725</v>
      </c>
      <c r="H405" s="576" t="s">
        <v>41</v>
      </c>
      <c r="I405" s="576" t="s">
        <v>62</v>
      </c>
      <c r="J405" s="576" t="s">
        <v>63</v>
      </c>
      <c r="K405" s="593">
        <v>45824</v>
      </c>
      <c r="L405" s="594" t="s">
        <v>2721</v>
      </c>
      <c r="M405" s="594" t="s">
        <v>2722</v>
      </c>
      <c r="N405" s="575">
        <v>997273379</v>
      </c>
      <c r="O405" s="596">
        <v>20</v>
      </c>
      <c r="P405" s="576" t="s">
        <v>442</v>
      </c>
      <c r="Q405" s="576" t="s">
        <v>62</v>
      </c>
      <c r="R405" s="597"/>
      <c r="S405" s="575" t="str">
        <f t="shared" si="14"/>
        <v>040-105-000001749</v>
      </c>
      <c r="T405" s="599" t="s">
        <v>2723</v>
      </c>
      <c r="U405" s="621" t="s">
        <v>2724</v>
      </c>
    </row>
    <row r="406" spans="1:21" ht="24" customHeight="1" x14ac:dyDescent="0.2">
      <c r="A406" s="624">
        <v>401</v>
      </c>
      <c r="B406" s="574">
        <v>45730</v>
      </c>
      <c r="C406" s="575" t="s">
        <v>733</v>
      </c>
      <c r="D406" s="575" t="s">
        <v>2726</v>
      </c>
      <c r="E406" s="576">
        <v>1110100028</v>
      </c>
      <c r="F406" s="575" t="s">
        <v>2671</v>
      </c>
      <c r="G406" s="575" t="s">
        <v>2727</v>
      </c>
      <c r="H406" s="576" t="s">
        <v>41</v>
      </c>
      <c r="I406" s="576" t="s">
        <v>62</v>
      </c>
      <c r="J406" s="576" t="s">
        <v>63</v>
      </c>
      <c r="K406" s="593">
        <v>45827</v>
      </c>
      <c r="L406" s="594" t="s">
        <v>2728</v>
      </c>
      <c r="M406" s="594" t="s">
        <v>1224</v>
      </c>
      <c r="N406" s="575">
        <v>983891711</v>
      </c>
      <c r="O406" s="596">
        <v>15</v>
      </c>
      <c r="P406" s="576" t="s">
        <v>442</v>
      </c>
      <c r="Q406" s="576" t="s">
        <v>62</v>
      </c>
      <c r="R406" s="597"/>
      <c r="S406" s="575" t="str">
        <f t="shared" si="14"/>
        <v>002-201-00006693</v>
      </c>
      <c r="T406" s="599" t="s">
        <v>1943</v>
      </c>
      <c r="U406" s="621" t="s">
        <v>2729</v>
      </c>
    </row>
    <row r="407" spans="1:21" ht="24" customHeight="1" x14ac:dyDescent="0.2">
      <c r="A407" s="624">
        <v>402</v>
      </c>
      <c r="B407" s="574">
        <v>45730</v>
      </c>
      <c r="C407" s="575" t="s">
        <v>733</v>
      </c>
      <c r="D407" s="575" t="s">
        <v>2726</v>
      </c>
      <c r="E407" s="576">
        <v>112520025</v>
      </c>
      <c r="F407" s="575" t="s">
        <v>91</v>
      </c>
      <c r="G407" s="575" t="s">
        <v>2730</v>
      </c>
      <c r="H407" s="576" t="s">
        <v>41</v>
      </c>
      <c r="I407" s="576" t="s">
        <v>62</v>
      </c>
      <c r="J407" s="576" t="s">
        <v>63</v>
      </c>
      <c r="K407" s="593">
        <v>45827</v>
      </c>
      <c r="L407" s="594" t="s">
        <v>2728</v>
      </c>
      <c r="M407" s="594" t="s">
        <v>1224</v>
      </c>
      <c r="N407" s="575">
        <v>983891711</v>
      </c>
      <c r="O407" s="596">
        <v>15</v>
      </c>
      <c r="P407" s="576" t="s">
        <v>442</v>
      </c>
      <c r="Q407" s="576" t="s">
        <v>62</v>
      </c>
      <c r="R407" s="597"/>
      <c r="S407" s="575" t="str">
        <f t="shared" si="14"/>
        <v>002-201-00006693</v>
      </c>
      <c r="T407" s="599" t="s">
        <v>1943</v>
      </c>
      <c r="U407" s="621" t="s">
        <v>2729</v>
      </c>
    </row>
    <row r="408" spans="1:21" ht="24" customHeight="1" x14ac:dyDescent="0.2">
      <c r="A408" s="624">
        <v>403</v>
      </c>
      <c r="B408" s="574">
        <v>45692</v>
      </c>
      <c r="C408" s="575" t="s">
        <v>161</v>
      </c>
      <c r="D408" s="575" t="s">
        <v>2709</v>
      </c>
      <c r="E408" s="576">
        <v>40483182</v>
      </c>
      <c r="F408" s="575" t="s">
        <v>2731</v>
      </c>
      <c r="G408" s="575" t="s">
        <v>2732</v>
      </c>
      <c r="H408" s="576" t="s">
        <v>41</v>
      </c>
      <c r="I408" s="576" t="s">
        <v>62</v>
      </c>
      <c r="J408" s="576" t="s">
        <v>63</v>
      </c>
      <c r="K408" s="593">
        <v>45827</v>
      </c>
      <c r="L408" s="594" t="s">
        <v>2711</v>
      </c>
      <c r="M408" s="594" t="s">
        <v>2712</v>
      </c>
      <c r="N408" s="575">
        <v>985475236</v>
      </c>
      <c r="O408" s="596">
        <v>30</v>
      </c>
      <c r="P408" s="576" t="s">
        <v>442</v>
      </c>
      <c r="Q408" s="576" t="s">
        <v>62</v>
      </c>
      <c r="R408" s="597"/>
      <c r="S408" s="575" t="str">
        <f t="shared" si="14"/>
        <v>040-104-000009784</v>
      </c>
      <c r="T408" s="599" t="s">
        <v>2713</v>
      </c>
      <c r="U408" s="621" t="s">
        <v>2714</v>
      </c>
    </row>
    <row r="409" spans="1:21" ht="24" customHeight="1" x14ac:dyDescent="0.2">
      <c r="A409" s="624">
        <v>404</v>
      </c>
      <c r="B409" s="574">
        <v>45692</v>
      </c>
      <c r="C409" s="575" t="s">
        <v>161</v>
      </c>
      <c r="D409" s="575" t="s">
        <v>2709</v>
      </c>
      <c r="E409" s="576">
        <v>112500047</v>
      </c>
      <c r="F409" s="575" t="s">
        <v>284</v>
      </c>
      <c r="G409" s="575" t="s">
        <v>2733</v>
      </c>
      <c r="H409" s="576" t="s">
        <v>41</v>
      </c>
      <c r="I409" s="576" t="s">
        <v>62</v>
      </c>
      <c r="J409" s="576" t="s">
        <v>63</v>
      </c>
      <c r="K409" s="593">
        <v>45827</v>
      </c>
      <c r="L409" s="594" t="s">
        <v>2711</v>
      </c>
      <c r="M409" s="594" t="s">
        <v>2712</v>
      </c>
      <c r="N409" s="575">
        <v>985475236</v>
      </c>
      <c r="O409" s="596">
        <v>20</v>
      </c>
      <c r="P409" s="576" t="s">
        <v>442</v>
      </c>
      <c r="Q409" s="576" t="s">
        <v>62</v>
      </c>
      <c r="R409" s="597"/>
      <c r="S409" s="575" t="str">
        <f t="shared" si="14"/>
        <v>040-104-000009784</v>
      </c>
      <c r="T409" s="599" t="s">
        <v>2713</v>
      </c>
      <c r="U409" s="621" t="s">
        <v>2714</v>
      </c>
    </row>
    <row r="410" spans="1:21" ht="24" customHeight="1" x14ac:dyDescent="0.2">
      <c r="A410" s="624">
        <v>405</v>
      </c>
      <c r="B410" s="666">
        <v>45806</v>
      </c>
      <c r="C410" s="647" t="s">
        <v>202</v>
      </c>
      <c r="D410" s="667" t="s">
        <v>3017</v>
      </c>
      <c r="E410" s="670">
        <v>40460450</v>
      </c>
      <c r="F410" s="667" t="s">
        <v>3018</v>
      </c>
      <c r="G410" s="667" t="s">
        <v>3019</v>
      </c>
      <c r="H410" s="670" t="s">
        <v>41</v>
      </c>
      <c r="I410" s="670" t="s">
        <v>62</v>
      </c>
      <c r="J410" s="670" t="s">
        <v>63</v>
      </c>
      <c r="K410" s="671">
        <v>45827</v>
      </c>
      <c r="L410" s="672" t="s">
        <v>3020</v>
      </c>
      <c r="M410" s="672" t="s">
        <v>3021</v>
      </c>
      <c r="N410" s="667">
        <v>992641745</v>
      </c>
      <c r="O410" s="673">
        <v>20</v>
      </c>
      <c r="P410" s="670" t="s">
        <v>442</v>
      </c>
      <c r="Q410" s="670" t="s">
        <v>62</v>
      </c>
      <c r="R410" s="674"/>
      <c r="S410" s="667" t="s">
        <v>3017</v>
      </c>
      <c r="T410" s="675">
        <v>301910055</v>
      </c>
      <c r="U410" s="669" t="s">
        <v>3022</v>
      </c>
    </row>
    <row r="411" spans="1:21" ht="24" customHeight="1" x14ac:dyDescent="0.2">
      <c r="A411" s="624">
        <v>406</v>
      </c>
      <c r="B411" s="666">
        <v>45806</v>
      </c>
      <c r="C411" s="676" t="s">
        <v>202</v>
      </c>
      <c r="D411" s="677" t="s">
        <v>3017</v>
      </c>
      <c r="E411" s="678">
        <v>40466111</v>
      </c>
      <c r="F411" s="677" t="s">
        <v>1017</v>
      </c>
      <c r="G411" s="677" t="s">
        <v>3023</v>
      </c>
      <c r="H411" s="678" t="s">
        <v>41</v>
      </c>
      <c r="I411" s="678" t="s">
        <v>62</v>
      </c>
      <c r="J411" s="678" t="s">
        <v>63</v>
      </c>
      <c r="K411" s="679">
        <v>45827</v>
      </c>
      <c r="L411" s="680" t="s">
        <v>3020</v>
      </c>
      <c r="M411" s="680" t="s">
        <v>3021</v>
      </c>
      <c r="N411" s="677">
        <v>992641745</v>
      </c>
      <c r="O411" s="681">
        <v>20</v>
      </c>
      <c r="P411" s="678" t="s">
        <v>442</v>
      </c>
      <c r="Q411" s="678" t="s">
        <v>62</v>
      </c>
      <c r="R411" s="682"/>
      <c r="S411" s="677" t="s">
        <v>3017</v>
      </c>
      <c r="T411" s="683">
        <v>301910055</v>
      </c>
      <c r="U411" s="684" t="s">
        <v>3022</v>
      </c>
    </row>
    <row r="412" spans="1:21" ht="24" customHeight="1" x14ac:dyDescent="0.2">
      <c r="A412" s="624">
        <v>407</v>
      </c>
      <c r="B412" s="666">
        <v>45571</v>
      </c>
      <c r="C412" s="676" t="s">
        <v>710</v>
      </c>
      <c r="D412" s="677" t="s">
        <v>3024</v>
      </c>
      <c r="E412" s="678">
        <v>40782128</v>
      </c>
      <c r="F412" s="677" t="s">
        <v>669</v>
      </c>
      <c r="G412" s="677" t="s">
        <v>3025</v>
      </c>
      <c r="H412" s="678" t="s">
        <v>41</v>
      </c>
      <c r="I412" s="678" t="s">
        <v>62</v>
      </c>
      <c r="J412" s="678" t="s">
        <v>63</v>
      </c>
      <c r="K412" s="679">
        <v>45827</v>
      </c>
      <c r="L412" s="680" t="s">
        <v>2619</v>
      </c>
      <c r="M412" s="680" t="s">
        <v>533</v>
      </c>
      <c r="N412" s="677">
        <v>939690930</v>
      </c>
      <c r="O412" s="681">
        <v>15</v>
      </c>
      <c r="P412" s="678" t="s">
        <v>442</v>
      </c>
      <c r="Q412" s="678" t="s">
        <v>62</v>
      </c>
      <c r="R412" s="682"/>
      <c r="S412" s="677" t="s">
        <v>3024</v>
      </c>
      <c r="T412" s="683">
        <v>103534202</v>
      </c>
      <c r="U412" s="684" t="s">
        <v>2620</v>
      </c>
    </row>
    <row r="413" spans="1:21" ht="24" customHeight="1" x14ac:dyDescent="0.2">
      <c r="A413" s="624">
        <v>408</v>
      </c>
      <c r="B413" s="666">
        <v>45571</v>
      </c>
      <c r="C413" s="676" t="s">
        <v>710</v>
      </c>
      <c r="D413" s="677" t="s">
        <v>3024</v>
      </c>
      <c r="E413" s="678">
        <v>40584202</v>
      </c>
      <c r="F413" s="677" t="s">
        <v>1425</v>
      </c>
      <c r="G413" s="677" t="s">
        <v>3026</v>
      </c>
      <c r="H413" s="678" t="s">
        <v>41</v>
      </c>
      <c r="I413" s="678" t="s">
        <v>62</v>
      </c>
      <c r="J413" s="678" t="s">
        <v>63</v>
      </c>
      <c r="K413" s="679">
        <v>45827</v>
      </c>
      <c r="L413" s="680" t="s">
        <v>2619</v>
      </c>
      <c r="M413" s="680" t="s">
        <v>533</v>
      </c>
      <c r="N413" s="677">
        <v>939690930</v>
      </c>
      <c r="O413" s="681">
        <v>15</v>
      </c>
      <c r="P413" s="678" t="s">
        <v>442</v>
      </c>
      <c r="Q413" s="678" t="s">
        <v>62</v>
      </c>
      <c r="R413" s="682"/>
      <c r="S413" s="677" t="s">
        <v>3024</v>
      </c>
      <c r="T413" s="683">
        <v>103534202</v>
      </c>
      <c r="U413" s="684" t="s">
        <v>2620</v>
      </c>
    </row>
    <row r="414" spans="1:21" ht="24" customHeight="1" x14ac:dyDescent="0.2">
      <c r="A414" s="624">
        <v>409</v>
      </c>
      <c r="B414" s="666">
        <v>45571</v>
      </c>
      <c r="C414" s="676" t="s">
        <v>710</v>
      </c>
      <c r="D414" s="677" t="s">
        <v>3024</v>
      </c>
      <c r="E414" s="678">
        <v>111010040</v>
      </c>
      <c r="F414" s="677" t="s">
        <v>578</v>
      </c>
      <c r="G414" s="677" t="s">
        <v>3027</v>
      </c>
      <c r="H414" s="678" t="s">
        <v>41</v>
      </c>
      <c r="I414" s="678" t="s">
        <v>62</v>
      </c>
      <c r="J414" s="678" t="s">
        <v>63</v>
      </c>
      <c r="K414" s="679">
        <v>45827</v>
      </c>
      <c r="L414" s="680" t="s">
        <v>2619</v>
      </c>
      <c r="M414" s="680" t="s">
        <v>533</v>
      </c>
      <c r="N414" s="677">
        <v>939690930</v>
      </c>
      <c r="O414" s="681">
        <v>15</v>
      </c>
      <c r="P414" s="678" t="s">
        <v>442</v>
      </c>
      <c r="Q414" s="678" t="s">
        <v>62</v>
      </c>
      <c r="R414" s="682"/>
      <c r="S414" s="677" t="s">
        <v>3024</v>
      </c>
      <c r="T414" s="683">
        <v>103534202</v>
      </c>
      <c r="U414" s="684" t="s">
        <v>2620</v>
      </c>
    </row>
    <row r="415" spans="1:21" ht="24" customHeight="1" x14ac:dyDescent="0.2">
      <c r="A415" s="624">
        <v>410</v>
      </c>
      <c r="B415" s="666">
        <v>45803</v>
      </c>
      <c r="C415" s="676" t="s">
        <v>190</v>
      </c>
      <c r="D415" s="677" t="s">
        <v>3028</v>
      </c>
      <c r="E415" s="678">
        <v>113100004</v>
      </c>
      <c r="F415" s="677" t="s">
        <v>2140</v>
      </c>
      <c r="G415" s="677" t="s">
        <v>3029</v>
      </c>
      <c r="H415" s="678" t="s">
        <v>41</v>
      </c>
      <c r="I415" s="678" t="s">
        <v>62</v>
      </c>
      <c r="J415" s="678" t="s">
        <v>63</v>
      </c>
      <c r="K415" s="679">
        <v>45831</v>
      </c>
      <c r="L415" s="680" t="s">
        <v>3030</v>
      </c>
      <c r="M415" s="680" t="s">
        <v>533</v>
      </c>
      <c r="N415" s="677">
        <v>968809136</v>
      </c>
      <c r="O415" s="681">
        <v>30</v>
      </c>
      <c r="P415" s="678" t="s">
        <v>442</v>
      </c>
      <c r="Q415" s="678" t="s">
        <v>62</v>
      </c>
      <c r="R415" s="682"/>
      <c r="S415" s="677" t="s">
        <v>3028</v>
      </c>
      <c r="T415" s="685" t="s">
        <v>3031</v>
      </c>
      <c r="U415" s="684" t="s">
        <v>3032</v>
      </c>
    </row>
    <row r="416" spans="1:21" ht="24" customHeight="1" x14ac:dyDescent="0.2">
      <c r="A416" s="624">
        <v>411</v>
      </c>
      <c r="B416" s="666">
        <v>45803</v>
      </c>
      <c r="C416" s="676" t="s">
        <v>190</v>
      </c>
      <c r="D416" s="677" t="s">
        <v>3028</v>
      </c>
      <c r="E416" s="678">
        <v>113100004</v>
      </c>
      <c r="F416" s="677" t="s">
        <v>2140</v>
      </c>
      <c r="G416" s="677" t="s">
        <v>3033</v>
      </c>
      <c r="H416" s="678" t="s">
        <v>41</v>
      </c>
      <c r="I416" s="678" t="s">
        <v>62</v>
      </c>
      <c r="J416" s="678" t="s">
        <v>63</v>
      </c>
      <c r="K416" s="679">
        <v>45831</v>
      </c>
      <c r="L416" s="680" t="s">
        <v>3030</v>
      </c>
      <c r="M416" s="680" t="s">
        <v>533</v>
      </c>
      <c r="N416" s="677">
        <v>968809136</v>
      </c>
      <c r="O416" s="681">
        <v>30</v>
      </c>
      <c r="P416" s="678" t="s">
        <v>442</v>
      </c>
      <c r="Q416" s="678" t="s">
        <v>62</v>
      </c>
      <c r="R416" s="682"/>
      <c r="S416" s="677" t="s">
        <v>3028</v>
      </c>
      <c r="T416" s="685" t="s">
        <v>3031</v>
      </c>
      <c r="U416" s="684" t="s">
        <v>3032</v>
      </c>
    </row>
    <row r="417" spans="1:21" ht="24" customHeight="1" x14ac:dyDescent="0.2">
      <c r="A417" s="624">
        <v>412</v>
      </c>
      <c r="B417" s="666">
        <v>45803</v>
      </c>
      <c r="C417" s="676" t="s">
        <v>190</v>
      </c>
      <c r="D417" s="677" t="s">
        <v>3028</v>
      </c>
      <c r="E417" s="678">
        <v>112570126</v>
      </c>
      <c r="F417" s="677" t="s">
        <v>3034</v>
      </c>
      <c r="G417" s="677" t="s">
        <v>3035</v>
      </c>
      <c r="H417" s="678" t="s">
        <v>41</v>
      </c>
      <c r="I417" s="678" t="s">
        <v>62</v>
      </c>
      <c r="J417" s="678" t="s">
        <v>63</v>
      </c>
      <c r="K417" s="679">
        <v>45831</v>
      </c>
      <c r="L417" s="680" t="s">
        <v>3030</v>
      </c>
      <c r="M417" s="680" t="s">
        <v>533</v>
      </c>
      <c r="N417" s="677">
        <v>968809136</v>
      </c>
      <c r="O417" s="681">
        <v>15</v>
      </c>
      <c r="P417" s="678" t="s">
        <v>442</v>
      </c>
      <c r="Q417" s="678" t="s">
        <v>62</v>
      </c>
      <c r="R417" s="682"/>
      <c r="S417" s="677" t="s">
        <v>3028</v>
      </c>
      <c r="T417" s="685" t="s">
        <v>3031</v>
      </c>
      <c r="U417" s="684" t="s">
        <v>3032</v>
      </c>
    </row>
    <row r="418" spans="1:21" ht="24" customHeight="1" x14ac:dyDescent="0.2">
      <c r="A418" s="624">
        <v>413</v>
      </c>
      <c r="B418" s="666">
        <v>45803</v>
      </c>
      <c r="C418" s="676" t="s">
        <v>190</v>
      </c>
      <c r="D418" s="677" t="s">
        <v>3028</v>
      </c>
      <c r="E418" s="678">
        <v>40584305</v>
      </c>
      <c r="F418" s="677" t="s">
        <v>1406</v>
      </c>
      <c r="G418" s="677" t="s">
        <v>3036</v>
      </c>
      <c r="H418" s="678" t="s">
        <v>41</v>
      </c>
      <c r="I418" s="678" t="s">
        <v>62</v>
      </c>
      <c r="J418" s="678" t="s">
        <v>63</v>
      </c>
      <c r="K418" s="679">
        <v>45831</v>
      </c>
      <c r="L418" s="680" t="s">
        <v>3030</v>
      </c>
      <c r="M418" s="680" t="s">
        <v>533</v>
      </c>
      <c r="N418" s="677">
        <v>968809136</v>
      </c>
      <c r="O418" s="681">
        <v>15</v>
      </c>
      <c r="P418" s="678" t="s">
        <v>442</v>
      </c>
      <c r="Q418" s="678" t="s">
        <v>62</v>
      </c>
      <c r="R418" s="682"/>
      <c r="S418" s="677" t="s">
        <v>3028</v>
      </c>
      <c r="T418" s="685" t="s">
        <v>3031</v>
      </c>
      <c r="U418" s="684" t="s">
        <v>3032</v>
      </c>
    </row>
    <row r="419" spans="1:21" ht="24" customHeight="1" x14ac:dyDescent="0.2">
      <c r="A419" s="624">
        <v>414</v>
      </c>
      <c r="B419" s="666">
        <v>45803</v>
      </c>
      <c r="C419" s="676" t="s">
        <v>190</v>
      </c>
      <c r="D419" s="677" t="s">
        <v>3028</v>
      </c>
      <c r="E419" s="678">
        <v>41560166</v>
      </c>
      <c r="F419" s="677" t="s">
        <v>554</v>
      </c>
      <c r="G419" s="677" t="s">
        <v>3037</v>
      </c>
      <c r="H419" s="678" t="s">
        <v>41</v>
      </c>
      <c r="I419" s="678" t="s">
        <v>62</v>
      </c>
      <c r="J419" s="678" t="s">
        <v>63</v>
      </c>
      <c r="K419" s="679">
        <v>45831</v>
      </c>
      <c r="L419" s="680" t="s">
        <v>3030</v>
      </c>
      <c r="M419" s="680" t="s">
        <v>533</v>
      </c>
      <c r="N419" s="677">
        <v>968809136</v>
      </c>
      <c r="O419" s="681">
        <v>15</v>
      </c>
      <c r="P419" s="678" t="s">
        <v>442</v>
      </c>
      <c r="Q419" s="678" t="s">
        <v>62</v>
      </c>
      <c r="R419" s="682"/>
      <c r="S419" s="677" t="s">
        <v>3028</v>
      </c>
      <c r="T419" s="685" t="s">
        <v>3031</v>
      </c>
      <c r="U419" s="684" t="s">
        <v>3032</v>
      </c>
    </row>
    <row r="420" spans="1:21" ht="24" customHeight="1" x14ac:dyDescent="0.2">
      <c r="A420" s="624">
        <v>415</v>
      </c>
      <c r="B420" s="666">
        <v>45803</v>
      </c>
      <c r="C420" s="676" t="s">
        <v>190</v>
      </c>
      <c r="D420" s="677" t="s">
        <v>3028</v>
      </c>
      <c r="E420" s="678">
        <v>11100051</v>
      </c>
      <c r="F420" s="677" t="s">
        <v>109</v>
      </c>
      <c r="G420" s="677" t="s">
        <v>3038</v>
      </c>
      <c r="H420" s="678" t="s">
        <v>41</v>
      </c>
      <c r="I420" s="678" t="s">
        <v>62</v>
      </c>
      <c r="J420" s="678" t="s">
        <v>63</v>
      </c>
      <c r="K420" s="679">
        <v>45831</v>
      </c>
      <c r="L420" s="680" t="s">
        <v>3030</v>
      </c>
      <c r="M420" s="680" t="s">
        <v>533</v>
      </c>
      <c r="N420" s="677">
        <v>968809136</v>
      </c>
      <c r="O420" s="681">
        <v>15</v>
      </c>
      <c r="P420" s="678" t="s">
        <v>442</v>
      </c>
      <c r="Q420" s="678" t="s">
        <v>62</v>
      </c>
      <c r="R420" s="682"/>
      <c r="S420" s="677" t="s">
        <v>3028</v>
      </c>
      <c r="T420" s="685" t="s">
        <v>3031</v>
      </c>
      <c r="U420" s="684" t="s">
        <v>3032</v>
      </c>
    </row>
    <row r="421" spans="1:21" ht="24" customHeight="1" x14ac:dyDescent="0.2">
      <c r="A421" s="624">
        <v>416</v>
      </c>
      <c r="B421" s="666">
        <v>45803</v>
      </c>
      <c r="C421" s="676" t="s">
        <v>190</v>
      </c>
      <c r="D421" s="677" t="s">
        <v>3028</v>
      </c>
      <c r="E421" s="678">
        <v>112030008</v>
      </c>
      <c r="F421" s="677" t="s">
        <v>3039</v>
      </c>
      <c r="G421" s="677" t="s">
        <v>3040</v>
      </c>
      <c r="H421" s="678" t="s">
        <v>41</v>
      </c>
      <c r="I421" s="678" t="s">
        <v>62</v>
      </c>
      <c r="J421" s="678" t="s">
        <v>63</v>
      </c>
      <c r="K421" s="679">
        <v>45831</v>
      </c>
      <c r="L421" s="680" t="s">
        <v>3030</v>
      </c>
      <c r="M421" s="680" t="s">
        <v>533</v>
      </c>
      <c r="N421" s="677">
        <v>968809136</v>
      </c>
      <c r="O421" s="681">
        <v>15</v>
      </c>
      <c r="P421" s="678" t="s">
        <v>442</v>
      </c>
      <c r="Q421" s="678" t="s">
        <v>62</v>
      </c>
      <c r="R421" s="682"/>
      <c r="S421" s="677" t="s">
        <v>3028</v>
      </c>
      <c r="T421" s="685" t="s">
        <v>3031</v>
      </c>
      <c r="U421" s="684" t="s">
        <v>3032</v>
      </c>
    </row>
    <row r="422" spans="1:21" ht="24" customHeight="1" x14ac:dyDescent="0.2">
      <c r="A422" s="624">
        <v>417</v>
      </c>
      <c r="B422" s="666">
        <v>45803</v>
      </c>
      <c r="C422" s="676" t="s">
        <v>190</v>
      </c>
      <c r="D422" s="677" t="s">
        <v>3028</v>
      </c>
      <c r="E422" s="678">
        <v>114270008</v>
      </c>
      <c r="F422" s="677" t="s">
        <v>2946</v>
      </c>
      <c r="G422" s="677" t="s">
        <v>3041</v>
      </c>
      <c r="H422" s="678" t="s">
        <v>41</v>
      </c>
      <c r="I422" s="678" t="s">
        <v>62</v>
      </c>
      <c r="J422" s="678" t="s">
        <v>63</v>
      </c>
      <c r="K422" s="679">
        <v>45831</v>
      </c>
      <c r="L422" s="680" t="s">
        <v>3030</v>
      </c>
      <c r="M422" s="680" t="s">
        <v>533</v>
      </c>
      <c r="N422" s="677">
        <v>968809136</v>
      </c>
      <c r="O422" s="681">
        <v>15</v>
      </c>
      <c r="P422" s="678" t="s">
        <v>442</v>
      </c>
      <c r="Q422" s="678" t="s">
        <v>62</v>
      </c>
      <c r="R422" s="682"/>
      <c r="S422" s="677" t="s">
        <v>3028</v>
      </c>
      <c r="T422" s="685" t="s">
        <v>3031</v>
      </c>
      <c r="U422" s="684" t="s">
        <v>3032</v>
      </c>
    </row>
    <row r="423" spans="1:21" ht="24" customHeight="1" x14ac:dyDescent="0.2">
      <c r="A423" s="624">
        <v>418</v>
      </c>
      <c r="B423" s="666">
        <v>45803</v>
      </c>
      <c r="C423" s="676" t="s">
        <v>190</v>
      </c>
      <c r="D423" s="677" t="s">
        <v>3028</v>
      </c>
      <c r="E423" s="678">
        <v>113430051</v>
      </c>
      <c r="F423" s="677" t="s">
        <v>2176</v>
      </c>
      <c r="G423" s="686" t="s">
        <v>3042</v>
      </c>
      <c r="H423" s="678" t="s">
        <v>41</v>
      </c>
      <c r="I423" s="678" t="s">
        <v>62</v>
      </c>
      <c r="J423" s="678" t="s">
        <v>63</v>
      </c>
      <c r="K423" s="679">
        <v>45831</v>
      </c>
      <c r="L423" s="680" t="s">
        <v>3030</v>
      </c>
      <c r="M423" s="680" t="s">
        <v>533</v>
      </c>
      <c r="N423" s="677">
        <v>968809136</v>
      </c>
      <c r="O423" s="681">
        <v>15</v>
      </c>
      <c r="P423" s="678" t="s">
        <v>442</v>
      </c>
      <c r="Q423" s="678" t="s">
        <v>62</v>
      </c>
      <c r="R423" s="682"/>
      <c r="S423" s="677" t="s">
        <v>3028</v>
      </c>
      <c r="T423" s="685" t="s">
        <v>3031</v>
      </c>
      <c r="U423" s="684" t="s">
        <v>3032</v>
      </c>
    </row>
    <row r="424" spans="1:21" ht="24" customHeight="1" x14ac:dyDescent="0.2">
      <c r="A424" s="624">
        <v>419</v>
      </c>
      <c r="B424" s="666">
        <v>45803</v>
      </c>
      <c r="C424" s="676" t="s">
        <v>190</v>
      </c>
      <c r="D424" s="677" t="s">
        <v>3028</v>
      </c>
      <c r="E424" s="678">
        <v>114270008</v>
      </c>
      <c r="F424" s="677" t="s">
        <v>2946</v>
      </c>
      <c r="G424" s="677" t="s">
        <v>3043</v>
      </c>
      <c r="H424" s="678" t="s">
        <v>41</v>
      </c>
      <c r="I424" s="678" t="s">
        <v>62</v>
      </c>
      <c r="J424" s="678" t="s">
        <v>63</v>
      </c>
      <c r="K424" s="679">
        <v>45831</v>
      </c>
      <c r="L424" s="680" t="s">
        <v>3030</v>
      </c>
      <c r="M424" s="680" t="s">
        <v>533</v>
      </c>
      <c r="N424" s="677">
        <v>968809136</v>
      </c>
      <c r="O424" s="681">
        <v>15</v>
      </c>
      <c r="P424" s="678" t="s">
        <v>442</v>
      </c>
      <c r="Q424" s="678" t="s">
        <v>62</v>
      </c>
      <c r="R424" s="682"/>
      <c r="S424" s="677" t="s">
        <v>3028</v>
      </c>
      <c r="T424" s="685" t="s">
        <v>3031</v>
      </c>
      <c r="U424" s="684" t="s">
        <v>3032</v>
      </c>
    </row>
    <row r="425" spans="1:21" ht="24" customHeight="1" x14ac:dyDescent="0.2">
      <c r="A425" s="624">
        <v>420</v>
      </c>
      <c r="B425" s="666">
        <v>45680</v>
      </c>
      <c r="C425" s="676" t="s">
        <v>1867</v>
      </c>
      <c r="D425" s="677" t="s">
        <v>3044</v>
      </c>
      <c r="E425" s="678">
        <v>112580058</v>
      </c>
      <c r="F425" s="677" t="s">
        <v>334</v>
      </c>
      <c r="G425" s="677" t="s">
        <v>3045</v>
      </c>
      <c r="H425" s="678" t="s">
        <v>41</v>
      </c>
      <c r="I425" s="678" t="s">
        <v>62</v>
      </c>
      <c r="J425" s="678" t="s">
        <v>63</v>
      </c>
      <c r="K425" s="679">
        <v>45833</v>
      </c>
      <c r="L425" s="680" t="s">
        <v>3046</v>
      </c>
      <c r="M425" s="680" t="s">
        <v>3047</v>
      </c>
      <c r="N425" s="677">
        <v>979792264</v>
      </c>
      <c r="O425" s="681">
        <v>20</v>
      </c>
      <c r="P425" s="678" t="s">
        <v>442</v>
      </c>
      <c r="Q425" s="678" t="s">
        <v>62</v>
      </c>
      <c r="R425" s="682"/>
      <c r="S425" s="677" t="s">
        <v>3044</v>
      </c>
      <c r="T425" s="685" t="s">
        <v>3048</v>
      </c>
      <c r="U425" s="684" t="s">
        <v>3049</v>
      </c>
    </row>
    <row r="426" spans="1:21" ht="24" customHeight="1" x14ac:dyDescent="0.2">
      <c r="A426" s="624">
        <v>421</v>
      </c>
      <c r="B426" s="666">
        <v>45680</v>
      </c>
      <c r="C426" s="676" t="s">
        <v>1867</v>
      </c>
      <c r="D426" s="677" t="s">
        <v>3044</v>
      </c>
      <c r="E426" s="678">
        <v>111000051</v>
      </c>
      <c r="F426" s="677" t="s">
        <v>137</v>
      </c>
      <c r="G426" s="677" t="s">
        <v>3050</v>
      </c>
      <c r="H426" s="678" t="s">
        <v>41</v>
      </c>
      <c r="I426" s="678" t="s">
        <v>62</v>
      </c>
      <c r="J426" s="678" t="s">
        <v>63</v>
      </c>
      <c r="K426" s="679">
        <v>45833</v>
      </c>
      <c r="L426" s="680" t="s">
        <v>3046</v>
      </c>
      <c r="M426" s="680" t="s">
        <v>3047</v>
      </c>
      <c r="N426" s="677">
        <v>979792264</v>
      </c>
      <c r="O426" s="681">
        <v>20</v>
      </c>
      <c r="P426" s="678" t="s">
        <v>442</v>
      </c>
      <c r="Q426" s="678" t="s">
        <v>62</v>
      </c>
      <c r="R426" s="682"/>
      <c r="S426" s="677" t="s">
        <v>3044</v>
      </c>
      <c r="T426" s="685" t="s">
        <v>3048</v>
      </c>
      <c r="U426" s="684" t="s">
        <v>3049</v>
      </c>
    </row>
    <row r="427" spans="1:21" ht="24" customHeight="1" x14ac:dyDescent="0.2">
      <c r="A427" s="624">
        <v>422</v>
      </c>
      <c r="B427" s="666">
        <v>45800</v>
      </c>
      <c r="C427" s="676" t="s">
        <v>733</v>
      </c>
      <c r="D427" s="677" t="s">
        <v>3051</v>
      </c>
      <c r="E427" s="678">
        <v>112570075</v>
      </c>
      <c r="F427" s="677" t="s">
        <v>198</v>
      </c>
      <c r="G427" s="677" t="s">
        <v>3052</v>
      </c>
      <c r="H427" s="678" t="s">
        <v>41</v>
      </c>
      <c r="I427" s="678" t="s">
        <v>62</v>
      </c>
      <c r="J427" s="678" t="s">
        <v>63</v>
      </c>
      <c r="K427" s="679">
        <v>45833</v>
      </c>
      <c r="L427" s="680" t="s">
        <v>3053</v>
      </c>
      <c r="M427" s="680" t="s">
        <v>3054</v>
      </c>
      <c r="N427" s="677">
        <v>999522008</v>
      </c>
      <c r="O427" s="681">
        <v>15</v>
      </c>
      <c r="P427" s="678" t="s">
        <v>442</v>
      </c>
      <c r="Q427" s="678" t="s">
        <v>62</v>
      </c>
      <c r="R427" s="682"/>
      <c r="S427" s="677" t="s">
        <v>3051</v>
      </c>
      <c r="T427" s="685" t="s">
        <v>3055</v>
      </c>
      <c r="U427" s="684" t="s">
        <v>3056</v>
      </c>
    </row>
    <row r="428" spans="1:21" ht="24" customHeight="1" x14ac:dyDescent="0.2">
      <c r="A428" s="624">
        <v>423</v>
      </c>
      <c r="B428" s="666">
        <v>45800</v>
      </c>
      <c r="C428" s="676" t="s">
        <v>733</v>
      </c>
      <c r="D428" s="677" t="s">
        <v>3051</v>
      </c>
      <c r="E428" s="678">
        <v>111020071</v>
      </c>
      <c r="F428" s="677" t="s">
        <v>589</v>
      </c>
      <c r="G428" s="677" t="s">
        <v>3052</v>
      </c>
      <c r="H428" s="678" t="s">
        <v>41</v>
      </c>
      <c r="I428" s="678" t="s">
        <v>62</v>
      </c>
      <c r="J428" s="678" t="s">
        <v>63</v>
      </c>
      <c r="K428" s="679">
        <v>45833</v>
      </c>
      <c r="L428" s="680" t="s">
        <v>3053</v>
      </c>
      <c r="M428" s="680" t="s">
        <v>3054</v>
      </c>
      <c r="N428" s="677">
        <v>999522008</v>
      </c>
      <c r="O428" s="681">
        <v>15</v>
      </c>
      <c r="P428" s="678" t="s">
        <v>442</v>
      </c>
      <c r="Q428" s="678" t="s">
        <v>62</v>
      </c>
      <c r="R428" s="682"/>
      <c r="S428" s="677" t="s">
        <v>3051</v>
      </c>
      <c r="T428" s="685" t="s">
        <v>3055</v>
      </c>
      <c r="U428" s="684" t="s">
        <v>3056</v>
      </c>
    </row>
    <row r="429" spans="1:21" ht="24" customHeight="1" x14ac:dyDescent="0.2">
      <c r="A429" s="624">
        <v>424</v>
      </c>
      <c r="B429" s="666">
        <v>45800</v>
      </c>
      <c r="C429" s="676" t="s">
        <v>733</v>
      </c>
      <c r="D429" s="677" t="s">
        <v>3051</v>
      </c>
      <c r="E429" s="678">
        <v>40466111</v>
      </c>
      <c r="F429" s="677" t="s">
        <v>1017</v>
      </c>
      <c r="G429" s="677" t="s">
        <v>3052</v>
      </c>
      <c r="H429" s="678" t="s">
        <v>41</v>
      </c>
      <c r="I429" s="678" t="s">
        <v>62</v>
      </c>
      <c r="J429" s="678" t="s">
        <v>63</v>
      </c>
      <c r="K429" s="679">
        <v>45833</v>
      </c>
      <c r="L429" s="680" t="s">
        <v>3053</v>
      </c>
      <c r="M429" s="680" t="s">
        <v>3054</v>
      </c>
      <c r="N429" s="677">
        <v>999522008</v>
      </c>
      <c r="O429" s="681">
        <v>15</v>
      </c>
      <c r="P429" s="678" t="s">
        <v>442</v>
      </c>
      <c r="Q429" s="678" t="s">
        <v>62</v>
      </c>
      <c r="R429" s="682"/>
      <c r="S429" s="677" t="s">
        <v>3051</v>
      </c>
      <c r="T429" s="685" t="s">
        <v>3055</v>
      </c>
      <c r="U429" s="684" t="s">
        <v>3056</v>
      </c>
    </row>
    <row r="430" spans="1:21" ht="24" customHeight="1" x14ac:dyDescent="0.2">
      <c r="A430" s="624">
        <v>425</v>
      </c>
      <c r="B430" s="666">
        <v>45717</v>
      </c>
      <c r="C430" s="676" t="s">
        <v>100</v>
      </c>
      <c r="D430" s="677" t="s">
        <v>3057</v>
      </c>
      <c r="E430" s="678">
        <v>40466111</v>
      </c>
      <c r="F430" s="677" t="s">
        <v>252</v>
      </c>
      <c r="G430" s="677" t="s">
        <v>3058</v>
      </c>
      <c r="H430" s="678" t="s">
        <v>41</v>
      </c>
      <c r="I430" s="678" t="s">
        <v>62</v>
      </c>
      <c r="J430" s="678" t="s">
        <v>63</v>
      </c>
      <c r="K430" s="679">
        <v>45833</v>
      </c>
      <c r="L430" s="680" t="s">
        <v>3059</v>
      </c>
      <c r="M430" s="680" t="s">
        <v>3060</v>
      </c>
      <c r="N430" s="677">
        <v>986059241</v>
      </c>
      <c r="O430" s="681">
        <v>20</v>
      </c>
      <c r="P430" s="678" t="s">
        <v>442</v>
      </c>
      <c r="Q430" s="678" t="s">
        <v>62</v>
      </c>
      <c r="R430" s="682"/>
      <c r="S430" s="677" t="s">
        <v>3057</v>
      </c>
      <c r="T430" s="685" t="s">
        <v>3061</v>
      </c>
      <c r="U430" s="684" t="s">
        <v>3062</v>
      </c>
    </row>
    <row r="431" spans="1:21" ht="24" customHeight="1" x14ac:dyDescent="0.2">
      <c r="A431" s="624">
        <v>426</v>
      </c>
      <c r="B431" s="666">
        <v>45717</v>
      </c>
      <c r="C431" s="676" t="s">
        <v>100</v>
      </c>
      <c r="D431" s="677" t="s">
        <v>3063</v>
      </c>
      <c r="E431" s="678">
        <v>112580017</v>
      </c>
      <c r="F431" s="677" t="s">
        <v>228</v>
      </c>
      <c r="G431" s="677" t="s">
        <v>3064</v>
      </c>
      <c r="H431" s="678" t="s">
        <v>41</v>
      </c>
      <c r="I431" s="678" t="s">
        <v>62</v>
      </c>
      <c r="J431" s="678" t="s">
        <v>63</v>
      </c>
      <c r="K431" s="679">
        <v>45833</v>
      </c>
      <c r="L431" s="680" t="s">
        <v>3059</v>
      </c>
      <c r="M431" s="680" t="s">
        <v>3060</v>
      </c>
      <c r="N431" s="677">
        <v>986059241</v>
      </c>
      <c r="O431" s="681">
        <v>20</v>
      </c>
      <c r="P431" s="678" t="s">
        <v>442</v>
      </c>
      <c r="Q431" s="678" t="s">
        <v>62</v>
      </c>
      <c r="R431" s="682"/>
      <c r="S431" s="677" t="s">
        <v>3063</v>
      </c>
      <c r="T431" s="685" t="s">
        <v>3061</v>
      </c>
      <c r="U431" s="684" t="s">
        <v>3062</v>
      </c>
    </row>
    <row r="432" spans="1:21" ht="24" customHeight="1" x14ac:dyDescent="0.2">
      <c r="A432" s="624">
        <v>427</v>
      </c>
      <c r="B432" s="666">
        <v>45695</v>
      </c>
      <c r="C432" s="676" t="s">
        <v>100</v>
      </c>
      <c r="D432" s="677" t="s">
        <v>2598</v>
      </c>
      <c r="E432" s="678">
        <v>112950021</v>
      </c>
      <c r="F432" s="677" t="s">
        <v>522</v>
      </c>
      <c r="G432" s="677" t="s">
        <v>3065</v>
      </c>
      <c r="H432" s="678" t="s">
        <v>41</v>
      </c>
      <c r="I432" s="678" t="s">
        <v>62</v>
      </c>
      <c r="J432" s="678" t="s">
        <v>63</v>
      </c>
      <c r="K432" s="679">
        <v>45834</v>
      </c>
      <c r="L432" s="680" t="s">
        <v>2600</v>
      </c>
      <c r="M432" s="680" t="s">
        <v>2125</v>
      </c>
      <c r="N432" s="677">
        <v>993096099</v>
      </c>
      <c r="O432" s="681">
        <v>20</v>
      </c>
      <c r="P432" s="678" t="s">
        <v>442</v>
      </c>
      <c r="Q432" s="678" t="s">
        <v>62</v>
      </c>
      <c r="R432" s="682"/>
      <c r="S432" s="677" t="s">
        <v>2598</v>
      </c>
      <c r="T432" s="683">
        <v>102082492</v>
      </c>
      <c r="U432" s="684" t="s">
        <v>3066</v>
      </c>
    </row>
    <row r="433" spans="1:21" ht="24" customHeight="1" x14ac:dyDescent="0.2">
      <c r="A433" s="624">
        <v>428</v>
      </c>
      <c r="B433" s="666">
        <v>45695</v>
      </c>
      <c r="C433" s="676" t="s">
        <v>100</v>
      </c>
      <c r="D433" s="677" t="s">
        <v>2598</v>
      </c>
      <c r="E433" s="678">
        <v>112580058</v>
      </c>
      <c r="F433" s="677" t="s">
        <v>334</v>
      </c>
      <c r="G433" s="677" t="s">
        <v>3067</v>
      </c>
      <c r="H433" s="678" t="s">
        <v>41</v>
      </c>
      <c r="I433" s="678" t="s">
        <v>62</v>
      </c>
      <c r="J433" s="678" t="s">
        <v>63</v>
      </c>
      <c r="K433" s="679">
        <v>45834</v>
      </c>
      <c r="L433" s="680" t="s">
        <v>2600</v>
      </c>
      <c r="M433" s="680" t="s">
        <v>2125</v>
      </c>
      <c r="N433" s="677">
        <v>993096099</v>
      </c>
      <c r="O433" s="681">
        <v>20</v>
      </c>
      <c r="P433" s="678" t="s">
        <v>442</v>
      </c>
      <c r="Q433" s="678" t="s">
        <v>62</v>
      </c>
      <c r="R433" s="682"/>
      <c r="S433" s="677" t="s">
        <v>2598</v>
      </c>
      <c r="T433" s="683">
        <v>102082492</v>
      </c>
      <c r="U433" s="684" t="s">
        <v>3066</v>
      </c>
    </row>
    <row r="434" spans="1:21" ht="24" customHeight="1" x14ac:dyDescent="0.2">
      <c r="A434" s="624">
        <v>429</v>
      </c>
      <c r="B434" s="666">
        <v>45826</v>
      </c>
      <c r="C434" s="676" t="s">
        <v>100</v>
      </c>
      <c r="D434" s="677" t="s">
        <v>3068</v>
      </c>
      <c r="E434" s="678">
        <v>112950020</v>
      </c>
      <c r="F434" s="677" t="s">
        <v>2603</v>
      </c>
      <c r="G434" s="677" t="s">
        <v>3069</v>
      </c>
      <c r="H434" s="678" t="s">
        <v>41</v>
      </c>
      <c r="I434" s="678" t="s">
        <v>62</v>
      </c>
      <c r="J434" s="678" t="s">
        <v>63</v>
      </c>
      <c r="K434" s="679">
        <v>45834</v>
      </c>
      <c r="L434" s="680" t="s">
        <v>3070</v>
      </c>
      <c r="M434" s="680" t="s">
        <v>3071</v>
      </c>
      <c r="N434" s="677">
        <v>963122710</v>
      </c>
      <c r="O434" s="681">
        <v>20</v>
      </c>
      <c r="P434" s="678" t="s">
        <v>442</v>
      </c>
      <c r="Q434" s="678" t="s">
        <v>62</v>
      </c>
      <c r="R434" s="682"/>
      <c r="S434" s="677" t="s">
        <v>3068</v>
      </c>
      <c r="T434" s="683">
        <v>152476768</v>
      </c>
      <c r="U434" s="684" t="s">
        <v>3072</v>
      </c>
    </row>
    <row r="435" spans="1:21" ht="24" customHeight="1" x14ac:dyDescent="0.2">
      <c r="A435" s="624">
        <v>430</v>
      </c>
      <c r="B435" s="666">
        <v>45826</v>
      </c>
      <c r="C435" s="676" t="s">
        <v>100</v>
      </c>
      <c r="D435" s="677" t="s">
        <v>3068</v>
      </c>
      <c r="E435" s="678">
        <v>112580027</v>
      </c>
      <c r="F435" s="677" t="s">
        <v>3073</v>
      </c>
      <c r="G435" s="677" t="s">
        <v>3074</v>
      </c>
      <c r="H435" s="678" t="s">
        <v>41</v>
      </c>
      <c r="I435" s="678" t="s">
        <v>62</v>
      </c>
      <c r="J435" s="678" t="s">
        <v>63</v>
      </c>
      <c r="K435" s="679">
        <v>45834</v>
      </c>
      <c r="L435" s="680" t="s">
        <v>3070</v>
      </c>
      <c r="M435" s="680" t="s">
        <v>3071</v>
      </c>
      <c r="N435" s="677">
        <v>963122710</v>
      </c>
      <c r="O435" s="681">
        <v>20</v>
      </c>
      <c r="P435" s="678" t="s">
        <v>442</v>
      </c>
      <c r="Q435" s="678" t="s">
        <v>62</v>
      </c>
      <c r="R435" s="682"/>
      <c r="S435" s="677" t="s">
        <v>3068</v>
      </c>
      <c r="T435" s="683">
        <v>152476768</v>
      </c>
      <c r="U435" s="684" t="s">
        <v>3072</v>
      </c>
    </row>
    <row r="436" spans="1:21" ht="24" customHeight="1" x14ac:dyDescent="0.2">
      <c r="A436" s="624">
        <v>431</v>
      </c>
      <c r="B436" s="666">
        <v>45806</v>
      </c>
      <c r="C436" s="676" t="s">
        <v>733</v>
      </c>
      <c r="D436" s="677" t="s">
        <v>3075</v>
      </c>
      <c r="E436" s="678">
        <v>40584012</v>
      </c>
      <c r="F436" s="677" t="s">
        <v>535</v>
      </c>
      <c r="G436" s="677" t="s">
        <v>3076</v>
      </c>
      <c r="H436" s="678" t="s">
        <v>41</v>
      </c>
      <c r="I436" s="678" t="s">
        <v>62</v>
      </c>
      <c r="J436" s="678" t="s">
        <v>63</v>
      </c>
      <c r="K436" s="679">
        <v>45834</v>
      </c>
      <c r="L436" s="680" t="s">
        <v>3077</v>
      </c>
      <c r="M436" s="680" t="s">
        <v>3078</v>
      </c>
      <c r="N436" s="677">
        <v>984718139</v>
      </c>
      <c r="O436" s="681">
        <v>15</v>
      </c>
      <c r="P436" s="678" t="s">
        <v>442</v>
      </c>
      <c r="Q436" s="678" t="s">
        <v>62</v>
      </c>
      <c r="R436" s="682"/>
      <c r="S436" s="677" t="s">
        <v>3075</v>
      </c>
      <c r="T436" s="683">
        <v>105161426</v>
      </c>
      <c r="U436" s="684" t="s">
        <v>3079</v>
      </c>
    </row>
    <row r="437" spans="1:21" ht="24" customHeight="1" x14ac:dyDescent="0.2">
      <c r="A437" s="624">
        <v>432</v>
      </c>
      <c r="B437" s="666">
        <v>45806</v>
      </c>
      <c r="C437" s="676" t="s">
        <v>733</v>
      </c>
      <c r="D437" s="677" t="s">
        <v>3075</v>
      </c>
      <c r="E437" s="678">
        <v>40446712</v>
      </c>
      <c r="F437" s="677" t="s">
        <v>519</v>
      </c>
      <c r="G437" s="677" t="s">
        <v>3080</v>
      </c>
      <c r="H437" s="678" t="s">
        <v>41</v>
      </c>
      <c r="I437" s="678" t="s">
        <v>62</v>
      </c>
      <c r="J437" s="678" t="s">
        <v>63</v>
      </c>
      <c r="K437" s="679">
        <v>45834</v>
      </c>
      <c r="L437" s="680" t="s">
        <v>3077</v>
      </c>
      <c r="M437" s="680" t="s">
        <v>3078</v>
      </c>
      <c r="N437" s="677">
        <v>984718139</v>
      </c>
      <c r="O437" s="681">
        <v>15</v>
      </c>
      <c r="P437" s="678" t="s">
        <v>442</v>
      </c>
      <c r="Q437" s="678" t="s">
        <v>62</v>
      </c>
      <c r="R437" s="682"/>
      <c r="S437" s="677" t="s">
        <v>3075</v>
      </c>
      <c r="T437" s="683">
        <v>105161426</v>
      </c>
      <c r="U437" s="684" t="s">
        <v>3079</v>
      </c>
    </row>
    <row r="438" spans="1:21" ht="24" customHeight="1" x14ac:dyDescent="0.2">
      <c r="A438" s="624">
        <v>433</v>
      </c>
      <c r="B438" s="666">
        <v>45782</v>
      </c>
      <c r="C438" s="676" t="s">
        <v>733</v>
      </c>
      <c r="D438" s="677" t="s">
        <v>3081</v>
      </c>
      <c r="E438" s="678">
        <v>40446712</v>
      </c>
      <c r="F438" s="677" t="s">
        <v>519</v>
      </c>
      <c r="G438" s="677" t="s">
        <v>3082</v>
      </c>
      <c r="H438" s="678" t="s">
        <v>41</v>
      </c>
      <c r="I438" s="678" t="s">
        <v>62</v>
      </c>
      <c r="J438" s="678" t="s">
        <v>63</v>
      </c>
      <c r="K438" s="679">
        <v>45834</v>
      </c>
      <c r="L438" s="680" t="s">
        <v>3077</v>
      </c>
      <c r="M438" s="680" t="s">
        <v>3078</v>
      </c>
      <c r="N438" s="677">
        <v>984718139</v>
      </c>
      <c r="O438" s="681">
        <v>15</v>
      </c>
      <c r="P438" s="678" t="s">
        <v>442</v>
      </c>
      <c r="Q438" s="678" t="s">
        <v>62</v>
      </c>
      <c r="R438" s="682"/>
      <c r="S438" s="677" t="s">
        <v>3081</v>
      </c>
      <c r="T438" s="683">
        <v>105161426</v>
      </c>
      <c r="U438" s="684" t="s">
        <v>3079</v>
      </c>
    </row>
    <row r="439" spans="1:21" ht="24" customHeight="1" x14ac:dyDescent="0.2">
      <c r="A439" s="624">
        <v>434</v>
      </c>
      <c r="B439" s="666">
        <v>45786</v>
      </c>
      <c r="C439" s="676" t="s">
        <v>733</v>
      </c>
      <c r="D439" s="677" t="s">
        <v>3083</v>
      </c>
      <c r="E439" s="678">
        <v>40782127</v>
      </c>
      <c r="F439" s="677" t="s">
        <v>669</v>
      </c>
      <c r="G439" s="677" t="s">
        <v>3084</v>
      </c>
      <c r="H439" s="678" t="s">
        <v>41</v>
      </c>
      <c r="I439" s="678" t="s">
        <v>62</v>
      </c>
      <c r="J439" s="678" t="s">
        <v>63</v>
      </c>
      <c r="K439" s="679">
        <v>45834</v>
      </c>
      <c r="L439" s="680" t="s">
        <v>3077</v>
      </c>
      <c r="M439" s="680" t="s">
        <v>3078</v>
      </c>
      <c r="N439" s="677">
        <v>984718139</v>
      </c>
      <c r="O439" s="681">
        <v>15</v>
      </c>
      <c r="P439" s="678" t="s">
        <v>442</v>
      </c>
      <c r="Q439" s="678" t="s">
        <v>62</v>
      </c>
      <c r="R439" s="682"/>
      <c r="S439" s="677" t="s">
        <v>3083</v>
      </c>
      <c r="T439" s="683">
        <v>105161426</v>
      </c>
      <c r="U439" s="684" t="s">
        <v>3079</v>
      </c>
    </row>
    <row r="440" spans="1:21" ht="24" customHeight="1" x14ac:dyDescent="0.2">
      <c r="A440" s="624">
        <v>435</v>
      </c>
      <c r="B440" s="666">
        <v>45822</v>
      </c>
      <c r="C440" s="676" t="s">
        <v>187</v>
      </c>
      <c r="D440" s="677" t="s">
        <v>3085</v>
      </c>
      <c r="E440" s="678">
        <v>40446702</v>
      </c>
      <c r="F440" s="677" t="s">
        <v>519</v>
      </c>
      <c r="G440" s="677" t="s">
        <v>3086</v>
      </c>
      <c r="H440" s="678" t="s">
        <v>41</v>
      </c>
      <c r="I440" s="678" t="s">
        <v>62</v>
      </c>
      <c r="J440" s="678" t="s">
        <v>63</v>
      </c>
      <c r="K440" s="679">
        <v>45835</v>
      </c>
      <c r="L440" s="680" t="s">
        <v>3087</v>
      </c>
      <c r="M440" s="680" t="s">
        <v>3088</v>
      </c>
      <c r="N440" s="677">
        <v>958648526</v>
      </c>
      <c r="O440" s="681">
        <v>20</v>
      </c>
      <c r="P440" s="678" t="s">
        <v>442</v>
      </c>
      <c r="Q440" s="678" t="s">
        <v>62</v>
      </c>
      <c r="R440" s="682"/>
      <c r="S440" s="677" t="s">
        <v>3085</v>
      </c>
      <c r="T440" s="683">
        <v>958648526</v>
      </c>
      <c r="U440" s="684" t="s">
        <v>3089</v>
      </c>
    </row>
    <row r="441" spans="1:21" ht="24" customHeight="1" x14ac:dyDescent="0.2">
      <c r="A441" s="624">
        <v>436</v>
      </c>
      <c r="B441" s="666">
        <v>45822</v>
      </c>
      <c r="C441" s="676" t="s">
        <v>187</v>
      </c>
      <c r="D441" s="677" t="s">
        <v>3085</v>
      </c>
      <c r="E441" s="678">
        <v>40446702</v>
      </c>
      <c r="F441" s="677" t="s">
        <v>519</v>
      </c>
      <c r="G441" s="677" t="s">
        <v>3090</v>
      </c>
      <c r="H441" s="678" t="s">
        <v>41</v>
      </c>
      <c r="I441" s="678" t="s">
        <v>62</v>
      </c>
      <c r="J441" s="678" t="s">
        <v>63</v>
      </c>
      <c r="K441" s="679">
        <v>45835</v>
      </c>
      <c r="L441" s="680" t="s">
        <v>3087</v>
      </c>
      <c r="M441" s="680" t="s">
        <v>3088</v>
      </c>
      <c r="N441" s="677">
        <v>958648526</v>
      </c>
      <c r="O441" s="681">
        <v>20</v>
      </c>
      <c r="P441" s="678" t="s">
        <v>442</v>
      </c>
      <c r="Q441" s="678" t="s">
        <v>62</v>
      </c>
      <c r="R441" s="682"/>
      <c r="S441" s="677" t="s">
        <v>3085</v>
      </c>
      <c r="T441" s="683">
        <v>958648526</v>
      </c>
      <c r="U441" s="684" t="s">
        <v>3089</v>
      </c>
    </row>
    <row r="442" spans="1:21" ht="24" customHeight="1" x14ac:dyDescent="0.2">
      <c r="A442" s="624">
        <v>437</v>
      </c>
      <c r="B442" s="666">
        <v>45814</v>
      </c>
      <c r="C442" s="676" t="s">
        <v>187</v>
      </c>
      <c r="D442" s="677" t="s">
        <v>3091</v>
      </c>
      <c r="E442" s="678">
        <v>111010028</v>
      </c>
      <c r="F442" s="677" t="s">
        <v>530</v>
      </c>
      <c r="G442" s="677" t="s">
        <v>3092</v>
      </c>
      <c r="H442" s="678" t="s">
        <v>41</v>
      </c>
      <c r="I442" s="678" t="s">
        <v>62</v>
      </c>
      <c r="J442" s="678" t="s">
        <v>63</v>
      </c>
      <c r="K442" s="679">
        <v>45835</v>
      </c>
      <c r="L442" s="680" t="s">
        <v>3093</v>
      </c>
      <c r="M442" s="680" t="s">
        <v>720</v>
      </c>
      <c r="N442" s="677">
        <v>990296106</v>
      </c>
      <c r="O442" s="681">
        <v>20</v>
      </c>
      <c r="P442" s="678" t="s">
        <v>442</v>
      </c>
      <c r="Q442" s="678" t="s">
        <v>62</v>
      </c>
      <c r="R442" s="682"/>
      <c r="S442" s="677" t="s">
        <v>3091</v>
      </c>
      <c r="T442" s="683">
        <v>101029866</v>
      </c>
      <c r="U442" s="684" t="s">
        <v>3094</v>
      </c>
    </row>
    <row r="443" spans="1:21" ht="24" customHeight="1" x14ac:dyDescent="0.2">
      <c r="A443" s="624">
        <v>438</v>
      </c>
      <c r="B443" s="666">
        <v>45814</v>
      </c>
      <c r="C443" s="676" t="s">
        <v>187</v>
      </c>
      <c r="D443" s="677" t="s">
        <v>3091</v>
      </c>
      <c r="E443" s="678">
        <v>112010067</v>
      </c>
      <c r="F443" s="677" t="s">
        <v>945</v>
      </c>
      <c r="G443" s="677" t="s">
        <v>3095</v>
      </c>
      <c r="H443" s="678" t="s">
        <v>41</v>
      </c>
      <c r="I443" s="678" t="s">
        <v>62</v>
      </c>
      <c r="J443" s="678" t="s">
        <v>63</v>
      </c>
      <c r="K443" s="679">
        <v>45835</v>
      </c>
      <c r="L443" s="680" t="s">
        <v>3093</v>
      </c>
      <c r="M443" s="680" t="s">
        <v>720</v>
      </c>
      <c r="N443" s="677">
        <v>990296106</v>
      </c>
      <c r="O443" s="681">
        <v>20</v>
      </c>
      <c r="P443" s="678" t="s">
        <v>442</v>
      </c>
      <c r="Q443" s="678" t="s">
        <v>62</v>
      </c>
      <c r="R443" s="682"/>
      <c r="S443" s="677" t="s">
        <v>3091</v>
      </c>
      <c r="T443" s="683">
        <v>101029866</v>
      </c>
      <c r="U443" s="684" t="s">
        <v>3094</v>
      </c>
    </row>
    <row r="444" spans="1:21" ht="24" customHeight="1" x14ac:dyDescent="0.2">
      <c r="A444" s="624">
        <v>439</v>
      </c>
      <c r="B444" s="666">
        <v>45655</v>
      </c>
      <c r="C444" s="676" t="s">
        <v>187</v>
      </c>
      <c r="D444" s="677" t="s">
        <v>3096</v>
      </c>
      <c r="E444" s="678">
        <v>112580058</v>
      </c>
      <c r="F444" s="677" t="s">
        <v>334</v>
      </c>
      <c r="G444" s="677" t="s">
        <v>3097</v>
      </c>
      <c r="H444" s="678" t="s">
        <v>41</v>
      </c>
      <c r="I444" s="678" t="s">
        <v>62</v>
      </c>
      <c r="J444" s="678" t="s">
        <v>63</v>
      </c>
      <c r="K444" s="679">
        <v>45836</v>
      </c>
      <c r="L444" s="680" t="s">
        <v>3098</v>
      </c>
      <c r="M444" s="680" t="s">
        <v>3099</v>
      </c>
      <c r="N444" s="677">
        <v>991728165</v>
      </c>
      <c r="O444" s="681">
        <v>15</v>
      </c>
      <c r="P444" s="678" t="s">
        <v>442</v>
      </c>
      <c r="Q444" s="678" t="s">
        <v>62</v>
      </c>
      <c r="R444" s="682"/>
      <c r="S444" s="677" t="s">
        <v>3096</v>
      </c>
      <c r="T444" s="683">
        <v>102115193</v>
      </c>
      <c r="U444" s="684" t="s">
        <v>3100</v>
      </c>
    </row>
    <row r="445" spans="1:21" ht="24" customHeight="1" x14ac:dyDescent="0.2">
      <c r="A445" s="624">
        <v>440</v>
      </c>
      <c r="B445" s="666">
        <v>45655</v>
      </c>
      <c r="C445" s="676" t="s">
        <v>187</v>
      </c>
      <c r="D445" s="677" t="s">
        <v>3096</v>
      </c>
      <c r="E445" s="678">
        <v>111010028</v>
      </c>
      <c r="F445" s="677" t="s">
        <v>530</v>
      </c>
      <c r="G445" s="677" t="s">
        <v>3101</v>
      </c>
      <c r="H445" s="678" t="s">
        <v>41</v>
      </c>
      <c r="I445" s="678" t="s">
        <v>62</v>
      </c>
      <c r="J445" s="678" t="s">
        <v>63</v>
      </c>
      <c r="K445" s="679">
        <v>45836</v>
      </c>
      <c r="L445" s="680" t="s">
        <v>3098</v>
      </c>
      <c r="M445" s="680" t="s">
        <v>3099</v>
      </c>
      <c r="N445" s="677">
        <v>991728165</v>
      </c>
      <c r="O445" s="681">
        <v>15</v>
      </c>
      <c r="P445" s="678" t="s">
        <v>442</v>
      </c>
      <c r="Q445" s="678" t="s">
        <v>62</v>
      </c>
      <c r="R445" s="682"/>
      <c r="S445" s="677" t="s">
        <v>3096</v>
      </c>
      <c r="T445" s="683">
        <v>102115193</v>
      </c>
      <c r="U445" s="684" t="s">
        <v>3100</v>
      </c>
    </row>
    <row r="446" spans="1:21" ht="24" customHeight="1" x14ac:dyDescent="0.2">
      <c r="A446" s="624">
        <v>441</v>
      </c>
      <c r="B446" s="666">
        <v>45655</v>
      </c>
      <c r="C446" s="676" t="s">
        <v>187</v>
      </c>
      <c r="D446" s="677" t="s">
        <v>3096</v>
      </c>
      <c r="E446" s="678">
        <v>40584305</v>
      </c>
      <c r="F446" s="677" t="s">
        <v>3102</v>
      </c>
      <c r="G446" s="677" t="s">
        <v>3103</v>
      </c>
      <c r="H446" s="678" t="s">
        <v>41</v>
      </c>
      <c r="I446" s="678" t="s">
        <v>62</v>
      </c>
      <c r="J446" s="678" t="s">
        <v>63</v>
      </c>
      <c r="K446" s="679">
        <v>45836</v>
      </c>
      <c r="L446" s="680" t="s">
        <v>3098</v>
      </c>
      <c r="M446" s="680" t="s">
        <v>3099</v>
      </c>
      <c r="N446" s="677">
        <v>991728165</v>
      </c>
      <c r="O446" s="681">
        <v>15</v>
      </c>
      <c r="P446" s="678" t="s">
        <v>442</v>
      </c>
      <c r="Q446" s="678" t="s">
        <v>62</v>
      </c>
      <c r="R446" s="682"/>
      <c r="S446" s="677" t="s">
        <v>3096</v>
      </c>
      <c r="T446" s="683">
        <v>102115193</v>
      </c>
      <c r="U446" s="684" t="s">
        <v>3100</v>
      </c>
    </row>
    <row r="447" spans="1:21" ht="24" customHeight="1" x14ac:dyDescent="0.2">
      <c r="A447" s="624">
        <v>442</v>
      </c>
      <c r="B447" s="666">
        <v>45684</v>
      </c>
      <c r="C447" s="676" t="s">
        <v>733</v>
      </c>
      <c r="D447" s="677" t="s">
        <v>3104</v>
      </c>
      <c r="E447" s="678">
        <v>112570068</v>
      </c>
      <c r="F447" s="677" t="s">
        <v>110</v>
      </c>
      <c r="G447" s="677" t="s">
        <v>3105</v>
      </c>
      <c r="H447" s="678" t="s">
        <v>41</v>
      </c>
      <c r="I447" s="678" t="s">
        <v>62</v>
      </c>
      <c r="J447" s="678" t="s">
        <v>63</v>
      </c>
      <c r="K447" s="679">
        <v>45836</v>
      </c>
      <c r="L447" s="680" t="s">
        <v>3106</v>
      </c>
      <c r="M447" s="680" t="s">
        <v>3107</v>
      </c>
      <c r="N447" s="677">
        <v>998060239</v>
      </c>
      <c r="O447" s="681">
        <v>20</v>
      </c>
      <c r="P447" s="678" t="s">
        <v>442</v>
      </c>
      <c r="Q447" s="678" t="s">
        <v>62</v>
      </c>
      <c r="R447" s="682"/>
      <c r="S447" s="677" t="s">
        <v>3104</v>
      </c>
      <c r="T447" s="683">
        <v>103547493</v>
      </c>
      <c r="U447" s="684" t="s">
        <v>3108</v>
      </c>
    </row>
    <row r="448" spans="1:21" ht="24" customHeight="1" x14ac:dyDescent="0.2">
      <c r="A448" s="624">
        <v>443</v>
      </c>
      <c r="B448" s="666">
        <v>45684</v>
      </c>
      <c r="C448" s="676" t="s">
        <v>733</v>
      </c>
      <c r="D448" s="677" t="s">
        <v>3109</v>
      </c>
      <c r="E448" s="678">
        <v>11140006</v>
      </c>
      <c r="F448" s="677" t="s">
        <v>1271</v>
      </c>
      <c r="G448" s="677" t="s">
        <v>3110</v>
      </c>
      <c r="H448" s="678" t="s">
        <v>41</v>
      </c>
      <c r="I448" s="678" t="s">
        <v>62</v>
      </c>
      <c r="J448" s="678" t="s">
        <v>63</v>
      </c>
      <c r="K448" s="679">
        <v>45836</v>
      </c>
      <c r="L448" s="680" t="s">
        <v>3106</v>
      </c>
      <c r="M448" s="680" t="s">
        <v>3107</v>
      </c>
      <c r="N448" s="677">
        <v>998060239</v>
      </c>
      <c r="O448" s="681">
        <v>20</v>
      </c>
      <c r="P448" s="678" t="s">
        <v>442</v>
      </c>
      <c r="Q448" s="678" t="s">
        <v>62</v>
      </c>
      <c r="R448" s="682"/>
      <c r="S448" s="677" t="s">
        <v>3109</v>
      </c>
      <c r="T448" s="683">
        <v>103547493</v>
      </c>
      <c r="U448" s="684" t="s">
        <v>3108</v>
      </c>
    </row>
    <row r="449" spans="1:21" ht="24" customHeight="1" x14ac:dyDescent="0.2">
      <c r="A449" s="624">
        <v>444</v>
      </c>
      <c r="B449" s="666">
        <v>45835</v>
      </c>
      <c r="C449" s="676" t="s">
        <v>202</v>
      </c>
      <c r="D449" s="677" t="s">
        <v>3111</v>
      </c>
      <c r="E449" s="678">
        <v>40584202</v>
      </c>
      <c r="F449" s="677" t="s">
        <v>398</v>
      </c>
      <c r="G449" s="677">
        <v>40584202</v>
      </c>
      <c r="H449" s="678" t="s">
        <v>41</v>
      </c>
      <c r="I449" s="678" t="s">
        <v>62</v>
      </c>
      <c r="J449" s="678" t="s">
        <v>63</v>
      </c>
      <c r="K449" s="679">
        <v>45838</v>
      </c>
      <c r="L449" s="680" t="s">
        <v>3112</v>
      </c>
      <c r="M449" s="680" t="s">
        <v>3113</v>
      </c>
      <c r="N449" s="677">
        <v>987377443</v>
      </c>
      <c r="O449" s="681">
        <v>15</v>
      </c>
      <c r="P449" s="678" t="s">
        <v>442</v>
      </c>
      <c r="Q449" s="678" t="s">
        <v>62</v>
      </c>
      <c r="R449" s="682"/>
      <c r="S449" s="677" t="s">
        <v>3111</v>
      </c>
      <c r="T449" s="683">
        <v>150061190</v>
      </c>
      <c r="U449" s="684" t="s">
        <v>3114</v>
      </c>
    </row>
    <row r="450" spans="1:21" ht="24" customHeight="1" x14ac:dyDescent="0.2">
      <c r="A450" s="624">
        <v>445</v>
      </c>
      <c r="B450" s="666">
        <v>45835</v>
      </c>
      <c r="C450" s="676" t="s">
        <v>190</v>
      </c>
      <c r="D450" s="677" t="s">
        <v>3115</v>
      </c>
      <c r="E450" s="678">
        <v>111010041</v>
      </c>
      <c r="F450" s="677" t="s">
        <v>996</v>
      </c>
      <c r="G450" s="677" t="s">
        <v>3116</v>
      </c>
      <c r="H450" s="678" t="s">
        <v>41</v>
      </c>
      <c r="I450" s="678" t="s">
        <v>62</v>
      </c>
      <c r="J450" s="678" t="s">
        <v>63</v>
      </c>
      <c r="K450" s="679">
        <v>45838</v>
      </c>
      <c r="L450" s="680" t="s">
        <v>3112</v>
      </c>
      <c r="M450" s="680" t="s">
        <v>3113</v>
      </c>
      <c r="N450" s="677">
        <v>987377443</v>
      </c>
      <c r="O450" s="681">
        <v>15</v>
      </c>
      <c r="P450" s="678" t="s">
        <v>442</v>
      </c>
      <c r="Q450" s="678" t="s">
        <v>62</v>
      </c>
      <c r="R450" s="682"/>
      <c r="S450" s="677" t="s">
        <v>3115</v>
      </c>
      <c r="T450" s="683">
        <v>150061190</v>
      </c>
      <c r="U450" s="684" t="s">
        <v>3114</v>
      </c>
    </row>
    <row r="451" spans="1:21" ht="24" customHeight="1" x14ac:dyDescent="0.2">
      <c r="A451" s="624">
        <v>446</v>
      </c>
      <c r="B451" s="666">
        <v>45835</v>
      </c>
      <c r="C451" s="676" t="s">
        <v>1867</v>
      </c>
      <c r="D451" s="677" t="s">
        <v>3117</v>
      </c>
      <c r="E451" s="678">
        <v>40467305</v>
      </c>
      <c r="F451" s="677" t="s">
        <v>128</v>
      </c>
      <c r="G451" s="677" t="s">
        <v>3118</v>
      </c>
      <c r="H451" s="678" t="s">
        <v>41</v>
      </c>
      <c r="I451" s="678" t="s">
        <v>62</v>
      </c>
      <c r="J451" s="678" t="s">
        <v>63</v>
      </c>
      <c r="K451" s="679">
        <v>45838</v>
      </c>
      <c r="L451" s="680" t="s">
        <v>3112</v>
      </c>
      <c r="M451" s="680" t="s">
        <v>3113</v>
      </c>
      <c r="N451" s="677">
        <v>987377443</v>
      </c>
      <c r="O451" s="681">
        <v>15</v>
      </c>
      <c r="P451" s="678" t="s">
        <v>442</v>
      </c>
      <c r="Q451" s="678" t="s">
        <v>62</v>
      </c>
      <c r="R451" s="682"/>
      <c r="S451" s="677" t="s">
        <v>3117</v>
      </c>
      <c r="T451" s="683">
        <v>150061190</v>
      </c>
      <c r="U451" s="684" t="s">
        <v>3114</v>
      </c>
    </row>
    <row r="452" spans="1:21" ht="24" customHeight="1" x14ac:dyDescent="0.2">
      <c r="A452" s="624">
        <v>447</v>
      </c>
      <c r="B452" s="666">
        <v>45756</v>
      </c>
      <c r="C452" s="676" t="s">
        <v>1867</v>
      </c>
      <c r="D452" s="677" t="s">
        <v>3119</v>
      </c>
      <c r="E452" s="678">
        <v>112580027</v>
      </c>
      <c r="F452" s="677" t="s">
        <v>3120</v>
      </c>
      <c r="G452" s="677" t="s">
        <v>3121</v>
      </c>
      <c r="H452" s="678" t="s">
        <v>41</v>
      </c>
      <c r="I452" s="678" t="s">
        <v>62</v>
      </c>
      <c r="J452" s="678" t="s">
        <v>63</v>
      </c>
      <c r="K452" s="679">
        <v>45839</v>
      </c>
      <c r="L452" s="680" t="s">
        <v>3122</v>
      </c>
      <c r="M452" s="680" t="s">
        <v>3123</v>
      </c>
      <c r="N452" s="677">
        <v>984163122</v>
      </c>
      <c r="O452" s="681">
        <v>20</v>
      </c>
      <c r="P452" s="678" t="s">
        <v>442</v>
      </c>
      <c r="Q452" s="678" t="s">
        <v>62</v>
      </c>
      <c r="R452" s="682"/>
      <c r="S452" s="677" t="s">
        <v>3119</v>
      </c>
      <c r="T452" s="683">
        <v>101391235</v>
      </c>
      <c r="U452" s="684" t="s">
        <v>3124</v>
      </c>
    </row>
    <row r="453" spans="1:21" ht="24" customHeight="1" x14ac:dyDescent="0.2">
      <c r="A453" s="624">
        <v>448</v>
      </c>
      <c r="B453" s="666">
        <v>45776</v>
      </c>
      <c r="C453" s="676" t="s">
        <v>190</v>
      </c>
      <c r="D453" s="677" t="s">
        <v>3125</v>
      </c>
      <c r="E453" s="678">
        <v>111000051</v>
      </c>
      <c r="F453" s="677" t="s">
        <v>2952</v>
      </c>
      <c r="G453" s="677" t="s">
        <v>3126</v>
      </c>
      <c r="H453" s="678" t="s">
        <v>41</v>
      </c>
      <c r="I453" s="678" t="s">
        <v>62</v>
      </c>
      <c r="J453" s="678" t="s">
        <v>63</v>
      </c>
      <c r="K453" s="679">
        <v>45839</v>
      </c>
      <c r="L453" s="680" t="s">
        <v>3122</v>
      </c>
      <c r="M453" s="680" t="s">
        <v>3123</v>
      </c>
      <c r="N453" s="677">
        <v>984163122</v>
      </c>
      <c r="O453" s="681">
        <v>20</v>
      </c>
      <c r="P453" s="678" t="s">
        <v>442</v>
      </c>
      <c r="Q453" s="678" t="s">
        <v>62</v>
      </c>
      <c r="R453" s="682"/>
      <c r="S453" s="677" t="s">
        <v>3125</v>
      </c>
      <c r="T453" s="683">
        <v>101391235</v>
      </c>
      <c r="U453" s="684" t="s">
        <v>3124</v>
      </c>
    </row>
    <row r="454" spans="1:21" ht="24" customHeight="1" x14ac:dyDescent="0.2">
      <c r="A454" s="624">
        <v>449</v>
      </c>
      <c r="B454" s="666">
        <v>45494</v>
      </c>
      <c r="C454" s="676" t="s">
        <v>161</v>
      </c>
      <c r="D454" s="677" t="s">
        <v>3127</v>
      </c>
      <c r="E454" s="678">
        <v>112570093</v>
      </c>
      <c r="F454" s="677" t="s">
        <v>1479</v>
      </c>
      <c r="G454" s="677" t="s">
        <v>3128</v>
      </c>
      <c r="H454" s="678" t="s">
        <v>41</v>
      </c>
      <c r="I454" s="678" t="s">
        <v>62</v>
      </c>
      <c r="J454" s="678" t="s">
        <v>63</v>
      </c>
      <c r="K454" s="679">
        <v>45839</v>
      </c>
      <c r="L454" s="680" t="s">
        <v>3129</v>
      </c>
      <c r="M454" s="680" t="s">
        <v>3130</v>
      </c>
      <c r="N454" s="677">
        <v>998553820</v>
      </c>
      <c r="O454" s="681">
        <v>20</v>
      </c>
      <c r="P454" s="678" t="s">
        <v>442</v>
      </c>
      <c r="Q454" s="678" t="s">
        <v>62</v>
      </c>
      <c r="R454" s="682"/>
      <c r="S454" s="677" t="s">
        <v>3127</v>
      </c>
      <c r="T454" s="683">
        <v>101857084</v>
      </c>
      <c r="U454" s="684" t="s">
        <v>3131</v>
      </c>
    </row>
    <row r="455" spans="1:21" ht="24" customHeight="1" x14ac:dyDescent="0.2">
      <c r="A455" s="624">
        <v>450</v>
      </c>
      <c r="B455" s="666">
        <v>45868</v>
      </c>
      <c r="C455" s="676" t="s">
        <v>161</v>
      </c>
      <c r="D455" s="677" t="s">
        <v>3132</v>
      </c>
      <c r="E455" s="678">
        <v>40590838</v>
      </c>
      <c r="F455" s="677" t="s">
        <v>602</v>
      </c>
      <c r="G455" s="677" t="s">
        <v>3133</v>
      </c>
      <c r="H455" s="678" t="s">
        <v>41</v>
      </c>
      <c r="I455" s="678" t="s">
        <v>62</v>
      </c>
      <c r="J455" s="678" t="s">
        <v>63</v>
      </c>
      <c r="K455" s="679">
        <v>45839</v>
      </c>
      <c r="L455" s="680" t="s">
        <v>3129</v>
      </c>
      <c r="M455" s="680" t="s">
        <v>3130</v>
      </c>
      <c r="N455" s="677">
        <v>998553820</v>
      </c>
      <c r="O455" s="681">
        <v>20</v>
      </c>
      <c r="P455" s="678" t="s">
        <v>442</v>
      </c>
      <c r="Q455" s="678" t="s">
        <v>62</v>
      </c>
      <c r="R455" s="682"/>
      <c r="S455" s="677" t="s">
        <v>3132</v>
      </c>
      <c r="T455" s="683">
        <v>101857084</v>
      </c>
      <c r="U455" s="684" t="s">
        <v>3131</v>
      </c>
    </row>
    <row r="456" spans="1:21" ht="24" customHeight="1" x14ac:dyDescent="0.2">
      <c r="A456" s="624">
        <v>451</v>
      </c>
      <c r="B456" s="666">
        <v>45775</v>
      </c>
      <c r="C456" s="676" t="s">
        <v>125</v>
      </c>
      <c r="D456" s="677" t="s">
        <v>3134</v>
      </c>
      <c r="E456" s="678">
        <v>111000051</v>
      </c>
      <c r="F456" s="677" t="s">
        <v>137</v>
      </c>
      <c r="G456" s="677" t="s">
        <v>3135</v>
      </c>
      <c r="H456" s="678" t="s">
        <v>41</v>
      </c>
      <c r="I456" s="678" t="s">
        <v>62</v>
      </c>
      <c r="J456" s="678" t="s">
        <v>63</v>
      </c>
      <c r="K456" s="679">
        <v>45839</v>
      </c>
      <c r="L456" s="680" t="s">
        <v>3136</v>
      </c>
      <c r="M456" s="680" t="s">
        <v>3137</v>
      </c>
      <c r="N456" s="677">
        <v>984616563</v>
      </c>
      <c r="O456" s="681">
        <v>20</v>
      </c>
      <c r="P456" s="678" t="s">
        <v>442</v>
      </c>
      <c r="Q456" s="678" t="s">
        <v>62</v>
      </c>
      <c r="R456" s="682"/>
      <c r="S456" s="677" t="s">
        <v>3134</v>
      </c>
      <c r="T456" s="683">
        <v>601742025</v>
      </c>
      <c r="U456" s="684" t="s">
        <v>3138</v>
      </c>
    </row>
    <row r="457" spans="1:21" ht="24" customHeight="1" x14ac:dyDescent="0.2">
      <c r="A457" s="624">
        <v>452</v>
      </c>
      <c r="B457" s="666">
        <v>45804</v>
      </c>
      <c r="C457" s="676" t="s">
        <v>125</v>
      </c>
      <c r="D457" s="677" t="s">
        <v>3139</v>
      </c>
      <c r="E457" s="678">
        <v>40590830</v>
      </c>
      <c r="F457" s="677" t="s">
        <v>3140</v>
      </c>
      <c r="G457" s="677" t="s">
        <v>3141</v>
      </c>
      <c r="H457" s="678" t="s">
        <v>41</v>
      </c>
      <c r="I457" s="678" t="s">
        <v>62</v>
      </c>
      <c r="J457" s="678" t="s">
        <v>63</v>
      </c>
      <c r="K457" s="679">
        <v>45839</v>
      </c>
      <c r="L457" s="680" t="s">
        <v>3136</v>
      </c>
      <c r="M457" s="680" t="s">
        <v>3137</v>
      </c>
      <c r="N457" s="677">
        <v>984616563</v>
      </c>
      <c r="O457" s="681">
        <v>20</v>
      </c>
      <c r="P457" s="678" t="s">
        <v>442</v>
      </c>
      <c r="Q457" s="678" t="s">
        <v>62</v>
      </c>
      <c r="R457" s="682"/>
      <c r="S457" s="677" t="s">
        <v>3139</v>
      </c>
      <c r="T457" s="683">
        <v>601742025</v>
      </c>
      <c r="U457" s="684" t="s">
        <v>3138</v>
      </c>
    </row>
    <row r="458" spans="1:21" ht="24" customHeight="1" x14ac:dyDescent="0.2">
      <c r="A458" s="624">
        <v>453</v>
      </c>
      <c r="B458" s="666">
        <v>45796</v>
      </c>
      <c r="C458" s="676" t="s">
        <v>161</v>
      </c>
      <c r="D458" s="677" t="s">
        <v>3142</v>
      </c>
      <c r="E458" s="678">
        <v>12500047</v>
      </c>
      <c r="F458" s="677" t="s">
        <v>3143</v>
      </c>
      <c r="G458" s="677" t="s">
        <v>3144</v>
      </c>
      <c r="H458" s="678" t="s">
        <v>41</v>
      </c>
      <c r="I458" s="678" t="s">
        <v>62</v>
      </c>
      <c r="J458" s="678" t="s">
        <v>63</v>
      </c>
      <c r="K458" s="679">
        <v>45840</v>
      </c>
      <c r="L458" s="680" t="s">
        <v>2701</v>
      </c>
      <c r="M458" s="680" t="s">
        <v>2712</v>
      </c>
      <c r="N458" s="677">
        <v>994844364</v>
      </c>
      <c r="O458" s="681">
        <v>20</v>
      </c>
      <c r="P458" s="678" t="s">
        <v>442</v>
      </c>
      <c r="Q458" s="678" t="s">
        <v>62</v>
      </c>
      <c r="R458" s="682"/>
      <c r="S458" s="677" t="s">
        <v>3142</v>
      </c>
      <c r="T458" s="683">
        <v>1022597169</v>
      </c>
      <c r="U458" s="684" t="s">
        <v>3145</v>
      </c>
    </row>
    <row r="459" spans="1:21" ht="24" customHeight="1" x14ac:dyDescent="0.2">
      <c r="A459" s="624">
        <v>454</v>
      </c>
      <c r="B459" s="666">
        <v>45796</v>
      </c>
      <c r="C459" s="676" t="s">
        <v>161</v>
      </c>
      <c r="D459" s="677" t="s">
        <v>3142</v>
      </c>
      <c r="E459" s="678">
        <v>112930047</v>
      </c>
      <c r="F459" s="677" t="s">
        <v>3146</v>
      </c>
      <c r="G459" s="677" t="s">
        <v>3147</v>
      </c>
      <c r="H459" s="678" t="s">
        <v>41</v>
      </c>
      <c r="I459" s="678" t="s">
        <v>62</v>
      </c>
      <c r="J459" s="678" t="s">
        <v>63</v>
      </c>
      <c r="K459" s="679">
        <v>45840</v>
      </c>
      <c r="L459" s="680" t="s">
        <v>2701</v>
      </c>
      <c r="M459" s="680" t="s">
        <v>2712</v>
      </c>
      <c r="N459" s="677">
        <v>994844364</v>
      </c>
      <c r="O459" s="681">
        <v>20</v>
      </c>
      <c r="P459" s="678" t="s">
        <v>442</v>
      </c>
      <c r="Q459" s="678" t="s">
        <v>62</v>
      </c>
      <c r="R459" s="682"/>
      <c r="S459" s="677" t="s">
        <v>3142</v>
      </c>
      <c r="T459" s="683">
        <v>1022597169</v>
      </c>
      <c r="U459" s="684" t="s">
        <v>3145</v>
      </c>
    </row>
    <row r="460" spans="1:21" ht="24" customHeight="1" x14ac:dyDescent="0.2">
      <c r="A460" s="624">
        <v>455</v>
      </c>
      <c r="B460" s="666">
        <v>45759</v>
      </c>
      <c r="C460" s="676" t="s">
        <v>1867</v>
      </c>
      <c r="D460" s="677" t="s">
        <v>3148</v>
      </c>
      <c r="E460" s="678">
        <v>112450020</v>
      </c>
      <c r="F460" s="677" t="s">
        <v>2603</v>
      </c>
      <c r="G460" s="677" t="s">
        <v>3149</v>
      </c>
      <c r="H460" s="678" t="s">
        <v>41</v>
      </c>
      <c r="I460" s="678" t="s">
        <v>62</v>
      </c>
      <c r="J460" s="678" t="s">
        <v>63</v>
      </c>
      <c r="K460" s="679">
        <v>45841</v>
      </c>
      <c r="L460" s="680" t="s">
        <v>3150</v>
      </c>
      <c r="M460" s="680" t="s">
        <v>1020</v>
      </c>
      <c r="N460" s="677">
        <v>924470024</v>
      </c>
      <c r="O460" s="681">
        <v>15</v>
      </c>
      <c r="P460" s="678" t="s">
        <v>442</v>
      </c>
      <c r="Q460" s="678" t="s">
        <v>62</v>
      </c>
      <c r="R460" s="682"/>
      <c r="S460" s="677" t="s">
        <v>3148</v>
      </c>
      <c r="T460" s="683">
        <v>924470024</v>
      </c>
      <c r="U460" s="684" t="s">
        <v>3151</v>
      </c>
    </row>
    <row r="461" spans="1:21" ht="24" customHeight="1" x14ac:dyDescent="0.2">
      <c r="A461" s="624">
        <v>456</v>
      </c>
      <c r="B461" s="666">
        <v>45759</v>
      </c>
      <c r="C461" s="676" t="s">
        <v>1867</v>
      </c>
      <c r="D461" s="677" t="s">
        <v>3148</v>
      </c>
      <c r="E461" s="678">
        <v>11000051</v>
      </c>
      <c r="F461" s="677" t="s">
        <v>3152</v>
      </c>
      <c r="G461" s="677" t="s">
        <v>3153</v>
      </c>
      <c r="H461" s="678" t="s">
        <v>41</v>
      </c>
      <c r="I461" s="678" t="s">
        <v>62</v>
      </c>
      <c r="J461" s="678" t="s">
        <v>63</v>
      </c>
      <c r="K461" s="679">
        <v>45841</v>
      </c>
      <c r="L461" s="680" t="s">
        <v>3150</v>
      </c>
      <c r="M461" s="680" t="s">
        <v>1020</v>
      </c>
      <c r="N461" s="677">
        <v>924470024</v>
      </c>
      <c r="O461" s="681">
        <v>15</v>
      </c>
      <c r="P461" s="678" t="s">
        <v>442</v>
      </c>
      <c r="Q461" s="678" t="s">
        <v>62</v>
      </c>
      <c r="R461" s="682"/>
      <c r="S461" s="677" t="s">
        <v>3148</v>
      </c>
      <c r="T461" s="683">
        <v>924470024</v>
      </c>
      <c r="U461" s="684" t="s">
        <v>3151</v>
      </c>
    </row>
    <row r="462" spans="1:21" ht="24" customHeight="1" x14ac:dyDescent="0.2">
      <c r="A462" s="624">
        <v>457</v>
      </c>
      <c r="B462" s="666">
        <v>45834</v>
      </c>
      <c r="C462" s="676" t="s">
        <v>1867</v>
      </c>
      <c r="D462" s="677" t="s">
        <v>3154</v>
      </c>
      <c r="E462" s="678">
        <v>112520025</v>
      </c>
      <c r="F462" s="677" t="s">
        <v>91</v>
      </c>
      <c r="G462" s="677" t="s">
        <v>3155</v>
      </c>
      <c r="H462" s="678" t="s">
        <v>41</v>
      </c>
      <c r="I462" s="678" t="s">
        <v>62</v>
      </c>
      <c r="J462" s="678" t="s">
        <v>63</v>
      </c>
      <c r="K462" s="679">
        <v>45841</v>
      </c>
      <c r="L462" s="680" t="s">
        <v>3150</v>
      </c>
      <c r="M462" s="680" t="s">
        <v>1020</v>
      </c>
      <c r="N462" s="677">
        <v>924470024</v>
      </c>
      <c r="O462" s="681">
        <v>15</v>
      </c>
      <c r="P462" s="678" t="s">
        <v>442</v>
      </c>
      <c r="Q462" s="678" t="s">
        <v>62</v>
      </c>
      <c r="R462" s="682"/>
      <c r="S462" s="677" t="s">
        <v>3154</v>
      </c>
      <c r="T462" s="683">
        <v>924470024</v>
      </c>
      <c r="U462" s="684" t="s">
        <v>3151</v>
      </c>
    </row>
    <row r="463" spans="1:21" ht="24" customHeight="1" x14ac:dyDescent="0.2">
      <c r="A463" s="624">
        <v>458</v>
      </c>
      <c r="B463" s="666">
        <v>45404</v>
      </c>
      <c r="C463" s="676" t="s">
        <v>187</v>
      </c>
      <c r="D463" s="677" t="s">
        <v>3156</v>
      </c>
      <c r="E463" s="678">
        <v>112570126</v>
      </c>
      <c r="F463" s="677" t="s">
        <v>1422</v>
      </c>
      <c r="G463" s="677" t="s">
        <v>3157</v>
      </c>
      <c r="H463" s="678" t="s">
        <v>41</v>
      </c>
      <c r="I463" s="678" t="s">
        <v>62</v>
      </c>
      <c r="J463" s="678" t="s">
        <v>63</v>
      </c>
      <c r="K463" s="679">
        <v>45841</v>
      </c>
      <c r="L463" s="680" t="s">
        <v>3158</v>
      </c>
      <c r="M463" s="680" t="s">
        <v>3159</v>
      </c>
      <c r="N463" s="677">
        <v>994453010</v>
      </c>
      <c r="O463" s="681">
        <v>15</v>
      </c>
      <c r="P463" s="678" t="s">
        <v>442</v>
      </c>
      <c r="Q463" s="678" t="s">
        <v>62</v>
      </c>
      <c r="R463" s="682"/>
      <c r="S463" s="677" t="s">
        <v>3156</v>
      </c>
      <c r="T463" s="683">
        <v>102896164</v>
      </c>
      <c r="U463" s="684" t="s">
        <v>3160</v>
      </c>
    </row>
    <row r="464" spans="1:21" ht="24" customHeight="1" x14ac:dyDescent="0.2">
      <c r="A464" s="624">
        <v>459</v>
      </c>
      <c r="B464" s="666">
        <v>45404</v>
      </c>
      <c r="C464" s="676" t="s">
        <v>187</v>
      </c>
      <c r="D464" s="677" t="s">
        <v>3156</v>
      </c>
      <c r="E464" s="678">
        <v>41596006</v>
      </c>
      <c r="F464" s="677" t="s">
        <v>1014</v>
      </c>
      <c r="G464" s="677" t="s">
        <v>3161</v>
      </c>
      <c r="H464" s="678" t="s">
        <v>41</v>
      </c>
      <c r="I464" s="678" t="s">
        <v>62</v>
      </c>
      <c r="J464" s="678" t="s">
        <v>63</v>
      </c>
      <c r="K464" s="679">
        <v>45841</v>
      </c>
      <c r="L464" s="680" t="s">
        <v>3158</v>
      </c>
      <c r="M464" s="680" t="s">
        <v>3159</v>
      </c>
      <c r="N464" s="677">
        <v>994453010</v>
      </c>
      <c r="O464" s="681">
        <v>15</v>
      </c>
      <c r="P464" s="678" t="s">
        <v>442</v>
      </c>
      <c r="Q464" s="678" t="s">
        <v>62</v>
      </c>
      <c r="R464" s="682"/>
      <c r="S464" s="677" t="s">
        <v>3156</v>
      </c>
      <c r="T464" s="683">
        <v>102896164</v>
      </c>
      <c r="U464" s="684" t="s">
        <v>3160</v>
      </c>
    </row>
    <row r="465" spans="1:21" ht="24" customHeight="1" x14ac:dyDescent="0.2">
      <c r="A465" s="624">
        <v>460</v>
      </c>
      <c r="B465" s="666">
        <v>45404</v>
      </c>
      <c r="C465" s="676" t="s">
        <v>187</v>
      </c>
      <c r="D465" s="677" t="s">
        <v>3156</v>
      </c>
      <c r="E465" s="678">
        <v>40584012</v>
      </c>
      <c r="F465" s="677" t="s">
        <v>3162</v>
      </c>
      <c r="G465" s="677" t="s">
        <v>3163</v>
      </c>
      <c r="H465" s="678" t="s">
        <v>41</v>
      </c>
      <c r="I465" s="678" t="s">
        <v>62</v>
      </c>
      <c r="J465" s="678" t="s">
        <v>63</v>
      </c>
      <c r="K465" s="679">
        <v>45841</v>
      </c>
      <c r="L465" s="680" t="s">
        <v>3158</v>
      </c>
      <c r="M465" s="680" t="s">
        <v>3159</v>
      </c>
      <c r="N465" s="677">
        <v>994453010</v>
      </c>
      <c r="O465" s="681">
        <v>15</v>
      </c>
      <c r="P465" s="678" t="s">
        <v>442</v>
      </c>
      <c r="Q465" s="678" t="s">
        <v>62</v>
      </c>
      <c r="R465" s="682"/>
      <c r="S465" s="677" t="s">
        <v>3156</v>
      </c>
      <c r="T465" s="683">
        <v>102896164</v>
      </c>
      <c r="U465" s="684" t="s">
        <v>3160</v>
      </c>
    </row>
    <row r="466" spans="1:21" ht="24" customHeight="1" x14ac:dyDescent="0.2">
      <c r="A466" s="624">
        <v>461</v>
      </c>
      <c r="B466" s="666">
        <v>45404</v>
      </c>
      <c r="C466" s="676" t="s">
        <v>187</v>
      </c>
      <c r="D466" s="677" t="s">
        <v>3156</v>
      </c>
      <c r="E466" s="678">
        <v>40483183</v>
      </c>
      <c r="F466" s="677" t="s">
        <v>1087</v>
      </c>
      <c r="G466" s="677" t="s">
        <v>3164</v>
      </c>
      <c r="H466" s="678" t="s">
        <v>41</v>
      </c>
      <c r="I466" s="678" t="s">
        <v>62</v>
      </c>
      <c r="J466" s="678" t="s">
        <v>63</v>
      </c>
      <c r="K466" s="679">
        <v>45841</v>
      </c>
      <c r="L466" s="680" t="s">
        <v>3158</v>
      </c>
      <c r="M466" s="680" t="s">
        <v>3159</v>
      </c>
      <c r="N466" s="677">
        <v>994453010</v>
      </c>
      <c r="O466" s="681">
        <v>30</v>
      </c>
      <c r="P466" s="678" t="s">
        <v>442</v>
      </c>
      <c r="Q466" s="678" t="s">
        <v>62</v>
      </c>
      <c r="R466" s="682"/>
      <c r="S466" s="677" t="s">
        <v>3156</v>
      </c>
      <c r="T466" s="683">
        <v>102896164</v>
      </c>
      <c r="U466" s="684" t="s">
        <v>3160</v>
      </c>
    </row>
    <row r="467" spans="1:21" ht="24" customHeight="1" x14ac:dyDescent="0.2">
      <c r="A467" s="624">
        <v>462</v>
      </c>
      <c r="B467" s="666">
        <v>45831</v>
      </c>
      <c r="C467" s="676" t="s">
        <v>3165</v>
      </c>
      <c r="D467" s="677" t="s">
        <v>3166</v>
      </c>
      <c r="E467" s="678">
        <v>112580027</v>
      </c>
      <c r="F467" s="677" t="s">
        <v>3167</v>
      </c>
      <c r="G467" s="677" t="s">
        <v>3168</v>
      </c>
      <c r="H467" s="678" t="s">
        <v>41</v>
      </c>
      <c r="I467" s="678" t="s">
        <v>62</v>
      </c>
      <c r="J467" s="678" t="s">
        <v>63</v>
      </c>
      <c r="K467" s="679">
        <v>45841</v>
      </c>
      <c r="L467" s="680" t="s">
        <v>3169</v>
      </c>
      <c r="M467" s="680" t="s">
        <v>3170</v>
      </c>
      <c r="N467" s="677">
        <v>984165280</v>
      </c>
      <c r="O467" s="681">
        <v>15</v>
      </c>
      <c r="P467" s="678" t="s">
        <v>442</v>
      </c>
      <c r="Q467" s="678" t="s">
        <v>62</v>
      </c>
      <c r="R467" s="682"/>
      <c r="S467" s="677" t="s">
        <v>3166</v>
      </c>
      <c r="T467" s="683">
        <v>10490325</v>
      </c>
      <c r="U467" s="684" t="s">
        <v>3171</v>
      </c>
    </row>
    <row r="468" spans="1:21" ht="24" customHeight="1" x14ac:dyDescent="0.2">
      <c r="A468" s="624">
        <v>463</v>
      </c>
      <c r="B468" s="666">
        <v>45831</v>
      </c>
      <c r="C468" s="676" t="s">
        <v>3165</v>
      </c>
      <c r="D468" s="677" t="s">
        <v>3166</v>
      </c>
      <c r="E468" s="678">
        <v>112030019</v>
      </c>
      <c r="F468" s="677" t="s">
        <v>1614</v>
      </c>
      <c r="G468" s="677" t="s">
        <v>3172</v>
      </c>
      <c r="H468" s="678" t="s">
        <v>41</v>
      </c>
      <c r="I468" s="678" t="s">
        <v>62</v>
      </c>
      <c r="J468" s="678" t="s">
        <v>63</v>
      </c>
      <c r="K468" s="679">
        <v>45841</v>
      </c>
      <c r="L468" s="680" t="s">
        <v>3169</v>
      </c>
      <c r="M468" s="680" t="s">
        <v>3170</v>
      </c>
      <c r="N468" s="677">
        <v>984165280</v>
      </c>
      <c r="O468" s="681">
        <v>15</v>
      </c>
      <c r="P468" s="678" t="s">
        <v>442</v>
      </c>
      <c r="Q468" s="678" t="s">
        <v>62</v>
      </c>
      <c r="R468" s="682"/>
      <c r="S468" s="677" t="s">
        <v>3166</v>
      </c>
      <c r="T468" s="683">
        <v>10490325</v>
      </c>
      <c r="U468" s="684" t="s">
        <v>3171</v>
      </c>
    </row>
    <row r="469" spans="1:21" ht="24" customHeight="1" x14ac:dyDescent="0.2">
      <c r="A469" s="624">
        <v>464</v>
      </c>
      <c r="B469" s="666">
        <v>45831</v>
      </c>
      <c r="C469" s="676" t="s">
        <v>3165</v>
      </c>
      <c r="D469" s="677" t="s">
        <v>3166</v>
      </c>
      <c r="E469" s="678">
        <v>111000051</v>
      </c>
      <c r="F469" s="677" t="s">
        <v>137</v>
      </c>
      <c r="G469" s="677" t="s">
        <v>3173</v>
      </c>
      <c r="H469" s="678" t="s">
        <v>41</v>
      </c>
      <c r="I469" s="678" t="s">
        <v>62</v>
      </c>
      <c r="J469" s="678" t="s">
        <v>63</v>
      </c>
      <c r="K469" s="679">
        <v>45841</v>
      </c>
      <c r="L469" s="680" t="s">
        <v>3169</v>
      </c>
      <c r="M469" s="680" t="s">
        <v>3170</v>
      </c>
      <c r="N469" s="677">
        <v>984165280</v>
      </c>
      <c r="O469" s="681">
        <v>15</v>
      </c>
      <c r="P469" s="678" t="s">
        <v>442</v>
      </c>
      <c r="Q469" s="678" t="s">
        <v>62</v>
      </c>
      <c r="R469" s="682"/>
      <c r="S469" s="677" t="s">
        <v>3166</v>
      </c>
      <c r="T469" s="683">
        <v>10490325</v>
      </c>
      <c r="U469" s="684" t="s">
        <v>3171</v>
      </c>
    </row>
    <row r="470" spans="1:21" ht="24" customHeight="1" x14ac:dyDescent="0.2">
      <c r="A470" s="624">
        <v>465</v>
      </c>
      <c r="B470" s="666">
        <v>45831</v>
      </c>
      <c r="C470" s="676" t="s">
        <v>1867</v>
      </c>
      <c r="D470" s="677" t="s">
        <v>3174</v>
      </c>
      <c r="E470" s="678">
        <v>112580017</v>
      </c>
      <c r="F470" s="677" t="s">
        <v>228</v>
      </c>
      <c r="G470" s="677" t="s">
        <v>3175</v>
      </c>
      <c r="H470" s="678" t="s">
        <v>41</v>
      </c>
      <c r="I470" s="678" t="s">
        <v>62</v>
      </c>
      <c r="J470" s="678" t="s">
        <v>63</v>
      </c>
      <c r="K470" s="679">
        <v>45842</v>
      </c>
      <c r="L470" s="680" t="s">
        <v>3176</v>
      </c>
      <c r="M470" s="680" t="s">
        <v>378</v>
      </c>
      <c r="N470" s="677">
        <v>995135323</v>
      </c>
      <c r="O470" s="681">
        <v>20</v>
      </c>
      <c r="P470" s="678" t="s">
        <v>442</v>
      </c>
      <c r="Q470" s="678" t="s">
        <v>62</v>
      </c>
      <c r="R470" s="682"/>
      <c r="S470" s="677" t="s">
        <v>3174</v>
      </c>
      <c r="T470" s="683">
        <v>101789246</v>
      </c>
      <c r="U470" s="684" t="s">
        <v>3177</v>
      </c>
    </row>
    <row r="471" spans="1:21" ht="24" customHeight="1" x14ac:dyDescent="0.2">
      <c r="A471" s="624">
        <v>466</v>
      </c>
      <c r="B471" s="666">
        <v>45831</v>
      </c>
      <c r="C471" s="676" t="s">
        <v>1867</v>
      </c>
      <c r="D471" s="677" t="s">
        <v>3174</v>
      </c>
      <c r="E471" s="678">
        <v>40466111</v>
      </c>
      <c r="F471" s="677" t="s">
        <v>1017</v>
      </c>
      <c r="G471" s="677" t="s">
        <v>3178</v>
      </c>
      <c r="H471" s="678" t="s">
        <v>41</v>
      </c>
      <c r="I471" s="678" t="s">
        <v>62</v>
      </c>
      <c r="J471" s="678" t="s">
        <v>63</v>
      </c>
      <c r="K471" s="679">
        <v>45842</v>
      </c>
      <c r="L471" s="680" t="s">
        <v>3176</v>
      </c>
      <c r="M471" s="680" t="s">
        <v>378</v>
      </c>
      <c r="N471" s="677">
        <v>995135323</v>
      </c>
      <c r="O471" s="681">
        <v>20</v>
      </c>
      <c r="P471" s="678" t="s">
        <v>442</v>
      </c>
      <c r="Q471" s="678" t="s">
        <v>62</v>
      </c>
      <c r="R471" s="682"/>
      <c r="S471" s="677" t="s">
        <v>3174</v>
      </c>
      <c r="T471" s="683">
        <v>101789246</v>
      </c>
      <c r="U471" s="684" t="s">
        <v>3177</v>
      </c>
    </row>
    <row r="472" spans="1:21" ht="24" customHeight="1" x14ac:dyDescent="0.2">
      <c r="A472" s="624">
        <v>467</v>
      </c>
      <c r="B472" s="666">
        <v>45840</v>
      </c>
      <c r="C472" s="676" t="s">
        <v>125</v>
      </c>
      <c r="D472" s="677" t="s">
        <v>3179</v>
      </c>
      <c r="E472" s="678">
        <v>40466241</v>
      </c>
      <c r="F472" s="677" t="s">
        <v>252</v>
      </c>
      <c r="G472" s="677" t="s">
        <v>3180</v>
      </c>
      <c r="H472" s="678" t="s">
        <v>41</v>
      </c>
      <c r="I472" s="678" t="s">
        <v>62</v>
      </c>
      <c r="J472" s="678" t="s">
        <v>63</v>
      </c>
      <c r="K472" s="679">
        <v>45842</v>
      </c>
      <c r="L472" s="680" t="s">
        <v>3181</v>
      </c>
      <c r="M472" s="680" t="s">
        <v>3182</v>
      </c>
      <c r="N472" s="677">
        <v>985530098</v>
      </c>
      <c r="O472" s="681">
        <v>20</v>
      </c>
      <c r="P472" s="678" t="s">
        <v>442</v>
      </c>
      <c r="Q472" s="678" t="s">
        <v>62</v>
      </c>
      <c r="R472" s="682"/>
      <c r="S472" s="677" t="s">
        <v>3179</v>
      </c>
      <c r="T472" s="683">
        <v>152054549</v>
      </c>
      <c r="U472" s="684" t="s">
        <v>3183</v>
      </c>
    </row>
    <row r="473" spans="1:21" ht="24" customHeight="1" x14ac:dyDescent="0.2">
      <c r="A473" s="624">
        <v>468</v>
      </c>
      <c r="B473" s="666">
        <v>45840</v>
      </c>
      <c r="C473" s="676" t="s">
        <v>125</v>
      </c>
      <c r="D473" s="677" t="s">
        <v>3184</v>
      </c>
      <c r="E473" s="678">
        <v>112580058</v>
      </c>
      <c r="F473" s="677" t="s">
        <v>334</v>
      </c>
      <c r="G473" s="677" t="s">
        <v>3185</v>
      </c>
      <c r="H473" s="678" t="s">
        <v>41</v>
      </c>
      <c r="I473" s="678" t="s">
        <v>62</v>
      </c>
      <c r="J473" s="678" t="s">
        <v>63</v>
      </c>
      <c r="K473" s="679">
        <v>45842</v>
      </c>
      <c r="L473" s="680" t="s">
        <v>3181</v>
      </c>
      <c r="M473" s="680" t="s">
        <v>3182</v>
      </c>
      <c r="N473" s="677">
        <v>985530098</v>
      </c>
      <c r="O473" s="681">
        <v>20</v>
      </c>
      <c r="P473" s="678" t="s">
        <v>442</v>
      </c>
      <c r="Q473" s="678" t="s">
        <v>62</v>
      </c>
      <c r="R473" s="682"/>
      <c r="S473" s="677" t="s">
        <v>3184</v>
      </c>
      <c r="T473" s="683">
        <v>152054549</v>
      </c>
      <c r="U473" s="684" t="s">
        <v>3183</v>
      </c>
    </row>
    <row r="474" spans="1:21" ht="24" customHeight="1" x14ac:dyDescent="0.2">
      <c r="A474" s="624">
        <v>469</v>
      </c>
      <c r="B474" s="666">
        <v>45539</v>
      </c>
      <c r="C474" s="676" t="s">
        <v>187</v>
      </c>
      <c r="D474" s="677" t="s">
        <v>3186</v>
      </c>
      <c r="E474" s="678">
        <v>112950020</v>
      </c>
      <c r="F474" s="677" t="s">
        <v>2603</v>
      </c>
      <c r="G474" s="677" t="s">
        <v>3187</v>
      </c>
      <c r="H474" s="678" t="s">
        <v>41</v>
      </c>
      <c r="I474" s="678" t="s">
        <v>62</v>
      </c>
      <c r="J474" s="678" t="s">
        <v>63</v>
      </c>
      <c r="K474" s="679">
        <v>45842</v>
      </c>
      <c r="L474" s="680" t="s">
        <v>990</v>
      </c>
      <c r="M474" s="680" t="s">
        <v>3188</v>
      </c>
      <c r="N474" s="677">
        <v>98780919</v>
      </c>
      <c r="O474" s="681">
        <v>20</v>
      </c>
      <c r="P474" s="678" t="s">
        <v>442</v>
      </c>
      <c r="Q474" s="678" t="s">
        <v>62</v>
      </c>
      <c r="R474" s="682"/>
      <c r="S474" s="677" t="s">
        <v>3186</v>
      </c>
      <c r="T474" s="683">
        <v>105775803</v>
      </c>
      <c r="U474" s="684" t="s">
        <v>3189</v>
      </c>
    </row>
    <row r="475" spans="1:21" ht="24" customHeight="1" x14ac:dyDescent="0.2">
      <c r="A475" s="624">
        <v>470</v>
      </c>
      <c r="B475" s="666">
        <v>45539</v>
      </c>
      <c r="C475" s="676" t="s">
        <v>187</v>
      </c>
      <c r="D475" s="677" t="s">
        <v>3186</v>
      </c>
      <c r="E475" s="678">
        <v>112570211</v>
      </c>
      <c r="F475" s="677" t="s">
        <v>3190</v>
      </c>
      <c r="G475" s="677" t="s">
        <v>3191</v>
      </c>
      <c r="H475" s="678" t="s">
        <v>41</v>
      </c>
      <c r="I475" s="678" t="s">
        <v>62</v>
      </c>
      <c r="J475" s="678" t="s">
        <v>63</v>
      </c>
      <c r="K475" s="679">
        <v>45842</v>
      </c>
      <c r="L475" s="680" t="s">
        <v>990</v>
      </c>
      <c r="M475" s="680" t="s">
        <v>3188</v>
      </c>
      <c r="N475" s="677">
        <v>98780919</v>
      </c>
      <c r="O475" s="681">
        <v>20</v>
      </c>
      <c r="P475" s="678" t="s">
        <v>442</v>
      </c>
      <c r="Q475" s="678" t="s">
        <v>62</v>
      </c>
      <c r="R475" s="682"/>
      <c r="S475" s="677" t="s">
        <v>3186</v>
      </c>
      <c r="T475" s="683">
        <v>105775803</v>
      </c>
      <c r="U475" s="684" t="s">
        <v>3189</v>
      </c>
    </row>
    <row r="476" spans="1:21" ht="24" customHeight="1" x14ac:dyDescent="0.2">
      <c r="A476" s="624">
        <v>471</v>
      </c>
      <c r="B476" s="666">
        <v>45832</v>
      </c>
      <c r="C476" s="676" t="s">
        <v>1867</v>
      </c>
      <c r="D476" s="677" t="s">
        <v>3192</v>
      </c>
      <c r="E476" s="678">
        <v>40446702</v>
      </c>
      <c r="F476" s="677" t="s">
        <v>3193</v>
      </c>
      <c r="G476" s="677" t="s">
        <v>3194</v>
      </c>
      <c r="H476" s="678" t="s">
        <v>41</v>
      </c>
      <c r="I476" s="678" t="s">
        <v>62</v>
      </c>
      <c r="J476" s="678" t="s">
        <v>63</v>
      </c>
      <c r="K476" s="679">
        <v>45842</v>
      </c>
      <c r="L476" s="680" t="s">
        <v>3195</v>
      </c>
      <c r="M476" s="680" t="s">
        <v>3196</v>
      </c>
      <c r="N476" s="677">
        <v>987469784</v>
      </c>
      <c r="O476" s="681">
        <v>20</v>
      </c>
      <c r="P476" s="678" t="s">
        <v>442</v>
      </c>
      <c r="Q476" s="678" t="s">
        <v>62</v>
      </c>
      <c r="R476" s="682"/>
      <c r="S476" s="677" t="s">
        <v>3192</v>
      </c>
      <c r="T476" s="683">
        <v>104086616</v>
      </c>
      <c r="U476" s="684" t="s">
        <v>3197</v>
      </c>
    </row>
    <row r="477" spans="1:21" ht="24" customHeight="1" x14ac:dyDescent="0.2">
      <c r="A477" s="624">
        <v>472</v>
      </c>
      <c r="B477" s="666">
        <v>45828</v>
      </c>
      <c r="C477" s="676" t="s">
        <v>1867</v>
      </c>
      <c r="D477" s="677" t="s">
        <v>3198</v>
      </c>
      <c r="E477" s="678">
        <v>112510035</v>
      </c>
      <c r="F477" s="677" t="s">
        <v>3199</v>
      </c>
      <c r="G477" s="677" t="s">
        <v>3200</v>
      </c>
      <c r="H477" s="678" t="s">
        <v>41</v>
      </c>
      <c r="I477" s="678" t="s">
        <v>62</v>
      </c>
      <c r="J477" s="678" t="s">
        <v>63</v>
      </c>
      <c r="K477" s="679">
        <v>45842</v>
      </c>
      <c r="L477" s="680" t="s">
        <v>3195</v>
      </c>
      <c r="M477" s="680" t="s">
        <v>3196</v>
      </c>
      <c r="N477" s="677">
        <v>987469784</v>
      </c>
      <c r="O477" s="681">
        <v>20</v>
      </c>
      <c r="P477" s="678" t="s">
        <v>442</v>
      </c>
      <c r="Q477" s="678" t="s">
        <v>62</v>
      </c>
      <c r="R477" s="682"/>
      <c r="S477" s="677" t="s">
        <v>3198</v>
      </c>
      <c r="T477" s="683">
        <v>104086616</v>
      </c>
      <c r="U477" s="684" t="s">
        <v>3197</v>
      </c>
    </row>
    <row r="478" spans="1:21" ht="24" customHeight="1" x14ac:dyDescent="0.2">
      <c r="A478" s="624">
        <v>473</v>
      </c>
      <c r="B478" s="666">
        <v>45771</v>
      </c>
      <c r="C478" s="676" t="s">
        <v>125</v>
      </c>
      <c r="D478" s="677" t="s">
        <v>3201</v>
      </c>
      <c r="E478" s="678">
        <v>112610071</v>
      </c>
      <c r="F478" s="677" t="s">
        <v>3202</v>
      </c>
      <c r="G478" s="677" t="s">
        <v>3203</v>
      </c>
      <c r="H478" s="678" t="s">
        <v>41</v>
      </c>
      <c r="I478" s="678" t="s">
        <v>62</v>
      </c>
      <c r="J478" s="678" t="s">
        <v>63</v>
      </c>
      <c r="K478" s="679">
        <v>45842</v>
      </c>
      <c r="L478" s="680" t="s">
        <v>3204</v>
      </c>
      <c r="M478" s="680" t="s">
        <v>3205</v>
      </c>
      <c r="N478" s="677">
        <v>998480125</v>
      </c>
      <c r="O478" s="681">
        <v>20</v>
      </c>
      <c r="P478" s="678" t="s">
        <v>442</v>
      </c>
      <c r="Q478" s="678" t="s">
        <v>62</v>
      </c>
      <c r="R478" s="682"/>
      <c r="S478" s="677" t="s">
        <v>3201</v>
      </c>
      <c r="T478" s="683">
        <v>102304621</v>
      </c>
      <c r="U478" s="684" t="s">
        <v>3206</v>
      </c>
    </row>
    <row r="479" spans="1:21" ht="24" customHeight="1" x14ac:dyDescent="0.2">
      <c r="A479" s="624">
        <v>474</v>
      </c>
      <c r="B479" s="666">
        <v>45771</v>
      </c>
      <c r="C479" s="676" t="s">
        <v>125</v>
      </c>
      <c r="D479" s="677" t="s">
        <v>3201</v>
      </c>
      <c r="E479" s="678">
        <v>40590835</v>
      </c>
      <c r="F479" s="677" t="s">
        <v>3207</v>
      </c>
      <c r="G479" s="677" t="s">
        <v>3208</v>
      </c>
      <c r="H479" s="678" t="s">
        <v>41</v>
      </c>
      <c r="I479" s="678" t="s">
        <v>62</v>
      </c>
      <c r="J479" s="678" t="s">
        <v>63</v>
      </c>
      <c r="K479" s="679">
        <v>45842</v>
      </c>
      <c r="L479" s="680" t="s">
        <v>3204</v>
      </c>
      <c r="M479" s="680" t="s">
        <v>3205</v>
      </c>
      <c r="N479" s="677">
        <v>998480125</v>
      </c>
      <c r="O479" s="681">
        <v>20</v>
      </c>
      <c r="P479" s="678" t="s">
        <v>442</v>
      </c>
      <c r="Q479" s="678" t="s">
        <v>62</v>
      </c>
      <c r="R479" s="682"/>
      <c r="S479" s="677" t="s">
        <v>3201</v>
      </c>
      <c r="T479" s="683">
        <v>102304621</v>
      </c>
      <c r="U479" s="684" t="s">
        <v>3206</v>
      </c>
    </row>
    <row r="480" spans="1:21" ht="24" customHeight="1" x14ac:dyDescent="0.2">
      <c r="A480" s="624">
        <v>475</v>
      </c>
      <c r="B480" s="666">
        <v>45741</v>
      </c>
      <c r="C480" s="676" t="s">
        <v>190</v>
      </c>
      <c r="D480" s="677" t="s">
        <v>3209</v>
      </c>
      <c r="E480" s="678">
        <v>112500047</v>
      </c>
      <c r="F480" s="677" t="s">
        <v>3143</v>
      </c>
      <c r="G480" s="677" t="s">
        <v>3210</v>
      </c>
      <c r="H480" s="678" t="s">
        <v>41</v>
      </c>
      <c r="I480" s="678" t="s">
        <v>62</v>
      </c>
      <c r="J480" s="678" t="s">
        <v>63</v>
      </c>
      <c r="K480" s="679">
        <v>45847</v>
      </c>
      <c r="L480" s="680" t="s">
        <v>3211</v>
      </c>
      <c r="M480" s="680" t="s">
        <v>2712</v>
      </c>
      <c r="N480" s="677">
        <v>984272334</v>
      </c>
      <c r="O480" s="681">
        <v>20</v>
      </c>
      <c r="P480" s="678" t="s">
        <v>442</v>
      </c>
      <c r="Q480" s="678" t="s">
        <v>62</v>
      </c>
      <c r="R480" s="682"/>
      <c r="S480" s="677" t="s">
        <v>3209</v>
      </c>
      <c r="T480" s="683">
        <v>104162245</v>
      </c>
      <c r="U480" s="684" t="s">
        <v>3212</v>
      </c>
    </row>
    <row r="481" spans="1:21" ht="24" customHeight="1" x14ac:dyDescent="0.2">
      <c r="A481" s="624">
        <v>476</v>
      </c>
      <c r="B481" s="666">
        <v>45741</v>
      </c>
      <c r="C481" s="676" t="s">
        <v>190</v>
      </c>
      <c r="D481" s="677" t="s">
        <v>3209</v>
      </c>
      <c r="E481" s="678">
        <v>40782127</v>
      </c>
      <c r="F481" s="677" t="s">
        <v>669</v>
      </c>
      <c r="G481" s="677" t="s">
        <v>3213</v>
      </c>
      <c r="H481" s="678" t="s">
        <v>41</v>
      </c>
      <c r="I481" s="678" t="s">
        <v>62</v>
      </c>
      <c r="J481" s="678" t="s">
        <v>63</v>
      </c>
      <c r="K481" s="679">
        <v>45847</v>
      </c>
      <c r="L481" s="680" t="s">
        <v>3211</v>
      </c>
      <c r="M481" s="680" t="s">
        <v>2712</v>
      </c>
      <c r="N481" s="677">
        <v>984272334</v>
      </c>
      <c r="O481" s="681">
        <v>20</v>
      </c>
      <c r="P481" s="678" t="s">
        <v>442</v>
      </c>
      <c r="Q481" s="678" t="s">
        <v>62</v>
      </c>
      <c r="R481" s="682"/>
      <c r="S481" s="677" t="s">
        <v>3209</v>
      </c>
      <c r="T481" s="683">
        <v>104162245</v>
      </c>
      <c r="U481" s="684" t="s">
        <v>3212</v>
      </c>
    </row>
    <row r="482" spans="1:21" ht="24" customHeight="1" x14ac:dyDescent="0.2">
      <c r="A482" s="624">
        <v>477</v>
      </c>
      <c r="B482" s="666">
        <v>45661</v>
      </c>
      <c r="C482" s="676" t="s">
        <v>125</v>
      </c>
      <c r="D482" s="677" t="s">
        <v>3214</v>
      </c>
      <c r="E482" s="678">
        <v>111000051</v>
      </c>
      <c r="F482" s="677" t="s">
        <v>137</v>
      </c>
      <c r="G482" s="677" t="s">
        <v>3215</v>
      </c>
      <c r="H482" s="678" t="s">
        <v>41</v>
      </c>
      <c r="I482" s="678" t="s">
        <v>62</v>
      </c>
      <c r="J482" s="678" t="s">
        <v>63</v>
      </c>
      <c r="K482" s="679">
        <v>45847</v>
      </c>
      <c r="L482" s="680" t="s">
        <v>3216</v>
      </c>
      <c r="M482" s="680" t="s">
        <v>3217</v>
      </c>
      <c r="N482" s="677">
        <v>995728851</v>
      </c>
      <c r="O482" s="681">
        <v>15</v>
      </c>
      <c r="P482" s="678" t="s">
        <v>442</v>
      </c>
      <c r="Q482" s="678" t="s">
        <v>62</v>
      </c>
      <c r="R482" s="682"/>
      <c r="S482" s="677" t="s">
        <v>3214</v>
      </c>
      <c r="T482" s="683">
        <v>101419281</v>
      </c>
      <c r="U482" s="684" t="s">
        <v>3218</v>
      </c>
    </row>
    <row r="483" spans="1:21" ht="24" customHeight="1" x14ac:dyDescent="0.2">
      <c r="A483" s="624">
        <v>478</v>
      </c>
      <c r="B483" s="666">
        <v>45661</v>
      </c>
      <c r="C483" s="676" t="s">
        <v>125</v>
      </c>
      <c r="D483" s="677" t="s">
        <v>3219</v>
      </c>
      <c r="E483" s="678">
        <v>40584202</v>
      </c>
      <c r="F483" s="677" t="s">
        <v>398</v>
      </c>
      <c r="G483" s="677" t="s">
        <v>3220</v>
      </c>
      <c r="H483" s="678" t="s">
        <v>41</v>
      </c>
      <c r="I483" s="678" t="s">
        <v>62</v>
      </c>
      <c r="J483" s="678" t="s">
        <v>63</v>
      </c>
      <c r="K483" s="679">
        <v>45847</v>
      </c>
      <c r="L483" s="680" t="s">
        <v>3216</v>
      </c>
      <c r="M483" s="680" t="s">
        <v>3217</v>
      </c>
      <c r="N483" s="677">
        <v>995728851</v>
      </c>
      <c r="O483" s="681">
        <v>15</v>
      </c>
      <c r="P483" s="678" t="s">
        <v>442</v>
      </c>
      <c r="Q483" s="678" t="s">
        <v>62</v>
      </c>
      <c r="R483" s="682"/>
      <c r="S483" s="677" t="s">
        <v>3219</v>
      </c>
      <c r="T483" s="683">
        <v>101419281</v>
      </c>
      <c r="U483" s="684" t="s">
        <v>3218</v>
      </c>
    </row>
    <row r="484" spans="1:21" ht="24" customHeight="1" x14ac:dyDescent="0.2">
      <c r="A484" s="624">
        <v>479</v>
      </c>
      <c r="B484" s="666">
        <v>45661</v>
      </c>
      <c r="C484" s="676" t="s">
        <v>125</v>
      </c>
      <c r="D484" s="677" t="s">
        <v>3214</v>
      </c>
      <c r="E484" s="678">
        <v>112580058</v>
      </c>
      <c r="F484" s="677" t="s">
        <v>334</v>
      </c>
      <c r="G484" s="677" t="s">
        <v>3221</v>
      </c>
      <c r="H484" s="678" t="s">
        <v>41</v>
      </c>
      <c r="I484" s="678" t="s">
        <v>62</v>
      </c>
      <c r="J484" s="678" t="s">
        <v>63</v>
      </c>
      <c r="K484" s="679">
        <v>45847</v>
      </c>
      <c r="L484" s="680" t="s">
        <v>3216</v>
      </c>
      <c r="M484" s="680" t="s">
        <v>3217</v>
      </c>
      <c r="N484" s="677">
        <v>995728851</v>
      </c>
      <c r="O484" s="681">
        <v>15</v>
      </c>
      <c r="P484" s="678" t="s">
        <v>442</v>
      </c>
      <c r="Q484" s="678" t="s">
        <v>62</v>
      </c>
      <c r="R484" s="682"/>
      <c r="S484" s="677" t="s">
        <v>3214</v>
      </c>
      <c r="T484" s="683">
        <v>101419281</v>
      </c>
      <c r="U484" s="684" t="s">
        <v>3218</v>
      </c>
    </row>
    <row r="485" spans="1:21" ht="24" customHeight="1" x14ac:dyDescent="0.2">
      <c r="A485" s="624">
        <v>480</v>
      </c>
      <c r="B485" s="666">
        <v>45661</v>
      </c>
      <c r="C485" s="676" t="s">
        <v>125</v>
      </c>
      <c r="D485" s="677" t="s">
        <v>3214</v>
      </c>
      <c r="E485" s="678">
        <v>40466111</v>
      </c>
      <c r="F485" s="677" t="s">
        <v>252</v>
      </c>
      <c r="G485" s="677" t="s">
        <v>3222</v>
      </c>
      <c r="H485" s="678" t="s">
        <v>41</v>
      </c>
      <c r="I485" s="678" t="s">
        <v>62</v>
      </c>
      <c r="J485" s="678" t="s">
        <v>63</v>
      </c>
      <c r="K485" s="679">
        <v>45847</v>
      </c>
      <c r="L485" s="680" t="s">
        <v>3216</v>
      </c>
      <c r="M485" s="680" t="s">
        <v>3217</v>
      </c>
      <c r="N485" s="677">
        <v>995728851</v>
      </c>
      <c r="O485" s="681">
        <v>15</v>
      </c>
      <c r="P485" s="678" t="s">
        <v>442</v>
      </c>
      <c r="Q485" s="678" t="s">
        <v>62</v>
      </c>
      <c r="R485" s="682"/>
      <c r="S485" s="677" t="s">
        <v>3214</v>
      </c>
      <c r="T485" s="683">
        <v>101419281</v>
      </c>
      <c r="U485" s="684" t="s">
        <v>3218</v>
      </c>
    </row>
    <row r="486" spans="1:21" ht="24" customHeight="1" x14ac:dyDescent="0.2">
      <c r="A486" s="624">
        <v>481</v>
      </c>
      <c r="B486" s="666">
        <v>45820</v>
      </c>
      <c r="C486" s="676" t="s">
        <v>187</v>
      </c>
      <c r="D486" s="677" t="s">
        <v>3223</v>
      </c>
      <c r="E486" s="678">
        <v>111000078</v>
      </c>
      <c r="F486" s="677" t="s">
        <v>511</v>
      </c>
      <c r="G486" s="677" t="s">
        <v>3224</v>
      </c>
      <c r="H486" s="678" t="s">
        <v>41</v>
      </c>
      <c r="I486" s="678" t="s">
        <v>62</v>
      </c>
      <c r="J486" s="678" t="s">
        <v>63</v>
      </c>
      <c r="K486" s="679">
        <v>45848</v>
      </c>
      <c r="L486" s="680" t="s">
        <v>3225</v>
      </c>
      <c r="M486" s="680" t="s">
        <v>2125</v>
      </c>
      <c r="N486" s="677">
        <v>999666320</v>
      </c>
      <c r="O486" s="681">
        <v>20</v>
      </c>
      <c r="P486" s="678" t="s">
        <v>442</v>
      </c>
      <c r="Q486" s="678" t="s">
        <v>62</v>
      </c>
      <c r="R486" s="682"/>
      <c r="S486" s="677" t="s">
        <v>3223</v>
      </c>
      <c r="T486" s="683">
        <v>1400516868</v>
      </c>
      <c r="U486" s="684" t="s">
        <v>3226</v>
      </c>
    </row>
    <row r="487" spans="1:21" ht="24" customHeight="1" x14ac:dyDescent="0.2">
      <c r="A487" s="624">
        <v>482</v>
      </c>
      <c r="B487" s="666">
        <v>45820</v>
      </c>
      <c r="C487" s="676" t="s">
        <v>187</v>
      </c>
      <c r="D487" s="677" t="s">
        <v>3223</v>
      </c>
      <c r="E487" s="678">
        <v>112030014</v>
      </c>
      <c r="F487" s="677" t="s">
        <v>3227</v>
      </c>
      <c r="G487" s="677" t="s">
        <v>3228</v>
      </c>
      <c r="H487" s="678" t="s">
        <v>41</v>
      </c>
      <c r="I487" s="678" t="s">
        <v>62</v>
      </c>
      <c r="J487" s="678" t="s">
        <v>63</v>
      </c>
      <c r="K487" s="679">
        <v>45848</v>
      </c>
      <c r="L487" s="680" t="s">
        <v>3225</v>
      </c>
      <c r="M487" s="680" t="s">
        <v>2125</v>
      </c>
      <c r="N487" s="677">
        <v>999666320</v>
      </c>
      <c r="O487" s="681">
        <v>20</v>
      </c>
      <c r="P487" s="678" t="s">
        <v>442</v>
      </c>
      <c r="Q487" s="678" t="s">
        <v>62</v>
      </c>
      <c r="R487" s="682"/>
      <c r="S487" s="677" t="s">
        <v>3223</v>
      </c>
      <c r="T487" s="683">
        <v>1400516868</v>
      </c>
      <c r="U487" s="684" t="s">
        <v>3226</v>
      </c>
    </row>
    <row r="488" spans="1:21" ht="24" customHeight="1" x14ac:dyDescent="0.2">
      <c r="A488" s="624">
        <v>483</v>
      </c>
      <c r="B488" s="666">
        <v>44673</v>
      </c>
      <c r="C488" s="676" t="s">
        <v>2962</v>
      </c>
      <c r="D488" s="677" t="s">
        <v>3229</v>
      </c>
      <c r="E488" s="678">
        <v>1110400006</v>
      </c>
      <c r="F488" s="677" t="s">
        <v>1271</v>
      </c>
      <c r="G488" s="677" t="s">
        <v>3230</v>
      </c>
      <c r="H488" s="678" t="s">
        <v>41</v>
      </c>
      <c r="I488" s="678" t="s">
        <v>62</v>
      </c>
      <c r="J488" s="678" t="s">
        <v>63</v>
      </c>
      <c r="K488" s="679">
        <v>45849</v>
      </c>
      <c r="L488" s="680" t="s">
        <v>3231</v>
      </c>
      <c r="M488" s="680" t="s">
        <v>3232</v>
      </c>
      <c r="N488" s="677">
        <v>990307165</v>
      </c>
      <c r="O488" s="681">
        <v>20</v>
      </c>
      <c r="P488" s="678" t="s">
        <v>442</v>
      </c>
      <c r="Q488" s="678" t="s">
        <v>62</v>
      </c>
      <c r="R488" s="682"/>
      <c r="S488" s="677" t="s">
        <v>3229</v>
      </c>
      <c r="T488" s="683">
        <v>10419539</v>
      </c>
      <c r="U488" s="684" t="s">
        <v>3233</v>
      </c>
    </row>
    <row r="489" spans="1:21" ht="24" customHeight="1" x14ac:dyDescent="0.2">
      <c r="A489" s="624">
        <v>484</v>
      </c>
      <c r="B489" s="666">
        <v>44673</v>
      </c>
      <c r="C489" s="676" t="s">
        <v>2962</v>
      </c>
      <c r="D489" s="677" t="s">
        <v>3229</v>
      </c>
      <c r="E489" s="678">
        <v>40590835</v>
      </c>
      <c r="F489" s="677" t="s">
        <v>3234</v>
      </c>
      <c r="G489" s="677" t="s">
        <v>3235</v>
      </c>
      <c r="H489" s="678" t="s">
        <v>41</v>
      </c>
      <c r="I489" s="678" t="s">
        <v>62</v>
      </c>
      <c r="J489" s="678" t="s">
        <v>63</v>
      </c>
      <c r="K489" s="679">
        <v>45849</v>
      </c>
      <c r="L489" s="680" t="s">
        <v>3231</v>
      </c>
      <c r="M489" s="680" t="s">
        <v>3232</v>
      </c>
      <c r="N489" s="677">
        <v>990307165</v>
      </c>
      <c r="O489" s="681">
        <v>20</v>
      </c>
      <c r="P489" s="678" t="s">
        <v>442</v>
      </c>
      <c r="Q489" s="678" t="s">
        <v>62</v>
      </c>
      <c r="R489" s="682"/>
      <c r="S489" s="677" t="s">
        <v>3229</v>
      </c>
      <c r="T489" s="683">
        <v>10419539</v>
      </c>
      <c r="U489" s="684" t="s">
        <v>3233</v>
      </c>
    </row>
    <row r="490" spans="1:21" ht="24" customHeight="1" x14ac:dyDescent="0.2">
      <c r="A490" s="624">
        <v>485</v>
      </c>
      <c r="B490" s="666">
        <v>45834</v>
      </c>
      <c r="C490" s="676" t="s">
        <v>202</v>
      </c>
      <c r="D490" s="677" t="s">
        <v>3236</v>
      </c>
      <c r="E490" s="678">
        <v>40466241</v>
      </c>
      <c r="F490" s="677" t="s">
        <v>2386</v>
      </c>
      <c r="G490" s="677" t="s">
        <v>3237</v>
      </c>
      <c r="H490" s="678" t="s">
        <v>41</v>
      </c>
      <c r="I490" s="678" t="s">
        <v>62</v>
      </c>
      <c r="J490" s="678" t="s">
        <v>63</v>
      </c>
      <c r="K490" s="679">
        <v>45849</v>
      </c>
      <c r="L490" s="680" t="s">
        <v>3238</v>
      </c>
      <c r="M490" s="680" t="s">
        <v>328</v>
      </c>
      <c r="N490" s="677">
        <v>99569882</v>
      </c>
      <c r="O490" s="681">
        <v>15</v>
      </c>
      <c r="P490" s="678" t="s">
        <v>442</v>
      </c>
      <c r="Q490" s="678" t="s">
        <v>62</v>
      </c>
      <c r="R490" s="682"/>
      <c r="S490" s="677" t="s">
        <v>3236</v>
      </c>
      <c r="T490" s="683">
        <v>301531265</v>
      </c>
      <c r="U490" s="684" t="s">
        <v>3239</v>
      </c>
    </row>
    <row r="491" spans="1:21" ht="24" customHeight="1" x14ac:dyDescent="0.2">
      <c r="A491" s="624">
        <v>486</v>
      </c>
      <c r="B491" s="666">
        <v>45834</v>
      </c>
      <c r="C491" s="676" t="s">
        <v>202</v>
      </c>
      <c r="D491" s="677" t="s">
        <v>3236</v>
      </c>
      <c r="E491" s="678">
        <v>111040006</v>
      </c>
      <c r="F491" s="677" t="s">
        <v>1271</v>
      </c>
      <c r="G491" s="677" t="s">
        <v>3240</v>
      </c>
      <c r="H491" s="678" t="s">
        <v>41</v>
      </c>
      <c r="I491" s="678" t="s">
        <v>62</v>
      </c>
      <c r="J491" s="678" t="s">
        <v>63</v>
      </c>
      <c r="K491" s="679">
        <v>45849</v>
      </c>
      <c r="L491" s="680" t="s">
        <v>3238</v>
      </c>
      <c r="M491" s="680" t="s">
        <v>328</v>
      </c>
      <c r="N491" s="677">
        <v>99569882</v>
      </c>
      <c r="O491" s="681">
        <v>15</v>
      </c>
      <c r="P491" s="678" t="s">
        <v>442</v>
      </c>
      <c r="Q491" s="678" t="s">
        <v>62</v>
      </c>
      <c r="R491" s="682"/>
      <c r="S491" s="677" t="s">
        <v>3236</v>
      </c>
      <c r="T491" s="683">
        <v>301531265</v>
      </c>
      <c r="U491" s="684" t="s">
        <v>3239</v>
      </c>
    </row>
    <row r="492" spans="1:21" ht="24" customHeight="1" x14ac:dyDescent="0.2">
      <c r="A492" s="624">
        <v>487</v>
      </c>
      <c r="B492" s="666">
        <v>45834</v>
      </c>
      <c r="C492" s="676" t="s">
        <v>202</v>
      </c>
      <c r="D492" s="677" t="s">
        <v>3236</v>
      </c>
      <c r="E492" s="678">
        <v>112610068</v>
      </c>
      <c r="F492" s="677" t="s">
        <v>846</v>
      </c>
      <c r="G492" s="677" t="s">
        <v>3241</v>
      </c>
      <c r="H492" s="678" t="s">
        <v>41</v>
      </c>
      <c r="I492" s="678" t="s">
        <v>62</v>
      </c>
      <c r="J492" s="678" t="s">
        <v>63</v>
      </c>
      <c r="K492" s="679">
        <v>45849</v>
      </c>
      <c r="L492" s="680" t="s">
        <v>3238</v>
      </c>
      <c r="M492" s="680" t="s">
        <v>328</v>
      </c>
      <c r="N492" s="677">
        <v>99569882</v>
      </c>
      <c r="O492" s="681">
        <v>15</v>
      </c>
      <c r="P492" s="678" t="s">
        <v>442</v>
      </c>
      <c r="Q492" s="678" t="s">
        <v>62</v>
      </c>
      <c r="R492" s="682"/>
      <c r="S492" s="677" t="s">
        <v>3236</v>
      </c>
      <c r="T492" s="683">
        <v>301531265</v>
      </c>
      <c r="U492" s="684" t="s">
        <v>3239</v>
      </c>
    </row>
    <row r="493" spans="1:21" ht="24" customHeight="1" x14ac:dyDescent="0.2">
      <c r="A493" s="624">
        <v>488</v>
      </c>
      <c r="B493" s="160">
        <v>45826</v>
      </c>
      <c r="C493" s="160" t="s">
        <v>100</v>
      </c>
      <c r="D493" s="160" t="s">
        <v>3482</v>
      </c>
      <c r="E493" s="687">
        <v>112580027</v>
      </c>
      <c r="F493" s="623" t="str">
        <f t="shared" ref="F493:F554" si="15">VLOOKUP(E493,PROD,2,FALSE)</f>
        <v>GBC 75030 KBB CRISTAL COCINA GAS</v>
      </c>
      <c r="G493" s="575" t="s">
        <v>3483</v>
      </c>
      <c r="H493" s="576" t="s">
        <v>41</v>
      </c>
      <c r="I493" s="576" t="s">
        <v>62</v>
      </c>
      <c r="J493" s="576" t="s">
        <v>63</v>
      </c>
      <c r="K493" s="202">
        <v>45859</v>
      </c>
      <c r="L493" s="160" t="s">
        <v>3484</v>
      </c>
      <c r="M493" s="160" t="s">
        <v>3485</v>
      </c>
      <c r="N493" s="620">
        <v>992666015</v>
      </c>
      <c r="O493" s="596">
        <v>15</v>
      </c>
      <c r="P493" s="576" t="s">
        <v>442</v>
      </c>
      <c r="Q493" s="576" t="s">
        <v>62</v>
      </c>
      <c r="R493" s="597"/>
      <c r="S493" s="575" t="str">
        <f>D493</f>
        <v>001-500-000074343</v>
      </c>
      <c r="T493" s="598">
        <v>102688365</v>
      </c>
      <c r="U493" s="621" t="s">
        <v>3486</v>
      </c>
    </row>
    <row r="494" spans="1:21" ht="24" customHeight="1" x14ac:dyDescent="0.2">
      <c r="A494" s="624">
        <v>489</v>
      </c>
      <c r="B494" s="160">
        <v>45826</v>
      </c>
      <c r="C494" s="160" t="s">
        <v>100</v>
      </c>
      <c r="D494" s="160" t="s">
        <v>3482</v>
      </c>
      <c r="E494" s="687">
        <v>112950020</v>
      </c>
      <c r="F494" s="623" t="str">
        <f t="shared" si="15"/>
        <v>DVN 74030 TCL BK CAMPANA (110V-60HZ) C/KIT</v>
      </c>
      <c r="G494" s="575" t="s">
        <v>3487</v>
      </c>
      <c r="H494" s="576" t="s">
        <v>41</v>
      </c>
      <c r="I494" s="576" t="s">
        <v>62</v>
      </c>
      <c r="J494" s="576" t="s">
        <v>63</v>
      </c>
      <c r="K494" s="202">
        <v>45859</v>
      </c>
      <c r="L494" s="160" t="s">
        <v>3484</v>
      </c>
      <c r="M494" s="160" t="s">
        <v>3485</v>
      </c>
      <c r="N494" s="620">
        <v>992666015</v>
      </c>
      <c r="O494" s="596">
        <v>15</v>
      </c>
      <c r="P494" s="576" t="s">
        <v>442</v>
      </c>
      <c r="Q494" s="576" t="s">
        <v>62</v>
      </c>
      <c r="R494" s="597"/>
      <c r="S494" s="575" t="str">
        <f t="shared" ref="S494:S557" si="16">D494</f>
        <v>001-500-000074343</v>
      </c>
      <c r="T494" s="598">
        <v>102688365</v>
      </c>
      <c r="U494" s="621" t="s">
        <v>3486</v>
      </c>
    </row>
    <row r="495" spans="1:21" ht="24" customHeight="1" x14ac:dyDescent="0.2">
      <c r="A495" s="624">
        <v>490</v>
      </c>
      <c r="B495" s="160">
        <v>45826</v>
      </c>
      <c r="C495" s="160" t="s">
        <v>100</v>
      </c>
      <c r="D495" s="160" t="s">
        <v>3482</v>
      </c>
      <c r="E495" s="687">
        <v>111000051</v>
      </c>
      <c r="F495" s="623" t="str">
        <f t="shared" si="15"/>
        <v>HLB 8416 "AIR FRY" - HORNO ELEC</v>
      </c>
      <c r="G495" s="575" t="s">
        <v>3488</v>
      </c>
      <c r="H495" s="576" t="s">
        <v>41</v>
      </c>
      <c r="I495" s="576" t="s">
        <v>62</v>
      </c>
      <c r="J495" s="576" t="s">
        <v>63</v>
      </c>
      <c r="K495" s="202">
        <v>45859</v>
      </c>
      <c r="L495" s="160" t="s">
        <v>3484</v>
      </c>
      <c r="M495" s="160" t="s">
        <v>3485</v>
      </c>
      <c r="N495" s="620">
        <v>992666015</v>
      </c>
      <c r="O495" s="596">
        <v>15</v>
      </c>
      <c r="P495" s="576" t="s">
        <v>442</v>
      </c>
      <c r="Q495" s="576" t="s">
        <v>62</v>
      </c>
      <c r="R495" s="597"/>
      <c r="S495" s="575" t="str">
        <f t="shared" si="16"/>
        <v>001-500-000074343</v>
      </c>
      <c r="T495" s="598">
        <v>102688365</v>
      </c>
      <c r="U495" s="621" t="s">
        <v>3486</v>
      </c>
    </row>
    <row r="496" spans="1:21" ht="24" customHeight="1" x14ac:dyDescent="0.2">
      <c r="A496" s="624">
        <v>491</v>
      </c>
      <c r="B496" s="574">
        <v>45861</v>
      </c>
      <c r="C496" s="575" t="s">
        <v>100</v>
      </c>
      <c r="D496" s="575" t="s">
        <v>3489</v>
      </c>
      <c r="E496" s="576">
        <v>112030008</v>
      </c>
      <c r="F496" s="623" t="str">
        <f t="shared" si="15"/>
        <v>ML 8220 BIS - MICROONDAS</v>
      </c>
      <c r="G496" s="575" t="s">
        <v>3490</v>
      </c>
      <c r="H496" s="576" t="s">
        <v>41</v>
      </c>
      <c r="I496" s="576" t="s">
        <v>62</v>
      </c>
      <c r="J496" s="576" t="s">
        <v>63</v>
      </c>
      <c r="K496" s="593">
        <v>45860</v>
      </c>
      <c r="L496" s="594" t="s">
        <v>3491</v>
      </c>
      <c r="M496" s="594" t="s">
        <v>3492</v>
      </c>
      <c r="N496" s="575">
        <v>939621899</v>
      </c>
      <c r="O496" s="596">
        <v>20</v>
      </c>
      <c r="P496" s="576" t="s">
        <v>442</v>
      </c>
      <c r="Q496" s="576" t="s">
        <v>62</v>
      </c>
      <c r="R496" s="597"/>
      <c r="S496" s="575" t="str">
        <f t="shared" si="16"/>
        <v>001-500-000072277</v>
      </c>
      <c r="T496" s="599" t="s">
        <v>3493</v>
      </c>
      <c r="U496" s="621" t="s">
        <v>3494</v>
      </c>
    </row>
    <row r="497" spans="1:21" ht="24" customHeight="1" x14ac:dyDescent="0.2">
      <c r="A497" s="624">
        <v>492</v>
      </c>
      <c r="B497" s="574">
        <v>45861</v>
      </c>
      <c r="C497" s="575" t="s">
        <v>100</v>
      </c>
      <c r="D497" s="575" t="s">
        <v>3489</v>
      </c>
      <c r="E497" s="576">
        <v>40480321</v>
      </c>
      <c r="F497" s="623" t="str">
        <f t="shared" si="15"/>
        <v>CC 480 ISLA INOX CAMPANA (40480301)</v>
      </c>
      <c r="G497" s="575" t="s">
        <v>3495</v>
      </c>
      <c r="H497" s="576" t="s">
        <v>41</v>
      </c>
      <c r="I497" s="576" t="s">
        <v>62</v>
      </c>
      <c r="J497" s="576" t="s">
        <v>63</v>
      </c>
      <c r="K497" s="593">
        <v>45860</v>
      </c>
      <c r="L497" s="594" t="s">
        <v>3491</v>
      </c>
      <c r="M497" s="594" t="s">
        <v>3492</v>
      </c>
      <c r="N497" s="575">
        <v>939621899</v>
      </c>
      <c r="O497" s="596">
        <v>30</v>
      </c>
      <c r="P497" s="576" t="s">
        <v>442</v>
      </c>
      <c r="Q497" s="576" t="s">
        <v>62</v>
      </c>
      <c r="R497" s="597"/>
      <c r="S497" s="575" t="str">
        <f t="shared" si="16"/>
        <v>001-500-000072277</v>
      </c>
      <c r="T497" s="599" t="s">
        <v>3493</v>
      </c>
      <c r="U497" s="621" t="s">
        <v>3494</v>
      </c>
    </row>
    <row r="498" spans="1:21" ht="24" customHeight="1" x14ac:dyDescent="0.2">
      <c r="A498" s="624">
        <v>493</v>
      </c>
      <c r="B498" s="574">
        <v>45829</v>
      </c>
      <c r="C498" s="575" t="s">
        <v>125</v>
      </c>
      <c r="D498" s="575" t="s">
        <v>3496</v>
      </c>
      <c r="E498" s="687">
        <v>111000051</v>
      </c>
      <c r="F498" s="623" t="str">
        <f t="shared" si="15"/>
        <v>HLB 8416 "AIR FRY" - HORNO ELEC</v>
      </c>
      <c r="G498" s="575" t="s">
        <v>3497</v>
      </c>
      <c r="H498" s="576" t="s">
        <v>41</v>
      </c>
      <c r="I498" s="576" t="s">
        <v>62</v>
      </c>
      <c r="J498" s="576" t="s">
        <v>63</v>
      </c>
      <c r="K498" s="593">
        <v>45860</v>
      </c>
      <c r="L498" s="594" t="s">
        <v>3498</v>
      </c>
      <c r="M498" s="594" t="s">
        <v>533</v>
      </c>
      <c r="N498" s="575">
        <v>999167603</v>
      </c>
      <c r="O498" s="596">
        <v>15</v>
      </c>
      <c r="P498" s="576" t="s">
        <v>442</v>
      </c>
      <c r="Q498" s="576" t="s">
        <v>62</v>
      </c>
      <c r="R498" s="597"/>
      <c r="S498" s="575" t="str">
        <f t="shared" si="16"/>
        <v>043-903-000079060</v>
      </c>
      <c r="T498" s="599" t="s">
        <v>3499</v>
      </c>
      <c r="U498" s="621" t="s">
        <v>3500</v>
      </c>
    </row>
    <row r="499" spans="1:21" ht="24" customHeight="1" x14ac:dyDescent="0.2">
      <c r="A499" s="624">
        <v>494</v>
      </c>
      <c r="B499" s="574">
        <v>45829</v>
      </c>
      <c r="C499" s="575" t="s">
        <v>125</v>
      </c>
      <c r="D499" s="575" t="s">
        <v>3496</v>
      </c>
      <c r="E499" s="576">
        <v>112580058</v>
      </c>
      <c r="F499" s="623" t="str">
        <f t="shared" si="15"/>
        <v>GBC 95030 KBB BK COCINA GAS</v>
      </c>
      <c r="G499" s="575" t="s">
        <v>3501</v>
      </c>
      <c r="H499" s="576" t="s">
        <v>41</v>
      </c>
      <c r="I499" s="576" t="s">
        <v>62</v>
      </c>
      <c r="J499" s="576" t="s">
        <v>63</v>
      </c>
      <c r="K499" s="593">
        <v>45860</v>
      </c>
      <c r="L499" s="594" t="s">
        <v>3498</v>
      </c>
      <c r="M499" s="594" t="s">
        <v>533</v>
      </c>
      <c r="N499" s="575">
        <v>999167603</v>
      </c>
      <c r="O499" s="596">
        <v>15</v>
      </c>
      <c r="P499" s="576" t="s">
        <v>442</v>
      </c>
      <c r="Q499" s="576" t="s">
        <v>62</v>
      </c>
      <c r="R499" s="597"/>
      <c r="S499" s="575" t="str">
        <f t="shared" si="16"/>
        <v>043-903-000079060</v>
      </c>
      <c r="T499" s="599" t="s">
        <v>3499</v>
      </c>
      <c r="U499" s="621" t="s">
        <v>3500</v>
      </c>
    </row>
    <row r="500" spans="1:21" ht="24" customHeight="1" x14ac:dyDescent="0.2">
      <c r="A500" s="624">
        <v>495</v>
      </c>
      <c r="B500" s="574">
        <v>45853</v>
      </c>
      <c r="C500" s="575" t="s">
        <v>125</v>
      </c>
      <c r="D500" s="575" t="s">
        <v>3502</v>
      </c>
      <c r="E500" s="576">
        <v>40466111</v>
      </c>
      <c r="F500" s="623" t="str">
        <f t="shared" si="15"/>
        <v>C 910 NEGRA CAMPANA (110V-60HZ) C/KIT</v>
      </c>
      <c r="G500" s="575" t="s">
        <v>3503</v>
      </c>
      <c r="H500" s="576" t="s">
        <v>41</v>
      </c>
      <c r="I500" s="576" t="s">
        <v>62</v>
      </c>
      <c r="J500" s="576" t="s">
        <v>63</v>
      </c>
      <c r="K500" s="593">
        <v>45860</v>
      </c>
      <c r="L500" s="594" t="s">
        <v>3498</v>
      </c>
      <c r="M500" s="594" t="s">
        <v>533</v>
      </c>
      <c r="N500" s="575">
        <v>999167603</v>
      </c>
      <c r="O500" s="596">
        <v>15</v>
      </c>
      <c r="P500" s="576" t="s">
        <v>442</v>
      </c>
      <c r="Q500" s="576" t="s">
        <v>62</v>
      </c>
      <c r="R500" s="597"/>
      <c r="S500" s="575" t="str">
        <f t="shared" si="16"/>
        <v>043-903-000082820</v>
      </c>
      <c r="T500" s="599" t="s">
        <v>3499</v>
      </c>
      <c r="U500" s="621" t="s">
        <v>3500</v>
      </c>
    </row>
    <row r="501" spans="1:21" ht="24" customHeight="1" x14ac:dyDescent="0.2">
      <c r="A501" s="624">
        <v>496</v>
      </c>
      <c r="B501" s="574">
        <v>45850</v>
      </c>
      <c r="C501" s="575" t="s">
        <v>100</v>
      </c>
      <c r="D501" s="575" t="s">
        <v>3504</v>
      </c>
      <c r="E501" s="576">
        <v>113430051</v>
      </c>
      <c r="F501" s="623" t="str">
        <f t="shared" si="15"/>
        <v>RMF 77960 GBK MX REFRIGERADORA</v>
      </c>
      <c r="G501" s="575" t="s">
        <v>3505</v>
      </c>
      <c r="H501" s="576" t="s">
        <v>41</v>
      </c>
      <c r="I501" s="576" t="s">
        <v>62</v>
      </c>
      <c r="J501" s="576" t="s">
        <v>63</v>
      </c>
      <c r="K501" s="593">
        <v>45861</v>
      </c>
      <c r="L501" s="594" t="s">
        <v>3506</v>
      </c>
      <c r="M501" s="594" t="s">
        <v>328</v>
      </c>
      <c r="N501" s="575">
        <v>992536257</v>
      </c>
      <c r="O501" s="596">
        <v>15</v>
      </c>
      <c r="P501" s="576" t="s">
        <v>442</v>
      </c>
      <c r="Q501" s="576" t="s">
        <v>62</v>
      </c>
      <c r="R501" s="597"/>
      <c r="S501" s="575" t="str">
        <f t="shared" si="16"/>
        <v>001-500-000074988</v>
      </c>
      <c r="T501" s="599" t="s">
        <v>3507</v>
      </c>
      <c r="U501" s="621" t="s">
        <v>3508</v>
      </c>
    </row>
    <row r="502" spans="1:21" ht="24" customHeight="1" x14ac:dyDescent="0.2">
      <c r="A502" s="624">
        <v>497</v>
      </c>
      <c r="B502" s="574">
        <v>45808</v>
      </c>
      <c r="C502" s="575" t="s">
        <v>100</v>
      </c>
      <c r="D502" s="575" t="s">
        <v>3509</v>
      </c>
      <c r="E502" s="576">
        <v>40467305</v>
      </c>
      <c r="F502" s="623" t="str">
        <f t="shared" si="15"/>
        <v>C 710 NEGRA CAMPANA (110V-60HZ) C/KIT</v>
      </c>
      <c r="G502" s="575" t="s">
        <v>3510</v>
      </c>
      <c r="H502" s="576" t="s">
        <v>41</v>
      </c>
      <c r="I502" s="576" t="s">
        <v>62</v>
      </c>
      <c r="J502" s="576" t="s">
        <v>63</v>
      </c>
      <c r="K502" s="593">
        <v>45861</v>
      </c>
      <c r="L502" s="594" t="s">
        <v>3506</v>
      </c>
      <c r="M502" s="594" t="s">
        <v>328</v>
      </c>
      <c r="N502" s="575">
        <v>992536257</v>
      </c>
      <c r="O502" s="596">
        <v>15</v>
      </c>
      <c r="P502" s="576" t="s">
        <v>442</v>
      </c>
      <c r="Q502" s="576" t="s">
        <v>62</v>
      </c>
      <c r="R502" s="597"/>
      <c r="S502" s="575" t="str">
        <f t="shared" si="16"/>
        <v>001-500-000073894</v>
      </c>
      <c r="T502" s="599" t="s">
        <v>3507</v>
      </c>
      <c r="U502" s="621" t="s">
        <v>3508</v>
      </c>
    </row>
    <row r="503" spans="1:21" ht="24" customHeight="1" x14ac:dyDescent="0.2">
      <c r="A503" s="624">
        <v>498</v>
      </c>
      <c r="B503" s="574">
        <v>45808</v>
      </c>
      <c r="C503" s="575" t="s">
        <v>100</v>
      </c>
      <c r="D503" s="575" t="s">
        <v>3509</v>
      </c>
      <c r="E503" s="576">
        <v>112580017</v>
      </c>
      <c r="F503" s="623" t="str">
        <f t="shared" si="15"/>
        <v>GBC 64000 KBB CRISTAL COCINA GAS</v>
      </c>
      <c r="G503" s="575" t="s">
        <v>3511</v>
      </c>
      <c r="H503" s="576" t="s">
        <v>41</v>
      </c>
      <c r="I503" s="576" t="s">
        <v>62</v>
      </c>
      <c r="J503" s="576" t="s">
        <v>63</v>
      </c>
      <c r="K503" s="593">
        <v>45861</v>
      </c>
      <c r="L503" s="594" t="s">
        <v>3506</v>
      </c>
      <c r="M503" s="594" t="s">
        <v>328</v>
      </c>
      <c r="N503" s="575">
        <v>992536257</v>
      </c>
      <c r="O503" s="596">
        <v>15</v>
      </c>
      <c r="P503" s="576" t="s">
        <v>442</v>
      </c>
      <c r="Q503" s="576" t="s">
        <v>62</v>
      </c>
      <c r="R503" s="597"/>
      <c r="S503" s="575" t="str">
        <f t="shared" si="16"/>
        <v>001-500-000073894</v>
      </c>
      <c r="T503" s="599" t="s">
        <v>3507</v>
      </c>
      <c r="U503" s="621" t="s">
        <v>3508</v>
      </c>
    </row>
    <row r="504" spans="1:21" ht="24" customHeight="1" x14ac:dyDescent="0.2">
      <c r="A504" s="624">
        <v>499</v>
      </c>
      <c r="B504" s="574">
        <v>45834</v>
      </c>
      <c r="C504" s="575" t="s">
        <v>100</v>
      </c>
      <c r="D504" s="575" t="s">
        <v>3512</v>
      </c>
      <c r="E504" s="576">
        <v>112570125</v>
      </c>
      <c r="F504" s="623" t="str">
        <f t="shared" si="15"/>
        <v>JZC 95314 ABB BK (LAT) COCINA MIXTA GAS - INDUCCION (40213032)</v>
      </c>
      <c r="G504" s="575" t="s">
        <v>3513</v>
      </c>
      <c r="H504" s="576" t="s">
        <v>41</v>
      </c>
      <c r="I504" s="576" t="s">
        <v>62</v>
      </c>
      <c r="J504" s="576" t="s">
        <v>63</v>
      </c>
      <c r="K504" s="593">
        <v>45861</v>
      </c>
      <c r="L504" s="594" t="s">
        <v>3514</v>
      </c>
      <c r="M504" s="594" t="s">
        <v>720</v>
      </c>
      <c r="N504" s="575">
        <v>993040205</v>
      </c>
      <c r="O504" s="596">
        <v>20</v>
      </c>
      <c r="P504" s="576" t="s">
        <v>442</v>
      </c>
      <c r="Q504" s="576" t="s">
        <v>62</v>
      </c>
      <c r="R504" s="597"/>
      <c r="S504" s="575" t="str">
        <f t="shared" si="16"/>
        <v>001-500-000074519</v>
      </c>
      <c r="T504" s="599" t="s">
        <v>3515</v>
      </c>
      <c r="U504" s="621" t="s">
        <v>3516</v>
      </c>
    </row>
    <row r="505" spans="1:21" ht="24" customHeight="1" x14ac:dyDescent="0.2">
      <c r="A505" s="624">
        <v>500</v>
      </c>
      <c r="B505" s="574">
        <v>45834</v>
      </c>
      <c r="C505" s="575" t="s">
        <v>100</v>
      </c>
      <c r="D505" s="575" t="s">
        <v>3512</v>
      </c>
      <c r="E505" s="576">
        <v>111000050</v>
      </c>
      <c r="F505" s="623" t="str">
        <f t="shared" si="15"/>
        <v>HLB 8510 P "MAESTRO PIZZA"</v>
      </c>
      <c r="G505" s="575" t="s">
        <v>3517</v>
      </c>
      <c r="H505" s="576" t="s">
        <v>41</v>
      </c>
      <c r="I505" s="576" t="s">
        <v>62</v>
      </c>
      <c r="J505" s="576" t="s">
        <v>63</v>
      </c>
      <c r="K505" s="593">
        <v>45861</v>
      </c>
      <c r="L505" s="594" t="s">
        <v>3514</v>
      </c>
      <c r="M505" s="594" t="s">
        <v>720</v>
      </c>
      <c r="N505" s="575">
        <v>993040205</v>
      </c>
      <c r="O505" s="596">
        <v>20</v>
      </c>
      <c r="P505" s="576" t="s">
        <v>442</v>
      </c>
      <c r="Q505" s="576" t="s">
        <v>62</v>
      </c>
      <c r="R505" s="597"/>
      <c r="S505" s="575" t="str">
        <f t="shared" si="16"/>
        <v>001-500-000074519</v>
      </c>
      <c r="T505" s="599" t="s">
        <v>3515</v>
      </c>
      <c r="U505" s="621" t="s">
        <v>3516</v>
      </c>
    </row>
    <row r="506" spans="1:21" ht="24" customHeight="1" x14ac:dyDescent="0.2">
      <c r="A506" s="624">
        <v>501</v>
      </c>
      <c r="B506" s="574">
        <v>45619</v>
      </c>
      <c r="C506" s="575" t="s">
        <v>100</v>
      </c>
      <c r="D506" s="575" t="s">
        <v>3518</v>
      </c>
      <c r="E506" s="576">
        <v>112730000</v>
      </c>
      <c r="F506" s="623" t="str">
        <f t="shared" si="15"/>
        <v>AFF 87601 HOOD IN HOB</v>
      </c>
      <c r="G506" s="622" t="s">
        <v>3519</v>
      </c>
      <c r="H506" s="576" t="s">
        <v>41</v>
      </c>
      <c r="I506" s="576" t="s">
        <v>62</v>
      </c>
      <c r="J506" s="576" t="s">
        <v>63</v>
      </c>
      <c r="K506" s="593">
        <v>45862</v>
      </c>
      <c r="L506" s="594" t="s">
        <v>357</v>
      </c>
      <c r="M506" s="594" t="s">
        <v>1224</v>
      </c>
      <c r="N506" s="575">
        <v>997438391</v>
      </c>
      <c r="O506" s="596">
        <v>15</v>
      </c>
      <c r="P506" s="576" t="s">
        <v>442</v>
      </c>
      <c r="Q506" s="576" t="s">
        <v>62</v>
      </c>
      <c r="R506" s="597"/>
      <c r="S506" s="575" t="str">
        <f t="shared" si="16"/>
        <v>001-500-000068124</v>
      </c>
      <c r="T506" s="599" t="s">
        <v>1712</v>
      </c>
      <c r="U506" s="621" t="s">
        <v>3520</v>
      </c>
    </row>
    <row r="507" spans="1:21" ht="24" customHeight="1" x14ac:dyDescent="0.2">
      <c r="A507" s="624">
        <v>502</v>
      </c>
      <c r="B507" s="574">
        <v>45619</v>
      </c>
      <c r="C507" s="575" t="s">
        <v>100</v>
      </c>
      <c r="D507" s="575" t="s">
        <v>3518</v>
      </c>
      <c r="E507" s="576">
        <v>40782128</v>
      </c>
      <c r="F507" s="623" t="str">
        <f t="shared" si="15"/>
        <v>DW8 57 FIM-D LAVAVAJILLAS</v>
      </c>
      <c r="G507" s="575" t="s">
        <v>3521</v>
      </c>
      <c r="H507" s="576" t="s">
        <v>41</v>
      </c>
      <c r="I507" s="576" t="s">
        <v>62</v>
      </c>
      <c r="J507" s="576" t="s">
        <v>63</v>
      </c>
      <c r="K507" s="593">
        <v>45862</v>
      </c>
      <c r="L507" s="594" t="s">
        <v>357</v>
      </c>
      <c r="M507" s="594" t="s">
        <v>1224</v>
      </c>
      <c r="N507" s="575">
        <v>997438391</v>
      </c>
      <c r="O507" s="596">
        <v>15</v>
      </c>
      <c r="P507" s="576" t="s">
        <v>442</v>
      </c>
      <c r="Q507" s="576" t="s">
        <v>62</v>
      </c>
      <c r="R507" s="597"/>
      <c r="S507" s="575" t="str">
        <f t="shared" si="16"/>
        <v>001-500-000068124</v>
      </c>
      <c r="T507" s="599" t="s">
        <v>1712</v>
      </c>
      <c r="U507" s="621" t="s">
        <v>3520</v>
      </c>
    </row>
    <row r="508" spans="1:21" ht="24" customHeight="1" x14ac:dyDescent="0.2">
      <c r="A508" s="624">
        <v>503</v>
      </c>
      <c r="B508" s="574">
        <v>45610</v>
      </c>
      <c r="C508" s="575" t="s">
        <v>100</v>
      </c>
      <c r="D508" s="575" t="s">
        <v>3522</v>
      </c>
      <c r="E508" s="576">
        <v>111010028</v>
      </c>
      <c r="F508" s="623" t="str">
        <f t="shared" si="15"/>
        <v>HSB 646 "AIRFRY" - HORNO ELEC</v>
      </c>
      <c r="G508" s="575" t="s">
        <v>3523</v>
      </c>
      <c r="H508" s="576" t="s">
        <v>41</v>
      </c>
      <c r="I508" s="576" t="s">
        <v>62</v>
      </c>
      <c r="J508" s="576" t="s">
        <v>63</v>
      </c>
      <c r="K508" s="593">
        <v>45862</v>
      </c>
      <c r="L508" s="594" t="s">
        <v>357</v>
      </c>
      <c r="M508" s="594" t="s">
        <v>1224</v>
      </c>
      <c r="N508" s="575">
        <v>997438391</v>
      </c>
      <c r="O508" s="596">
        <v>15</v>
      </c>
      <c r="P508" s="576" t="s">
        <v>442</v>
      </c>
      <c r="Q508" s="576" t="s">
        <v>62</v>
      </c>
      <c r="R508" s="597"/>
      <c r="S508" s="575" t="str">
        <f t="shared" si="16"/>
        <v>001-500-000067861</v>
      </c>
      <c r="T508" s="599" t="s">
        <v>1712</v>
      </c>
      <c r="U508" s="621" t="s">
        <v>3520</v>
      </c>
    </row>
    <row r="509" spans="1:21" ht="24" customHeight="1" x14ac:dyDescent="0.2">
      <c r="A509" s="624">
        <v>504</v>
      </c>
      <c r="B509" s="574">
        <v>45610</v>
      </c>
      <c r="C509" s="575" t="s">
        <v>100</v>
      </c>
      <c r="D509" s="575" t="s">
        <v>3522</v>
      </c>
      <c r="E509" s="576">
        <v>40584012</v>
      </c>
      <c r="F509" s="623" t="str">
        <f t="shared" si="15"/>
        <v>MS 620 BIS - MICROONDAS</v>
      </c>
      <c r="G509" s="575" t="s">
        <v>3524</v>
      </c>
      <c r="H509" s="576" t="s">
        <v>41</v>
      </c>
      <c r="I509" s="576" t="s">
        <v>62</v>
      </c>
      <c r="J509" s="576" t="s">
        <v>63</v>
      </c>
      <c r="K509" s="593">
        <v>45862</v>
      </c>
      <c r="L509" s="594" t="s">
        <v>357</v>
      </c>
      <c r="M509" s="594" t="s">
        <v>1224</v>
      </c>
      <c r="N509" s="575">
        <v>997438391</v>
      </c>
      <c r="O509" s="596">
        <v>15</v>
      </c>
      <c r="P509" s="576" t="s">
        <v>442</v>
      </c>
      <c r="Q509" s="576" t="s">
        <v>62</v>
      </c>
      <c r="R509" s="597"/>
      <c r="S509" s="575" t="str">
        <f t="shared" si="16"/>
        <v>001-500-000067861</v>
      </c>
      <c r="T509" s="599" t="s">
        <v>1712</v>
      </c>
      <c r="U509" s="621" t="s">
        <v>3520</v>
      </c>
    </row>
    <row r="510" spans="1:21" ht="24" customHeight="1" x14ac:dyDescent="0.2">
      <c r="A510" s="624">
        <v>505</v>
      </c>
      <c r="B510" s="574">
        <v>45841</v>
      </c>
      <c r="C510" s="575" t="s">
        <v>100</v>
      </c>
      <c r="D510" s="575" t="s">
        <v>3525</v>
      </c>
      <c r="E510" s="576">
        <v>40467320</v>
      </c>
      <c r="F510" s="623" t="str">
        <f t="shared" si="15"/>
        <v>C 7310 INOX CAMPANA (110V-60HZ) C/KIT</v>
      </c>
      <c r="G510" s="575" t="s">
        <v>3526</v>
      </c>
      <c r="H510" s="576" t="s">
        <v>41</v>
      </c>
      <c r="I510" s="576" t="s">
        <v>62</v>
      </c>
      <c r="J510" s="576" t="s">
        <v>63</v>
      </c>
      <c r="K510" s="593">
        <v>45863</v>
      </c>
      <c r="L510" s="594" t="s">
        <v>3527</v>
      </c>
      <c r="M510" s="594" t="s">
        <v>3528</v>
      </c>
      <c r="N510" s="575">
        <v>997377346</v>
      </c>
      <c r="O510" s="596">
        <v>20</v>
      </c>
      <c r="P510" s="576" t="s">
        <v>442</v>
      </c>
      <c r="Q510" s="576" t="s">
        <v>62</v>
      </c>
      <c r="R510" s="597"/>
      <c r="S510" s="575" t="str">
        <f t="shared" si="16"/>
        <v>001-501-000007462</v>
      </c>
      <c r="T510" s="599" t="s">
        <v>3529</v>
      </c>
      <c r="U510" s="621" t="s">
        <v>3530</v>
      </c>
    </row>
    <row r="511" spans="1:21" ht="24" customHeight="1" x14ac:dyDescent="0.2">
      <c r="A511" s="624">
        <v>506</v>
      </c>
      <c r="B511" s="574">
        <v>45841</v>
      </c>
      <c r="C511" s="575" t="s">
        <v>100</v>
      </c>
      <c r="D511" s="575" t="s">
        <v>3525</v>
      </c>
      <c r="E511" s="576">
        <v>112580027</v>
      </c>
      <c r="F511" s="623" t="str">
        <f t="shared" si="15"/>
        <v>GBC 75030 KBB CRISTAL COCINA GAS</v>
      </c>
      <c r="G511" s="575" t="s">
        <v>3531</v>
      </c>
      <c r="H511" s="576" t="s">
        <v>41</v>
      </c>
      <c r="I511" s="576" t="s">
        <v>62</v>
      </c>
      <c r="J511" s="576" t="s">
        <v>63</v>
      </c>
      <c r="K511" s="593">
        <v>45863</v>
      </c>
      <c r="L511" s="594" t="s">
        <v>3527</v>
      </c>
      <c r="M511" s="594" t="s">
        <v>3528</v>
      </c>
      <c r="N511" s="575">
        <v>997377346</v>
      </c>
      <c r="O511" s="596">
        <v>20</v>
      </c>
      <c r="P511" s="576" t="s">
        <v>442</v>
      </c>
      <c r="Q511" s="576" t="s">
        <v>62</v>
      </c>
      <c r="R511" s="597"/>
      <c r="S511" s="575" t="str">
        <f t="shared" si="16"/>
        <v>001-501-000007462</v>
      </c>
      <c r="T511" s="599" t="s">
        <v>3529</v>
      </c>
      <c r="U511" s="621" t="s">
        <v>3530</v>
      </c>
    </row>
    <row r="512" spans="1:21" ht="24" customHeight="1" x14ac:dyDescent="0.2">
      <c r="A512" s="624">
        <v>507</v>
      </c>
      <c r="B512" s="574">
        <v>45845</v>
      </c>
      <c r="C512" s="575" t="s">
        <v>100</v>
      </c>
      <c r="D512" s="575" t="s">
        <v>3532</v>
      </c>
      <c r="E512" s="576">
        <v>41560142</v>
      </c>
      <c r="F512" s="623" t="str">
        <f t="shared" si="15"/>
        <v>HSB 635 INOX HORNO ELEC (41521810)</v>
      </c>
      <c r="G512" s="575" t="s">
        <v>3533</v>
      </c>
      <c r="H512" s="576" t="s">
        <v>41</v>
      </c>
      <c r="I512" s="576" t="s">
        <v>62</v>
      </c>
      <c r="J512" s="576" t="s">
        <v>63</v>
      </c>
      <c r="K512" s="593">
        <v>45863</v>
      </c>
      <c r="L512" s="594" t="s">
        <v>3534</v>
      </c>
      <c r="M512" s="594" t="s">
        <v>3535</v>
      </c>
      <c r="N512" s="575">
        <v>998636499</v>
      </c>
      <c r="O512" s="596">
        <v>15</v>
      </c>
      <c r="P512" s="576" t="s">
        <v>442</v>
      </c>
      <c r="Q512" s="576" t="s">
        <v>62</v>
      </c>
      <c r="R512" s="597"/>
      <c r="S512" s="575" t="str">
        <f t="shared" si="16"/>
        <v>001-500-000074819</v>
      </c>
      <c r="T512" s="599" t="s">
        <v>3536</v>
      </c>
      <c r="U512" s="621" t="s">
        <v>3537</v>
      </c>
    </row>
    <row r="513" spans="1:21" ht="24" customHeight="1" x14ac:dyDescent="0.2">
      <c r="A513" s="624">
        <v>508</v>
      </c>
      <c r="B513" s="574">
        <v>45845</v>
      </c>
      <c r="C513" s="575" t="s">
        <v>100</v>
      </c>
      <c r="D513" s="575" t="s">
        <v>3532</v>
      </c>
      <c r="E513" s="576">
        <v>112030008</v>
      </c>
      <c r="F513" s="623" t="str">
        <f t="shared" si="15"/>
        <v>ML 8220 BIS - MICROONDAS</v>
      </c>
      <c r="G513" s="575" t="s">
        <v>3538</v>
      </c>
      <c r="H513" s="576" t="s">
        <v>41</v>
      </c>
      <c r="I513" s="576" t="s">
        <v>62</v>
      </c>
      <c r="J513" s="576" t="s">
        <v>63</v>
      </c>
      <c r="K513" s="593">
        <v>45863</v>
      </c>
      <c r="L513" s="594" t="s">
        <v>3534</v>
      </c>
      <c r="M513" s="594" t="s">
        <v>3535</v>
      </c>
      <c r="N513" s="575">
        <v>998636499</v>
      </c>
      <c r="O513" s="596">
        <v>15</v>
      </c>
      <c r="P513" s="576" t="s">
        <v>442</v>
      </c>
      <c r="Q513" s="576" t="s">
        <v>62</v>
      </c>
      <c r="R513" s="597"/>
      <c r="S513" s="575" t="str">
        <f t="shared" si="16"/>
        <v>001-500-000074819</v>
      </c>
      <c r="T513" s="599" t="s">
        <v>3536</v>
      </c>
      <c r="U513" s="621" t="s">
        <v>3537</v>
      </c>
    </row>
    <row r="514" spans="1:21" ht="24" customHeight="1" x14ac:dyDescent="0.2">
      <c r="A514" s="624">
        <v>509</v>
      </c>
      <c r="B514" s="574">
        <v>45845</v>
      </c>
      <c r="C514" s="575" t="s">
        <v>100</v>
      </c>
      <c r="D514" s="575" t="s">
        <v>3532</v>
      </c>
      <c r="E514" s="576">
        <v>112570073</v>
      </c>
      <c r="F514" s="623" t="str">
        <f t="shared" si="15"/>
        <v>GZC 96310 XBB CRISTAL COCINA GAS</v>
      </c>
      <c r="G514" s="575" t="s">
        <v>3539</v>
      </c>
      <c r="H514" s="576" t="s">
        <v>41</v>
      </c>
      <c r="I514" s="576" t="s">
        <v>62</v>
      </c>
      <c r="J514" s="576" t="s">
        <v>63</v>
      </c>
      <c r="K514" s="593">
        <v>45863</v>
      </c>
      <c r="L514" s="594" t="s">
        <v>3534</v>
      </c>
      <c r="M514" s="594" t="s">
        <v>3535</v>
      </c>
      <c r="N514" s="575">
        <v>998636499</v>
      </c>
      <c r="O514" s="596">
        <v>15</v>
      </c>
      <c r="P514" s="576" t="s">
        <v>442</v>
      </c>
      <c r="Q514" s="576" t="s">
        <v>62</v>
      </c>
      <c r="R514" s="597"/>
      <c r="S514" s="575" t="str">
        <f t="shared" si="16"/>
        <v>001-500-000074819</v>
      </c>
      <c r="T514" s="599" t="s">
        <v>3536</v>
      </c>
      <c r="U514" s="621" t="s">
        <v>3537</v>
      </c>
    </row>
    <row r="515" spans="1:21" ht="24" customHeight="1" x14ac:dyDescent="0.2">
      <c r="A515" s="624">
        <v>510</v>
      </c>
      <c r="B515" s="574">
        <v>45846</v>
      </c>
      <c r="C515" s="575" t="s">
        <v>75</v>
      </c>
      <c r="D515" s="575" t="s">
        <v>3540</v>
      </c>
      <c r="E515" s="576">
        <v>40483182</v>
      </c>
      <c r="F515" s="623" t="str">
        <f t="shared" si="15"/>
        <v>CUERPO DPL ISLA 1180</v>
      </c>
      <c r="G515" s="575" t="s">
        <v>3541</v>
      </c>
      <c r="H515" s="576" t="s">
        <v>41</v>
      </c>
      <c r="I515" s="576" t="s">
        <v>62</v>
      </c>
      <c r="J515" s="576" t="s">
        <v>63</v>
      </c>
      <c r="K515" s="593">
        <v>45863</v>
      </c>
      <c r="L515" s="594" t="s">
        <v>3534</v>
      </c>
      <c r="M515" s="594" t="s">
        <v>3535</v>
      </c>
      <c r="N515" s="575">
        <v>998636499</v>
      </c>
      <c r="O515" s="596">
        <v>30</v>
      </c>
      <c r="P515" s="576" t="s">
        <v>442</v>
      </c>
      <c r="Q515" s="576" t="s">
        <v>62</v>
      </c>
      <c r="R515" s="597"/>
      <c r="S515" s="575" t="str">
        <f t="shared" si="16"/>
        <v>001-001-000001076</v>
      </c>
      <c r="T515" s="599" t="s">
        <v>3536</v>
      </c>
      <c r="U515" s="621" t="s">
        <v>3537</v>
      </c>
    </row>
    <row r="516" spans="1:21" ht="24" customHeight="1" x14ac:dyDescent="0.2">
      <c r="A516" s="624">
        <v>511</v>
      </c>
      <c r="B516" s="574">
        <v>45622</v>
      </c>
      <c r="C516" s="575" t="s">
        <v>187</v>
      </c>
      <c r="D516" s="575" t="s">
        <v>3542</v>
      </c>
      <c r="E516" s="576">
        <v>40297052</v>
      </c>
      <c r="F516" s="623" t="str">
        <f t="shared" si="15"/>
        <v>COCINA A GAS FS3RL966GGX</v>
      </c>
      <c r="G516" s="575" t="s">
        <v>3543</v>
      </c>
      <c r="H516" s="576" t="s">
        <v>41</v>
      </c>
      <c r="I516" s="576" t="s">
        <v>62</v>
      </c>
      <c r="J516" s="576" t="s">
        <v>63</v>
      </c>
      <c r="K516" s="593">
        <v>45866</v>
      </c>
      <c r="L516" s="594" t="s">
        <v>3544</v>
      </c>
      <c r="M516" s="594" t="s">
        <v>328</v>
      </c>
      <c r="N516" s="575">
        <v>998823465</v>
      </c>
      <c r="O516" s="596">
        <v>15</v>
      </c>
      <c r="P516" s="576" t="s">
        <v>442</v>
      </c>
      <c r="Q516" s="576" t="s">
        <v>62</v>
      </c>
      <c r="R516" s="597"/>
      <c r="S516" s="575" t="str">
        <f t="shared" si="16"/>
        <v>040-101-000000490</v>
      </c>
      <c r="T516" s="598">
        <v>301639735</v>
      </c>
      <c r="U516" s="621" t="s">
        <v>3545</v>
      </c>
    </row>
    <row r="517" spans="1:21" ht="24" customHeight="1" x14ac:dyDescent="0.2">
      <c r="A517" s="624">
        <v>512</v>
      </c>
      <c r="B517" s="574">
        <v>45622</v>
      </c>
      <c r="C517" s="575" t="s">
        <v>187</v>
      </c>
      <c r="D517" s="575" t="s">
        <v>3542</v>
      </c>
      <c r="E517" s="576">
        <v>113430018</v>
      </c>
      <c r="F517" s="623" t="str">
        <f t="shared" si="15"/>
        <v>RLF 74920 SS SBS REFRIGERADORA</v>
      </c>
      <c r="G517" s="575" t="s">
        <v>3546</v>
      </c>
      <c r="H517" s="576" t="s">
        <v>41</v>
      </c>
      <c r="I517" s="576" t="s">
        <v>62</v>
      </c>
      <c r="J517" s="576" t="s">
        <v>63</v>
      </c>
      <c r="K517" s="593">
        <v>45866</v>
      </c>
      <c r="L517" s="594" t="s">
        <v>3544</v>
      </c>
      <c r="M517" s="594" t="s">
        <v>328</v>
      </c>
      <c r="N517" s="575">
        <v>998823465</v>
      </c>
      <c r="O517" s="596">
        <v>15</v>
      </c>
      <c r="P517" s="576" t="s">
        <v>442</v>
      </c>
      <c r="Q517" s="576" t="s">
        <v>62</v>
      </c>
      <c r="R517" s="597"/>
      <c r="S517" s="575" t="str">
        <f t="shared" si="16"/>
        <v>040-101-000000490</v>
      </c>
      <c r="T517" s="598">
        <v>301639735</v>
      </c>
      <c r="U517" s="621" t="s">
        <v>3545</v>
      </c>
    </row>
    <row r="518" spans="1:21" ht="24" customHeight="1" x14ac:dyDescent="0.2">
      <c r="A518" s="624">
        <v>513</v>
      </c>
      <c r="B518" s="574">
        <v>45622</v>
      </c>
      <c r="C518" s="575" t="s">
        <v>187</v>
      </c>
      <c r="D518" s="575" t="s">
        <v>3542</v>
      </c>
      <c r="E518" s="576">
        <v>111010028</v>
      </c>
      <c r="F518" s="623" t="str">
        <f t="shared" si="15"/>
        <v>HSB 646 "AIRFRY" - HORNO ELEC</v>
      </c>
      <c r="G518" s="575" t="s">
        <v>3547</v>
      </c>
      <c r="H518" s="576" t="s">
        <v>41</v>
      </c>
      <c r="I518" s="576" t="s">
        <v>62</v>
      </c>
      <c r="J518" s="576" t="s">
        <v>63</v>
      </c>
      <c r="K518" s="593">
        <v>45866</v>
      </c>
      <c r="L518" s="594" t="s">
        <v>3544</v>
      </c>
      <c r="M518" s="594" t="s">
        <v>328</v>
      </c>
      <c r="N518" s="575">
        <v>998823465</v>
      </c>
      <c r="O518" s="596">
        <v>15</v>
      </c>
      <c r="P518" s="576" t="s">
        <v>442</v>
      </c>
      <c r="Q518" s="576" t="s">
        <v>62</v>
      </c>
      <c r="R518" s="597"/>
      <c r="S518" s="575" t="str">
        <f t="shared" si="16"/>
        <v>040-101-000000490</v>
      </c>
      <c r="T518" s="598">
        <v>301639735</v>
      </c>
      <c r="U518" s="621" t="s">
        <v>3545</v>
      </c>
    </row>
    <row r="519" spans="1:21" ht="24" customHeight="1" x14ac:dyDescent="0.2">
      <c r="A519" s="624">
        <v>514</v>
      </c>
      <c r="B519" s="574">
        <v>45667</v>
      </c>
      <c r="C519" s="575" t="s">
        <v>125</v>
      </c>
      <c r="D519" s="575" t="s">
        <v>3548</v>
      </c>
      <c r="E519" s="576">
        <v>40584105</v>
      </c>
      <c r="F519" s="623" t="str">
        <f t="shared" si="15"/>
        <v>MS 622 BIS - MICROONDAS</v>
      </c>
      <c r="G519" s="575" t="s">
        <v>3549</v>
      </c>
      <c r="H519" s="576" t="s">
        <v>41</v>
      </c>
      <c r="I519" s="576" t="s">
        <v>62</v>
      </c>
      <c r="J519" s="576" t="s">
        <v>63</v>
      </c>
      <c r="K519" s="593">
        <v>45866</v>
      </c>
      <c r="L519" s="594" t="s">
        <v>3544</v>
      </c>
      <c r="M519" s="594" t="s">
        <v>328</v>
      </c>
      <c r="N519" s="575">
        <v>998823465</v>
      </c>
      <c r="O519" s="596">
        <v>15</v>
      </c>
      <c r="P519" s="576" t="s">
        <v>442</v>
      </c>
      <c r="Q519" s="576" t="s">
        <v>62</v>
      </c>
      <c r="R519" s="597"/>
      <c r="S519" s="575" t="str">
        <f t="shared" si="16"/>
        <v>017-901-000109951</v>
      </c>
      <c r="T519" s="598">
        <v>301639735</v>
      </c>
      <c r="U519" s="621" t="s">
        <v>3545</v>
      </c>
    </row>
    <row r="520" spans="1:21" ht="24" customHeight="1" x14ac:dyDescent="0.2">
      <c r="A520" s="624">
        <v>515</v>
      </c>
      <c r="B520" s="574">
        <v>45731</v>
      </c>
      <c r="C520" s="575" t="s">
        <v>100</v>
      </c>
      <c r="D520" s="575" t="s">
        <v>3550</v>
      </c>
      <c r="E520" s="688">
        <v>112570128</v>
      </c>
      <c r="F520" s="623" t="str">
        <f t="shared" si="15"/>
        <v>JZC 96342 BBB BK (LAT) COCINA MIXTA GAS - INDUCCION</v>
      </c>
      <c r="G520" s="575" t="s">
        <v>3551</v>
      </c>
      <c r="H520" s="576" t="s">
        <v>41</v>
      </c>
      <c r="I520" s="576" t="s">
        <v>62</v>
      </c>
      <c r="J520" s="576" t="s">
        <v>63</v>
      </c>
      <c r="K520" s="593">
        <v>45866</v>
      </c>
      <c r="L520" s="594" t="s">
        <v>3552</v>
      </c>
      <c r="M520" s="594" t="s">
        <v>3553</v>
      </c>
      <c r="N520" s="575">
        <v>991095384</v>
      </c>
      <c r="O520" s="596">
        <v>15</v>
      </c>
      <c r="P520" s="576" t="s">
        <v>442</v>
      </c>
      <c r="Q520" s="576" t="s">
        <v>62</v>
      </c>
      <c r="R520" s="597"/>
      <c r="S520" s="575" t="str">
        <f t="shared" si="16"/>
        <v>001-500-000071654</v>
      </c>
      <c r="T520" s="598">
        <v>104934518</v>
      </c>
      <c r="U520" s="621" t="s">
        <v>3554</v>
      </c>
    </row>
    <row r="521" spans="1:21" ht="24" customHeight="1" x14ac:dyDescent="0.2">
      <c r="A521" s="624">
        <v>516</v>
      </c>
      <c r="B521" s="574">
        <v>45731</v>
      </c>
      <c r="C521" s="575" t="s">
        <v>100</v>
      </c>
      <c r="D521" s="575" t="s">
        <v>3550</v>
      </c>
      <c r="E521" s="576">
        <v>111000078</v>
      </c>
      <c r="F521" s="623" t="str">
        <f t="shared" si="15"/>
        <v>HLB 8400 FBK HORNO ELEC</v>
      </c>
      <c r="G521" s="575" t="s">
        <v>3555</v>
      </c>
      <c r="H521" s="576" t="s">
        <v>41</v>
      </c>
      <c r="I521" s="576" t="s">
        <v>62</v>
      </c>
      <c r="J521" s="576" t="s">
        <v>63</v>
      </c>
      <c r="K521" s="593">
        <v>45866</v>
      </c>
      <c r="L521" s="594" t="s">
        <v>3552</v>
      </c>
      <c r="M521" s="594" t="s">
        <v>3553</v>
      </c>
      <c r="N521" s="575">
        <v>991095384</v>
      </c>
      <c r="O521" s="596">
        <v>15</v>
      </c>
      <c r="P521" s="576" t="s">
        <v>442</v>
      </c>
      <c r="Q521" s="576" t="s">
        <v>62</v>
      </c>
      <c r="R521" s="597"/>
      <c r="S521" s="575" t="str">
        <f t="shared" si="16"/>
        <v>001-500-000071654</v>
      </c>
      <c r="T521" s="598">
        <v>104934518</v>
      </c>
      <c r="U521" s="621" t="s">
        <v>3554</v>
      </c>
    </row>
    <row r="522" spans="1:21" ht="24" customHeight="1" x14ac:dyDescent="0.2">
      <c r="A522" s="624">
        <v>517</v>
      </c>
      <c r="B522" s="574">
        <v>45731</v>
      </c>
      <c r="C522" s="575" t="s">
        <v>100</v>
      </c>
      <c r="D522" s="575" t="s">
        <v>3550</v>
      </c>
      <c r="E522" s="576">
        <v>112030008</v>
      </c>
      <c r="F522" s="623" t="str">
        <f t="shared" si="15"/>
        <v>ML 8220 BIS - MICROONDAS</v>
      </c>
      <c r="G522" s="575" t="s">
        <v>3556</v>
      </c>
      <c r="H522" s="576" t="s">
        <v>41</v>
      </c>
      <c r="I522" s="576" t="s">
        <v>62</v>
      </c>
      <c r="J522" s="576" t="s">
        <v>63</v>
      </c>
      <c r="K522" s="593">
        <v>45866</v>
      </c>
      <c r="L522" s="594" t="s">
        <v>3552</v>
      </c>
      <c r="M522" s="594" t="s">
        <v>3553</v>
      </c>
      <c r="N522" s="575">
        <v>991095384</v>
      </c>
      <c r="O522" s="596">
        <v>15</v>
      </c>
      <c r="P522" s="576" t="s">
        <v>442</v>
      </c>
      <c r="Q522" s="576" t="s">
        <v>62</v>
      </c>
      <c r="R522" s="597"/>
      <c r="S522" s="575" t="str">
        <f t="shared" si="16"/>
        <v>001-500-000071654</v>
      </c>
      <c r="T522" s="598">
        <v>104934518</v>
      </c>
      <c r="U522" s="621" t="s">
        <v>3554</v>
      </c>
    </row>
    <row r="523" spans="1:21" ht="24" customHeight="1" x14ac:dyDescent="0.2">
      <c r="A523" s="624">
        <v>518</v>
      </c>
      <c r="B523" s="574">
        <v>45763</v>
      </c>
      <c r="C523" s="575" t="s">
        <v>3557</v>
      </c>
      <c r="D523" s="575" t="s">
        <v>3558</v>
      </c>
      <c r="E523" s="576">
        <v>40466111</v>
      </c>
      <c r="F523" s="623" t="str">
        <f t="shared" si="15"/>
        <v>C 910 NEGRA CAMPANA (110V-60HZ) C/KIT</v>
      </c>
      <c r="G523" s="575" t="s">
        <v>3559</v>
      </c>
      <c r="H523" s="576" t="s">
        <v>41</v>
      </c>
      <c r="I523" s="576" t="s">
        <v>62</v>
      </c>
      <c r="J523" s="576" t="s">
        <v>63</v>
      </c>
      <c r="K523" s="593">
        <v>45866</v>
      </c>
      <c r="L523" s="594" t="s">
        <v>3557</v>
      </c>
      <c r="M523" s="594" t="s">
        <v>3560</v>
      </c>
      <c r="N523" s="575">
        <v>978319576</v>
      </c>
      <c r="O523" s="596">
        <v>15</v>
      </c>
      <c r="P523" s="576" t="s">
        <v>442</v>
      </c>
      <c r="Q523" s="576" t="s">
        <v>62</v>
      </c>
      <c r="R523" s="597"/>
      <c r="S523" s="575" t="str">
        <f t="shared" si="16"/>
        <v>001-500-000072489</v>
      </c>
      <c r="T523" s="598">
        <v>106265895</v>
      </c>
      <c r="U523" s="621" t="s">
        <v>3561</v>
      </c>
    </row>
    <row r="524" spans="1:21" ht="24" customHeight="1" x14ac:dyDescent="0.2">
      <c r="A524" s="624">
        <v>519</v>
      </c>
      <c r="B524" s="574">
        <v>45763</v>
      </c>
      <c r="C524" s="575" t="s">
        <v>3557</v>
      </c>
      <c r="D524" s="575" t="s">
        <v>3558</v>
      </c>
      <c r="E524" s="576">
        <v>111020071</v>
      </c>
      <c r="F524" s="623" t="str">
        <f t="shared" si="15"/>
        <v>HBB 510 BK 220-240  50/60 HORNO ELEC</v>
      </c>
      <c r="G524" s="575" t="s">
        <v>3562</v>
      </c>
      <c r="H524" s="576" t="s">
        <v>41</v>
      </c>
      <c r="I524" s="576" t="s">
        <v>62</v>
      </c>
      <c r="J524" s="576" t="s">
        <v>63</v>
      </c>
      <c r="K524" s="593">
        <v>45866</v>
      </c>
      <c r="L524" s="594" t="s">
        <v>3557</v>
      </c>
      <c r="M524" s="594" t="s">
        <v>3560</v>
      </c>
      <c r="N524" s="575">
        <v>978319576</v>
      </c>
      <c r="O524" s="596">
        <v>15</v>
      </c>
      <c r="P524" s="576" t="s">
        <v>442</v>
      </c>
      <c r="Q524" s="576" t="s">
        <v>62</v>
      </c>
      <c r="R524" s="597"/>
      <c r="S524" s="575" t="str">
        <f t="shared" si="16"/>
        <v>001-500-000072489</v>
      </c>
      <c r="T524" s="598">
        <v>106265895</v>
      </c>
      <c r="U524" s="621" t="s">
        <v>3561</v>
      </c>
    </row>
    <row r="525" spans="1:21" ht="24" customHeight="1" x14ac:dyDescent="0.2">
      <c r="A525" s="624">
        <v>520</v>
      </c>
      <c r="B525" s="574">
        <v>45763</v>
      </c>
      <c r="C525" s="575" t="s">
        <v>3557</v>
      </c>
      <c r="D525" s="575" t="s">
        <v>3558</v>
      </c>
      <c r="E525" s="576">
        <v>112580058</v>
      </c>
      <c r="F525" s="623" t="str">
        <f t="shared" si="15"/>
        <v>GBC 95030 KBB BK COCINA GAS</v>
      </c>
      <c r="G525" s="575" t="s">
        <v>3563</v>
      </c>
      <c r="H525" s="576" t="s">
        <v>41</v>
      </c>
      <c r="I525" s="576" t="s">
        <v>62</v>
      </c>
      <c r="J525" s="576" t="s">
        <v>63</v>
      </c>
      <c r="K525" s="593">
        <v>45866</v>
      </c>
      <c r="L525" s="594" t="s">
        <v>3557</v>
      </c>
      <c r="M525" s="594" t="s">
        <v>3560</v>
      </c>
      <c r="N525" s="575">
        <v>978319576</v>
      </c>
      <c r="O525" s="596">
        <v>15</v>
      </c>
      <c r="P525" s="576" t="s">
        <v>442</v>
      </c>
      <c r="Q525" s="576" t="s">
        <v>62</v>
      </c>
      <c r="R525" s="597"/>
      <c r="S525" s="575" t="str">
        <f t="shared" si="16"/>
        <v>001-500-000072489</v>
      </c>
      <c r="T525" s="598">
        <v>106265895</v>
      </c>
      <c r="U525" s="621" t="s">
        <v>3561</v>
      </c>
    </row>
    <row r="526" spans="1:21" ht="24" customHeight="1" x14ac:dyDescent="0.2">
      <c r="A526" s="624">
        <v>521</v>
      </c>
      <c r="B526" s="574">
        <v>45863</v>
      </c>
      <c r="C526" s="575" t="s">
        <v>161</v>
      </c>
      <c r="D526" s="575" t="s">
        <v>3564</v>
      </c>
      <c r="E526" s="576">
        <v>112580017</v>
      </c>
      <c r="F526" s="623" t="str">
        <f t="shared" si="15"/>
        <v>GBC 64000 KBB CRISTAL COCINA GAS</v>
      </c>
      <c r="G526" s="575" t="s">
        <v>3565</v>
      </c>
      <c r="H526" s="576" t="s">
        <v>41</v>
      </c>
      <c r="I526" s="576" t="s">
        <v>62</v>
      </c>
      <c r="J526" s="576" t="s">
        <v>63</v>
      </c>
      <c r="K526" s="593">
        <v>45867</v>
      </c>
      <c r="L526" s="594" t="s">
        <v>3566</v>
      </c>
      <c r="M526" s="594" t="s">
        <v>3567</v>
      </c>
      <c r="N526" s="575">
        <v>967604796</v>
      </c>
      <c r="O526" s="596">
        <v>20</v>
      </c>
      <c r="P526" s="576" t="s">
        <v>442</v>
      </c>
      <c r="Q526" s="576" t="s">
        <v>62</v>
      </c>
      <c r="R526" s="597"/>
      <c r="S526" s="575" t="str">
        <f t="shared" si="16"/>
        <v>040-103-000014992</v>
      </c>
      <c r="T526" s="598">
        <v>1034114371</v>
      </c>
      <c r="U526" s="621" t="s">
        <v>3568</v>
      </c>
    </row>
    <row r="527" spans="1:21" ht="24" customHeight="1" x14ac:dyDescent="0.2">
      <c r="A527" s="624">
        <v>522</v>
      </c>
      <c r="B527" s="574">
        <v>45863</v>
      </c>
      <c r="C527" s="575" t="s">
        <v>161</v>
      </c>
      <c r="D527" s="575" t="s">
        <v>3564</v>
      </c>
      <c r="E527" s="576">
        <v>111020071</v>
      </c>
      <c r="F527" s="623" t="str">
        <f t="shared" si="15"/>
        <v>HBB 510 BK 220-240  50/60 HORNO ELEC</v>
      </c>
      <c r="G527" s="575" t="s">
        <v>3569</v>
      </c>
      <c r="H527" s="576" t="s">
        <v>41</v>
      </c>
      <c r="I527" s="576" t="s">
        <v>62</v>
      </c>
      <c r="J527" s="576" t="s">
        <v>63</v>
      </c>
      <c r="K527" s="593">
        <v>45867</v>
      </c>
      <c r="L527" s="594" t="s">
        <v>3566</v>
      </c>
      <c r="M527" s="594" t="s">
        <v>3567</v>
      </c>
      <c r="N527" s="575">
        <v>967604796</v>
      </c>
      <c r="O527" s="596">
        <v>20</v>
      </c>
      <c r="P527" s="576" t="s">
        <v>442</v>
      </c>
      <c r="Q527" s="576" t="s">
        <v>62</v>
      </c>
      <c r="R527" s="597"/>
      <c r="S527" s="575" t="str">
        <f t="shared" si="16"/>
        <v>040-103-000014992</v>
      </c>
      <c r="T527" s="598">
        <v>1034114371</v>
      </c>
      <c r="U527" s="621" t="s">
        <v>3568</v>
      </c>
    </row>
    <row r="528" spans="1:21" ht="24" customHeight="1" x14ac:dyDescent="0.2">
      <c r="A528" s="624">
        <v>523</v>
      </c>
      <c r="B528" s="574">
        <v>45814</v>
      </c>
      <c r="C528" s="575" t="s">
        <v>733</v>
      </c>
      <c r="D528" s="575" t="s">
        <v>3570</v>
      </c>
      <c r="E528" s="576">
        <v>112580058</v>
      </c>
      <c r="F528" s="623" t="str">
        <f t="shared" si="15"/>
        <v>GBC 95030 KBB BK COCINA GAS</v>
      </c>
      <c r="G528" s="575" t="s">
        <v>3571</v>
      </c>
      <c r="H528" s="576" t="s">
        <v>41</v>
      </c>
      <c r="I528" s="576" t="s">
        <v>62</v>
      </c>
      <c r="J528" s="576" t="s">
        <v>63</v>
      </c>
      <c r="K528" s="593">
        <v>45868</v>
      </c>
      <c r="L528" s="594" t="s">
        <v>3572</v>
      </c>
      <c r="M528" s="594" t="s">
        <v>1020</v>
      </c>
      <c r="N528" s="575">
        <v>991703653</v>
      </c>
      <c r="O528" s="596">
        <v>20</v>
      </c>
      <c r="P528" s="576" t="s">
        <v>442</v>
      </c>
      <c r="Q528" s="576" t="s">
        <v>62</v>
      </c>
      <c r="R528" s="597"/>
      <c r="S528" s="575" t="str">
        <f>D529</f>
        <v>002-201-000011122</v>
      </c>
      <c r="T528" s="598">
        <v>105036396</v>
      </c>
      <c r="U528" s="621" t="s">
        <v>3573</v>
      </c>
    </row>
    <row r="529" spans="1:21" ht="24" customHeight="1" x14ac:dyDescent="0.2">
      <c r="A529" s="624">
        <v>524</v>
      </c>
      <c r="B529" s="574">
        <v>45814</v>
      </c>
      <c r="C529" s="575" t="s">
        <v>733</v>
      </c>
      <c r="D529" s="575" t="s">
        <v>3570</v>
      </c>
      <c r="E529" s="576">
        <v>40466111</v>
      </c>
      <c r="F529" s="623" t="str">
        <f t="shared" si="15"/>
        <v>C 910 NEGRA CAMPANA (110V-60HZ) C/KIT</v>
      </c>
      <c r="G529" s="575" t="s">
        <v>3574</v>
      </c>
      <c r="H529" s="576" t="s">
        <v>41</v>
      </c>
      <c r="I529" s="576" t="s">
        <v>62</v>
      </c>
      <c r="J529" s="576" t="s">
        <v>63</v>
      </c>
      <c r="K529" s="593">
        <v>45868</v>
      </c>
      <c r="L529" s="594" t="s">
        <v>3572</v>
      </c>
      <c r="M529" s="594" t="s">
        <v>1020</v>
      </c>
      <c r="N529" s="575">
        <v>991703653</v>
      </c>
      <c r="O529" s="596">
        <v>20</v>
      </c>
      <c r="P529" s="576" t="s">
        <v>442</v>
      </c>
      <c r="Q529" s="576" t="s">
        <v>62</v>
      </c>
      <c r="R529" s="597"/>
      <c r="S529" s="575" t="str">
        <f>D530</f>
        <v>016-902-000516620</v>
      </c>
      <c r="T529" s="598">
        <v>105036396</v>
      </c>
      <c r="U529" s="621" t="s">
        <v>3573</v>
      </c>
    </row>
    <row r="530" spans="1:21" ht="24" customHeight="1" x14ac:dyDescent="0.2">
      <c r="A530" s="624">
        <v>525</v>
      </c>
      <c r="B530" s="574">
        <v>45848</v>
      </c>
      <c r="C530" s="575" t="s">
        <v>125</v>
      </c>
      <c r="D530" s="575" t="s">
        <v>3575</v>
      </c>
      <c r="E530" s="576">
        <v>112570128</v>
      </c>
      <c r="F530" s="623" t="str">
        <f t="shared" si="15"/>
        <v>JZC 96342 BBB BK (LAT) COCINA MIXTA GAS - INDUCCION</v>
      </c>
      <c r="G530" s="575" t="s">
        <v>3576</v>
      </c>
      <c r="H530" s="576" t="s">
        <v>41</v>
      </c>
      <c r="I530" s="576" t="s">
        <v>62</v>
      </c>
      <c r="J530" s="576" t="s">
        <v>63</v>
      </c>
      <c r="K530" s="593">
        <v>45868</v>
      </c>
      <c r="L530" s="594" t="s">
        <v>3577</v>
      </c>
      <c r="M530" s="594" t="s">
        <v>3578</v>
      </c>
      <c r="N530" s="575">
        <v>939445052</v>
      </c>
      <c r="O530" s="596">
        <v>20</v>
      </c>
      <c r="P530" s="576" t="s">
        <v>442</v>
      </c>
      <c r="Q530" s="576" t="s">
        <v>62</v>
      </c>
      <c r="R530" s="597"/>
      <c r="S530" s="575" t="str">
        <f t="shared" si="16"/>
        <v>016-902-000516620</v>
      </c>
      <c r="T530" s="598">
        <v>101468403</v>
      </c>
      <c r="U530" s="621" t="s">
        <v>3579</v>
      </c>
    </row>
    <row r="531" spans="1:21" ht="24" customHeight="1" x14ac:dyDescent="0.2">
      <c r="A531" s="624">
        <v>526</v>
      </c>
      <c r="B531" s="574">
        <v>45848</v>
      </c>
      <c r="C531" s="575" t="s">
        <v>125</v>
      </c>
      <c r="D531" s="575" t="s">
        <v>3575</v>
      </c>
      <c r="E531" s="576">
        <v>112950021</v>
      </c>
      <c r="F531" s="623" t="str">
        <f t="shared" si="15"/>
        <v>DVN 94030 TCL BK CAMPANA (110V-60HZ) C/KIT</v>
      </c>
      <c r="G531" s="575" t="s">
        <v>3580</v>
      </c>
      <c r="H531" s="576" t="s">
        <v>41</v>
      </c>
      <c r="I531" s="576" t="s">
        <v>62</v>
      </c>
      <c r="J531" s="576" t="s">
        <v>63</v>
      </c>
      <c r="K531" s="593">
        <v>45868</v>
      </c>
      <c r="L531" s="594" t="s">
        <v>3577</v>
      </c>
      <c r="M531" s="594" t="s">
        <v>3578</v>
      </c>
      <c r="N531" s="575">
        <v>939445052</v>
      </c>
      <c r="O531" s="596">
        <v>20</v>
      </c>
      <c r="P531" s="576" t="s">
        <v>442</v>
      </c>
      <c r="Q531" s="576" t="s">
        <v>62</v>
      </c>
      <c r="R531" s="597"/>
      <c r="S531" s="575" t="str">
        <f t="shared" si="16"/>
        <v>016-902-000516620</v>
      </c>
      <c r="T531" s="598">
        <v>101468403</v>
      </c>
      <c r="U531" s="621" t="s">
        <v>3579</v>
      </c>
    </row>
    <row r="532" spans="1:21" ht="24" customHeight="1" x14ac:dyDescent="0.2">
      <c r="A532" s="624">
        <v>527</v>
      </c>
      <c r="B532" s="574">
        <v>45780</v>
      </c>
      <c r="C532" s="575" t="s">
        <v>100</v>
      </c>
      <c r="D532" s="575" t="s">
        <v>3581</v>
      </c>
      <c r="E532" s="576">
        <v>112950021</v>
      </c>
      <c r="F532" s="623" t="str">
        <f t="shared" si="15"/>
        <v>DVN 94030 TCL BK CAMPANA (110V-60HZ) C/KIT</v>
      </c>
      <c r="G532" s="575" t="s">
        <v>3582</v>
      </c>
      <c r="H532" s="576" t="s">
        <v>41</v>
      </c>
      <c r="I532" s="576" t="s">
        <v>62</v>
      </c>
      <c r="J532" s="576" t="s">
        <v>63</v>
      </c>
      <c r="K532" s="593">
        <v>45869</v>
      </c>
      <c r="L532" s="594" t="s">
        <v>3583</v>
      </c>
      <c r="M532" s="594" t="s">
        <v>148</v>
      </c>
      <c r="N532" s="575">
        <v>999777047</v>
      </c>
      <c r="O532" s="596">
        <v>15</v>
      </c>
      <c r="P532" s="576" t="s">
        <v>442</v>
      </c>
      <c r="Q532" s="576" t="s">
        <v>62</v>
      </c>
      <c r="R532" s="597"/>
      <c r="S532" s="575" t="str">
        <f t="shared" si="16"/>
        <v>001-500-000073008</v>
      </c>
      <c r="T532" s="598">
        <v>104380910</v>
      </c>
      <c r="U532" s="621" t="s">
        <v>3584</v>
      </c>
    </row>
    <row r="533" spans="1:21" ht="24" customHeight="1" x14ac:dyDescent="0.2">
      <c r="A533" s="624">
        <v>528</v>
      </c>
      <c r="B533" s="574">
        <v>45780</v>
      </c>
      <c r="C533" s="575" t="s">
        <v>100</v>
      </c>
      <c r="D533" s="575" t="s">
        <v>3581</v>
      </c>
      <c r="E533" s="576">
        <v>112580058</v>
      </c>
      <c r="F533" s="623" t="str">
        <f t="shared" si="15"/>
        <v>GBC 95030 KBB BK COCINA GAS</v>
      </c>
      <c r="G533" s="575" t="s">
        <v>3585</v>
      </c>
      <c r="H533" s="576" t="s">
        <v>41</v>
      </c>
      <c r="I533" s="576" t="s">
        <v>62</v>
      </c>
      <c r="J533" s="576" t="s">
        <v>63</v>
      </c>
      <c r="K533" s="593">
        <v>45869</v>
      </c>
      <c r="L533" s="594" t="s">
        <v>3583</v>
      </c>
      <c r="M533" s="594" t="s">
        <v>148</v>
      </c>
      <c r="N533" s="575">
        <v>999777047</v>
      </c>
      <c r="O533" s="596">
        <v>15</v>
      </c>
      <c r="P533" s="576" t="s">
        <v>442</v>
      </c>
      <c r="Q533" s="576" t="s">
        <v>62</v>
      </c>
      <c r="R533" s="597"/>
      <c r="S533" s="575" t="str">
        <f t="shared" si="16"/>
        <v>001-500-000073008</v>
      </c>
      <c r="T533" s="598">
        <v>104380910</v>
      </c>
      <c r="U533" s="621" t="s">
        <v>3584</v>
      </c>
    </row>
    <row r="534" spans="1:21" ht="24" customHeight="1" x14ac:dyDescent="0.2">
      <c r="A534" s="624">
        <v>529</v>
      </c>
      <c r="B534" s="574">
        <v>45780</v>
      </c>
      <c r="C534" s="575" t="s">
        <v>100</v>
      </c>
      <c r="D534" s="575" t="s">
        <v>3581</v>
      </c>
      <c r="E534" s="576">
        <v>112030008</v>
      </c>
      <c r="F534" s="623" t="str">
        <f t="shared" si="15"/>
        <v>ML 8220 BIS - MICROONDAS</v>
      </c>
      <c r="G534" s="575" t="s">
        <v>3586</v>
      </c>
      <c r="H534" s="576" t="s">
        <v>41</v>
      </c>
      <c r="I534" s="576" t="s">
        <v>62</v>
      </c>
      <c r="J534" s="576" t="s">
        <v>63</v>
      </c>
      <c r="K534" s="593">
        <v>45869</v>
      </c>
      <c r="L534" s="594" t="s">
        <v>3583</v>
      </c>
      <c r="M534" s="594" t="s">
        <v>148</v>
      </c>
      <c r="N534" s="575">
        <v>999777047</v>
      </c>
      <c r="O534" s="596">
        <v>15</v>
      </c>
      <c r="P534" s="576" t="s">
        <v>442</v>
      </c>
      <c r="Q534" s="576" t="s">
        <v>62</v>
      </c>
      <c r="R534" s="597"/>
      <c r="S534" s="575" t="str">
        <f t="shared" si="16"/>
        <v>001-500-000073008</v>
      </c>
      <c r="T534" s="598">
        <v>104380910</v>
      </c>
      <c r="U534" s="621" t="s">
        <v>3584</v>
      </c>
    </row>
    <row r="535" spans="1:21" ht="24" customHeight="1" x14ac:dyDescent="0.2">
      <c r="A535" s="624">
        <v>530</v>
      </c>
      <c r="B535" s="574">
        <v>45780</v>
      </c>
      <c r="C535" s="575" t="s">
        <v>100</v>
      </c>
      <c r="D535" s="575" t="s">
        <v>3581</v>
      </c>
      <c r="E535" s="576">
        <v>111000051</v>
      </c>
      <c r="F535" s="623" t="str">
        <f t="shared" si="15"/>
        <v>HLB 8416 "AIR FRY" - HORNO ELEC</v>
      </c>
      <c r="G535" s="575" t="s">
        <v>3587</v>
      </c>
      <c r="H535" s="576" t="s">
        <v>41</v>
      </c>
      <c r="I535" s="576" t="s">
        <v>62</v>
      </c>
      <c r="J535" s="576" t="s">
        <v>63</v>
      </c>
      <c r="K535" s="593">
        <v>45869</v>
      </c>
      <c r="L535" s="594" t="s">
        <v>3583</v>
      </c>
      <c r="M535" s="594" t="s">
        <v>148</v>
      </c>
      <c r="N535" s="575">
        <v>999777047</v>
      </c>
      <c r="O535" s="596">
        <v>15</v>
      </c>
      <c r="P535" s="576" t="s">
        <v>442</v>
      </c>
      <c r="Q535" s="576" t="s">
        <v>62</v>
      </c>
      <c r="R535" s="597"/>
      <c r="S535" s="575" t="str">
        <f t="shared" si="16"/>
        <v>001-500-000073008</v>
      </c>
      <c r="T535" s="598">
        <v>104380910</v>
      </c>
      <c r="U535" s="621" t="s">
        <v>3584</v>
      </c>
    </row>
    <row r="536" spans="1:21" ht="24" customHeight="1" x14ac:dyDescent="0.2">
      <c r="A536" s="624">
        <v>531</v>
      </c>
      <c r="B536" s="574">
        <v>45862</v>
      </c>
      <c r="C536" s="575" t="s">
        <v>125</v>
      </c>
      <c r="D536" s="575" t="s">
        <v>3588</v>
      </c>
      <c r="E536" s="576">
        <v>40466241</v>
      </c>
      <c r="F536" s="623" t="str">
        <f t="shared" si="15"/>
        <v>C 9310 INOX CAMPANA (110V-60HZ) C/KIT</v>
      </c>
      <c r="G536" s="575" t="s">
        <v>3589</v>
      </c>
      <c r="H536" s="576" t="s">
        <v>41</v>
      </c>
      <c r="I536" s="576" t="s">
        <v>62</v>
      </c>
      <c r="J536" s="576" t="s">
        <v>63</v>
      </c>
      <c r="K536" s="593">
        <v>45870</v>
      </c>
      <c r="L536" s="594" t="s">
        <v>3590</v>
      </c>
      <c r="M536" s="594" t="s">
        <v>3591</v>
      </c>
      <c r="N536" s="575">
        <v>999357222</v>
      </c>
      <c r="O536" s="596">
        <v>20</v>
      </c>
      <c r="P536" s="576" t="s">
        <v>442</v>
      </c>
      <c r="Q536" s="576" t="s">
        <v>62</v>
      </c>
      <c r="R536" s="597"/>
      <c r="S536" s="575" t="str">
        <f t="shared" si="16"/>
        <v>016-902-000519585</v>
      </c>
      <c r="T536" s="598">
        <v>703744532</v>
      </c>
      <c r="U536" s="621" t="s">
        <v>3592</v>
      </c>
    </row>
    <row r="537" spans="1:21" ht="24" customHeight="1" x14ac:dyDescent="0.2">
      <c r="A537" s="624">
        <v>532</v>
      </c>
      <c r="B537" s="574">
        <v>45862</v>
      </c>
      <c r="C537" s="575" t="s">
        <v>125</v>
      </c>
      <c r="D537" s="575" t="s">
        <v>3588</v>
      </c>
      <c r="E537" s="576">
        <v>40466241</v>
      </c>
      <c r="F537" s="623" t="str">
        <f t="shared" si="15"/>
        <v>C 9310 INOX CAMPANA (110V-60HZ) C/KIT</v>
      </c>
      <c r="G537" s="575" t="s">
        <v>3593</v>
      </c>
      <c r="H537" s="576" t="s">
        <v>41</v>
      </c>
      <c r="I537" s="576" t="s">
        <v>62</v>
      </c>
      <c r="J537" s="576" t="s">
        <v>63</v>
      </c>
      <c r="K537" s="593">
        <v>45870</v>
      </c>
      <c r="L537" s="594" t="s">
        <v>3590</v>
      </c>
      <c r="M537" s="594" t="s">
        <v>3591</v>
      </c>
      <c r="N537" s="575">
        <v>999357222</v>
      </c>
      <c r="O537" s="596">
        <v>20</v>
      </c>
      <c r="P537" s="576" t="s">
        <v>442</v>
      </c>
      <c r="Q537" s="576" t="s">
        <v>62</v>
      </c>
      <c r="R537" s="597"/>
      <c r="S537" s="575" t="str">
        <f t="shared" si="16"/>
        <v>016-902-000519585</v>
      </c>
      <c r="T537" s="598">
        <v>703744532</v>
      </c>
      <c r="U537" s="621" t="s">
        <v>3592</v>
      </c>
    </row>
    <row r="538" spans="1:21" ht="24" customHeight="1" x14ac:dyDescent="0.2">
      <c r="A538" s="624">
        <v>533</v>
      </c>
      <c r="B538" s="574">
        <v>45845</v>
      </c>
      <c r="C538" s="575" t="s">
        <v>100</v>
      </c>
      <c r="D538" s="575" t="s">
        <v>3594</v>
      </c>
      <c r="E538" s="576">
        <v>40461543</v>
      </c>
      <c r="F538" s="623" t="str">
        <f t="shared" si="15"/>
        <v>C 6310 INOX CAMPANA (110V-60HZ) C/KIT</v>
      </c>
      <c r="G538" s="575" t="s">
        <v>3595</v>
      </c>
      <c r="H538" s="576" t="s">
        <v>41</v>
      </c>
      <c r="I538" s="576" t="s">
        <v>62</v>
      </c>
      <c r="J538" s="576" t="s">
        <v>63</v>
      </c>
      <c r="K538" s="593">
        <v>45870</v>
      </c>
      <c r="L538" s="594" t="s">
        <v>3596</v>
      </c>
      <c r="M538" s="594" t="s">
        <v>3597</v>
      </c>
      <c r="N538" s="575">
        <v>983444924</v>
      </c>
      <c r="O538" s="596">
        <v>20</v>
      </c>
      <c r="P538" s="576" t="s">
        <v>442</v>
      </c>
      <c r="Q538" s="576" t="s">
        <v>62</v>
      </c>
      <c r="R538" s="597"/>
      <c r="S538" s="575" t="str">
        <f t="shared" si="16"/>
        <v>001-500-000074004</v>
      </c>
      <c r="T538" s="598">
        <v>702657391</v>
      </c>
      <c r="U538" s="621" t="s">
        <v>2487</v>
      </c>
    </row>
    <row r="539" spans="1:21" ht="24" customHeight="1" x14ac:dyDescent="0.2">
      <c r="A539" s="624">
        <v>534</v>
      </c>
      <c r="B539" s="574">
        <v>45845</v>
      </c>
      <c r="C539" s="575" t="s">
        <v>100</v>
      </c>
      <c r="D539" s="575" t="s">
        <v>3594</v>
      </c>
      <c r="E539" s="576">
        <v>112610071</v>
      </c>
      <c r="F539" s="623" t="str">
        <f t="shared" si="15"/>
        <v>GSC 64320 XBA IX (LAT) COCINA INOX</v>
      </c>
      <c r="G539" s="575" t="s">
        <v>3598</v>
      </c>
      <c r="H539" s="576" t="s">
        <v>41</v>
      </c>
      <c r="I539" s="576" t="s">
        <v>62</v>
      </c>
      <c r="J539" s="576" t="s">
        <v>63</v>
      </c>
      <c r="K539" s="593">
        <v>45870</v>
      </c>
      <c r="L539" s="594" t="s">
        <v>3596</v>
      </c>
      <c r="M539" s="594" t="s">
        <v>3597</v>
      </c>
      <c r="N539" s="575">
        <v>983444924</v>
      </c>
      <c r="O539" s="596">
        <v>20</v>
      </c>
      <c r="P539" s="576" t="s">
        <v>442</v>
      </c>
      <c r="Q539" s="576" t="s">
        <v>62</v>
      </c>
      <c r="R539" s="597"/>
      <c r="S539" s="575" t="str">
        <f t="shared" si="16"/>
        <v>001-500-000074004</v>
      </c>
      <c r="T539" s="598">
        <v>702657391</v>
      </c>
      <c r="U539" s="621" t="s">
        <v>2487</v>
      </c>
    </row>
    <row r="540" spans="1:21" ht="24" customHeight="1" x14ac:dyDescent="0.2">
      <c r="A540" s="624">
        <v>535</v>
      </c>
      <c r="B540" s="574">
        <v>45848</v>
      </c>
      <c r="C540" s="575" t="s">
        <v>125</v>
      </c>
      <c r="D540" s="575" t="s">
        <v>3575</v>
      </c>
      <c r="E540" s="576">
        <v>40584202</v>
      </c>
      <c r="F540" s="623" t="str">
        <f t="shared" si="15"/>
        <v>ML 820 BIS - MICROONDAS</v>
      </c>
      <c r="G540" s="575" t="s">
        <v>3599</v>
      </c>
      <c r="H540" s="576" t="s">
        <v>41</v>
      </c>
      <c r="I540" s="576" t="s">
        <v>62</v>
      </c>
      <c r="J540" s="576" t="s">
        <v>63</v>
      </c>
      <c r="K540" s="593">
        <v>45873</v>
      </c>
      <c r="L540" s="594" t="s">
        <v>3577</v>
      </c>
      <c r="M540" s="594" t="s">
        <v>3578</v>
      </c>
      <c r="N540" s="575">
        <v>939445052</v>
      </c>
      <c r="O540" s="596">
        <v>20</v>
      </c>
      <c r="P540" s="576" t="s">
        <v>442</v>
      </c>
      <c r="Q540" s="576" t="s">
        <v>62</v>
      </c>
      <c r="R540" s="597"/>
      <c r="S540" s="575" t="str">
        <f t="shared" si="16"/>
        <v>016-902-000516620</v>
      </c>
      <c r="T540" s="598">
        <v>101468463</v>
      </c>
      <c r="U540" s="621" t="s">
        <v>3600</v>
      </c>
    </row>
    <row r="541" spans="1:21" ht="24" customHeight="1" x14ac:dyDescent="0.2">
      <c r="A541" s="624">
        <v>536</v>
      </c>
      <c r="B541" s="574">
        <v>45848</v>
      </c>
      <c r="C541" s="575" t="s">
        <v>125</v>
      </c>
      <c r="D541" s="575" t="s">
        <v>3575</v>
      </c>
      <c r="E541" s="576">
        <v>111010040</v>
      </c>
      <c r="F541" s="623" t="str">
        <f t="shared" si="15"/>
        <v>HSB 610 NEGRO HORNO ELEC</v>
      </c>
      <c r="G541" s="575" t="s">
        <v>3601</v>
      </c>
      <c r="H541" s="576" t="s">
        <v>41</v>
      </c>
      <c r="I541" s="576" t="s">
        <v>62</v>
      </c>
      <c r="J541" s="576" t="s">
        <v>63</v>
      </c>
      <c r="K541" s="593">
        <v>45873</v>
      </c>
      <c r="L541" s="594" t="s">
        <v>3577</v>
      </c>
      <c r="M541" s="594" t="s">
        <v>3578</v>
      </c>
      <c r="N541" s="575">
        <v>939445052</v>
      </c>
      <c r="O541" s="596">
        <v>20</v>
      </c>
      <c r="P541" s="576" t="s">
        <v>442</v>
      </c>
      <c r="Q541" s="576" t="s">
        <v>62</v>
      </c>
      <c r="R541" s="597"/>
      <c r="S541" s="575" t="str">
        <f t="shared" si="16"/>
        <v>016-902-000516620</v>
      </c>
      <c r="T541" s="598">
        <v>101468463</v>
      </c>
      <c r="U541" s="621" t="s">
        <v>3600</v>
      </c>
    </row>
    <row r="542" spans="1:21" ht="24" customHeight="1" x14ac:dyDescent="0.2">
      <c r="A542" s="624">
        <v>537</v>
      </c>
      <c r="B542" s="574">
        <v>45866</v>
      </c>
      <c r="C542" s="575" t="s">
        <v>100</v>
      </c>
      <c r="D542" s="575" t="s">
        <v>3602</v>
      </c>
      <c r="E542" s="576">
        <v>112580058</v>
      </c>
      <c r="F542" s="623" t="str">
        <f t="shared" si="15"/>
        <v>GBC 95030 KBB BK COCINA GAS</v>
      </c>
      <c r="G542" s="575" t="s">
        <v>3603</v>
      </c>
      <c r="H542" s="576" t="s">
        <v>41</v>
      </c>
      <c r="I542" s="576" t="s">
        <v>62</v>
      </c>
      <c r="J542" s="576" t="s">
        <v>63</v>
      </c>
      <c r="K542" s="593">
        <v>45874</v>
      </c>
      <c r="L542" s="594" t="s">
        <v>3604</v>
      </c>
      <c r="M542" s="594" t="s">
        <v>903</v>
      </c>
      <c r="N542" s="575">
        <v>984878335</v>
      </c>
      <c r="O542" s="596">
        <v>20</v>
      </c>
      <c r="P542" s="576" t="s">
        <v>442</v>
      </c>
      <c r="Q542" s="576" t="s">
        <v>62</v>
      </c>
      <c r="R542" s="597"/>
      <c r="S542" s="575" t="str">
        <f t="shared" si="16"/>
        <v>001-500-000075432</v>
      </c>
      <c r="T542" s="598">
        <v>104146881</v>
      </c>
      <c r="U542" s="621" t="s">
        <v>3605</v>
      </c>
    </row>
    <row r="543" spans="1:21" ht="24" customHeight="1" x14ac:dyDescent="0.2">
      <c r="A543" s="624">
        <v>538</v>
      </c>
      <c r="B543" s="574">
        <v>45866</v>
      </c>
      <c r="C543" s="575" t="s">
        <v>100</v>
      </c>
      <c r="D543" s="575" t="s">
        <v>3602</v>
      </c>
      <c r="E543" s="576">
        <v>111030002</v>
      </c>
      <c r="F543" s="623" t="str">
        <f t="shared" si="15"/>
        <v>HLB 760 G SS HORNO A GAS</v>
      </c>
      <c r="G543" s="575" t="s">
        <v>3606</v>
      </c>
      <c r="H543" s="576" t="s">
        <v>41</v>
      </c>
      <c r="I543" s="576" t="s">
        <v>62</v>
      </c>
      <c r="J543" s="576" t="s">
        <v>63</v>
      </c>
      <c r="K543" s="593">
        <v>45874</v>
      </c>
      <c r="L543" s="594" t="s">
        <v>3604</v>
      </c>
      <c r="M543" s="594" t="s">
        <v>903</v>
      </c>
      <c r="N543" s="575">
        <v>984878335</v>
      </c>
      <c r="O543" s="596">
        <v>20</v>
      </c>
      <c r="P543" s="576" t="s">
        <v>442</v>
      </c>
      <c r="Q543" s="576" t="s">
        <v>62</v>
      </c>
      <c r="R543" s="597"/>
      <c r="S543" s="575" t="str">
        <f t="shared" si="16"/>
        <v>001-500-000075432</v>
      </c>
      <c r="T543" s="598">
        <v>104146881</v>
      </c>
      <c r="U543" s="621" t="s">
        <v>3605</v>
      </c>
    </row>
    <row r="544" spans="1:21" ht="24" customHeight="1" x14ac:dyDescent="0.2">
      <c r="A544" s="624">
        <v>539</v>
      </c>
      <c r="B544" s="574">
        <v>45805</v>
      </c>
      <c r="C544" s="575" t="s">
        <v>100</v>
      </c>
      <c r="D544" s="575" t="s">
        <v>3607</v>
      </c>
      <c r="E544" s="576">
        <v>112030019</v>
      </c>
      <c r="F544" s="623" t="str">
        <f t="shared" si="15"/>
        <v>ML 8220 BIS FBK- MICROONDAS</v>
      </c>
      <c r="G544" s="575" t="s">
        <v>3608</v>
      </c>
      <c r="H544" s="576" t="s">
        <v>41</v>
      </c>
      <c r="I544" s="576" t="s">
        <v>62</v>
      </c>
      <c r="J544" s="576" t="s">
        <v>63</v>
      </c>
      <c r="K544" s="593">
        <v>45875</v>
      </c>
      <c r="L544" s="594" t="s">
        <v>3609</v>
      </c>
      <c r="M544" s="594" t="s">
        <v>3610</v>
      </c>
      <c r="N544" s="575">
        <v>998282791</v>
      </c>
      <c r="O544" s="596">
        <v>15</v>
      </c>
      <c r="P544" s="576" t="s">
        <v>442</v>
      </c>
      <c r="Q544" s="576" t="s">
        <v>62</v>
      </c>
      <c r="R544" s="597"/>
      <c r="S544" s="575" t="str">
        <f t="shared" si="16"/>
        <v>001-502-000000295</v>
      </c>
      <c r="T544" s="598">
        <v>103035697</v>
      </c>
      <c r="U544" s="621" t="s">
        <v>3611</v>
      </c>
    </row>
    <row r="545" spans="1:21" ht="24" customHeight="1" x14ac:dyDescent="0.2">
      <c r="A545" s="624">
        <v>540</v>
      </c>
      <c r="B545" s="574">
        <v>45805</v>
      </c>
      <c r="C545" s="575" t="s">
        <v>100</v>
      </c>
      <c r="D545" s="575" t="s">
        <v>3607</v>
      </c>
      <c r="E545" s="576">
        <v>111000051</v>
      </c>
      <c r="F545" s="623" t="str">
        <f t="shared" si="15"/>
        <v>HLB 8416 "AIR FRY" - HORNO ELEC</v>
      </c>
      <c r="G545" s="575" t="s">
        <v>3612</v>
      </c>
      <c r="H545" s="576" t="s">
        <v>41</v>
      </c>
      <c r="I545" s="576" t="s">
        <v>62</v>
      </c>
      <c r="J545" s="576" t="s">
        <v>63</v>
      </c>
      <c r="K545" s="593">
        <v>45875</v>
      </c>
      <c r="L545" s="594" t="s">
        <v>3609</v>
      </c>
      <c r="M545" s="594" t="s">
        <v>3610</v>
      </c>
      <c r="N545" s="575">
        <v>998282791</v>
      </c>
      <c r="O545" s="596">
        <v>15</v>
      </c>
      <c r="P545" s="576" t="s">
        <v>442</v>
      </c>
      <c r="Q545" s="576" t="s">
        <v>62</v>
      </c>
      <c r="R545" s="597"/>
      <c r="S545" s="575" t="str">
        <f t="shared" si="16"/>
        <v>001-502-000000295</v>
      </c>
      <c r="T545" s="598">
        <v>103035697</v>
      </c>
      <c r="U545" s="621" t="s">
        <v>3611</v>
      </c>
    </row>
    <row r="546" spans="1:21" ht="24" customHeight="1" x14ac:dyDescent="0.2">
      <c r="A546" s="624">
        <v>541</v>
      </c>
      <c r="B546" s="574">
        <v>45805</v>
      </c>
      <c r="C546" s="575" t="s">
        <v>100</v>
      </c>
      <c r="D546" s="575" t="s">
        <v>3607</v>
      </c>
      <c r="E546" s="576">
        <v>112580058</v>
      </c>
      <c r="F546" s="623" t="str">
        <f t="shared" si="15"/>
        <v>GBC 95030 KBB BK COCINA GAS</v>
      </c>
      <c r="G546" s="575" t="s">
        <v>3613</v>
      </c>
      <c r="H546" s="576" t="s">
        <v>41</v>
      </c>
      <c r="I546" s="576" t="s">
        <v>62</v>
      </c>
      <c r="J546" s="576" t="s">
        <v>63</v>
      </c>
      <c r="K546" s="593">
        <v>45875</v>
      </c>
      <c r="L546" s="594" t="s">
        <v>3609</v>
      </c>
      <c r="M546" s="594" t="s">
        <v>3610</v>
      </c>
      <c r="N546" s="575">
        <v>998282791</v>
      </c>
      <c r="O546" s="596">
        <v>15</v>
      </c>
      <c r="P546" s="576" t="s">
        <v>442</v>
      </c>
      <c r="Q546" s="576" t="s">
        <v>62</v>
      </c>
      <c r="R546" s="597"/>
      <c r="S546" s="575" t="str">
        <f t="shared" si="16"/>
        <v>001-502-000000295</v>
      </c>
      <c r="T546" s="598">
        <v>103035697</v>
      </c>
      <c r="U546" s="621" t="s">
        <v>3611</v>
      </c>
    </row>
    <row r="547" spans="1:21" ht="24" customHeight="1" x14ac:dyDescent="0.2">
      <c r="A547" s="624">
        <v>542</v>
      </c>
      <c r="B547" s="574">
        <v>45805</v>
      </c>
      <c r="C547" s="575" t="s">
        <v>100</v>
      </c>
      <c r="D547" s="575" t="s">
        <v>3607</v>
      </c>
      <c r="E547" s="576">
        <v>40782127</v>
      </c>
      <c r="F547" s="623" t="str">
        <f t="shared" si="15"/>
        <v>DW8 57 FIM PANELABLE LAVAVAJILLAS</v>
      </c>
      <c r="G547" s="575" t="s">
        <v>3614</v>
      </c>
      <c r="H547" s="576" t="s">
        <v>41</v>
      </c>
      <c r="I547" s="576" t="s">
        <v>62</v>
      </c>
      <c r="J547" s="576" t="s">
        <v>63</v>
      </c>
      <c r="K547" s="593">
        <v>45875</v>
      </c>
      <c r="L547" s="594" t="s">
        <v>3609</v>
      </c>
      <c r="M547" s="594" t="s">
        <v>3610</v>
      </c>
      <c r="N547" s="575">
        <v>998282791</v>
      </c>
      <c r="O547" s="596">
        <v>15</v>
      </c>
      <c r="P547" s="576" t="s">
        <v>442</v>
      </c>
      <c r="Q547" s="576" t="s">
        <v>62</v>
      </c>
      <c r="R547" s="597"/>
      <c r="S547" s="575" t="str">
        <f t="shared" si="16"/>
        <v>001-502-000000295</v>
      </c>
      <c r="T547" s="598">
        <v>103035697</v>
      </c>
      <c r="U547" s="621" t="s">
        <v>3611</v>
      </c>
    </row>
    <row r="548" spans="1:21" ht="24" customHeight="1" x14ac:dyDescent="0.2">
      <c r="A548" s="624">
        <v>543</v>
      </c>
      <c r="B548" s="574">
        <v>45805</v>
      </c>
      <c r="C548" s="575" t="s">
        <v>100</v>
      </c>
      <c r="D548" s="575" t="s">
        <v>3607</v>
      </c>
      <c r="E548" s="576">
        <v>40483182</v>
      </c>
      <c r="F548" s="623" t="str">
        <f t="shared" si="15"/>
        <v>CUERPO DPL ISLA 1180</v>
      </c>
      <c r="G548" s="575" t="s">
        <v>3615</v>
      </c>
      <c r="H548" s="576" t="s">
        <v>41</v>
      </c>
      <c r="I548" s="576" t="s">
        <v>62</v>
      </c>
      <c r="J548" s="576" t="s">
        <v>63</v>
      </c>
      <c r="K548" s="593">
        <v>45875</v>
      </c>
      <c r="L548" s="594" t="s">
        <v>3609</v>
      </c>
      <c r="M548" s="594" t="s">
        <v>3610</v>
      </c>
      <c r="N548" s="575">
        <v>998282791</v>
      </c>
      <c r="O548" s="596">
        <v>30</v>
      </c>
      <c r="P548" s="576" t="s">
        <v>442</v>
      </c>
      <c r="Q548" s="576" t="s">
        <v>62</v>
      </c>
      <c r="R548" s="597"/>
      <c r="S548" s="575" t="str">
        <f t="shared" si="16"/>
        <v>001-502-000000295</v>
      </c>
      <c r="T548" s="598">
        <v>103035697</v>
      </c>
      <c r="U548" s="621" t="s">
        <v>3611</v>
      </c>
    </row>
    <row r="549" spans="1:21" ht="24" customHeight="1" x14ac:dyDescent="0.2">
      <c r="A549" s="624">
        <v>544</v>
      </c>
      <c r="B549" s="574">
        <v>45857</v>
      </c>
      <c r="C549" s="575" t="s">
        <v>100</v>
      </c>
      <c r="D549" s="575" t="s">
        <v>3616</v>
      </c>
      <c r="E549" s="576">
        <v>40467305</v>
      </c>
      <c r="F549" s="623" t="str">
        <f t="shared" si="15"/>
        <v>C 710 NEGRA CAMPANA (110V-60HZ) C/KIT</v>
      </c>
      <c r="G549" s="575" t="s">
        <v>3617</v>
      </c>
      <c r="H549" s="576" t="s">
        <v>41</v>
      </c>
      <c r="I549" s="576" t="s">
        <v>62</v>
      </c>
      <c r="J549" s="576" t="s">
        <v>63</v>
      </c>
      <c r="K549" s="593">
        <v>45875</v>
      </c>
      <c r="L549" s="594" t="s">
        <v>3618</v>
      </c>
      <c r="M549" s="594" t="s">
        <v>3619</v>
      </c>
      <c r="N549" s="575">
        <v>317479916</v>
      </c>
      <c r="O549" s="596">
        <v>20</v>
      </c>
      <c r="P549" s="576" t="s">
        <v>442</v>
      </c>
      <c r="Q549" s="576" t="s">
        <v>62</v>
      </c>
      <c r="R549" s="597"/>
      <c r="S549" s="575" t="str">
        <f t="shared" si="16"/>
        <v>001-500-000075182</v>
      </c>
      <c r="T549" s="598">
        <v>103164562</v>
      </c>
      <c r="U549" s="621" t="s">
        <v>3620</v>
      </c>
    </row>
    <row r="550" spans="1:21" ht="24" customHeight="1" x14ac:dyDescent="0.2">
      <c r="A550" s="624">
        <v>545</v>
      </c>
      <c r="B550" s="574">
        <v>45857</v>
      </c>
      <c r="C550" s="575" t="s">
        <v>100</v>
      </c>
      <c r="D550" s="575" t="s">
        <v>3616</v>
      </c>
      <c r="E550" s="576">
        <v>112580058</v>
      </c>
      <c r="F550" s="623" t="str">
        <f t="shared" si="15"/>
        <v>GBC 95030 KBB BK COCINA GAS</v>
      </c>
      <c r="G550" s="575" t="s">
        <v>3621</v>
      </c>
      <c r="H550" s="576" t="s">
        <v>41</v>
      </c>
      <c r="I550" s="576" t="s">
        <v>62</v>
      </c>
      <c r="J550" s="576" t="s">
        <v>63</v>
      </c>
      <c r="K550" s="593">
        <v>45875</v>
      </c>
      <c r="L550" s="594" t="s">
        <v>3618</v>
      </c>
      <c r="M550" s="594" t="s">
        <v>3619</v>
      </c>
      <c r="N550" s="575">
        <v>317479916</v>
      </c>
      <c r="O550" s="596">
        <v>20</v>
      </c>
      <c r="P550" s="576" t="s">
        <v>442</v>
      </c>
      <c r="Q550" s="576" t="s">
        <v>62</v>
      </c>
      <c r="R550" s="597"/>
      <c r="S550" s="575" t="str">
        <f t="shared" si="16"/>
        <v>001-500-000075182</v>
      </c>
      <c r="T550" s="598">
        <v>103164562</v>
      </c>
      <c r="U550" s="621" t="s">
        <v>3620</v>
      </c>
    </row>
    <row r="551" spans="1:21" ht="24" customHeight="1" x14ac:dyDescent="0.2">
      <c r="A551" s="624">
        <v>546</v>
      </c>
      <c r="B551" s="574">
        <v>45774</v>
      </c>
      <c r="C551" s="575" t="s">
        <v>190</v>
      </c>
      <c r="D551" s="575" t="s">
        <v>3622</v>
      </c>
      <c r="E551" s="576">
        <v>40461507</v>
      </c>
      <c r="F551" s="623" t="str">
        <f t="shared" si="15"/>
        <v>C 610 NEGRA CAMPANA (110V-60HZ) C/KIT</v>
      </c>
      <c r="G551" s="575" t="s">
        <v>3623</v>
      </c>
      <c r="H551" s="576" t="s">
        <v>41</v>
      </c>
      <c r="I551" s="576" t="s">
        <v>62</v>
      </c>
      <c r="J551" s="576" t="s">
        <v>63</v>
      </c>
      <c r="K551" s="593">
        <v>45875</v>
      </c>
      <c r="L551" s="594" t="s">
        <v>3624</v>
      </c>
      <c r="M551" s="594" t="s">
        <v>1525</v>
      </c>
      <c r="N551" s="575">
        <v>3708771</v>
      </c>
      <c r="O551" s="596">
        <v>15</v>
      </c>
      <c r="P551" s="576" t="s">
        <v>442</v>
      </c>
      <c r="Q551" s="576" t="s">
        <v>62</v>
      </c>
      <c r="R551" s="597"/>
      <c r="S551" s="575" t="str">
        <f t="shared" si="16"/>
        <v>006-002-000157890</v>
      </c>
      <c r="T551" s="598">
        <v>157783762</v>
      </c>
      <c r="U551" s="621" t="s">
        <v>3625</v>
      </c>
    </row>
    <row r="552" spans="1:21" ht="24" customHeight="1" x14ac:dyDescent="0.2">
      <c r="A552" s="624">
        <v>547</v>
      </c>
      <c r="B552" s="574">
        <v>45774</v>
      </c>
      <c r="C552" s="575" t="s">
        <v>190</v>
      </c>
      <c r="D552" s="575" t="s">
        <v>3622</v>
      </c>
      <c r="E552" s="576">
        <v>112510035</v>
      </c>
      <c r="F552" s="623" t="str">
        <f t="shared" si="15"/>
        <v>IZF 64440 MSP BK COCINA INDUCCION</v>
      </c>
      <c r="G552" s="575" t="s">
        <v>3626</v>
      </c>
      <c r="H552" s="576" t="s">
        <v>41</v>
      </c>
      <c r="I552" s="576" t="s">
        <v>62</v>
      </c>
      <c r="J552" s="576" t="s">
        <v>63</v>
      </c>
      <c r="K552" s="593">
        <v>45875</v>
      </c>
      <c r="L552" s="594" t="s">
        <v>3624</v>
      </c>
      <c r="M552" s="594" t="s">
        <v>1525</v>
      </c>
      <c r="N552" s="575">
        <v>3708771</v>
      </c>
      <c r="O552" s="596">
        <v>15</v>
      </c>
      <c r="P552" s="576" t="s">
        <v>442</v>
      </c>
      <c r="Q552" s="576" t="s">
        <v>62</v>
      </c>
      <c r="R552" s="597"/>
      <c r="S552" s="575" t="str">
        <f t="shared" si="16"/>
        <v>006-002-000157890</v>
      </c>
      <c r="T552" s="598">
        <v>157783762</v>
      </c>
      <c r="U552" s="621" t="s">
        <v>3625</v>
      </c>
    </row>
    <row r="553" spans="1:21" ht="24" customHeight="1" x14ac:dyDescent="0.2">
      <c r="A553" s="624">
        <v>548</v>
      </c>
      <c r="B553" s="574">
        <v>45774</v>
      </c>
      <c r="C553" s="575" t="s">
        <v>190</v>
      </c>
      <c r="D553" s="575" t="s">
        <v>3622</v>
      </c>
      <c r="E553" s="576">
        <v>111000051</v>
      </c>
      <c r="F553" s="623" t="str">
        <f t="shared" si="15"/>
        <v>HLB 8416 "AIR FRY" - HORNO ELEC</v>
      </c>
      <c r="G553" s="575" t="s">
        <v>3627</v>
      </c>
      <c r="H553" s="576" t="s">
        <v>41</v>
      </c>
      <c r="I553" s="576" t="s">
        <v>62</v>
      </c>
      <c r="J553" s="576" t="s">
        <v>63</v>
      </c>
      <c r="K553" s="593">
        <v>45875</v>
      </c>
      <c r="L553" s="594" t="s">
        <v>3624</v>
      </c>
      <c r="M553" s="594" t="s">
        <v>1525</v>
      </c>
      <c r="N553" s="575">
        <v>3708771</v>
      </c>
      <c r="O553" s="596">
        <v>15</v>
      </c>
      <c r="P553" s="576" t="s">
        <v>442</v>
      </c>
      <c r="Q553" s="576" t="s">
        <v>62</v>
      </c>
      <c r="R553" s="597"/>
      <c r="S553" s="575" t="str">
        <f t="shared" si="16"/>
        <v>006-002-000157890</v>
      </c>
      <c r="T553" s="598">
        <v>157783762</v>
      </c>
      <c r="U553" s="621" t="s">
        <v>3625</v>
      </c>
    </row>
    <row r="554" spans="1:21" ht="24" customHeight="1" x14ac:dyDescent="0.2">
      <c r="A554" s="624">
        <v>549</v>
      </c>
      <c r="B554" s="574">
        <v>45635</v>
      </c>
      <c r="C554" s="575" t="s">
        <v>100</v>
      </c>
      <c r="D554" s="575" t="s">
        <v>3628</v>
      </c>
      <c r="E554" s="576">
        <v>112030019</v>
      </c>
      <c r="F554" s="623" t="str">
        <f t="shared" si="15"/>
        <v>ML 8220 BIS FBK- MICROONDAS</v>
      </c>
      <c r="G554" s="575" t="s">
        <v>3629</v>
      </c>
      <c r="H554" s="576" t="s">
        <v>41</v>
      </c>
      <c r="I554" s="576" t="s">
        <v>62</v>
      </c>
      <c r="J554" s="576" t="s">
        <v>63</v>
      </c>
      <c r="K554" s="593">
        <v>45875</v>
      </c>
      <c r="L554" s="594" t="s">
        <v>3630</v>
      </c>
      <c r="M554" s="594" t="s">
        <v>2217</v>
      </c>
      <c r="N554" s="575">
        <v>984459007</v>
      </c>
      <c r="O554" s="596">
        <v>15</v>
      </c>
      <c r="P554" s="576" t="s">
        <v>442</v>
      </c>
      <c r="Q554" s="576" t="s">
        <v>62</v>
      </c>
      <c r="R554" s="597"/>
      <c r="S554" s="575" t="str">
        <f t="shared" si="16"/>
        <v>001-600-000068906</v>
      </c>
      <c r="T554" s="598">
        <v>1852871248</v>
      </c>
      <c r="U554" s="621" t="s">
        <v>3631</v>
      </c>
    </row>
    <row r="555" spans="1:21" ht="24" customHeight="1" x14ac:dyDescent="0.2">
      <c r="A555" s="624">
        <v>550</v>
      </c>
      <c r="B555" s="574">
        <v>45635</v>
      </c>
      <c r="C555" s="575" t="s">
        <v>100</v>
      </c>
      <c r="D555" s="575" t="s">
        <v>3632</v>
      </c>
      <c r="E555" s="576">
        <v>111000078</v>
      </c>
      <c r="F555" s="623" t="str">
        <f t="shared" ref="F555:F574" si="17">VLOOKUP(E555,PROD,2,FALSE)</f>
        <v>HLB 8400 FBK HORNO ELEC</v>
      </c>
      <c r="G555" s="575" t="s">
        <v>3633</v>
      </c>
      <c r="H555" s="576" t="s">
        <v>41</v>
      </c>
      <c r="I555" s="576" t="s">
        <v>62</v>
      </c>
      <c r="J555" s="576" t="s">
        <v>63</v>
      </c>
      <c r="K555" s="593">
        <v>45875</v>
      </c>
      <c r="L555" s="594" t="s">
        <v>3630</v>
      </c>
      <c r="M555" s="594" t="s">
        <v>2217</v>
      </c>
      <c r="N555" s="575">
        <v>984459007</v>
      </c>
      <c r="O555" s="596">
        <v>15</v>
      </c>
      <c r="P555" s="576" t="s">
        <v>442</v>
      </c>
      <c r="Q555" s="576" t="s">
        <v>62</v>
      </c>
      <c r="R555" s="597"/>
      <c r="S555" s="575" t="str">
        <f t="shared" si="16"/>
        <v>001-600-000068775</v>
      </c>
      <c r="T555" s="598">
        <v>1852871248</v>
      </c>
      <c r="U555" s="621" t="s">
        <v>3631</v>
      </c>
    </row>
    <row r="556" spans="1:21" ht="24" customHeight="1" x14ac:dyDescent="0.2">
      <c r="A556" s="624">
        <v>551</v>
      </c>
      <c r="B556" s="574">
        <v>45635</v>
      </c>
      <c r="C556" s="575" t="s">
        <v>100</v>
      </c>
      <c r="D556" s="575" t="s">
        <v>3634</v>
      </c>
      <c r="E556" s="576">
        <v>112580058</v>
      </c>
      <c r="F556" s="623" t="str">
        <f t="shared" si="17"/>
        <v>GBC 95030 KBB BK COCINA GAS</v>
      </c>
      <c r="G556" s="575" t="s">
        <v>3635</v>
      </c>
      <c r="H556" s="576" t="s">
        <v>41</v>
      </c>
      <c r="I556" s="576" t="s">
        <v>62</v>
      </c>
      <c r="J556" s="576" t="s">
        <v>63</v>
      </c>
      <c r="K556" s="593">
        <v>45875</v>
      </c>
      <c r="L556" s="594" t="s">
        <v>3630</v>
      </c>
      <c r="M556" s="594" t="s">
        <v>2217</v>
      </c>
      <c r="N556" s="575">
        <v>984459007</v>
      </c>
      <c r="O556" s="596">
        <v>15</v>
      </c>
      <c r="P556" s="576" t="s">
        <v>442</v>
      </c>
      <c r="Q556" s="576" t="s">
        <v>62</v>
      </c>
      <c r="R556" s="597"/>
      <c r="S556" s="575" t="str">
        <f t="shared" si="16"/>
        <v>001-600-000071956</v>
      </c>
      <c r="T556" s="598">
        <v>1852871248</v>
      </c>
      <c r="U556" s="621" t="s">
        <v>3631</v>
      </c>
    </row>
    <row r="557" spans="1:21" ht="24" customHeight="1" x14ac:dyDescent="0.2">
      <c r="A557" s="624">
        <v>552</v>
      </c>
      <c r="B557" s="574">
        <v>45635</v>
      </c>
      <c r="C557" s="575" t="s">
        <v>100</v>
      </c>
      <c r="D557" s="575" t="s">
        <v>3628</v>
      </c>
      <c r="E557" s="576">
        <v>113610005</v>
      </c>
      <c r="F557" s="623" t="str">
        <f t="shared" si="17"/>
        <v>RVF 10032 VINERA</v>
      </c>
      <c r="G557" s="575" t="s">
        <v>3636</v>
      </c>
      <c r="H557" s="576" t="s">
        <v>41</v>
      </c>
      <c r="I557" s="576" t="s">
        <v>62</v>
      </c>
      <c r="J557" s="576" t="s">
        <v>63</v>
      </c>
      <c r="K557" s="593">
        <v>45875</v>
      </c>
      <c r="L557" s="594" t="s">
        <v>3630</v>
      </c>
      <c r="M557" s="594" t="s">
        <v>2217</v>
      </c>
      <c r="N557" s="575">
        <v>984459007</v>
      </c>
      <c r="O557" s="596">
        <v>15</v>
      </c>
      <c r="P557" s="576" t="s">
        <v>442</v>
      </c>
      <c r="Q557" s="576" t="s">
        <v>62</v>
      </c>
      <c r="R557" s="597"/>
      <c r="S557" s="575" t="str">
        <f t="shared" si="16"/>
        <v>001-600-000068906</v>
      </c>
      <c r="T557" s="598">
        <v>1852871248</v>
      </c>
      <c r="U557" s="621" t="s">
        <v>3631</v>
      </c>
    </row>
    <row r="558" spans="1:21" ht="24" customHeight="1" x14ac:dyDescent="0.2">
      <c r="A558" s="624">
        <v>553</v>
      </c>
      <c r="B558" s="574">
        <v>45551</v>
      </c>
      <c r="C558" s="575" t="s">
        <v>187</v>
      </c>
      <c r="D558" s="575" t="s">
        <v>3637</v>
      </c>
      <c r="E558" s="576">
        <v>40446712</v>
      </c>
      <c r="F558" s="623" t="str">
        <f t="shared" si="17"/>
        <v>GFH 73 INOX CAMPANA (110V-60HZ) C/KIT</v>
      </c>
      <c r="G558" s="575" t="s">
        <v>3638</v>
      </c>
      <c r="H558" s="576" t="s">
        <v>41</v>
      </c>
      <c r="I558" s="576" t="s">
        <v>62</v>
      </c>
      <c r="J558" s="576" t="s">
        <v>63</v>
      </c>
      <c r="K558" s="593">
        <v>45876</v>
      </c>
      <c r="L558" s="594" t="s">
        <v>3639</v>
      </c>
      <c r="M558" s="594" t="s">
        <v>3640</v>
      </c>
      <c r="N558" s="575">
        <v>995300011</v>
      </c>
      <c r="O558" s="596">
        <v>20</v>
      </c>
      <c r="P558" s="576" t="s">
        <v>442</v>
      </c>
      <c r="Q558" s="576" t="s">
        <v>62</v>
      </c>
      <c r="R558" s="597"/>
      <c r="S558" s="575" t="str">
        <f t="shared" ref="S558:S596" si="18">D558</f>
        <v>040-103-000008413</v>
      </c>
      <c r="T558" s="598">
        <v>104406756</v>
      </c>
      <c r="U558" s="621" t="s">
        <v>3641</v>
      </c>
    </row>
    <row r="559" spans="1:21" ht="24" customHeight="1" x14ac:dyDescent="0.2">
      <c r="A559" s="624">
        <v>554</v>
      </c>
      <c r="B559" s="574">
        <v>45551</v>
      </c>
      <c r="C559" s="575" t="s">
        <v>187</v>
      </c>
      <c r="D559" s="575" t="s">
        <v>3637</v>
      </c>
      <c r="E559" s="576">
        <v>40446712</v>
      </c>
      <c r="F559" s="623" t="str">
        <f t="shared" si="17"/>
        <v>GFH 73 INOX CAMPANA (110V-60HZ) C/KIT</v>
      </c>
      <c r="G559" s="575" t="s">
        <v>3642</v>
      </c>
      <c r="H559" s="576" t="s">
        <v>41</v>
      </c>
      <c r="I559" s="576" t="s">
        <v>62</v>
      </c>
      <c r="J559" s="576" t="s">
        <v>63</v>
      </c>
      <c r="K559" s="593">
        <v>45876</v>
      </c>
      <c r="L559" s="594" t="s">
        <v>3639</v>
      </c>
      <c r="M559" s="594" t="s">
        <v>3640</v>
      </c>
      <c r="N559" s="575">
        <v>995300011</v>
      </c>
      <c r="O559" s="596">
        <v>20</v>
      </c>
      <c r="P559" s="576" t="s">
        <v>442</v>
      </c>
      <c r="Q559" s="576" t="s">
        <v>62</v>
      </c>
      <c r="R559" s="597"/>
      <c r="S559" s="575" t="str">
        <f t="shared" si="18"/>
        <v>040-103-000008413</v>
      </c>
      <c r="T559" s="598">
        <v>104406756</v>
      </c>
      <c r="U559" s="621" t="s">
        <v>3641</v>
      </c>
    </row>
    <row r="560" spans="1:21" ht="24" customHeight="1" x14ac:dyDescent="0.2">
      <c r="A560" s="624">
        <v>555</v>
      </c>
      <c r="B560" s="574">
        <v>45840</v>
      </c>
      <c r="C560" s="575" t="s">
        <v>125</v>
      </c>
      <c r="D560" s="575" t="s">
        <v>3643</v>
      </c>
      <c r="E560" s="576">
        <v>40584012</v>
      </c>
      <c r="F560" s="623" t="str">
        <f t="shared" si="17"/>
        <v>MS 620 BIS - MICROONDAS</v>
      </c>
      <c r="G560" s="575" t="s">
        <v>3644</v>
      </c>
      <c r="H560" s="576" t="s">
        <v>41</v>
      </c>
      <c r="I560" s="576" t="s">
        <v>62</v>
      </c>
      <c r="J560" s="576" t="s">
        <v>63</v>
      </c>
      <c r="K560" s="593">
        <v>45876</v>
      </c>
      <c r="L560" s="594" t="s">
        <v>3645</v>
      </c>
      <c r="M560" s="594" t="s">
        <v>3646</v>
      </c>
      <c r="N560" s="575">
        <v>995259470</v>
      </c>
      <c r="O560" s="596">
        <v>20</v>
      </c>
      <c r="P560" s="576" t="s">
        <v>442</v>
      </c>
      <c r="Q560" s="576" t="s">
        <v>62</v>
      </c>
      <c r="R560" s="597"/>
      <c r="S560" s="575" t="str">
        <f t="shared" si="18"/>
        <v>016-902-000511329</v>
      </c>
      <c r="T560" s="598">
        <v>151688541</v>
      </c>
      <c r="U560" s="621" t="s">
        <v>3647</v>
      </c>
    </row>
    <row r="561" spans="1:21" ht="24" customHeight="1" x14ac:dyDescent="0.2">
      <c r="A561" s="624">
        <v>556</v>
      </c>
      <c r="B561" s="574">
        <v>45840</v>
      </c>
      <c r="C561" s="575" t="s">
        <v>125</v>
      </c>
      <c r="D561" s="575" t="s">
        <v>3648</v>
      </c>
      <c r="E561" s="576">
        <v>41560124</v>
      </c>
      <c r="F561" s="623" t="str">
        <f t="shared" si="17"/>
        <v>HSB 615 INOX HORNO ELEC</v>
      </c>
      <c r="G561" s="575" t="s">
        <v>3649</v>
      </c>
      <c r="H561" s="576" t="s">
        <v>41</v>
      </c>
      <c r="I561" s="576" t="s">
        <v>62</v>
      </c>
      <c r="J561" s="576" t="s">
        <v>63</v>
      </c>
      <c r="K561" s="593">
        <v>45876</v>
      </c>
      <c r="L561" s="594" t="s">
        <v>3645</v>
      </c>
      <c r="M561" s="594" t="s">
        <v>3646</v>
      </c>
      <c r="N561" s="575">
        <v>995259470</v>
      </c>
      <c r="O561" s="596">
        <v>20</v>
      </c>
      <c r="P561" s="576" t="s">
        <v>442</v>
      </c>
      <c r="Q561" s="576" t="s">
        <v>62</v>
      </c>
      <c r="R561" s="597"/>
      <c r="S561" s="575" t="str">
        <f t="shared" si="18"/>
        <v>043-906-000043812</v>
      </c>
      <c r="T561" s="598">
        <v>151688541</v>
      </c>
      <c r="U561" s="621" t="s">
        <v>3647</v>
      </c>
    </row>
    <row r="562" spans="1:21" ht="24" customHeight="1" x14ac:dyDescent="0.2">
      <c r="A562" s="624">
        <v>557</v>
      </c>
      <c r="B562" s="574">
        <v>45874</v>
      </c>
      <c r="C562" s="575" t="s">
        <v>187</v>
      </c>
      <c r="D562" s="575" t="s">
        <v>3650</v>
      </c>
      <c r="E562" s="576">
        <v>112500046</v>
      </c>
      <c r="F562" s="623" t="str">
        <f t="shared" si="17"/>
        <v>IZF 88700 MST COCINA INDUCCION</v>
      </c>
      <c r="G562" s="575" t="s">
        <v>3651</v>
      </c>
      <c r="H562" s="576" t="s">
        <v>41</v>
      </c>
      <c r="I562" s="576" t="s">
        <v>62</v>
      </c>
      <c r="J562" s="576" t="s">
        <v>63</v>
      </c>
      <c r="K562" s="593">
        <v>45877</v>
      </c>
      <c r="L562" s="594" t="s">
        <v>3652</v>
      </c>
      <c r="M562" s="594" t="s">
        <v>3653</v>
      </c>
      <c r="N562" s="575">
        <v>8616872</v>
      </c>
      <c r="O562" s="596">
        <v>20</v>
      </c>
      <c r="P562" s="576" t="s">
        <v>442</v>
      </c>
      <c r="Q562" s="576" t="s">
        <v>62</v>
      </c>
      <c r="R562" s="597"/>
      <c r="S562" s="575" t="str">
        <f t="shared" si="18"/>
        <v>040-104-000012787</v>
      </c>
      <c r="T562" s="598">
        <v>587320585</v>
      </c>
      <c r="U562" s="621" t="s">
        <v>3654</v>
      </c>
    </row>
    <row r="563" spans="1:21" ht="24" customHeight="1" x14ac:dyDescent="0.2">
      <c r="A563" s="624">
        <v>558</v>
      </c>
      <c r="B563" s="574">
        <v>45874</v>
      </c>
      <c r="C563" s="575" t="s">
        <v>187</v>
      </c>
      <c r="D563" s="575" t="s">
        <v>3650</v>
      </c>
      <c r="E563" s="576">
        <v>111000078</v>
      </c>
      <c r="F563" s="623" t="str">
        <f t="shared" si="17"/>
        <v>HLB 8400 FBK HORNO ELEC</v>
      </c>
      <c r="G563" s="575" t="s">
        <v>3655</v>
      </c>
      <c r="H563" s="576" t="s">
        <v>41</v>
      </c>
      <c r="I563" s="576" t="s">
        <v>62</v>
      </c>
      <c r="J563" s="576" t="s">
        <v>63</v>
      </c>
      <c r="K563" s="593">
        <v>45877</v>
      </c>
      <c r="L563" s="594" t="s">
        <v>3652</v>
      </c>
      <c r="M563" s="594" t="s">
        <v>3653</v>
      </c>
      <c r="N563" s="575">
        <v>8616872</v>
      </c>
      <c r="O563" s="596">
        <v>20</v>
      </c>
      <c r="P563" s="576" t="s">
        <v>442</v>
      </c>
      <c r="Q563" s="576" t="s">
        <v>62</v>
      </c>
      <c r="R563" s="597"/>
      <c r="S563" s="575" t="str">
        <f t="shared" si="18"/>
        <v>040-104-000012787</v>
      </c>
      <c r="T563" s="598">
        <v>587320585</v>
      </c>
      <c r="U563" s="621" t="s">
        <v>3654</v>
      </c>
    </row>
    <row r="564" spans="1:21" ht="24" customHeight="1" x14ac:dyDescent="0.2">
      <c r="A564" s="624">
        <v>559</v>
      </c>
      <c r="B564" s="574">
        <v>45629</v>
      </c>
      <c r="C564" s="575" t="s">
        <v>100</v>
      </c>
      <c r="D564" s="575" t="s">
        <v>3628</v>
      </c>
      <c r="E564" s="576">
        <v>111000030</v>
      </c>
      <c r="F564" s="623" t="str">
        <f t="shared" si="17"/>
        <v>STEAKMASTER - HORNO ELEC</v>
      </c>
      <c r="G564" s="575" t="s">
        <v>3656</v>
      </c>
      <c r="H564" s="576" t="s">
        <v>41</v>
      </c>
      <c r="I564" s="576" t="s">
        <v>62</v>
      </c>
      <c r="J564" s="576" t="s">
        <v>63</v>
      </c>
      <c r="K564" s="593">
        <v>45877</v>
      </c>
      <c r="L564" s="594" t="s">
        <v>3630</v>
      </c>
      <c r="M564" s="594" t="s">
        <v>2217</v>
      </c>
      <c r="N564" s="575">
        <v>984459007</v>
      </c>
      <c r="O564" s="596">
        <v>15</v>
      </c>
      <c r="P564" s="576" t="s">
        <v>442</v>
      </c>
      <c r="Q564" s="576" t="s">
        <v>62</v>
      </c>
      <c r="R564" s="597"/>
      <c r="S564" s="575" t="str">
        <f t="shared" si="18"/>
        <v>001-600-000068906</v>
      </c>
      <c r="T564" s="598">
        <v>1852871248</v>
      </c>
      <c r="U564" s="621" t="s">
        <v>3631</v>
      </c>
    </row>
    <row r="565" spans="1:21" ht="24" customHeight="1" x14ac:dyDescent="0.2">
      <c r="A565" s="624">
        <v>560</v>
      </c>
      <c r="B565" s="574">
        <v>45629</v>
      </c>
      <c r="C565" s="575" t="s">
        <v>100</v>
      </c>
      <c r="D565" s="575" t="s">
        <v>3657</v>
      </c>
      <c r="E565" s="576">
        <v>40782127</v>
      </c>
      <c r="F565" s="623" t="str">
        <f t="shared" si="17"/>
        <v>DW8 57 FIM PANELABLE LAVAVAJILLAS</v>
      </c>
      <c r="G565" s="575" t="s">
        <v>3658</v>
      </c>
      <c r="H565" s="576" t="s">
        <v>41</v>
      </c>
      <c r="I565" s="576" t="s">
        <v>62</v>
      </c>
      <c r="J565" s="576" t="s">
        <v>63</v>
      </c>
      <c r="K565" s="593">
        <v>45877</v>
      </c>
      <c r="L565" s="594" t="s">
        <v>3630</v>
      </c>
      <c r="M565" s="594" t="s">
        <v>2217</v>
      </c>
      <c r="N565" s="575">
        <v>984459007</v>
      </c>
      <c r="O565" s="596">
        <v>15</v>
      </c>
      <c r="P565" s="576" t="s">
        <v>442</v>
      </c>
      <c r="Q565" s="576" t="s">
        <v>62</v>
      </c>
      <c r="R565" s="597"/>
      <c r="S565" s="575" t="str">
        <f t="shared" si="18"/>
        <v>001-500-000072194</v>
      </c>
      <c r="T565" s="598">
        <v>1852871248</v>
      </c>
      <c r="U565" s="621" t="s">
        <v>3631</v>
      </c>
    </row>
    <row r="566" spans="1:21" ht="24" customHeight="1" x14ac:dyDescent="0.2">
      <c r="A566" s="624">
        <v>561</v>
      </c>
      <c r="B566" s="574">
        <v>45629</v>
      </c>
      <c r="C566" s="575" t="s">
        <v>100</v>
      </c>
      <c r="D566" s="575" t="s">
        <v>3628</v>
      </c>
      <c r="E566" s="576">
        <v>41598031</v>
      </c>
      <c r="F566" s="623" t="str">
        <f t="shared" si="17"/>
        <v>CAFETERA INTEGRACION CLC 855 GM INOX</v>
      </c>
      <c r="G566" s="575" t="s">
        <v>3438</v>
      </c>
      <c r="H566" s="576" t="s">
        <v>41</v>
      </c>
      <c r="I566" s="576" t="s">
        <v>62</v>
      </c>
      <c r="J566" s="576" t="s">
        <v>63</v>
      </c>
      <c r="K566" s="593">
        <v>45877</v>
      </c>
      <c r="L566" s="594" t="s">
        <v>3630</v>
      </c>
      <c r="M566" s="594" t="s">
        <v>2217</v>
      </c>
      <c r="N566" s="575">
        <v>984459007</v>
      </c>
      <c r="O566" s="596">
        <v>15</v>
      </c>
      <c r="P566" s="576" t="s">
        <v>442</v>
      </c>
      <c r="Q566" s="576" t="s">
        <v>62</v>
      </c>
      <c r="R566" s="597"/>
      <c r="S566" s="575" t="str">
        <f t="shared" si="18"/>
        <v>001-600-000068906</v>
      </c>
      <c r="T566" s="598">
        <v>1852871248</v>
      </c>
      <c r="U566" s="621" t="s">
        <v>3631</v>
      </c>
    </row>
    <row r="567" spans="1:21" ht="24" customHeight="1" x14ac:dyDescent="0.2">
      <c r="A567" s="624">
        <v>562</v>
      </c>
      <c r="B567" s="574">
        <v>45841</v>
      </c>
      <c r="C567" s="575" t="s">
        <v>3659</v>
      </c>
      <c r="D567" s="575" t="s">
        <v>3660</v>
      </c>
      <c r="E567" s="576">
        <v>41560061</v>
      </c>
      <c r="F567" s="623" t="str">
        <f t="shared" si="17"/>
        <v>HLB 830 INOX HORNO ELEC</v>
      </c>
      <c r="G567" s="575" t="s">
        <v>3661</v>
      </c>
      <c r="H567" s="576" t="s">
        <v>41</v>
      </c>
      <c r="I567" s="576" t="s">
        <v>62</v>
      </c>
      <c r="J567" s="576" t="s">
        <v>63</v>
      </c>
      <c r="K567" s="593">
        <v>45877</v>
      </c>
      <c r="L567" s="594" t="s">
        <v>3662</v>
      </c>
      <c r="M567" s="594" t="s">
        <v>720</v>
      </c>
      <c r="N567" s="575">
        <v>983567767</v>
      </c>
      <c r="O567" s="596">
        <v>20</v>
      </c>
      <c r="P567" s="576" t="s">
        <v>442</v>
      </c>
      <c r="Q567" s="576" t="s">
        <v>62</v>
      </c>
      <c r="R567" s="597"/>
      <c r="S567" s="575" t="str">
        <f t="shared" si="18"/>
        <v>001-001-0000001634</v>
      </c>
      <c r="T567" s="598">
        <v>105397426</v>
      </c>
      <c r="U567" s="621" t="s">
        <v>3663</v>
      </c>
    </row>
    <row r="568" spans="1:21" ht="24" customHeight="1" x14ac:dyDescent="0.2">
      <c r="A568" s="624">
        <v>563</v>
      </c>
      <c r="B568" s="574">
        <v>45841</v>
      </c>
      <c r="C568" s="575" t="s">
        <v>3659</v>
      </c>
      <c r="D568" s="575" t="s">
        <v>3660</v>
      </c>
      <c r="E568" s="576">
        <v>112580027</v>
      </c>
      <c r="F568" s="623" t="str">
        <f t="shared" si="17"/>
        <v>GBC 75030 KBB CRISTAL COCINA GAS</v>
      </c>
      <c r="G568" s="575" t="s">
        <v>3664</v>
      </c>
      <c r="H568" s="576" t="s">
        <v>41</v>
      </c>
      <c r="I568" s="576" t="s">
        <v>62</v>
      </c>
      <c r="J568" s="576" t="s">
        <v>63</v>
      </c>
      <c r="K568" s="593">
        <v>45877</v>
      </c>
      <c r="L568" s="594" t="s">
        <v>3662</v>
      </c>
      <c r="M568" s="594" t="s">
        <v>720</v>
      </c>
      <c r="N568" s="575">
        <v>983567767</v>
      </c>
      <c r="O568" s="596">
        <v>20</v>
      </c>
      <c r="P568" s="576" t="s">
        <v>442</v>
      </c>
      <c r="Q568" s="576" t="s">
        <v>62</v>
      </c>
      <c r="R568" s="597"/>
      <c r="S568" s="575" t="str">
        <f t="shared" si="18"/>
        <v>001-001-0000001634</v>
      </c>
      <c r="T568" s="598">
        <v>105397426</v>
      </c>
      <c r="U568" s="621" t="s">
        <v>3663</v>
      </c>
    </row>
    <row r="569" spans="1:21" ht="24" customHeight="1" x14ac:dyDescent="0.2">
      <c r="A569" s="624">
        <v>564</v>
      </c>
      <c r="B569" s="574">
        <v>45877</v>
      </c>
      <c r="C569" s="575" t="s">
        <v>125</v>
      </c>
      <c r="D569" s="575" t="s">
        <v>3665</v>
      </c>
      <c r="E569" s="576">
        <v>112580027</v>
      </c>
      <c r="F569" s="623" t="str">
        <f t="shared" si="17"/>
        <v>GBC 75030 KBB CRISTAL COCINA GAS</v>
      </c>
      <c r="G569" s="575" t="s">
        <v>3666</v>
      </c>
      <c r="H569" s="576" t="s">
        <v>41</v>
      </c>
      <c r="I569" s="576" t="s">
        <v>62</v>
      </c>
      <c r="J569" s="576" t="s">
        <v>63</v>
      </c>
      <c r="K569" s="593">
        <v>45877</v>
      </c>
      <c r="L569" s="594" t="s">
        <v>3667</v>
      </c>
      <c r="M569" s="594" t="s">
        <v>533</v>
      </c>
      <c r="N569" s="575">
        <v>9733935125</v>
      </c>
      <c r="O569" s="596">
        <v>20</v>
      </c>
      <c r="P569" s="576" t="s">
        <v>442</v>
      </c>
      <c r="Q569" s="576" t="s">
        <v>62</v>
      </c>
      <c r="R569" s="597"/>
      <c r="S569" s="575" t="str">
        <f t="shared" si="18"/>
        <v>043-903-000087380</v>
      </c>
      <c r="T569" s="598">
        <v>301409314</v>
      </c>
      <c r="U569" s="621" t="s">
        <v>3668</v>
      </c>
    </row>
    <row r="570" spans="1:21" ht="24" customHeight="1" x14ac:dyDescent="0.2">
      <c r="A570" s="624">
        <v>565</v>
      </c>
      <c r="B570" s="574">
        <v>45877</v>
      </c>
      <c r="C570" s="575" t="s">
        <v>125</v>
      </c>
      <c r="D570" s="575" t="s">
        <v>3665</v>
      </c>
      <c r="E570" s="576">
        <v>111010040</v>
      </c>
      <c r="F570" s="623" t="str">
        <f t="shared" si="17"/>
        <v>HSB 610 NEGRO HORNO ELEC</v>
      </c>
      <c r="G570" s="575" t="s">
        <v>3669</v>
      </c>
      <c r="H570" s="576" t="s">
        <v>41</v>
      </c>
      <c r="I570" s="576" t="s">
        <v>62</v>
      </c>
      <c r="J570" s="576" t="s">
        <v>63</v>
      </c>
      <c r="K570" s="593">
        <v>45877</v>
      </c>
      <c r="L570" s="594" t="s">
        <v>3667</v>
      </c>
      <c r="M570" s="594" t="s">
        <v>533</v>
      </c>
      <c r="N570" s="575">
        <v>9733935125</v>
      </c>
      <c r="O570" s="596">
        <v>20</v>
      </c>
      <c r="P570" s="576" t="s">
        <v>442</v>
      </c>
      <c r="Q570" s="576" t="s">
        <v>62</v>
      </c>
      <c r="R570" s="597"/>
      <c r="S570" s="575" t="str">
        <f t="shared" si="18"/>
        <v>043-903-000087380</v>
      </c>
      <c r="T570" s="598">
        <v>301409314</v>
      </c>
      <c r="U570" s="621" t="s">
        <v>3668</v>
      </c>
    </row>
    <row r="571" spans="1:21" ht="24" customHeight="1" x14ac:dyDescent="0.2">
      <c r="A571" s="624">
        <v>566</v>
      </c>
      <c r="B571" s="574">
        <v>45835</v>
      </c>
      <c r="C571" s="575" t="s">
        <v>100</v>
      </c>
      <c r="D571" s="575" t="s">
        <v>3670</v>
      </c>
      <c r="E571" s="576">
        <v>112580017</v>
      </c>
      <c r="F571" s="623" t="str">
        <f t="shared" si="17"/>
        <v>GBC 64000 KBB CRISTAL COCINA GAS</v>
      </c>
      <c r="G571" s="575" t="s">
        <v>3671</v>
      </c>
      <c r="H571" s="576" t="s">
        <v>41</v>
      </c>
      <c r="I571" s="576" t="s">
        <v>62</v>
      </c>
      <c r="J571" s="576" t="s">
        <v>63</v>
      </c>
      <c r="K571" s="593">
        <v>45877</v>
      </c>
      <c r="L571" s="594" t="s">
        <v>3672</v>
      </c>
      <c r="M571" s="594" t="s">
        <v>3673</v>
      </c>
      <c r="N571" s="575">
        <v>984940306</v>
      </c>
      <c r="O571" s="596">
        <v>20</v>
      </c>
      <c r="P571" s="576" t="s">
        <v>442</v>
      </c>
      <c r="Q571" s="576" t="s">
        <v>62</v>
      </c>
      <c r="R571" s="597"/>
      <c r="S571" s="575" t="str">
        <f t="shared" si="18"/>
        <v>001-500-000074541</v>
      </c>
      <c r="T571" s="598">
        <v>1033358016</v>
      </c>
      <c r="U571" s="621" t="s">
        <v>3674</v>
      </c>
    </row>
    <row r="572" spans="1:21" ht="24" customHeight="1" x14ac:dyDescent="0.2">
      <c r="A572" s="624">
        <v>567</v>
      </c>
      <c r="B572" s="574">
        <v>45835</v>
      </c>
      <c r="C572" s="575" t="s">
        <v>100</v>
      </c>
      <c r="D572" s="575" t="s">
        <v>3670</v>
      </c>
      <c r="E572" s="576">
        <v>40446712</v>
      </c>
      <c r="F572" s="623" t="str">
        <f t="shared" si="17"/>
        <v>GFH 73 INOX CAMPANA (110V-60HZ) C/KIT</v>
      </c>
      <c r="G572" s="575" t="s">
        <v>3675</v>
      </c>
      <c r="H572" s="576" t="s">
        <v>41</v>
      </c>
      <c r="I572" s="576" t="s">
        <v>62</v>
      </c>
      <c r="J572" s="576" t="s">
        <v>63</v>
      </c>
      <c r="K572" s="593">
        <v>45877</v>
      </c>
      <c r="L572" s="594" t="s">
        <v>3672</v>
      </c>
      <c r="M572" s="594" t="s">
        <v>3673</v>
      </c>
      <c r="N572" s="575">
        <v>984940306</v>
      </c>
      <c r="O572" s="596">
        <v>20</v>
      </c>
      <c r="P572" s="576" t="s">
        <v>442</v>
      </c>
      <c r="Q572" s="576" t="s">
        <v>62</v>
      </c>
      <c r="R572" s="597"/>
      <c r="S572" s="575" t="str">
        <f t="shared" si="18"/>
        <v>001-500-000074541</v>
      </c>
      <c r="T572" s="598">
        <v>1033358016</v>
      </c>
      <c r="U572" s="621" t="s">
        <v>3674</v>
      </c>
    </row>
    <row r="573" spans="1:21" ht="24" customHeight="1" x14ac:dyDescent="0.2">
      <c r="A573" s="624">
        <v>568</v>
      </c>
      <c r="B573" s="574">
        <v>45773</v>
      </c>
      <c r="C573" s="575" t="s">
        <v>100</v>
      </c>
      <c r="D573" s="575" t="s">
        <v>3676</v>
      </c>
      <c r="E573" s="576">
        <v>111000051</v>
      </c>
      <c r="F573" s="623" t="str">
        <f t="shared" si="17"/>
        <v>HLB 8416 "AIR FRY" - HORNO ELEC</v>
      </c>
      <c r="G573" s="575" t="s">
        <v>3677</v>
      </c>
      <c r="H573" s="576" t="s">
        <v>41</v>
      </c>
      <c r="I573" s="576" t="s">
        <v>62</v>
      </c>
      <c r="J573" s="576" t="s">
        <v>63</v>
      </c>
      <c r="K573" s="593">
        <v>45881</v>
      </c>
      <c r="L573" s="594" t="s">
        <v>3678</v>
      </c>
      <c r="M573" s="594" t="s">
        <v>3679</v>
      </c>
      <c r="N573" s="575">
        <v>983563405</v>
      </c>
      <c r="O573" s="596">
        <v>20</v>
      </c>
      <c r="P573" s="576" t="s">
        <v>442</v>
      </c>
      <c r="Q573" s="576" t="s">
        <v>62</v>
      </c>
      <c r="R573" s="597"/>
      <c r="S573" s="575" t="str">
        <f t="shared" si="18"/>
        <v>001-500-000072805</v>
      </c>
      <c r="T573" s="598">
        <v>105784219</v>
      </c>
      <c r="U573" s="621" t="s">
        <v>3680</v>
      </c>
    </row>
    <row r="574" spans="1:21" ht="24" customHeight="1" x14ac:dyDescent="0.2">
      <c r="A574" s="624">
        <v>569</v>
      </c>
      <c r="B574" s="574">
        <v>45773</v>
      </c>
      <c r="C574" s="575" t="s">
        <v>100</v>
      </c>
      <c r="D574" s="575" t="s">
        <v>3676</v>
      </c>
      <c r="E574" s="576">
        <v>112580027</v>
      </c>
      <c r="F574" s="623" t="str">
        <f t="shared" si="17"/>
        <v>GBC 75030 KBB CRISTAL COCINA GAS</v>
      </c>
      <c r="G574" s="575" t="s">
        <v>3681</v>
      </c>
      <c r="H574" s="576" t="s">
        <v>41</v>
      </c>
      <c r="I574" s="576" t="s">
        <v>62</v>
      </c>
      <c r="J574" s="576" t="s">
        <v>63</v>
      </c>
      <c r="K574" s="593">
        <v>45881</v>
      </c>
      <c r="L574" s="594" t="s">
        <v>3678</v>
      </c>
      <c r="M574" s="594" t="s">
        <v>3679</v>
      </c>
      <c r="N574" s="575">
        <v>983563405</v>
      </c>
      <c r="O574" s="596">
        <v>20</v>
      </c>
      <c r="P574" s="576" t="s">
        <v>442</v>
      </c>
      <c r="Q574" s="576" t="s">
        <v>62</v>
      </c>
      <c r="R574" s="597"/>
      <c r="S574" s="575" t="str">
        <f t="shared" si="18"/>
        <v>001-500-000072805</v>
      </c>
      <c r="T574" s="598">
        <v>105784219</v>
      </c>
      <c r="U574" s="621" t="s">
        <v>3680</v>
      </c>
    </row>
    <row r="575" spans="1:21" ht="24" customHeight="1" x14ac:dyDescent="0.2">
      <c r="A575" s="624">
        <v>570</v>
      </c>
      <c r="B575" s="574">
        <v>45682</v>
      </c>
      <c r="C575" s="575" t="s">
        <v>125</v>
      </c>
      <c r="D575" s="575" t="s">
        <v>3682</v>
      </c>
      <c r="E575" s="576">
        <v>40782128</v>
      </c>
      <c r="F575" s="623" t="str">
        <f t="shared" ref="F575:F598" si="19">VLOOKUP(E575,PROD,2,FALSE)</f>
        <v>DW8 57 FIM-D LAVAVAJILLAS</v>
      </c>
      <c r="G575" s="575" t="s">
        <v>3683</v>
      </c>
      <c r="H575" s="576" t="s">
        <v>41</v>
      </c>
      <c r="I575" s="576" t="s">
        <v>62</v>
      </c>
      <c r="J575" s="576" t="s">
        <v>63</v>
      </c>
      <c r="K575" s="593">
        <v>45882</v>
      </c>
      <c r="L575" s="594" t="s">
        <v>3684</v>
      </c>
      <c r="M575" s="594" t="s">
        <v>3685</v>
      </c>
      <c r="N575" s="575">
        <v>974708255</v>
      </c>
      <c r="O575" s="596">
        <v>15</v>
      </c>
      <c r="P575" s="576" t="s">
        <v>442</v>
      </c>
      <c r="Q575" s="576" t="s">
        <v>62</v>
      </c>
      <c r="R575" s="597"/>
      <c r="S575" s="575" t="str">
        <f t="shared" si="18"/>
        <v>043-905-000034640</v>
      </c>
      <c r="T575" s="598">
        <v>104483367</v>
      </c>
      <c r="U575" s="621" t="s">
        <v>3686</v>
      </c>
    </row>
    <row r="576" spans="1:21" ht="24" customHeight="1" x14ac:dyDescent="0.2">
      <c r="A576" s="624">
        <v>571</v>
      </c>
      <c r="B576" s="574">
        <v>45382</v>
      </c>
      <c r="C576" s="575" t="s">
        <v>187</v>
      </c>
      <c r="D576" s="575" t="s">
        <v>3687</v>
      </c>
      <c r="E576" s="576">
        <v>112610071</v>
      </c>
      <c r="F576" s="623" t="str">
        <f t="shared" si="19"/>
        <v>GSC 64320 XBA IX (LAT) COCINA INOX</v>
      </c>
      <c r="G576" s="575" t="s">
        <v>3688</v>
      </c>
      <c r="H576" s="576" t="s">
        <v>41</v>
      </c>
      <c r="I576" s="576" t="s">
        <v>62</v>
      </c>
      <c r="J576" s="576" t="s">
        <v>63</v>
      </c>
      <c r="K576" s="593">
        <v>45882</v>
      </c>
      <c r="L576" s="594" t="s">
        <v>3684</v>
      </c>
      <c r="M576" s="594" t="s">
        <v>3685</v>
      </c>
      <c r="N576" s="575">
        <v>974708255</v>
      </c>
      <c r="O576" s="596">
        <v>15</v>
      </c>
      <c r="P576" s="576" t="s">
        <v>442</v>
      </c>
      <c r="Q576" s="576" t="s">
        <v>62</v>
      </c>
      <c r="R576" s="597"/>
      <c r="S576" s="575" t="str">
        <f t="shared" si="18"/>
        <v>040-103-000004141</v>
      </c>
      <c r="T576" s="598">
        <v>104483367</v>
      </c>
      <c r="U576" s="621" t="s">
        <v>3686</v>
      </c>
    </row>
    <row r="577" spans="1:21" ht="24" customHeight="1" x14ac:dyDescent="0.2">
      <c r="A577" s="624">
        <v>572</v>
      </c>
      <c r="B577" s="574">
        <v>45682</v>
      </c>
      <c r="C577" s="575" t="s">
        <v>125</v>
      </c>
      <c r="D577" s="575" t="s">
        <v>3682</v>
      </c>
      <c r="E577" s="576">
        <v>40584401</v>
      </c>
      <c r="F577" s="623" t="str">
        <f t="shared" si="19"/>
        <v>MLC 844 - MICROONDAS</v>
      </c>
      <c r="G577" s="575" t="s">
        <v>3689</v>
      </c>
      <c r="H577" s="576" t="s">
        <v>41</v>
      </c>
      <c r="I577" s="576" t="s">
        <v>62</v>
      </c>
      <c r="J577" s="576" t="s">
        <v>63</v>
      </c>
      <c r="K577" s="593">
        <v>45882</v>
      </c>
      <c r="L577" s="594" t="s">
        <v>3684</v>
      </c>
      <c r="M577" s="594" t="s">
        <v>3685</v>
      </c>
      <c r="N577" s="575">
        <v>974708255</v>
      </c>
      <c r="O577" s="596">
        <v>15</v>
      </c>
      <c r="P577" s="576" t="s">
        <v>442</v>
      </c>
      <c r="Q577" s="576" t="s">
        <v>62</v>
      </c>
      <c r="R577" s="597"/>
      <c r="S577" s="575" t="str">
        <f t="shared" si="18"/>
        <v>043-905-000034640</v>
      </c>
      <c r="T577" s="598">
        <v>104483367</v>
      </c>
      <c r="U577" s="621" t="s">
        <v>3686</v>
      </c>
    </row>
    <row r="578" spans="1:21" ht="24" customHeight="1" x14ac:dyDescent="0.2">
      <c r="A578" s="624">
        <v>573</v>
      </c>
      <c r="B578" s="574">
        <v>45780</v>
      </c>
      <c r="C578" s="575" t="s">
        <v>100</v>
      </c>
      <c r="D578" s="575" t="s">
        <v>3690</v>
      </c>
      <c r="E578" s="576">
        <v>112580058</v>
      </c>
      <c r="F578" s="623" t="str">
        <f t="shared" si="19"/>
        <v>GBC 95030 KBB BK COCINA GAS</v>
      </c>
      <c r="G578" s="575" t="s">
        <v>3691</v>
      </c>
      <c r="H578" s="576" t="s">
        <v>41</v>
      </c>
      <c r="I578" s="576" t="s">
        <v>62</v>
      </c>
      <c r="J578" s="576" t="s">
        <v>63</v>
      </c>
      <c r="K578" s="593">
        <v>45882</v>
      </c>
      <c r="L578" s="594" t="s">
        <v>3692</v>
      </c>
      <c r="M578" s="594" t="s">
        <v>1110</v>
      </c>
      <c r="N578" s="575">
        <v>987519109</v>
      </c>
      <c r="O578" s="596">
        <v>20</v>
      </c>
      <c r="P578" s="576" t="s">
        <v>442</v>
      </c>
      <c r="Q578" s="576" t="s">
        <v>62</v>
      </c>
      <c r="R578" s="597"/>
      <c r="S578" s="575" t="str">
        <f t="shared" si="18"/>
        <v>001-500-000073019</v>
      </c>
      <c r="T578" s="598">
        <v>104671938</v>
      </c>
      <c r="U578" s="621" t="s">
        <v>3693</v>
      </c>
    </row>
    <row r="579" spans="1:21" ht="24" customHeight="1" x14ac:dyDescent="0.2">
      <c r="A579" s="624">
        <v>574</v>
      </c>
      <c r="B579" s="574">
        <v>45878</v>
      </c>
      <c r="C579" s="575" t="s">
        <v>100</v>
      </c>
      <c r="D579" s="575" t="s">
        <v>3694</v>
      </c>
      <c r="E579" s="576">
        <v>111010040</v>
      </c>
      <c r="F579" s="623" t="str">
        <f t="shared" si="19"/>
        <v>HSB 610 NEGRO HORNO ELEC</v>
      </c>
      <c r="G579" s="575" t="s">
        <v>3695</v>
      </c>
      <c r="H579" s="576" t="s">
        <v>41</v>
      </c>
      <c r="I579" s="576" t="s">
        <v>62</v>
      </c>
      <c r="J579" s="576" t="s">
        <v>63</v>
      </c>
      <c r="K579" s="593">
        <v>45882</v>
      </c>
      <c r="L579" s="594" t="s">
        <v>3692</v>
      </c>
      <c r="M579" s="594" t="s">
        <v>1110</v>
      </c>
      <c r="N579" s="575">
        <v>987519109</v>
      </c>
      <c r="O579" s="596">
        <v>20</v>
      </c>
      <c r="P579" s="576" t="s">
        <v>442</v>
      </c>
      <c r="Q579" s="576" t="s">
        <v>62</v>
      </c>
      <c r="R579" s="597"/>
      <c r="S579" s="575" t="str">
        <f t="shared" si="18"/>
        <v>001-500-000075842</v>
      </c>
      <c r="T579" s="598">
        <v>104671938</v>
      </c>
      <c r="U579" s="621" t="s">
        <v>3693</v>
      </c>
    </row>
    <row r="580" spans="1:21" ht="24" customHeight="1" x14ac:dyDescent="0.2">
      <c r="A580" s="624">
        <v>575</v>
      </c>
      <c r="B580" s="574">
        <v>45632</v>
      </c>
      <c r="C580" s="575" t="s">
        <v>100</v>
      </c>
      <c r="D580" s="575" t="s">
        <v>3696</v>
      </c>
      <c r="E580" s="576">
        <v>112960004</v>
      </c>
      <c r="F580" s="623" t="str">
        <f t="shared" si="19"/>
        <v>DPL 980 CAMPANA (110V-60HZ) C/KIT</v>
      </c>
      <c r="G580" s="575" t="s">
        <v>3697</v>
      </c>
      <c r="H580" s="576" t="s">
        <v>41</v>
      </c>
      <c r="I580" s="576" t="s">
        <v>62</v>
      </c>
      <c r="J580" s="576" t="s">
        <v>63</v>
      </c>
      <c r="K580" s="593">
        <v>45883</v>
      </c>
      <c r="L580" s="594" t="s">
        <v>3698</v>
      </c>
      <c r="M580" s="594" t="s">
        <v>3653</v>
      </c>
      <c r="N580" s="575">
        <v>998470332</v>
      </c>
      <c r="O580" s="596">
        <v>30</v>
      </c>
      <c r="P580" s="576" t="s">
        <v>442</v>
      </c>
      <c r="Q580" s="576" t="s">
        <v>62</v>
      </c>
      <c r="R580" s="597"/>
      <c r="S580" s="575" t="str">
        <f t="shared" si="18"/>
        <v>001-500-000068848</v>
      </c>
      <c r="T580" s="598">
        <v>152551396</v>
      </c>
      <c r="U580" s="621" t="s">
        <v>3699</v>
      </c>
    </row>
    <row r="581" spans="1:21" ht="24" customHeight="1" x14ac:dyDescent="0.2">
      <c r="A581" s="624">
        <v>576</v>
      </c>
      <c r="B581" s="574">
        <v>45632</v>
      </c>
      <c r="C581" s="575" t="s">
        <v>100</v>
      </c>
      <c r="D581" s="575" t="s">
        <v>3696</v>
      </c>
      <c r="E581" s="576">
        <v>112500048</v>
      </c>
      <c r="F581" s="623" t="str">
        <f t="shared" si="19"/>
        <v>IZS 97630 MST COCINA INDUCCION</v>
      </c>
      <c r="G581" s="575" t="s">
        <v>3700</v>
      </c>
      <c r="H581" s="576" t="s">
        <v>41</v>
      </c>
      <c r="I581" s="576" t="s">
        <v>62</v>
      </c>
      <c r="J581" s="576" t="s">
        <v>63</v>
      </c>
      <c r="K581" s="593">
        <v>45883</v>
      </c>
      <c r="L581" s="594" t="s">
        <v>3698</v>
      </c>
      <c r="M581" s="594" t="s">
        <v>3653</v>
      </c>
      <c r="N581" s="575">
        <v>998470332</v>
      </c>
      <c r="O581" s="596">
        <v>20</v>
      </c>
      <c r="P581" s="576" t="s">
        <v>442</v>
      </c>
      <c r="Q581" s="576" t="s">
        <v>62</v>
      </c>
      <c r="R581" s="597"/>
      <c r="S581" s="575" t="str">
        <f t="shared" si="18"/>
        <v>001-500-000068848</v>
      </c>
      <c r="T581" s="598">
        <v>152551396</v>
      </c>
      <c r="U581" s="621" t="s">
        <v>3699</v>
      </c>
    </row>
    <row r="582" spans="1:21" ht="24" customHeight="1" x14ac:dyDescent="0.2">
      <c r="A582" s="624">
        <v>577</v>
      </c>
      <c r="B582" s="574">
        <v>45687</v>
      </c>
      <c r="C582" s="575" t="s">
        <v>190</v>
      </c>
      <c r="D582" s="575" t="s">
        <v>3701</v>
      </c>
      <c r="E582" s="576">
        <v>112570068</v>
      </c>
      <c r="F582" s="623" t="str">
        <f t="shared" si="19"/>
        <v>GZC 95320 XBB CRISTAL COCINA GAS</v>
      </c>
      <c r="G582" s="575" t="s">
        <v>3702</v>
      </c>
      <c r="H582" s="576" t="s">
        <v>41</v>
      </c>
      <c r="I582" s="576" t="s">
        <v>62</v>
      </c>
      <c r="J582" s="576" t="s">
        <v>63</v>
      </c>
      <c r="K582" s="593">
        <v>45883</v>
      </c>
      <c r="L582" s="594" t="s">
        <v>3123</v>
      </c>
      <c r="M582" s="594" t="s">
        <v>1110</v>
      </c>
      <c r="N582" s="575">
        <v>989546457</v>
      </c>
      <c r="O582" s="596">
        <v>15</v>
      </c>
      <c r="P582" s="576" t="s">
        <v>442</v>
      </c>
      <c r="Q582" s="576" t="s">
        <v>62</v>
      </c>
      <c r="R582" s="597"/>
      <c r="S582" s="575" t="str">
        <f t="shared" si="18"/>
        <v>006-002-000157433</v>
      </c>
      <c r="T582" s="598" t="s">
        <v>3703</v>
      </c>
      <c r="U582" s="621" t="s">
        <v>3704</v>
      </c>
    </row>
    <row r="583" spans="1:21" ht="24" customHeight="1" x14ac:dyDescent="0.2">
      <c r="A583" s="624">
        <v>578</v>
      </c>
      <c r="B583" s="574">
        <v>45687</v>
      </c>
      <c r="C583" s="575" t="s">
        <v>190</v>
      </c>
      <c r="D583" s="575" t="s">
        <v>3701</v>
      </c>
      <c r="E583" s="576">
        <v>112030019</v>
      </c>
      <c r="F583" s="623" t="str">
        <f t="shared" si="19"/>
        <v>ML 8220 BIS FBK- MICROONDAS</v>
      </c>
      <c r="G583" s="575" t="s">
        <v>3705</v>
      </c>
      <c r="H583" s="576" t="s">
        <v>41</v>
      </c>
      <c r="I583" s="576" t="s">
        <v>62</v>
      </c>
      <c r="J583" s="576" t="s">
        <v>63</v>
      </c>
      <c r="K583" s="593">
        <v>45883</v>
      </c>
      <c r="L583" s="594" t="s">
        <v>3123</v>
      </c>
      <c r="M583" s="594" t="s">
        <v>1110</v>
      </c>
      <c r="N583" s="575">
        <v>989546457</v>
      </c>
      <c r="O583" s="596">
        <v>15</v>
      </c>
      <c r="P583" s="576" t="s">
        <v>442</v>
      </c>
      <c r="Q583" s="576" t="s">
        <v>62</v>
      </c>
      <c r="R583" s="597"/>
      <c r="S583" s="575" t="str">
        <f t="shared" si="18"/>
        <v>006-002-000157433</v>
      </c>
      <c r="T583" s="598" t="s">
        <v>3703</v>
      </c>
      <c r="U583" s="621" t="s">
        <v>3704</v>
      </c>
    </row>
    <row r="584" spans="1:21" ht="24" customHeight="1" x14ac:dyDescent="0.2">
      <c r="A584" s="624">
        <v>579</v>
      </c>
      <c r="B584" s="574">
        <v>45687</v>
      </c>
      <c r="C584" s="575" t="s">
        <v>190</v>
      </c>
      <c r="D584" s="575" t="s">
        <v>3701</v>
      </c>
      <c r="E584" s="576">
        <v>111000078</v>
      </c>
      <c r="F584" s="623" t="str">
        <f t="shared" si="19"/>
        <v>HLB 8400 FBK HORNO ELEC</v>
      </c>
      <c r="G584" s="575" t="s">
        <v>3706</v>
      </c>
      <c r="H584" s="576" t="s">
        <v>41</v>
      </c>
      <c r="I584" s="576" t="s">
        <v>62</v>
      </c>
      <c r="J584" s="576" t="s">
        <v>63</v>
      </c>
      <c r="K584" s="593">
        <v>45883</v>
      </c>
      <c r="L584" s="594" t="s">
        <v>3123</v>
      </c>
      <c r="M584" s="594" t="s">
        <v>1110</v>
      </c>
      <c r="N584" s="575">
        <v>989546457</v>
      </c>
      <c r="O584" s="596">
        <v>15</v>
      </c>
      <c r="P584" s="576" t="s">
        <v>442</v>
      </c>
      <c r="Q584" s="576" t="s">
        <v>62</v>
      </c>
      <c r="R584" s="597"/>
      <c r="S584" s="575" t="str">
        <f t="shared" si="18"/>
        <v>006-002-000157433</v>
      </c>
      <c r="T584" s="598" t="s">
        <v>3703</v>
      </c>
      <c r="U584" s="621" t="s">
        <v>3704</v>
      </c>
    </row>
    <row r="585" spans="1:21" ht="24" customHeight="1" x14ac:dyDescent="0.2">
      <c r="A585" s="624">
        <v>580</v>
      </c>
      <c r="B585" s="574">
        <v>45375</v>
      </c>
      <c r="C585" s="575" t="s">
        <v>125</v>
      </c>
      <c r="D585" s="575" t="s">
        <v>3707</v>
      </c>
      <c r="E585" s="576">
        <v>111030002</v>
      </c>
      <c r="F585" s="623" t="str">
        <f t="shared" si="19"/>
        <v>HLB 760 G SS HORNO A GAS</v>
      </c>
      <c r="G585" s="575" t="s">
        <v>3708</v>
      </c>
      <c r="H585" s="576" t="s">
        <v>41</v>
      </c>
      <c r="I585" s="576" t="s">
        <v>62</v>
      </c>
      <c r="J585" s="576" t="s">
        <v>63</v>
      </c>
      <c r="K585" s="593">
        <v>45884</v>
      </c>
      <c r="L585" s="594" t="s">
        <v>3709</v>
      </c>
      <c r="M585" s="594" t="s">
        <v>3710</v>
      </c>
      <c r="N585" s="575">
        <v>998445658</v>
      </c>
      <c r="O585" s="596">
        <v>15</v>
      </c>
      <c r="P585" s="576" t="s">
        <v>442</v>
      </c>
      <c r="Q585" s="576" t="s">
        <v>62</v>
      </c>
      <c r="R585" s="597"/>
      <c r="S585" s="575" t="str">
        <f t="shared" si="18"/>
        <v>016-902-000502715</v>
      </c>
      <c r="T585" s="598">
        <v>105351738</v>
      </c>
      <c r="U585" s="621" t="s">
        <v>3711</v>
      </c>
    </row>
    <row r="586" spans="1:21" ht="24" customHeight="1" x14ac:dyDescent="0.2">
      <c r="A586" s="624">
        <v>581</v>
      </c>
      <c r="B586" s="574">
        <v>45375</v>
      </c>
      <c r="C586" s="575" t="s">
        <v>125</v>
      </c>
      <c r="D586" s="575" t="s">
        <v>3707</v>
      </c>
      <c r="E586" s="576">
        <v>112580058</v>
      </c>
      <c r="F586" s="623" t="str">
        <f t="shared" si="19"/>
        <v>GBC 95030 KBB BK COCINA GAS</v>
      </c>
      <c r="G586" s="575" t="s">
        <v>3712</v>
      </c>
      <c r="H586" s="576" t="s">
        <v>41</v>
      </c>
      <c r="I586" s="576" t="s">
        <v>62</v>
      </c>
      <c r="J586" s="576" t="s">
        <v>63</v>
      </c>
      <c r="K586" s="593">
        <v>45884</v>
      </c>
      <c r="L586" s="594" t="s">
        <v>3709</v>
      </c>
      <c r="M586" s="594" t="s">
        <v>3710</v>
      </c>
      <c r="N586" s="575">
        <v>998445658</v>
      </c>
      <c r="O586" s="596">
        <v>15</v>
      </c>
      <c r="P586" s="576" t="s">
        <v>442</v>
      </c>
      <c r="Q586" s="576" t="s">
        <v>62</v>
      </c>
      <c r="R586" s="597"/>
      <c r="S586" s="575" t="str">
        <f t="shared" si="18"/>
        <v>016-902-000502715</v>
      </c>
      <c r="T586" s="598">
        <v>105351738</v>
      </c>
      <c r="U586" s="621" t="s">
        <v>3711</v>
      </c>
    </row>
    <row r="587" spans="1:21" ht="24" customHeight="1" x14ac:dyDescent="0.2">
      <c r="A587" s="624">
        <v>582</v>
      </c>
      <c r="B587" s="574">
        <v>45375</v>
      </c>
      <c r="C587" s="575" t="s">
        <v>125</v>
      </c>
      <c r="D587" s="575" t="s">
        <v>3707</v>
      </c>
      <c r="E587" s="576">
        <v>40455334</v>
      </c>
      <c r="F587" s="623" t="str">
        <f t="shared" si="19"/>
        <v>NC 980 CRISTAL CAMPANA (110V-60HZ) C/KIT</v>
      </c>
      <c r="G587" s="575" t="s">
        <v>3713</v>
      </c>
      <c r="H587" s="576" t="s">
        <v>41</v>
      </c>
      <c r="I587" s="576" t="s">
        <v>62</v>
      </c>
      <c r="J587" s="576" t="s">
        <v>63</v>
      </c>
      <c r="K587" s="593">
        <v>45884</v>
      </c>
      <c r="L587" s="594" t="s">
        <v>3709</v>
      </c>
      <c r="M587" s="594" t="s">
        <v>3710</v>
      </c>
      <c r="N587" s="575">
        <v>998445658</v>
      </c>
      <c r="O587" s="596">
        <v>15</v>
      </c>
      <c r="P587" s="576" t="s">
        <v>442</v>
      </c>
      <c r="Q587" s="576" t="s">
        <v>62</v>
      </c>
      <c r="R587" s="597"/>
      <c r="S587" s="575" t="str">
        <f t="shared" si="18"/>
        <v>016-902-000502715</v>
      </c>
      <c r="T587" s="598">
        <v>105351738</v>
      </c>
      <c r="U587" s="621" t="s">
        <v>3711</v>
      </c>
    </row>
    <row r="588" spans="1:21" ht="24" customHeight="1" x14ac:dyDescent="0.2">
      <c r="A588" s="624">
        <v>583</v>
      </c>
      <c r="B588" s="574">
        <v>45375</v>
      </c>
      <c r="C588" s="575" t="s">
        <v>125</v>
      </c>
      <c r="D588" s="575" t="s">
        <v>3707</v>
      </c>
      <c r="E588" s="576">
        <v>113430051</v>
      </c>
      <c r="F588" s="623" t="str">
        <f t="shared" si="19"/>
        <v>RMF 77960 GBK MX REFRIGERADORA</v>
      </c>
      <c r="G588" s="575" t="s">
        <v>3714</v>
      </c>
      <c r="H588" s="576" t="s">
        <v>41</v>
      </c>
      <c r="I588" s="576" t="s">
        <v>62</v>
      </c>
      <c r="J588" s="576" t="s">
        <v>63</v>
      </c>
      <c r="K588" s="593">
        <v>45884</v>
      </c>
      <c r="L588" s="594" t="s">
        <v>3709</v>
      </c>
      <c r="M588" s="594" t="s">
        <v>3710</v>
      </c>
      <c r="N588" s="575">
        <v>998445658</v>
      </c>
      <c r="O588" s="596">
        <v>15</v>
      </c>
      <c r="P588" s="576" t="s">
        <v>442</v>
      </c>
      <c r="Q588" s="576" t="s">
        <v>62</v>
      </c>
      <c r="R588" s="597"/>
      <c r="S588" s="575" t="str">
        <f t="shared" si="18"/>
        <v>016-902-000502715</v>
      </c>
      <c r="T588" s="598">
        <v>105351738</v>
      </c>
      <c r="U588" s="621" t="s">
        <v>3711</v>
      </c>
    </row>
    <row r="589" spans="1:21" ht="24" customHeight="1" x14ac:dyDescent="0.2">
      <c r="A589" s="624">
        <v>584</v>
      </c>
      <c r="B589" s="574">
        <v>45772</v>
      </c>
      <c r="C589" s="575" t="s">
        <v>125</v>
      </c>
      <c r="D589" s="575" t="s">
        <v>3715</v>
      </c>
      <c r="E589" s="576">
        <v>113430051</v>
      </c>
      <c r="F589" s="623" t="str">
        <f t="shared" si="19"/>
        <v>RMF 77960 GBK MX REFRIGERADORA</v>
      </c>
      <c r="G589" s="575" t="s">
        <v>3716</v>
      </c>
      <c r="H589" s="576" t="s">
        <v>41</v>
      </c>
      <c r="I589" s="576" t="s">
        <v>62</v>
      </c>
      <c r="J589" s="576" t="s">
        <v>63</v>
      </c>
      <c r="K589" s="593">
        <v>45884</v>
      </c>
      <c r="L589" s="594" t="s">
        <v>3717</v>
      </c>
      <c r="M589" s="594" t="s">
        <v>525</v>
      </c>
      <c r="N589" s="575">
        <v>984243154</v>
      </c>
      <c r="O589" s="596">
        <v>15</v>
      </c>
      <c r="P589" s="576" t="s">
        <v>442</v>
      </c>
      <c r="Q589" s="576" t="s">
        <v>62</v>
      </c>
      <c r="R589" s="597"/>
      <c r="S589" s="575" t="str">
        <f t="shared" si="18"/>
        <v>043-905-000070432</v>
      </c>
      <c r="T589" s="598">
        <v>302111521</v>
      </c>
      <c r="U589" s="621" t="s">
        <v>3718</v>
      </c>
    </row>
    <row r="590" spans="1:21" ht="24" customHeight="1" x14ac:dyDescent="0.2">
      <c r="A590" s="624">
        <v>585</v>
      </c>
      <c r="B590" s="574">
        <v>45956</v>
      </c>
      <c r="C590" s="575" t="s">
        <v>100</v>
      </c>
      <c r="D590" s="575" t="s">
        <v>3719</v>
      </c>
      <c r="E590" s="576">
        <v>112580027</v>
      </c>
      <c r="F590" s="623" t="str">
        <f t="shared" si="19"/>
        <v>GBC 75030 KBB CRISTAL COCINA GAS</v>
      </c>
      <c r="G590" s="575" t="s">
        <v>3720</v>
      </c>
      <c r="H590" s="576" t="s">
        <v>41</v>
      </c>
      <c r="I590" s="576" t="s">
        <v>62</v>
      </c>
      <c r="J590" s="576" t="s">
        <v>63</v>
      </c>
      <c r="K590" s="593">
        <v>45884</v>
      </c>
      <c r="L590" s="594" t="s">
        <v>3717</v>
      </c>
      <c r="M590" s="594" t="s">
        <v>525</v>
      </c>
      <c r="N590" s="575">
        <v>984243154</v>
      </c>
      <c r="O590" s="596">
        <v>15</v>
      </c>
      <c r="P590" s="576" t="s">
        <v>442</v>
      </c>
      <c r="Q590" s="576" t="s">
        <v>62</v>
      </c>
      <c r="R590" s="597"/>
      <c r="S590" s="575" t="str">
        <f t="shared" si="18"/>
        <v>001-500-000067476</v>
      </c>
      <c r="T590" s="598">
        <v>302111521</v>
      </c>
      <c r="U590" s="621" t="s">
        <v>3718</v>
      </c>
    </row>
    <row r="591" spans="1:21" ht="24" customHeight="1" x14ac:dyDescent="0.2">
      <c r="A591" s="624">
        <v>586</v>
      </c>
      <c r="B591" s="574">
        <v>45772</v>
      </c>
      <c r="C591" s="575" t="s">
        <v>125</v>
      </c>
      <c r="D591" s="575" t="s">
        <v>3715</v>
      </c>
      <c r="E591" s="576">
        <v>40590830</v>
      </c>
      <c r="F591" s="623" t="str">
        <f t="shared" si="19"/>
        <v>MWG 11X - MICROONDAS</v>
      </c>
      <c r="G591" s="575" t="s">
        <v>3721</v>
      </c>
      <c r="H591" s="576" t="s">
        <v>41</v>
      </c>
      <c r="I591" s="576" t="s">
        <v>62</v>
      </c>
      <c r="J591" s="576" t="s">
        <v>63</v>
      </c>
      <c r="K591" s="593">
        <v>45884</v>
      </c>
      <c r="L591" s="594" t="s">
        <v>3717</v>
      </c>
      <c r="M591" s="594" t="s">
        <v>525</v>
      </c>
      <c r="N591" s="575">
        <v>984243154</v>
      </c>
      <c r="O591" s="596">
        <v>15</v>
      </c>
      <c r="P591" s="576" t="s">
        <v>442</v>
      </c>
      <c r="Q591" s="576" t="s">
        <v>62</v>
      </c>
      <c r="R591" s="597"/>
      <c r="S591" s="575" t="str">
        <f t="shared" si="18"/>
        <v>043-905-000070432</v>
      </c>
      <c r="T591" s="598">
        <v>302111521</v>
      </c>
      <c r="U591" s="621" t="s">
        <v>3718</v>
      </c>
    </row>
    <row r="592" spans="1:21" ht="24" customHeight="1" x14ac:dyDescent="0.2">
      <c r="A592" s="624">
        <v>587</v>
      </c>
      <c r="B592" s="574">
        <v>45772</v>
      </c>
      <c r="C592" s="575" t="s">
        <v>125</v>
      </c>
      <c r="D592" s="575" t="s">
        <v>3715</v>
      </c>
      <c r="E592" s="576">
        <v>111000051</v>
      </c>
      <c r="F592" s="623" t="str">
        <f t="shared" si="19"/>
        <v>HLB 8416 "AIR FRY" - HORNO ELEC</v>
      </c>
      <c r="G592" s="575" t="s">
        <v>3722</v>
      </c>
      <c r="H592" s="576" t="s">
        <v>41</v>
      </c>
      <c r="I592" s="576" t="s">
        <v>62</v>
      </c>
      <c r="J592" s="576" t="s">
        <v>63</v>
      </c>
      <c r="K592" s="593">
        <v>45884</v>
      </c>
      <c r="L592" s="594" t="s">
        <v>3717</v>
      </c>
      <c r="M592" s="594" t="s">
        <v>525</v>
      </c>
      <c r="N592" s="575">
        <v>984243154</v>
      </c>
      <c r="O592" s="596">
        <v>15</v>
      </c>
      <c r="P592" s="576" t="s">
        <v>442</v>
      </c>
      <c r="Q592" s="576" t="s">
        <v>62</v>
      </c>
      <c r="R592" s="597"/>
      <c r="S592" s="575" t="str">
        <f t="shared" si="18"/>
        <v>043-905-000070432</v>
      </c>
      <c r="T592" s="598">
        <v>302111521</v>
      </c>
      <c r="U592" s="621" t="s">
        <v>3718</v>
      </c>
    </row>
    <row r="593" spans="1:21" ht="24" customHeight="1" x14ac:dyDescent="0.2">
      <c r="A593" s="624">
        <v>588</v>
      </c>
      <c r="B593" s="574">
        <v>45775</v>
      </c>
      <c r="C593" s="575" t="s">
        <v>190</v>
      </c>
      <c r="D593" s="575" t="s">
        <v>3723</v>
      </c>
      <c r="E593" s="576">
        <v>112030019</v>
      </c>
      <c r="F593" s="623" t="str">
        <f t="shared" si="19"/>
        <v>ML 8220 BIS FBK- MICROONDAS</v>
      </c>
      <c r="G593" s="575" t="s">
        <v>3724</v>
      </c>
      <c r="H593" s="576" t="s">
        <v>41</v>
      </c>
      <c r="I593" s="576" t="s">
        <v>62</v>
      </c>
      <c r="J593" s="576" t="s">
        <v>63</v>
      </c>
      <c r="K593" s="593">
        <v>45884</v>
      </c>
      <c r="L593" s="594" t="s">
        <v>3725</v>
      </c>
      <c r="M593" s="594" t="s">
        <v>3653</v>
      </c>
      <c r="N593" s="575">
        <v>2989591</v>
      </c>
      <c r="O593" s="596">
        <v>15</v>
      </c>
      <c r="P593" s="576" t="s">
        <v>442</v>
      </c>
      <c r="Q593" s="576" t="s">
        <v>62</v>
      </c>
      <c r="R593" s="597"/>
      <c r="S593" s="575" t="str">
        <f t="shared" si="18"/>
        <v>006-000157912</v>
      </c>
      <c r="T593" s="598">
        <v>152523197</v>
      </c>
      <c r="U593" s="621" t="s">
        <v>3726</v>
      </c>
    </row>
    <row r="594" spans="1:21" ht="24" customHeight="1" x14ac:dyDescent="0.2">
      <c r="A594" s="624">
        <v>589</v>
      </c>
      <c r="B594" s="574">
        <v>45775</v>
      </c>
      <c r="C594" s="575" t="s">
        <v>190</v>
      </c>
      <c r="D594" s="575" t="s">
        <v>3723</v>
      </c>
      <c r="E594" s="576">
        <v>112500047</v>
      </c>
      <c r="F594" s="623" t="str">
        <f t="shared" si="19"/>
        <v>IZF 99700 MST COCINA INDUCCION</v>
      </c>
      <c r="G594" s="575" t="s">
        <v>3727</v>
      </c>
      <c r="H594" s="576" t="s">
        <v>41</v>
      </c>
      <c r="I594" s="576" t="s">
        <v>62</v>
      </c>
      <c r="J594" s="576" t="s">
        <v>63</v>
      </c>
      <c r="K594" s="593">
        <v>45884</v>
      </c>
      <c r="L594" s="594" t="s">
        <v>3725</v>
      </c>
      <c r="M594" s="594" t="s">
        <v>3653</v>
      </c>
      <c r="N594" s="575">
        <v>2989591</v>
      </c>
      <c r="O594" s="596">
        <v>15</v>
      </c>
      <c r="P594" s="576" t="s">
        <v>442</v>
      </c>
      <c r="Q594" s="576" t="s">
        <v>62</v>
      </c>
      <c r="R594" s="597"/>
      <c r="S594" s="575" t="str">
        <f t="shared" si="18"/>
        <v>006-000157912</v>
      </c>
      <c r="T594" s="598">
        <v>152523197</v>
      </c>
      <c r="U594" s="621" t="s">
        <v>3726</v>
      </c>
    </row>
    <row r="595" spans="1:21" ht="24" customHeight="1" x14ac:dyDescent="0.2">
      <c r="A595" s="624">
        <v>590</v>
      </c>
      <c r="B595" s="574">
        <v>45775</v>
      </c>
      <c r="C595" s="575" t="s">
        <v>190</v>
      </c>
      <c r="D595" s="575" t="s">
        <v>3723</v>
      </c>
      <c r="E595" s="576">
        <v>41592227</v>
      </c>
      <c r="F595" s="623" t="str">
        <f t="shared" si="19"/>
        <v>HLF 940 INOX HORNO ELEC</v>
      </c>
      <c r="G595" s="575" t="s">
        <v>3728</v>
      </c>
      <c r="H595" s="576" t="s">
        <v>41</v>
      </c>
      <c r="I595" s="576" t="s">
        <v>62</v>
      </c>
      <c r="J595" s="576" t="s">
        <v>63</v>
      </c>
      <c r="K595" s="593">
        <v>45884</v>
      </c>
      <c r="L595" s="594" t="s">
        <v>3725</v>
      </c>
      <c r="M595" s="594" t="s">
        <v>3653</v>
      </c>
      <c r="N595" s="575">
        <v>2989591</v>
      </c>
      <c r="O595" s="596">
        <v>15</v>
      </c>
      <c r="P595" s="576" t="s">
        <v>442</v>
      </c>
      <c r="Q595" s="576" t="s">
        <v>62</v>
      </c>
      <c r="R595" s="597"/>
      <c r="S595" s="575" t="str">
        <f t="shared" si="18"/>
        <v>006-000157912</v>
      </c>
      <c r="T595" s="598">
        <v>152523197</v>
      </c>
      <c r="U595" s="621" t="s">
        <v>3726</v>
      </c>
    </row>
    <row r="596" spans="1:21" ht="24" customHeight="1" x14ac:dyDescent="0.2">
      <c r="A596" s="624">
        <v>591</v>
      </c>
      <c r="B596" s="574">
        <v>45775</v>
      </c>
      <c r="C596" s="575" t="s">
        <v>190</v>
      </c>
      <c r="D596" s="575" t="s">
        <v>3723</v>
      </c>
      <c r="E596" s="576">
        <v>40446712</v>
      </c>
      <c r="F596" s="623" t="str">
        <f t="shared" si="19"/>
        <v>GFH 73 INOX CAMPANA (110V-60HZ) C/KIT</v>
      </c>
      <c r="G596" s="575" t="s">
        <v>3729</v>
      </c>
      <c r="H596" s="576" t="s">
        <v>41</v>
      </c>
      <c r="I596" s="576" t="s">
        <v>62</v>
      </c>
      <c r="J596" s="576" t="s">
        <v>63</v>
      </c>
      <c r="K596" s="593">
        <v>45884</v>
      </c>
      <c r="L596" s="594" t="s">
        <v>3725</v>
      </c>
      <c r="M596" s="594" t="s">
        <v>3653</v>
      </c>
      <c r="N596" s="575">
        <v>2989591</v>
      </c>
      <c r="O596" s="596">
        <v>15</v>
      </c>
      <c r="P596" s="576" t="s">
        <v>442</v>
      </c>
      <c r="Q596" s="576" t="s">
        <v>62</v>
      </c>
      <c r="R596" s="597"/>
      <c r="S596" s="575" t="str">
        <f t="shared" si="18"/>
        <v>006-000157912</v>
      </c>
      <c r="T596" s="598">
        <v>152523197</v>
      </c>
      <c r="U596" s="621" t="s">
        <v>3726</v>
      </c>
    </row>
    <row r="597" spans="1:21" ht="24" customHeight="1" x14ac:dyDescent="0.2">
      <c r="A597" s="624">
        <v>592</v>
      </c>
      <c r="B597" s="574">
        <v>45850</v>
      </c>
      <c r="C597" s="575" t="s">
        <v>100</v>
      </c>
      <c r="D597" s="575" t="s">
        <v>3730</v>
      </c>
      <c r="E597" s="576">
        <v>112580027</v>
      </c>
      <c r="F597" s="623" t="str">
        <f t="shared" si="19"/>
        <v>GBC 75030 KBB CRISTAL COCINA GAS</v>
      </c>
      <c r="G597" s="575" t="s">
        <v>3731</v>
      </c>
      <c r="H597" s="576" t="s">
        <v>41</v>
      </c>
      <c r="I597" s="576" t="s">
        <v>62</v>
      </c>
      <c r="J597" s="576" t="s">
        <v>63</v>
      </c>
      <c r="K597" s="593">
        <v>45887</v>
      </c>
      <c r="L597" s="594" t="s">
        <v>3732</v>
      </c>
      <c r="M597" s="594" t="s">
        <v>3733</v>
      </c>
      <c r="N597" s="575">
        <v>991210118</v>
      </c>
      <c r="O597" s="596">
        <v>20</v>
      </c>
      <c r="P597" s="576" t="s">
        <v>442</v>
      </c>
      <c r="Q597" s="576" t="s">
        <v>62</v>
      </c>
      <c r="R597" s="597"/>
      <c r="S597" s="575" t="str">
        <f>D597</f>
        <v>001-500-000074967</v>
      </c>
      <c r="T597" s="598">
        <v>103084547</v>
      </c>
      <c r="U597" s="621" t="s">
        <v>3734</v>
      </c>
    </row>
    <row r="598" spans="1:21" ht="24" customHeight="1" x14ac:dyDescent="0.2">
      <c r="A598" s="624">
        <v>593</v>
      </c>
      <c r="B598" s="574">
        <v>45850</v>
      </c>
      <c r="C598" s="575" t="s">
        <v>100</v>
      </c>
      <c r="D598" s="575" t="s">
        <v>3730</v>
      </c>
      <c r="E598" s="576">
        <v>112950020</v>
      </c>
      <c r="F598" s="623" t="str">
        <f t="shared" si="19"/>
        <v>DVN 74030 TCL BK CAMPANA (110V-60HZ) C/KIT</v>
      </c>
      <c r="G598" s="575" t="s">
        <v>3735</v>
      </c>
      <c r="H598" s="576" t="s">
        <v>41</v>
      </c>
      <c r="I598" s="576" t="s">
        <v>62</v>
      </c>
      <c r="J598" s="576" t="s">
        <v>63</v>
      </c>
      <c r="K598" s="593">
        <v>45887</v>
      </c>
      <c r="L598" s="594" t="s">
        <v>3732</v>
      </c>
      <c r="M598" s="594" t="s">
        <v>3733</v>
      </c>
      <c r="N598" s="575">
        <v>991210118</v>
      </c>
      <c r="O598" s="596">
        <v>20</v>
      </c>
      <c r="P598" s="576" t="s">
        <v>442</v>
      </c>
      <c r="Q598" s="576" t="s">
        <v>62</v>
      </c>
      <c r="R598" s="597"/>
      <c r="S598" s="575" t="str">
        <f>D598</f>
        <v>001-500-000074967</v>
      </c>
      <c r="T598" s="598">
        <v>103084547</v>
      </c>
      <c r="U598" s="621" t="s">
        <v>3734</v>
      </c>
    </row>
    <row r="599" spans="1:21" ht="24" customHeight="1" x14ac:dyDescent="0.2">
      <c r="A599" s="624">
        <v>594</v>
      </c>
      <c r="B599" s="574">
        <v>45884</v>
      </c>
      <c r="C599" s="575" t="s">
        <v>100</v>
      </c>
      <c r="D599" s="575" t="s">
        <v>3736</v>
      </c>
      <c r="E599" s="576">
        <v>111010041</v>
      </c>
      <c r="F599" s="623" t="str">
        <f t="shared" ref="F599:F602" si="20">VLOOKUP(E599,PROD,2,FALSE)</f>
        <v>HSB 630 NEGRO HORNO ELEC</v>
      </c>
      <c r="G599" s="575" t="s">
        <v>3737</v>
      </c>
      <c r="H599" s="576" t="s">
        <v>41</v>
      </c>
      <c r="I599" s="576" t="s">
        <v>62</v>
      </c>
      <c r="J599" s="576" t="s">
        <v>63</v>
      </c>
      <c r="K599" s="593">
        <v>45888</v>
      </c>
      <c r="L599" s="594" t="s">
        <v>3738</v>
      </c>
      <c r="M599" s="594" t="s">
        <v>533</v>
      </c>
      <c r="N599" s="575">
        <v>984394412</v>
      </c>
      <c r="O599" s="596">
        <v>20</v>
      </c>
      <c r="P599" s="576" t="s">
        <v>442</v>
      </c>
      <c r="Q599" s="576" t="s">
        <v>62</v>
      </c>
      <c r="R599" s="597"/>
      <c r="S599" s="575" t="str">
        <f t="shared" ref="S599:S611" si="21">D599</f>
        <v>001-500-000076034</v>
      </c>
      <c r="T599" s="598">
        <v>301990610</v>
      </c>
      <c r="U599" s="621" t="s">
        <v>3739</v>
      </c>
    </row>
    <row r="600" spans="1:21" ht="24" customHeight="1" x14ac:dyDescent="0.2">
      <c r="A600" s="624">
        <v>595</v>
      </c>
      <c r="B600" s="574">
        <v>45884</v>
      </c>
      <c r="C600" s="575" t="s">
        <v>100</v>
      </c>
      <c r="D600" s="575" t="s">
        <v>3736</v>
      </c>
      <c r="E600" s="576">
        <v>40467305</v>
      </c>
      <c r="F600" s="623" t="str">
        <f t="shared" si="20"/>
        <v>C 710 NEGRA CAMPANA (110V-60HZ) C/KIT</v>
      </c>
      <c r="G600" s="575" t="s">
        <v>3740</v>
      </c>
      <c r="H600" s="576" t="s">
        <v>41</v>
      </c>
      <c r="I600" s="576" t="s">
        <v>62</v>
      </c>
      <c r="J600" s="576" t="s">
        <v>63</v>
      </c>
      <c r="K600" s="593">
        <v>45888</v>
      </c>
      <c r="L600" s="594" t="s">
        <v>3738</v>
      </c>
      <c r="M600" s="594" t="s">
        <v>533</v>
      </c>
      <c r="N600" s="575">
        <v>984394412</v>
      </c>
      <c r="O600" s="596">
        <v>20</v>
      </c>
      <c r="P600" s="576" t="s">
        <v>442</v>
      </c>
      <c r="Q600" s="576" t="s">
        <v>62</v>
      </c>
      <c r="R600" s="597"/>
      <c r="S600" s="575" t="str">
        <f t="shared" si="21"/>
        <v>001-500-000076034</v>
      </c>
      <c r="T600" s="598">
        <v>301990610</v>
      </c>
      <c r="U600" s="621" t="s">
        <v>3739</v>
      </c>
    </row>
    <row r="601" spans="1:21" ht="24" customHeight="1" x14ac:dyDescent="0.2">
      <c r="A601" s="624">
        <v>596</v>
      </c>
      <c r="B601" s="574">
        <v>45615</v>
      </c>
      <c r="C601" s="575" t="s">
        <v>100</v>
      </c>
      <c r="D601" s="575" t="s">
        <v>3741</v>
      </c>
      <c r="E601" s="576">
        <v>112950021</v>
      </c>
      <c r="F601" s="623" t="str">
        <f t="shared" si="20"/>
        <v>DVN 94030 TCL BK CAMPANA (110V-60HZ) C/KIT</v>
      </c>
      <c r="G601" s="667" t="s">
        <v>3742</v>
      </c>
      <c r="H601" s="670" t="s">
        <v>41</v>
      </c>
      <c r="I601" s="670" t="s">
        <v>62</v>
      </c>
      <c r="J601" s="670" t="s">
        <v>63</v>
      </c>
      <c r="K601" s="593">
        <v>45888</v>
      </c>
      <c r="L601" s="594" t="s">
        <v>3743</v>
      </c>
      <c r="M601" s="594" t="s">
        <v>3744</v>
      </c>
      <c r="N601" s="575">
        <v>987008849</v>
      </c>
      <c r="O601" s="596">
        <v>15</v>
      </c>
      <c r="P601" s="576" t="s">
        <v>442</v>
      </c>
      <c r="Q601" s="576" t="s">
        <v>62</v>
      </c>
      <c r="R601" s="597"/>
      <c r="S601" s="575" t="str">
        <f t="shared" si="21"/>
        <v>001-500-000068014</v>
      </c>
      <c r="T601" s="598">
        <v>104804455</v>
      </c>
      <c r="U601" s="621" t="s">
        <v>3745</v>
      </c>
    </row>
    <row r="602" spans="1:21" ht="24" customHeight="1" x14ac:dyDescent="0.2">
      <c r="A602" s="624">
        <v>597</v>
      </c>
      <c r="B602" s="574">
        <v>45615</v>
      </c>
      <c r="C602" s="575" t="s">
        <v>100</v>
      </c>
      <c r="D602" s="575" t="s">
        <v>3741</v>
      </c>
      <c r="E602" s="576">
        <v>112570126</v>
      </c>
      <c r="F602" s="623" t="str">
        <f t="shared" si="20"/>
        <v>JZC 96324 ABB BK (LAT) COCINA MIXTA GAS - INDUCCION (40213042)</v>
      </c>
      <c r="G602" s="575" t="s">
        <v>3746</v>
      </c>
      <c r="H602" s="576" t="s">
        <v>41</v>
      </c>
      <c r="I602" s="576" t="s">
        <v>62</v>
      </c>
      <c r="J602" s="576" t="s">
        <v>63</v>
      </c>
      <c r="K602" s="593">
        <v>45888</v>
      </c>
      <c r="L602" s="594" t="s">
        <v>3743</v>
      </c>
      <c r="M602" s="594" t="s">
        <v>3744</v>
      </c>
      <c r="N602" s="575">
        <v>987008849</v>
      </c>
      <c r="O602" s="596">
        <v>15</v>
      </c>
      <c r="P602" s="576" t="s">
        <v>442</v>
      </c>
      <c r="Q602" s="576" t="s">
        <v>62</v>
      </c>
      <c r="R602" s="597"/>
      <c r="S602" s="575" t="str">
        <f t="shared" si="21"/>
        <v>001-500-000068014</v>
      </c>
      <c r="T602" s="598">
        <v>104804455</v>
      </c>
      <c r="U602" s="621" t="s">
        <v>3745</v>
      </c>
    </row>
    <row r="603" spans="1:21" ht="24" customHeight="1" x14ac:dyDescent="0.2">
      <c r="A603" s="624">
        <v>598</v>
      </c>
      <c r="B603" s="574">
        <v>45615</v>
      </c>
      <c r="C603" s="575" t="s">
        <v>100</v>
      </c>
      <c r="D603" s="575" t="s">
        <v>3741</v>
      </c>
      <c r="E603" s="576">
        <v>40584202</v>
      </c>
      <c r="F603" s="623" t="str">
        <f t="shared" ref="F603:F606" si="22">VLOOKUP(E603,PROD,2,FALSE)</f>
        <v>ML 820 BIS - MICROONDAS</v>
      </c>
      <c r="G603" s="575" t="s">
        <v>3747</v>
      </c>
      <c r="H603" s="576" t="s">
        <v>41</v>
      </c>
      <c r="I603" s="576" t="s">
        <v>62</v>
      </c>
      <c r="J603" s="576" t="s">
        <v>63</v>
      </c>
      <c r="K603" s="593">
        <v>45888</v>
      </c>
      <c r="L603" s="594" t="s">
        <v>3743</v>
      </c>
      <c r="M603" s="594" t="s">
        <v>3744</v>
      </c>
      <c r="N603" s="575">
        <v>987008849</v>
      </c>
      <c r="O603" s="596">
        <v>15</v>
      </c>
      <c r="P603" s="576" t="s">
        <v>442</v>
      </c>
      <c r="Q603" s="576" t="s">
        <v>62</v>
      </c>
      <c r="R603" s="597"/>
      <c r="S603" s="575" t="str">
        <f t="shared" si="21"/>
        <v>001-500-000068014</v>
      </c>
      <c r="T603" s="598">
        <v>104804455</v>
      </c>
      <c r="U603" s="621" t="s">
        <v>3745</v>
      </c>
    </row>
    <row r="604" spans="1:21" ht="24" customHeight="1" x14ac:dyDescent="0.2">
      <c r="A604" s="624">
        <v>599</v>
      </c>
      <c r="B604" s="574">
        <v>45615</v>
      </c>
      <c r="C604" s="575" t="s">
        <v>100</v>
      </c>
      <c r="D604" s="575" t="s">
        <v>3741</v>
      </c>
      <c r="E604" s="576">
        <v>41560061</v>
      </c>
      <c r="F604" s="623" t="str">
        <f t="shared" si="22"/>
        <v>HLB 830 INOX HORNO ELEC</v>
      </c>
      <c r="G604" s="575" t="s">
        <v>3748</v>
      </c>
      <c r="H604" s="576" t="s">
        <v>41</v>
      </c>
      <c r="I604" s="576" t="s">
        <v>62</v>
      </c>
      <c r="J604" s="576" t="s">
        <v>63</v>
      </c>
      <c r="K604" s="593">
        <v>45888</v>
      </c>
      <c r="L604" s="594" t="s">
        <v>3743</v>
      </c>
      <c r="M604" s="594" t="s">
        <v>3744</v>
      </c>
      <c r="N604" s="575">
        <v>987008849</v>
      </c>
      <c r="O604" s="596">
        <v>15</v>
      </c>
      <c r="P604" s="576" t="s">
        <v>442</v>
      </c>
      <c r="Q604" s="576" t="s">
        <v>62</v>
      </c>
      <c r="R604" s="597"/>
      <c r="S604" s="575" t="str">
        <f t="shared" si="21"/>
        <v>001-500-000068014</v>
      </c>
      <c r="T604" s="598">
        <v>104804455</v>
      </c>
      <c r="U604" s="621" t="s">
        <v>3745</v>
      </c>
    </row>
    <row r="605" spans="1:21" ht="24" customHeight="1" x14ac:dyDescent="0.2">
      <c r="A605" s="624">
        <v>600</v>
      </c>
      <c r="B605" s="574">
        <v>45749</v>
      </c>
      <c r="C605" s="575" t="s">
        <v>100</v>
      </c>
      <c r="D605" s="575" t="s">
        <v>3749</v>
      </c>
      <c r="E605" s="576">
        <v>111000078</v>
      </c>
      <c r="F605" s="623" t="str">
        <f t="shared" si="22"/>
        <v>HLB 8400 FBK HORNO ELEC</v>
      </c>
      <c r="G605" s="667" t="s">
        <v>3750</v>
      </c>
      <c r="H605" s="670" t="s">
        <v>41</v>
      </c>
      <c r="I605" s="670" t="s">
        <v>62</v>
      </c>
      <c r="J605" s="670" t="s">
        <v>63</v>
      </c>
      <c r="K605" s="593">
        <v>45888</v>
      </c>
      <c r="L605" s="594" t="s">
        <v>2845</v>
      </c>
      <c r="M605" s="594" t="s">
        <v>1020</v>
      </c>
      <c r="N605" s="575">
        <v>989185719</v>
      </c>
      <c r="O605" s="596">
        <v>15</v>
      </c>
      <c r="P605" s="576" t="s">
        <v>442</v>
      </c>
      <c r="Q605" s="576" t="s">
        <v>62</v>
      </c>
      <c r="R605" s="597"/>
      <c r="S605" s="575" t="str">
        <f t="shared" si="21"/>
        <v>001-502-000000202</v>
      </c>
      <c r="T605" s="599" t="s">
        <v>3751</v>
      </c>
      <c r="U605" s="621" t="s">
        <v>3752</v>
      </c>
    </row>
    <row r="606" spans="1:21" ht="24" customHeight="1" x14ac:dyDescent="0.2">
      <c r="A606" s="624">
        <v>601</v>
      </c>
      <c r="B606" s="574">
        <v>45749</v>
      </c>
      <c r="C606" s="575" t="s">
        <v>100</v>
      </c>
      <c r="D606" s="575" t="s">
        <v>3749</v>
      </c>
      <c r="E606" s="576">
        <v>113430051</v>
      </c>
      <c r="F606" s="623" t="str">
        <f t="shared" si="22"/>
        <v>RMF 77960 GBK MX REFRIGERADORA</v>
      </c>
      <c r="G606" s="575" t="s">
        <v>3753</v>
      </c>
      <c r="H606" s="576" t="s">
        <v>41</v>
      </c>
      <c r="I606" s="576" t="s">
        <v>62</v>
      </c>
      <c r="J606" s="576" t="s">
        <v>63</v>
      </c>
      <c r="K606" s="593">
        <v>45888</v>
      </c>
      <c r="L606" s="594" t="s">
        <v>2845</v>
      </c>
      <c r="M606" s="594" t="s">
        <v>1020</v>
      </c>
      <c r="N606" s="575">
        <v>989185719</v>
      </c>
      <c r="O606" s="596">
        <v>15</v>
      </c>
      <c r="P606" s="576" t="s">
        <v>442</v>
      </c>
      <c r="Q606" s="576" t="s">
        <v>62</v>
      </c>
      <c r="R606" s="597"/>
      <c r="S606" s="575" t="str">
        <f t="shared" si="21"/>
        <v>001-502-000000202</v>
      </c>
      <c r="T606" s="599" t="s">
        <v>3751</v>
      </c>
      <c r="U606" s="621" t="s">
        <v>3752</v>
      </c>
    </row>
    <row r="607" spans="1:21" ht="24" customHeight="1" x14ac:dyDescent="0.2">
      <c r="A607" s="624">
        <v>602</v>
      </c>
      <c r="B607" s="574">
        <v>45749</v>
      </c>
      <c r="C607" s="575" t="s">
        <v>100</v>
      </c>
      <c r="D607" s="575" t="s">
        <v>3749</v>
      </c>
      <c r="E607" s="576">
        <v>112580058</v>
      </c>
      <c r="F607" s="623" t="str">
        <f t="shared" ref="F607:F611" si="23">VLOOKUP(E607,PROD,2,FALSE)</f>
        <v>GBC 95030 KBB BK COCINA GAS</v>
      </c>
      <c r="G607" s="667" t="s">
        <v>3754</v>
      </c>
      <c r="H607" s="670" t="s">
        <v>41</v>
      </c>
      <c r="I607" s="670" t="s">
        <v>62</v>
      </c>
      <c r="J607" s="670" t="s">
        <v>63</v>
      </c>
      <c r="K607" s="593">
        <v>45888</v>
      </c>
      <c r="L607" s="594" t="s">
        <v>2845</v>
      </c>
      <c r="M607" s="594" t="s">
        <v>1020</v>
      </c>
      <c r="N607" s="575">
        <v>989185719</v>
      </c>
      <c r="O607" s="596">
        <v>15</v>
      </c>
      <c r="P607" s="576" t="s">
        <v>442</v>
      </c>
      <c r="Q607" s="576" t="s">
        <v>62</v>
      </c>
      <c r="R607" s="597"/>
      <c r="S607" s="575" t="str">
        <f t="shared" si="21"/>
        <v>001-502-000000202</v>
      </c>
      <c r="T607" s="599" t="s">
        <v>3751</v>
      </c>
      <c r="U607" s="621" t="s">
        <v>3752</v>
      </c>
    </row>
    <row r="608" spans="1:21" ht="24" customHeight="1" x14ac:dyDescent="0.2">
      <c r="A608" s="624">
        <v>603</v>
      </c>
      <c r="B608" s="574">
        <v>45749</v>
      </c>
      <c r="C608" s="575" t="s">
        <v>100</v>
      </c>
      <c r="D608" s="575" t="s">
        <v>3749</v>
      </c>
      <c r="E608" s="576">
        <v>112950021</v>
      </c>
      <c r="F608" s="623" t="str">
        <f t="shared" si="23"/>
        <v>DVN 94030 TCL BK CAMPANA (110V-60HZ) C/KIT</v>
      </c>
      <c r="G608" s="575" t="s">
        <v>3755</v>
      </c>
      <c r="H608" s="576" t="s">
        <v>41</v>
      </c>
      <c r="I608" s="576" t="s">
        <v>62</v>
      </c>
      <c r="J608" s="576" t="s">
        <v>63</v>
      </c>
      <c r="K608" s="593">
        <v>45888</v>
      </c>
      <c r="L608" s="594" t="s">
        <v>2845</v>
      </c>
      <c r="M608" s="594" t="s">
        <v>1020</v>
      </c>
      <c r="N608" s="575">
        <v>989185719</v>
      </c>
      <c r="O608" s="596">
        <v>15</v>
      </c>
      <c r="P608" s="576" t="s">
        <v>442</v>
      </c>
      <c r="Q608" s="576" t="s">
        <v>62</v>
      </c>
      <c r="R608" s="597"/>
      <c r="S608" s="575" t="str">
        <f t="shared" si="21"/>
        <v>001-502-000000202</v>
      </c>
      <c r="T608" s="599" t="s">
        <v>3751</v>
      </c>
      <c r="U608" s="621" t="s">
        <v>3752</v>
      </c>
    </row>
    <row r="609" spans="1:21" ht="24" customHeight="1" x14ac:dyDescent="0.2">
      <c r="A609" s="624">
        <v>604</v>
      </c>
      <c r="B609" s="574">
        <v>45749</v>
      </c>
      <c r="C609" s="575" t="s">
        <v>100</v>
      </c>
      <c r="D609" s="575" t="s">
        <v>3749</v>
      </c>
      <c r="E609" s="576">
        <v>112030019</v>
      </c>
      <c r="F609" s="623" t="str">
        <f t="shared" si="23"/>
        <v>ML 8220 BIS FBK- MICROONDAS</v>
      </c>
      <c r="G609" s="667" t="s">
        <v>3756</v>
      </c>
      <c r="H609" s="670" t="s">
        <v>41</v>
      </c>
      <c r="I609" s="670" t="s">
        <v>62</v>
      </c>
      <c r="J609" s="670" t="s">
        <v>63</v>
      </c>
      <c r="K609" s="593">
        <v>45888</v>
      </c>
      <c r="L609" s="594" t="s">
        <v>2845</v>
      </c>
      <c r="M609" s="594" t="s">
        <v>1020</v>
      </c>
      <c r="N609" s="575">
        <v>989185719</v>
      </c>
      <c r="O609" s="596">
        <v>15</v>
      </c>
      <c r="P609" s="576" t="s">
        <v>442</v>
      </c>
      <c r="Q609" s="576" t="s">
        <v>62</v>
      </c>
      <c r="R609" s="597"/>
      <c r="S609" s="575" t="str">
        <f t="shared" si="21"/>
        <v>001-502-000000202</v>
      </c>
      <c r="T609" s="599" t="s">
        <v>3751</v>
      </c>
      <c r="U609" s="621" t="s">
        <v>3752</v>
      </c>
    </row>
    <row r="610" spans="1:21" ht="24" customHeight="1" x14ac:dyDescent="0.2">
      <c r="A610" s="624">
        <v>605</v>
      </c>
      <c r="B610" s="574">
        <v>45879</v>
      </c>
      <c r="C610" s="575" t="s">
        <v>187</v>
      </c>
      <c r="D610" s="575" t="s">
        <v>3757</v>
      </c>
      <c r="E610" s="576">
        <v>40467305</v>
      </c>
      <c r="F610" s="623" t="str">
        <f t="shared" si="23"/>
        <v>C 710 NEGRA CAMPANA (110V-60HZ) C/KIT</v>
      </c>
      <c r="G610" s="575" t="s">
        <v>3758</v>
      </c>
      <c r="H610" s="576" t="s">
        <v>41</v>
      </c>
      <c r="I610" s="576" t="s">
        <v>62</v>
      </c>
      <c r="J610" s="576" t="s">
        <v>63</v>
      </c>
      <c r="K610" s="593">
        <v>45888</v>
      </c>
      <c r="L610" s="594" t="s">
        <v>3759</v>
      </c>
      <c r="M610" s="594" t="s">
        <v>3760</v>
      </c>
      <c r="N610" s="575">
        <v>72840525</v>
      </c>
      <c r="O610" s="596">
        <v>20</v>
      </c>
      <c r="P610" s="576" t="s">
        <v>442</v>
      </c>
      <c r="Q610" s="576" t="s">
        <v>62</v>
      </c>
      <c r="R610" s="597"/>
      <c r="S610" s="575" t="str">
        <f t="shared" si="21"/>
        <v>044-014-000008336</v>
      </c>
      <c r="T610" s="599" t="s">
        <v>3761</v>
      </c>
      <c r="U610" s="621" t="s">
        <v>3762</v>
      </c>
    </row>
    <row r="611" spans="1:21" ht="24" customHeight="1" x14ac:dyDescent="0.2">
      <c r="A611" s="624">
        <v>606</v>
      </c>
      <c r="B611" s="574">
        <v>45879</v>
      </c>
      <c r="C611" s="575" t="s">
        <v>187</v>
      </c>
      <c r="D611" s="575" t="s">
        <v>3757</v>
      </c>
      <c r="E611" s="576">
        <v>112570093</v>
      </c>
      <c r="F611" s="623" t="str">
        <f t="shared" si="23"/>
        <v>GZC 75330 XBB CRISTAL COCINA GAS</v>
      </c>
      <c r="G611" s="667" t="s">
        <v>3763</v>
      </c>
      <c r="H611" s="670" t="s">
        <v>41</v>
      </c>
      <c r="I611" s="670" t="s">
        <v>62</v>
      </c>
      <c r="J611" s="670" t="s">
        <v>63</v>
      </c>
      <c r="K611" s="593">
        <v>45888</v>
      </c>
      <c r="L611" s="594" t="s">
        <v>3759</v>
      </c>
      <c r="M611" s="594" t="s">
        <v>3760</v>
      </c>
      <c r="N611" s="575">
        <v>72840525</v>
      </c>
      <c r="O611" s="596">
        <v>20</v>
      </c>
      <c r="P611" s="576" t="s">
        <v>442</v>
      </c>
      <c r="Q611" s="576" t="s">
        <v>62</v>
      </c>
      <c r="R611" s="597"/>
      <c r="S611" s="575" t="str">
        <f t="shared" si="21"/>
        <v>044-014-000008336</v>
      </c>
      <c r="T611" s="599" t="s">
        <v>3761</v>
      </c>
      <c r="U611" s="621" t="s">
        <v>3762</v>
      </c>
    </row>
    <row r="612" spans="1:21" ht="24" customHeight="1" x14ac:dyDescent="0.2">
      <c r="A612" s="624">
        <v>607</v>
      </c>
      <c r="B612" s="160">
        <v>45757</v>
      </c>
      <c r="C612" s="160" t="s">
        <v>125</v>
      </c>
      <c r="D612" s="160" t="s">
        <v>3975</v>
      </c>
      <c r="E612" s="687">
        <v>112030009</v>
      </c>
      <c r="F612" s="623" t="str">
        <f t="shared" ref="F612:F677" si="24">VLOOKUP(E612,PROD,2,FALSE)</f>
        <v>ML 82-G1 BIS L BM - MICROONDAS</v>
      </c>
      <c r="G612" s="575" t="s">
        <v>3976</v>
      </c>
      <c r="H612" s="576" t="s">
        <v>41</v>
      </c>
      <c r="I612" s="576" t="s">
        <v>62</v>
      </c>
      <c r="J612" s="576" t="s">
        <v>63</v>
      </c>
      <c r="K612" s="202">
        <v>45889</v>
      </c>
      <c r="L612" s="160" t="s">
        <v>3977</v>
      </c>
      <c r="M612" s="160" t="s">
        <v>1020</v>
      </c>
      <c r="N612" s="620">
        <v>939721093</v>
      </c>
      <c r="O612" s="596">
        <v>15</v>
      </c>
      <c r="P612" s="576" t="s">
        <v>442</v>
      </c>
      <c r="Q612" s="576" t="s">
        <v>62</v>
      </c>
      <c r="R612" s="597"/>
      <c r="S612" s="575" t="str">
        <f>D612</f>
        <v>043-909-000001186</v>
      </c>
      <c r="T612" s="598">
        <v>900061605</v>
      </c>
      <c r="U612" s="621" t="s">
        <v>3978</v>
      </c>
    </row>
    <row r="613" spans="1:21" ht="24" customHeight="1" x14ac:dyDescent="0.2">
      <c r="A613" s="624">
        <v>608</v>
      </c>
      <c r="B613" s="160">
        <v>45757</v>
      </c>
      <c r="C613" s="160" t="s">
        <v>125</v>
      </c>
      <c r="D613" s="160" t="s">
        <v>3975</v>
      </c>
      <c r="E613" s="687">
        <v>111000059</v>
      </c>
      <c r="F613" s="623" t="str">
        <f t="shared" si="24"/>
        <v>HLB 85-G1 P BM Maestro Pizza</v>
      </c>
      <c r="G613" s="575" t="s">
        <v>3979</v>
      </c>
      <c r="H613" s="576" t="s">
        <v>41</v>
      </c>
      <c r="I613" s="576" t="s">
        <v>62</v>
      </c>
      <c r="J613" s="576" t="s">
        <v>63</v>
      </c>
      <c r="K613" s="202">
        <v>45889</v>
      </c>
      <c r="L613" s="160" t="s">
        <v>3977</v>
      </c>
      <c r="M613" s="160" t="s">
        <v>1020</v>
      </c>
      <c r="N613" s="620">
        <v>939721093</v>
      </c>
      <c r="O613" s="596">
        <v>15</v>
      </c>
      <c r="P613" s="576" t="s">
        <v>442</v>
      </c>
      <c r="Q613" s="576" t="s">
        <v>62</v>
      </c>
      <c r="R613" s="597"/>
      <c r="S613" s="575" t="str">
        <f t="shared" ref="S613:S635" si="25">D613</f>
        <v>043-909-000001186</v>
      </c>
      <c r="T613" s="598">
        <v>900061605</v>
      </c>
      <c r="U613" s="621" t="s">
        <v>3978</v>
      </c>
    </row>
    <row r="614" spans="1:21" ht="24" customHeight="1" x14ac:dyDescent="0.2">
      <c r="A614" s="624">
        <v>609</v>
      </c>
      <c r="B614" s="160">
        <v>45757</v>
      </c>
      <c r="C614" s="160" t="s">
        <v>125</v>
      </c>
      <c r="D614" s="160" t="s">
        <v>3975</v>
      </c>
      <c r="E614" s="687">
        <v>112570238</v>
      </c>
      <c r="F614" s="623" t="str">
        <f t="shared" si="24"/>
        <v>GBC 95-G1 GBA BM COCINA GAS</v>
      </c>
      <c r="G614" s="575" t="s">
        <v>3980</v>
      </c>
      <c r="H614" s="576" t="s">
        <v>41</v>
      </c>
      <c r="I614" s="576" t="s">
        <v>62</v>
      </c>
      <c r="J614" s="576" t="s">
        <v>63</v>
      </c>
      <c r="K614" s="202">
        <v>45889</v>
      </c>
      <c r="L614" s="160" t="s">
        <v>3977</v>
      </c>
      <c r="M614" s="160" t="s">
        <v>1020</v>
      </c>
      <c r="N614" s="620">
        <v>939721093</v>
      </c>
      <c r="O614" s="596">
        <v>15</v>
      </c>
      <c r="P614" s="576" t="s">
        <v>442</v>
      </c>
      <c r="Q614" s="576" t="s">
        <v>62</v>
      </c>
      <c r="R614" s="597"/>
      <c r="S614" s="575" t="str">
        <f t="shared" si="25"/>
        <v>043-909-000001186</v>
      </c>
      <c r="T614" s="598">
        <v>900061605</v>
      </c>
      <c r="U614" s="621" t="s">
        <v>3978</v>
      </c>
    </row>
    <row r="615" spans="1:21" ht="24" customHeight="1" x14ac:dyDescent="0.2">
      <c r="A615" s="624">
        <v>610</v>
      </c>
      <c r="B615" s="160">
        <v>45757</v>
      </c>
      <c r="C615" s="160" t="s">
        <v>125</v>
      </c>
      <c r="D615" s="160" t="s">
        <v>3975</v>
      </c>
      <c r="E615" s="576">
        <v>40782127</v>
      </c>
      <c r="F615" s="623" t="str">
        <f t="shared" si="24"/>
        <v>DW8 57 FIM PANELABLE LAVAVAJILLAS</v>
      </c>
      <c r="G615" s="575" t="s">
        <v>3981</v>
      </c>
      <c r="H615" s="576" t="s">
        <v>41</v>
      </c>
      <c r="I615" s="576" t="s">
        <v>62</v>
      </c>
      <c r="J615" s="576" t="s">
        <v>63</v>
      </c>
      <c r="K615" s="202">
        <v>45889</v>
      </c>
      <c r="L615" s="160" t="s">
        <v>3977</v>
      </c>
      <c r="M615" s="160" t="s">
        <v>1020</v>
      </c>
      <c r="N615" s="620">
        <v>939721093</v>
      </c>
      <c r="O615" s="596">
        <v>15</v>
      </c>
      <c r="P615" s="576" t="s">
        <v>442</v>
      </c>
      <c r="Q615" s="576" t="s">
        <v>62</v>
      </c>
      <c r="R615" s="597"/>
      <c r="S615" s="575" t="str">
        <f t="shared" si="25"/>
        <v>043-909-000001186</v>
      </c>
      <c r="T615" s="598">
        <v>900061605</v>
      </c>
      <c r="U615" s="621" t="s">
        <v>3978</v>
      </c>
    </row>
    <row r="616" spans="1:21" ht="24" customHeight="1" x14ac:dyDescent="0.2">
      <c r="A616" s="624">
        <v>611</v>
      </c>
      <c r="B616" s="160">
        <v>45862</v>
      </c>
      <c r="C616" s="575" t="s">
        <v>100</v>
      </c>
      <c r="D616" s="575" t="s">
        <v>3982</v>
      </c>
      <c r="E616" s="576">
        <v>112580058</v>
      </c>
      <c r="F616" s="623" t="str">
        <f t="shared" si="24"/>
        <v>GBC 95030 KBB BK COCINA GAS</v>
      </c>
      <c r="G616" s="575" t="s">
        <v>3983</v>
      </c>
      <c r="H616" s="576" t="s">
        <v>41</v>
      </c>
      <c r="I616" s="576" t="s">
        <v>62</v>
      </c>
      <c r="J616" s="576" t="s">
        <v>63</v>
      </c>
      <c r="K616" s="593">
        <v>45891</v>
      </c>
      <c r="L616" s="594" t="s">
        <v>3984</v>
      </c>
      <c r="M616" s="594" t="s">
        <v>3815</v>
      </c>
      <c r="N616" s="575">
        <v>986603768</v>
      </c>
      <c r="O616" s="596">
        <v>15</v>
      </c>
      <c r="P616" s="576" t="s">
        <v>442</v>
      </c>
      <c r="Q616" s="576" t="s">
        <v>62</v>
      </c>
      <c r="R616" s="597"/>
      <c r="S616" s="575" t="str">
        <f t="shared" si="25"/>
        <v>001-500-000075310</v>
      </c>
      <c r="T616" s="599" t="s">
        <v>3985</v>
      </c>
      <c r="U616" s="621" t="s">
        <v>3986</v>
      </c>
    </row>
    <row r="617" spans="1:21" ht="24" customHeight="1" x14ac:dyDescent="0.2">
      <c r="A617" s="624">
        <v>612</v>
      </c>
      <c r="B617" s="160">
        <v>45862</v>
      </c>
      <c r="C617" s="575" t="s">
        <v>100</v>
      </c>
      <c r="D617" s="575" t="s">
        <v>3982</v>
      </c>
      <c r="E617" s="687">
        <v>111000051</v>
      </c>
      <c r="F617" s="623" t="str">
        <f t="shared" si="24"/>
        <v>HLB 8416 "AIR FRY" - HORNO ELEC</v>
      </c>
      <c r="G617" s="575" t="s">
        <v>3987</v>
      </c>
      <c r="H617" s="576" t="s">
        <v>41</v>
      </c>
      <c r="I617" s="576" t="s">
        <v>62</v>
      </c>
      <c r="J617" s="576" t="s">
        <v>63</v>
      </c>
      <c r="K617" s="593">
        <v>45891</v>
      </c>
      <c r="L617" s="594" t="s">
        <v>3984</v>
      </c>
      <c r="M617" s="594" t="s">
        <v>3815</v>
      </c>
      <c r="N617" s="575">
        <v>986603768</v>
      </c>
      <c r="O617" s="596">
        <v>15</v>
      </c>
      <c r="P617" s="576" t="s">
        <v>442</v>
      </c>
      <c r="Q617" s="576" t="s">
        <v>62</v>
      </c>
      <c r="R617" s="597"/>
      <c r="S617" s="575" t="str">
        <f t="shared" si="25"/>
        <v>001-500-000075310</v>
      </c>
      <c r="T617" s="599" t="s">
        <v>3985</v>
      </c>
      <c r="U617" s="621" t="s">
        <v>3986</v>
      </c>
    </row>
    <row r="618" spans="1:21" ht="24" customHeight="1" x14ac:dyDescent="0.2">
      <c r="A618" s="624">
        <v>613</v>
      </c>
      <c r="B618" s="160">
        <v>45862</v>
      </c>
      <c r="C618" s="575" t="s">
        <v>100</v>
      </c>
      <c r="D618" s="575" t="s">
        <v>3982</v>
      </c>
      <c r="E618" s="576">
        <v>40584202</v>
      </c>
      <c r="F618" s="623" t="str">
        <f t="shared" si="24"/>
        <v>ML 820 BIS - MICROONDAS</v>
      </c>
      <c r="G618" s="575" t="s">
        <v>3988</v>
      </c>
      <c r="H618" s="576" t="s">
        <v>41</v>
      </c>
      <c r="I618" s="576" t="s">
        <v>62</v>
      </c>
      <c r="J618" s="576" t="s">
        <v>63</v>
      </c>
      <c r="K618" s="593">
        <v>45891</v>
      </c>
      <c r="L618" s="594" t="s">
        <v>3984</v>
      </c>
      <c r="M618" s="594" t="s">
        <v>3815</v>
      </c>
      <c r="N618" s="575">
        <v>986603768</v>
      </c>
      <c r="O618" s="596">
        <v>15</v>
      </c>
      <c r="P618" s="576" t="s">
        <v>442</v>
      </c>
      <c r="Q618" s="576" t="s">
        <v>62</v>
      </c>
      <c r="R618" s="597"/>
      <c r="S618" s="575" t="str">
        <f t="shared" si="25"/>
        <v>001-500-000075310</v>
      </c>
      <c r="T618" s="599" t="s">
        <v>3985</v>
      </c>
      <c r="U618" s="621" t="s">
        <v>3986</v>
      </c>
    </row>
    <row r="619" spans="1:21" ht="24" customHeight="1" x14ac:dyDescent="0.2">
      <c r="A619" s="624">
        <v>614</v>
      </c>
      <c r="B619" s="208">
        <v>45797</v>
      </c>
      <c r="C619" s="575" t="s">
        <v>75</v>
      </c>
      <c r="D619" s="575" t="s">
        <v>3989</v>
      </c>
      <c r="E619" s="576">
        <v>112500047</v>
      </c>
      <c r="F619" s="623" t="str">
        <f t="shared" si="24"/>
        <v>IZF 99700 MST COCINA INDUCCION</v>
      </c>
      <c r="G619" s="575" t="s">
        <v>3990</v>
      </c>
      <c r="H619" s="576" t="s">
        <v>41</v>
      </c>
      <c r="I619" s="576" t="s">
        <v>62</v>
      </c>
      <c r="J619" s="576" t="s">
        <v>63</v>
      </c>
      <c r="K619" s="593">
        <v>45891</v>
      </c>
      <c r="L619" s="594" t="s">
        <v>3991</v>
      </c>
      <c r="M619" s="594" t="s">
        <v>533</v>
      </c>
      <c r="N619" s="575">
        <v>999369027</v>
      </c>
      <c r="O619" s="596">
        <v>15</v>
      </c>
      <c r="P619" s="576" t="s">
        <v>442</v>
      </c>
      <c r="Q619" s="576" t="s">
        <v>62</v>
      </c>
      <c r="R619" s="597"/>
      <c r="S619" s="575" t="str">
        <f t="shared" si="25"/>
        <v>001-001-000000923</v>
      </c>
      <c r="T619" s="599" t="s">
        <v>3992</v>
      </c>
      <c r="U619" s="621" t="s">
        <v>3993</v>
      </c>
    </row>
    <row r="620" spans="1:21" ht="24" customHeight="1" x14ac:dyDescent="0.2">
      <c r="A620" s="624">
        <v>615</v>
      </c>
      <c r="B620" s="208">
        <v>45797</v>
      </c>
      <c r="C620" s="575" t="s">
        <v>75</v>
      </c>
      <c r="D620" s="575" t="s">
        <v>3989</v>
      </c>
      <c r="E620" s="576">
        <v>40584305</v>
      </c>
      <c r="F620" s="623" t="str">
        <f t="shared" si="24"/>
        <v>ML 822 BIS - MICROONDAS (112030008)</v>
      </c>
      <c r="G620" s="575" t="s">
        <v>3994</v>
      </c>
      <c r="H620" s="576" t="s">
        <v>41</v>
      </c>
      <c r="I620" s="576" t="s">
        <v>62</v>
      </c>
      <c r="J620" s="576" t="s">
        <v>63</v>
      </c>
      <c r="K620" s="593">
        <v>45891</v>
      </c>
      <c r="L620" s="594" t="s">
        <v>3991</v>
      </c>
      <c r="M620" s="594" t="s">
        <v>533</v>
      </c>
      <c r="N620" s="575">
        <v>999369027</v>
      </c>
      <c r="O620" s="596">
        <v>15</v>
      </c>
      <c r="P620" s="576" t="s">
        <v>442</v>
      </c>
      <c r="Q620" s="576" t="s">
        <v>62</v>
      </c>
      <c r="R620" s="597"/>
      <c r="S620" s="575" t="str">
        <f t="shared" si="25"/>
        <v>001-001-000000923</v>
      </c>
      <c r="T620" s="599" t="s">
        <v>3992</v>
      </c>
      <c r="U620" s="621" t="s">
        <v>3993</v>
      </c>
    </row>
    <row r="621" spans="1:21" ht="24" customHeight="1" x14ac:dyDescent="0.2">
      <c r="A621" s="624">
        <v>616</v>
      </c>
      <c r="B621" s="208">
        <v>45797</v>
      </c>
      <c r="C621" s="575" t="s">
        <v>75</v>
      </c>
      <c r="D621" s="575" t="s">
        <v>3989</v>
      </c>
      <c r="E621" s="576">
        <v>111000050</v>
      </c>
      <c r="F621" s="623" t="str">
        <f t="shared" si="24"/>
        <v>HLB 8510 P "MAESTRO PIZZA"</v>
      </c>
      <c r="G621" s="575" t="s">
        <v>3995</v>
      </c>
      <c r="H621" s="576" t="s">
        <v>41</v>
      </c>
      <c r="I621" s="576" t="s">
        <v>62</v>
      </c>
      <c r="J621" s="576" t="s">
        <v>63</v>
      </c>
      <c r="K621" s="593">
        <v>45891</v>
      </c>
      <c r="L621" s="594" t="s">
        <v>3991</v>
      </c>
      <c r="M621" s="594" t="s">
        <v>533</v>
      </c>
      <c r="N621" s="575">
        <v>999369027</v>
      </c>
      <c r="O621" s="596">
        <v>15</v>
      </c>
      <c r="P621" s="576" t="s">
        <v>442</v>
      </c>
      <c r="Q621" s="576" t="s">
        <v>62</v>
      </c>
      <c r="R621" s="597"/>
      <c r="S621" s="575" t="str">
        <f t="shared" si="25"/>
        <v>001-001-000000923</v>
      </c>
      <c r="T621" s="599" t="s">
        <v>3992</v>
      </c>
      <c r="U621" s="621" t="s">
        <v>3993</v>
      </c>
    </row>
    <row r="622" spans="1:21" ht="24" customHeight="1" x14ac:dyDescent="0.2">
      <c r="A622" s="624">
        <v>617</v>
      </c>
      <c r="B622" s="208">
        <v>45797</v>
      </c>
      <c r="C622" s="575" t="s">
        <v>75</v>
      </c>
      <c r="D622" s="575" t="s">
        <v>3989</v>
      </c>
      <c r="E622" s="576">
        <v>40782128</v>
      </c>
      <c r="F622" s="623" t="str">
        <f t="shared" si="24"/>
        <v>DW8 57 FIM-D LAVAVAJILLAS</v>
      </c>
      <c r="G622" s="575" t="s">
        <v>3996</v>
      </c>
      <c r="H622" s="576" t="s">
        <v>41</v>
      </c>
      <c r="I622" s="576" t="s">
        <v>62</v>
      </c>
      <c r="J622" s="576" t="s">
        <v>63</v>
      </c>
      <c r="K622" s="593">
        <v>45891</v>
      </c>
      <c r="L622" s="594" t="s">
        <v>3991</v>
      </c>
      <c r="M622" s="594" t="s">
        <v>533</v>
      </c>
      <c r="N622" s="575">
        <v>999369027</v>
      </c>
      <c r="O622" s="596">
        <v>15</v>
      </c>
      <c r="P622" s="576" t="s">
        <v>442</v>
      </c>
      <c r="Q622" s="576" t="s">
        <v>62</v>
      </c>
      <c r="R622" s="597"/>
      <c r="S622" s="575" t="str">
        <f t="shared" si="25"/>
        <v>001-001-000000923</v>
      </c>
      <c r="T622" s="599" t="s">
        <v>3992</v>
      </c>
      <c r="U622" s="621" t="s">
        <v>3993</v>
      </c>
    </row>
    <row r="623" spans="1:21" ht="24" customHeight="1" x14ac:dyDescent="0.2">
      <c r="A623" s="624">
        <v>618</v>
      </c>
      <c r="B623" s="208">
        <v>45759</v>
      </c>
      <c r="C623" s="575" t="s">
        <v>125</v>
      </c>
      <c r="D623" s="575" t="s">
        <v>3997</v>
      </c>
      <c r="E623" s="576">
        <v>40584012</v>
      </c>
      <c r="F623" s="623" t="str">
        <f t="shared" si="24"/>
        <v>MS 620 BIS - MICROONDAS</v>
      </c>
      <c r="G623" s="575" t="s">
        <v>3998</v>
      </c>
      <c r="H623" s="576" t="s">
        <v>41</v>
      </c>
      <c r="I623" s="576" t="s">
        <v>62</v>
      </c>
      <c r="J623" s="576" t="s">
        <v>63</v>
      </c>
      <c r="K623" s="593">
        <v>45894</v>
      </c>
      <c r="L623" s="594" t="s">
        <v>3999</v>
      </c>
      <c r="M623" s="594" t="s">
        <v>4000</v>
      </c>
      <c r="N623" s="575">
        <v>2809011</v>
      </c>
      <c r="O623" s="596">
        <v>15</v>
      </c>
      <c r="P623" s="576" t="s">
        <v>442</v>
      </c>
      <c r="Q623" s="576" t="s">
        <v>62</v>
      </c>
      <c r="R623" s="597"/>
      <c r="S623" s="575" t="str">
        <f t="shared" si="25"/>
        <v>043-905-000068254</v>
      </c>
      <c r="T623" s="599" t="s">
        <v>4001</v>
      </c>
      <c r="U623" s="621" t="s">
        <v>4002</v>
      </c>
    </row>
    <row r="624" spans="1:21" ht="24" customHeight="1" x14ac:dyDescent="0.2">
      <c r="A624" s="624">
        <v>619</v>
      </c>
      <c r="B624" s="208">
        <v>45759</v>
      </c>
      <c r="C624" s="575" t="s">
        <v>125</v>
      </c>
      <c r="D624" s="575" t="s">
        <v>3997</v>
      </c>
      <c r="E624" s="576">
        <v>112580058</v>
      </c>
      <c r="F624" s="623" t="str">
        <f t="shared" si="24"/>
        <v>GBC 95030 KBB BK COCINA GAS</v>
      </c>
      <c r="G624" s="575" t="s">
        <v>4003</v>
      </c>
      <c r="H624" s="576" t="s">
        <v>41</v>
      </c>
      <c r="I624" s="576" t="s">
        <v>62</v>
      </c>
      <c r="J624" s="576" t="s">
        <v>63</v>
      </c>
      <c r="K624" s="593">
        <v>45894</v>
      </c>
      <c r="L624" s="594" t="s">
        <v>3999</v>
      </c>
      <c r="M624" s="594" t="s">
        <v>4000</v>
      </c>
      <c r="N624" s="575">
        <v>2809011</v>
      </c>
      <c r="O624" s="596">
        <v>15</v>
      </c>
      <c r="P624" s="576" t="s">
        <v>442</v>
      </c>
      <c r="Q624" s="576" t="s">
        <v>62</v>
      </c>
      <c r="R624" s="597"/>
      <c r="S624" s="575" t="str">
        <f t="shared" si="25"/>
        <v>043-905-000068254</v>
      </c>
      <c r="T624" s="599" t="s">
        <v>4001</v>
      </c>
      <c r="U624" s="621" t="s">
        <v>4002</v>
      </c>
    </row>
    <row r="625" spans="1:21" ht="24" customHeight="1" x14ac:dyDescent="0.2">
      <c r="A625" s="624">
        <v>620</v>
      </c>
      <c r="B625" s="208">
        <v>45759</v>
      </c>
      <c r="C625" s="575" t="s">
        <v>125</v>
      </c>
      <c r="D625" s="575" t="s">
        <v>3997</v>
      </c>
      <c r="E625" s="576">
        <v>111020071</v>
      </c>
      <c r="F625" s="623" t="str">
        <f t="shared" si="24"/>
        <v>HBB 510 BK 220-240  50/60 HORNO ELEC</v>
      </c>
      <c r="G625" s="622" t="s">
        <v>4004</v>
      </c>
      <c r="H625" s="576" t="s">
        <v>41</v>
      </c>
      <c r="I625" s="576" t="s">
        <v>62</v>
      </c>
      <c r="J625" s="576" t="s">
        <v>63</v>
      </c>
      <c r="K625" s="593">
        <v>45894</v>
      </c>
      <c r="L625" s="594" t="s">
        <v>3999</v>
      </c>
      <c r="M625" s="594" t="s">
        <v>4000</v>
      </c>
      <c r="N625" s="575">
        <v>2809011</v>
      </c>
      <c r="O625" s="596">
        <v>15</v>
      </c>
      <c r="P625" s="576" t="s">
        <v>442</v>
      </c>
      <c r="Q625" s="576" t="s">
        <v>62</v>
      </c>
      <c r="R625" s="597"/>
      <c r="S625" s="575" t="str">
        <f t="shared" si="25"/>
        <v>043-905-000068254</v>
      </c>
      <c r="T625" s="599" t="s">
        <v>4001</v>
      </c>
      <c r="U625" s="621" t="s">
        <v>4002</v>
      </c>
    </row>
    <row r="626" spans="1:21" ht="24" customHeight="1" x14ac:dyDescent="0.2">
      <c r="A626" s="624">
        <v>621</v>
      </c>
      <c r="B626" s="208">
        <v>45589</v>
      </c>
      <c r="C626" s="575" t="s">
        <v>190</v>
      </c>
      <c r="D626" s="575" t="s">
        <v>4005</v>
      </c>
      <c r="E626" s="576">
        <v>112570128</v>
      </c>
      <c r="F626" s="623" t="str">
        <f t="shared" si="24"/>
        <v>JZC 96342 BBB BK (LAT) COCINA MIXTA GAS - INDUCCION</v>
      </c>
      <c r="G626" s="575" t="s">
        <v>4006</v>
      </c>
      <c r="H626" s="576" t="s">
        <v>41</v>
      </c>
      <c r="I626" s="576" t="s">
        <v>62</v>
      </c>
      <c r="J626" s="576" t="s">
        <v>63</v>
      </c>
      <c r="K626" s="593">
        <v>45894</v>
      </c>
      <c r="L626" s="594" t="s">
        <v>4007</v>
      </c>
      <c r="M626" s="594" t="s">
        <v>4008</v>
      </c>
      <c r="N626" s="575">
        <v>987473177</v>
      </c>
      <c r="O626" s="596">
        <v>20</v>
      </c>
      <c r="P626" s="576" t="s">
        <v>442</v>
      </c>
      <c r="Q626" s="576" t="s">
        <v>62</v>
      </c>
      <c r="R626" s="597"/>
      <c r="S626" s="575" t="str">
        <f t="shared" si="25"/>
        <v>003-170023491</v>
      </c>
      <c r="T626" s="599" t="s">
        <v>4009</v>
      </c>
      <c r="U626" s="621" t="s">
        <v>4010</v>
      </c>
    </row>
    <row r="627" spans="1:21" ht="24" customHeight="1" x14ac:dyDescent="0.2">
      <c r="A627" s="624">
        <v>622</v>
      </c>
      <c r="B627" s="208">
        <v>45589</v>
      </c>
      <c r="C627" s="575" t="s">
        <v>190</v>
      </c>
      <c r="D627" s="575" t="s">
        <v>4005</v>
      </c>
      <c r="E627" s="576">
        <v>41560041</v>
      </c>
      <c r="F627" s="623" t="str">
        <f t="shared" si="24"/>
        <v>HBB 535 INOX HORNO ELEC</v>
      </c>
      <c r="G627" s="575" t="s">
        <v>4011</v>
      </c>
      <c r="H627" s="576" t="s">
        <v>41</v>
      </c>
      <c r="I627" s="576" t="s">
        <v>62</v>
      </c>
      <c r="J627" s="576" t="s">
        <v>63</v>
      </c>
      <c r="K627" s="593">
        <v>45894</v>
      </c>
      <c r="L627" s="594" t="s">
        <v>4007</v>
      </c>
      <c r="M627" s="594" t="s">
        <v>4008</v>
      </c>
      <c r="N627" s="575">
        <v>987473177</v>
      </c>
      <c r="O627" s="596">
        <v>20</v>
      </c>
      <c r="P627" s="576" t="s">
        <v>442</v>
      </c>
      <c r="Q627" s="576" t="s">
        <v>62</v>
      </c>
      <c r="R627" s="597"/>
      <c r="S627" s="575" t="str">
        <f t="shared" si="25"/>
        <v>003-170023491</v>
      </c>
      <c r="T627" s="599" t="s">
        <v>4009</v>
      </c>
      <c r="U627" s="621" t="s">
        <v>4010</v>
      </c>
    </row>
    <row r="628" spans="1:21" ht="24" customHeight="1" x14ac:dyDescent="0.2">
      <c r="A628" s="624">
        <v>623</v>
      </c>
      <c r="B628" s="208">
        <v>45878</v>
      </c>
      <c r="C628" s="575" t="s">
        <v>100</v>
      </c>
      <c r="D628" s="575" t="s">
        <v>4012</v>
      </c>
      <c r="E628" s="576">
        <v>112950021</v>
      </c>
      <c r="F628" s="623" t="str">
        <f t="shared" si="24"/>
        <v>DVN 94030 TCL BK CAMPANA (110V-60HZ) C/KIT</v>
      </c>
      <c r="G628" s="575" t="s">
        <v>4013</v>
      </c>
      <c r="H628" s="576" t="s">
        <v>41</v>
      </c>
      <c r="I628" s="576" t="s">
        <v>62</v>
      </c>
      <c r="J628" s="576" t="s">
        <v>63</v>
      </c>
      <c r="K628" s="593">
        <v>45894</v>
      </c>
      <c r="L628" s="594" t="s">
        <v>4014</v>
      </c>
      <c r="M628" s="594" t="s">
        <v>3597</v>
      </c>
      <c r="N628" s="575">
        <v>969071880</v>
      </c>
      <c r="O628" s="596">
        <v>15</v>
      </c>
      <c r="P628" s="576" t="s">
        <v>442</v>
      </c>
      <c r="Q628" s="576" t="s">
        <v>62</v>
      </c>
      <c r="R628" s="597"/>
      <c r="S628" s="575" t="str">
        <f t="shared" si="25"/>
        <v>001-500-000075862</v>
      </c>
      <c r="T628" s="599" t="s">
        <v>4015</v>
      </c>
      <c r="U628" s="621" t="s">
        <v>4016</v>
      </c>
    </row>
    <row r="629" spans="1:21" ht="24" customHeight="1" x14ac:dyDescent="0.2">
      <c r="A629" s="624">
        <v>624</v>
      </c>
      <c r="B629" s="208">
        <v>45878</v>
      </c>
      <c r="C629" s="575" t="s">
        <v>100</v>
      </c>
      <c r="D629" s="575" t="s">
        <v>4012</v>
      </c>
      <c r="E629" s="576">
        <v>112580058</v>
      </c>
      <c r="F629" s="623" t="str">
        <f t="shared" si="24"/>
        <v>GBC 95030 KBB BK COCINA GAS</v>
      </c>
      <c r="G629" s="575" t="s">
        <v>4017</v>
      </c>
      <c r="H629" s="576" t="s">
        <v>41</v>
      </c>
      <c r="I629" s="576" t="s">
        <v>62</v>
      </c>
      <c r="J629" s="576" t="s">
        <v>63</v>
      </c>
      <c r="K629" s="593">
        <v>45894</v>
      </c>
      <c r="L629" s="594" t="s">
        <v>4014</v>
      </c>
      <c r="M629" s="594" t="s">
        <v>3597</v>
      </c>
      <c r="N629" s="575">
        <v>969071880</v>
      </c>
      <c r="O629" s="596">
        <v>15</v>
      </c>
      <c r="P629" s="576" t="s">
        <v>442</v>
      </c>
      <c r="Q629" s="576" t="s">
        <v>62</v>
      </c>
      <c r="R629" s="597"/>
      <c r="S629" s="575" t="str">
        <f t="shared" si="25"/>
        <v>001-500-000075862</v>
      </c>
      <c r="T629" s="599" t="s">
        <v>4015</v>
      </c>
      <c r="U629" s="621" t="s">
        <v>4016</v>
      </c>
    </row>
    <row r="630" spans="1:21" ht="24" customHeight="1" x14ac:dyDescent="0.2">
      <c r="A630" s="624">
        <v>625</v>
      </c>
      <c r="B630" s="208">
        <v>45878</v>
      </c>
      <c r="C630" s="575" t="s">
        <v>100</v>
      </c>
      <c r="D630" s="575" t="s">
        <v>4012</v>
      </c>
      <c r="E630" s="576">
        <v>111010040</v>
      </c>
      <c r="F630" s="623" t="str">
        <f t="shared" si="24"/>
        <v>HSB 610 NEGRO HORNO ELEC</v>
      </c>
      <c r="G630" s="575" t="s">
        <v>4018</v>
      </c>
      <c r="H630" s="576" t="s">
        <v>41</v>
      </c>
      <c r="I630" s="576" t="s">
        <v>62</v>
      </c>
      <c r="J630" s="576" t="s">
        <v>63</v>
      </c>
      <c r="K630" s="593">
        <v>45894</v>
      </c>
      <c r="L630" s="594" t="s">
        <v>4014</v>
      </c>
      <c r="M630" s="594" t="s">
        <v>3597</v>
      </c>
      <c r="N630" s="575">
        <v>969071880</v>
      </c>
      <c r="O630" s="596">
        <v>15</v>
      </c>
      <c r="P630" s="576" t="s">
        <v>442</v>
      </c>
      <c r="Q630" s="576" t="s">
        <v>62</v>
      </c>
      <c r="R630" s="597"/>
      <c r="S630" s="575" t="str">
        <f t="shared" si="25"/>
        <v>001-500-000075862</v>
      </c>
      <c r="T630" s="599" t="s">
        <v>4015</v>
      </c>
      <c r="U630" s="621" t="s">
        <v>4016</v>
      </c>
    </row>
    <row r="631" spans="1:21" ht="24" customHeight="1" x14ac:dyDescent="0.2">
      <c r="A631" s="624">
        <v>626</v>
      </c>
      <c r="B631" s="208">
        <v>45869</v>
      </c>
      <c r="C631" s="575" t="s">
        <v>190</v>
      </c>
      <c r="D631" s="575" t="s">
        <v>4019</v>
      </c>
      <c r="E631" s="576">
        <v>40483183</v>
      </c>
      <c r="F631" s="623" t="str">
        <f t="shared" si="24"/>
        <v>ESTRUCTURA DPL ISLA 1180</v>
      </c>
      <c r="G631" s="575" t="s">
        <v>4020</v>
      </c>
      <c r="H631" s="576" t="s">
        <v>41</v>
      </c>
      <c r="I631" s="576" t="s">
        <v>62</v>
      </c>
      <c r="J631" s="576" t="s">
        <v>63</v>
      </c>
      <c r="K631" s="593">
        <v>45895</v>
      </c>
      <c r="L631" s="594" t="s">
        <v>4021</v>
      </c>
      <c r="M631" s="594" t="s">
        <v>4022</v>
      </c>
      <c r="N631" s="575">
        <v>908949878</v>
      </c>
      <c r="O631" s="596">
        <v>30</v>
      </c>
      <c r="P631" s="576" t="s">
        <v>442</v>
      </c>
      <c r="Q631" s="576" t="s">
        <v>62</v>
      </c>
      <c r="R631" s="597"/>
      <c r="S631" s="575" t="str">
        <f t="shared" si="25"/>
        <v>006-002-000158403</v>
      </c>
      <c r="T631" s="599" t="s">
        <v>4023</v>
      </c>
      <c r="U631" s="621" t="s">
        <v>4024</v>
      </c>
    </row>
    <row r="632" spans="1:21" ht="24" customHeight="1" x14ac:dyDescent="0.2">
      <c r="A632" s="624">
        <v>627</v>
      </c>
      <c r="B632" s="208">
        <v>45869</v>
      </c>
      <c r="C632" s="575" t="s">
        <v>190</v>
      </c>
      <c r="D632" s="575" t="s">
        <v>4019</v>
      </c>
      <c r="E632" s="576">
        <v>40584105</v>
      </c>
      <c r="F632" s="623" t="str">
        <f t="shared" si="24"/>
        <v>MS 622 BIS - MICROONDAS</v>
      </c>
      <c r="G632" s="575" t="s">
        <v>4025</v>
      </c>
      <c r="H632" s="576" t="s">
        <v>41</v>
      </c>
      <c r="I632" s="576" t="s">
        <v>62</v>
      </c>
      <c r="J632" s="576" t="s">
        <v>63</v>
      </c>
      <c r="K632" s="593">
        <v>45895</v>
      </c>
      <c r="L632" s="594" t="s">
        <v>4021</v>
      </c>
      <c r="M632" s="594" t="s">
        <v>4022</v>
      </c>
      <c r="N632" s="575">
        <v>908949878</v>
      </c>
      <c r="O632" s="596">
        <v>15</v>
      </c>
      <c r="P632" s="576" t="s">
        <v>442</v>
      </c>
      <c r="Q632" s="576" t="s">
        <v>62</v>
      </c>
      <c r="R632" s="597"/>
      <c r="S632" s="575" t="str">
        <f t="shared" si="25"/>
        <v>006-002-000158403</v>
      </c>
      <c r="T632" s="599" t="s">
        <v>4023</v>
      </c>
      <c r="U632" s="621" t="s">
        <v>4024</v>
      </c>
    </row>
    <row r="633" spans="1:21" ht="24" customHeight="1" x14ac:dyDescent="0.2">
      <c r="A633" s="624">
        <v>628</v>
      </c>
      <c r="B633" s="208">
        <v>45869</v>
      </c>
      <c r="C633" s="575" t="s">
        <v>190</v>
      </c>
      <c r="D633" s="575" t="s">
        <v>4019</v>
      </c>
      <c r="E633" s="576">
        <v>111010028</v>
      </c>
      <c r="F633" s="623" t="str">
        <f t="shared" si="24"/>
        <v>HSB 646 "AIRFRY" - HORNO ELEC</v>
      </c>
      <c r="G633" s="575" t="s">
        <v>4026</v>
      </c>
      <c r="H633" s="576" t="s">
        <v>41</v>
      </c>
      <c r="I633" s="576" t="s">
        <v>62</v>
      </c>
      <c r="J633" s="576" t="s">
        <v>63</v>
      </c>
      <c r="K633" s="593">
        <v>45895</v>
      </c>
      <c r="L633" s="594" t="s">
        <v>4021</v>
      </c>
      <c r="M633" s="594" t="s">
        <v>4022</v>
      </c>
      <c r="N633" s="575">
        <v>908949878</v>
      </c>
      <c r="O633" s="596">
        <v>15</v>
      </c>
      <c r="P633" s="576" t="s">
        <v>442</v>
      </c>
      <c r="Q633" s="576" t="s">
        <v>62</v>
      </c>
      <c r="R633" s="597"/>
      <c r="S633" s="575" t="str">
        <f t="shared" si="25"/>
        <v>006-002-000158403</v>
      </c>
      <c r="T633" s="599" t="s">
        <v>4023</v>
      </c>
      <c r="U633" s="621" t="s">
        <v>4024</v>
      </c>
    </row>
    <row r="634" spans="1:21" ht="24" customHeight="1" x14ac:dyDescent="0.2">
      <c r="A634" s="624">
        <v>629</v>
      </c>
      <c r="B634" s="208">
        <v>45869</v>
      </c>
      <c r="C634" s="575" t="s">
        <v>190</v>
      </c>
      <c r="D634" s="575" t="s">
        <v>4019</v>
      </c>
      <c r="E634" s="576">
        <v>112500047</v>
      </c>
      <c r="F634" s="623" t="str">
        <f t="shared" si="24"/>
        <v>IZF 99700 MST COCINA INDUCCION</v>
      </c>
      <c r="G634" s="575" t="s">
        <v>4027</v>
      </c>
      <c r="H634" s="576" t="s">
        <v>41</v>
      </c>
      <c r="I634" s="576" t="s">
        <v>62</v>
      </c>
      <c r="J634" s="576" t="s">
        <v>63</v>
      </c>
      <c r="K634" s="593">
        <v>45895</v>
      </c>
      <c r="L634" s="594" t="s">
        <v>4021</v>
      </c>
      <c r="M634" s="594" t="s">
        <v>4022</v>
      </c>
      <c r="N634" s="575">
        <v>908949878</v>
      </c>
      <c r="O634" s="596">
        <v>15</v>
      </c>
      <c r="P634" s="576" t="s">
        <v>442</v>
      </c>
      <c r="Q634" s="576" t="s">
        <v>62</v>
      </c>
      <c r="R634" s="597"/>
      <c r="S634" s="575" t="str">
        <f t="shared" si="25"/>
        <v>006-002-000158403</v>
      </c>
      <c r="T634" s="599" t="s">
        <v>4023</v>
      </c>
      <c r="U634" s="621" t="s">
        <v>4024</v>
      </c>
    </row>
    <row r="635" spans="1:21" ht="24" customHeight="1" x14ac:dyDescent="0.2">
      <c r="A635" s="624">
        <v>630</v>
      </c>
      <c r="B635" s="208">
        <v>45885</v>
      </c>
      <c r="C635" s="575" t="s">
        <v>100</v>
      </c>
      <c r="D635" s="575" t="s">
        <v>4028</v>
      </c>
      <c r="E635" s="576">
        <v>112570126</v>
      </c>
      <c r="F635" s="623" t="str">
        <f t="shared" si="24"/>
        <v>JZC 96324 ABB BK (LAT) COCINA MIXTA GAS - INDUCCION (40213042)</v>
      </c>
      <c r="G635" s="575" t="s">
        <v>4029</v>
      </c>
      <c r="H635" s="576" t="s">
        <v>41</v>
      </c>
      <c r="I635" s="576" t="s">
        <v>62</v>
      </c>
      <c r="J635" s="576" t="s">
        <v>63</v>
      </c>
      <c r="K635" s="593">
        <v>45895</v>
      </c>
      <c r="L635" s="594" t="s">
        <v>4030</v>
      </c>
      <c r="M635" s="594" t="s">
        <v>4031</v>
      </c>
      <c r="N635" s="575">
        <v>995027288</v>
      </c>
      <c r="O635" s="596">
        <v>15</v>
      </c>
      <c r="P635" s="576" t="s">
        <v>442</v>
      </c>
      <c r="Q635" s="576" t="s">
        <v>62</v>
      </c>
      <c r="R635" s="597"/>
      <c r="S635" s="575" t="str">
        <f t="shared" si="25"/>
        <v>001-500-000076059</v>
      </c>
      <c r="T635" s="598">
        <v>106520398</v>
      </c>
      <c r="U635" s="621" t="s">
        <v>4032</v>
      </c>
    </row>
    <row r="636" spans="1:21" ht="24" customHeight="1" x14ac:dyDescent="0.2">
      <c r="A636" s="624">
        <v>631</v>
      </c>
      <c r="B636" s="208">
        <v>45659</v>
      </c>
      <c r="C636" s="575" t="s">
        <v>100</v>
      </c>
      <c r="D636" s="575" t="s">
        <v>4033</v>
      </c>
      <c r="E636" s="576">
        <v>111010040</v>
      </c>
      <c r="F636" s="623" t="str">
        <f t="shared" si="24"/>
        <v>HSB 610 NEGRO HORNO ELEC</v>
      </c>
      <c r="G636" s="575" t="s">
        <v>4034</v>
      </c>
      <c r="H636" s="576" t="s">
        <v>41</v>
      </c>
      <c r="I636" s="576" t="s">
        <v>62</v>
      </c>
      <c r="J636" s="576" t="s">
        <v>63</v>
      </c>
      <c r="K636" s="689">
        <v>45895</v>
      </c>
      <c r="L636" s="672" t="s">
        <v>4030</v>
      </c>
      <c r="M636" s="672" t="s">
        <v>4031</v>
      </c>
      <c r="N636" s="667">
        <v>995027288</v>
      </c>
      <c r="O636" s="673">
        <v>15</v>
      </c>
      <c r="P636" s="670" t="s">
        <v>442</v>
      </c>
      <c r="Q636" s="670" t="s">
        <v>62</v>
      </c>
      <c r="R636" s="674"/>
      <c r="S636" s="667" t="s">
        <v>4028</v>
      </c>
      <c r="T636" s="675">
        <v>106520398</v>
      </c>
      <c r="U636" s="669" t="s">
        <v>4032</v>
      </c>
    </row>
    <row r="637" spans="1:21" ht="24" customHeight="1" x14ac:dyDescent="0.2">
      <c r="A637" s="624">
        <v>632</v>
      </c>
      <c r="B637" s="208">
        <v>45761</v>
      </c>
      <c r="C637" s="575" t="s">
        <v>187</v>
      </c>
      <c r="D637" s="575" t="s">
        <v>4035</v>
      </c>
      <c r="E637" s="576">
        <v>40461543</v>
      </c>
      <c r="F637" s="623" t="str">
        <f t="shared" si="24"/>
        <v>C 6310 INOX CAMPANA (110V-60HZ) C/KIT</v>
      </c>
      <c r="G637" s="575" t="s">
        <v>4036</v>
      </c>
      <c r="H637" s="576" t="s">
        <v>41</v>
      </c>
      <c r="I637" s="576" t="s">
        <v>62</v>
      </c>
      <c r="J637" s="576" t="s">
        <v>63</v>
      </c>
      <c r="K637" s="689">
        <v>45895</v>
      </c>
      <c r="L637" s="594" t="s">
        <v>4037</v>
      </c>
      <c r="M637" s="594" t="s">
        <v>4022</v>
      </c>
      <c r="N637" s="575" t="s">
        <v>4038</v>
      </c>
      <c r="O637" s="596">
        <v>15</v>
      </c>
      <c r="P637" s="576" t="s">
        <v>442</v>
      </c>
      <c r="Q637" s="576" t="s">
        <v>62</v>
      </c>
      <c r="R637" s="597"/>
      <c r="S637" s="575" t="str">
        <f t="shared" ref="S637:S700" si="26">D637</f>
        <v>040-104-000010836</v>
      </c>
      <c r="T637" s="598">
        <v>152778965</v>
      </c>
      <c r="U637" s="621" t="s">
        <v>4039</v>
      </c>
    </row>
    <row r="638" spans="1:21" ht="24" customHeight="1" x14ac:dyDescent="0.2">
      <c r="A638" s="624">
        <v>633</v>
      </c>
      <c r="B638" s="208">
        <v>45766</v>
      </c>
      <c r="C638" s="575" t="s">
        <v>187</v>
      </c>
      <c r="D638" s="575" t="s">
        <v>4040</v>
      </c>
      <c r="E638" s="576">
        <v>111020071</v>
      </c>
      <c r="F638" s="623" t="str">
        <f t="shared" si="24"/>
        <v>HBB 510 BK 220-240  50/60 HORNO ELEC</v>
      </c>
      <c r="G638" s="575" t="s">
        <v>4041</v>
      </c>
      <c r="H638" s="576" t="s">
        <v>41</v>
      </c>
      <c r="I638" s="576" t="s">
        <v>62</v>
      </c>
      <c r="J638" s="576" t="s">
        <v>63</v>
      </c>
      <c r="K638" s="689">
        <v>45895</v>
      </c>
      <c r="L638" s="594" t="s">
        <v>4037</v>
      </c>
      <c r="M638" s="594" t="s">
        <v>4022</v>
      </c>
      <c r="N638" s="575" t="s">
        <v>4038</v>
      </c>
      <c r="O638" s="596">
        <v>15</v>
      </c>
      <c r="P638" s="576" t="s">
        <v>442</v>
      </c>
      <c r="Q638" s="576" t="s">
        <v>62</v>
      </c>
      <c r="R638" s="597"/>
      <c r="S638" s="575" t="str">
        <f t="shared" si="26"/>
        <v>040-103-000013060</v>
      </c>
      <c r="T638" s="598">
        <v>152778965</v>
      </c>
      <c r="U638" s="621" t="s">
        <v>4039</v>
      </c>
    </row>
    <row r="639" spans="1:21" ht="24" customHeight="1" x14ac:dyDescent="0.2">
      <c r="A639" s="624">
        <v>634</v>
      </c>
      <c r="B639" s="208">
        <v>45761</v>
      </c>
      <c r="C639" s="575" t="s">
        <v>187</v>
      </c>
      <c r="D639" s="575" t="s">
        <v>4035</v>
      </c>
      <c r="E639" s="688">
        <v>112510035</v>
      </c>
      <c r="F639" s="623" t="str">
        <f t="shared" si="24"/>
        <v>IZF 64440 MSP BK COCINA INDUCCION</v>
      </c>
      <c r="G639" s="575" t="s">
        <v>4042</v>
      </c>
      <c r="H639" s="576" t="s">
        <v>41</v>
      </c>
      <c r="I639" s="576" t="s">
        <v>62</v>
      </c>
      <c r="J639" s="576" t="s">
        <v>63</v>
      </c>
      <c r="K639" s="689">
        <v>45895</v>
      </c>
      <c r="L639" s="594" t="s">
        <v>4037</v>
      </c>
      <c r="M639" s="594" t="s">
        <v>4022</v>
      </c>
      <c r="N639" s="575" t="s">
        <v>4038</v>
      </c>
      <c r="O639" s="596">
        <v>15</v>
      </c>
      <c r="P639" s="576" t="s">
        <v>442</v>
      </c>
      <c r="Q639" s="576" t="s">
        <v>62</v>
      </c>
      <c r="R639" s="597"/>
      <c r="S639" s="575" t="str">
        <f t="shared" si="26"/>
        <v>040-104-000010836</v>
      </c>
      <c r="T639" s="598">
        <v>152778965</v>
      </c>
      <c r="U639" s="621" t="s">
        <v>4039</v>
      </c>
    </row>
    <row r="640" spans="1:21" ht="24" customHeight="1" x14ac:dyDescent="0.2">
      <c r="A640" s="624">
        <v>635</v>
      </c>
      <c r="B640" s="208" t="s">
        <v>4043</v>
      </c>
      <c r="C640" s="575" t="s">
        <v>190</v>
      </c>
      <c r="D640" s="575" t="s">
        <v>4044</v>
      </c>
      <c r="E640" s="576">
        <v>112510035</v>
      </c>
      <c r="F640" s="623" t="str">
        <f t="shared" si="24"/>
        <v>IZF 64440 MSP BK COCINA INDUCCION</v>
      </c>
      <c r="G640" s="575" t="s">
        <v>4045</v>
      </c>
      <c r="H640" s="576" t="s">
        <v>41</v>
      </c>
      <c r="I640" s="576" t="s">
        <v>62</v>
      </c>
      <c r="J640" s="576" t="s">
        <v>63</v>
      </c>
      <c r="K640" s="593">
        <v>45897</v>
      </c>
      <c r="L640" s="594" t="s">
        <v>4046</v>
      </c>
      <c r="M640" s="594" t="s">
        <v>1525</v>
      </c>
      <c r="N640" s="575">
        <v>999231304</v>
      </c>
      <c r="O640" s="596">
        <v>15</v>
      </c>
      <c r="P640" s="576" t="s">
        <v>442</v>
      </c>
      <c r="Q640" s="576" t="s">
        <v>62</v>
      </c>
      <c r="R640" s="597"/>
      <c r="S640" s="575" t="str">
        <f t="shared" si="26"/>
        <v>010-000123094</v>
      </c>
      <c r="T640" s="598">
        <v>102089349</v>
      </c>
      <c r="U640" s="621" t="s">
        <v>4047</v>
      </c>
    </row>
    <row r="641" spans="1:21" ht="24" customHeight="1" x14ac:dyDescent="0.2">
      <c r="A641" s="624">
        <v>636</v>
      </c>
      <c r="B641" s="208">
        <v>45792</v>
      </c>
      <c r="C641" s="575" t="s">
        <v>187</v>
      </c>
      <c r="D641" s="575" t="s">
        <v>4048</v>
      </c>
      <c r="E641" s="576">
        <v>112930049</v>
      </c>
      <c r="F641" s="623" t="str">
        <f t="shared" si="24"/>
        <v>DVT 68660 TRL BK</v>
      </c>
      <c r="G641" s="575" t="s">
        <v>4049</v>
      </c>
      <c r="H641" s="576" t="s">
        <v>41</v>
      </c>
      <c r="I641" s="576" t="s">
        <v>62</v>
      </c>
      <c r="J641" s="576" t="s">
        <v>63</v>
      </c>
      <c r="K641" s="593">
        <v>45897</v>
      </c>
      <c r="L641" s="594" t="s">
        <v>4046</v>
      </c>
      <c r="M641" s="594" t="s">
        <v>1525</v>
      </c>
      <c r="N641" s="575">
        <v>999231304</v>
      </c>
      <c r="O641" s="596">
        <v>15</v>
      </c>
      <c r="P641" s="576" t="s">
        <v>442</v>
      </c>
      <c r="Q641" s="576" t="s">
        <v>62</v>
      </c>
      <c r="R641" s="597"/>
      <c r="S641" s="575" t="str">
        <f t="shared" si="26"/>
        <v>031-108-000025240</v>
      </c>
      <c r="T641" s="598">
        <v>102089349</v>
      </c>
      <c r="U641" s="621" t="s">
        <v>4047</v>
      </c>
    </row>
    <row r="642" spans="1:21" ht="24" customHeight="1" x14ac:dyDescent="0.2">
      <c r="A642" s="624">
        <v>637</v>
      </c>
      <c r="B642" s="208" t="s">
        <v>4043</v>
      </c>
      <c r="C642" s="575" t="s">
        <v>190</v>
      </c>
      <c r="D642" s="575" t="s">
        <v>4044</v>
      </c>
      <c r="E642" s="576">
        <v>40584305</v>
      </c>
      <c r="F642" s="623" t="str">
        <f t="shared" si="24"/>
        <v>ML 822 BIS - MICROONDAS (112030008)</v>
      </c>
      <c r="G642" s="575" t="s">
        <v>4050</v>
      </c>
      <c r="H642" s="576" t="s">
        <v>41</v>
      </c>
      <c r="I642" s="576" t="s">
        <v>62</v>
      </c>
      <c r="J642" s="576" t="s">
        <v>63</v>
      </c>
      <c r="K642" s="593">
        <v>45897</v>
      </c>
      <c r="L642" s="594" t="s">
        <v>4046</v>
      </c>
      <c r="M642" s="594" t="s">
        <v>1525</v>
      </c>
      <c r="N642" s="575">
        <v>999231304</v>
      </c>
      <c r="O642" s="596">
        <v>15</v>
      </c>
      <c r="P642" s="576" t="s">
        <v>442</v>
      </c>
      <c r="Q642" s="576" t="s">
        <v>62</v>
      </c>
      <c r="R642" s="597"/>
      <c r="S642" s="575" t="str">
        <f t="shared" si="26"/>
        <v>010-000123094</v>
      </c>
      <c r="T642" s="598">
        <v>102089349</v>
      </c>
      <c r="U642" s="621" t="s">
        <v>4047</v>
      </c>
    </row>
    <row r="643" spans="1:21" ht="24" customHeight="1" x14ac:dyDescent="0.2">
      <c r="A643" s="624">
        <v>638</v>
      </c>
      <c r="B643" s="208" t="s">
        <v>4043</v>
      </c>
      <c r="C643" s="575" t="s">
        <v>190</v>
      </c>
      <c r="D643" s="575" t="s">
        <v>4044</v>
      </c>
      <c r="E643" s="576">
        <v>111000051</v>
      </c>
      <c r="F643" s="623" t="str">
        <f t="shared" si="24"/>
        <v>HLB 8416 "AIR FRY" - HORNO ELEC</v>
      </c>
      <c r="G643" s="575" t="s">
        <v>4051</v>
      </c>
      <c r="H643" s="576" t="s">
        <v>41</v>
      </c>
      <c r="I643" s="576" t="s">
        <v>62</v>
      </c>
      <c r="J643" s="576" t="s">
        <v>63</v>
      </c>
      <c r="K643" s="593">
        <v>45897</v>
      </c>
      <c r="L643" s="594" t="s">
        <v>4046</v>
      </c>
      <c r="M643" s="594" t="s">
        <v>1525</v>
      </c>
      <c r="N643" s="575">
        <v>999231304</v>
      </c>
      <c r="O643" s="596">
        <v>15</v>
      </c>
      <c r="P643" s="576" t="s">
        <v>442</v>
      </c>
      <c r="Q643" s="576" t="s">
        <v>62</v>
      </c>
      <c r="R643" s="597"/>
      <c r="S643" s="575" t="str">
        <f t="shared" si="26"/>
        <v>010-000123094</v>
      </c>
      <c r="T643" s="598">
        <v>102089349</v>
      </c>
      <c r="U643" s="621" t="s">
        <v>4047</v>
      </c>
    </row>
    <row r="644" spans="1:21" ht="24" customHeight="1" x14ac:dyDescent="0.2">
      <c r="A644" s="624">
        <v>639</v>
      </c>
      <c r="B644" s="208">
        <v>45827</v>
      </c>
      <c r="C644" s="575" t="s">
        <v>125</v>
      </c>
      <c r="D644" s="575" t="s">
        <v>4052</v>
      </c>
      <c r="E644" s="576">
        <v>113430051</v>
      </c>
      <c r="F644" s="623" t="str">
        <f t="shared" si="24"/>
        <v>RMF 77960 GBK MX REFRIGERADORA</v>
      </c>
      <c r="G644" s="575" t="s">
        <v>4053</v>
      </c>
      <c r="H644" s="576" t="s">
        <v>41</v>
      </c>
      <c r="I644" s="576" t="s">
        <v>62</v>
      </c>
      <c r="J644" s="576" t="s">
        <v>63</v>
      </c>
      <c r="K644" s="593">
        <v>45898</v>
      </c>
      <c r="L644" s="594" t="s">
        <v>4054</v>
      </c>
      <c r="M644" s="594" t="s">
        <v>4055</v>
      </c>
      <c r="N644" s="575">
        <v>939414392</v>
      </c>
      <c r="O644" s="596">
        <v>15</v>
      </c>
      <c r="P644" s="576" t="s">
        <v>442</v>
      </c>
      <c r="Q644" s="576" t="s">
        <v>62</v>
      </c>
      <c r="R644" s="597"/>
      <c r="S644" s="575" t="str">
        <f t="shared" si="26"/>
        <v>043-902-000053502</v>
      </c>
      <c r="T644" s="598">
        <v>102029139</v>
      </c>
      <c r="U644" s="621" t="s">
        <v>4056</v>
      </c>
    </row>
    <row r="645" spans="1:21" ht="24" customHeight="1" x14ac:dyDescent="0.2">
      <c r="A645" s="624">
        <v>640</v>
      </c>
      <c r="B645" s="208">
        <v>45827</v>
      </c>
      <c r="C645" s="575" t="s">
        <v>125</v>
      </c>
      <c r="D645" s="575" t="s">
        <v>4052</v>
      </c>
      <c r="E645" s="576">
        <v>112570124</v>
      </c>
      <c r="F645" s="623" t="str">
        <f t="shared" si="24"/>
        <v>JZC 64322 ABB BK (LAT) COCINA MIXTA GAS - INDUCCION</v>
      </c>
      <c r="G645" s="575" t="s">
        <v>4057</v>
      </c>
      <c r="H645" s="576" t="s">
        <v>41</v>
      </c>
      <c r="I645" s="576" t="s">
        <v>62</v>
      </c>
      <c r="J645" s="576" t="s">
        <v>63</v>
      </c>
      <c r="K645" s="593">
        <v>45898</v>
      </c>
      <c r="L645" s="594" t="s">
        <v>4054</v>
      </c>
      <c r="M645" s="594" t="s">
        <v>4055</v>
      </c>
      <c r="N645" s="575">
        <v>939414392</v>
      </c>
      <c r="O645" s="596">
        <v>15</v>
      </c>
      <c r="P645" s="576" t="s">
        <v>442</v>
      </c>
      <c r="Q645" s="576" t="s">
        <v>62</v>
      </c>
      <c r="R645" s="597"/>
      <c r="S645" s="575" t="str">
        <f t="shared" si="26"/>
        <v>043-902-000053502</v>
      </c>
      <c r="T645" s="598">
        <v>102029139</v>
      </c>
      <c r="U645" s="621" t="s">
        <v>4056</v>
      </c>
    </row>
    <row r="646" spans="1:21" ht="24" customHeight="1" x14ac:dyDescent="0.2">
      <c r="A646" s="624">
        <v>641</v>
      </c>
      <c r="B646" s="208">
        <v>45827</v>
      </c>
      <c r="C646" s="575" t="s">
        <v>125</v>
      </c>
      <c r="D646" s="575" t="s">
        <v>4052</v>
      </c>
      <c r="E646" s="576">
        <v>111000051</v>
      </c>
      <c r="F646" s="623" t="str">
        <f t="shared" si="24"/>
        <v>HLB 8416 "AIR FRY" - HORNO ELEC</v>
      </c>
      <c r="G646" s="575" t="s">
        <v>4058</v>
      </c>
      <c r="H646" s="576" t="s">
        <v>41</v>
      </c>
      <c r="I646" s="576" t="s">
        <v>62</v>
      </c>
      <c r="J646" s="576" t="s">
        <v>63</v>
      </c>
      <c r="K646" s="593">
        <v>45898</v>
      </c>
      <c r="L646" s="594" t="s">
        <v>4054</v>
      </c>
      <c r="M646" s="594" t="s">
        <v>4055</v>
      </c>
      <c r="N646" s="575">
        <v>939414392</v>
      </c>
      <c r="O646" s="596">
        <v>15</v>
      </c>
      <c r="P646" s="576" t="s">
        <v>442</v>
      </c>
      <c r="Q646" s="576" t="s">
        <v>62</v>
      </c>
      <c r="R646" s="597"/>
      <c r="S646" s="575" t="str">
        <f t="shared" si="26"/>
        <v>043-902-000053502</v>
      </c>
      <c r="T646" s="598">
        <v>102029139</v>
      </c>
      <c r="U646" s="621" t="s">
        <v>4056</v>
      </c>
    </row>
    <row r="647" spans="1:21" ht="24" customHeight="1" x14ac:dyDescent="0.2">
      <c r="A647" s="624">
        <v>642</v>
      </c>
      <c r="B647" s="208">
        <v>45827</v>
      </c>
      <c r="C647" s="575" t="s">
        <v>125</v>
      </c>
      <c r="D647" s="575" t="s">
        <v>4052</v>
      </c>
      <c r="E647" s="576">
        <v>40480321</v>
      </c>
      <c r="F647" s="623" t="str">
        <f t="shared" si="24"/>
        <v>CC 480 ISLA INOX CAMPANA (40480301)</v>
      </c>
      <c r="G647" s="575" t="s">
        <v>4059</v>
      </c>
      <c r="H647" s="576" t="s">
        <v>41</v>
      </c>
      <c r="I647" s="576" t="s">
        <v>62</v>
      </c>
      <c r="J647" s="576" t="s">
        <v>63</v>
      </c>
      <c r="K647" s="593">
        <v>45898</v>
      </c>
      <c r="L647" s="594" t="s">
        <v>4054</v>
      </c>
      <c r="M647" s="594" t="s">
        <v>4055</v>
      </c>
      <c r="N647" s="575">
        <v>939414392</v>
      </c>
      <c r="O647" s="596">
        <v>30</v>
      </c>
      <c r="P647" s="576" t="s">
        <v>442</v>
      </c>
      <c r="Q647" s="576" t="s">
        <v>62</v>
      </c>
      <c r="R647" s="597"/>
      <c r="S647" s="575" t="str">
        <f t="shared" si="26"/>
        <v>043-902-000053502</v>
      </c>
      <c r="T647" s="598">
        <v>102029139</v>
      </c>
      <c r="U647" s="621" t="s">
        <v>4056</v>
      </c>
    </row>
    <row r="648" spans="1:21" ht="24" customHeight="1" x14ac:dyDescent="0.2">
      <c r="A648" s="624">
        <v>643</v>
      </c>
      <c r="B648" s="208">
        <v>45857</v>
      </c>
      <c r="C648" s="575" t="s">
        <v>100</v>
      </c>
      <c r="D648" s="575" t="s">
        <v>4060</v>
      </c>
      <c r="E648" s="576">
        <v>112570128</v>
      </c>
      <c r="F648" s="623" t="str">
        <f t="shared" si="24"/>
        <v>JZC 96342 BBB BK (LAT) COCINA MIXTA GAS - INDUCCION</v>
      </c>
      <c r="G648" s="575" t="s">
        <v>4061</v>
      </c>
      <c r="H648" s="576" t="s">
        <v>41</v>
      </c>
      <c r="I648" s="576" t="s">
        <v>62</v>
      </c>
      <c r="J648" s="576" t="s">
        <v>63</v>
      </c>
      <c r="K648" s="593">
        <v>45898</v>
      </c>
      <c r="L648" s="594" t="s">
        <v>4062</v>
      </c>
      <c r="M648" s="594" t="s">
        <v>4063</v>
      </c>
      <c r="N648" s="575">
        <v>995148468</v>
      </c>
      <c r="O648" s="596">
        <v>20</v>
      </c>
      <c r="P648" s="576" t="s">
        <v>442</v>
      </c>
      <c r="Q648" s="576" t="s">
        <v>62</v>
      </c>
      <c r="R648" s="597"/>
      <c r="S648" s="575" t="str">
        <f t="shared" si="26"/>
        <v>001-500-000075144</v>
      </c>
      <c r="T648" s="598">
        <v>107061590</v>
      </c>
      <c r="U648" s="621" t="s">
        <v>4064</v>
      </c>
    </row>
    <row r="649" spans="1:21" ht="24" customHeight="1" x14ac:dyDescent="0.2">
      <c r="A649" s="624">
        <v>644</v>
      </c>
      <c r="B649" s="208">
        <v>45857</v>
      </c>
      <c r="C649" s="575" t="s">
        <v>100</v>
      </c>
      <c r="D649" s="575" t="s">
        <v>4060</v>
      </c>
      <c r="E649" s="576">
        <v>113120010</v>
      </c>
      <c r="F649" s="623" t="str">
        <f t="shared" si="24"/>
        <v>GFI 97350 ECS IX 110/60 CAMPANA</v>
      </c>
      <c r="G649" s="575" t="s">
        <v>4065</v>
      </c>
      <c r="H649" s="576" t="s">
        <v>41</v>
      </c>
      <c r="I649" s="576" t="s">
        <v>62</v>
      </c>
      <c r="J649" s="576" t="s">
        <v>63</v>
      </c>
      <c r="K649" s="593">
        <v>45898</v>
      </c>
      <c r="L649" s="594" t="s">
        <v>4062</v>
      </c>
      <c r="M649" s="594" t="s">
        <v>4063</v>
      </c>
      <c r="N649" s="575">
        <v>995148468</v>
      </c>
      <c r="O649" s="596">
        <v>20</v>
      </c>
      <c r="P649" s="576" t="s">
        <v>442</v>
      </c>
      <c r="Q649" s="576" t="s">
        <v>62</v>
      </c>
      <c r="R649" s="597"/>
      <c r="S649" s="575" t="str">
        <f t="shared" si="26"/>
        <v>001-500-000075144</v>
      </c>
      <c r="T649" s="598">
        <v>107061590</v>
      </c>
      <c r="U649" s="621" t="s">
        <v>4064</v>
      </c>
    </row>
    <row r="650" spans="1:21" ht="24" customHeight="1" x14ac:dyDescent="0.2">
      <c r="A650" s="624">
        <v>645</v>
      </c>
      <c r="B650" s="208">
        <v>45619</v>
      </c>
      <c r="C650" s="575" t="s">
        <v>100</v>
      </c>
      <c r="D650" s="575" t="s">
        <v>4066</v>
      </c>
      <c r="E650" s="576">
        <v>112570125</v>
      </c>
      <c r="F650" s="623" t="str">
        <f t="shared" si="24"/>
        <v>JZC 95314 ABB BK (LAT) COCINA MIXTA GAS - INDUCCION (40213032)</v>
      </c>
      <c r="G650" s="575" t="s">
        <v>4067</v>
      </c>
      <c r="H650" s="576" t="s">
        <v>41</v>
      </c>
      <c r="I650" s="576" t="s">
        <v>62</v>
      </c>
      <c r="J650" s="576" t="s">
        <v>63</v>
      </c>
      <c r="K650" s="593">
        <v>45898</v>
      </c>
      <c r="L650" s="594" t="s">
        <v>4068</v>
      </c>
      <c r="M650" s="594" t="s">
        <v>4069</v>
      </c>
      <c r="N650" s="575">
        <v>987642002</v>
      </c>
      <c r="O650" s="596">
        <v>20</v>
      </c>
      <c r="P650" s="576" t="s">
        <v>442</v>
      </c>
      <c r="Q650" s="576" t="s">
        <v>62</v>
      </c>
      <c r="R650" s="597"/>
      <c r="S650" s="575" t="str">
        <f t="shared" si="26"/>
        <v>001-500-000065119</v>
      </c>
      <c r="T650" s="598">
        <v>104684246</v>
      </c>
      <c r="U650" s="621" t="s">
        <v>4070</v>
      </c>
    </row>
    <row r="651" spans="1:21" ht="24" customHeight="1" x14ac:dyDescent="0.2">
      <c r="A651" s="624">
        <v>646</v>
      </c>
      <c r="B651" s="208">
        <v>45619</v>
      </c>
      <c r="C651" s="575" t="s">
        <v>100</v>
      </c>
      <c r="D651" s="575" t="s">
        <v>4066</v>
      </c>
      <c r="E651" s="576">
        <v>111010040</v>
      </c>
      <c r="F651" s="623" t="str">
        <f t="shared" si="24"/>
        <v>HSB 610 NEGRO HORNO ELEC</v>
      </c>
      <c r="G651" s="575" t="s">
        <v>4071</v>
      </c>
      <c r="H651" s="576" t="s">
        <v>41</v>
      </c>
      <c r="I651" s="576" t="s">
        <v>62</v>
      </c>
      <c r="J651" s="576" t="s">
        <v>63</v>
      </c>
      <c r="K651" s="593">
        <v>45898</v>
      </c>
      <c r="L651" s="594" t="s">
        <v>4068</v>
      </c>
      <c r="M651" s="594" t="s">
        <v>4069</v>
      </c>
      <c r="N651" s="575">
        <v>987642002</v>
      </c>
      <c r="O651" s="596">
        <v>20</v>
      </c>
      <c r="P651" s="576" t="s">
        <v>442</v>
      </c>
      <c r="Q651" s="576" t="s">
        <v>62</v>
      </c>
      <c r="R651" s="597"/>
      <c r="S651" s="575" t="str">
        <f t="shared" si="26"/>
        <v>001-500-000065119</v>
      </c>
      <c r="T651" s="598">
        <v>104684246</v>
      </c>
      <c r="U651" s="621" t="s">
        <v>4070</v>
      </c>
    </row>
    <row r="652" spans="1:21" ht="24" customHeight="1" x14ac:dyDescent="0.2">
      <c r="A652" s="624">
        <v>647</v>
      </c>
      <c r="B652" s="208">
        <v>45626</v>
      </c>
      <c r="C652" s="575" t="s">
        <v>4072</v>
      </c>
      <c r="D652" s="575" t="s">
        <v>4073</v>
      </c>
      <c r="E652" s="576">
        <v>112030019</v>
      </c>
      <c r="F652" s="623" t="str">
        <f t="shared" si="24"/>
        <v>ML 8220 BIS FBK- MICROONDAS</v>
      </c>
      <c r="G652" s="575" t="s">
        <v>4074</v>
      </c>
      <c r="H652" s="576" t="s">
        <v>41</v>
      </c>
      <c r="I652" s="576" t="s">
        <v>62</v>
      </c>
      <c r="J652" s="576" t="s">
        <v>63</v>
      </c>
      <c r="K652" s="593">
        <v>45898</v>
      </c>
      <c r="L652" s="594" t="s">
        <v>4068</v>
      </c>
      <c r="M652" s="594" t="s">
        <v>4069</v>
      </c>
      <c r="N652" s="575">
        <v>987642002</v>
      </c>
      <c r="O652" s="596">
        <v>20</v>
      </c>
      <c r="P652" s="576" t="s">
        <v>442</v>
      </c>
      <c r="Q652" s="576" t="s">
        <v>62</v>
      </c>
      <c r="R652" s="597"/>
      <c r="S652" s="575" t="str">
        <f t="shared" si="26"/>
        <v>001-501-000055915</v>
      </c>
      <c r="T652" s="598">
        <v>104684246</v>
      </c>
      <c r="U652" s="621" t="s">
        <v>4070</v>
      </c>
    </row>
    <row r="653" spans="1:21" ht="24" customHeight="1" x14ac:dyDescent="0.2">
      <c r="A653" s="624">
        <v>648</v>
      </c>
      <c r="B653" s="208">
        <v>45626</v>
      </c>
      <c r="C653" s="575" t="s">
        <v>4072</v>
      </c>
      <c r="D653" s="575" t="s">
        <v>4073</v>
      </c>
      <c r="E653" s="576">
        <v>111030002</v>
      </c>
      <c r="F653" s="623" t="str">
        <f t="shared" si="24"/>
        <v>HLB 760 G SS HORNO A GAS</v>
      </c>
      <c r="G653" s="575" t="s">
        <v>4075</v>
      </c>
      <c r="H653" s="576" t="s">
        <v>41</v>
      </c>
      <c r="I653" s="576" t="s">
        <v>62</v>
      </c>
      <c r="J653" s="576" t="s">
        <v>63</v>
      </c>
      <c r="K653" s="593">
        <v>45898</v>
      </c>
      <c r="L653" s="594" t="s">
        <v>4068</v>
      </c>
      <c r="M653" s="594" t="s">
        <v>4069</v>
      </c>
      <c r="N653" s="575">
        <v>987642002</v>
      </c>
      <c r="O653" s="596">
        <v>20</v>
      </c>
      <c r="P653" s="576" t="s">
        <v>442</v>
      </c>
      <c r="Q653" s="576" t="s">
        <v>62</v>
      </c>
      <c r="R653" s="597"/>
      <c r="S653" s="575" t="str">
        <f t="shared" si="26"/>
        <v>001-501-000055915</v>
      </c>
      <c r="T653" s="598">
        <v>104684246</v>
      </c>
      <c r="U653" s="621" t="s">
        <v>4070</v>
      </c>
    </row>
    <row r="654" spans="1:21" ht="24" customHeight="1" x14ac:dyDescent="0.2">
      <c r="A654" s="624">
        <v>649</v>
      </c>
      <c r="B654" s="208">
        <v>45626</v>
      </c>
      <c r="C654" s="575" t="s">
        <v>4072</v>
      </c>
      <c r="D654" s="575" t="s">
        <v>4073</v>
      </c>
      <c r="E654" s="576">
        <v>112570073</v>
      </c>
      <c r="F654" s="623" t="str">
        <f t="shared" si="24"/>
        <v>GZC 96310 XBB CRISTAL COCINA GAS</v>
      </c>
      <c r="G654" s="575" t="s">
        <v>4076</v>
      </c>
      <c r="H654" s="576" t="s">
        <v>41</v>
      </c>
      <c r="I654" s="576" t="s">
        <v>62</v>
      </c>
      <c r="J654" s="576" t="s">
        <v>63</v>
      </c>
      <c r="K654" s="593">
        <v>45898</v>
      </c>
      <c r="L654" s="594" t="s">
        <v>4068</v>
      </c>
      <c r="M654" s="594" t="s">
        <v>4069</v>
      </c>
      <c r="N654" s="575">
        <v>987642002</v>
      </c>
      <c r="O654" s="596">
        <v>20</v>
      </c>
      <c r="P654" s="576" t="s">
        <v>442</v>
      </c>
      <c r="Q654" s="576" t="s">
        <v>62</v>
      </c>
      <c r="R654" s="597"/>
      <c r="S654" s="575" t="str">
        <f t="shared" si="26"/>
        <v>001-501-000055915</v>
      </c>
      <c r="T654" s="598">
        <v>104684246</v>
      </c>
      <c r="U654" s="621" t="s">
        <v>4070</v>
      </c>
    </row>
    <row r="655" spans="1:21" ht="24" customHeight="1" x14ac:dyDescent="0.2">
      <c r="A655" s="624">
        <v>650</v>
      </c>
      <c r="B655" s="208">
        <v>45626</v>
      </c>
      <c r="C655" s="575" t="s">
        <v>4072</v>
      </c>
      <c r="D655" s="575" t="s">
        <v>4073</v>
      </c>
      <c r="E655" s="576">
        <v>112930045</v>
      </c>
      <c r="F655" s="623" t="str">
        <f t="shared" si="24"/>
        <v>DLV 98660 TRL BK CAMPANA (110V-60HZ) C/KIT</v>
      </c>
      <c r="G655" s="575" t="s">
        <v>4077</v>
      </c>
      <c r="H655" s="576" t="s">
        <v>41</v>
      </c>
      <c r="I655" s="576" t="s">
        <v>62</v>
      </c>
      <c r="J655" s="576" t="s">
        <v>63</v>
      </c>
      <c r="K655" s="593">
        <v>45898</v>
      </c>
      <c r="L655" s="594" t="s">
        <v>4068</v>
      </c>
      <c r="M655" s="594" t="s">
        <v>4069</v>
      </c>
      <c r="N655" s="575">
        <v>987642002</v>
      </c>
      <c r="O655" s="596">
        <v>20</v>
      </c>
      <c r="P655" s="576" t="s">
        <v>442</v>
      </c>
      <c r="Q655" s="576" t="s">
        <v>62</v>
      </c>
      <c r="R655" s="597"/>
      <c r="S655" s="575" t="str">
        <f t="shared" si="26"/>
        <v>001-501-000055915</v>
      </c>
      <c r="T655" s="598">
        <v>104684246</v>
      </c>
      <c r="U655" s="621" t="s">
        <v>4070</v>
      </c>
    </row>
    <row r="656" spans="1:21" ht="24" customHeight="1" x14ac:dyDescent="0.2">
      <c r="A656" s="624">
        <v>651</v>
      </c>
      <c r="B656" s="208">
        <v>45696</v>
      </c>
      <c r="C656" s="575" t="s">
        <v>100</v>
      </c>
      <c r="D656" s="575" t="s">
        <v>4078</v>
      </c>
      <c r="E656" s="576">
        <v>112570016</v>
      </c>
      <c r="F656" s="623" t="str">
        <f t="shared" si="24"/>
        <v>GZC 32300 XBB CRISTAL COCINA GAS</v>
      </c>
      <c r="G656" s="575" t="s">
        <v>4079</v>
      </c>
      <c r="H656" s="576" t="s">
        <v>41</v>
      </c>
      <c r="I656" s="576" t="s">
        <v>62</v>
      </c>
      <c r="J656" s="576" t="s">
        <v>63</v>
      </c>
      <c r="K656" s="593">
        <v>45901</v>
      </c>
      <c r="L656" s="594" t="s">
        <v>4080</v>
      </c>
      <c r="M656" s="594" t="s">
        <v>1525</v>
      </c>
      <c r="N656" s="575">
        <v>987654763</v>
      </c>
      <c r="O656" s="596">
        <v>20</v>
      </c>
      <c r="P656" s="576" t="s">
        <v>442</v>
      </c>
      <c r="Q656" s="576" t="s">
        <v>62</v>
      </c>
      <c r="R656" s="597"/>
      <c r="S656" s="575" t="str">
        <f t="shared" si="26"/>
        <v>001-500-000070734</v>
      </c>
      <c r="T656" s="598">
        <v>102524345</v>
      </c>
      <c r="U656" s="621" t="s">
        <v>4081</v>
      </c>
    </row>
    <row r="657" spans="1:21" ht="24" customHeight="1" x14ac:dyDescent="0.2">
      <c r="A657" s="624">
        <v>652</v>
      </c>
      <c r="B657" s="208">
        <v>45696</v>
      </c>
      <c r="C657" s="575" t="s">
        <v>100</v>
      </c>
      <c r="D657" s="575" t="s">
        <v>4078</v>
      </c>
      <c r="E657" s="576">
        <v>112510036</v>
      </c>
      <c r="F657" s="623" t="str">
        <f>VLOOKUP(E657,PROD,2,FALSE)</f>
        <v>IZC 32310 MSP BK COCINA MODULAR INDUCCION</v>
      </c>
      <c r="G657" s="575" t="s">
        <v>4082</v>
      </c>
      <c r="H657" s="576" t="s">
        <v>41</v>
      </c>
      <c r="I657" s="576" t="s">
        <v>62</v>
      </c>
      <c r="J657" s="576" t="s">
        <v>63</v>
      </c>
      <c r="K657" s="689">
        <v>45901</v>
      </c>
      <c r="L657" s="672" t="s">
        <v>4080</v>
      </c>
      <c r="M657" s="672" t="s">
        <v>1525</v>
      </c>
      <c r="N657" s="667">
        <v>987654763</v>
      </c>
      <c r="O657" s="673">
        <v>20</v>
      </c>
      <c r="P657" s="670" t="s">
        <v>442</v>
      </c>
      <c r="Q657" s="670" t="s">
        <v>62</v>
      </c>
      <c r="R657" s="674"/>
      <c r="S657" s="667" t="s">
        <v>4078</v>
      </c>
      <c r="T657" s="675">
        <v>102524345</v>
      </c>
      <c r="U657" s="669" t="s">
        <v>4081</v>
      </c>
    </row>
    <row r="658" spans="1:21" ht="24" customHeight="1" x14ac:dyDescent="0.2">
      <c r="A658" s="624">
        <v>653</v>
      </c>
      <c r="B658" s="208">
        <v>45626</v>
      </c>
      <c r="C658" s="575" t="s">
        <v>426</v>
      </c>
      <c r="D658" s="575" t="s">
        <v>4073</v>
      </c>
      <c r="E658" s="576">
        <v>112030019</v>
      </c>
      <c r="F658" s="623" t="str">
        <f t="shared" ref="F658:F661" si="27">VLOOKUP(E658,PROD,2,FALSE)</f>
        <v>ML 8220 BIS FBK- MICROONDAS</v>
      </c>
      <c r="G658" s="575" t="s">
        <v>4074</v>
      </c>
      <c r="H658" s="576" t="s">
        <v>41</v>
      </c>
      <c r="I658" s="576" t="s">
        <v>62</v>
      </c>
      <c r="J658" s="576" t="s">
        <v>63</v>
      </c>
      <c r="K658" s="593">
        <v>45901</v>
      </c>
      <c r="L658" s="594" t="s">
        <v>4083</v>
      </c>
      <c r="M658" s="594" t="s">
        <v>720</v>
      </c>
      <c r="N658" s="575">
        <v>998435232</v>
      </c>
      <c r="O658" s="596">
        <v>15</v>
      </c>
      <c r="P658" s="576" t="s">
        <v>442</v>
      </c>
      <c r="Q658" s="576" t="s">
        <v>62</v>
      </c>
      <c r="R658" s="597"/>
      <c r="S658" s="575" t="str">
        <f t="shared" ref="S658:S661" si="28">D658</f>
        <v>001-501-000055915</v>
      </c>
      <c r="T658" s="598">
        <v>104631320</v>
      </c>
      <c r="U658" s="621" t="s">
        <v>4084</v>
      </c>
    </row>
    <row r="659" spans="1:21" ht="24" customHeight="1" x14ac:dyDescent="0.2">
      <c r="A659" s="624">
        <v>654</v>
      </c>
      <c r="B659" s="208">
        <v>45626</v>
      </c>
      <c r="C659" s="575" t="s">
        <v>426</v>
      </c>
      <c r="D659" s="575" t="s">
        <v>4073</v>
      </c>
      <c r="E659" s="576">
        <v>111030002</v>
      </c>
      <c r="F659" s="623" t="str">
        <f t="shared" si="27"/>
        <v>HLB 760 G SS HORNO A GAS</v>
      </c>
      <c r="G659" s="575" t="s">
        <v>4075</v>
      </c>
      <c r="H659" s="576" t="s">
        <v>41</v>
      </c>
      <c r="I659" s="576" t="s">
        <v>62</v>
      </c>
      <c r="J659" s="576" t="s">
        <v>63</v>
      </c>
      <c r="K659" s="593">
        <v>45901</v>
      </c>
      <c r="L659" s="594" t="s">
        <v>4083</v>
      </c>
      <c r="M659" s="594" t="s">
        <v>720</v>
      </c>
      <c r="N659" s="575">
        <v>998435232</v>
      </c>
      <c r="O659" s="596">
        <v>15</v>
      </c>
      <c r="P659" s="576" t="s">
        <v>442</v>
      </c>
      <c r="Q659" s="576" t="s">
        <v>62</v>
      </c>
      <c r="R659" s="597"/>
      <c r="S659" s="575" t="str">
        <f t="shared" si="28"/>
        <v>001-501-000055915</v>
      </c>
      <c r="T659" s="598">
        <v>104631320</v>
      </c>
      <c r="U659" s="621" t="s">
        <v>4084</v>
      </c>
    </row>
    <row r="660" spans="1:21" ht="24" customHeight="1" x14ac:dyDescent="0.2">
      <c r="A660" s="624">
        <v>655</v>
      </c>
      <c r="B660" s="208">
        <v>45626</v>
      </c>
      <c r="C660" s="575" t="s">
        <v>426</v>
      </c>
      <c r="D660" s="575" t="s">
        <v>4073</v>
      </c>
      <c r="E660" s="576">
        <v>112570073</v>
      </c>
      <c r="F660" s="623" t="str">
        <f t="shared" si="27"/>
        <v>GZC 96310 XBB CRISTAL COCINA GAS</v>
      </c>
      <c r="G660" s="575" t="s">
        <v>4076</v>
      </c>
      <c r="H660" s="576" t="s">
        <v>41</v>
      </c>
      <c r="I660" s="576" t="s">
        <v>62</v>
      </c>
      <c r="J660" s="576" t="s">
        <v>63</v>
      </c>
      <c r="K660" s="593">
        <v>45901</v>
      </c>
      <c r="L660" s="594" t="s">
        <v>4083</v>
      </c>
      <c r="M660" s="594" t="s">
        <v>720</v>
      </c>
      <c r="N660" s="575">
        <v>998435232</v>
      </c>
      <c r="O660" s="596">
        <v>15</v>
      </c>
      <c r="P660" s="576" t="s">
        <v>442</v>
      </c>
      <c r="Q660" s="576" t="s">
        <v>62</v>
      </c>
      <c r="R660" s="597"/>
      <c r="S660" s="575" t="str">
        <f t="shared" si="28"/>
        <v>001-501-000055915</v>
      </c>
      <c r="T660" s="598">
        <v>104631320</v>
      </c>
      <c r="U660" s="621" t="s">
        <v>4084</v>
      </c>
    </row>
    <row r="661" spans="1:21" ht="24" customHeight="1" x14ac:dyDescent="0.2">
      <c r="A661" s="624">
        <v>656</v>
      </c>
      <c r="B661" s="208">
        <v>45626</v>
      </c>
      <c r="C661" s="575" t="s">
        <v>426</v>
      </c>
      <c r="D661" s="575" t="s">
        <v>4073</v>
      </c>
      <c r="E661" s="576">
        <v>112930045</v>
      </c>
      <c r="F661" s="623" t="str">
        <f t="shared" si="27"/>
        <v>DLV 98660 TRL BK CAMPANA (110V-60HZ) C/KIT</v>
      </c>
      <c r="G661" s="575" t="s">
        <v>4077</v>
      </c>
      <c r="H661" s="576" t="s">
        <v>41</v>
      </c>
      <c r="I661" s="576" t="s">
        <v>62</v>
      </c>
      <c r="J661" s="576" t="s">
        <v>63</v>
      </c>
      <c r="K661" s="593">
        <v>45901</v>
      </c>
      <c r="L661" s="594" t="s">
        <v>4083</v>
      </c>
      <c r="M661" s="594" t="s">
        <v>720</v>
      </c>
      <c r="N661" s="575">
        <v>998435232</v>
      </c>
      <c r="O661" s="596">
        <v>15</v>
      </c>
      <c r="P661" s="576" t="s">
        <v>442</v>
      </c>
      <c r="Q661" s="576" t="s">
        <v>62</v>
      </c>
      <c r="R661" s="597"/>
      <c r="S661" s="575" t="str">
        <f t="shared" si="28"/>
        <v>001-501-000055915</v>
      </c>
      <c r="T661" s="598">
        <v>104631320</v>
      </c>
      <c r="U661" s="621" t="s">
        <v>4084</v>
      </c>
    </row>
    <row r="662" spans="1:21" ht="24" customHeight="1" x14ac:dyDescent="0.2">
      <c r="A662" s="624">
        <v>657</v>
      </c>
      <c r="B662" s="208">
        <v>45712</v>
      </c>
      <c r="C662" s="575" t="s">
        <v>4085</v>
      </c>
      <c r="D662" s="575" t="s">
        <v>4086</v>
      </c>
      <c r="E662" s="576">
        <v>40446712</v>
      </c>
      <c r="F662" s="623" t="str">
        <f t="shared" si="24"/>
        <v>GFH 73 INOX CAMPANA (110V-60HZ) C/KIT</v>
      </c>
      <c r="G662" s="575" t="s">
        <v>4087</v>
      </c>
      <c r="H662" s="576" t="s">
        <v>41</v>
      </c>
      <c r="I662" s="576" t="s">
        <v>62</v>
      </c>
      <c r="J662" s="576" t="s">
        <v>63</v>
      </c>
      <c r="K662" s="593">
        <v>45902</v>
      </c>
      <c r="L662" s="594" t="s">
        <v>4088</v>
      </c>
      <c r="M662" s="594" t="s">
        <v>4089</v>
      </c>
      <c r="N662" s="575">
        <v>985225444</v>
      </c>
      <c r="O662" s="596">
        <v>15</v>
      </c>
      <c r="P662" s="576" t="s">
        <v>442</v>
      </c>
      <c r="Q662" s="576" t="s">
        <v>62</v>
      </c>
      <c r="R662" s="597"/>
      <c r="S662" s="575" t="str">
        <f t="shared" si="26"/>
        <v>007-006-000136229</v>
      </c>
      <c r="T662" s="598">
        <v>102272135</v>
      </c>
      <c r="U662" s="621" t="s">
        <v>4090</v>
      </c>
    </row>
    <row r="663" spans="1:21" ht="24" customHeight="1" x14ac:dyDescent="0.2">
      <c r="A663" s="624">
        <v>658</v>
      </c>
      <c r="B663" s="208">
        <v>45877</v>
      </c>
      <c r="C663" s="575" t="s">
        <v>100</v>
      </c>
      <c r="D663" s="575" t="s">
        <v>4091</v>
      </c>
      <c r="E663" s="576">
        <v>112570093</v>
      </c>
      <c r="F663" s="623" t="str">
        <f t="shared" si="24"/>
        <v>GZC 75330 XBB CRISTAL COCINA GAS</v>
      </c>
      <c r="G663" s="575" t="s">
        <v>4092</v>
      </c>
      <c r="H663" s="576" t="s">
        <v>41</v>
      </c>
      <c r="I663" s="576" t="s">
        <v>62</v>
      </c>
      <c r="J663" s="576" t="s">
        <v>63</v>
      </c>
      <c r="K663" s="593">
        <v>45902</v>
      </c>
      <c r="L663" s="594" t="s">
        <v>4088</v>
      </c>
      <c r="M663" s="594" t="s">
        <v>4089</v>
      </c>
      <c r="N663" s="575">
        <v>985225444</v>
      </c>
      <c r="O663" s="596">
        <v>15</v>
      </c>
      <c r="P663" s="576" t="s">
        <v>442</v>
      </c>
      <c r="Q663" s="576" t="s">
        <v>62</v>
      </c>
      <c r="R663" s="597"/>
      <c r="S663" s="575" t="str">
        <f t="shared" si="26"/>
        <v>001-502-000000407</v>
      </c>
      <c r="T663" s="598">
        <v>102272135</v>
      </c>
      <c r="U663" s="621" t="s">
        <v>4090</v>
      </c>
    </row>
    <row r="664" spans="1:21" ht="24" customHeight="1" x14ac:dyDescent="0.2">
      <c r="A664" s="624">
        <v>659</v>
      </c>
      <c r="B664" s="208">
        <v>45712</v>
      </c>
      <c r="C664" s="575" t="s">
        <v>4085</v>
      </c>
      <c r="D664" s="575" t="s">
        <v>4086</v>
      </c>
      <c r="E664" s="576">
        <v>40466241</v>
      </c>
      <c r="F664" s="623" t="str">
        <f t="shared" si="24"/>
        <v>C 9310 INOX CAMPANA (110V-60HZ) C/KIT</v>
      </c>
      <c r="G664" s="575" t="s">
        <v>4093</v>
      </c>
      <c r="H664" s="576" t="s">
        <v>41</v>
      </c>
      <c r="I664" s="576" t="s">
        <v>62</v>
      </c>
      <c r="J664" s="576" t="s">
        <v>63</v>
      </c>
      <c r="K664" s="593">
        <v>45902</v>
      </c>
      <c r="L664" s="594" t="s">
        <v>4088</v>
      </c>
      <c r="M664" s="594" t="s">
        <v>4089</v>
      </c>
      <c r="N664" s="575">
        <v>985225444</v>
      </c>
      <c r="O664" s="596">
        <v>15</v>
      </c>
      <c r="P664" s="576" t="s">
        <v>442</v>
      </c>
      <c r="Q664" s="576" t="s">
        <v>62</v>
      </c>
      <c r="R664" s="597"/>
      <c r="S664" s="575" t="str">
        <f t="shared" si="26"/>
        <v>007-006-000136229</v>
      </c>
      <c r="T664" s="598">
        <v>102272135</v>
      </c>
      <c r="U664" s="621" t="s">
        <v>4090</v>
      </c>
    </row>
    <row r="665" spans="1:21" ht="24" customHeight="1" x14ac:dyDescent="0.2">
      <c r="A665" s="624">
        <v>660</v>
      </c>
      <c r="B665" s="208">
        <v>45877</v>
      </c>
      <c r="C665" s="575" t="s">
        <v>100</v>
      </c>
      <c r="D665" s="575" t="s">
        <v>4091</v>
      </c>
      <c r="E665" s="576">
        <v>112610071</v>
      </c>
      <c r="F665" s="623" t="str">
        <f t="shared" si="24"/>
        <v>GSC 64320 XBA IX (LAT) COCINA INOX</v>
      </c>
      <c r="G665" s="575" t="s">
        <v>4094</v>
      </c>
      <c r="H665" s="576" t="s">
        <v>41</v>
      </c>
      <c r="I665" s="576" t="s">
        <v>62</v>
      </c>
      <c r="J665" s="576" t="s">
        <v>63</v>
      </c>
      <c r="K665" s="593">
        <v>45902</v>
      </c>
      <c r="L665" s="594" t="s">
        <v>4088</v>
      </c>
      <c r="M665" s="594" t="s">
        <v>4089</v>
      </c>
      <c r="N665" s="575">
        <v>985225444</v>
      </c>
      <c r="O665" s="596">
        <v>15</v>
      </c>
      <c r="P665" s="576" t="s">
        <v>442</v>
      </c>
      <c r="Q665" s="576" t="s">
        <v>62</v>
      </c>
      <c r="R665" s="597"/>
      <c r="S665" s="575" t="str">
        <f t="shared" si="26"/>
        <v>001-502-000000407</v>
      </c>
      <c r="T665" s="598">
        <v>102272135</v>
      </c>
      <c r="U665" s="621" t="s">
        <v>4090</v>
      </c>
    </row>
    <row r="666" spans="1:21" ht="24" customHeight="1" x14ac:dyDescent="0.2">
      <c r="A666" s="624">
        <v>661</v>
      </c>
      <c r="B666" s="208">
        <v>45780</v>
      </c>
      <c r="C666" s="575" t="s">
        <v>125</v>
      </c>
      <c r="D666" s="575" t="s">
        <v>4095</v>
      </c>
      <c r="E666" s="576">
        <v>40461543</v>
      </c>
      <c r="F666" s="623" t="str">
        <f t="shared" si="24"/>
        <v>C 6310 INOX CAMPANA (110V-60HZ) C/KIT</v>
      </c>
      <c r="G666" s="575" t="s">
        <v>4096</v>
      </c>
      <c r="H666" s="576" t="s">
        <v>41</v>
      </c>
      <c r="I666" s="576" t="s">
        <v>62</v>
      </c>
      <c r="J666" s="576" t="s">
        <v>63</v>
      </c>
      <c r="K666" s="593">
        <v>45903</v>
      </c>
      <c r="L666" s="594" t="s">
        <v>4097</v>
      </c>
      <c r="M666" s="594" t="s">
        <v>4098</v>
      </c>
      <c r="N666" s="575">
        <v>984912824</v>
      </c>
      <c r="O666" s="596">
        <v>20</v>
      </c>
      <c r="P666" s="576" t="s">
        <v>442</v>
      </c>
      <c r="Q666" s="576" t="s">
        <v>62</v>
      </c>
      <c r="R666" s="597"/>
      <c r="S666" s="575" t="str">
        <f t="shared" si="26"/>
        <v>043-906-000049343</v>
      </c>
      <c r="T666" s="598">
        <v>104357421</v>
      </c>
      <c r="U666" s="621" t="s">
        <v>4099</v>
      </c>
    </row>
    <row r="667" spans="1:21" ht="24" customHeight="1" x14ac:dyDescent="0.2">
      <c r="A667" s="624">
        <v>662</v>
      </c>
      <c r="B667" s="208">
        <v>45780</v>
      </c>
      <c r="C667" s="575" t="s">
        <v>125</v>
      </c>
      <c r="D667" s="575" t="s">
        <v>4095</v>
      </c>
      <c r="E667" s="576">
        <v>40212044</v>
      </c>
      <c r="F667" s="623" t="str">
        <f t="shared" si="24"/>
        <v>EX 70.1 5G AI DR CI COCINA INOX</v>
      </c>
      <c r="G667" s="575" t="s">
        <v>4100</v>
      </c>
      <c r="H667" s="576" t="s">
        <v>41</v>
      </c>
      <c r="I667" s="576" t="s">
        <v>62</v>
      </c>
      <c r="J667" s="576" t="s">
        <v>63</v>
      </c>
      <c r="K667" s="593">
        <v>45903</v>
      </c>
      <c r="L667" s="594" t="s">
        <v>4097</v>
      </c>
      <c r="M667" s="594" t="s">
        <v>4098</v>
      </c>
      <c r="N667" s="575">
        <v>984912824</v>
      </c>
      <c r="O667" s="596">
        <v>20</v>
      </c>
      <c r="P667" s="576" t="s">
        <v>442</v>
      </c>
      <c r="Q667" s="576" t="s">
        <v>62</v>
      </c>
      <c r="R667" s="597"/>
      <c r="S667" s="575" t="str">
        <f t="shared" si="26"/>
        <v>043-906-000049343</v>
      </c>
      <c r="T667" s="598">
        <v>104357421</v>
      </c>
      <c r="U667" s="621" t="s">
        <v>4099</v>
      </c>
    </row>
    <row r="668" spans="1:21" ht="24" customHeight="1" x14ac:dyDescent="0.2">
      <c r="A668" s="624">
        <v>663</v>
      </c>
      <c r="B668" s="208">
        <v>45783</v>
      </c>
      <c r="C668" s="575" t="s">
        <v>125</v>
      </c>
      <c r="D668" s="575" t="s">
        <v>4101</v>
      </c>
      <c r="E668" s="576">
        <v>112580027</v>
      </c>
      <c r="F668" s="623" t="str">
        <f t="shared" si="24"/>
        <v>GBC 75030 KBB CRISTAL COCINA GAS</v>
      </c>
      <c r="G668" s="575" t="s">
        <v>4102</v>
      </c>
      <c r="H668" s="576" t="s">
        <v>41</v>
      </c>
      <c r="I668" s="576" t="s">
        <v>62</v>
      </c>
      <c r="J668" s="576" t="s">
        <v>63</v>
      </c>
      <c r="K668" s="593">
        <v>45904</v>
      </c>
      <c r="L668" s="594" t="s">
        <v>4103</v>
      </c>
      <c r="M668" s="594" t="s">
        <v>4104</v>
      </c>
      <c r="N668" s="575">
        <v>9991292956</v>
      </c>
      <c r="O668" s="596">
        <v>20</v>
      </c>
      <c r="P668" s="576" t="s">
        <v>442</v>
      </c>
      <c r="Q668" s="576" t="s">
        <v>62</v>
      </c>
      <c r="R668" s="597"/>
      <c r="S668" s="575" t="str">
        <f>D669</f>
        <v>043-103-000071803</v>
      </c>
      <c r="T668" s="598">
        <v>1150044483</v>
      </c>
      <c r="U668" s="621" t="s">
        <v>4105</v>
      </c>
    </row>
    <row r="669" spans="1:21" ht="24" customHeight="1" x14ac:dyDescent="0.2">
      <c r="A669" s="624">
        <v>664</v>
      </c>
      <c r="B669" s="208">
        <v>45783</v>
      </c>
      <c r="C669" s="575" t="s">
        <v>125</v>
      </c>
      <c r="D669" s="575" t="s">
        <v>4101</v>
      </c>
      <c r="E669" s="576">
        <v>40782127</v>
      </c>
      <c r="F669" s="623" t="str">
        <f t="shared" si="24"/>
        <v>DW8 57 FIM PANELABLE LAVAVAJILLAS</v>
      </c>
      <c r="G669" s="575" t="s">
        <v>4106</v>
      </c>
      <c r="H669" s="576" t="s">
        <v>41</v>
      </c>
      <c r="I669" s="576" t="s">
        <v>62</v>
      </c>
      <c r="J669" s="576" t="s">
        <v>63</v>
      </c>
      <c r="K669" s="689">
        <v>45904</v>
      </c>
      <c r="L669" s="672" t="s">
        <v>4103</v>
      </c>
      <c r="M669" s="672" t="s">
        <v>4104</v>
      </c>
      <c r="N669" s="667">
        <v>9991292956</v>
      </c>
      <c r="O669" s="673">
        <v>20</v>
      </c>
      <c r="P669" s="670" t="s">
        <v>442</v>
      </c>
      <c r="Q669" s="670" t="s">
        <v>62</v>
      </c>
      <c r="R669" s="674"/>
      <c r="S669" s="667" t="s">
        <v>4101</v>
      </c>
      <c r="T669" s="675">
        <v>1150044483</v>
      </c>
      <c r="U669" s="669" t="s">
        <v>4105</v>
      </c>
    </row>
    <row r="670" spans="1:21" ht="24" customHeight="1" x14ac:dyDescent="0.2">
      <c r="A670" s="624">
        <v>665</v>
      </c>
      <c r="B670" s="208">
        <v>45902</v>
      </c>
      <c r="C670" s="575" t="s">
        <v>100</v>
      </c>
      <c r="D670" s="575" t="s">
        <v>4107</v>
      </c>
      <c r="E670" s="576">
        <v>112510035</v>
      </c>
      <c r="F670" s="623" t="str">
        <f t="shared" si="24"/>
        <v>IZF 64440 MSP BK COCINA INDUCCION</v>
      </c>
      <c r="G670" s="575" t="s">
        <v>4108</v>
      </c>
      <c r="H670" s="576" t="s">
        <v>41</v>
      </c>
      <c r="I670" s="576" t="s">
        <v>62</v>
      </c>
      <c r="J670" s="576" t="s">
        <v>63</v>
      </c>
      <c r="K670" s="593">
        <v>45904</v>
      </c>
      <c r="L670" s="594" t="s">
        <v>4109</v>
      </c>
      <c r="M670" s="594" t="s">
        <v>4022</v>
      </c>
      <c r="N670" s="575">
        <v>980108164</v>
      </c>
      <c r="O670" s="596">
        <v>15</v>
      </c>
      <c r="P670" s="576" t="s">
        <v>442</v>
      </c>
      <c r="Q670" s="576" t="s">
        <v>62</v>
      </c>
      <c r="R670" s="597"/>
      <c r="S670" s="575" t="str">
        <f t="shared" si="26"/>
        <v>001-500-000076543</v>
      </c>
      <c r="T670" s="598" t="s">
        <v>4110</v>
      </c>
      <c r="U670" s="621" t="s">
        <v>4111</v>
      </c>
    </row>
    <row r="671" spans="1:21" ht="24" customHeight="1" x14ac:dyDescent="0.2">
      <c r="A671" s="624">
        <v>666</v>
      </c>
      <c r="B671" s="208">
        <v>45902</v>
      </c>
      <c r="C671" s="575" t="s">
        <v>100</v>
      </c>
      <c r="D671" s="575" t="s">
        <v>4107</v>
      </c>
      <c r="E671" s="576">
        <v>111000051</v>
      </c>
      <c r="F671" s="623" t="str">
        <f t="shared" si="24"/>
        <v>HLB 8416 "AIR FRY" - HORNO ELEC</v>
      </c>
      <c r="G671" s="575" t="s">
        <v>4112</v>
      </c>
      <c r="H671" s="576" t="s">
        <v>41</v>
      </c>
      <c r="I671" s="576" t="s">
        <v>62</v>
      </c>
      <c r="J671" s="576" t="s">
        <v>63</v>
      </c>
      <c r="K671" s="593">
        <v>45904</v>
      </c>
      <c r="L671" s="594" t="s">
        <v>4109</v>
      </c>
      <c r="M671" s="594" t="s">
        <v>4022</v>
      </c>
      <c r="N671" s="575">
        <v>980108164</v>
      </c>
      <c r="O671" s="596">
        <v>15</v>
      </c>
      <c r="P671" s="576" t="s">
        <v>442</v>
      </c>
      <c r="Q671" s="576" t="s">
        <v>62</v>
      </c>
      <c r="R671" s="597"/>
      <c r="S671" s="575" t="str">
        <f t="shared" si="26"/>
        <v>001-500-000076543</v>
      </c>
      <c r="T671" s="598" t="s">
        <v>4110</v>
      </c>
      <c r="U671" s="621" t="s">
        <v>4111</v>
      </c>
    </row>
    <row r="672" spans="1:21" ht="24" customHeight="1" x14ac:dyDescent="0.2">
      <c r="A672" s="624">
        <v>667</v>
      </c>
      <c r="B672" s="208">
        <v>45903</v>
      </c>
      <c r="C672" s="575" t="s">
        <v>100</v>
      </c>
      <c r="D672" s="575" t="s">
        <v>4113</v>
      </c>
      <c r="E672" s="576">
        <v>113430018</v>
      </c>
      <c r="F672" s="623" t="str">
        <f t="shared" si="24"/>
        <v>RLF 74920 SS SBS REFRIGERADORA</v>
      </c>
      <c r="G672" s="575" t="s">
        <v>4114</v>
      </c>
      <c r="H672" s="576" t="s">
        <v>41</v>
      </c>
      <c r="I672" s="576" t="s">
        <v>62</v>
      </c>
      <c r="J672" s="576" t="s">
        <v>63</v>
      </c>
      <c r="K672" s="593">
        <v>45904</v>
      </c>
      <c r="L672" s="594" t="s">
        <v>4109</v>
      </c>
      <c r="M672" s="594" t="s">
        <v>4022</v>
      </c>
      <c r="N672" s="575">
        <v>980108164</v>
      </c>
      <c r="O672" s="596">
        <v>15</v>
      </c>
      <c r="P672" s="576" t="s">
        <v>442</v>
      </c>
      <c r="Q672" s="576" t="s">
        <v>62</v>
      </c>
      <c r="R672" s="597"/>
      <c r="S672" s="575" t="str">
        <f t="shared" si="26"/>
        <v>001-500-000076577</v>
      </c>
      <c r="T672" s="598" t="s">
        <v>4110</v>
      </c>
      <c r="U672" s="621" t="s">
        <v>4111</v>
      </c>
    </row>
    <row r="673" spans="1:21" ht="24" customHeight="1" x14ac:dyDescent="0.2">
      <c r="A673" s="624">
        <v>668</v>
      </c>
      <c r="B673" s="208">
        <v>45712</v>
      </c>
      <c r="C673" s="575" t="s">
        <v>190</v>
      </c>
      <c r="D673" s="575" t="s">
        <v>4115</v>
      </c>
      <c r="E673" s="576">
        <v>112570123</v>
      </c>
      <c r="F673" s="623" t="str">
        <f t="shared" si="24"/>
        <v>JZC 63312 ABB BK (LAT) COCINA MIXTA GAS - INDUCCION (40213012)</v>
      </c>
      <c r="G673" s="575" t="s">
        <v>4116</v>
      </c>
      <c r="H673" s="576" t="s">
        <v>41</v>
      </c>
      <c r="I673" s="576" t="s">
        <v>62</v>
      </c>
      <c r="J673" s="576" t="s">
        <v>63</v>
      </c>
      <c r="K673" s="593">
        <v>45905</v>
      </c>
      <c r="L673" s="594" t="s">
        <v>4117</v>
      </c>
      <c r="M673" s="594" t="s">
        <v>3653</v>
      </c>
      <c r="N673" s="575">
        <v>984331113</v>
      </c>
      <c r="O673" s="596">
        <v>15</v>
      </c>
      <c r="P673" s="576" t="s">
        <v>442</v>
      </c>
      <c r="Q673" s="576" t="s">
        <v>62</v>
      </c>
      <c r="R673" s="597"/>
      <c r="S673" s="575" t="str">
        <f t="shared" si="26"/>
        <v>006-000157574</v>
      </c>
      <c r="T673" s="598">
        <v>104741616</v>
      </c>
      <c r="U673" s="621" t="s">
        <v>4118</v>
      </c>
    </row>
    <row r="674" spans="1:21" ht="24" customHeight="1" x14ac:dyDescent="0.2">
      <c r="A674" s="624">
        <v>669</v>
      </c>
      <c r="B674" s="208">
        <v>45712</v>
      </c>
      <c r="C674" s="575" t="s">
        <v>190</v>
      </c>
      <c r="D674" s="575" t="s">
        <v>4115</v>
      </c>
      <c r="E674" s="576">
        <v>112030019</v>
      </c>
      <c r="F674" s="623" t="str">
        <f t="shared" si="24"/>
        <v>ML 8220 BIS FBK- MICROONDAS</v>
      </c>
      <c r="G674" s="575" t="s">
        <v>4119</v>
      </c>
      <c r="H674" s="576" t="s">
        <v>41</v>
      </c>
      <c r="I674" s="576" t="s">
        <v>62</v>
      </c>
      <c r="J674" s="576" t="s">
        <v>63</v>
      </c>
      <c r="K674" s="593">
        <v>45905</v>
      </c>
      <c r="L674" s="594" t="s">
        <v>4117</v>
      </c>
      <c r="M674" s="594" t="s">
        <v>3653</v>
      </c>
      <c r="N674" s="575">
        <v>984331113</v>
      </c>
      <c r="O674" s="596">
        <v>15</v>
      </c>
      <c r="P674" s="576" t="s">
        <v>442</v>
      </c>
      <c r="Q674" s="576" t="s">
        <v>62</v>
      </c>
      <c r="R674" s="597"/>
      <c r="S674" s="575" t="str">
        <f t="shared" si="26"/>
        <v>006-000157574</v>
      </c>
      <c r="T674" s="598">
        <v>104741616</v>
      </c>
      <c r="U674" s="621" t="s">
        <v>4118</v>
      </c>
    </row>
    <row r="675" spans="1:21" ht="24" customHeight="1" x14ac:dyDescent="0.2">
      <c r="A675" s="624">
        <v>670</v>
      </c>
      <c r="B675" s="208">
        <v>45712</v>
      </c>
      <c r="C675" s="575" t="s">
        <v>190</v>
      </c>
      <c r="D675" s="575" t="s">
        <v>4115</v>
      </c>
      <c r="E675" s="576">
        <v>111000078</v>
      </c>
      <c r="F675" s="623" t="str">
        <f t="shared" si="24"/>
        <v>HLB 8400 FBK HORNO ELEC</v>
      </c>
      <c r="G675" s="575" t="s">
        <v>4120</v>
      </c>
      <c r="H675" s="576" t="s">
        <v>41</v>
      </c>
      <c r="I675" s="576" t="s">
        <v>62</v>
      </c>
      <c r="J675" s="576" t="s">
        <v>63</v>
      </c>
      <c r="K675" s="593">
        <v>45905</v>
      </c>
      <c r="L675" s="594" t="s">
        <v>4117</v>
      </c>
      <c r="M675" s="594" t="s">
        <v>3653</v>
      </c>
      <c r="N675" s="575">
        <v>984331113</v>
      </c>
      <c r="O675" s="596">
        <v>15</v>
      </c>
      <c r="P675" s="576" t="s">
        <v>442</v>
      </c>
      <c r="Q675" s="576" t="s">
        <v>62</v>
      </c>
      <c r="R675" s="597"/>
      <c r="S675" s="575" t="str">
        <f t="shared" si="26"/>
        <v>006-000157574</v>
      </c>
      <c r="T675" s="598">
        <v>104741616</v>
      </c>
      <c r="U675" s="621" t="s">
        <v>4118</v>
      </c>
    </row>
    <row r="676" spans="1:21" ht="24" customHeight="1" x14ac:dyDescent="0.2">
      <c r="A676" s="624">
        <v>671</v>
      </c>
      <c r="B676" s="208">
        <v>45693</v>
      </c>
      <c r="C676" s="575" t="s">
        <v>862</v>
      </c>
      <c r="D676" s="575" t="s">
        <v>4121</v>
      </c>
      <c r="E676" s="576">
        <v>112580017</v>
      </c>
      <c r="F676" s="623" t="str">
        <f t="shared" si="24"/>
        <v>GBC 64000 KBB CRISTAL COCINA GAS</v>
      </c>
      <c r="G676" s="575" t="s">
        <v>4122</v>
      </c>
      <c r="H676" s="576" t="s">
        <v>41</v>
      </c>
      <c r="I676" s="576" t="s">
        <v>62</v>
      </c>
      <c r="J676" s="576" t="s">
        <v>63</v>
      </c>
      <c r="K676" s="593">
        <v>45908</v>
      </c>
      <c r="L676" s="594" t="s">
        <v>4123</v>
      </c>
      <c r="M676" s="594" t="s">
        <v>4124</v>
      </c>
      <c r="N676" s="575">
        <v>992884552</v>
      </c>
      <c r="O676" s="596">
        <v>15</v>
      </c>
      <c r="P676" s="576" t="s">
        <v>442</v>
      </c>
      <c r="Q676" s="576" t="s">
        <v>62</v>
      </c>
      <c r="R676" s="597"/>
      <c r="S676" s="575" t="str">
        <f t="shared" si="26"/>
        <v>002-201-00004951</v>
      </c>
      <c r="T676" s="598">
        <v>101955365</v>
      </c>
      <c r="U676" s="621" t="s">
        <v>4125</v>
      </c>
    </row>
    <row r="677" spans="1:21" ht="24" customHeight="1" x14ac:dyDescent="0.2">
      <c r="A677" s="624">
        <v>672</v>
      </c>
      <c r="B677" s="208">
        <v>45693</v>
      </c>
      <c r="C677" s="575" t="s">
        <v>862</v>
      </c>
      <c r="D677" s="575" t="s">
        <v>4121</v>
      </c>
      <c r="E677" s="576">
        <v>40467305</v>
      </c>
      <c r="F677" s="623" t="str">
        <f t="shared" si="24"/>
        <v>C 710 NEGRA CAMPANA (110V-60HZ) C/KIT</v>
      </c>
      <c r="G677" s="575" t="s">
        <v>4126</v>
      </c>
      <c r="H677" s="576" t="s">
        <v>41</v>
      </c>
      <c r="I677" s="576" t="s">
        <v>62</v>
      </c>
      <c r="J677" s="576" t="s">
        <v>63</v>
      </c>
      <c r="K677" s="593">
        <v>45908</v>
      </c>
      <c r="L677" s="594" t="s">
        <v>4123</v>
      </c>
      <c r="M677" s="594" t="s">
        <v>4124</v>
      </c>
      <c r="N677" s="575">
        <v>992884552</v>
      </c>
      <c r="O677" s="596">
        <v>15</v>
      </c>
      <c r="P677" s="576" t="s">
        <v>442</v>
      </c>
      <c r="Q677" s="576" t="s">
        <v>62</v>
      </c>
      <c r="R677" s="597"/>
      <c r="S677" s="575" t="str">
        <f t="shared" si="26"/>
        <v>002-201-00004951</v>
      </c>
      <c r="T677" s="598">
        <v>101955365</v>
      </c>
      <c r="U677" s="621" t="s">
        <v>4125</v>
      </c>
    </row>
    <row r="678" spans="1:21" ht="24" customHeight="1" x14ac:dyDescent="0.2">
      <c r="A678" s="624">
        <v>673</v>
      </c>
      <c r="B678" s="208">
        <v>45693</v>
      </c>
      <c r="C678" s="575" t="s">
        <v>862</v>
      </c>
      <c r="D678" s="575" t="s">
        <v>4127</v>
      </c>
      <c r="E678" s="576">
        <v>40461507</v>
      </c>
      <c r="F678" s="623" t="str">
        <f t="shared" ref="F678:F697" si="29">VLOOKUP(E678,PROD,2,FALSE)</f>
        <v>C 610 NEGRA CAMPANA (110V-60HZ) C/KIT</v>
      </c>
      <c r="G678" s="575" t="s">
        <v>4128</v>
      </c>
      <c r="H678" s="576" t="s">
        <v>41</v>
      </c>
      <c r="I678" s="576" t="s">
        <v>62</v>
      </c>
      <c r="J678" s="576" t="s">
        <v>63</v>
      </c>
      <c r="K678" s="593">
        <v>45908</v>
      </c>
      <c r="L678" s="594" t="s">
        <v>4123</v>
      </c>
      <c r="M678" s="594" t="s">
        <v>4124</v>
      </c>
      <c r="N678" s="575">
        <v>992884552</v>
      </c>
      <c r="O678" s="596">
        <v>15</v>
      </c>
      <c r="P678" s="576" t="s">
        <v>442</v>
      </c>
      <c r="Q678" s="576" t="s">
        <v>62</v>
      </c>
      <c r="R678" s="597"/>
      <c r="S678" s="575" t="str">
        <f t="shared" si="26"/>
        <v>002-201-000011498</v>
      </c>
      <c r="T678" s="598">
        <v>101955365</v>
      </c>
      <c r="U678" s="621" t="s">
        <v>4125</v>
      </c>
    </row>
    <row r="679" spans="1:21" ht="24" customHeight="1" x14ac:dyDescent="0.2">
      <c r="A679" s="624">
        <v>674</v>
      </c>
      <c r="B679" s="208">
        <v>45693</v>
      </c>
      <c r="C679" s="575" t="s">
        <v>862</v>
      </c>
      <c r="D679" s="575" t="s">
        <v>4127</v>
      </c>
      <c r="E679" s="576">
        <v>40212014</v>
      </c>
      <c r="F679" s="623" t="str">
        <f t="shared" si="29"/>
        <v>EX 60.1 4G AI DR CI COCINA INOX</v>
      </c>
      <c r="G679" s="575" t="s">
        <v>4129</v>
      </c>
      <c r="H679" s="576" t="s">
        <v>41</v>
      </c>
      <c r="I679" s="576" t="s">
        <v>62</v>
      </c>
      <c r="J679" s="576" t="s">
        <v>63</v>
      </c>
      <c r="K679" s="593">
        <v>45908</v>
      </c>
      <c r="L679" s="594" t="s">
        <v>4123</v>
      </c>
      <c r="M679" s="594" t="s">
        <v>4124</v>
      </c>
      <c r="N679" s="575">
        <v>992884552</v>
      </c>
      <c r="O679" s="596">
        <v>15</v>
      </c>
      <c r="P679" s="576" t="s">
        <v>442</v>
      </c>
      <c r="Q679" s="576" t="s">
        <v>62</v>
      </c>
      <c r="R679" s="597"/>
      <c r="S679" s="575" t="str">
        <f t="shared" si="26"/>
        <v>002-201-000011498</v>
      </c>
      <c r="T679" s="598">
        <v>101955365</v>
      </c>
      <c r="U679" s="621" t="s">
        <v>4125</v>
      </c>
    </row>
    <row r="680" spans="1:21" ht="24" customHeight="1" x14ac:dyDescent="0.2">
      <c r="A680" s="624">
        <v>675</v>
      </c>
      <c r="B680" s="208">
        <v>45747</v>
      </c>
      <c r="C680" s="575" t="s">
        <v>190</v>
      </c>
      <c r="D680" s="575" t="s">
        <v>4130</v>
      </c>
      <c r="E680" s="576">
        <v>113610005</v>
      </c>
      <c r="F680" s="623" t="str">
        <f t="shared" si="29"/>
        <v>RVF 10032 VINERA</v>
      </c>
      <c r="G680" s="575" t="s">
        <v>4131</v>
      </c>
      <c r="H680" s="576" t="s">
        <v>41</v>
      </c>
      <c r="I680" s="576" t="s">
        <v>62</v>
      </c>
      <c r="J680" s="576" t="s">
        <v>63</v>
      </c>
      <c r="K680" s="593">
        <v>45909</v>
      </c>
      <c r="L680" s="594" t="s">
        <v>4132</v>
      </c>
      <c r="M680" s="594" t="s">
        <v>3653</v>
      </c>
      <c r="N680" s="575">
        <v>999611839</v>
      </c>
      <c r="O680" s="596">
        <v>15</v>
      </c>
      <c r="P680" s="576" t="s">
        <v>442</v>
      </c>
      <c r="Q680" s="576" t="s">
        <v>62</v>
      </c>
      <c r="R680" s="597"/>
      <c r="S680" s="575" t="str">
        <f t="shared" si="26"/>
        <v>006-002-000157787</v>
      </c>
      <c r="T680" s="598">
        <v>101775047</v>
      </c>
      <c r="U680" s="621" t="s">
        <v>4133</v>
      </c>
    </row>
    <row r="681" spans="1:21" ht="24" customHeight="1" x14ac:dyDescent="0.2">
      <c r="A681" s="624">
        <v>676</v>
      </c>
      <c r="B681" s="208">
        <v>45747</v>
      </c>
      <c r="C681" s="575" t="s">
        <v>190</v>
      </c>
      <c r="D681" s="575" t="s">
        <v>4130</v>
      </c>
      <c r="E681" s="576">
        <v>111000078</v>
      </c>
      <c r="F681" s="623" t="str">
        <f t="shared" si="29"/>
        <v>HLB 8400 FBK HORNO ELEC</v>
      </c>
      <c r="G681" s="575" t="s">
        <v>4134</v>
      </c>
      <c r="H681" s="576" t="s">
        <v>41</v>
      </c>
      <c r="I681" s="576" t="s">
        <v>62</v>
      </c>
      <c r="J681" s="576" t="s">
        <v>63</v>
      </c>
      <c r="K681" s="593">
        <v>45909</v>
      </c>
      <c r="L681" s="594" t="s">
        <v>4132</v>
      </c>
      <c r="M681" s="594" t="s">
        <v>3653</v>
      </c>
      <c r="N681" s="575">
        <v>999611839</v>
      </c>
      <c r="O681" s="596">
        <v>15</v>
      </c>
      <c r="P681" s="576" t="s">
        <v>442</v>
      </c>
      <c r="Q681" s="576" t="s">
        <v>62</v>
      </c>
      <c r="R681" s="597"/>
      <c r="S681" s="575" t="str">
        <f t="shared" si="26"/>
        <v>006-002-000157787</v>
      </c>
      <c r="T681" s="598">
        <v>101775047</v>
      </c>
      <c r="U681" s="621" t="s">
        <v>4133</v>
      </c>
    </row>
    <row r="682" spans="1:21" ht="24" customHeight="1" x14ac:dyDescent="0.2">
      <c r="A682" s="624">
        <v>677</v>
      </c>
      <c r="B682" s="208">
        <v>45747</v>
      </c>
      <c r="C682" s="575" t="s">
        <v>190</v>
      </c>
      <c r="D682" s="575" t="s">
        <v>4130</v>
      </c>
      <c r="E682" s="576">
        <v>112030019</v>
      </c>
      <c r="F682" s="623" t="str">
        <f t="shared" si="29"/>
        <v>ML 8220 BIS FBK- MICROONDAS</v>
      </c>
      <c r="G682" s="575" t="s">
        <v>4135</v>
      </c>
      <c r="H682" s="576" t="s">
        <v>41</v>
      </c>
      <c r="I682" s="576" t="s">
        <v>62</v>
      </c>
      <c r="J682" s="576" t="s">
        <v>63</v>
      </c>
      <c r="K682" s="593">
        <v>45909</v>
      </c>
      <c r="L682" s="594" t="s">
        <v>4132</v>
      </c>
      <c r="M682" s="594" t="s">
        <v>3653</v>
      </c>
      <c r="N682" s="575">
        <v>999611839</v>
      </c>
      <c r="O682" s="596">
        <v>15</v>
      </c>
      <c r="P682" s="576" t="s">
        <v>442</v>
      </c>
      <c r="Q682" s="576" t="s">
        <v>62</v>
      </c>
      <c r="R682" s="597"/>
      <c r="S682" s="575" t="str">
        <f t="shared" si="26"/>
        <v>006-002-000157787</v>
      </c>
      <c r="T682" s="598">
        <v>101775047</v>
      </c>
      <c r="U682" s="621" t="s">
        <v>4133</v>
      </c>
    </row>
    <row r="683" spans="1:21" ht="24" customHeight="1" x14ac:dyDescent="0.2">
      <c r="A683" s="624">
        <v>678</v>
      </c>
      <c r="B683" s="208">
        <v>45747</v>
      </c>
      <c r="C683" s="575" t="s">
        <v>190</v>
      </c>
      <c r="D683" s="575" t="s">
        <v>4130</v>
      </c>
      <c r="E683" s="576">
        <v>112570073</v>
      </c>
      <c r="F683" s="623" t="str">
        <f t="shared" si="29"/>
        <v>GZC 96310 XBB CRISTAL COCINA GAS</v>
      </c>
      <c r="G683" s="575" t="s">
        <v>4136</v>
      </c>
      <c r="H683" s="576" t="s">
        <v>41</v>
      </c>
      <c r="I683" s="576" t="s">
        <v>62</v>
      </c>
      <c r="J683" s="576" t="s">
        <v>63</v>
      </c>
      <c r="K683" s="593">
        <v>45909</v>
      </c>
      <c r="L683" s="594" t="s">
        <v>4132</v>
      </c>
      <c r="M683" s="594" t="s">
        <v>3653</v>
      </c>
      <c r="N683" s="575">
        <v>999611839</v>
      </c>
      <c r="O683" s="596">
        <v>15</v>
      </c>
      <c r="P683" s="576" t="s">
        <v>442</v>
      </c>
      <c r="Q683" s="576" t="s">
        <v>62</v>
      </c>
      <c r="R683" s="597"/>
      <c r="S683" s="575" t="str">
        <f t="shared" si="26"/>
        <v>006-002-000157787</v>
      </c>
      <c r="T683" s="598">
        <v>101775047</v>
      </c>
      <c r="U683" s="621" t="s">
        <v>4133</v>
      </c>
    </row>
    <row r="684" spans="1:21" ht="24" customHeight="1" x14ac:dyDescent="0.2">
      <c r="A684" s="624">
        <v>679</v>
      </c>
      <c r="B684" s="208">
        <v>45747</v>
      </c>
      <c r="C684" s="575" t="s">
        <v>190</v>
      </c>
      <c r="D684" s="575" t="s">
        <v>4130</v>
      </c>
      <c r="E684" s="576">
        <v>113430073</v>
      </c>
      <c r="F684" s="623" t="str">
        <f t="shared" si="29"/>
        <v>RMF 77960 DSS MX REFRIGERADORA DARK INOX</v>
      </c>
      <c r="G684" s="575" t="s">
        <v>4137</v>
      </c>
      <c r="H684" s="576" t="s">
        <v>41</v>
      </c>
      <c r="I684" s="576" t="s">
        <v>62</v>
      </c>
      <c r="J684" s="576" t="s">
        <v>63</v>
      </c>
      <c r="K684" s="593">
        <v>45909</v>
      </c>
      <c r="L684" s="594" t="s">
        <v>4132</v>
      </c>
      <c r="M684" s="594" t="s">
        <v>3653</v>
      </c>
      <c r="N684" s="575">
        <v>999611839</v>
      </c>
      <c r="O684" s="596">
        <v>15</v>
      </c>
      <c r="P684" s="576" t="s">
        <v>442</v>
      </c>
      <c r="Q684" s="576" t="s">
        <v>62</v>
      </c>
      <c r="R684" s="597"/>
      <c r="S684" s="575" t="str">
        <f t="shared" si="26"/>
        <v>006-002-000157787</v>
      </c>
      <c r="T684" s="598">
        <v>101775047</v>
      </c>
      <c r="U684" s="621" t="s">
        <v>4133</v>
      </c>
    </row>
    <row r="685" spans="1:21" ht="24" customHeight="1" x14ac:dyDescent="0.2">
      <c r="A685" s="624">
        <v>680</v>
      </c>
      <c r="B685" s="208">
        <v>45747</v>
      </c>
      <c r="C685" s="575" t="s">
        <v>190</v>
      </c>
      <c r="D685" s="575" t="s">
        <v>4130</v>
      </c>
      <c r="E685" s="576">
        <v>40782127</v>
      </c>
      <c r="F685" s="623" t="str">
        <f t="shared" si="29"/>
        <v>DW8 57 FIM PANELABLE LAVAVAJILLAS</v>
      </c>
      <c r="G685" s="575" t="s">
        <v>4138</v>
      </c>
      <c r="H685" s="576" t="s">
        <v>41</v>
      </c>
      <c r="I685" s="576" t="s">
        <v>62</v>
      </c>
      <c r="J685" s="576" t="s">
        <v>63</v>
      </c>
      <c r="K685" s="593">
        <v>45909</v>
      </c>
      <c r="L685" s="594" t="s">
        <v>4132</v>
      </c>
      <c r="M685" s="594" t="s">
        <v>3653</v>
      </c>
      <c r="N685" s="575">
        <v>999611839</v>
      </c>
      <c r="O685" s="596">
        <v>15</v>
      </c>
      <c r="P685" s="576" t="s">
        <v>442</v>
      </c>
      <c r="Q685" s="576" t="s">
        <v>62</v>
      </c>
      <c r="R685" s="597"/>
      <c r="S685" s="575" t="str">
        <f t="shared" si="26"/>
        <v>006-002-000157787</v>
      </c>
      <c r="T685" s="598">
        <v>101775047</v>
      </c>
      <c r="U685" s="621" t="s">
        <v>4133</v>
      </c>
    </row>
    <row r="686" spans="1:21" ht="24" customHeight="1" x14ac:dyDescent="0.2">
      <c r="A686" s="624">
        <v>681</v>
      </c>
      <c r="B686" s="208">
        <v>45866</v>
      </c>
      <c r="C686" s="575" t="s">
        <v>4139</v>
      </c>
      <c r="D686" s="575" t="s">
        <v>4140</v>
      </c>
      <c r="E686" s="576">
        <v>112500046</v>
      </c>
      <c r="F686" s="623" t="str">
        <f t="shared" si="29"/>
        <v>IZF 88700 MST COCINA INDUCCION</v>
      </c>
      <c r="G686" s="575" t="s">
        <v>4141</v>
      </c>
      <c r="H686" s="576" t="s">
        <v>41</v>
      </c>
      <c r="I686" s="576" t="s">
        <v>62</v>
      </c>
      <c r="J686" s="576" t="s">
        <v>63</v>
      </c>
      <c r="K686" s="593">
        <v>45910</v>
      </c>
      <c r="L686" s="594" t="s">
        <v>4142</v>
      </c>
      <c r="M686" s="594" t="s">
        <v>4143</v>
      </c>
      <c r="N686" s="575">
        <v>998161675</v>
      </c>
      <c r="O686" s="596">
        <v>20</v>
      </c>
      <c r="P686" s="576" t="s">
        <v>442</v>
      </c>
      <c r="Q686" s="576" t="s">
        <v>62</v>
      </c>
      <c r="R686" s="597"/>
      <c r="S686" s="575" t="str">
        <f t="shared" si="26"/>
        <v>004-010-000005378</v>
      </c>
      <c r="T686" s="598">
        <v>404391713</v>
      </c>
      <c r="U686" s="621" t="s">
        <v>4144</v>
      </c>
    </row>
    <row r="687" spans="1:21" ht="24" customHeight="1" x14ac:dyDescent="0.2">
      <c r="A687" s="624">
        <v>682</v>
      </c>
      <c r="B687" s="208">
        <v>45866</v>
      </c>
      <c r="C687" s="575" t="s">
        <v>4139</v>
      </c>
      <c r="D687" s="575" t="s">
        <v>4140</v>
      </c>
      <c r="E687" s="576">
        <v>113120010</v>
      </c>
      <c r="F687" s="623" t="str">
        <f t="shared" si="29"/>
        <v>GFI 97350 ECS IX 110/60 CAMPANA</v>
      </c>
      <c r="G687" s="575" t="s">
        <v>4145</v>
      </c>
      <c r="H687" s="576" t="s">
        <v>41</v>
      </c>
      <c r="I687" s="576" t="s">
        <v>62</v>
      </c>
      <c r="J687" s="576" t="s">
        <v>63</v>
      </c>
      <c r="K687" s="593">
        <v>45910</v>
      </c>
      <c r="L687" s="594" t="s">
        <v>4142</v>
      </c>
      <c r="M687" s="594" t="s">
        <v>4143</v>
      </c>
      <c r="N687" s="575">
        <v>998161675</v>
      </c>
      <c r="O687" s="596">
        <v>20</v>
      </c>
      <c r="P687" s="576" t="s">
        <v>442</v>
      </c>
      <c r="Q687" s="576" t="s">
        <v>62</v>
      </c>
      <c r="R687" s="597"/>
      <c r="S687" s="575" t="str">
        <f t="shared" si="26"/>
        <v>004-010-000005378</v>
      </c>
      <c r="T687" s="598">
        <v>404391713</v>
      </c>
      <c r="U687" s="621" t="s">
        <v>4144</v>
      </c>
    </row>
    <row r="688" spans="1:21" ht="24" customHeight="1" x14ac:dyDescent="0.2">
      <c r="A688" s="624">
        <v>683</v>
      </c>
      <c r="B688" s="208">
        <v>45870</v>
      </c>
      <c r="C688" s="575" t="s">
        <v>202</v>
      </c>
      <c r="D688" s="575" t="s">
        <v>4146</v>
      </c>
      <c r="E688" s="576">
        <v>112030019</v>
      </c>
      <c r="F688" s="623" t="str">
        <f t="shared" si="29"/>
        <v>ML 8220 BIS FBK- MICROONDAS</v>
      </c>
      <c r="G688" s="575" t="s">
        <v>4147</v>
      </c>
      <c r="H688" s="576" t="s">
        <v>41</v>
      </c>
      <c r="I688" s="576" t="s">
        <v>62</v>
      </c>
      <c r="J688" s="576" t="s">
        <v>63</v>
      </c>
      <c r="K688" s="593">
        <v>45911</v>
      </c>
      <c r="L688" s="594" t="s">
        <v>4148</v>
      </c>
      <c r="M688" s="594" t="s">
        <v>4149</v>
      </c>
      <c r="N688" s="575">
        <v>987666079</v>
      </c>
      <c r="O688" s="596">
        <v>15</v>
      </c>
      <c r="P688" s="576" t="s">
        <v>442</v>
      </c>
      <c r="Q688" s="576" t="s">
        <v>62</v>
      </c>
      <c r="R688" s="597"/>
      <c r="S688" s="575" t="str">
        <f t="shared" si="26"/>
        <v>001-018-000071702</v>
      </c>
      <c r="T688" s="598">
        <v>151314065</v>
      </c>
      <c r="U688" s="621" t="s">
        <v>4150</v>
      </c>
    </row>
    <row r="689" spans="1:21" ht="24" customHeight="1" x14ac:dyDescent="0.2">
      <c r="A689" s="624">
        <v>684</v>
      </c>
      <c r="B689" s="208">
        <v>45870</v>
      </c>
      <c r="C689" s="575" t="s">
        <v>202</v>
      </c>
      <c r="D689" s="575" t="s">
        <v>4146</v>
      </c>
      <c r="E689" s="576">
        <v>111000078</v>
      </c>
      <c r="F689" s="623" t="str">
        <f t="shared" si="29"/>
        <v>HLB 8400 FBK HORNO ELEC</v>
      </c>
      <c r="G689" s="575" t="s">
        <v>4151</v>
      </c>
      <c r="H689" s="576" t="s">
        <v>41</v>
      </c>
      <c r="I689" s="576" t="s">
        <v>62</v>
      </c>
      <c r="J689" s="576" t="s">
        <v>63</v>
      </c>
      <c r="K689" s="593">
        <v>45911</v>
      </c>
      <c r="L689" s="594" t="s">
        <v>4148</v>
      </c>
      <c r="M689" s="594" t="s">
        <v>4149</v>
      </c>
      <c r="N689" s="575">
        <v>987666079</v>
      </c>
      <c r="O689" s="596">
        <v>15</v>
      </c>
      <c r="P689" s="576" t="s">
        <v>442</v>
      </c>
      <c r="Q689" s="576" t="s">
        <v>62</v>
      </c>
      <c r="R689" s="597"/>
      <c r="S689" s="575" t="str">
        <f t="shared" si="26"/>
        <v>001-018-000071702</v>
      </c>
      <c r="T689" s="598">
        <v>151314065</v>
      </c>
      <c r="U689" s="621" t="s">
        <v>4150</v>
      </c>
    </row>
    <row r="690" spans="1:21" ht="24" customHeight="1" x14ac:dyDescent="0.2">
      <c r="A690" s="624">
        <v>685</v>
      </c>
      <c r="B690" s="208">
        <v>45870</v>
      </c>
      <c r="C690" s="575" t="s">
        <v>202</v>
      </c>
      <c r="D690" s="575" t="s">
        <v>4146</v>
      </c>
      <c r="E690" s="576">
        <v>112930048</v>
      </c>
      <c r="F690" s="623" t="str">
        <f t="shared" si="29"/>
        <v>DVT 88660 TRL BK</v>
      </c>
      <c r="G690" s="575" t="s">
        <v>4152</v>
      </c>
      <c r="H690" s="576" t="s">
        <v>41</v>
      </c>
      <c r="I690" s="576" t="s">
        <v>62</v>
      </c>
      <c r="J690" s="576" t="s">
        <v>63</v>
      </c>
      <c r="K690" s="593">
        <v>45911</v>
      </c>
      <c r="L690" s="594" t="s">
        <v>4148</v>
      </c>
      <c r="M690" s="594" t="s">
        <v>4149</v>
      </c>
      <c r="N690" s="575">
        <v>987666079</v>
      </c>
      <c r="O690" s="596">
        <v>15</v>
      </c>
      <c r="P690" s="576" t="s">
        <v>442</v>
      </c>
      <c r="Q690" s="576" t="s">
        <v>62</v>
      </c>
      <c r="R690" s="597"/>
      <c r="S690" s="575" t="str">
        <f t="shared" si="26"/>
        <v>001-018-000071702</v>
      </c>
      <c r="T690" s="598">
        <v>151314065</v>
      </c>
      <c r="U690" s="621" t="s">
        <v>4150</v>
      </c>
    </row>
    <row r="691" spans="1:21" ht="24" customHeight="1" x14ac:dyDescent="0.2">
      <c r="A691" s="624">
        <v>686</v>
      </c>
      <c r="B691" s="208">
        <v>45856</v>
      </c>
      <c r="C691" s="575" t="s">
        <v>100</v>
      </c>
      <c r="D691" s="575" t="s">
        <v>4153</v>
      </c>
      <c r="E691" s="576">
        <v>40590835</v>
      </c>
      <c r="F691" s="623" t="str">
        <f t="shared" si="29"/>
        <v>MWG 14X - MICROONDAS</v>
      </c>
      <c r="G691" s="575" t="s">
        <v>4154</v>
      </c>
      <c r="H691" s="576" t="s">
        <v>41</v>
      </c>
      <c r="I691" s="576" t="s">
        <v>62</v>
      </c>
      <c r="J691" s="576" t="s">
        <v>63</v>
      </c>
      <c r="K691" s="593">
        <v>45912</v>
      </c>
      <c r="L691" s="594" t="s">
        <v>4155</v>
      </c>
      <c r="M691" s="594" t="s">
        <v>2105</v>
      </c>
      <c r="N691" s="575" t="s">
        <v>4156</v>
      </c>
      <c r="O691" s="596">
        <v>15</v>
      </c>
      <c r="P691" s="576" t="s">
        <v>442</v>
      </c>
      <c r="Q691" s="576" t="s">
        <v>62</v>
      </c>
      <c r="R691" s="597"/>
      <c r="S691" s="575" t="str">
        <f t="shared" si="26"/>
        <v>001-500-000075108</v>
      </c>
      <c r="T691" s="598">
        <v>1202441992</v>
      </c>
      <c r="U691" s="621" t="s">
        <v>4157</v>
      </c>
    </row>
    <row r="692" spans="1:21" ht="24" customHeight="1" x14ac:dyDescent="0.2">
      <c r="A692" s="624">
        <v>687</v>
      </c>
      <c r="B692" s="208">
        <v>45856</v>
      </c>
      <c r="C692" s="575" t="s">
        <v>100</v>
      </c>
      <c r="D692" s="575" t="s">
        <v>4153</v>
      </c>
      <c r="E692" s="576">
        <v>113120010</v>
      </c>
      <c r="F692" s="623" t="str">
        <f t="shared" si="29"/>
        <v>GFI 97350 ECS IX 110/60 CAMPANA</v>
      </c>
      <c r="G692" s="575" t="s">
        <v>4154</v>
      </c>
      <c r="H692" s="576" t="s">
        <v>41</v>
      </c>
      <c r="I692" s="576" t="s">
        <v>62</v>
      </c>
      <c r="J692" s="576" t="s">
        <v>63</v>
      </c>
      <c r="K692" s="593">
        <v>45912</v>
      </c>
      <c r="L692" s="594" t="s">
        <v>4155</v>
      </c>
      <c r="M692" s="594" t="s">
        <v>2105</v>
      </c>
      <c r="N692" s="575" t="s">
        <v>4156</v>
      </c>
      <c r="O692" s="596">
        <v>15</v>
      </c>
      <c r="P692" s="576" t="s">
        <v>442</v>
      </c>
      <c r="Q692" s="576" t="s">
        <v>62</v>
      </c>
      <c r="R692" s="597"/>
      <c r="S692" s="575" t="str">
        <f t="shared" si="26"/>
        <v>001-500-000075108</v>
      </c>
      <c r="T692" s="598">
        <v>1202441992</v>
      </c>
      <c r="U692" s="621" t="s">
        <v>4157</v>
      </c>
    </row>
    <row r="693" spans="1:21" ht="24" customHeight="1" x14ac:dyDescent="0.2">
      <c r="A693" s="624">
        <v>688</v>
      </c>
      <c r="B693" s="208">
        <v>45856</v>
      </c>
      <c r="C693" s="575" t="s">
        <v>100</v>
      </c>
      <c r="D693" s="575" t="s">
        <v>4153</v>
      </c>
      <c r="E693" s="576">
        <v>111010028</v>
      </c>
      <c r="F693" s="623" t="str">
        <f t="shared" si="29"/>
        <v>HSB 646 "AIRFRY" - HORNO ELEC</v>
      </c>
      <c r="G693" s="575" t="s">
        <v>4154</v>
      </c>
      <c r="H693" s="576" t="s">
        <v>41</v>
      </c>
      <c r="I693" s="576" t="s">
        <v>62</v>
      </c>
      <c r="J693" s="576" t="s">
        <v>63</v>
      </c>
      <c r="K693" s="593">
        <v>45912</v>
      </c>
      <c r="L693" s="594" t="s">
        <v>4155</v>
      </c>
      <c r="M693" s="594" t="s">
        <v>2105</v>
      </c>
      <c r="N693" s="575" t="s">
        <v>4156</v>
      </c>
      <c r="O693" s="596">
        <v>15</v>
      </c>
      <c r="P693" s="576" t="s">
        <v>442</v>
      </c>
      <c r="Q693" s="576" t="s">
        <v>62</v>
      </c>
      <c r="R693" s="597"/>
      <c r="S693" s="575" t="str">
        <f t="shared" si="26"/>
        <v>001-500-000075108</v>
      </c>
      <c r="T693" s="598">
        <v>1202441992</v>
      </c>
      <c r="U693" s="621" t="s">
        <v>4157</v>
      </c>
    </row>
    <row r="694" spans="1:21" ht="24" customHeight="1" x14ac:dyDescent="0.2">
      <c r="A694" s="624">
        <v>689</v>
      </c>
      <c r="B694" s="208">
        <v>45856</v>
      </c>
      <c r="C694" s="575" t="s">
        <v>100</v>
      </c>
      <c r="D694" s="575" t="s">
        <v>4153</v>
      </c>
      <c r="E694" s="576">
        <v>40219050</v>
      </c>
      <c r="F694" s="623" t="str">
        <f t="shared" si="29"/>
        <v>EW 90 5G AI AL TR COCINA INOX</v>
      </c>
      <c r="G694" s="575" t="s">
        <v>4154</v>
      </c>
      <c r="H694" s="576" t="s">
        <v>41</v>
      </c>
      <c r="I694" s="576" t="s">
        <v>62</v>
      </c>
      <c r="J694" s="576" t="s">
        <v>63</v>
      </c>
      <c r="K694" s="593">
        <v>45912</v>
      </c>
      <c r="L694" s="594" t="s">
        <v>4155</v>
      </c>
      <c r="M694" s="594" t="s">
        <v>2105</v>
      </c>
      <c r="N694" s="575" t="s">
        <v>4156</v>
      </c>
      <c r="O694" s="596">
        <v>15</v>
      </c>
      <c r="P694" s="576" t="s">
        <v>442</v>
      </c>
      <c r="Q694" s="576" t="s">
        <v>62</v>
      </c>
      <c r="R694" s="597"/>
      <c r="S694" s="575" t="str">
        <f t="shared" si="26"/>
        <v>001-500-000075108</v>
      </c>
      <c r="T694" s="598">
        <v>1202441992</v>
      </c>
      <c r="U694" s="621" t="s">
        <v>4157</v>
      </c>
    </row>
    <row r="695" spans="1:21" ht="24" customHeight="1" x14ac:dyDescent="0.2">
      <c r="A695" s="624">
        <v>690</v>
      </c>
      <c r="B695" s="208">
        <v>45856</v>
      </c>
      <c r="C695" s="575" t="s">
        <v>100</v>
      </c>
      <c r="D695" s="575" t="s">
        <v>4153</v>
      </c>
      <c r="E695" s="576">
        <v>114270008</v>
      </c>
      <c r="F695" s="623" t="str">
        <f t="shared" si="29"/>
        <v>LAVAVAJILLAS DFI 46900 120 60 WH</v>
      </c>
      <c r="G695" s="575" t="s">
        <v>4154</v>
      </c>
      <c r="H695" s="576" t="s">
        <v>41</v>
      </c>
      <c r="I695" s="576" t="s">
        <v>62</v>
      </c>
      <c r="J695" s="576" t="s">
        <v>63</v>
      </c>
      <c r="K695" s="593">
        <v>45912</v>
      </c>
      <c r="L695" s="594" t="s">
        <v>4155</v>
      </c>
      <c r="M695" s="594" t="s">
        <v>2105</v>
      </c>
      <c r="N695" s="575" t="s">
        <v>4156</v>
      </c>
      <c r="O695" s="596">
        <v>15</v>
      </c>
      <c r="P695" s="576" t="s">
        <v>442</v>
      </c>
      <c r="Q695" s="576" t="s">
        <v>62</v>
      </c>
      <c r="R695" s="597"/>
      <c r="S695" s="575" t="str">
        <f t="shared" si="26"/>
        <v>001-500-000075108</v>
      </c>
      <c r="T695" s="598">
        <v>1202441992</v>
      </c>
      <c r="U695" s="621" t="s">
        <v>4157</v>
      </c>
    </row>
    <row r="696" spans="1:21" ht="24" customHeight="1" x14ac:dyDescent="0.2">
      <c r="A696" s="624">
        <v>691</v>
      </c>
      <c r="B696" s="208">
        <v>45744</v>
      </c>
      <c r="C696" s="575" t="s">
        <v>0</v>
      </c>
      <c r="D696" s="575" t="s">
        <v>4158</v>
      </c>
      <c r="E696" s="576">
        <v>111000051</v>
      </c>
      <c r="F696" s="623" t="str">
        <f t="shared" si="29"/>
        <v>HLB 8416 "AIR FRY" - HORNO ELEC</v>
      </c>
      <c r="G696" s="575" t="s">
        <v>4159</v>
      </c>
      <c r="H696" s="576" t="s">
        <v>41</v>
      </c>
      <c r="I696" s="576" t="s">
        <v>62</v>
      </c>
      <c r="J696" s="576" t="s">
        <v>63</v>
      </c>
      <c r="K696" s="593">
        <v>45912</v>
      </c>
      <c r="L696" s="594" t="s">
        <v>4160</v>
      </c>
      <c r="M696" s="594" t="s">
        <v>1071</v>
      </c>
      <c r="N696" s="575">
        <v>998810080</v>
      </c>
      <c r="O696" s="596">
        <v>15</v>
      </c>
      <c r="P696" s="576" t="s">
        <v>442</v>
      </c>
      <c r="Q696" s="576" t="s">
        <v>62</v>
      </c>
      <c r="R696" s="597"/>
      <c r="S696" s="575" t="str">
        <f t="shared" si="26"/>
        <v>004-040-000003038</v>
      </c>
      <c r="T696" s="598">
        <v>103657607</v>
      </c>
      <c r="U696" s="621" t="s">
        <v>4161</v>
      </c>
    </row>
    <row r="697" spans="1:21" ht="24" customHeight="1" x14ac:dyDescent="0.2">
      <c r="A697" s="624">
        <v>692</v>
      </c>
      <c r="B697" s="208">
        <v>45744</v>
      </c>
      <c r="C697" s="575" t="s">
        <v>0</v>
      </c>
      <c r="D697" s="575" t="s">
        <v>4162</v>
      </c>
      <c r="E697" s="576">
        <v>112950021</v>
      </c>
      <c r="F697" s="623" t="str">
        <f t="shared" si="29"/>
        <v>DVN 94030 TCL BK CAMPANA (110V-60HZ) C/KIT</v>
      </c>
      <c r="G697" s="575" t="s">
        <v>4163</v>
      </c>
      <c r="H697" s="576" t="s">
        <v>41</v>
      </c>
      <c r="I697" s="576" t="s">
        <v>62</v>
      </c>
      <c r="J697" s="576" t="s">
        <v>63</v>
      </c>
      <c r="K697" s="593">
        <v>45912</v>
      </c>
      <c r="L697" s="594" t="s">
        <v>4160</v>
      </c>
      <c r="M697" s="594" t="s">
        <v>1071</v>
      </c>
      <c r="N697" s="575">
        <v>998810080</v>
      </c>
      <c r="O697" s="596">
        <v>15</v>
      </c>
      <c r="P697" s="576" t="s">
        <v>442</v>
      </c>
      <c r="Q697" s="576" t="s">
        <v>62</v>
      </c>
      <c r="R697" s="597"/>
      <c r="S697" s="575" t="str">
        <f t="shared" si="26"/>
        <v>004-040-000002983</v>
      </c>
      <c r="T697" s="598">
        <v>103657607</v>
      </c>
      <c r="U697" s="621" t="s">
        <v>4161</v>
      </c>
    </row>
    <row r="698" spans="1:21" ht="24" customHeight="1" x14ac:dyDescent="0.2">
      <c r="A698" s="624">
        <v>693</v>
      </c>
      <c r="B698" s="208">
        <v>45744</v>
      </c>
      <c r="C698" s="575" t="s">
        <v>0</v>
      </c>
      <c r="D698" s="575" t="s">
        <v>4162</v>
      </c>
      <c r="E698" s="576">
        <v>112570068</v>
      </c>
      <c r="F698" s="623" t="str">
        <f t="shared" ref="F698:F721" si="30">VLOOKUP(E698,PROD,2,FALSE)</f>
        <v>GZC 95320 XBB CRISTAL COCINA GAS</v>
      </c>
      <c r="G698" s="575" t="s">
        <v>4164</v>
      </c>
      <c r="H698" s="576" t="s">
        <v>41</v>
      </c>
      <c r="I698" s="576" t="s">
        <v>62</v>
      </c>
      <c r="J698" s="576" t="s">
        <v>63</v>
      </c>
      <c r="K698" s="593">
        <v>45912</v>
      </c>
      <c r="L698" s="594" t="s">
        <v>4160</v>
      </c>
      <c r="M698" s="594" t="s">
        <v>1071</v>
      </c>
      <c r="N698" s="575">
        <v>998810080</v>
      </c>
      <c r="O698" s="596">
        <v>15</v>
      </c>
      <c r="P698" s="576" t="s">
        <v>442</v>
      </c>
      <c r="Q698" s="576" t="s">
        <v>62</v>
      </c>
      <c r="R698" s="597"/>
      <c r="S698" s="575" t="str">
        <f t="shared" si="26"/>
        <v>004-040-000002983</v>
      </c>
      <c r="T698" s="598">
        <v>103657607</v>
      </c>
      <c r="U698" s="621" t="s">
        <v>4161</v>
      </c>
    </row>
    <row r="699" spans="1:21" ht="24" customHeight="1" x14ac:dyDescent="0.2">
      <c r="A699" s="624">
        <v>694</v>
      </c>
      <c r="B699" s="208">
        <v>45897</v>
      </c>
      <c r="C699" s="575" t="s">
        <v>75</v>
      </c>
      <c r="D699" s="575" t="s">
        <v>4165</v>
      </c>
      <c r="E699" s="576">
        <v>41560041</v>
      </c>
      <c r="F699" s="623" t="str">
        <f t="shared" si="30"/>
        <v>HBB 535 INOX HORNO ELEC</v>
      </c>
      <c r="G699" s="575" t="s">
        <v>4166</v>
      </c>
      <c r="H699" s="576" t="s">
        <v>41</v>
      </c>
      <c r="I699" s="576" t="s">
        <v>62</v>
      </c>
      <c r="J699" s="576" t="s">
        <v>63</v>
      </c>
      <c r="K699" s="593">
        <v>45912</v>
      </c>
      <c r="L699" s="594" t="s">
        <v>4167</v>
      </c>
      <c r="M699" s="594" t="s">
        <v>4168</v>
      </c>
      <c r="N699" s="575">
        <v>9728982264</v>
      </c>
      <c r="O699" s="596">
        <v>20</v>
      </c>
      <c r="P699" s="576" t="s">
        <v>442</v>
      </c>
      <c r="Q699" s="576" t="s">
        <v>62</v>
      </c>
      <c r="R699" s="597"/>
      <c r="S699" s="575" t="str">
        <f t="shared" si="26"/>
        <v>001-001-000001258</v>
      </c>
      <c r="T699" s="598">
        <v>549894062</v>
      </c>
      <c r="U699" s="621" t="s">
        <v>4169</v>
      </c>
    </row>
    <row r="700" spans="1:21" ht="24" customHeight="1" x14ac:dyDescent="0.2">
      <c r="A700" s="624">
        <v>695</v>
      </c>
      <c r="B700" s="208">
        <v>45897</v>
      </c>
      <c r="C700" s="575" t="s">
        <v>75</v>
      </c>
      <c r="D700" s="575" t="s">
        <v>4165</v>
      </c>
      <c r="E700" s="576">
        <v>40782128</v>
      </c>
      <c r="F700" s="623" t="str">
        <f t="shared" si="30"/>
        <v>DW8 57 FIM-D LAVAVAJILLAS</v>
      </c>
      <c r="G700" s="575" t="s">
        <v>4170</v>
      </c>
      <c r="H700" s="576" t="s">
        <v>41</v>
      </c>
      <c r="I700" s="576" t="s">
        <v>62</v>
      </c>
      <c r="J700" s="576" t="s">
        <v>63</v>
      </c>
      <c r="K700" s="593">
        <v>45912</v>
      </c>
      <c r="L700" s="594" t="s">
        <v>4167</v>
      </c>
      <c r="M700" s="594" t="s">
        <v>4168</v>
      </c>
      <c r="N700" s="575">
        <v>9728982264</v>
      </c>
      <c r="O700" s="596">
        <v>20</v>
      </c>
      <c r="P700" s="576" t="s">
        <v>442</v>
      </c>
      <c r="Q700" s="576" t="s">
        <v>62</v>
      </c>
      <c r="R700" s="597"/>
      <c r="S700" s="575" t="str">
        <f t="shared" si="26"/>
        <v>001-001-000001258</v>
      </c>
      <c r="T700" s="598">
        <v>549894062</v>
      </c>
      <c r="U700" s="621" t="s">
        <v>4169</v>
      </c>
    </row>
    <row r="701" spans="1:21" ht="24" customHeight="1" x14ac:dyDescent="0.2">
      <c r="A701" s="624">
        <v>696</v>
      </c>
      <c r="B701" s="208">
        <v>45901</v>
      </c>
      <c r="C701" s="575" t="s">
        <v>100</v>
      </c>
      <c r="D701" s="575" t="s">
        <v>4171</v>
      </c>
      <c r="E701" s="576">
        <v>112520025</v>
      </c>
      <c r="F701" s="623" t="str">
        <f t="shared" si="30"/>
        <v>IZC 64010 MSS COCINA INDUCCION</v>
      </c>
      <c r="G701" s="575" t="s">
        <v>4172</v>
      </c>
      <c r="H701" s="576" t="s">
        <v>41</v>
      </c>
      <c r="I701" s="576" t="s">
        <v>62</v>
      </c>
      <c r="J701" s="576" t="s">
        <v>63</v>
      </c>
      <c r="K701" s="593">
        <v>45912</v>
      </c>
      <c r="L701" s="594" t="s">
        <v>4173</v>
      </c>
      <c r="M701" s="594" t="s">
        <v>3653</v>
      </c>
      <c r="N701" s="575" t="s">
        <v>4174</v>
      </c>
      <c r="O701" s="596">
        <v>15</v>
      </c>
      <c r="P701" s="576" t="s">
        <v>442</v>
      </c>
      <c r="Q701" s="576" t="s">
        <v>62</v>
      </c>
      <c r="R701" s="597"/>
      <c r="S701" s="575" t="str">
        <f t="shared" ref="S701:S727" si="31">D701</f>
        <v>001-500-000076519</v>
      </c>
      <c r="T701" s="598">
        <v>45006710</v>
      </c>
      <c r="U701" s="621" t="s">
        <v>4175</v>
      </c>
    </row>
    <row r="702" spans="1:21" ht="24" customHeight="1" x14ac:dyDescent="0.2">
      <c r="A702" s="624">
        <v>697</v>
      </c>
      <c r="B702" s="208">
        <v>45901</v>
      </c>
      <c r="C702" s="575" t="s">
        <v>100</v>
      </c>
      <c r="D702" s="575" t="s">
        <v>4171</v>
      </c>
      <c r="E702" s="576">
        <v>111000051</v>
      </c>
      <c r="F702" s="623" t="str">
        <f t="shared" si="30"/>
        <v>HLB 8416 "AIR FRY" - HORNO ELEC</v>
      </c>
      <c r="G702" s="575" t="s">
        <v>4176</v>
      </c>
      <c r="H702" s="576" t="s">
        <v>41</v>
      </c>
      <c r="I702" s="576" t="s">
        <v>62</v>
      </c>
      <c r="J702" s="576" t="s">
        <v>63</v>
      </c>
      <c r="K702" s="593">
        <v>45912</v>
      </c>
      <c r="L702" s="594" t="s">
        <v>4173</v>
      </c>
      <c r="M702" s="594" t="s">
        <v>3653</v>
      </c>
      <c r="N702" s="575" t="s">
        <v>4174</v>
      </c>
      <c r="O702" s="596">
        <v>15</v>
      </c>
      <c r="P702" s="576" t="s">
        <v>442</v>
      </c>
      <c r="Q702" s="576" t="s">
        <v>62</v>
      </c>
      <c r="R702" s="597"/>
      <c r="S702" s="575" t="str">
        <f t="shared" si="31"/>
        <v>001-500-000076519</v>
      </c>
      <c r="T702" s="598">
        <v>45006710</v>
      </c>
      <c r="U702" s="621" t="s">
        <v>4175</v>
      </c>
    </row>
    <row r="703" spans="1:21" ht="24" customHeight="1" x14ac:dyDescent="0.2">
      <c r="A703" s="624">
        <v>698</v>
      </c>
      <c r="B703" s="208">
        <v>45901</v>
      </c>
      <c r="C703" s="575" t="s">
        <v>100</v>
      </c>
      <c r="D703" s="575" t="s">
        <v>4171</v>
      </c>
      <c r="E703" s="576">
        <v>40461543</v>
      </c>
      <c r="F703" s="623" t="str">
        <f t="shared" si="30"/>
        <v>C 6310 INOX CAMPANA (110V-60HZ) C/KIT</v>
      </c>
      <c r="G703" s="575" t="s">
        <v>4177</v>
      </c>
      <c r="H703" s="576" t="s">
        <v>41</v>
      </c>
      <c r="I703" s="576" t="s">
        <v>62</v>
      </c>
      <c r="J703" s="576" t="s">
        <v>63</v>
      </c>
      <c r="K703" s="593">
        <v>45912</v>
      </c>
      <c r="L703" s="594" t="s">
        <v>4173</v>
      </c>
      <c r="M703" s="594" t="s">
        <v>3653</v>
      </c>
      <c r="N703" s="575" t="s">
        <v>4174</v>
      </c>
      <c r="O703" s="596">
        <v>15</v>
      </c>
      <c r="P703" s="576" t="s">
        <v>442</v>
      </c>
      <c r="Q703" s="576" t="s">
        <v>62</v>
      </c>
      <c r="R703" s="597"/>
      <c r="S703" s="575" t="str">
        <f t="shared" si="31"/>
        <v>001-500-000076519</v>
      </c>
      <c r="T703" s="598">
        <v>45006710</v>
      </c>
      <c r="U703" s="621" t="s">
        <v>4175</v>
      </c>
    </row>
    <row r="704" spans="1:21" ht="24" customHeight="1" x14ac:dyDescent="0.2">
      <c r="A704" s="624">
        <v>699</v>
      </c>
      <c r="B704" s="208">
        <v>45754</v>
      </c>
      <c r="C704" s="575" t="s">
        <v>187</v>
      </c>
      <c r="D704" s="575" t="s">
        <v>4178</v>
      </c>
      <c r="E704" s="576">
        <v>112600000</v>
      </c>
      <c r="F704" s="623" t="str">
        <f t="shared" ref="F704:F705" si="32">VLOOKUP(E704,PROD,2,FALSE)</f>
        <v>EX 90.1 5G AI DR CI COCINA INOX</v>
      </c>
      <c r="G704" s="575" t="s">
        <v>4179</v>
      </c>
      <c r="H704" s="576" t="s">
        <v>41</v>
      </c>
      <c r="I704" s="576" t="s">
        <v>62</v>
      </c>
      <c r="J704" s="576" t="s">
        <v>63</v>
      </c>
      <c r="K704" s="593">
        <v>45915</v>
      </c>
      <c r="L704" s="594" t="s">
        <v>4180</v>
      </c>
      <c r="M704" s="594" t="s">
        <v>2932</v>
      </c>
      <c r="N704" s="575">
        <v>984847325</v>
      </c>
      <c r="O704" s="596">
        <v>20</v>
      </c>
      <c r="P704" s="576" t="s">
        <v>442</v>
      </c>
      <c r="Q704" s="576" t="s">
        <v>62</v>
      </c>
      <c r="R704" s="597"/>
      <c r="S704" s="575" t="str">
        <f t="shared" si="31"/>
        <v>040-104-00000696</v>
      </c>
      <c r="T704" s="598">
        <v>103846556</v>
      </c>
      <c r="U704" s="621" t="s">
        <v>4181</v>
      </c>
    </row>
    <row r="705" spans="1:21" ht="24" customHeight="1" x14ac:dyDescent="0.2">
      <c r="A705" s="624">
        <v>700</v>
      </c>
      <c r="B705" s="208">
        <v>45754</v>
      </c>
      <c r="C705" s="575" t="s">
        <v>187</v>
      </c>
      <c r="D705" s="575" t="s">
        <v>4178</v>
      </c>
      <c r="E705" s="576">
        <v>111000051</v>
      </c>
      <c r="F705" s="623" t="str">
        <f t="shared" si="32"/>
        <v>HLB 8416 "AIR FRY" - HORNO ELEC</v>
      </c>
      <c r="G705" s="575" t="s">
        <v>4182</v>
      </c>
      <c r="H705" s="576" t="s">
        <v>41</v>
      </c>
      <c r="I705" s="576" t="s">
        <v>62</v>
      </c>
      <c r="J705" s="576" t="s">
        <v>63</v>
      </c>
      <c r="K705" s="593">
        <v>45915</v>
      </c>
      <c r="L705" s="594" t="s">
        <v>4180</v>
      </c>
      <c r="M705" s="594" t="s">
        <v>2932</v>
      </c>
      <c r="N705" s="575">
        <v>984847325</v>
      </c>
      <c r="O705" s="596">
        <v>20</v>
      </c>
      <c r="P705" s="576" t="s">
        <v>442</v>
      </c>
      <c r="Q705" s="576" t="s">
        <v>62</v>
      </c>
      <c r="R705" s="597"/>
      <c r="S705" s="575" t="str">
        <f t="shared" si="31"/>
        <v>040-104-00000696</v>
      </c>
      <c r="T705" s="598">
        <v>103846556</v>
      </c>
      <c r="U705" s="621" t="s">
        <v>4181</v>
      </c>
    </row>
    <row r="706" spans="1:21" ht="24" customHeight="1" x14ac:dyDescent="0.2">
      <c r="A706" s="624">
        <v>701</v>
      </c>
      <c r="B706" s="208">
        <v>45493</v>
      </c>
      <c r="C706" s="575" t="s">
        <v>161</v>
      </c>
      <c r="D706" s="575" t="s">
        <v>4183</v>
      </c>
      <c r="E706" s="576">
        <v>111000051</v>
      </c>
      <c r="F706" s="623" t="str">
        <f t="shared" si="30"/>
        <v>HLB 8416 "AIR FRY" - HORNO ELEC</v>
      </c>
      <c r="G706" s="575" t="s">
        <v>4184</v>
      </c>
      <c r="H706" s="576" t="s">
        <v>41</v>
      </c>
      <c r="I706" s="576" t="s">
        <v>62</v>
      </c>
      <c r="J706" s="576" t="s">
        <v>63</v>
      </c>
      <c r="K706" s="593">
        <v>45915</v>
      </c>
      <c r="L706" s="594" t="s">
        <v>4185</v>
      </c>
      <c r="M706" s="594" t="s">
        <v>4186</v>
      </c>
      <c r="N706" s="575">
        <v>985070778</v>
      </c>
      <c r="O706" s="596">
        <v>20</v>
      </c>
      <c r="P706" s="576" t="s">
        <v>442</v>
      </c>
      <c r="Q706" s="576" t="s">
        <v>62</v>
      </c>
      <c r="R706" s="597"/>
      <c r="S706" s="575" t="str">
        <f t="shared" si="31"/>
        <v>040-103-000006516</v>
      </c>
      <c r="T706" s="598">
        <v>961550209</v>
      </c>
      <c r="U706" s="621" t="s">
        <v>4187</v>
      </c>
    </row>
    <row r="707" spans="1:21" ht="24" customHeight="1" x14ac:dyDescent="0.2">
      <c r="A707" s="624">
        <v>702</v>
      </c>
      <c r="B707" s="208">
        <v>45493</v>
      </c>
      <c r="C707" s="575" t="s">
        <v>161</v>
      </c>
      <c r="D707" s="575" t="s">
        <v>4183</v>
      </c>
      <c r="E707" s="576">
        <v>112500046</v>
      </c>
      <c r="F707" s="623" t="str">
        <f t="shared" si="30"/>
        <v>IZF 88700 MST COCINA INDUCCION</v>
      </c>
      <c r="G707" s="575" t="s">
        <v>4188</v>
      </c>
      <c r="H707" s="576" t="s">
        <v>41</v>
      </c>
      <c r="I707" s="576" t="s">
        <v>62</v>
      </c>
      <c r="J707" s="576" t="s">
        <v>63</v>
      </c>
      <c r="K707" s="593">
        <v>45915</v>
      </c>
      <c r="L707" s="594" t="s">
        <v>4185</v>
      </c>
      <c r="M707" s="594" t="s">
        <v>4186</v>
      </c>
      <c r="N707" s="575">
        <v>985070778</v>
      </c>
      <c r="O707" s="596">
        <v>20</v>
      </c>
      <c r="P707" s="576" t="s">
        <v>442</v>
      </c>
      <c r="Q707" s="576" t="s">
        <v>62</v>
      </c>
      <c r="R707" s="597"/>
      <c r="S707" s="575" t="str">
        <f t="shared" si="31"/>
        <v>040-103-000006516</v>
      </c>
      <c r="T707" s="598">
        <v>961550209</v>
      </c>
      <c r="U707" s="621" t="s">
        <v>4187</v>
      </c>
    </row>
    <row r="708" spans="1:21" ht="24" customHeight="1" x14ac:dyDescent="0.2">
      <c r="A708" s="624">
        <v>703</v>
      </c>
      <c r="B708" s="208">
        <v>45594</v>
      </c>
      <c r="C708" s="575" t="s">
        <v>190</v>
      </c>
      <c r="D708" s="575" t="s">
        <v>4189</v>
      </c>
      <c r="E708" s="576">
        <v>112570124</v>
      </c>
      <c r="F708" s="623" t="str">
        <f t="shared" si="30"/>
        <v>JZC 64322 ABB BK (LAT) COCINA MIXTA GAS - INDUCCION</v>
      </c>
      <c r="G708" s="575" t="s">
        <v>4190</v>
      </c>
      <c r="H708" s="576" t="s">
        <v>41</v>
      </c>
      <c r="I708" s="576" t="s">
        <v>62</v>
      </c>
      <c r="J708" s="576" t="s">
        <v>63</v>
      </c>
      <c r="K708" s="593">
        <v>45915</v>
      </c>
      <c r="L708" s="594" t="s">
        <v>4191</v>
      </c>
      <c r="M708" s="594" t="s">
        <v>4192</v>
      </c>
      <c r="N708" s="575">
        <v>987434558</v>
      </c>
      <c r="O708" s="596">
        <v>15</v>
      </c>
      <c r="P708" s="576" t="s">
        <v>442</v>
      </c>
      <c r="Q708" s="576" t="s">
        <v>62</v>
      </c>
      <c r="R708" s="597"/>
      <c r="S708" s="575" t="str">
        <f t="shared" si="31"/>
        <v>006-002-000156940</v>
      </c>
      <c r="T708" s="598">
        <v>987434558</v>
      </c>
      <c r="U708" s="621" t="s">
        <v>4193</v>
      </c>
    </row>
    <row r="709" spans="1:21" ht="24" customHeight="1" x14ac:dyDescent="0.2">
      <c r="A709" s="624">
        <v>704</v>
      </c>
      <c r="B709" s="208">
        <v>45594</v>
      </c>
      <c r="C709" s="575" t="s">
        <v>190</v>
      </c>
      <c r="D709" s="575" t="s">
        <v>4189</v>
      </c>
      <c r="E709" s="576">
        <v>41560074</v>
      </c>
      <c r="F709" s="623" t="str">
        <f t="shared" si="30"/>
        <v>HLB 840 INOX HORNO ELEC</v>
      </c>
      <c r="G709" s="575" t="s">
        <v>4194</v>
      </c>
      <c r="H709" s="576" t="s">
        <v>41</v>
      </c>
      <c r="I709" s="576" t="s">
        <v>62</v>
      </c>
      <c r="J709" s="576" t="s">
        <v>63</v>
      </c>
      <c r="K709" s="593">
        <v>45915</v>
      </c>
      <c r="L709" s="594" t="s">
        <v>4191</v>
      </c>
      <c r="M709" s="594" t="s">
        <v>4192</v>
      </c>
      <c r="N709" s="575">
        <v>987434558</v>
      </c>
      <c r="O709" s="596">
        <v>15</v>
      </c>
      <c r="P709" s="576" t="s">
        <v>442</v>
      </c>
      <c r="Q709" s="576" t="s">
        <v>62</v>
      </c>
      <c r="R709" s="597"/>
      <c r="S709" s="575" t="str">
        <f t="shared" si="31"/>
        <v>006-002-000156940</v>
      </c>
      <c r="T709" s="598">
        <v>987434558</v>
      </c>
      <c r="U709" s="621" t="s">
        <v>4193</v>
      </c>
    </row>
    <row r="710" spans="1:21" ht="24" customHeight="1" x14ac:dyDescent="0.2">
      <c r="A710" s="624">
        <v>705</v>
      </c>
      <c r="B710" s="208">
        <v>45594</v>
      </c>
      <c r="C710" s="575" t="s">
        <v>190</v>
      </c>
      <c r="D710" s="575" t="s">
        <v>4189</v>
      </c>
      <c r="E710" s="576">
        <v>40584012</v>
      </c>
      <c r="F710" s="623" t="str">
        <f t="shared" si="30"/>
        <v>MS 620 BIS - MICROONDAS</v>
      </c>
      <c r="G710" s="575" t="s">
        <v>4195</v>
      </c>
      <c r="H710" s="576" t="s">
        <v>41</v>
      </c>
      <c r="I710" s="576" t="s">
        <v>62</v>
      </c>
      <c r="J710" s="576" t="s">
        <v>63</v>
      </c>
      <c r="K710" s="593">
        <v>45915</v>
      </c>
      <c r="L710" s="594" t="s">
        <v>4191</v>
      </c>
      <c r="M710" s="594" t="s">
        <v>4192</v>
      </c>
      <c r="N710" s="575">
        <v>987434558</v>
      </c>
      <c r="O710" s="596">
        <v>15</v>
      </c>
      <c r="P710" s="576" t="s">
        <v>442</v>
      </c>
      <c r="Q710" s="576" t="s">
        <v>62</v>
      </c>
      <c r="R710" s="597"/>
      <c r="S710" s="575" t="str">
        <f t="shared" si="31"/>
        <v>006-002-000156940</v>
      </c>
      <c r="T710" s="598">
        <v>987434558</v>
      </c>
      <c r="U710" s="621" t="s">
        <v>4193</v>
      </c>
    </row>
    <row r="711" spans="1:21" ht="24" customHeight="1" x14ac:dyDescent="0.2">
      <c r="A711" s="624">
        <v>706</v>
      </c>
      <c r="B711" s="208">
        <v>45594</v>
      </c>
      <c r="C711" s="575" t="s">
        <v>190</v>
      </c>
      <c r="D711" s="575" t="s">
        <v>4189</v>
      </c>
      <c r="E711" s="576">
        <v>40455334</v>
      </c>
      <c r="F711" s="623" t="str">
        <f t="shared" si="30"/>
        <v>NC 980 CRISTAL CAMPANA (110V-60HZ) C/KIT</v>
      </c>
      <c r="G711" s="575" t="s">
        <v>4196</v>
      </c>
      <c r="H711" s="576" t="s">
        <v>41</v>
      </c>
      <c r="I711" s="576" t="s">
        <v>62</v>
      </c>
      <c r="J711" s="576" t="s">
        <v>63</v>
      </c>
      <c r="K711" s="593">
        <v>45915</v>
      </c>
      <c r="L711" s="594" t="s">
        <v>4191</v>
      </c>
      <c r="M711" s="594" t="s">
        <v>4192</v>
      </c>
      <c r="N711" s="575">
        <v>987434558</v>
      </c>
      <c r="O711" s="596">
        <v>15</v>
      </c>
      <c r="P711" s="576" t="s">
        <v>442</v>
      </c>
      <c r="Q711" s="576" t="s">
        <v>62</v>
      </c>
      <c r="R711" s="597"/>
      <c r="S711" s="575" t="str">
        <f t="shared" si="31"/>
        <v>006-002-000156940</v>
      </c>
      <c r="T711" s="598">
        <v>987434558</v>
      </c>
      <c r="U711" s="621" t="s">
        <v>4193</v>
      </c>
    </row>
    <row r="712" spans="1:21" ht="24" customHeight="1" x14ac:dyDescent="0.2">
      <c r="A712" s="624">
        <v>707</v>
      </c>
      <c r="B712" s="208">
        <v>45913</v>
      </c>
      <c r="C712" s="575" t="s">
        <v>100</v>
      </c>
      <c r="D712" s="575" t="s">
        <v>4197</v>
      </c>
      <c r="E712" s="576">
        <v>112570124</v>
      </c>
      <c r="F712" s="623" t="str">
        <f t="shared" si="30"/>
        <v>JZC 64322 ABB BK (LAT) COCINA MIXTA GAS - INDUCCION</v>
      </c>
      <c r="G712" s="575" t="s">
        <v>4198</v>
      </c>
      <c r="H712" s="576" t="s">
        <v>41</v>
      </c>
      <c r="I712" s="576" t="s">
        <v>62</v>
      </c>
      <c r="J712" s="576" t="s">
        <v>63</v>
      </c>
      <c r="K712" s="593">
        <v>45916</v>
      </c>
      <c r="L712" s="594" t="s">
        <v>4199</v>
      </c>
      <c r="M712" s="594" t="s">
        <v>4200</v>
      </c>
      <c r="N712" s="575">
        <v>987249941</v>
      </c>
      <c r="O712" s="596">
        <v>15</v>
      </c>
      <c r="P712" s="576" t="s">
        <v>442</v>
      </c>
      <c r="Q712" s="576" t="s">
        <v>62</v>
      </c>
      <c r="R712" s="597"/>
      <c r="S712" s="575" t="str">
        <f t="shared" si="31"/>
        <v>001-500-000076849</v>
      </c>
      <c r="T712" s="598">
        <v>987249941</v>
      </c>
      <c r="U712" s="621" t="s">
        <v>4201</v>
      </c>
    </row>
    <row r="713" spans="1:21" ht="24" customHeight="1" x14ac:dyDescent="0.2">
      <c r="A713" s="624">
        <v>708</v>
      </c>
      <c r="B713" s="208">
        <v>45913</v>
      </c>
      <c r="C713" s="575" t="s">
        <v>100</v>
      </c>
      <c r="D713" s="575" t="s">
        <v>4197</v>
      </c>
      <c r="E713" s="576">
        <v>112030019</v>
      </c>
      <c r="F713" s="623" t="str">
        <f t="shared" si="30"/>
        <v>ML 8220 BIS FBK- MICROONDAS</v>
      </c>
      <c r="G713" s="575" t="s">
        <v>4202</v>
      </c>
      <c r="H713" s="576" t="s">
        <v>41</v>
      </c>
      <c r="I713" s="576" t="s">
        <v>62</v>
      </c>
      <c r="J713" s="576" t="s">
        <v>63</v>
      </c>
      <c r="K713" s="593">
        <v>45916</v>
      </c>
      <c r="L713" s="594" t="s">
        <v>4199</v>
      </c>
      <c r="M713" s="594" t="s">
        <v>4200</v>
      </c>
      <c r="N713" s="575">
        <v>987249941</v>
      </c>
      <c r="O713" s="596">
        <v>15</v>
      </c>
      <c r="P713" s="576" t="s">
        <v>442</v>
      </c>
      <c r="Q713" s="576" t="s">
        <v>62</v>
      </c>
      <c r="R713" s="597"/>
      <c r="S713" s="575" t="str">
        <f t="shared" si="31"/>
        <v>001-500-000076849</v>
      </c>
      <c r="T713" s="598">
        <v>987249941</v>
      </c>
      <c r="U713" s="621" t="s">
        <v>4201</v>
      </c>
    </row>
    <row r="714" spans="1:21" ht="24" customHeight="1" x14ac:dyDescent="0.2">
      <c r="A714" s="624">
        <v>709</v>
      </c>
      <c r="B714" s="208">
        <v>45913</v>
      </c>
      <c r="C714" s="575" t="s">
        <v>100</v>
      </c>
      <c r="D714" s="575" t="s">
        <v>4197</v>
      </c>
      <c r="E714" s="576">
        <v>111000078</v>
      </c>
      <c r="F714" s="623" t="str">
        <f t="shared" si="30"/>
        <v>HLB 8400 FBK HORNO ELEC</v>
      </c>
      <c r="G714" s="575" t="s">
        <v>4203</v>
      </c>
      <c r="H714" s="576" t="s">
        <v>41</v>
      </c>
      <c r="I714" s="576" t="s">
        <v>62</v>
      </c>
      <c r="J714" s="576" t="s">
        <v>63</v>
      </c>
      <c r="K714" s="593">
        <v>45916</v>
      </c>
      <c r="L714" s="594" t="s">
        <v>4199</v>
      </c>
      <c r="M714" s="594" t="s">
        <v>4200</v>
      </c>
      <c r="N714" s="575">
        <v>987249941</v>
      </c>
      <c r="O714" s="596">
        <v>15</v>
      </c>
      <c r="P714" s="576" t="s">
        <v>442</v>
      </c>
      <c r="Q714" s="576" t="s">
        <v>62</v>
      </c>
      <c r="R714" s="597"/>
      <c r="S714" s="575" t="str">
        <f t="shared" si="31"/>
        <v>001-500-000076849</v>
      </c>
      <c r="T714" s="598">
        <v>987249941</v>
      </c>
      <c r="U714" s="621" t="s">
        <v>4201</v>
      </c>
    </row>
    <row r="715" spans="1:21" ht="24" customHeight="1" x14ac:dyDescent="0.2">
      <c r="A715" s="624">
        <v>710</v>
      </c>
      <c r="B715" s="208">
        <v>45913</v>
      </c>
      <c r="C715" s="575" t="s">
        <v>100</v>
      </c>
      <c r="D715" s="575" t="s">
        <v>4197</v>
      </c>
      <c r="E715" s="576">
        <v>112950019</v>
      </c>
      <c r="F715" s="623" t="str">
        <f t="shared" si="30"/>
        <v>DVN 64030 TCL BK CAMPANA (110V-60HZ) C/KIT</v>
      </c>
      <c r="G715" s="575" t="s">
        <v>4204</v>
      </c>
      <c r="H715" s="576" t="s">
        <v>41</v>
      </c>
      <c r="I715" s="576" t="s">
        <v>62</v>
      </c>
      <c r="J715" s="576" t="s">
        <v>63</v>
      </c>
      <c r="K715" s="593">
        <v>45916</v>
      </c>
      <c r="L715" s="594" t="s">
        <v>4199</v>
      </c>
      <c r="M715" s="594" t="s">
        <v>4200</v>
      </c>
      <c r="N715" s="575">
        <v>987249941</v>
      </c>
      <c r="O715" s="596">
        <v>15</v>
      </c>
      <c r="P715" s="576" t="s">
        <v>442</v>
      </c>
      <c r="Q715" s="576" t="s">
        <v>62</v>
      </c>
      <c r="R715" s="597"/>
      <c r="S715" s="575" t="str">
        <f t="shared" si="31"/>
        <v>001-500-000076849</v>
      </c>
      <c r="T715" s="598">
        <v>987249941</v>
      </c>
      <c r="U715" s="621" t="s">
        <v>4201</v>
      </c>
    </row>
    <row r="716" spans="1:21" ht="24" customHeight="1" x14ac:dyDescent="0.2">
      <c r="A716" s="624">
        <v>711</v>
      </c>
      <c r="B716" s="208">
        <v>45822</v>
      </c>
      <c r="C716" s="575" t="s">
        <v>100</v>
      </c>
      <c r="D716" s="575" t="s">
        <v>4205</v>
      </c>
      <c r="E716" s="576">
        <v>111000051</v>
      </c>
      <c r="F716" s="623" t="str">
        <f t="shared" si="30"/>
        <v>HLB 8416 "AIR FRY" - HORNO ELEC</v>
      </c>
      <c r="G716" s="575" t="s">
        <v>4206</v>
      </c>
      <c r="H716" s="576" t="s">
        <v>41</v>
      </c>
      <c r="I716" s="576" t="s">
        <v>62</v>
      </c>
      <c r="J716" s="576" t="s">
        <v>63</v>
      </c>
      <c r="K716" s="593">
        <v>45917</v>
      </c>
      <c r="L716" s="594" t="s">
        <v>4207</v>
      </c>
      <c r="M716" s="594" t="s">
        <v>4208</v>
      </c>
      <c r="N716" s="575">
        <v>998676831</v>
      </c>
      <c r="O716" s="596">
        <v>20</v>
      </c>
      <c r="P716" s="576" t="s">
        <v>442</v>
      </c>
      <c r="Q716" s="576" t="s">
        <v>62</v>
      </c>
      <c r="R716" s="597"/>
      <c r="S716" s="575" t="str">
        <f t="shared" si="31"/>
        <v>001-500-000074247</v>
      </c>
      <c r="T716" s="598">
        <v>998676831</v>
      </c>
      <c r="U716" s="621" t="s">
        <v>4209</v>
      </c>
    </row>
    <row r="717" spans="1:21" ht="24" customHeight="1" x14ac:dyDescent="0.2">
      <c r="A717" s="624">
        <v>712</v>
      </c>
      <c r="B717" s="208">
        <v>45822</v>
      </c>
      <c r="C717" s="575" t="s">
        <v>100</v>
      </c>
      <c r="D717" s="575" t="s">
        <v>4205</v>
      </c>
      <c r="E717" s="576">
        <v>40584305</v>
      </c>
      <c r="F717" s="623" t="str">
        <f t="shared" si="30"/>
        <v>ML 822 BIS - MICROONDAS (112030008)</v>
      </c>
      <c r="G717" s="575" t="s">
        <v>4210</v>
      </c>
      <c r="H717" s="576" t="s">
        <v>41</v>
      </c>
      <c r="I717" s="576" t="s">
        <v>62</v>
      </c>
      <c r="J717" s="576" t="s">
        <v>63</v>
      </c>
      <c r="K717" s="593">
        <v>45917</v>
      </c>
      <c r="L717" s="594" t="s">
        <v>4207</v>
      </c>
      <c r="M717" s="594" t="s">
        <v>4208</v>
      </c>
      <c r="N717" s="575">
        <v>998676831</v>
      </c>
      <c r="O717" s="596">
        <v>20</v>
      </c>
      <c r="P717" s="576" t="s">
        <v>442</v>
      </c>
      <c r="Q717" s="576" t="s">
        <v>62</v>
      </c>
      <c r="R717" s="597"/>
      <c r="S717" s="575" t="str">
        <f t="shared" si="31"/>
        <v>001-500-000074247</v>
      </c>
      <c r="T717" s="598">
        <v>998676831</v>
      </c>
      <c r="U717" s="621" t="s">
        <v>4209</v>
      </c>
    </row>
    <row r="718" spans="1:21" ht="24" customHeight="1" x14ac:dyDescent="0.2">
      <c r="A718" s="624">
        <v>713</v>
      </c>
      <c r="B718" s="208">
        <v>45517</v>
      </c>
      <c r="C718" s="575" t="s">
        <v>100</v>
      </c>
      <c r="D718" s="575" t="s">
        <v>4211</v>
      </c>
      <c r="E718" s="576">
        <v>111010028</v>
      </c>
      <c r="F718" s="623" t="str">
        <f t="shared" si="30"/>
        <v>HSB 646 "AIRFRY" - HORNO ELEC</v>
      </c>
      <c r="G718" s="575" t="s">
        <v>4212</v>
      </c>
      <c r="H718" s="576" t="s">
        <v>41</v>
      </c>
      <c r="I718" s="576" t="s">
        <v>62</v>
      </c>
      <c r="J718" s="576" t="s">
        <v>63</v>
      </c>
      <c r="K718" s="593">
        <v>45917</v>
      </c>
      <c r="L718" s="594" t="s">
        <v>4213</v>
      </c>
      <c r="M718" s="594" t="s">
        <v>4214</v>
      </c>
      <c r="N718" s="575">
        <v>979125666</v>
      </c>
      <c r="O718" s="596">
        <v>15</v>
      </c>
      <c r="P718" s="576" t="s">
        <v>442</v>
      </c>
      <c r="Q718" s="576" t="s">
        <v>62</v>
      </c>
      <c r="R718" s="597"/>
      <c r="S718" s="575" t="str">
        <f t="shared" si="31"/>
        <v>001-500-000065593</v>
      </c>
      <c r="T718" s="598">
        <v>566886093</v>
      </c>
      <c r="U718" s="621" t="s">
        <v>4215</v>
      </c>
    </row>
    <row r="719" spans="1:21" ht="24" customHeight="1" x14ac:dyDescent="0.2">
      <c r="A719" s="624">
        <v>714</v>
      </c>
      <c r="B719" s="208">
        <v>45517</v>
      </c>
      <c r="C719" s="575" t="s">
        <v>100</v>
      </c>
      <c r="D719" s="575" t="s">
        <v>4211</v>
      </c>
      <c r="E719" s="576">
        <v>112520025</v>
      </c>
      <c r="F719" s="623" t="str">
        <f t="shared" si="30"/>
        <v>IZC 64010 MSS COCINA INDUCCION</v>
      </c>
      <c r="G719" s="575" t="s">
        <v>4216</v>
      </c>
      <c r="H719" s="576" t="s">
        <v>41</v>
      </c>
      <c r="I719" s="576" t="s">
        <v>62</v>
      </c>
      <c r="J719" s="576" t="s">
        <v>63</v>
      </c>
      <c r="K719" s="593">
        <v>45917</v>
      </c>
      <c r="L719" s="594" t="s">
        <v>4213</v>
      </c>
      <c r="M719" s="594" t="s">
        <v>4214</v>
      </c>
      <c r="N719" s="575">
        <v>979125666</v>
      </c>
      <c r="O719" s="596">
        <v>15</v>
      </c>
      <c r="P719" s="576" t="s">
        <v>442</v>
      </c>
      <c r="Q719" s="576" t="s">
        <v>62</v>
      </c>
      <c r="R719" s="597"/>
      <c r="S719" s="575" t="str">
        <f t="shared" si="31"/>
        <v>001-500-000065593</v>
      </c>
      <c r="T719" s="598">
        <v>566886093</v>
      </c>
      <c r="U719" s="621" t="s">
        <v>4215</v>
      </c>
    </row>
    <row r="720" spans="1:21" ht="24" customHeight="1" x14ac:dyDescent="0.2">
      <c r="A720" s="624">
        <v>715</v>
      </c>
      <c r="B720" s="208">
        <v>45517</v>
      </c>
      <c r="C720" s="575" t="s">
        <v>100</v>
      </c>
      <c r="D720" s="575" t="s">
        <v>4211</v>
      </c>
      <c r="E720" s="576">
        <v>40460410</v>
      </c>
      <c r="F720" s="623" t="str">
        <f t="shared" si="30"/>
        <v>DBB 60 INOX CAMPANA (110V-60HZ) C/KIT</v>
      </c>
      <c r="G720" s="575" t="s">
        <v>4217</v>
      </c>
      <c r="H720" s="576" t="s">
        <v>41</v>
      </c>
      <c r="I720" s="576" t="s">
        <v>62</v>
      </c>
      <c r="J720" s="576" t="s">
        <v>63</v>
      </c>
      <c r="K720" s="593">
        <v>45917</v>
      </c>
      <c r="L720" s="594" t="s">
        <v>4213</v>
      </c>
      <c r="M720" s="594" t="s">
        <v>4214</v>
      </c>
      <c r="N720" s="575">
        <v>979125666</v>
      </c>
      <c r="O720" s="596">
        <v>15</v>
      </c>
      <c r="P720" s="576" t="s">
        <v>442</v>
      </c>
      <c r="Q720" s="576" t="s">
        <v>62</v>
      </c>
      <c r="R720" s="597"/>
      <c r="S720" s="575" t="str">
        <f t="shared" si="31"/>
        <v>001-500-000065593</v>
      </c>
      <c r="T720" s="598">
        <v>566886093</v>
      </c>
      <c r="U720" s="621" t="s">
        <v>4215</v>
      </c>
    </row>
    <row r="721" spans="1:21" ht="24" customHeight="1" x14ac:dyDescent="0.2">
      <c r="A721" s="624">
        <v>716</v>
      </c>
      <c r="B721" s="208">
        <v>45517</v>
      </c>
      <c r="C721" s="575" t="s">
        <v>100</v>
      </c>
      <c r="D721" s="575" t="s">
        <v>4211</v>
      </c>
      <c r="E721" s="576">
        <v>40782128</v>
      </c>
      <c r="F721" s="623" t="str">
        <f t="shared" si="30"/>
        <v>DW8 57 FIM-D LAVAVAJILLAS</v>
      </c>
      <c r="G721" s="575" t="s">
        <v>4218</v>
      </c>
      <c r="H721" s="576" t="s">
        <v>41</v>
      </c>
      <c r="I721" s="576" t="s">
        <v>62</v>
      </c>
      <c r="J721" s="576" t="s">
        <v>63</v>
      </c>
      <c r="K721" s="593">
        <v>45917</v>
      </c>
      <c r="L721" s="594" t="s">
        <v>4213</v>
      </c>
      <c r="M721" s="594" t="s">
        <v>4214</v>
      </c>
      <c r="N721" s="575">
        <v>979125666</v>
      </c>
      <c r="O721" s="596">
        <v>15</v>
      </c>
      <c r="P721" s="576" t="s">
        <v>442</v>
      </c>
      <c r="Q721" s="576" t="s">
        <v>62</v>
      </c>
      <c r="R721" s="597"/>
      <c r="S721" s="575" t="str">
        <f t="shared" si="31"/>
        <v>001-500-000065593</v>
      </c>
      <c r="T721" s="598">
        <v>566886093</v>
      </c>
      <c r="U721" s="621" t="s">
        <v>4215</v>
      </c>
    </row>
    <row r="722" spans="1:21" ht="24" customHeight="1" x14ac:dyDescent="0.2">
      <c r="A722" s="624">
        <v>717</v>
      </c>
      <c r="B722" s="208">
        <v>45911</v>
      </c>
      <c r="C722" s="575" t="s">
        <v>100</v>
      </c>
      <c r="D722" s="575" t="s">
        <v>4219</v>
      </c>
      <c r="E722" s="576">
        <v>112580058</v>
      </c>
      <c r="F722" s="623" t="str">
        <f t="shared" ref="F722:F725" si="33">VLOOKUP(E722,PROD,2,FALSE)</f>
        <v>GBC 95030 KBB BK COCINA GAS</v>
      </c>
      <c r="G722" s="575" t="s">
        <v>4220</v>
      </c>
      <c r="H722" s="576" t="s">
        <v>41</v>
      </c>
      <c r="I722" s="576" t="s">
        <v>62</v>
      </c>
      <c r="J722" s="576" t="s">
        <v>63</v>
      </c>
      <c r="K722" s="593">
        <v>45918</v>
      </c>
      <c r="L722" s="594" t="s">
        <v>4221</v>
      </c>
      <c r="M722" s="594" t="s">
        <v>4222</v>
      </c>
      <c r="N722" s="575">
        <v>987220702</v>
      </c>
      <c r="O722" s="596">
        <v>20</v>
      </c>
      <c r="P722" s="576" t="s">
        <v>442</v>
      </c>
      <c r="Q722" s="576" t="s">
        <v>62</v>
      </c>
      <c r="R722" s="597"/>
      <c r="S722" s="575" t="str">
        <f t="shared" si="31"/>
        <v>001-500-000076819</v>
      </c>
      <c r="T722" s="598">
        <v>104645924</v>
      </c>
      <c r="U722" s="621" t="s">
        <v>4223</v>
      </c>
    </row>
    <row r="723" spans="1:21" ht="24" customHeight="1" x14ac:dyDescent="0.2">
      <c r="A723" s="624">
        <v>718</v>
      </c>
      <c r="B723" s="208">
        <v>45911</v>
      </c>
      <c r="C723" s="575" t="s">
        <v>100</v>
      </c>
      <c r="D723" s="575" t="s">
        <v>4219</v>
      </c>
      <c r="E723" s="576">
        <v>111010040</v>
      </c>
      <c r="F723" s="623" t="str">
        <f t="shared" si="33"/>
        <v>HSB 610 NEGRO HORNO ELEC</v>
      </c>
      <c r="G723" s="575" t="s">
        <v>4224</v>
      </c>
      <c r="H723" s="576" t="s">
        <v>41</v>
      </c>
      <c r="I723" s="576" t="s">
        <v>62</v>
      </c>
      <c r="J723" s="576" t="s">
        <v>63</v>
      </c>
      <c r="K723" s="593">
        <v>45918</v>
      </c>
      <c r="L723" s="594" t="s">
        <v>4221</v>
      </c>
      <c r="M723" s="594" t="s">
        <v>4222</v>
      </c>
      <c r="N723" s="575">
        <v>987220702</v>
      </c>
      <c r="O723" s="596">
        <v>20</v>
      </c>
      <c r="P723" s="576" t="s">
        <v>442</v>
      </c>
      <c r="Q723" s="576" t="s">
        <v>62</v>
      </c>
      <c r="R723" s="597"/>
      <c r="S723" s="575" t="str">
        <f t="shared" si="31"/>
        <v>001-500-000076819</v>
      </c>
      <c r="T723" s="598">
        <v>104645924</v>
      </c>
      <c r="U723" s="621" t="s">
        <v>4223</v>
      </c>
    </row>
    <row r="724" spans="1:21" ht="24" customHeight="1" x14ac:dyDescent="0.2">
      <c r="A724" s="624">
        <v>719</v>
      </c>
      <c r="B724" s="208">
        <v>45803</v>
      </c>
      <c r="C724" s="575" t="s">
        <v>100</v>
      </c>
      <c r="D724" s="575" t="s">
        <v>4225</v>
      </c>
      <c r="E724" s="576">
        <v>111010041</v>
      </c>
      <c r="F724" s="623" t="str">
        <f t="shared" si="33"/>
        <v>HSB 630 NEGRO HORNO ELEC</v>
      </c>
      <c r="G724" s="667" t="s">
        <v>4226</v>
      </c>
      <c r="H724" s="670" t="s">
        <v>41</v>
      </c>
      <c r="I724" s="670" t="s">
        <v>62</v>
      </c>
      <c r="J724" s="670" t="s">
        <v>63</v>
      </c>
      <c r="K724" s="593">
        <v>45918</v>
      </c>
      <c r="L724" s="594" t="s">
        <v>4227</v>
      </c>
      <c r="M724" s="594" t="s">
        <v>3054</v>
      </c>
      <c r="N724" s="575">
        <v>984428725</v>
      </c>
      <c r="O724" s="596">
        <v>20</v>
      </c>
      <c r="P724" s="576" t="s">
        <v>442</v>
      </c>
      <c r="Q724" s="576" t="s">
        <v>62</v>
      </c>
      <c r="R724" s="597"/>
      <c r="S724" s="575" t="str">
        <f t="shared" si="31"/>
        <v>001-500-000073781</v>
      </c>
      <c r="T724" s="598">
        <v>104919964</v>
      </c>
      <c r="U724" s="621" t="s">
        <v>4228</v>
      </c>
    </row>
    <row r="725" spans="1:21" ht="24" customHeight="1" x14ac:dyDescent="0.2">
      <c r="A725" s="624">
        <v>720</v>
      </c>
      <c r="B725" s="208">
        <v>45803</v>
      </c>
      <c r="C725" s="575" t="s">
        <v>100</v>
      </c>
      <c r="D725" s="575" t="s">
        <v>4225</v>
      </c>
      <c r="E725" s="576">
        <v>112580058</v>
      </c>
      <c r="F725" s="623" t="str">
        <f t="shared" si="33"/>
        <v>GBC 95030 KBB BK COCINA GAS</v>
      </c>
      <c r="G725" s="575" t="s">
        <v>4229</v>
      </c>
      <c r="H725" s="576" t="s">
        <v>41</v>
      </c>
      <c r="I725" s="576" t="s">
        <v>62</v>
      </c>
      <c r="J725" s="576" t="s">
        <v>63</v>
      </c>
      <c r="K725" s="593">
        <v>45918</v>
      </c>
      <c r="L725" s="594" t="s">
        <v>4227</v>
      </c>
      <c r="M725" s="594" t="s">
        <v>3054</v>
      </c>
      <c r="N725" s="575">
        <v>984428725</v>
      </c>
      <c r="O725" s="596">
        <v>20</v>
      </c>
      <c r="P725" s="576" t="s">
        <v>442</v>
      </c>
      <c r="Q725" s="576" t="s">
        <v>62</v>
      </c>
      <c r="R725" s="597"/>
      <c r="S725" s="575" t="str">
        <f t="shared" si="31"/>
        <v>001-500-000073781</v>
      </c>
      <c r="T725" s="598">
        <v>104919964</v>
      </c>
      <c r="U725" s="621" t="s">
        <v>4228</v>
      </c>
    </row>
    <row r="726" spans="1:21" ht="24" customHeight="1" x14ac:dyDescent="0.2">
      <c r="A726" s="624">
        <v>721</v>
      </c>
      <c r="B726" s="208">
        <v>45916</v>
      </c>
      <c r="C726" s="575" t="s">
        <v>100</v>
      </c>
      <c r="D726" s="575" t="s">
        <v>4230</v>
      </c>
      <c r="E726" s="576">
        <v>112950020</v>
      </c>
      <c r="F726" s="623" t="str">
        <f t="shared" ref="F726:F727" si="34">VLOOKUP(E726,PROD,2,FALSE)</f>
        <v>DVN 74030 TCL BK CAMPANA (110V-60HZ) C/KIT</v>
      </c>
      <c r="G726" s="575" t="s">
        <v>4231</v>
      </c>
      <c r="H726" s="576" t="s">
        <v>41</v>
      </c>
      <c r="I726" s="576" t="s">
        <v>62</v>
      </c>
      <c r="J726" s="576" t="s">
        <v>63</v>
      </c>
      <c r="K726" s="593">
        <v>45918</v>
      </c>
      <c r="L726" s="594" t="s">
        <v>4232</v>
      </c>
      <c r="M726" s="594" t="s">
        <v>3597</v>
      </c>
      <c r="N726" s="575">
        <v>992361909</v>
      </c>
      <c r="O726" s="596">
        <v>20</v>
      </c>
      <c r="P726" s="576" t="s">
        <v>442</v>
      </c>
      <c r="Q726" s="576" t="s">
        <v>62</v>
      </c>
      <c r="R726" s="597"/>
      <c r="S726" s="575" t="str">
        <f t="shared" si="31"/>
        <v>001-500-000076953</v>
      </c>
      <c r="T726" s="598">
        <v>104887328</v>
      </c>
      <c r="U726" s="621" t="s">
        <v>4233</v>
      </c>
    </row>
    <row r="727" spans="1:21" ht="24" customHeight="1" x14ac:dyDescent="0.2">
      <c r="A727" s="624">
        <v>722</v>
      </c>
      <c r="B727" s="208">
        <v>45916</v>
      </c>
      <c r="C727" s="575" t="s">
        <v>100</v>
      </c>
      <c r="D727" s="575" t="s">
        <v>4230</v>
      </c>
      <c r="E727" s="576">
        <v>111030002</v>
      </c>
      <c r="F727" s="623" t="str">
        <f t="shared" si="34"/>
        <v>HLB 760 G SS HORNO A GAS</v>
      </c>
      <c r="G727" s="575" t="s">
        <v>4234</v>
      </c>
      <c r="H727" s="576" t="s">
        <v>41</v>
      </c>
      <c r="I727" s="576" t="s">
        <v>62</v>
      </c>
      <c r="J727" s="576" t="s">
        <v>63</v>
      </c>
      <c r="K727" s="593">
        <v>45918</v>
      </c>
      <c r="L727" s="594" t="s">
        <v>4232</v>
      </c>
      <c r="M727" s="594" t="s">
        <v>3597</v>
      </c>
      <c r="N727" s="575">
        <v>992361909</v>
      </c>
      <c r="O727" s="596">
        <v>20</v>
      </c>
      <c r="P727" s="576" t="s">
        <v>442</v>
      </c>
      <c r="Q727" s="576" t="s">
        <v>62</v>
      </c>
      <c r="R727" s="597"/>
      <c r="S727" s="575" t="str">
        <f t="shared" si="31"/>
        <v>001-500-000076953</v>
      </c>
      <c r="T727" s="598">
        <v>104887328</v>
      </c>
      <c r="U727" s="621" t="s">
        <v>4233</v>
      </c>
    </row>
    <row r="728" spans="1:21" ht="24" customHeight="1" x14ac:dyDescent="0.2">
      <c r="A728" s="624">
        <v>723</v>
      </c>
      <c r="B728" s="160">
        <v>45917</v>
      </c>
      <c r="C728" s="160" t="s">
        <v>125</v>
      </c>
      <c r="D728" s="160" t="s">
        <v>4691</v>
      </c>
      <c r="E728" s="687">
        <v>112030019</v>
      </c>
      <c r="F728" s="623" t="str">
        <f t="shared" ref="F728:F793" si="35">VLOOKUP(E728,PROD,2,FALSE)</f>
        <v>ML 8220 BIS FBK- MICROONDAS</v>
      </c>
      <c r="G728" s="575" t="s">
        <v>4692</v>
      </c>
      <c r="H728" s="576" t="s">
        <v>41</v>
      </c>
      <c r="I728" s="576" t="s">
        <v>62</v>
      </c>
      <c r="J728" s="576" t="s">
        <v>63</v>
      </c>
      <c r="K728" s="202">
        <v>45919</v>
      </c>
      <c r="L728" s="160" t="s">
        <v>4693</v>
      </c>
      <c r="M728" s="160" t="s">
        <v>720</v>
      </c>
      <c r="N728" s="620">
        <v>995781554</v>
      </c>
      <c r="O728" s="596">
        <v>20</v>
      </c>
      <c r="P728" s="576" t="s">
        <v>442</v>
      </c>
      <c r="Q728" s="576" t="s">
        <v>62</v>
      </c>
      <c r="R728" s="597"/>
      <c r="S728" s="575" t="str">
        <f>D728</f>
        <v>016-902-000632500</v>
      </c>
      <c r="T728" s="599">
        <v>105266811</v>
      </c>
      <c r="U728" s="621" t="s">
        <v>4694</v>
      </c>
    </row>
    <row r="729" spans="1:21" ht="24" customHeight="1" x14ac:dyDescent="0.2">
      <c r="A729" s="624">
        <v>724</v>
      </c>
      <c r="B729" s="160">
        <v>45917</v>
      </c>
      <c r="C729" s="160" t="s">
        <v>125</v>
      </c>
      <c r="D729" s="160" t="s">
        <v>4691</v>
      </c>
      <c r="E729" s="687">
        <v>111000078</v>
      </c>
      <c r="F729" s="623" t="str">
        <f t="shared" si="35"/>
        <v>HLB 8400 FBK HORNO ELEC</v>
      </c>
      <c r="G729" s="575" t="s">
        <v>4695</v>
      </c>
      <c r="H729" s="576" t="s">
        <v>41</v>
      </c>
      <c r="I729" s="576" t="s">
        <v>62</v>
      </c>
      <c r="J729" s="576" t="s">
        <v>63</v>
      </c>
      <c r="K729" s="202">
        <v>45919</v>
      </c>
      <c r="L729" s="160" t="s">
        <v>4693</v>
      </c>
      <c r="M729" s="160" t="s">
        <v>720</v>
      </c>
      <c r="N729" s="620">
        <v>995781554</v>
      </c>
      <c r="O729" s="596">
        <v>20</v>
      </c>
      <c r="P729" s="576" t="s">
        <v>442</v>
      </c>
      <c r="Q729" s="576" t="s">
        <v>62</v>
      </c>
      <c r="R729" s="597"/>
      <c r="S729" s="575" t="str">
        <f>D729</f>
        <v>016-902-000632500</v>
      </c>
      <c r="T729" s="599">
        <v>105266811</v>
      </c>
      <c r="U729" s="621" t="s">
        <v>4694</v>
      </c>
    </row>
    <row r="730" spans="1:21" ht="24" customHeight="1" x14ac:dyDescent="0.2">
      <c r="A730" s="624">
        <v>725</v>
      </c>
      <c r="B730" s="160">
        <v>45898</v>
      </c>
      <c r="C730" s="160" t="s">
        <v>190</v>
      </c>
      <c r="D730" s="160" t="s">
        <v>4696</v>
      </c>
      <c r="E730" s="687">
        <v>40466241</v>
      </c>
      <c r="F730" s="623" t="str">
        <f t="shared" si="35"/>
        <v>C 9310 INOX CAMPANA (110V-60HZ) C/KIT</v>
      </c>
      <c r="G730" s="575" t="s">
        <v>4697</v>
      </c>
      <c r="H730" s="576" t="s">
        <v>41</v>
      </c>
      <c r="I730" s="576" t="s">
        <v>62</v>
      </c>
      <c r="J730" s="576" t="s">
        <v>63</v>
      </c>
      <c r="K730" s="202">
        <v>45919</v>
      </c>
      <c r="L730" s="160" t="s">
        <v>4698</v>
      </c>
      <c r="M730" s="160" t="s">
        <v>4699</v>
      </c>
      <c r="N730" s="620">
        <v>983415534</v>
      </c>
      <c r="O730" s="596">
        <v>20</v>
      </c>
      <c r="P730" s="576" t="s">
        <v>442</v>
      </c>
      <c r="Q730" s="576" t="s">
        <v>62</v>
      </c>
      <c r="R730" s="597"/>
      <c r="S730" s="575" t="str">
        <f t="shared" ref="S730:S793" si="36">D730</f>
        <v>006-002-0000158556</v>
      </c>
      <c r="T730" s="599" t="s">
        <v>4700</v>
      </c>
      <c r="U730" s="621" t="s">
        <v>4701</v>
      </c>
    </row>
    <row r="731" spans="1:21" ht="24" customHeight="1" x14ac:dyDescent="0.2">
      <c r="A731" s="624">
        <v>726</v>
      </c>
      <c r="B731" s="160">
        <v>45898</v>
      </c>
      <c r="C731" s="160" t="s">
        <v>190</v>
      </c>
      <c r="D731" s="160" t="s">
        <v>4696</v>
      </c>
      <c r="E731" s="576">
        <v>40466241</v>
      </c>
      <c r="F731" s="623" t="str">
        <f t="shared" si="35"/>
        <v>C 9310 INOX CAMPANA (110V-60HZ) C/KIT</v>
      </c>
      <c r="G731" s="575" t="s">
        <v>4702</v>
      </c>
      <c r="H731" s="576" t="s">
        <v>41</v>
      </c>
      <c r="I731" s="576" t="s">
        <v>62</v>
      </c>
      <c r="J731" s="576" t="s">
        <v>63</v>
      </c>
      <c r="K731" s="202">
        <v>45919</v>
      </c>
      <c r="L731" s="160" t="s">
        <v>4698</v>
      </c>
      <c r="M731" s="160" t="s">
        <v>4699</v>
      </c>
      <c r="N731" s="620">
        <v>983415534</v>
      </c>
      <c r="O731" s="596">
        <v>20</v>
      </c>
      <c r="P731" s="576" t="s">
        <v>442</v>
      </c>
      <c r="Q731" s="576" t="s">
        <v>62</v>
      </c>
      <c r="R731" s="597"/>
      <c r="S731" s="575" t="str">
        <f t="shared" si="36"/>
        <v>006-002-0000158556</v>
      </c>
      <c r="T731" s="599" t="s">
        <v>4700</v>
      </c>
      <c r="U731" s="621" t="s">
        <v>4701</v>
      </c>
    </row>
    <row r="732" spans="1:21" ht="24" customHeight="1" x14ac:dyDescent="0.2">
      <c r="A732" s="624">
        <v>727</v>
      </c>
      <c r="B732" s="160" t="s">
        <v>4703</v>
      </c>
      <c r="C732" s="575" t="s">
        <v>190</v>
      </c>
      <c r="D732" s="575" t="s">
        <v>4704</v>
      </c>
      <c r="E732" s="576">
        <v>40446702</v>
      </c>
      <c r="F732" s="623" t="str">
        <f t="shared" si="35"/>
        <v>GFH 55 INOX CAMPANA (110V-60HZ) C/KIT</v>
      </c>
      <c r="G732" s="575" t="s">
        <v>4705</v>
      </c>
      <c r="H732" s="576" t="s">
        <v>41</v>
      </c>
      <c r="I732" s="576" t="s">
        <v>62</v>
      </c>
      <c r="J732" s="576" t="s">
        <v>63</v>
      </c>
      <c r="K732" s="593" t="s">
        <v>4706</v>
      </c>
      <c r="L732" s="594" t="s">
        <v>4707</v>
      </c>
      <c r="M732" s="594" t="s">
        <v>3653</v>
      </c>
      <c r="N732" s="575">
        <v>984977886</v>
      </c>
      <c r="O732" s="596">
        <v>20</v>
      </c>
      <c r="P732" s="576" t="s">
        <v>442</v>
      </c>
      <c r="Q732" s="576" t="s">
        <v>62</v>
      </c>
      <c r="R732" s="597"/>
      <c r="S732" s="575" t="str">
        <f t="shared" si="36"/>
        <v>006-002-000158521</v>
      </c>
      <c r="T732" s="599" t="s">
        <v>4708</v>
      </c>
      <c r="U732" s="621" t="s">
        <v>4709</v>
      </c>
    </row>
    <row r="733" spans="1:21" ht="24" customHeight="1" x14ac:dyDescent="0.2">
      <c r="A733" s="624">
        <v>728</v>
      </c>
      <c r="B733" s="160" t="s">
        <v>4703</v>
      </c>
      <c r="C733" s="575" t="s">
        <v>190</v>
      </c>
      <c r="D733" s="575" t="s">
        <v>4704</v>
      </c>
      <c r="E733" s="687">
        <v>112510035</v>
      </c>
      <c r="F733" s="623" t="str">
        <f t="shared" si="35"/>
        <v>IZF 64440 MSP BK COCINA INDUCCION</v>
      </c>
      <c r="G733" s="575" t="s">
        <v>4710</v>
      </c>
      <c r="H733" s="576" t="s">
        <v>41</v>
      </c>
      <c r="I733" s="576" t="s">
        <v>62</v>
      </c>
      <c r="J733" s="576" t="s">
        <v>63</v>
      </c>
      <c r="K733" s="593" t="s">
        <v>4706</v>
      </c>
      <c r="L733" s="594" t="s">
        <v>4707</v>
      </c>
      <c r="M733" s="594" t="s">
        <v>3653</v>
      </c>
      <c r="N733" s="575">
        <v>984977886</v>
      </c>
      <c r="O733" s="596">
        <v>20</v>
      </c>
      <c r="P733" s="576" t="s">
        <v>442</v>
      </c>
      <c r="Q733" s="576" t="s">
        <v>62</v>
      </c>
      <c r="R733" s="597"/>
      <c r="S733" s="575" t="str">
        <f t="shared" si="36"/>
        <v>006-002-000158521</v>
      </c>
      <c r="T733" s="599" t="s">
        <v>4708</v>
      </c>
      <c r="U733" s="621" t="s">
        <v>4709</v>
      </c>
    </row>
    <row r="734" spans="1:21" ht="24" customHeight="1" x14ac:dyDescent="0.2">
      <c r="A734" s="624">
        <v>729</v>
      </c>
      <c r="B734" s="160" t="s">
        <v>4711</v>
      </c>
      <c r="C734" s="575" t="s">
        <v>100</v>
      </c>
      <c r="D734" s="575" t="s">
        <v>4712</v>
      </c>
      <c r="E734" s="576">
        <v>111000051</v>
      </c>
      <c r="F734" s="623" t="str">
        <f t="shared" si="35"/>
        <v>HLB 8416 "AIR FRY" - HORNO ELEC</v>
      </c>
      <c r="G734" s="575" t="s">
        <v>4713</v>
      </c>
      <c r="H734" s="576" t="s">
        <v>41</v>
      </c>
      <c r="I734" s="576" t="s">
        <v>62</v>
      </c>
      <c r="J734" s="576" t="s">
        <v>63</v>
      </c>
      <c r="K734" s="593" t="s">
        <v>4706</v>
      </c>
      <c r="L734" s="594" t="s">
        <v>4714</v>
      </c>
      <c r="M734" s="594" t="s">
        <v>533</v>
      </c>
      <c r="N734" s="575">
        <v>981119539</v>
      </c>
      <c r="O734" s="596">
        <v>20</v>
      </c>
      <c r="P734" s="576" t="s">
        <v>442</v>
      </c>
      <c r="Q734" s="576" t="s">
        <v>62</v>
      </c>
      <c r="R734" s="597"/>
      <c r="S734" s="575" t="str">
        <f t="shared" si="36"/>
        <v>001-500-000077120</v>
      </c>
      <c r="T734" s="599" t="s">
        <v>4715</v>
      </c>
      <c r="U734" s="621" t="s">
        <v>4716</v>
      </c>
    </row>
    <row r="735" spans="1:21" ht="24" customHeight="1" x14ac:dyDescent="0.2">
      <c r="A735" s="624">
        <v>730</v>
      </c>
      <c r="B735" s="160" t="s">
        <v>4711</v>
      </c>
      <c r="C735" s="575" t="s">
        <v>100</v>
      </c>
      <c r="D735" s="575" t="s">
        <v>4712</v>
      </c>
      <c r="E735" s="576">
        <v>112030019</v>
      </c>
      <c r="F735" s="623" t="str">
        <f t="shared" si="35"/>
        <v>ML 8220 BIS FBK- MICROONDAS</v>
      </c>
      <c r="G735" s="575" t="s">
        <v>4717</v>
      </c>
      <c r="H735" s="576" t="s">
        <v>41</v>
      </c>
      <c r="I735" s="576" t="s">
        <v>62</v>
      </c>
      <c r="J735" s="576" t="s">
        <v>63</v>
      </c>
      <c r="K735" s="593" t="s">
        <v>4706</v>
      </c>
      <c r="L735" s="594" t="s">
        <v>4714</v>
      </c>
      <c r="M735" s="594" t="s">
        <v>533</v>
      </c>
      <c r="N735" s="575">
        <v>981119539</v>
      </c>
      <c r="O735" s="596">
        <v>20</v>
      </c>
      <c r="P735" s="576" t="s">
        <v>442</v>
      </c>
      <c r="Q735" s="576" t="s">
        <v>62</v>
      </c>
      <c r="R735" s="597"/>
      <c r="S735" s="575" t="str">
        <f t="shared" si="36"/>
        <v>001-500-000077120</v>
      </c>
      <c r="T735" s="599" t="s">
        <v>4715</v>
      </c>
      <c r="U735" s="621" t="s">
        <v>4716</v>
      </c>
    </row>
    <row r="736" spans="1:21" ht="24" customHeight="1" x14ac:dyDescent="0.2">
      <c r="A736" s="624">
        <v>731</v>
      </c>
      <c r="B736" s="208" t="s">
        <v>4718</v>
      </c>
      <c r="C736" s="575" t="s">
        <v>100</v>
      </c>
      <c r="D736" s="575" t="s">
        <v>4719</v>
      </c>
      <c r="E736" s="576">
        <v>112030008</v>
      </c>
      <c r="F736" s="623" t="str">
        <f t="shared" si="35"/>
        <v>ML 8220 BIS - MICROONDAS</v>
      </c>
      <c r="G736" s="575" t="s">
        <v>4720</v>
      </c>
      <c r="H736" s="576" t="s">
        <v>41</v>
      </c>
      <c r="I736" s="576" t="s">
        <v>62</v>
      </c>
      <c r="J736" s="576" t="s">
        <v>63</v>
      </c>
      <c r="K736" s="593" t="s">
        <v>4706</v>
      </c>
      <c r="L736" s="594" t="s">
        <v>4721</v>
      </c>
      <c r="M736" s="594" t="s">
        <v>533</v>
      </c>
      <c r="N736" s="575">
        <v>987469921</v>
      </c>
      <c r="O736" s="596">
        <v>20</v>
      </c>
      <c r="P736" s="576" t="s">
        <v>442</v>
      </c>
      <c r="Q736" s="576" t="s">
        <v>62</v>
      </c>
      <c r="R736" s="597"/>
      <c r="S736" s="575" t="str">
        <f t="shared" si="36"/>
        <v>001-500-000077062</v>
      </c>
      <c r="T736" s="599" t="s">
        <v>4722</v>
      </c>
      <c r="U736" s="621" t="s">
        <v>4723</v>
      </c>
    </row>
    <row r="737" spans="1:21" ht="24" customHeight="1" x14ac:dyDescent="0.2">
      <c r="A737" s="624">
        <v>732</v>
      </c>
      <c r="B737" s="208" t="s">
        <v>4718</v>
      </c>
      <c r="C737" s="575" t="s">
        <v>100</v>
      </c>
      <c r="D737" s="575" t="s">
        <v>4719</v>
      </c>
      <c r="E737" s="576">
        <v>111000051</v>
      </c>
      <c r="F737" s="623" t="str">
        <f t="shared" si="35"/>
        <v>HLB 8416 "AIR FRY" - HORNO ELEC</v>
      </c>
      <c r="G737" s="575" t="s">
        <v>4724</v>
      </c>
      <c r="H737" s="576" t="s">
        <v>41</v>
      </c>
      <c r="I737" s="576" t="s">
        <v>62</v>
      </c>
      <c r="J737" s="576" t="s">
        <v>63</v>
      </c>
      <c r="K737" s="593" t="s">
        <v>4706</v>
      </c>
      <c r="L737" s="594" t="s">
        <v>4721</v>
      </c>
      <c r="M737" s="594" t="s">
        <v>533</v>
      </c>
      <c r="N737" s="575">
        <v>987469921</v>
      </c>
      <c r="O737" s="596">
        <v>20</v>
      </c>
      <c r="P737" s="576" t="s">
        <v>442</v>
      </c>
      <c r="Q737" s="576" t="s">
        <v>62</v>
      </c>
      <c r="R737" s="597"/>
      <c r="S737" s="575" t="str">
        <f t="shared" si="36"/>
        <v>001-500-000077062</v>
      </c>
      <c r="T737" s="599" t="s">
        <v>4722</v>
      </c>
      <c r="U737" s="621" t="s">
        <v>4723</v>
      </c>
    </row>
    <row r="738" spans="1:21" ht="24" customHeight="1" x14ac:dyDescent="0.2">
      <c r="A738" s="624">
        <v>733</v>
      </c>
      <c r="B738" s="208" t="s">
        <v>4725</v>
      </c>
      <c r="C738" s="575" t="s">
        <v>202</v>
      </c>
      <c r="D738" s="575" t="s">
        <v>4726</v>
      </c>
      <c r="E738" s="576">
        <v>112580058</v>
      </c>
      <c r="F738" s="623" t="str">
        <f t="shared" si="35"/>
        <v>GBC 95030 KBB BK COCINA GAS</v>
      </c>
      <c r="G738" s="575" t="s">
        <v>4727</v>
      </c>
      <c r="H738" s="576" t="s">
        <v>41</v>
      </c>
      <c r="I738" s="576" t="s">
        <v>62</v>
      </c>
      <c r="J738" s="576" t="s">
        <v>63</v>
      </c>
      <c r="K738" s="593" t="s">
        <v>4728</v>
      </c>
      <c r="L738" s="594" t="s">
        <v>4729</v>
      </c>
      <c r="M738" s="594" t="s">
        <v>4730</v>
      </c>
      <c r="N738" s="575">
        <v>996084053</v>
      </c>
      <c r="O738" s="596">
        <v>15</v>
      </c>
      <c r="P738" s="576" t="s">
        <v>442</v>
      </c>
      <c r="Q738" s="576" t="s">
        <v>62</v>
      </c>
      <c r="R738" s="597"/>
      <c r="S738" s="575" t="str">
        <f t="shared" si="36"/>
        <v>007-006-000136004</v>
      </c>
      <c r="T738" s="599" t="s">
        <v>4731</v>
      </c>
      <c r="U738" s="621" t="s">
        <v>4732</v>
      </c>
    </row>
    <row r="739" spans="1:21" ht="24" customHeight="1" x14ac:dyDescent="0.2">
      <c r="A739" s="624">
        <v>734</v>
      </c>
      <c r="B739" s="208" t="s">
        <v>4725</v>
      </c>
      <c r="C739" s="575" t="s">
        <v>202</v>
      </c>
      <c r="D739" s="575" t="s">
        <v>4726</v>
      </c>
      <c r="E739" s="576">
        <v>112970010</v>
      </c>
      <c r="F739" s="623" t="str">
        <f t="shared" si="35"/>
        <v>DSH 986 FBK CAMPANA</v>
      </c>
      <c r="G739" s="575" t="s">
        <v>4733</v>
      </c>
      <c r="H739" s="576" t="s">
        <v>41</v>
      </c>
      <c r="I739" s="576" t="s">
        <v>62</v>
      </c>
      <c r="J739" s="576" t="s">
        <v>63</v>
      </c>
      <c r="K739" s="593" t="s">
        <v>4728</v>
      </c>
      <c r="L739" s="594" t="s">
        <v>4729</v>
      </c>
      <c r="M739" s="594" t="s">
        <v>4730</v>
      </c>
      <c r="N739" s="575">
        <v>996084053</v>
      </c>
      <c r="O739" s="596">
        <v>15</v>
      </c>
      <c r="P739" s="576" t="s">
        <v>442</v>
      </c>
      <c r="Q739" s="576" t="s">
        <v>62</v>
      </c>
      <c r="R739" s="597"/>
      <c r="S739" s="575" t="str">
        <f t="shared" si="36"/>
        <v>007-006-000136004</v>
      </c>
      <c r="T739" s="599" t="s">
        <v>4731</v>
      </c>
      <c r="U739" s="621" t="s">
        <v>4732</v>
      </c>
    </row>
    <row r="740" spans="1:21" ht="24" customHeight="1" x14ac:dyDescent="0.2">
      <c r="A740" s="624">
        <v>735</v>
      </c>
      <c r="B740" s="208">
        <v>45869</v>
      </c>
      <c r="C740" s="575" t="s">
        <v>202</v>
      </c>
      <c r="D740" s="575" t="s">
        <v>4734</v>
      </c>
      <c r="E740" s="576">
        <v>111010040</v>
      </c>
      <c r="F740" s="623" t="str">
        <f t="shared" si="35"/>
        <v>HSB 610 NEGRO HORNO ELEC</v>
      </c>
      <c r="G740" s="575" t="s">
        <v>4735</v>
      </c>
      <c r="H740" s="576" t="s">
        <v>41</v>
      </c>
      <c r="I740" s="576" t="s">
        <v>62</v>
      </c>
      <c r="J740" s="576" t="s">
        <v>63</v>
      </c>
      <c r="K740" s="593" t="s">
        <v>4728</v>
      </c>
      <c r="L740" s="594" t="s">
        <v>4729</v>
      </c>
      <c r="M740" s="594" t="s">
        <v>4730</v>
      </c>
      <c r="N740" s="575">
        <v>996084053</v>
      </c>
      <c r="O740" s="596">
        <v>15</v>
      </c>
      <c r="P740" s="576" t="s">
        <v>442</v>
      </c>
      <c r="Q740" s="576" t="s">
        <v>62</v>
      </c>
      <c r="R740" s="597"/>
      <c r="S740" s="575" t="str">
        <f t="shared" si="36"/>
        <v>007-006-000138949</v>
      </c>
      <c r="T740" s="599" t="s">
        <v>4731</v>
      </c>
      <c r="U740" s="621" t="s">
        <v>4732</v>
      </c>
    </row>
    <row r="741" spans="1:21" ht="24" customHeight="1" x14ac:dyDescent="0.2">
      <c r="A741" s="624">
        <v>736</v>
      </c>
      <c r="B741" s="208">
        <v>45869</v>
      </c>
      <c r="C741" s="575" t="s">
        <v>202</v>
      </c>
      <c r="D741" s="575" t="s">
        <v>4734</v>
      </c>
      <c r="E741" s="576">
        <v>40584202</v>
      </c>
      <c r="F741" s="623" t="str">
        <f t="shared" si="35"/>
        <v>ML 820 BIS - MICROONDAS</v>
      </c>
      <c r="G741" s="622" t="s">
        <v>4736</v>
      </c>
      <c r="H741" s="576" t="s">
        <v>41</v>
      </c>
      <c r="I741" s="576" t="s">
        <v>62</v>
      </c>
      <c r="J741" s="576" t="s">
        <v>63</v>
      </c>
      <c r="K741" s="593" t="s">
        <v>4728</v>
      </c>
      <c r="L741" s="594" t="s">
        <v>4729</v>
      </c>
      <c r="M741" s="594" t="s">
        <v>4730</v>
      </c>
      <c r="N741" s="575">
        <v>996084053</v>
      </c>
      <c r="O741" s="596">
        <v>15</v>
      </c>
      <c r="P741" s="576" t="s">
        <v>442</v>
      </c>
      <c r="Q741" s="576" t="s">
        <v>62</v>
      </c>
      <c r="R741" s="597"/>
      <c r="S741" s="575" t="str">
        <f t="shared" si="36"/>
        <v>007-006-000138949</v>
      </c>
      <c r="T741" s="599" t="s">
        <v>4731</v>
      </c>
      <c r="U741" s="621" t="s">
        <v>4732</v>
      </c>
    </row>
    <row r="742" spans="1:21" ht="24" customHeight="1" x14ac:dyDescent="0.2">
      <c r="A742" s="624">
        <v>737</v>
      </c>
      <c r="B742" s="208" t="s">
        <v>4737</v>
      </c>
      <c r="C742" s="575" t="s">
        <v>161</v>
      </c>
      <c r="D742" s="575" t="s">
        <v>4738</v>
      </c>
      <c r="E742" s="576">
        <v>112580027</v>
      </c>
      <c r="F742" s="623" t="str">
        <f t="shared" si="35"/>
        <v>GBC 75030 KBB CRISTAL COCINA GAS</v>
      </c>
      <c r="G742" s="575" t="s">
        <v>4739</v>
      </c>
      <c r="H742" s="576" t="s">
        <v>41</v>
      </c>
      <c r="I742" s="576" t="s">
        <v>62</v>
      </c>
      <c r="J742" s="576" t="s">
        <v>63</v>
      </c>
      <c r="K742" s="593" t="s">
        <v>4728</v>
      </c>
      <c r="L742" s="594" t="s">
        <v>4740</v>
      </c>
      <c r="M742" s="594" t="s">
        <v>4741</v>
      </c>
      <c r="N742" s="575">
        <v>998651642</v>
      </c>
      <c r="O742" s="596">
        <v>15</v>
      </c>
      <c r="P742" s="576" t="s">
        <v>442</v>
      </c>
      <c r="Q742" s="576" t="s">
        <v>62</v>
      </c>
      <c r="R742" s="597"/>
      <c r="S742" s="575" t="str">
        <f t="shared" si="36"/>
        <v>040-103-000001027</v>
      </c>
      <c r="T742" s="599" t="s">
        <v>4742</v>
      </c>
      <c r="U742" s="621" t="s">
        <v>4743</v>
      </c>
    </row>
    <row r="743" spans="1:21" ht="24" customHeight="1" x14ac:dyDescent="0.2">
      <c r="A743" s="624">
        <v>738</v>
      </c>
      <c r="B743" s="208">
        <v>45903</v>
      </c>
      <c r="C743" s="575" t="s">
        <v>100</v>
      </c>
      <c r="D743" s="575" t="s">
        <v>4744</v>
      </c>
      <c r="E743" s="576">
        <v>40584202</v>
      </c>
      <c r="F743" s="623" t="str">
        <f t="shared" si="35"/>
        <v>ML 820 BIS - MICROONDAS</v>
      </c>
      <c r="G743" s="575" t="s">
        <v>4745</v>
      </c>
      <c r="H743" s="576" t="s">
        <v>41</v>
      </c>
      <c r="I743" s="576" t="s">
        <v>62</v>
      </c>
      <c r="J743" s="576" t="s">
        <v>63</v>
      </c>
      <c r="K743" s="593" t="s">
        <v>4728</v>
      </c>
      <c r="L743" s="594" t="s">
        <v>4740</v>
      </c>
      <c r="M743" s="594" t="s">
        <v>4741</v>
      </c>
      <c r="N743" s="575">
        <v>998651642</v>
      </c>
      <c r="O743" s="596">
        <v>15</v>
      </c>
      <c r="P743" s="576" t="s">
        <v>442</v>
      </c>
      <c r="Q743" s="576" t="s">
        <v>62</v>
      </c>
      <c r="R743" s="597"/>
      <c r="S743" s="575" t="str">
        <f t="shared" si="36"/>
        <v>001-500-000076575</v>
      </c>
      <c r="T743" s="599" t="s">
        <v>4742</v>
      </c>
      <c r="U743" s="621" t="s">
        <v>4743</v>
      </c>
    </row>
    <row r="744" spans="1:21" ht="24" customHeight="1" x14ac:dyDescent="0.2">
      <c r="A744" s="624">
        <v>739</v>
      </c>
      <c r="B744" s="208">
        <v>45847</v>
      </c>
      <c r="C744" s="575" t="s">
        <v>202</v>
      </c>
      <c r="D744" s="575" t="s">
        <v>4746</v>
      </c>
      <c r="E744" s="576">
        <v>113120010</v>
      </c>
      <c r="F744" s="623" t="str">
        <f t="shared" si="35"/>
        <v>GFI 97350 ECS IX 110/60 CAMPANA</v>
      </c>
      <c r="G744" s="575" t="s">
        <v>4747</v>
      </c>
      <c r="H744" s="576" t="s">
        <v>41</v>
      </c>
      <c r="I744" s="576" t="s">
        <v>62</v>
      </c>
      <c r="J744" s="576" t="s">
        <v>63</v>
      </c>
      <c r="K744" s="593" t="s">
        <v>4728</v>
      </c>
      <c r="L744" s="594" t="s">
        <v>4740</v>
      </c>
      <c r="M744" s="594" t="s">
        <v>4741</v>
      </c>
      <c r="N744" s="575">
        <v>998651642</v>
      </c>
      <c r="O744" s="596">
        <v>15</v>
      </c>
      <c r="P744" s="576" t="s">
        <v>442</v>
      </c>
      <c r="Q744" s="576" t="s">
        <v>62</v>
      </c>
      <c r="R744" s="597"/>
      <c r="S744" s="575" t="str">
        <f t="shared" si="36"/>
        <v>014-004-000068767</v>
      </c>
      <c r="T744" s="599" t="s">
        <v>4742</v>
      </c>
      <c r="U744" s="621" t="s">
        <v>4743</v>
      </c>
    </row>
    <row r="745" spans="1:21" ht="24" customHeight="1" x14ac:dyDescent="0.2">
      <c r="A745" s="624">
        <v>740</v>
      </c>
      <c r="B745" s="208" t="s">
        <v>4737</v>
      </c>
      <c r="C745" s="575" t="s">
        <v>161</v>
      </c>
      <c r="D745" s="575" t="s">
        <v>4738</v>
      </c>
      <c r="E745" s="576">
        <v>113430016</v>
      </c>
      <c r="F745" s="623" t="str">
        <f t="shared" si="35"/>
        <v>RFD 77820 GBK FRENCH DOOR BK REFRIGERADORA</v>
      </c>
      <c r="G745" s="575" t="s">
        <v>4748</v>
      </c>
      <c r="H745" s="576" t="s">
        <v>41</v>
      </c>
      <c r="I745" s="576" t="s">
        <v>62</v>
      </c>
      <c r="J745" s="576" t="s">
        <v>63</v>
      </c>
      <c r="K745" s="593" t="s">
        <v>4728</v>
      </c>
      <c r="L745" s="594" t="s">
        <v>4740</v>
      </c>
      <c r="M745" s="594" t="s">
        <v>4741</v>
      </c>
      <c r="N745" s="575">
        <v>998651642</v>
      </c>
      <c r="O745" s="596">
        <v>15</v>
      </c>
      <c r="P745" s="576" t="s">
        <v>442</v>
      </c>
      <c r="Q745" s="576" t="s">
        <v>62</v>
      </c>
      <c r="R745" s="597"/>
      <c r="S745" s="575" t="str">
        <f t="shared" si="36"/>
        <v>040-103-000001027</v>
      </c>
      <c r="T745" s="599" t="s">
        <v>4742</v>
      </c>
      <c r="U745" s="621" t="s">
        <v>4743</v>
      </c>
    </row>
    <row r="746" spans="1:21" ht="24" customHeight="1" x14ac:dyDescent="0.2">
      <c r="A746" s="624">
        <v>741</v>
      </c>
      <c r="B746" s="208" t="s">
        <v>4749</v>
      </c>
      <c r="C746" s="575" t="s">
        <v>277</v>
      </c>
      <c r="D746" s="575" t="s">
        <v>4750</v>
      </c>
      <c r="E746" s="576">
        <v>111030002</v>
      </c>
      <c r="F746" s="623" t="str">
        <f t="shared" si="35"/>
        <v>HLB 760 G SS HORNO A GAS</v>
      </c>
      <c r="G746" s="575" t="s">
        <v>4751</v>
      </c>
      <c r="H746" s="576" t="s">
        <v>41</v>
      </c>
      <c r="I746" s="576" t="s">
        <v>62</v>
      </c>
      <c r="J746" s="576" t="s">
        <v>63</v>
      </c>
      <c r="K746" s="593" t="s">
        <v>4752</v>
      </c>
      <c r="L746" s="594" t="s">
        <v>4753</v>
      </c>
      <c r="M746" s="594" t="s">
        <v>4754</v>
      </c>
      <c r="N746" s="575">
        <v>988233667</v>
      </c>
      <c r="O746" s="596">
        <v>20</v>
      </c>
      <c r="P746" s="576" t="s">
        <v>442</v>
      </c>
      <c r="Q746" s="576" t="s">
        <v>62</v>
      </c>
      <c r="R746" s="597"/>
      <c r="S746" s="575" t="str">
        <f t="shared" si="36"/>
        <v>002-201-000005205</v>
      </c>
      <c r="T746" s="599" t="s">
        <v>4755</v>
      </c>
      <c r="U746" s="621" t="s">
        <v>4756</v>
      </c>
    </row>
    <row r="747" spans="1:21" ht="24" customHeight="1" x14ac:dyDescent="0.2">
      <c r="A747" s="624">
        <v>742</v>
      </c>
      <c r="B747" s="208" t="s">
        <v>4749</v>
      </c>
      <c r="C747" s="575" t="s">
        <v>277</v>
      </c>
      <c r="D747" s="575" t="s">
        <v>4750</v>
      </c>
      <c r="E747" s="576">
        <v>40584202</v>
      </c>
      <c r="F747" s="623" t="str">
        <f t="shared" si="35"/>
        <v>ML 820 BIS - MICROONDAS</v>
      </c>
      <c r="G747" s="575" t="s">
        <v>4757</v>
      </c>
      <c r="H747" s="576" t="s">
        <v>41</v>
      </c>
      <c r="I747" s="576" t="s">
        <v>62</v>
      </c>
      <c r="J747" s="576" t="s">
        <v>63</v>
      </c>
      <c r="K747" s="593" t="s">
        <v>4752</v>
      </c>
      <c r="L747" s="594" t="s">
        <v>4753</v>
      </c>
      <c r="M747" s="594" t="s">
        <v>4754</v>
      </c>
      <c r="N747" s="575">
        <v>988233667</v>
      </c>
      <c r="O747" s="596">
        <v>20</v>
      </c>
      <c r="P747" s="576" t="s">
        <v>442</v>
      </c>
      <c r="Q747" s="576" t="s">
        <v>62</v>
      </c>
      <c r="R747" s="597"/>
      <c r="S747" s="575" t="str">
        <f t="shared" si="36"/>
        <v>002-201-000005205</v>
      </c>
      <c r="T747" s="599" t="s">
        <v>4755</v>
      </c>
      <c r="U747" s="621" t="s">
        <v>4756</v>
      </c>
    </row>
    <row r="748" spans="1:21" ht="24" customHeight="1" x14ac:dyDescent="0.2">
      <c r="A748" s="624">
        <v>743</v>
      </c>
      <c r="B748" s="208" t="s">
        <v>4758</v>
      </c>
      <c r="C748" s="575" t="s">
        <v>187</v>
      </c>
      <c r="D748" s="575" t="s">
        <v>4759</v>
      </c>
      <c r="E748" s="576">
        <v>40584202</v>
      </c>
      <c r="F748" s="623" t="str">
        <f t="shared" si="35"/>
        <v>ML 820 BIS - MICROONDAS</v>
      </c>
      <c r="G748" s="575" t="s">
        <v>4760</v>
      </c>
      <c r="H748" s="576" t="s">
        <v>41</v>
      </c>
      <c r="I748" s="576" t="s">
        <v>62</v>
      </c>
      <c r="J748" s="576" t="s">
        <v>63</v>
      </c>
      <c r="K748" s="593" t="s">
        <v>4761</v>
      </c>
      <c r="L748" s="594" t="s">
        <v>4762</v>
      </c>
      <c r="M748" s="594" t="s">
        <v>4763</v>
      </c>
      <c r="N748" s="575">
        <v>999891799</v>
      </c>
      <c r="O748" s="596">
        <v>15</v>
      </c>
      <c r="P748" s="576" t="s">
        <v>442</v>
      </c>
      <c r="Q748" s="576" t="s">
        <v>62</v>
      </c>
      <c r="R748" s="597"/>
      <c r="S748" s="575" t="str">
        <f t="shared" si="36"/>
        <v>040-103-000015731</v>
      </c>
      <c r="T748" s="599" t="s">
        <v>4764</v>
      </c>
      <c r="U748" s="621" t="s">
        <v>4765</v>
      </c>
    </row>
    <row r="749" spans="1:21" ht="24" customHeight="1" x14ac:dyDescent="0.2">
      <c r="A749" s="624">
        <v>744</v>
      </c>
      <c r="B749" s="208">
        <v>45538</v>
      </c>
      <c r="C749" s="575" t="s">
        <v>125</v>
      </c>
      <c r="D749" s="575" t="s">
        <v>4766</v>
      </c>
      <c r="E749" s="576">
        <v>111030002</v>
      </c>
      <c r="F749" s="623" t="str">
        <f t="shared" si="35"/>
        <v>HLB 760 G SS HORNO A GAS</v>
      </c>
      <c r="G749" s="575" t="s">
        <v>4767</v>
      </c>
      <c r="H749" s="576" t="s">
        <v>41</v>
      </c>
      <c r="I749" s="576" t="s">
        <v>62</v>
      </c>
      <c r="J749" s="576" t="s">
        <v>63</v>
      </c>
      <c r="K749" s="593" t="s">
        <v>4761</v>
      </c>
      <c r="L749" s="594" t="s">
        <v>4762</v>
      </c>
      <c r="M749" s="594" t="s">
        <v>4763</v>
      </c>
      <c r="N749" s="575">
        <v>999891799</v>
      </c>
      <c r="O749" s="596">
        <v>15</v>
      </c>
      <c r="P749" s="576" t="s">
        <v>442</v>
      </c>
      <c r="Q749" s="576" t="s">
        <v>62</v>
      </c>
      <c r="R749" s="597"/>
      <c r="S749" s="575" t="str">
        <f t="shared" si="36"/>
        <v>043-902-000010774</v>
      </c>
      <c r="T749" s="599" t="s">
        <v>4764</v>
      </c>
      <c r="U749" s="621" t="s">
        <v>4765</v>
      </c>
    </row>
    <row r="750" spans="1:21" ht="24" customHeight="1" x14ac:dyDescent="0.2">
      <c r="A750" s="624">
        <v>745</v>
      </c>
      <c r="B750" s="208">
        <v>45067</v>
      </c>
      <c r="C750" s="575" t="s">
        <v>125</v>
      </c>
      <c r="D750" s="575" t="s">
        <v>4768</v>
      </c>
      <c r="E750" s="576">
        <v>112580027</v>
      </c>
      <c r="F750" s="623" t="str">
        <f t="shared" si="35"/>
        <v>GBC 75030 KBB CRISTAL COCINA GAS</v>
      </c>
      <c r="G750" s="575" t="s">
        <v>4769</v>
      </c>
      <c r="H750" s="576" t="s">
        <v>41</v>
      </c>
      <c r="I750" s="576" t="s">
        <v>62</v>
      </c>
      <c r="J750" s="576" t="s">
        <v>63</v>
      </c>
      <c r="K750" s="593" t="s">
        <v>4761</v>
      </c>
      <c r="L750" s="594" t="s">
        <v>4762</v>
      </c>
      <c r="M750" s="594" t="s">
        <v>4763</v>
      </c>
      <c r="N750" s="575">
        <v>999891799</v>
      </c>
      <c r="O750" s="596">
        <v>15</v>
      </c>
      <c r="P750" s="576" t="s">
        <v>442</v>
      </c>
      <c r="Q750" s="576" t="s">
        <v>62</v>
      </c>
      <c r="R750" s="597"/>
      <c r="S750" s="575" t="str">
        <f t="shared" si="36"/>
        <v>016-904-000183786</v>
      </c>
      <c r="T750" s="599" t="s">
        <v>4764</v>
      </c>
      <c r="U750" s="621" t="s">
        <v>4765</v>
      </c>
    </row>
    <row r="751" spans="1:21" ht="24" customHeight="1" x14ac:dyDescent="0.2">
      <c r="A751" s="624">
        <v>746</v>
      </c>
      <c r="B751" s="208" t="s">
        <v>4718</v>
      </c>
      <c r="C751" s="575" t="s">
        <v>202</v>
      </c>
      <c r="D751" s="575" t="s">
        <v>4770</v>
      </c>
      <c r="E751" s="576">
        <v>40584105</v>
      </c>
      <c r="F751" s="623" t="str">
        <f t="shared" si="35"/>
        <v>MS 622 BIS - MICROONDAS</v>
      </c>
      <c r="G751" s="575" t="s">
        <v>4771</v>
      </c>
      <c r="H751" s="576" t="s">
        <v>41</v>
      </c>
      <c r="I751" s="576" t="s">
        <v>62</v>
      </c>
      <c r="J751" s="576" t="s">
        <v>63</v>
      </c>
      <c r="K751" s="593" t="s">
        <v>4772</v>
      </c>
      <c r="L751" s="594" t="s">
        <v>4773</v>
      </c>
      <c r="M751" s="594" t="s">
        <v>4774</v>
      </c>
      <c r="N751" s="575">
        <v>992877322</v>
      </c>
      <c r="O751" s="596">
        <v>15</v>
      </c>
      <c r="P751" s="576" t="s">
        <v>442</v>
      </c>
      <c r="Q751" s="576" t="s">
        <v>62</v>
      </c>
      <c r="R751" s="597"/>
      <c r="S751" s="575" t="str">
        <f t="shared" si="36"/>
        <v>007-006-000140088</v>
      </c>
      <c r="T751" s="599">
        <v>102968716001</v>
      </c>
      <c r="U751" s="621" t="s">
        <v>4775</v>
      </c>
    </row>
    <row r="752" spans="1:21" ht="24" customHeight="1" x14ac:dyDescent="0.2">
      <c r="A752" s="624">
        <v>747</v>
      </c>
      <c r="B752" s="208" t="s">
        <v>4718</v>
      </c>
      <c r="C752" s="575" t="s">
        <v>202</v>
      </c>
      <c r="D752" s="575" t="s">
        <v>4770</v>
      </c>
      <c r="E752" s="576">
        <v>111010028</v>
      </c>
      <c r="F752" s="623" t="str">
        <f t="shared" si="35"/>
        <v>HSB 646 "AIRFRY" - HORNO ELEC</v>
      </c>
      <c r="G752" s="575" t="s">
        <v>4776</v>
      </c>
      <c r="H752" s="576" t="s">
        <v>41</v>
      </c>
      <c r="I752" s="576" t="s">
        <v>62</v>
      </c>
      <c r="J752" s="576" t="s">
        <v>63</v>
      </c>
      <c r="K752" s="593" t="s">
        <v>4772</v>
      </c>
      <c r="L752" s="594" t="s">
        <v>4773</v>
      </c>
      <c r="M752" s="594" t="s">
        <v>4774</v>
      </c>
      <c r="N752" s="575">
        <v>992877322</v>
      </c>
      <c r="O752" s="596">
        <v>15</v>
      </c>
      <c r="P752" s="576" t="s">
        <v>442</v>
      </c>
      <c r="Q752" s="576" t="s">
        <v>62</v>
      </c>
      <c r="R752" s="597"/>
      <c r="S752" s="575" t="str">
        <f t="shared" si="36"/>
        <v>007-006-000140088</v>
      </c>
      <c r="T752" s="599">
        <v>102968716001</v>
      </c>
      <c r="U752" s="621" t="s">
        <v>4775</v>
      </c>
    </row>
    <row r="753" spans="1:21" ht="24" customHeight="1" x14ac:dyDescent="0.2">
      <c r="A753" s="624">
        <v>748</v>
      </c>
      <c r="B753" s="208" t="s">
        <v>4718</v>
      </c>
      <c r="C753" s="575" t="s">
        <v>202</v>
      </c>
      <c r="D753" s="575" t="s">
        <v>4770</v>
      </c>
      <c r="E753" s="576">
        <v>40782128</v>
      </c>
      <c r="F753" s="623" t="str">
        <f t="shared" si="35"/>
        <v>DW8 57 FIM-D LAVAVAJILLAS</v>
      </c>
      <c r="G753" s="575" t="s">
        <v>4777</v>
      </c>
      <c r="H753" s="576" t="s">
        <v>41</v>
      </c>
      <c r="I753" s="576" t="s">
        <v>62</v>
      </c>
      <c r="J753" s="576" t="s">
        <v>63</v>
      </c>
      <c r="K753" s="593" t="s">
        <v>4772</v>
      </c>
      <c r="L753" s="594" t="s">
        <v>4773</v>
      </c>
      <c r="M753" s="594" t="s">
        <v>4774</v>
      </c>
      <c r="N753" s="575">
        <v>992877322</v>
      </c>
      <c r="O753" s="596">
        <v>15</v>
      </c>
      <c r="P753" s="576" t="s">
        <v>442</v>
      </c>
      <c r="Q753" s="576" t="s">
        <v>62</v>
      </c>
      <c r="R753" s="597"/>
      <c r="S753" s="575" t="str">
        <f t="shared" si="36"/>
        <v>007-006-000140088</v>
      </c>
      <c r="T753" s="599">
        <v>102968716001</v>
      </c>
      <c r="U753" s="621" t="s">
        <v>4775</v>
      </c>
    </row>
    <row r="754" spans="1:21" ht="24" customHeight="1" x14ac:dyDescent="0.2">
      <c r="A754" s="624">
        <v>749</v>
      </c>
      <c r="B754" s="208">
        <v>45913</v>
      </c>
      <c r="C754" s="575" t="s">
        <v>161</v>
      </c>
      <c r="D754" s="575" t="s">
        <v>4778</v>
      </c>
      <c r="E754" s="576">
        <v>112610071</v>
      </c>
      <c r="F754" s="623" t="str">
        <f t="shared" si="35"/>
        <v>GSC 64320 XBA IX (LAT) COCINA INOX</v>
      </c>
      <c r="G754" s="575" t="s">
        <v>4779</v>
      </c>
      <c r="H754" s="576" t="s">
        <v>41</v>
      </c>
      <c r="I754" s="576" t="s">
        <v>62</v>
      </c>
      <c r="J754" s="576" t="s">
        <v>63</v>
      </c>
      <c r="K754" s="689">
        <v>45930</v>
      </c>
      <c r="L754" s="594" t="s">
        <v>4400</v>
      </c>
      <c r="M754" s="594" t="s">
        <v>4401</v>
      </c>
      <c r="N754" s="575">
        <v>958879604</v>
      </c>
      <c r="O754" s="596">
        <v>20</v>
      </c>
      <c r="P754" s="576" t="s">
        <v>442</v>
      </c>
      <c r="Q754" s="576" t="s">
        <v>62</v>
      </c>
      <c r="R754" s="597"/>
      <c r="S754" s="575" t="str">
        <f t="shared" si="36"/>
        <v>040-103-000016045</v>
      </c>
      <c r="T754" s="599">
        <v>923466874</v>
      </c>
      <c r="U754" s="621" t="s">
        <v>4780</v>
      </c>
    </row>
    <row r="755" spans="1:21" ht="24" customHeight="1" x14ac:dyDescent="0.2">
      <c r="A755" s="624">
        <v>750</v>
      </c>
      <c r="B755" s="208">
        <v>45913</v>
      </c>
      <c r="C755" s="575" t="s">
        <v>161</v>
      </c>
      <c r="D755" s="575" t="s">
        <v>4778</v>
      </c>
      <c r="E755" s="688">
        <v>111010028</v>
      </c>
      <c r="F755" s="623" t="str">
        <f t="shared" si="35"/>
        <v>HSB 646 "AIRFRY" - HORNO ELEC</v>
      </c>
      <c r="G755" s="575" t="s">
        <v>4781</v>
      </c>
      <c r="H755" s="576" t="s">
        <v>41</v>
      </c>
      <c r="I755" s="576" t="s">
        <v>62</v>
      </c>
      <c r="J755" s="576" t="s">
        <v>63</v>
      </c>
      <c r="K755" s="689">
        <v>45930</v>
      </c>
      <c r="L755" s="594" t="s">
        <v>4400</v>
      </c>
      <c r="M755" s="594" t="s">
        <v>4401</v>
      </c>
      <c r="N755" s="575">
        <v>958879604</v>
      </c>
      <c r="O755" s="596">
        <v>20</v>
      </c>
      <c r="P755" s="576" t="s">
        <v>442</v>
      </c>
      <c r="Q755" s="576" t="s">
        <v>62</v>
      </c>
      <c r="R755" s="597"/>
      <c r="S755" s="575" t="str">
        <f t="shared" si="36"/>
        <v>040-103-000016045</v>
      </c>
      <c r="T755" s="599">
        <v>923466874</v>
      </c>
      <c r="U755" s="621" t="s">
        <v>4780</v>
      </c>
    </row>
    <row r="756" spans="1:21" ht="24" customHeight="1" x14ac:dyDescent="0.2">
      <c r="A756" s="624">
        <v>751</v>
      </c>
      <c r="B756" s="208">
        <v>45611</v>
      </c>
      <c r="C756" s="575" t="s">
        <v>100</v>
      </c>
      <c r="D756" s="575" t="s">
        <v>4782</v>
      </c>
      <c r="E756" s="576">
        <v>111000051</v>
      </c>
      <c r="F756" s="623" t="str">
        <f t="shared" si="35"/>
        <v>HLB 8416 "AIR FRY" - HORNO ELEC</v>
      </c>
      <c r="G756" s="575" t="s">
        <v>4783</v>
      </c>
      <c r="H756" s="576" t="s">
        <v>41</v>
      </c>
      <c r="I756" s="576" t="s">
        <v>62</v>
      </c>
      <c r="J756" s="576" t="s">
        <v>63</v>
      </c>
      <c r="K756" s="593">
        <v>45931</v>
      </c>
      <c r="L756" s="594" t="s">
        <v>4784</v>
      </c>
      <c r="M756" s="594" t="s">
        <v>1071</v>
      </c>
      <c r="N756" s="575">
        <v>994820654</v>
      </c>
      <c r="O756" s="596">
        <v>15</v>
      </c>
      <c r="P756" s="576" t="s">
        <v>442</v>
      </c>
      <c r="Q756" s="576" t="s">
        <v>62</v>
      </c>
      <c r="R756" s="597"/>
      <c r="S756" s="575" t="str">
        <f t="shared" si="36"/>
        <v>001-500-000000014</v>
      </c>
      <c r="T756" s="599" t="s">
        <v>4785</v>
      </c>
      <c r="U756" s="621" t="s">
        <v>4786</v>
      </c>
    </row>
    <row r="757" spans="1:21" ht="24" customHeight="1" x14ac:dyDescent="0.2">
      <c r="A757" s="624">
        <v>752</v>
      </c>
      <c r="B757" s="208">
        <v>45611</v>
      </c>
      <c r="C757" s="575" t="s">
        <v>100</v>
      </c>
      <c r="D757" s="575" t="s">
        <v>4782</v>
      </c>
      <c r="E757" s="576">
        <v>40584202</v>
      </c>
      <c r="F757" s="623" t="str">
        <f t="shared" si="35"/>
        <v>ML 820 BIS - MICROONDAS</v>
      </c>
      <c r="G757" s="575" t="s">
        <v>4787</v>
      </c>
      <c r="H757" s="576" t="s">
        <v>41</v>
      </c>
      <c r="I757" s="576" t="s">
        <v>62</v>
      </c>
      <c r="J757" s="576" t="s">
        <v>63</v>
      </c>
      <c r="K757" s="593">
        <v>45931</v>
      </c>
      <c r="L757" s="594" t="s">
        <v>4784</v>
      </c>
      <c r="M757" s="594" t="s">
        <v>1071</v>
      </c>
      <c r="N757" s="575">
        <v>994820654</v>
      </c>
      <c r="O757" s="596">
        <v>15</v>
      </c>
      <c r="P757" s="576" t="s">
        <v>442</v>
      </c>
      <c r="Q757" s="576" t="s">
        <v>62</v>
      </c>
      <c r="R757" s="597"/>
      <c r="S757" s="575" t="str">
        <f t="shared" si="36"/>
        <v>001-500-000000014</v>
      </c>
      <c r="T757" s="599" t="s">
        <v>4785</v>
      </c>
      <c r="U757" s="621" t="s">
        <v>4786</v>
      </c>
    </row>
    <row r="758" spans="1:21" ht="24" customHeight="1" x14ac:dyDescent="0.2">
      <c r="A758" s="624">
        <v>753</v>
      </c>
      <c r="B758" s="208">
        <v>45611</v>
      </c>
      <c r="C758" s="575" t="s">
        <v>100</v>
      </c>
      <c r="D758" s="575" t="s">
        <v>4782</v>
      </c>
      <c r="E758" s="576">
        <v>112580027</v>
      </c>
      <c r="F758" s="623" t="str">
        <f t="shared" si="35"/>
        <v>GBC 75030 KBB CRISTAL COCINA GAS</v>
      </c>
      <c r="G758" s="575" t="s">
        <v>4788</v>
      </c>
      <c r="H758" s="576" t="s">
        <v>41</v>
      </c>
      <c r="I758" s="576" t="s">
        <v>62</v>
      </c>
      <c r="J758" s="576" t="s">
        <v>63</v>
      </c>
      <c r="K758" s="593">
        <v>45931</v>
      </c>
      <c r="L758" s="594" t="s">
        <v>4784</v>
      </c>
      <c r="M758" s="594" t="s">
        <v>1071</v>
      </c>
      <c r="N758" s="575">
        <v>994820654</v>
      </c>
      <c r="O758" s="596">
        <v>15</v>
      </c>
      <c r="P758" s="576" t="s">
        <v>442</v>
      </c>
      <c r="Q758" s="576" t="s">
        <v>62</v>
      </c>
      <c r="R758" s="597"/>
      <c r="S758" s="575" t="str">
        <f t="shared" si="36"/>
        <v>001-500-000000014</v>
      </c>
      <c r="T758" s="599" t="s">
        <v>4785</v>
      </c>
      <c r="U758" s="621" t="s">
        <v>4786</v>
      </c>
    </row>
    <row r="759" spans="1:21" ht="24" customHeight="1" x14ac:dyDescent="0.2">
      <c r="A759" s="624">
        <v>754</v>
      </c>
      <c r="B759" s="208">
        <v>45817</v>
      </c>
      <c r="C759" s="575" t="s">
        <v>187</v>
      </c>
      <c r="D759" s="575" t="s">
        <v>4789</v>
      </c>
      <c r="E759" s="576">
        <v>111040006</v>
      </c>
      <c r="F759" s="623" t="str">
        <f t="shared" si="35"/>
        <v>HSB 750 G SS HORNO A GAS</v>
      </c>
      <c r="G759" s="575" t="s">
        <v>4790</v>
      </c>
      <c r="H759" s="576" t="s">
        <v>41</v>
      </c>
      <c r="I759" s="576" t="s">
        <v>62</v>
      </c>
      <c r="J759" s="576" t="s">
        <v>63</v>
      </c>
      <c r="K759" s="593">
        <v>45931</v>
      </c>
      <c r="L759" s="594" t="s">
        <v>4791</v>
      </c>
      <c r="M759" s="594" t="s">
        <v>148</v>
      </c>
      <c r="N759" s="575">
        <v>989702206</v>
      </c>
      <c r="O759" s="596">
        <v>20</v>
      </c>
      <c r="P759" s="576" t="s">
        <v>442</v>
      </c>
      <c r="Q759" s="576" t="s">
        <v>62</v>
      </c>
      <c r="R759" s="597"/>
      <c r="S759" s="575" t="str">
        <f t="shared" si="36"/>
        <v>040-103-000014033</v>
      </c>
      <c r="T759" s="599" t="s">
        <v>4792</v>
      </c>
      <c r="U759" s="621" t="s">
        <v>4793</v>
      </c>
    </row>
    <row r="760" spans="1:21" ht="24" customHeight="1" x14ac:dyDescent="0.2">
      <c r="A760" s="624">
        <v>755</v>
      </c>
      <c r="B760" s="208">
        <v>45472</v>
      </c>
      <c r="C760" s="575" t="s">
        <v>190</v>
      </c>
      <c r="D760" s="575" t="s">
        <v>4794</v>
      </c>
      <c r="E760" s="576">
        <v>112570073</v>
      </c>
      <c r="F760" s="623" t="str">
        <f t="shared" si="35"/>
        <v>GZC 96310 XBB CRISTAL COCINA GAS</v>
      </c>
      <c r="G760" s="575" t="s">
        <v>4795</v>
      </c>
      <c r="H760" s="576" t="s">
        <v>41</v>
      </c>
      <c r="I760" s="576" t="s">
        <v>62</v>
      </c>
      <c r="J760" s="576" t="s">
        <v>63</v>
      </c>
      <c r="K760" s="593">
        <v>45931</v>
      </c>
      <c r="L760" s="594" t="s">
        <v>4791</v>
      </c>
      <c r="M760" s="594" t="s">
        <v>148</v>
      </c>
      <c r="N760" s="575">
        <v>989702206</v>
      </c>
      <c r="O760" s="596">
        <v>20</v>
      </c>
      <c r="P760" s="576" t="s">
        <v>442</v>
      </c>
      <c r="Q760" s="576" t="s">
        <v>62</v>
      </c>
      <c r="R760" s="597"/>
      <c r="S760" s="575" t="str">
        <f t="shared" si="36"/>
        <v>006-002-000156234</v>
      </c>
      <c r="T760" s="599" t="s">
        <v>4792</v>
      </c>
      <c r="U760" s="621" t="s">
        <v>4793</v>
      </c>
    </row>
    <row r="761" spans="1:21" ht="24" customHeight="1" x14ac:dyDescent="0.2">
      <c r="A761" s="624">
        <v>756</v>
      </c>
      <c r="B761" s="208">
        <v>45805</v>
      </c>
      <c r="C761" s="575" t="s">
        <v>187</v>
      </c>
      <c r="D761" s="575" t="s">
        <v>4796</v>
      </c>
      <c r="E761" s="576">
        <v>111000051</v>
      </c>
      <c r="F761" s="623" t="str">
        <f t="shared" si="35"/>
        <v>HLB 8416 "AIR FRY" - HORNO ELEC</v>
      </c>
      <c r="G761" s="575" t="s">
        <v>4797</v>
      </c>
      <c r="H761" s="576" t="s">
        <v>41</v>
      </c>
      <c r="I761" s="576" t="s">
        <v>62</v>
      </c>
      <c r="J761" s="576" t="s">
        <v>63</v>
      </c>
      <c r="K761" s="593">
        <v>42278</v>
      </c>
      <c r="L761" s="594" t="s">
        <v>4798</v>
      </c>
      <c r="M761" s="594" t="s">
        <v>4799</v>
      </c>
      <c r="N761" s="575">
        <v>4138226373</v>
      </c>
      <c r="O761" s="596">
        <v>20</v>
      </c>
      <c r="P761" s="576" t="s">
        <v>442</v>
      </c>
      <c r="Q761" s="576" t="s">
        <v>62</v>
      </c>
      <c r="R761" s="597"/>
      <c r="S761" s="575" t="str">
        <f t="shared" si="36"/>
        <v>040-103-000013793</v>
      </c>
      <c r="T761" s="599" t="s">
        <v>4800</v>
      </c>
      <c r="U761" s="621" t="s">
        <v>4801</v>
      </c>
    </row>
    <row r="762" spans="1:21" ht="24" customHeight="1" x14ac:dyDescent="0.2">
      <c r="A762" s="624">
        <v>757</v>
      </c>
      <c r="B762" s="208">
        <v>45805</v>
      </c>
      <c r="C762" s="575" t="s">
        <v>187</v>
      </c>
      <c r="D762" s="575" t="s">
        <v>4796</v>
      </c>
      <c r="E762" s="576">
        <v>112580017</v>
      </c>
      <c r="F762" s="623" t="str">
        <f t="shared" si="35"/>
        <v>GBC 64000 KBB CRISTAL COCINA GAS</v>
      </c>
      <c r="G762" s="575" t="s">
        <v>4802</v>
      </c>
      <c r="H762" s="576" t="s">
        <v>41</v>
      </c>
      <c r="I762" s="576" t="s">
        <v>62</v>
      </c>
      <c r="J762" s="576" t="s">
        <v>63</v>
      </c>
      <c r="K762" s="593">
        <v>42278</v>
      </c>
      <c r="L762" s="594" t="s">
        <v>4798</v>
      </c>
      <c r="M762" s="594" t="s">
        <v>4799</v>
      </c>
      <c r="N762" s="575">
        <v>4138226373</v>
      </c>
      <c r="O762" s="596">
        <v>20</v>
      </c>
      <c r="P762" s="576" t="s">
        <v>442</v>
      </c>
      <c r="Q762" s="576" t="s">
        <v>62</v>
      </c>
      <c r="R762" s="597"/>
      <c r="S762" s="575" t="str">
        <f t="shared" si="36"/>
        <v>040-103-000013793</v>
      </c>
      <c r="T762" s="599" t="s">
        <v>4800</v>
      </c>
      <c r="U762" s="621" t="s">
        <v>4801</v>
      </c>
    </row>
    <row r="763" spans="1:21" ht="24" customHeight="1" x14ac:dyDescent="0.2">
      <c r="A763" s="624">
        <v>758</v>
      </c>
      <c r="B763" s="208">
        <v>45912</v>
      </c>
      <c r="C763" s="575" t="s">
        <v>125</v>
      </c>
      <c r="D763" s="575" t="s">
        <v>4803</v>
      </c>
      <c r="E763" s="576">
        <v>112610067</v>
      </c>
      <c r="F763" s="623" t="str">
        <f t="shared" si="35"/>
        <v>GSC 96320 XBA IX (LAT) COCINA INOX</v>
      </c>
      <c r="G763" s="575" t="s">
        <v>4804</v>
      </c>
      <c r="H763" s="576" t="s">
        <v>41</v>
      </c>
      <c r="I763" s="576" t="s">
        <v>62</v>
      </c>
      <c r="J763" s="576" t="s">
        <v>63</v>
      </c>
      <c r="K763" s="593">
        <v>45931</v>
      </c>
      <c r="L763" s="594" t="s">
        <v>4805</v>
      </c>
      <c r="M763" s="594" t="s">
        <v>4806</v>
      </c>
      <c r="N763" s="575">
        <v>991873292</v>
      </c>
      <c r="O763" s="596">
        <v>15</v>
      </c>
      <c r="P763" s="576" t="s">
        <v>442</v>
      </c>
      <c r="Q763" s="576" t="s">
        <v>62</v>
      </c>
      <c r="R763" s="597"/>
      <c r="S763" s="575" t="str">
        <f t="shared" si="36"/>
        <v>043-903-000093990</v>
      </c>
      <c r="T763" s="599" t="s">
        <v>4807</v>
      </c>
      <c r="U763" s="621" t="s">
        <v>4808</v>
      </c>
    </row>
    <row r="764" spans="1:21" ht="24" customHeight="1" x14ac:dyDescent="0.2">
      <c r="A764" s="624">
        <v>759</v>
      </c>
      <c r="B764" s="208">
        <v>45912</v>
      </c>
      <c r="C764" s="575" t="s">
        <v>125</v>
      </c>
      <c r="D764" s="575" t="s">
        <v>4803</v>
      </c>
      <c r="E764" s="576">
        <v>111040006</v>
      </c>
      <c r="F764" s="623" t="str">
        <f t="shared" si="35"/>
        <v>HSB 750 G SS HORNO A GAS</v>
      </c>
      <c r="G764" s="575" t="s">
        <v>4809</v>
      </c>
      <c r="H764" s="576" t="s">
        <v>41</v>
      </c>
      <c r="I764" s="576" t="s">
        <v>62</v>
      </c>
      <c r="J764" s="576" t="s">
        <v>63</v>
      </c>
      <c r="K764" s="593">
        <v>45931</v>
      </c>
      <c r="L764" s="594" t="s">
        <v>4805</v>
      </c>
      <c r="M764" s="594" t="s">
        <v>4806</v>
      </c>
      <c r="N764" s="575">
        <v>991873292</v>
      </c>
      <c r="O764" s="596">
        <v>15</v>
      </c>
      <c r="P764" s="576" t="s">
        <v>442</v>
      </c>
      <c r="Q764" s="576" t="s">
        <v>62</v>
      </c>
      <c r="R764" s="597"/>
      <c r="S764" s="575" t="str">
        <f t="shared" si="36"/>
        <v>043-903-000093990</v>
      </c>
      <c r="T764" s="599" t="s">
        <v>4807</v>
      </c>
      <c r="U764" s="621" t="s">
        <v>4808</v>
      </c>
    </row>
    <row r="765" spans="1:21" ht="24" customHeight="1" x14ac:dyDescent="0.2">
      <c r="A765" s="624">
        <v>760</v>
      </c>
      <c r="B765" s="208">
        <v>45912</v>
      </c>
      <c r="C765" s="575" t="s">
        <v>125</v>
      </c>
      <c r="D765" s="575" t="s">
        <v>4803</v>
      </c>
      <c r="E765" s="576">
        <v>40466241</v>
      </c>
      <c r="F765" s="623" t="str">
        <f t="shared" si="35"/>
        <v>C 9310 INOX CAMPANA (110V-60HZ) C/KIT</v>
      </c>
      <c r="G765" s="575" t="s">
        <v>4810</v>
      </c>
      <c r="H765" s="576" t="s">
        <v>41</v>
      </c>
      <c r="I765" s="576" t="s">
        <v>62</v>
      </c>
      <c r="J765" s="576" t="s">
        <v>63</v>
      </c>
      <c r="K765" s="593">
        <v>45931</v>
      </c>
      <c r="L765" s="594" t="s">
        <v>4805</v>
      </c>
      <c r="M765" s="594" t="s">
        <v>4806</v>
      </c>
      <c r="N765" s="575">
        <v>991873292</v>
      </c>
      <c r="O765" s="596">
        <v>15</v>
      </c>
      <c r="P765" s="576" t="s">
        <v>442</v>
      </c>
      <c r="Q765" s="576" t="s">
        <v>62</v>
      </c>
      <c r="R765" s="597"/>
      <c r="S765" s="575" t="str">
        <f t="shared" si="36"/>
        <v>043-903-000093990</v>
      </c>
      <c r="T765" s="599" t="s">
        <v>4807</v>
      </c>
      <c r="U765" s="621" t="s">
        <v>4808</v>
      </c>
    </row>
    <row r="766" spans="1:21" ht="24" customHeight="1" x14ac:dyDescent="0.2">
      <c r="A766" s="624">
        <v>761</v>
      </c>
      <c r="B766" s="208">
        <v>45850</v>
      </c>
      <c r="C766" s="575" t="s">
        <v>100</v>
      </c>
      <c r="D766" s="575" t="s">
        <v>4811</v>
      </c>
      <c r="E766" s="576">
        <v>112500047</v>
      </c>
      <c r="F766" s="623" t="str">
        <f t="shared" si="35"/>
        <v>IZF 99700 MST COCINA INDUCCION</v>
      </c>
      <c r="G766" s="575" t="s">
        <v>4812</v>
      </c>
      <c r="H766" s="576" t="s">
        <v>41</v>
      </c>
      <c r="I766" s="576" t="s">
        <v>62</v>
      </c>
      <c r="J766" s="576" t="s">
        <v>63</v>
      </c>
      <c r="K766" s="593">
        <v>45932</v>
      </c>
      <c r="L766" s="594" t="s">
        <v>4813</v>
      </c>
      <c r="M766" s="594" t="s">
        <v>4814</v>
      </c>
      <c r="N766" s="575">
        <v>984178864</v>
      </c>
      <c r="O766" s="596">
        <v>15</v>
      </c>
      <c r="P766" s="576" t="s">
        <v>442</v>
      </c>
      <c r="Q766" s="576" t="s">
        <v>62</v>
      </c>
      <c r="R766" s="597"/>
      <c r="S766" s="575" t="str">
        <f t="shared" si="36"/>
        <v>001-500-000074987</v>
      </c>
      <c r="T766" s="599" t="s">
        <v>4815</v>
      </c>
      <c r="U766" s="621" t="s">
        <v>4816</v>
      </c>
    </row>
    <row r="767" spans="1:21" ht="24" customHeight="1" x14ac:dyDescent="0.2">
      <c r="A767" s="624">
        <v>762</v>
      </c>
      <c r="B767" s="208">
        <v>45850</v>
      </c>
      <c r="C767" s="575" t="s">
        <v>100</v>
      </c>
      <c r="D767" s="575" t="s">
        <v>4811</v>
      </c>
      <c r="E767" s="576">
        <v>112570016</v>
      </c>
      <c r="F767" s="623" t="str">
        <f t="shared" si="35"/>
        <v>GZC 32300 XBB CRISTAL COCINA GAS</v>
      </c>
      <c r="G767" s="575" t="s">
        <v>4817</v>
      </c>
      <c r="H767" s="576" t="s">
        <v>41</v>
      </c>
      <c r="I767" s="576" t="s">
        <v>62</v>
      </c>
      <c r="J767" s="576" t="s">
        <v>63</v>
      </c>
      <c r="K767" s="593">
        <v>45932</v>
      </c>
      <c r="L767" s="594" t="s">
        <v>4813</v>
      </c>
      <c r="M767" s="594" t="s">
        <v>4814</v>
      </c>
      <c r="N767" s="575">
        <v>984178864</v>
      </c>
      <c r="O767" s="596">
        <v>15</v>
      </c>
      <c r="P767" s="576" t="s">
        <v>442</v>
      </c>
      <c r="Q767" s="576" t="s">
        <v>62</v>
      </c>
      <c r="R767" s="597"/>
      <c r="S767" s="575" t="str">
        <f t="shared" si="36"/>
        <v>001-500-000074987</v>
      </c>
      <c r="T767" s="599" t="s">
        <v>4815</v>
      </c>
      <c r="U767" s="621" t="s">
        <v>4816</v>
      </c>
    </row>
    <row r="768" spans="1:21" ht="24" customHeight="1" x14ac:dyDescent="0.2">
      <c r="A768" s="624">
        <v>763</v>
      </c>
      <c r="B768" s="208">
        <v>45850</v>
      </c>
      <c r="C768" s="575" t="s">
        <v>100</v>
      </c>
      <c r="D768" s="575" t="s">
        <v>4811</v>
      </c>
      <c r="E768" s="576">
        <v>114270008</v>
      </c>
      <c r="F768" s="623" t="str">
        <f t="shared" si="35"/>
        <v>LAVAVAJILLAS DFI 46900 120 60 WH</v>
      </c>
      <c r="G768" s="575" t="s">
        <v>4818</v>
      </c>
      <c r="H768" s="576" t="s">
        <v>41</v>
      </c>
      <c r="I768" s="576" t="s">
        <v>62</v>
      </c>
      <c r="J768" s="576" t="s">
        <v>63</v>
      </c>
      <c r="K768" s="593">
        <v>45932</v>
      </c>
      <c r="L768" s="594" t="s">
        <v>4813</v>
      </c>
      <c r="M768" s="594" t="s">
        <v>4814</v>
      </c>
      <c r="N768" s="575">
        <v>984178864</v>
      </c>
      <c r="O768" s="596">
        <v>15</v>
      </c>
      <c r="P768" s="576" t="s">
        <v>442</v>
      </c>
      <c r="Q768" s="576" t="s">
        <v>62</v>
      </c>
      <c r="R768" s="597"/>
      <c r="S768" s="575" t="str">
        <f t="shared" si="36"/>
        <v>001-500-000074987</v>
      </c>
      <c r="T768" s="599" t="s">
        <v>4815</v>
      </c>
      <c r="U768" s="621" t="s">
        <v>4816</v>
      </c>
    </row>
    <row r="769" spans="1:21" ht="24" customHeight="1" x14ac:dyDescent="0.2">
      <c r="A769" s="624">
        <v>764</v>
      </c>
      <c r="B769" s="208">
        <v>45894</v>
      </c>
      <c r="C769" s="575" t="s">
        <v>161</v>
      </c>
      <c r="D769" s="575" t="s">
        <v>4819</v>
      </c>
      <c r="E769" s="576">
        <v>40461507</v>
      </c>
      <c r="F769" s="623" t="str">
        <f t="shared" si="35"/>
        <v>C 610 NEGRA CAMPANA (110V-60HZ) C/KIT</v>
      </c>
      <c r="G769" s="575" t="s">
        <v>4820</v>
      </c>
      <c r="H769" s="576" t="s">
        <v>41</v>
      </c>
      <c r="I769" s="576" t="s">
        <v>62</v>
      </c>
      <c r="J769" s="576" t="s">
        <v>63</v>
      </c>
      <c r="K769" s="593">
        <v>45932</v>
      </c>
      <c r="L769" s="594" t="s">
        <v>4821</v>
      </c>
      <c r="M769" s="594" t="s">
        <v>686</v>
      </c>
      <c r="N769" s="575">
        <v>981658920</v>
      </c>
      <c r="O769" s="596">
        <v>20</v>
      </c>
      <c r="P769" s="576" t="s">
        <v>442</v>
      </c>
      <c r="Q769" s="576" t="s">
        <v>62</v>
      </c>
      <c r="R769" s="597"/>
      <c r="S769" s="575" t="str">
        <f t="shared" si="36"/>
        <v>040-103-000015676</v>
      </c>
      <c r="T769" s="599" t="s">
        <v>4822</v>
      </c>
      <c r="U769" s="621" t="s">
        <v>4823</v>
      </c>
    </row>
    <row r="770" spans="1:21" ht="24" customHeight="1" x14ac:dyDescent="0.2">
      <c r="A770" s="624">
        <v>765</v>
      </c>
      <c r="B770" s="208">
        <v>45894</v>
      </c>
      <c r="C770" s="575" t="s">
        <v>161</v>
      </c>
      <c r="D770" s="575" t="s">
        <v>4819</v>
      </c>
      <c r="E770" s="576">
        <v>112580017</v>
      </c>
      <c r="F770" s="623" t="str">
        <f t="shared" si="35"/>
        <v>GBC 64000 KBB CRISTAL COCINA GAS</v>
      </c>
      <c r="G770" s="575" t="s">
        <v>4824</v>
      </c>
      <c r="H770" s="576" t="s">
        <v>41</v>
      </c>
      <c r="I770" s="576" t="s">
        <v>62</v>
      </c>
      <c r="J770" s="576" t="s">
        <v>63</v>
      </c>
      <c r="K770" s="593">
        <v>45932</v>
      </c>
      <c r="L770" s="594" t="s">
        <v>4821</v>
      </c>
      <c r="M770" s="594" t="s">
        <v>686</v>
      </c>
      <c r="N770" s="575">
        <v>981658920</v>
      </c>
      <c r="O770" s="596">
        <v>20</v>
      </c>
      <c r="P770" s="576" t="s">
        <v>442</v>
      </c>
      <c r="Q770" s="576" t="s">
        <v>62</v>
      </c>
      <c r="R770" s="597"/>
      <c r="S770" s="575" t="str">
        <f t="shared" si="36"/>
        <v>040-103-000015676</v>
      </c>
      <c r="T770" s="599" t="s">
        <v>4822</v>
      </c>
      <c r="U770" s="621" t="s">
        <v>4823</v>
      </c>
    </row>
    <row r="771" spans="1:21" ht="24" customHeight="1" x14ac:dyDescent="0.2">
      <c r="A771" s="624">
        <v>766</v>
      </c>
      <c r="B771" s="208">
        <v>45895</v>
      </c>
      <c r="C771" s="575" t="s">
        <v>100</v>
      </c>
      <c r="D771" s="575" t="s">
        <v>4825</v>
      </c>
      <c r="E771" s="576">
        <v>111910000</v>
      </c>
      <c r="F771" s="623" t="str">
        <f t="shared" si="35"/>
        <v>MLH 845 SS - MICROONDAS</v>
      </c>
      <c r="G771" s="595" t="s">
        <v>4826</v>
      </c>
      <c r="H771" s="576" t="s">
        <v>41</v>
      </c>
      <c r="I771" s="576" t="s">
        <v>62</v>
      </c>
      <c r="J771" s="576" t="s">
        <v>63</v>
      </c>
      <c r="K771" s="593">
        <v>45932</v>
      </c>
      <c r="L771" s="594" t="s">
        <v>4827</v>
      </c>
      <c r="M771" s="594" t="s">
        <v>720</v>
      </c>
      <c r="N771" s="575">
        <v>939256517</v>
      </c>
      <c r="O771" s="596">
        <v>20</v>
      </c>
      <c r="P771" s="576" t="s">
        <v>442</v>
      </c>
      <c r="Q771" s="576" t="s">
        <v>62</v>
      </c>
      <c r="R771" s="597"/>
      <c r="S771" s="575" t="str">
        <f t="shared" si="36"/>
        <v>001-500-000076361</v>
      </c>
      <c r="T771" s="599" t="s">
        <v>4828</v>
      </c>
      <c r="U771" s="621" t="s">
        <v>4829</v>
      </c>
    </row>
    <row r="772" spans="1:21" ht="24" customHeight="1" x14ac:dyDescent="0.2">
      <c r="A772" s="624">
        <v>767</v>
      </c>
      <c r="B772" s="208">
        <v>45895</v>
      </c>
      <c r="C772" s="575" t="s">
        <v>100</v>
      </c>
      <c r="D772" s="575" t="s">
        <v>4825</v>
      </c>
      <c r="E772" s="576">
        <v>114270008</v>
      </c>
      <c r="F772" s="623" t="str">
        <f t="shared" si="35"/>
        <v>LAVAVAJILLAS DFI 46900 120 60 WH</v>
      </c>
      <c r="G772" s="575" t="s">
        <v>4830</v>
      </c>
      <c r="H772" s="576" t="s">
        <v>41</v>
      </c>
      <c r="I772" s="576" t="s">
        <v>62</v>
      </c>
      <c r="J772" s="576" t="s">
        <v>63</v>
      </c>
      <c r="K772" s="593">
        <v>45932</v>
      </c>
      <c r="L772" s="594" t="s">
        <v>4827</v>
      </c>
      <c r="M772" s="594" t="s">
        <v>720</v>
      </c>
      <c r="N772" s="575">
        <v>939256517</v>
      </c>
      <c r="O772" s="596">
        <v>20</v>
      </c>
      <c r="P772" s="576" t="s">
        <v>442</v>
      </c>
      <c r="Q772" s="576" t="s">
        <v>62</v>
      </c>
      <c r="R772" s="597"/>
      <c r="S772" s="575" t="str">
        <f t="shared" si="36"/>
        <v>001-500-000076361</v>
      </c>
      <c r="T772" s="599" t="s">
        <v>4828</v>
      </c>
      <c r="U772" s="621" t="s">
        <v>4829</v>
      </c>
    </row>
    <row r="773" spans="1:21" ht="24" customHeight="1" x14ac:dyDescent="0.2">
      <c r="A773" s="624">
        <v>768</v>
      </c>
      <c r="B773" s="208" t="s">
        <v>4831</v>
      </c>
      <c r="C773" s="575" t="s">
        <v>125</v>
      </c>
      <c r="D773" s="575" t="s">
        <v>4832</v>
      </c>
      <c r="E773" s="576">
        <v>112570073</v>
      </c>
      <c r="F773" s="623" t="str">
        <f>VLOOKUP(E773,PROD,2,FALSE)</f>
        <v>GZC 96310 XBB CRISTAL COCINA GAS</v>
      </c>
      <c r="G773" s="575" t="s">
        <v>4833</v>
      </c>
      <c r="H773" s="576" t="s">
        <v>41</v>
      </c>
      <c r="I773" s="576" t="s">
        <v>62</v>
      </c>
      <c r="J773" s="576" t="s">
        <v>63</v>
      </c>
      <c r="K773" s="689">
        <v>45933</v>
      </c>
      <c r="L773" s="672" t="s">
        <v>4834</v>
      </c>
      <c r="M773" s="672" t="s">
        <v>3619</v>
      </c>
      <c r="N773" s="667">
        <v>996440514</v>
      </c>
      <c r="O773" s="673">
        <v>20</v>
      </c>
      <c r="P773" s="670" t="s">
        <v>442</v>
      </c>
      <c r="Q773" s="670" t="s">
        <v>62</v>
      </c>
      <c r="R773" s="674"/>
      <c r="S773" s="575" t="str">
        <f t="shared" si="36"/>
        <v>016-902-00052886</v>
      </c>
      <c r="T773" s="690" t="s">
        <v>4835</v>
      </c>
      <c r="U773" s="669" t="s">
        <v>4836</v>
      </c>
    </row>
    <row r="774" spans="1:21" ht="24" customHeight="1" x14ac:dyDescent="0.2">
      <c r="A774" s="624">
        <v>769</v>
      </c>
      <c r="B774" s="208" t="s">
        <v>4831</v>
      </c>
      <c r="C774" s="575" t="s">
        <v>125</v>
      </c>
      <c r="D774" s="575" t="s">
        <v>4832</v>
      </c>
      <c r="E774" s="576">
        <v>40590835</v>
      </c>
      <c r="F774" s="623" t="str">
        <f t="shared" ref="F774:F777" si="37">VLOOKUP(E774,PROD,2,FALSE)</f>
        <v>MWG 14X - MICROONDAS</v>
      </c>
      <c r="G774" s="575" t="s">
        <v>4837</v>
      </c>
      <c r="H774" s="576" t="s">
        <v>41</v>
      </c>
      <c r="I774" s="576" t="s">
        <v>62</v>
      </c>
      <c r="J774" s="576" t="s">
        <v>63</v>
      </c>
      <c r="K774" s="689">
        <v>45933</v>
      </c>
      <c r="L774" s="672" t="s">
        <v>4834</v>
      </c>
      <c r="M774" s="672" t="s">
        <v>3619</v>
      </c>
      <c r="N774" s="667">
        <v>996440514</v>
      </c>
      <c r="O774" s="673">
        <v>20</v>
      </c>
      <c r="P774" s="670" t="s">
        <v>442</v>
      </c>
      <c r="Q774" s="670" t="s">
        <v>62</v>
      </c>
      <c r="R774" s="674"/>
      <c r="S774" s="575" t="str">
        <f t="shared" si="36"/>
        <v>016-902-00052886</v>
      </c>
      <c r="T774" s="690" t="s">
        <v>4835</v>
      </c>
      <c r="U774" s="669" t="s">
        <v>4836</v>
      </c>
    </row>
    <row r="775" spans="1:21" ht="24" customHeight="1" x14ac:dyDescent="0.2">
      <c r="A775" s="624">
        <v>770</v>
      </c>
      <c r="B775" s="208">
        <v>45863</v>
      </c>
      <c r="C775" s="575" t="s">
        <v>202</v>
      </c>
      <c r="D775" s="575" t="s">
        <v>4838</v>
      </c>
      <c r="E775" s="576">
        <v>40297052</v>
      </c>
      <c r="F775" s="623" t="str">
        <f t="shared" si="37"/>
        <v>COCINA A GAS FS3RL966GGX</v>
      </c>
      <c r="G775" s="595" t="s">
        <v>4839</v>
      </c>
      <c r="H775" s="576" t="s">
        <v>41</v>
      </c>
      <c r="I775" s="576" t="s">
        <v>62</v>
      </c>
      <c r="J775" s="576" t="s">
        <v>63</v>
      </c>
      <c r="K775" s="593">
        <v>45933</v>
      </c>
      <c r="L775" s="594" t="s">
        <v>4840</v>
      </c>
      <c r="M775" s="594" t="s">
        <v>349</v>
      </c>
      <c r="N775" s="575">
        <v>998213127</v>
      </c>
      <c r="O775" s="596">
        <v>20</v>
      </c>
      <c r="P775" s="576" t="s">
        <v>442</v>
      </c>
      <c r="Q775" s="576" t="s">
        <v>62</v>
      </c>
      <c r="R775" s="597"/>
      <c r="S775" s="575" t="str">
        <f t="shared" si="36"/>
        <v>007-007-000034734</v>
      </c>
      <c r="T775" s="599" t="s">
        <v>4841</v>
      </c>
      <c r="U775" s="621" t="s">
        <v>4842</v>
      </c>
    </row>
    <row r="776" spans="1:21" ht="24" customHeight="1" x14ac:dyDescent="0.2">
      <c r="A776" s="624">
        <v>771</v>
      </c>
      <c r="B776" s="208">
        <v>45863</v>
      </c>
      <c r="C776" s="575" t="s">
        <v>202</v>
      </c>
      <c r="D776" s="575" t="s">
        <v>4838</v>
      </c>
      <c r="E776" s="576">
        <v>40466111</v>
      </c>
      <c r="F776" s="623" t="str">
        <f t="shared" si="37"/>
        <v>C 910 NEGRA CAMPANA (110V-60HZ) C/KIT</v>
      </c>
      <c r="G776" s="575" t="s">
        <v>4843</v>
      </c>
      <c r="H776" s="576" t="s">
        <v>41</v>
      </c>
      <c r="I776" s="576" t="s">
        <v>62</v>
      </c>
      <c r="J776" s="576" t="s">
        <v>63</v>
      </c>
      <c r="K776" s="593">
        <v>45933</v>
      </c>
      <c r="L776" s="594" t="s">
        <v>4840</v>
      </c>
      <c r="M776" s="594" t="s">
        <v>349</v>
      </c>
      <c r="N776" s="575">
        <v>998213127</v>
      </c>
      <c r="O776" s="596">
        <v>20</v>
      </c>
      <c r="P776" s="576" t="s">
        <v>442</v>
      </c>
      <c r="Q776" s="576" t="s">
        <v>62</v>
      </c>
      <c r="R776" s="597"/>
      <c r="S776" s="575" t="str">
        <f t="shared" si="36"/>
        <v>007-007-000034734</v>
      </c>
      <c r="T776" s="599" t="s">
        <v>4841</v>
      </c>
      <c r="U776" s="621" t="s">
        <v>4842</v>
      </c>
    </row>
    <row r="777" spans="1:21" ht="24" customHeight="1" x14ac:dyDescent="0.2">
      <c r="A777" s="624">
        <v>772</v>
      </c>
      <c r="B777" s="208">
        <v>45866</v>
      </c>
      <c r="C777" s="575" t="s">
        <v>75</v>
      </c>
      <c r="D777" s="575" t="s">
        <v>4844</v>
      </c>
      <c r="E777" s="576">
        <v>40480321</v>
      </c>
      <c r="F777" s="623" t="str">
        <f t="shared" si="37"/>
        <v>CC 480 ISLA INOX CAMPANA (40480301)</v>
      </c>
      <c r="G777" s="575" t="s">
        <v>4845</v>
      </c>
      <c r="H777" s="576" t="s">
        <v>41</v>
      </c>
      <c r="I777" s="576" t="s">
        <v>62</v>
      </c>
      <c r="J777" s="576" t="s">
        <v>63</v>
      </c>
      <c r="K777" s="593">
        <v>45936</v>
      </c>
      <c r="L777" s="594" t="s">
        <v>4846</v>
      </c>
      <c r="M777" s="594" t="s">
        <v>748</v>
      </c>
      <c r="N777" s="575">
        <v>987241398</v>
      </c>
      <c r="O777" s="596">
        <v>30</v>
      </c>
      <c r="P777" s="576" t="s">
        <v>442</v>
      </c>
      <c r="Q777" s="576" t="s">
        <v>62</v>
      </c>
      <c r="R777" s="597"/>
      <c r="S777" s="575" t="str">
        <f t="shared" si="36"/>
        <v>001-001-000001156</v>
      </c>
      <c r="T777" s="599" t="s">
        <v>4847</v>
      </c>
      <c r="U777" s="621" t="s">
        <v>4848</v>
      </c>
    </row>
    <row r="778" spans="1:21" ht="24" customHeight="1" x14ac:dyDescent="0.2">
      <c r="A778" s="624">
        <v>773</v>
      </c>
      <c r="B778" s="208">
        <v>45822</v>
      </c>
      <c r="C778" s="575" t="s">
        <v>125</v>
      </c>
      <c r="D778" s="575" t="s">
        <v>4849</v>
      </c>
      <c r="E778" s="576">
        <v>40590835</v>
      </c>
      <c r="F778" s="623" t="str">
        <f t="shared" si="35"/>
        <v>MWG 14X - MICROONDAS</v>
      </c>
      <c r="G778" s="575" t="s">
        <v>4850</v>
      </c>
      <c r="H778" s="576" t="s">
        <v>41</v>
      </c>
      <c r="I778" s="576" t="s">
        <v>62</v>
      </c>
      <c r="J778" s="576" t="s">
        <v>63</v>
      </c>
      <c r="K778" s="593">
        <v>45936</v>
      </c>
      <c r="L778" s="594" t="s">
        <v>4846</v>
      </c>
      <c r="M778" s="594" t="s">
        <v>748</v>
      </c>
      <c r="N778" s="575">
        <v>987241398</v>
      </c>
      <c r="O778" s="596">
        <v>20</v>
      </c>
      <c r="P778" s="576" t="s">
        <v>442</v>
      </c>
      <c r="Q778" s="576" t="s">
        <v>62</v>
      </c>
      <c r="R778" s="597"/>
      <c r="S778" s="575" t="str">
        <f t="shared" si="36"/>
        <v>043-907-000025298</v>
      </c>
      <c r="T778" s="599" t="s">
        <v>4847</v>
      </c>
      <c r="U778" s="621" t="s">
        <v>4848</v>
      </c>
    </row>
    <row r="779" spans="1:21" ht="24" customHeight="1" x14ac:dyDescent="0.2">
      <c r="A779" s="624">
        <v>774</v>
      </c>
      <c r="B779" s="208">
        <v>45932</v>
      </c>
      <c r="C779" s="575" t="s">
        <v>125</v>
      </c>
      <c r="D779" s="575" t="s">
        <v>4851</v>
      </c>
      <c r="E779" s="576">
        <v>40466241</v>
      </c>
      <c r="F779" s="623" t="str">
        <f t="shared" si="35"/>
        <v>C 9310 INOX CAMPANA (110V-60HZ) C/KIT</v>
      </c>
      <c r="G779" s="575" t="s">
        <v>4852</v>
      </c>
      <c r="H779" s="576" t="s">
        <v>41</v>
      </c>
      <c r="I779" s="576" t="s">
        <v>62</v>
      </c>
      <c r="J779" s="576" t="s">
        <v>63</v>
      </c>
      <c r="K779" s="593">
        <v>45938</v>
      </c>
      <c r="L779" s="594" t="s">
        <v>4853</v>
      </c>
      <c r="M779" s="594" t="s">
        <v>4854</v>
      </c>
      <c r="N779" s="575">
        <v>994903705</v>
      </c>
      <c r="O779" s="596">
        <v>20</v>
      </c>
      <c r="P779" s="576" t="s">
        <v>442</v>
      </c>
      <c r="Q779" s="576" t="s">
        <v>62</v>
      </c>
      <c r="R779" s="597"/>
      <c r="S779" s="575" t="str">
        <f t="shared" si="36"/>
        <v>043-901-000032288</v>
      </c>
      <c r="T779" s="599" t="s">
        <v>4855</v>
      </c>
      <c r="U779" s="621" t="s">
        <v>4856</v>
      </c>
    </row>
    <row r="780" spans="1:21" ht="24" customHeight="1" x14ac:dyDescent="0.2">
      <c r="A780" s="624">
        <v>775</v>
      </c>
      <c r="B780" s="208">
        <v>45874</v>
      </c>
      <c r="C780" s="575" t="s">
        <v>125</v>
      </c>
      <c r="D780" s="575" t="s">
        <v>4857</v>
      </c>
      <c r="E780" s="576">
        <v>111010040</v>
      </c>
      <c r="F780" s="623" t="str">
        <f t="shared" si="35"/>
        <v>HSB 610 NEGRO HORNO ELEC</v>
      </c>
      <c r="G780" s="575" t="s">
        <v>4858</v>
      </c>
      <c r="H780" s="576" t="s">
        <v>41</v>
      </c>
      <c r="I780" s="576" t="s">
        <v>62</v>
      </c>
      <c r="J780" s="576" t="s">
        <v>63</v>
      </c>
      <c r="K780" s="593">
        <v>45938</v>
      </c>
      <c r="L780" s="594" t="s">
        <v>4853</v>
      </c>
      <c r="M780" s="594" t="s">
        <v>4854</v>
      </c>
      <c r="N780" s="575">
        <v>994903705</v>
      </c>
      <c r="O780" s="596">
        <v>20</v>
      </c>
      <c r="P780" s="576" t="s">
        <v>442</v>
      </c>
      <c r="Q780" s="576" t="s">
        <v>62</v>
      </c>
      <c r="R780" s="597"/>
      <c r="S780" s="575" t="str">
        <f t="shared" si="36"/>
        <v>043-901-000025856</v>
      </c>
      <c r="T780" s="599" t="s">
        <v>4855</v>
      </c>
      <c r="U780" s="621" t="s">
        <v>4856</v>
      </c>
    </row>
    <row r="781" spans="1:21" ht="24" customHeight="1" x14ac:dyDescent="0.2">
      <c r="A781" s="624">
        <v>776</v>
      </c>
      <c r="B781" s="208">
        <v>45933</v>
      </c>
      <c r="C781" s="575" t="s">
        <v>100</v>
      </c>
      <c r="D781" s="575" t="s">
        <v>4859</v>
      </c>
      <c r="E781" s="576">
        <v>112030019</v>
      </c>
      <c r="F781" s="623" t="str">
        <f t="shared" si="35"/>
        <v>ML 8220 BIS FBK- MICROONDAS</v>
      </c>
      <c r="G781" s="575" t="s">
        <v>4860</v>
      </c>
      <c r="H781" s="576" t="s">
        <v>41</v>
      </c>
      <c r="I781" s="576" t="s">
        <v>62</v>
      </c>
      <c r="J781" s="576" t="s">
        <v>63</v>
      </c>
      <c r="K781" s="593">
        <v>45938</v>
      </c>
      <c r="L781" s="594" t="s">
        <v>4861</v>
      </c>
      <c r="M781" s="594" t="s">
        <v>4862</v>
      </c>
      <c r="N781" s="575">
        <v>995720411</v>
      </c>
      <c r="O781" s="596">
        <v>15</v>
      </c>
      <c r="P781" s="576" t="s">
        <v>442</v>
      </c>
      <c r="Q781" s="576" t="s">
        <v>62</v>
      </c>
      <c r="R781" s="597"/>
      <c r="S781" s="575" t="str">
        <f t="shared" si="36"/>
        <v>001-500-000077486</v>
      </c>
      <c r="T781" s="599" t="s">
        <v>4863</v>
      </c>
      <c r="U781" s="621" t="s">
        <v>4864</v>
      </c>
    </row>
    <row r="782" spans="1:21" ht="24" customHeight="1" x14ac:dyDescent="0.2">
      <c r="A782" s="624">
        <v>777</v>
      </c>
      <c r="B782" s="208">
        <v>45891</v>
      </c>
      <c r="C782" s="575" t="s">
        <v>202</v>
      </c>
      <c r="D782" s="575" t="s">
        <v>4865</v>
      </c>
      <c r="E782" s="576">
        <v>112580017</v>
      </c>
      <c r="F782" s="623" t="str">
        <f t="shared" si="35"/>
        <v>GBC 64000 KBB CRISTAL COCINA GAS</v>
      </c>
      <c r="G782" s="575" t="s">
        <v>4866</v>
      </c>
      <c r="H782" s="576" t="s">
        <v>41</v>
      </c>
      <c r="I782" s="576" t="s">
        <v>62</v>
      </c>
      <c r="J782" s="576" t="s">
        <v>63</v>
      </c>
      <c r="K782" s="593">
        <v>45938</v>
      </c>
      <c r="L782" s="594" t="s">
        <v>4861</v>
      </c>
      <c r="M782" s="594" t="s">
        <v>4862</v>
      </c>
      <c r="N782" s="575">
        <v>995720411</v>
      </c>
      <c r="O782" s="596">
        <v>15</v>
      </c>
      <c r="P782" s="576" t="s">
        <v>442</v>
      </c>
      <c r="Q782" s="576" t="s">
        <v>62</v>
      </c>
      <c r="R782" s="597"/>
      <c r="S782" s="575" t="str">
        <f t="shared" si="36"/>
        <v>007-007-000035281</v>
      </c>
      <c r="T782" s="599" t="s">
        <v>4863</v>
      </c>
      <c r="U782" s="621" t="s">
        <v>4864</v>
      </c>
    </row>
    <row r="783" spans="1:21" ht="24" customHeight="1" x14ac:dyDescent="0.2">
      <c r="A783" s="624">
        <v>778</v>
      </c>
      <c r="B783" s="208">
        <v>45937</v>
      </c>
      <c r="C783" s="575" t="s">
        <v>100</v>
      </c>
      <c r="D783" s="575" t="s">
        <v>4867</v>
      </c>
      <c r="E783" s="576">
        <v>111000051</v>
      </c>
      <c r="F783" s="623" t="str">
        <f t="shared" si="35"/>
        <v>HLB 8416 "AIR FRY" - HORNO ELEC</v>
      </c>
      <c r="G783" s="575" t="s">
        <v>4868</v>
      </c>
      <c r="H783" s="576" t="s">
        <v>41</v>
      </c>
      <c r="I783" s="576" t="s">
        <v>62</v>
      </c>
      <c r="J783" s="576" t="s">
        <v>63</v>
      </c>
      <c r="K783" s="593">
        <v>45938</v>
      </c>
      <c r="L783" s="594" t="s">
        <v>4861</v>
      </c>
      <c r="M783" s="594" t="s">
        <v>4862</v>
      </c>
      <c r="N783" s="575">
        <v>995720411</v>
      </c>
      <c r="O783" s="596">
        <v>15</v>
      </c>
      <c r="P783" s="576" t="s">
        <v>442</v>
      </c>
      <c r="Q783" s="576" t="s">
        <v>62</v>
      </c>
      <c r="R783" s="597"/>
      <c r="S783" s="575" t="str">
        <f t="shared" si="36"/>
        <v>001-500-000077587</v>
      </c>
      <c r="T783" s="599" t="s">
        <v>4863</v>
      </c>
      <c r="U783" s="621" t="s">
        <v>4864</v>
      </c>
    </row>
    <row r="784" spans="1:21" ht="24" customHeight="1" x14ac:dyDescent="0.2">
      <c r="A784" s="624">
        <v>779</v>
      </c>
      <c r="B784" s="208">
        <v>45935</v>
      </c>
      <c r="C784" s="575" t="s">
        <v>161</v>
      </c>
      <c r="D784" s="575" t="s">
        <v>4869</v>
      </c>
      <c r="E784" s="576">
        <v>113600015</v>
      </c>
      <c r="F784" s="623" t="str">
        <f t="shared" si="35"/>
        <v>RVU 20046 GBK VINERA</v>
      </c>
      <c r="G784" s="575" t="s">
        <v>4870</v>
      </c>
      <c r="H784" s="576" t="s">
        <v>41</v>
      </c>
      <c r="I784" s="576" t="s">
        <v>62</v>
      </c>
      <c r="J784" s="576" t="s">
        <v>63</v>
      </c>
      <c r="K784" s="593">
        <v>45938</v>
      </c>
      <c r="L784" s="594" t="s">
        <v>4871</v>
      </c>
      <c r="M784" s="594" t="s">
        <v>1071</v>
      </c>
      <c r="N784" s="575">
        <v>997391269</v>
      </c>
      <c r="O784" s="596">
        <v>20</v>
      </c>
      <c r="P784" s="576" t="s">
        <v>442</v>
      </c>
      <c r="Q784" s="576" t="s">
        <v>62</v>
      </c>
      <c r="R784" s="597"/>
      <c r="S784" s="575" t="str">
        <f t="shared" si="36"/>
        <v>040-103-000016506</v>
      </c>
      <c r="T784" s="599" t="s">
        <v>4872</v>
      </c>
      <c r="U784" s="621" t="s">
        <v>4873</v>
      </c>
    </row>
    <row r="785" spans="1:21" ht="24" customHeight="1" x14ac:dyDescent="0.2">
      <c r="A785" s="624">
        <v>780</v>
      </c>
      <c r="B785" s="208">
        <v>45935</v>
      </c>
      <c r="C785" s="575" t="s">
        <v>161</v>
      </c>
      <c r="D785" s="575" t="s">
        <v>4869</v>
      </c>
      <c r="E785" s="576">
        <v>40584305</v>
      </c>
      <c r="F785" s="623" t="str">
        <f t="shared" si="35"/>
        <v>ML 822 BIS - MICROONDAS (112030008)</v>
      </c>
      <c r="G785" s="575" t="s">
        <v>4874</v>
      </c>
      <c r="H785" s="576" t="s">
        <v>41</v>
      </c>
      <c r="I785" s="576" t="s">
        <v>62</v>
      </c>
      <c r="J785" s="576" t="s">
        <v>63</v>
      </c>
      <c r="K785" s="593">
        <v>45938</v>
      </c>
      <c r="L785" s="594" t="s">
        <v>4871</v>
      </c>
      <c r="M785" s="594" t="s">
        <v>1071</v>
      </c>
      <c r="N785" s="575">
        <v>997391269</v>
      </c>
      <c r="O785" s="596">
        <v>20</v>
      </c>
      <c r="P785" s="576" t="s">
        <v>442</v>
      </c>
      <c r="Q785" s="576" t="s">
        <v>62</v>
      </c>
      <c r="R785" s="597"/>
      <c r="S785" s="575" t="str">
        <f t="shared" si="36"/>
        <v>040-103-000016506</v>
      </c>
      <c r="T785" s="599" t="s">
        <v>4872</v>
      </c>
      <c r="U785" s="621" t="s">
        <v>4873</v>
      </c>
    </row>
    <row r="786" spans="1:21" ht="24" customHeight="1" x14ac:dyDescent="0.2">
      <c r="A786" s="624">
        <v>781</v>
      </c>
      <c r="B786" s="198">
        <v>45779</v>
      </c>
      <c r="C786" s="199" t="s">
        <v>75</v>
      </c>
      <c r="D786" s="199" t="s">
        <v>4875</v>
      </c>
      <c r="E786" s="200">
        <v>111000051</v>
      </c>
      <c r="F786" s="623" t="str">
        <f t="shared" si="35"/>
        <v>HLB 8416 "AIR FRY" - HORNO ELEC</v>
      </c>
      <c r="G786" s="199" t="s">
        <v>4876</v>
      </c>
      <c r="H786" s="576" t="s">
        <v>41</v>
      </c>
      <c r="I786" s="576" t="s">
        <v>62</v>
      </c>
      <c r="J786" s="576" t="s">
        <v>63</v>
      </c>
      <c r="K786" s="691">
        <v>45939</v>
      </c>
      <c r="L786" s="199" t="s">
        <v>4676</v>
      </c>
      <c r="M786" s="199" t="s">
        <v>4877</v>
      </c>
      <c r="N786" s="199">
        <v>995588861</v>
      </c>
      <c r="O786" s="596">
        <v>15</v>
      </c>
      <c r="P786" s="576" t="s">
        <v>442</v>
      </c>
      <c r="Q786" s="576" t="s">
        <v>62</v>
      </c>
      <c r="R786" s="597"/>
      <c r="S786" s="575" t="str">
        <f t="shared" si="36"/>
        <v>001-001-000000836</v>
      </c>
      <c r="T786" s="599" t="s">
        <v>4678</v>
      </c>
      <c r="U786" s="621" t="s">
        <v>4878</v>
      </c>
    </row>
    <row r="787" spans="1:21" ht="24" customHeight="1" x14ac:dyDescent="0.2">
      <c r="A787" s="624">
        <v>782</v>
      </c>
      <c r="B787" s="198">
        <v>45779</v>
      </c>
      <c r="C787" s="199" t="s">
        <v>75</v>
      </c>
      <c r="D787" s="199" t="s">
        <v>4875</v>
      </c>
      <c r="E787" s="200">
        <v>112030019</v>
      </c>
      <c r="F787" s="623" t="str">
        <f t="shared" si="35"/>
        <v>ML 8220 BIS FBK- MICROONDAS</v>
      </c>
      <c r="G787" s="199" t="s">
        <v>4879</v>
      </c>
      <c r="H787" s="576" t="s">
        <v>41</v>
      </c>
      <c r="I787" s="576" t="s">
        <v>62</v>
      </c>
      <c r="J787" s="576" t="s">
        <v>63</v>
      </c>
      <c r="K787" s="691">
        <v>45939</v>
      </c>
      <c r="L787" s="199" t="s">
        <v>4676</v>
      </c>
      <c r="M787" s="199" t="s">
        <v>4877</v>
      </c>
      <c r="N787" s="199">
        <v>995588861</v>
      </c>
      <c r="O787" s="596">
        <v>15</v>
      </c>
      <c r="P787" s="576" t="s">
        <v>442</v>
      </c>
      <c r="Q787" s="576" t="s">
        <v>62</v>
      </c>
      <c r="R787" s="597"/>
      <c r="S787" s="575" t="str">
        <f t="shared" si="36"/>
        <v>001-001-000000836</v>
      </c>
      <c r="T787" s="599" t="s">
        <v>4678</v>
      </c>
      <c r="U787" s="621" t="s">
        <v>4878</v>
      </c>
    </row>
    <row r="788" spans="1:21" ht="24" customHeight="1" x14ac:dyDescent="0.2">
      <c r="A788" s="624">
        <v>783</v>
      </c>
      <c r="B788" s="198">
        <v>45779</v>
      </c>
      <c r="C788" s="199" t="s">
        <v>75</v>
      </c>
      <c r="D788" s="199" t="s">
        <v>4875</v>
      </c>
      <c r="E788" s="200">
        <v>40782127</v>
      </c>
      <c r="F788" s="623" t="str">
        <f t="shared" si="35"/>
        <v>DW8 57 FIM PANELABLE LAVAVAJILLAS</v>
      </c>
      <c r="G788" s="199" t="s">
        <v>4880</v>
      </c>
      <c r="H788" s="576" t="s">
        <v>41</v>
      </c>
      <c r="I788" s="576" t="s">
        <v>62</v>
      </c>
      <c r="J788" s="576" t="s">
        <v>63</v>
      </c>
      <c r="K788" s="691">
        <v>45939</v>
      </c>
      <c r="L788" s="199" t="s">
        <v>4676</v>
      </c>
      <c r="M788" s="199" t="s">
        <v>4877</v>
      </c>
      <c r="N788" s="199">
        <v>995588861</v>
      </c>
      <c r="O788" s="596">
        <v>15</v>
      </c>
      <c r="P788" s="576" t="s">
        <v>442</v>
      </c>
      <c r="Q788" s="576" t="s">
        <v>62</v>
      </c>
      <c r="R788" s="597"/>
      <c r="S788" s="575" t="str">
        <f t="shared" si="36"/>
        <v>001-001-000000836</v>
      </c>
      <c r="T788" s="599" t="s">
        <v>4678</v>
      </c>
      <c r="U788" s="621" t="s">
        <v>4878</v>
      </c>
    </row>
    <row r="789" spans="1:21" ht="24" customHeight="1" x14ac:dyDescent="0.2">
      <c r="A789" s="624">
        <v>784</v>
      </c>
      <c r="B789" s="208">
        <v>45919</v>
      </c>
      <c r="C789" s="575" t="s">
        <v>75</v>
      </c>
      <c r="D789" s="575" t="s">
        <v>4881</v>
      </c>
      <c r="E789" s="576">
        <v>112580058</v>
      </c>
      <c r="F789" s="623" t="str">
        <f t="shared" si="35"/>
        <v>GBC 95030 KBB BK COCINA GAS</v>
      </c>
      <c r="G789" s="575" t="s">
        <v>4882</v>
      </c>
      <c r="H789" s="576" t="s">
        <v>41</v>
      </c>
      <c r="I789" s="576" t="s">
        <v>62</v>
      </c>
      <c r="J789" s="576" t="s">
        <v>63</v>
      </c>
      <c r="K789" s="593">
        <v>45943</v>
      </c>
      <c r="L789" s="594" t="s">
        <v>4883</v>
      </c>
      <c r="M789" s="594" t="s">
        <v>2105</v>
      </c>
      <c r="N789" s="575">
        <v>987208584</v>
      </c>
      <c r="O789" s="596">
        <v>15</v>
      </c>
      <c r="P789" s="576" t="s">
        <v>442</v>
      </c>
      <c r="Q789" s="576" t="s">
        <v>62</v>
      </c>
      <c r="R789" s="597"/>
      <c r="S789" s="575" t="str">
        <f t="shared" si="36"/>
        <v>001-001-000001322</v>
      </c>
      <c r="T789" s="599" t="s">
        <v>4884</v>
      </c>
      <c r="U789" s="621" t="s">
        <v>4885</v>
      </c>
    </row>
    <row r="790" spans="1:21" ht="24" customHeight="1" x14ac:dyDescent="0.2">
      <c r="A790" s="624">
        <v>785</v>
      </c>
      <c r="B790" s="208">
        <v>45919</v>
      </c>
      <c r="C790" s="575" t="s">
        <v>75</v>
      </c>
      <c r="D790" s="575" t="s">
        <v>4881</v>
      </c>
      <c r="E790" s="576">
        <v>111030002</v>
      </c>
      <c r="F790" s="623" t="str">
        <f t="shared" si="35"/>
        <v>HLB 760 G SS HORNO A GAS</v>
      </c>
      <c r="G790" s="575" t="s">
        <v>4886</v>
      </c>
      <c r="H790" s="576" t="s">
        <v>41</v>
      </c>
      <c r="I790" s="576" t="s">
        <v>62</v>
      </c>
      <c r="J790" s="576" t="s">
        <v>63</v>
      </c>
      <c r="K790" s="593">
        <v>45943</v>
      </c>
      <c r="L790" s="594" t="s">
        <v>4883</v>
      </c>
      <c r="M790" s="594" t="s">
        <v>2105</v>
      </c>
      <c r="N790" s="575">
        <v>987208584</v>
      </c>
      <c r="O790" s="596">
        <v>15</v>
      </c>
      <c r="P790" s="576" t="s">
        <v>442</v>
      </c>
      <c r="Q790" s="576" t="s">
        <v>62</v>
      </c>
      <c r="R790" s="597"/>
      <c r="S790" s="575" t="str">
        <f t="shared" si="36"/>
        <v>001-001-000001322</v>
      </c>
      <c r="T790" s="599" t="s">
        <v>4884</v>
      </c>
      <c r="U790" s="621" t="s">
        <v>4885</v>
      </c>
    </row>
    <row r="791" spans="1:21" ht="24" customHeight="1" x14ac:dyDescent="0.2">
      <c r="A791" s="624">
        <v>786</v>
      </c>
      <c r="B791" s="208">
        <v>45919</v>
      </c>
      <c r="C791" s="575" t="s">
        <v>75</v>
      </c>
      <c r="D791" s="575" t="s">
        <v>4881</v>
      </c>
      <c r="E791" s="576">
        <v>40446712</v>
      </c>
      <c r="F791" s="623" t="str">
        <f t="shared" si="35"/>
        <v>GFH 73 INOX CAMPANA (110V-60HZ) C/KIT</v>
      </c>
      <c r="G791" s="575" t="s">
        <v>4887</v>
      </c>
      <c r="H791" s="576" t="s">
        <v>41</v>
      </c>
      <c r="I791" s="576" t="s">
        <v>62</v>
      </c>
      <c r="J791" s="576" t="s">
        <v>63</v>
      </c>
      <c r="K791" s="593">
        <v>45943</v>
      </c>
      <c r="L791" s="594" t="s">
        <v>4883</v>
      </c>
      <c r="M791" s="594" t="s">
        <v>2105</v>
      </c>
      <c r="N791" s="575">
        <v>987208584</v>
      </c>
      <c r="O791" s="596">
        <v>15</v>
      </c>
      <c r="P791" s="576" t="s">
        <v>442</v>
      </c>
      <c r="Q791" s="576" t="s">
        <v>62</v>
      </c>
      <c r="R791" s="597"/>
      <c r="S791" s="575" t="str">
        <f t="shared" si="36"/>
        <v>001-001-000001322</v>
      </c>
      <c r="T791" s="599" t="s">
        <v>4884</v>
      </c>
      <c r="U791" s="621" t="s">
        <v>4885</v>
      </c>
    </row>
    <row r="792" spans="1:21" ht="24" customHeight="1" x14ac:dyDescent="0.2">
      <c r="A792" s="624">
        <v>787</v>
      </c>
      <c r="B792" s="208">
        <v>45653</v>
      </c>
      <c r="C792" s="575" t="s">
        <v>190</v>
      </c>
      <c r="D792" s="575" t="s">
        <v>4888</v>
      </c>
      <c r="E792" s="576">
        <v>40584305</v>
      </c>
      <c r="F792" s="623" t="str">
        <f t="shared" si="35"/>
        <v>ML 822 BIS - MICROONDAS (112030008)</v>
      </c>
      <c r="G792" s="575" t="s">
        <v>4889</v>
      </c>
      <c r="H792" s="576" t="s">
        <v>41</v>
      </c>
      <c r="I792" s="576" t="s">
        <v>62</v>
      </c>
      <c r="J792" s="576" t="s">
        <v>63</v>
      </c>
      <c r="K792" s="593">
        <v>45944</v>
      </c>
      <c r="L792" s="594" t="s">
        <v>4890</v>
      </c>
      <c r="M792" s="594" t="s">
        <v>4891</v>
      </c>
      <c r="N792" s="575">
        <v>998402319</v>
      </c>
      <c r="O792" s="596">
        <v>15</v>
      </c>
      <c r="P792" s="576" t="s">
        <v>442</v>
      </c>
      <c r="Q792" s="576" t="s">
        <v>62</v>
      </c>
      <c r="R792" s="597"/>
      <c r="S792" s="575" t="str">
        <f t="shared" si="36"/>
        <v>006-0001572290</v>
      </c>
      <c r="T792" s="599" t="s">
        <v>4892</v>
      </c>
      <c r="U792" s="621" t="s">
        <v>4893</v>
      </c>
    </row>
    <row r="793" spans="1:21" ht="24" customHeight="1" x14ac:dyDescent="0.2">
      <c r="A793" s="624">
        <v>788</v>
      </c>
      <c r="B793" s="208">
        <v>45653</v>
      </c>
      <c r="C793" s="575" t="s">
        <v>190</v>
      </c>
      <c r="D793" s="575" t="s">
        <v>4888</v>
      </c>
      <c r="E793" s="576">
        <v>111000051</v>
      </c>
      <c r="F793" s="623" t="str">
        <f t="shared" si="35"/>
        <v>HLB 8416 "AIR FRY" - HORNO ELEC</v>
      </c>
      <c r="G793" s="575" t="s">
        <v>4894</v>
      </c>
      <c r="H793" s="576" t="s">
        <v>41</v>
      </c>
      <c r="I793" s="576" t="s">
        <v>62</v>
      </c>
      <c r="J793" s="576" t="s">
        <v>63</v>
      </c>
      <c r="K793" s="593">
        <v>45944</v>
      </c>
      <c r="L793" s="594" t="s">
        <v>4890</v>
      </c>
      <c r="M793" s="594" t="s">
        <v>4891</v>
      </c>
      <c r="N793" s="575">
        <v>998402319</v>
      </c>
      <c r="O793" s="596">
        <v>15</v>
      </c>
      <c r="P793" s="576" t="s">
        <v>442</v>
      </c>
      <c r="Q793" s="576" t="s">
        <v>62</v>
      </c>
      <c r="R793" s="597"/>
      <c r="S793" s="575" t="str">
        <f t="shared" si="36"/>
        <v>006-0001572290</v>
      </c>
      <c r="T793" s="599" t="s">
        <v>4892</v>
      </c>
      <c r="U793" s="621" t="s">
        <v>4893</v>
      </c>
    </row>
    <row r="794" spans="1:21" ht="24" customHeight="1" x14ac:dyDescent="0.2">
      <c r="A794" s="624">
        <v>789</v>
      </c>
      <c r="B794" s="208">
        <v>45653</v>
      </c>
      <c r="C794" s="575" t="s">
        <v>190</v>
      </c>
      <c r="D794" s="575" t="s">
        <v>4888</v>
      </c>
      <c r="E794" s="576">
        <v>40782127</v>
      </c>
      <c r="F794" s="623" t="str">
        <f t="shared" ref="F794:F813" si="38">VLOOKUP(E794,PROD,2,FALSE)</f>
        <v>DW8 57 FIM PANELABLE LAVAVAJILLAS</v>
      </c>
      <c r="G794" s="575" t="s">
        <v>4895</v>
      </c>
      <c r="H794" s="576" t="s">
        <v>41</v>
      </c>
      <c r="I794" s="576" t="s">
        <v>62</v>
      </c>
      <c r="J794" s="576" t="s">
        <v>63</v>
      </c>
      <c r="K794" s="593">
        <v>45944</v>
      </c>
      <c r="L794" s="594" t="s">
        <v>4890</v>
      </c>
      <c r="M794" s="594" t="s">
        <v>4891</v>
      </c>
      <c r="N794" s="575">
        <v>998402319</v>
      </c>
      <c r="O794" s="596">
        <v>15</v>
      </c>
      <c r="P794" s="576" t="s">
        <v>442</v>
      </c>
      <c r="Q794" s="576" t="s">
        <v>62</v>
      </c>
      <c r="R794" s="597"/>
      <c r="S794" s="575" t="str">
        <f t="shared" ref="S794:S818" si="39">D794</f>
        <v>006-0001572290</v>
      </c>
      <c r="T794" s="599" t="s">
        <v>4892</v>
      </c>
      <c r="U794" s="621" t="s">
        <v>4893</v>
      </c>
    </row>
    <row r="795" spans="1:21" ht="24" customHeight="1" x14ac:dyDescent="0.2">
      <c r="A795" s="624">
        <v>790</v>
      </c>
      <c r="B795" s="208">
        <v>45770</v>
      </c>
      <c r="C795" s="575" t="s">
        <v>125</v>
      </c>
      <c r="D795" s="575" t="s">
        <v>4896</v>
      </c>
      <c r="E795" s="576">
        <v>40446712</v>
      </c>
      <c r="F795" s="623" t="str">
        <f t="shared" si="38"/>
        <v>GFH 73 INOX CAMPANA (110V-60HZ) C/KIT</v>
      </c>
      <c r="G795" s="575" t="s">
        <v>4897</v>
      </c>
      <c r="H795" s="576" t="s">
        <v>41</v>
      </c>
      <c r="I795" s="576" t="s">
        <v>62</v>
      </c>
      <c r="J795" s="576" t="s">
        <v>63</v>
      </c>
      <c r="K795" s="593">
        <v>45945</v>
      </c>
      <c r="L795" s="594" t="s">
        <v>4898</v>
      </c>
      <c r="M795" s="594" t="s">
        <v>328</v>
      </c>
      <c r="N795" s="575">
        <v>998086890</v>
      </c>
      <c r="O795" s="596">
        <v>15</v>
      </c>
      <c r="P795" s="576" t="s">
        <v>442</v>
      </c>
      <c r="Q795" s="576" t="s">
        <v>62</v>
      </c>
      <c r="R795" s="597"/>
      <c r="S795" s="575" t="str">
        <f t="shared" si="39"/>
        <v>043-905-000070174</v>
      </c>
      <c r="T795" s="599" t="s">
        <v>4899</v>
      </c>
      <c r="U795" s="621" t="s">
        <v>4900</v>
      </c>
    </row>
    <row r="796" spans="1:21" ht="24" customHeight="1" x14ac:dyDescent="0.2">
      <c r="A796" s="624">
        <v>791</v>
      </c>
      <c r="B796" s="208">
        <v>45770</v>
      </c>
      <c r="C796" s="575" t="s">
        <v>125</v>
      </c>
      <c r="D796" s="575" t="s">
        <v>4896</v>
      </c>
      <c r="E796" s="576">
        <v>112030019</v>
      </c>
      <c r="F796" s="623" t="str">
        <f t="shared" si="38"/>
        <v>ML 8220 BIS FBK- MICROONDAS</v>
      </c>
      <c r="G796" s="575" t="s">
        <v>4901</v>
      </c>
      <c r="H796" s="576" t="s">
        <v>41</v>
      </c>
      <c r="I796" s="576" t="s">
        <v>62</v>
      </c>
      <c r="J796" s="576" t="s">
        <v>63</v>
      </c>
      <c r="K796" s="593">
        <v>45945</v>
      </c>
      <c r="L796" s="594" t="s">
        <v>4898</v>
      </c>
      <c r="M796" s="594" t="s">
        <v>328</v>
      </c>
      <c r="N796" s="575">
        <v>998086890</v>
      </c>
      <c r="O796" s="596">
        <v>15</v>
      </c>
      <c r="P796" s="576" t="s">
        <v>442</v>
      </c>
      <c r="Q796" s="576" t="s">
        <v>62</v>
      </c>
      <c r="R796" s="597"/>
      <c r="S796" s="575" t="str">
        <f t="shared" si="39"/>
        <v>043-905-000070174</v>
      </c>
      <c r="T796" s="599" t="s">
        <v>4899</v>
      </c>
      <c r="U796" s="621" t="s">
        <v>4900</v>
      </c>
    </row>
    <row r="797" spans="1:21" ht="24" customHeight="1" x14ac:dyDescent="0.2">
      <c r="A797" s="624">
        <v>792</v>
      </c>
      <c r="B797" s="208">
        <v>45770</v>
      </c>
      <c r="C797" s="575" t="s">
        <v>125</v>
      </c>
      <c r="D797" s="575" t="s">
        <v>4896</v>
      </c>
      <c r="E797" s="576">
        <v>111000051</v>
      </c>
      <c r="F797" s="623" t="str">
        <f t="shared" si="38"/>
        <v>HLB 8416 "AIR FRY" - HORNO ELEC</v>
      </c>
      <c r="G797" s="575" t="s">
        <v>4902</v>
      </c>
      <c r="H797" s="576" t="s">
        <v>41</v>
      </c>
      <c r="I797" s="576" t="s">
        <v>62</v>
      </c>
      <c r="J797" s="576" t="s">
        <v>63</v>
      </c>
      <c r="K797" s="593">
        <v>45945</v>
      </c>
      <c r="L797" s="594" t="s">
        <v>4898</v>
      </c>
      <c r="M797" s="594" t="s">
        <v>328</v>
      </c>
      <c r="N797" s="575">
        <v>998086890</v>
      </c>
      <c r="O797" s="596">
        <v>15</v>
      </c>
      <c r="P797" s="576" t="s">
        <v>442</v>
      </c>
      <c r="Q797" s="576" t="s">
        <v>62</v>
      </c>
      <c r="R797" s="597"/>
      <c r="S797" s="575" t="str">
        <f t="shared" si="39"/>
        <v>043-905-000070174</v>
      </c>
      <c r="T797" s="599" t="s">
        <v>4899</v>
      </c>
      <c r="U797" s="621" t="s">
        <v>4900</v>
      </c>
    </row>
    <row r="798" spans="1:21" ht="24" customHeight="1" x14ac:dyDescent="0.2">
      <c r="A798" s="624">
        <v>793</v>
      </c>
      <c r="B798" s="208">
        <v>45770</v>
      </c>
      <c r="C798" s="575" t="s">
        <v>125</v>
      </c>
      <c r="D798" s="575" t="s">
        <v>4896</v>
      </c>
      <c r="E798" s="576">
        <v>112570126</v>
      </c>
      <c r="F798" s="623" t="str">
        <f t="shared" si="38"/>
        <v>JZC 96324 ABB BK (LAT) COCINA MIXTA GAS - INDUCCION (40213042)</v>
      </c>
      <c r="G798" s="575" t="s">
        <v>4903</v>
      </c>
      <c r="H798" s="576" t="s">
        <v>41</v>
      </c>
      <c r="I798" s="576" t="s">
        <v>62</v>
      </c>
      <c r="J798" s="576" t="s">
        <v>63</v>
      </c>
      <c r="K798" s="593">
        <v>45945</v>
      </c>
      <c r="L798" s="594" t="s">
        <v>4898</v>
      </c>
      <c r="M798" s="594" t="s">
        <v>328</v>
      </c>
      <c r="N798" s="575">
        <v>998086890</v>
      </c>
      <c r="O798" s="596">
        <v>15</v>
      </c>
      <c r="P798" s="576" t="s">
        <v>442</v>
      </c>
      <c r="Q798" s="576" t="s">
        <v>62</v>
      </c>
      <c r="R798" s="597"/>
      <c r="S798" s="575" t="str">
        <f t="shared" si="39"/>
        <v>043-905-000070174</v>
      </c>
      <c r="T798" s="599" t="s">
        <v>4899</v>
      </c>
      <c r="U798" s="621" t="s">
        <v>4900</v>
      </c>
    </row>
    <row r="799" spans="1:21" ht="24" customHeight="1" x14ac:dyDescent="0.2">
      <c r="A799" s="624">
        <v>794</v>
      </c>
      <c r="B799" s="208">
        <v>45770</v>
      </c>
      <c r="C799" s="575" t="s">
        <v>125</v>
      </c>
      <c r="D799" s="575" t="s">
        <v>4896</v>
      </c>
      <c r="E799" s="576">
        <v>113430051</v>
      </c>
      <c r="F799" s="623" t="str">
        <f t="shared" si="38"/>
        <v>RMF 77960 GBK MX REFRIGERADORA</v>
      </c>
      <c r="G799" s="575" t="s">
        <v>4904</v>
      </c>
      <c r="H799" s="576" t="s">
        <v>41</v>
      </c>
      <c r="I799" s="576" t="s">
        <v>62</v>
      </c>
      <c r="J799" s="576" t="s">
        <v>63</v>
      </c>
      <c r="K799" s="593">
        <v>45945</v>
      </c>
      <c r="L799" s="594" t="s">
        <v>4898</v>
      </c>
      <c r="M799" s="594" t="s">
        <v>328</v>
      </c>
      <c r="N799" s="575">
        <v>998086890</v>
      </c>
      <c r="O799" s="596">
        <v>15</v>
      </c>
      <c r="P799" s="576" t="s">
        <v>442</v>
      </c>
      <c r="Q799" s="576" t="s">
        <v>62</v>
      </c>
      <c r="R799" s="597"/>
      <c r="S799" s="575" t="str">
        <f t="shared" si="39"/>
        <v>043-905-000070174</v>
      </c>
      <c r="T799" s="599" t="s">
        <v>4899</v>
      </c>
      <c r="U799" s="621" t="s">
        <v>4900</v>
      </c>
    </row>
    <row r="800" spans="1:21" ht="24" customHeight="1" x14ac:dyDescent="0.2">
      <c r="A800" s="624">
        <v>795</v>
      </c>
      <c r="B800" s="208">
        <v>45854</v>
      </c>
      <c r="C800" s="575" t="s">
        <v>125</v>
      </c>
      <c r="D800" s="575" t="s">
        <v>4905</v>
      </c>
      <c r="E800" s="576">
        <v>111030002</v>
      </c>
      <c r="F800" s="623" t="str">
        <f t="shared" si="38"/>
        <v>HLB 760 G SS HORNO A GAS</v>
      </c>
      <c r="G800" s="575" t="s">
        <v>4906</v>
      </c>
      <c r="H800" s="576" t="s">
        <v>41</v>
      </c>
      <c r="I800" s="576" t="s">
        <v>62</v>
      </c>
      <c r="J800" s="576" t="s">
        <v>63</v>
      </c>
      <c r="K800" s="593">
        <v>45945</v>
      </c>
      <c r="L800" s="594" t="s">
        <v>4907</v>
      </c>
      <c r="M800" s="594" t="s">
        <v>4908</v>
      </c>
      <c r="N800" s="575">
        <v>983037228</v>
      </c>
      <c r="O800" s="596">
        <v>20</v>
      </c>
      <c r="P800" s="576" t="s">
        <v>442</v>
      </c>
      <c r="Q800" s="576" t="s">
        <v>62</v>
      </c>
      <c r="R800" s="597"/>
      <c r="S800" s="575" t="str">
        <f t="shared" si="39"/>
        <v>043-909-000001601</v>
      </c>
      <c r="T800" s="599" t="s">
        <v>4909</v>
      </c>
      <c r="U800" s="621" t="s">
        <v>4910</v>
      </c>
    </row>
    <row r="801" spans="1:21" ht="24" customHeight="1" x14ac:dyDescent="0.2">
      <c r="A801" s="624">
        <v>796</v>
      </c>
      <c r="B801" s="208">
        <v>45854</v>
      </c>
      <c r="C801" s="575" t="s">
        <v>125</v>
      </c>
      <c r="D801" s="575" t="s">
        <v>4905</v>
      </c>
      <c r="E801" s="576">
        <v>112580027</v>
      </c>
      <c r="F801" s="623" t="str">
        <f t="shared" si="38"/>
        <v>GBC 75030 KBB CRISTAL COCINA GAS</v>
      </c>
      <c r="G801" s="575" t="s">
        <v>4911</v>
      </c>
      <c r="H801" s="576" t="s">
        <v>41</v>
      </c>
      <c r="I801" s="576" t="s">
        <v>62</v>
      </c>
      <c r="J801" s="576" t="s">
        <v>63</v>
      </c>
      <c r="K801" s="593">
        <v>45945</v>
      </c>
      <c r="L801" s="594" t="s">
        <v>4907</v>
      </c>
      <c r="M801" s="594" t="s">
        <v>4908</v>
      </c>
      <c r="N801" s="575">
        <v>983037228</v>
      </c>
      <c r="O801" s="596">
        <v>20</v>
      </c>
      <c r="P801" s="576" t="s">
        <v>442</v>
      </c>
      <c r="Q801" s="576" t="s">
        <v>62</v>
      </c>
      <c r="R801" s="597"/>
      <c r="S801" s="575" t="str">
        <f t="shared" si="39"/>
        <v>043-909-000001601</v>
      </c>
      <c r="T801" s="599" t="s">
        <v>4909</v>
      </c>
      <c r="U801" s="621" t="s">
        <v>4910</v>
      </c>
    </row>
    <row r="802" spans="1:21" ht="24" customHeight="1" x14ac:dyDescent="0.2">
      <c r="A802" s="624">
        <v>797</v>
      </c>
      <c r="B802" s="208">
        <v>45904</v>
      </c>
      <c r="C802" s="575" t="s">
        <v>277</v>
      </c>
      <c r="D802" s="575" t="s">
        <v>4912</v>
      </c>
      <c r="E802" s="576">
        <v>112520025</v>
      </c>
      <c r="F802" s="623" t="str">
        <f t="shared" si="38"/>
        <v>IZC 64010 MSS COCINA INDUCCION</v>
      </c>
      <c r="G802" s="575" t="s">
        <v>4913</v>
      </c>
      <c r="H802" s="576" t="s">
        <v>41</v>
      </c>
      <c r="I802" s="576" t="s">
        <v>62</v>
      </c>
      <c r="J802" s="576" t="s">
        <v>63</v>
      </c>
      <c r="K802" s="593">
        <v>45945</v>
      </c>
      <c r="L802" s="594" t="s">
        <v>4914</v>
      </c>
      <c r="M802" s="594" t="s">
        <v>4915</v>
      </c>
      <c r="N802" s="575">
        <v>984853170</v>
      </c>
      <c r="O802" s="596">
        <v>20</v>
      </c>
      <c r="P802" s="576" t="s">
        <v>442</v>
      </c>
      <c r="Q802" s="576" t="s">
        <v>62</v>
      </c>
      <c r="R802" s="597"/>
      <c r="S802" s="575" t="str">
        <f t="shared" si="39"/>
        <v>002-201-0016097</v>
      </c>
      <c r="T802" s="599" t="s">
        <v>4916</v>
      </c>
      <c r="U802" s="621" t="s">
        <v>4917</v>
      </c>
    </row>
    <row r="803" spans="1:21" ht="24" customHeight="1" x14ac:dyDescent="0.2">
      <c r="A803" s="624">
        <v>798</v>
      </c>
      <c r="B803" s="208">
        <v>45904</v>
      </c>
      <c r="C803" s="575" t="s">
        <v>277</v>
      </c>
      <c r="D803" s="575" t="s">
        <v>4912</v>
      </c>
      <c r="E803" s="576">
        <v>112950019</v>
      </c>
      <c r="F803" s="623" t="str">
        <f t="shared" si="38"/>
        <v>DVN 64030 TCL BK CAMPANA (110V-60HZ) C/KIT</v>
      </c>
      <c r="G803" s="575" t="s">
        <v>4918</v>
      </c>
      <c r="H803" s="576" t="s">
        <v>41</v>
      </c>
      <c r="I803" s="576" t="s">
        <v>62</v>
      </c>
      <c r="J803" s="576" t="s">
        <v>63</v>
      </c>
      <c r="K803" s="593">
        <v>45945</v>
      </c>
      <c r="L803" s="594" t="s">
        <v>4914</v>
      </c>
      <c r="M803" s="594" t="s">
        <v>4915</v>
      </c>
      <c r="N803" s="575">
        <v>984853170</v>
      </c>
      <c r="O803" s="596">
        <v>20</v>
      </c>
      <c r="P803" s="576" t="s">
        <v>442</v>
      </c>
      <c r="Q803" s="576" t="s">
        <v>62</v>
      </c>
      <c r="R803" s="597"/>
      <c r="S803" s="575" t="str">
        <f t="shared" si="39"/>
        <v>002-201-0016097</v>
      </c>
      <c r="T803" s="599" t="s">
        <v>4916</v>
      </c>
      <c r="U803" s="621" t="s">
        <v>4917</v>
      </c>
    </row>
    <row r="804" spans="1:21" ht="24" customHeight="1" x14ac:dyDescent="0.2">
      <c r="A804" s="624">
        <v>799</v>
      </c>
      <c r="B804" s="208">
        <v>45919</v>
      </c>
      <c r="C804" s="575" t="s">
        <v>202</v>
      </c>
      <c r="D804" s="575" t="s">
        <v>4919</v>
      </c>
      <c r="E804" s="576">
        <v>40466111</v>
      </c>
      <c r="F804" s="623" t="str">
        <f t="shared" si="38"/>
        <v>C 910 NEGRA CAMPANA (110V-60HZ) C/KIT</v>
      </c>
      <c r="G804" s="575" t="s">
        <v>4920</v>
      </c>
      <c r="H804" s="576" t="s">
        <v>41</v>
      </c>
      <c r="I804" s="576" t="s">
        <v>62</v>
      </c>
      <c r="J804" s="576" t="s">
        <v>63</v>
      </c>
      <c r="K804" s="593">
        <v>45945</v>
      </c>
      <c r="L804" s="594" t="s">
        <v>4921</v>
      </c>
      <c r="M804" s="594" t="s">
        <v>4922</v>
      </c>
      <c r="N804" s="575">
        <v>996123320</v>
      </c>
      <c r="O804" s="596">
        <v>20</v>
      </c>
      <c r="P804" s="576" t="s">
        <v>442</v>
      </c>
      <c r="Q804" s="576" t="s">
        <v>62</v>
      </c>
      <c r="R804" s="597"/>
      <c r="S804" s="575" t="str">
        <f t="shared" si="39"/>
        <v>007-007-000035878</v>
      </c>
      <c r="T804" s="599" t="s">
        <v>4923</v>
      </c>
      <c r="U804" s="621" t="s">
        <v>4924</v>
      </c>
    </row>
    <row r="805" spans="1:21" ht="24" customHeight="1" x14ac:dyDescent="0.2">
      <c r="A805" s="624">
        <v>800</v>
      </c>
      <c r="B805" s="208">
        <v>45919</v>
      </c>
      <c r="C805" s="575" t="s">
        <v>202</v>
      </c>
      <c r="D805" s="575" t="s">
        <v>4919</v>
      </c>
      <c r="E805" s="576">
        <v>112500049</v>
      </c>
      <c r="F805" s="623" t="str">
        <f t="shared" si="38"/>
        <v>IZS 86630 MST COCINA INDUCCION</v>
      </c>
      <c r="G805" s="575" t="s">
        <v>4925</v>
      </c>
      <c r="H805" s="576" t="s">
        <v>41</v>
      </c>
      <c r="I805" s="576" t="s">
        <v>62</v>
      </c>
      <c r="J805" s="576" t="s">
        <v>63</v>
      </c>
      <c r="K805" s="593">
        <v>45945</v>
      </c>
      <c r="L805" s="594" t="s">
        <v>4921</v>
      </c>
      <c r="M805" s="594" t="s">
        <v>4922</v>
      </c>
      <c r="N805" s="575">
        <v>996123320</v>
      </c>
      <c r="O805" s="596">
        <v>20</v>
      </c>
      <c r="P805" s="576" t="s">
        <v>442</v>
      </c>
      <c r="Q805" s="576" t="s">
        <v>62</v>
      </c>
      <c r="R805" s="597"/>
      <c r="S805" s="575" t="str">
        <f t="shared" si="39"/>
        <v>007-007-000035878</v>
      </c>
      <c r="T805" s="599" t="s">
        <v>4923</v>
      </c>
      <c r="U805" s="621" t="s">
        <v>4924</v>
      </c>
    </row>
    <row r="806" spans="1:21" ht="24" customHeight="1" x14ac:dyDescent="0.2">
      <c r="A806" s="624">
        <v>801</v>
      </c>
      <c r="B806" s="208">
        <v>45944</v>
      </c>
      <c r="C806" s="575" t="s">
        <v>125</v>
      </c>
      <c r="D806" s="575" t="s">
        <v>4926</v>
      </c>
      <c r="E806" s="576">
        <v>112620016</v>
      </c>
      <c r="F806" s="623" t="str">
        <f t="shared" si="38"/>
        <v>HLX 640 KIB1E IX (LAT)</v>
      </c>
      <c r="G806" s="575" t="s">
        <v>4927</v>
      </c>
      <c r="H806" s="576" t="s">
        <v>41</v>
      </c>
      <c r="I806" s="576" t="s">
        <v>62</v>
      </c>
      <c r="J806" s="576" t="s">
        <v>63</v>
      </c>
      <c r="K806" s="593">
        <v>45945</v>
      </c>
      <c r="L806" s="594" t="s">
        <v>4928</v>
      </c>
      <c r="M806" s="594" t="s">
        <v>4929</v>
      </c>
      <c r="N806" s="575">
        <v>983716116</v>
      </c>
      <c r="O806" s="596">
        <v>20</v>
      </c>
      <c r="P806" s="576" t="s">
        <v>442</v>
      </c>
      <c r="Q806" s="576" t="s">
        <v>62</v>
      </c>
      <c r="R806" s="597"/>
      <c r="S806" s="575" t="str">
        <f t="shared" si="39"/>
        <v>043-904-000043931</v>
      </c>
      <c r="T806" s="599" t="s">
        <v>4930</v>
      </c>
      <c r="U806" s="621" t="s">
        <v>4931</v>
      </c>
    </row>
    <row r="807" spans="1:21" ht="24" customHeight="1" x14ac:dyDescent="0.2">
      <c r="A807" s="624">
        <v>802</v>
      </c>
      <c r="B807" s="208">
        <v>45944</v>
      </c>
      <c r="C807" s="575" t="s">
        <v>125</v>
      </c>
      <c r="D807" s="575" t="s">
        <v>4926</v>
      </c>
      <c r="E807" s="576">
        <v>40461507</v>
      </c>
      <c r="F807" s="623" t="str">
        <f t="shared" si="38"/>
        <v>C 610 NEGRA CAMPANA (110V-60HZ) C/KIT</v>
      </c>
      <c r="G807" s="575" t="s">
        <v>4932</v>
      </c>
      <c r="H807" s="576" t="s">
        <v>41</v>
      </c>
      <c r="I807" s="576" t="s">
        <v>62</v>
      </c>
      <c r="J807" s="576" t="s">
        <v>63</v>
      </c>
      <c r="K807" s="593">
        <v>45945</v>
      </c>
      <c r="L807" s="594" t="s">
        <v>4928</v>
      </c>
      <c r="M807" s="594" t="s">
        <v>4929</v>
      </c>
      <c r="N807" s="575">
        <v>983716116</v>
      </c>
      <c r="O807" s="596">
        <v>20</v>
      </c>
      <c r="P807" s="576" t="s">
        <v>442</v>
      </c>
      <c r="Q807" s="576" t="s">
        <v>62</v>
      </c>
      <c r="R807" s="597"/>
      <c r="S807" s="575" t="str">
        <f t="shared" si="39"/>
        <v>043-904-000043931</v>
      </c>
      <c r="T807" s="599" t="s">
        <v>4930</v>
      </c>
      <c r="U807" s="621" t="s">
        <v>4931</v>
      </c>
    </row>
    <row r="808" spans="1:21" ht="24" customHeight="1" x14ac:dyDescent="0.2">
      <c r="A808" s="624">
        <v>803</v>
      </c>
      <c r="B808" s="208">
        <v>45855</v>
      </c>
      <c r="C808" s="575" t="s">
        <v>100</v>
      </c>
      <c r="D808" s="575" t="s">
        <v>4933</v>
      </c>
      <c r="E808" s="576">
        <v>40446702</v>
      </c>
      <c r="F808" s="623" t="str">
        <f t="shared" si="38"/>
        <v>GFH 55 INOX CAMPANA (110V-60HZ) C/KIT</v>
      </c>
      <c r="G808" s="575" t="s">
        <v>4934</v>
      </c>
      <c r="H808" s="576" t="s">
        <v>41</v>
      </c>
      <c r="I808" s="576" t="s">
        <v>62</v>
      </c>
      <c r="J808" s="576" t="s">
        <v>63</v>
      </c>
      <c r="K808" s="593">
        <v>45946</v>
      </c>
      <c r="L808" s="594" t="s">
        <v>4935</v>
      </c>
      <c r="M808" s="594" t="s">
        <v>4936</v>
      </c>
      <c r="N808" s="575">
        <v>987635220</v>
      </c>
      <c r="O808" s="596">
        <v>15</v>
      </c>
      <c r="P808" s="576" t="s">
        <v>442</v>
      </c>
      <c r="Q808" s="576" t="s">
        <v>62</v>
      </c>
      <c r="R808" s="597"/>
      <c r="S808" s="575" t="str">
        <f t="shared" si="39"/>
        <v>001-500-000075102</v>
      </c>
      <c r="T808" s="599" t="s">
        <v>4937</v>
      </c>
      <c r="U808" s="621" t="s">
        <v>4938</v>
      </c>
    </row>
    <row r="809" spans="1:21" ht="24" customHeight="1" x14ac:dyDescent="0.2">
      <c r="A809" s="624">
        <v>804</v>
      </c>
      <c r="B809" s="208">
        <v>45855</v>
      </c>
      <c r="C809" s="575" t="s">
        <v>100</v>
      </c>
      <c r="D809" s="575" t="s">
        <v>4933</v>
      </c>
      <c r="E809" s="576">
        <v>40446702</v>
      </c>
      <c r="F809" s="623" t="str">
        <f t="shared" si="38"/>
        <v>GFH 55 INOX CAMPANA (110V-60HZ) C/KIT</v>
      </c>
      <c r="G809" s="575" t="s">
        <v>4939</v>
      </c>
      <c r="H809" s="576" t="s">
        <v>41</v>
      </c>
      <c r="I809" s="576" t="s">
        <v>62</v>
      </c>
      <c r="J809" s="576" t="s">
        <v>63</v>
      </c>
      <c r="K809" s="593">
        <v>45946</v>
      </c>
      <c r="L809" s="594" t="s">
        <v>4935</v>
      </c>
      <c r="M809" s="594" t="s">
        <v>4936</v>
      </c>
      <c r="N809" s="575">
        <v>987635220</v>
      </c>
      <c r="O809" s="596">
        <v>15</v>
      </c>
      <c r="P809" s="576" t="s">
        <v>442</v>
      </c>
      <c r="Q809" s="576" t="s">
        <v>62</v>
      </c>
      <c r="R809" s="597"/>
      <c r="S809" s="575" t="str">
        <f t="shared" si="39"/>
        <v>001-500-000075102</v>
      </c>
      <c r="T809" s="599" t="s">
        <v>4937</v>
      </c>
      <c r="U809" s="621" t="s">
        <v>4938</v>
      </c>
    </row>
    <row r="810" spans="1:21" ht="24" customHeight="1" x14ac:dyDescent="0.2">
      <c r="A810" s="624">
        <v>805</v>
      </c>
      <c r="B810" s="208">
        <v>45863</v>
      </c>
      <c r="C810" s="575" t="s">
        <v>100</v>
      </c>
      <c r="D810" s="575" t="s">
        <v>4940</v>
      </c>
      <c r="E810" s="576">
        <v>40446702</v>
      </c>
      <c r="F810" s="623" t="str">
        <f t="shared" si="38"/>
        <v>GFH 55 INOX CAMPANA (110V-60HZ) C/KIT</v>
      </c>
      <c r="G810" s="575" t="s">
        <v>4941</v>
      </c>
      <c r="H810" s="576" t="s">
        <v>41</v>
      </c>
      <c r="I810" s="576" t="s">
        <v>62</v>
      </c>
      <c r="J810" s="576" t="s">
        <v>63</v>
      </c>
      <c r="K810" s="593">
        <v>45946</v>
      </c>
      <c r="L810" s="594" t="s">
        <v>4935</v>
      </c>
      <c r="M810" s="594" t="s">
        <v>4936</v>
      </c>
      <c r="N810" s="575">
        <v>987635220</v>
      </c>
      <c r="O810" s="596">
        <v>15</v>
      </c>
      <c r="P810" s="576" t="s">
        <v>442</v>
      </c>
      <c r="Q810" s="576" t="s">
        <v>62</v>
      </c>
      <c r="R810" s="597"/>
      <c r="S810" s="575" t="str">
        <f t="shared" si="39"/>
        <v>001-500-000075362</v>
      </c>
      <c r="T810" s="599" t="s">
        <v>4937</v>
      </c>
      <c r="U810" s="621" t="s">
        <v>4938</v>
      </c>
    </row>
    <row r="811" spans="1:21" ht="24" customHeight="1" x14ac:dyDescent="0.2">
      <c r="A811" s="624">
        <v>806</v>
      </c>
      <c r="B811" s="208">
        <v>45863</v>
      </c>
      <c r="C811" s="575" t="s">
        <v>100</v>
      </c>
      <c r="D811" s="575" t="s">
        <v>4940</v>
      </c>
      <c r="E811" s="576">
        <v>40446702</v>
      </c>
      <c r="F811" s="623" t="str">
        <f t="shared" si="38"/>
        <v>GFH 55 INOX CAMPANA (110V-60HZ) C/KIT</v>
      </c>
      <c r="G811" s="575" t="s">
        <v>4942</v>
      </c>
      <c r="H811" s="576" t="s">
        <v>41</v>
      </c>
      <c r="I811" s="576" t="s">
        <v>62</v>
      </c>
      <c r="J811" s="576" t="s">
        <v>63</v>
      </c>
      <c r="K811" s="593">
        <v>45946</v>
      </c>
      <c r="L811" s="594" t="s">
        <v>4935</v>
      </c>
      <c r="M811" s="594" t="s">
        <v>4936</v>
      </c>
      <c r="N811" s="575">
        <v>987635220</v>
      </c>
      <c r="O811" s="596">
        <v>15</v>
      </c>
      <c r="P811" s="576" t="s">
        <v>442</v>
      </c>
      <c r="Q811" s="576" t="s">
        <v>62</v>
      </c>
      <c r="R811" s="597"/>
      <c r="S811" s="575" t="str">
        <f t="shared" si="39"/>
        <v>001-500-000075362</v>
      </c>
      <c r="T811" s="599" t="s">
        <v>4937</v>
      </c>
      <c r="U811" s="621" t="s">
        <v>4938</v>
      </c>
    </row>
    <row r="812" spans="1:21" ht="24" customHeight="1" x14ac:dyDescent="0.2">
      <c r="A812" s="624">
        <v>807</v>
      </c>
      <c r="B812" s="208">
        <v>45834</v>
      </c>
      <c r="C812" s="575" t="s">
        <v>190</v>
      </c>
      <c r="D812" s="575" t="s">
        <v>4943</v>
      </c>
      <c r="E812" s="576">
        <v>112570128</v>
      </c>
      <c r="F812" s="623" t="str">
        <f t="shared" si="38"/>
        <v>JZC 96342 BBB BK (LAT) COCINA MIXTA GAS - INDUCCION</v>
      </c>
      <c r="G812" s="575" t="s">
        <v>4944</v>
      </c>
      <c r="H812" s="576" t="s">
        <v>41</v>
      </c>
      <c r="I812" s="576" t="s">
        <v>62</v>
      </c>
      <c r="J812" s="576" t="s">
        <v>63</v>
      </c>
      <c r="K812" s="593">
        <v>45946</v>
      </c>
      <c r="L812" s="594" t="s">
        <v>4945</v>
      </c>
      <c r="M812" s="594" t="s">
        <v>4946</v>
      </c>
      <c r="N812" s="575">
        <v>997922639</v>
      </c>
      <c r="O812" s="596">
        <v>20</v>
      </c>
      <c r="P812" s="576" t="s">
        <v>442</v>
      </c>
      <c r="Q812" s="576" t="s">
        <v>62</v>
      </c>
      <c r="R812" s="597"/>
      <c r="S812" s="575" t="str">
        <f>D813</f>
        <v>006-002-0001582227</v>
      </c>
      <c r="T812" s="599" t="s">
        <v>4947</v>
      </c>
      <c r="U812" s="621" t="s">
        <v>4948</v>
      </c>
    </row>
    <row r="813" spans="1:21" ht="24" customHeight="1" x14ac:dyDescent="0.2">
      <c r="A813" s="624">
        <v>808</v>
      </c>
      <c r="B813" s="208">
        <v>45834</v>
      </c>
      <c r="C813" s="575" t="s">
        <v>190</v>
      </c>
      <c r="D813" s="575" t="s">
        <v>4943</v>
      </c>
      <c r="E813" s="576">
        <v>113430051</v>
      </c>
      <c r="F813" s="623" t="str">
        <f t="shared" si="38"/>
        <v>RMF 77960 GBK MX REFRIGERADORA</v>
      </c>
      <c r="G813" s="575" t="s">
        <v>4949</v>
      </c>
      <c r="H813" s="576" t="s">
        <v>41</v>
      </c>
      <c r="I813" s="576" t="s">
        <v>62</v>
      </c>
      <c r="J813" s="576" t="s">
        <v>63</v>
      </c>
      <c r="K813" s="593">
        <v>45946</v>
      </c>
      <c r="L813" s="594" t="s">
        <v>4945</v>
      </c>
      <c r="M813" s="594" t="s">
        <v>4946</v>
      </c>
      <c r="N813" s="575">
        <v>997922639</v>
      </c>
      <c r="O813" s="596">
        <v>20</v>
      </c>
      <c r="P813" s="576" t="s">
        <v>442</v>
      </c>
      <c r="Q813" s="576" t="s">
        <v>62</v>
      </c>
      <c r="R813" s="597"/>
      <c r="S813" s="575" t="str">
        <f>D814</f>
        <v>016-902-000487712</v>
      </c>
      <c r="T813" s="599" t="s">
        <v>4947</v>
      </c>
      <c r="U813" s="621" t="s">
        <v>4948</v>
      </c>
    </row>
    <row r="814" spans="1:21" ht="24" customHeight="1" x14ac:dyDescent="0.2">
      <c r="A814" s="624">
        <v>809</v>
      </c>
      <c r="B814" s="208">
        <v>45626</v>
      </c>
      <c r="C814" s="575" t="s">
        <v>125</v>
      </c>
      <c r="D814" s="575" t="s">
        <v>4950</v>
      </c>
      <c r="E814" s="576">
        <v>112570126</v>
      </c>
      <c r="F814" s="623" t="str">
        <f t="shared" ref="F814:F818" si="40">VLOOKUP(E814,PROD,2,FALSE)</f>
        <v>JZC 96324 ABB BK (LAT) COCINA MIXTA GAS - INDUCCION (40213042)</v>
      </c>
      <c r="G814" s="575" t="s">
        <v>4951</v>
      </c>
      <c r="H814" s="576" t="s">
        <v>41</v>
      </c>
      <c r="I814" s="576" t="s">
        <v>62</v>
      </c>
      <c r="J814" s="576" t="s">
        <v>63</v>
      </c>
      <c r="K814" s="593">
        <v>45946</v>
      </c>
      <c r="L814" s="594" t="s">
        <v>4952</v>
      </c>
      <c r="M814" s="594" t="s">
        <v>3567</v>
      </c>
      <c r="N814" s="575">
        <v>980566611</v>
      </c>
      <c r="O814" s="596">
        <v>15</v>
      </c>
      <c r="P814" s="576" t="s">
        <v>442</v>
      </c>
      <c r="Q814" s="576" t="s">
        <v>62</v>
      </c>
      <c r="R814" s="597"/>
      <c r="S814" s="575" t="str">
        <f t="shared" si="39"/>
        <v>016-902-000487712</v>
      </c>
      <c r="T814" s="599" t="s">
        <v>4953</v>
      </c>
      <c r="U814" s="621" t="s">
        <v>4954</v>
      </c>
    </row>
    <row r="815" spans="1:21" ht="24" customHeight="1" x14ac:dyDescent="0.2">
      <c r="A815" s="624">
        <v>810</v>
      </c>
      <c r="B815" s="208">
        <v>45879</v>
      </c>
      <c r="C815" s="575" t="s">
        <v>125</v>
      </c>
      <c r="D815" s="575" t="s">
        <v>4955</v>
      </c>
      <c r="E815" s="576">
        <v>111030002</v>
      </c>
      <c r="F815" s="623" t="str">
        <f t="shared" si="40"/>
        <v>HLB 760 G SS HORNO A GAS</v>
      </c>
      <c r="G815" s="575" t="s">
        <v>4956</v>
      </c>
      <c r="H815" s="576" t="s">
        <v>41</v>
      </c>
      <c r="I815" s="576" t="s">
        <v>62</v>
      </c>
      <c r="J815" s="576" t="s">
        <v>63</v>
      </c>
      <c r="K815" s="593">
        <v>45946</v>
      </c>
      <c r="L815" s="594" t="s">
        <v>4952</v>
      </c>
      <c r="M815" s="594" t="s">
        <v>3567</v>
      </c>
      <c r="N815" s="575">
        <v>980566611</v>
      </c>
      <c r="O815" s="596">
        <v>15</v>
      </c>
      <c r="P815" s="576" t="s">
        <v>442</v>
      </c>
      <c r="Q815" s="576" t="s">
        <v>62</v>
      </c>
      <c r="R815" s="597"/>
      <c r="S815" s="575" t="str">
        <f t="shared" si="39"/>
        <v>043-903-000098650</v>
      </c>
      <c r="T815" s="599" t="s">
        <v>4953</v>
      </c>
      <c r="U815" s="621" t="s">
        <v>4954</v>
      </c>
    </row>
    <row r="816" spans="1:21" ht="24" customHeight="1" x14ac:dyDescent="0.2">
      <c r="A816" s="624">
        <v>811</v>
      </c>
      <c r="B816" s="208">
        <v>45879</v>
      </c>
      <c r="C816" s="575" t="s">
        <v>125</v>
      </c>
      <c r="D816" s="575" t="s">
        <v>4955</v>
      </c>
      <c r="E816" s="576">
        <v>111000051</v>
      </c>
      <c r="F816" s="623" t="str">
        <f t="shared" si="40"/>
        <v>HLB 8416 "AIR FRY" - HORNO ELEC</v>
      </c>
      <c r="G816" s="575" t="s">
        <v>4957</v>
      </c>
      <c r="H816" s="576" t="s">
        <v>41</v>
      </c>
      <c r="I816" s="576" t="s">
        <v>62</v>
      </c>
      <c r="J816" s="576" t="s">
        <v>63</v>
      </c>
      <c r="K816" s="593">
        <v>45946</v>
      </c>
      <c r="L816" s="594" t="s">
        <v>4952</v>
      </c>
      <c r="M816" s="594" t="s">
        <v>3567</v>
      </c>
      <c r="N816" s="575">
        <v>980566611</v>
      </c>
      <c r="O816" s="596">
        <v>15</v>
      </c>
      <c r="P816" s="576" t="s">
        <v>442</v>
      </c>
      <c r="Q816" s="576" t="s">
        <v>62</v>
      </c>
      <c r="R816" s="597"/>
      <c r="S816" s="575" t="str">
        <f t="shared" si="39"/>
        <v>043-903-000098650</v>
      </c>
      <c r="T816" s="599" t="s">
        <v>4953</v>
      </c>
      <c r="U816" s="621" t="s">
        <v>4954</v>
      </c>
    </row>
    <row r="817" spans="1:21" ht="24" customHeight="1" x14ac:dyDescent="0.2">
      <c r="A817" s="624">
        <v>812</v>
      </c>
      <c r="B817" s="208">
        <v>45836</v>
      </c>
      <c r="C817" s="575" t="s">
        <v>187</v>
      </c>
      <c r="D817" s="575" t="s">
        <v>4958</v>
      </c>
      <c r="E817" s="576">
        <v>112570073</v>
      </c>
      <c r="F817" s="623" t="str">
        <f t="shared" si="40"/>
        <v>GZC 96310 XBB CRISTAL COCINA GAS</v>
      </c>
      <c r="G817" s="575" t="s">
        <v>4959</v>
      </c>
      <c r="H817" s="576" t="s">
        <v>41</v>
      </c>
      <c r="I817" s="576" t="s">
        <v>62</v>
      </c>
      <c r="J817" s="576" t="s">
        <v>63</v>
      </c>
      <c r="K817" s="593">
        <v>45947</v>
      </c>
      <c r="L817" s="594" t="s">
        <v>4960</v>
      </c>
      <c r="M817" s="594" t="s">
        <v>4961</v>
      </c>
      <c r="N817" s="575">
        <v>991193889</v>
      </c>
      <c r="O817" s="596">
        <v>20</v>
      </c>
      <c r="P817" s="576" t="s">
        <v>442</v>
      </c>
      <c r="Q817" s="576" t="s">
        <v>62</v>
      </c>
      <c r="R817" s="597"/>
      <c r="S817" s="575" t="str">
        <f t="shared" si="39"/>
        <v>040-104-000011968</v>
      </c>
      <c r="T817" s="599" t="s">
        <v>4962</v>
      </c>
      <c r="U817" s="621" t="s">
        <v>4963</v>
      </c>
    </row>
    <row r="818" spans="1:21" ht="24" customHeight="1" x14ac:dyDescent="0.2">
      <c r="A818" s="624">
        <v>813</v>
      </c>
      <c r="B818" s="208">
        <v>45836</v>
      </c>
      <c r="C818" s="575" t="s">
        <v>187</v>
      </c>
      <c r="D818" s="575" t="s">
        <v>4958</v>
      </c>
      <c r="E818" s="576">
        <v>113120010</v>
      </c>
      <c r="F818" s="623" t="str">
        <f t="shared" si="40"/>
        <v>GFI 97350 ECS IX 110/60 CAMPANA</v>
      </c>
      <c r="G818" s="575" t="s">
        <v>4964</v>
      </c>
      <c r="H818" s="576" t="s">
        <v>41</v>
      </c>
      <c r="I818" s="576" t="s">
        <v>62</v>
      </c>
      <c r="J818" s="576" t="s">
        <v>63</v>
      </c>
      <c r="K818" s="593">
        <v>45947</v>
      </c>
      <c r="L818" s="594" t="s">
        <v>4960</v>
      </c>
      <c r="M818" s="594" t="s">
        <v>4961</v>
      </c>
      <c r="N818" s="575">
        <v>991193889</v>
      </c>
      <c r="O818" s="596">
        <v>20</v>
      </c>
      <c r="P818" s="576" t="s">
        <v>442</v>
      </c>
      <c r="Q818" s="576" t="s">
        <v>62</v>
      </c>
      <c r="R818" s="597"/>
      <c r="S818" s="575" t="str">
        <f t="shared" si="39"/>
        <v>040-104-000011968</v>
      </c>
      <c r="T818" s="599" t="s">
        <v>4962</v>
      </c>
      <c r="U818" s="621" t="s">
        <v>4963</v>
      </c>
    </row>
    <row r="819" spans="1:21" ht="24" customHeight="1" x14ac:dyDescent="0.2">
      <c r="A819" s="624">
        <v>814</v>
      </c>
      <c r="B819" s="160">
        <v>45854</v>
      </c>
      <c r="C819" s="160" t="s">
        <v>100</v>
      </c>
      <c r="D819" s="160" t="s">
        <v>5268</v>
      </c>
      <c r="E819" s="687">
        <v>112580027</v>
      </c>
      <c r="F819" s="623" t="str">
        <f t="shared" ref="F819:F882" si="41">VLOOKUP(E819,PROD,2,FALSE)</f>
        <v>GBC 75030 KBB CRISTAL COCINA GAS</v>
      </c>
      <c r="G819" s="575" t="s">
        <v>5269</v>
      </c>
      <c r="H819" s="576" t="s">
        <v>41</v>
      </c>
      <c r="I819" s="576" t="s">
        <v>62</v>
      </c>
      <c r="J819" s="576" t="s">
        <v>63</v>
      </c>
      <c r="K819" s="202">
        <v>45953</v>
      </c>
      <c r="L819" s="160" t="s">
        <v>5270</v>
      </c>
      <c r="M819" s="160" t="s">
        <v>2903</v>
      </c>
      <c r="N819" s="620">
        <v>997270444</v>
      </c>
      <c r="O819" s="596">
        <v>20</v>
      </c>
      <c r="P819" s="576" t="s">
        <v>442</v>
      </c>
      <c r="Q819" s="576" t="s">
        <v>62</v>
      </c>
      <c r="R819" s="597"/>
      <c r="S819" s="575" t="str">
        <f>D819</f>
        <v>001-500-000075062</v>
      </c>
      <c r="T819" s="599" t="s">
        <v>5271</v>
      </c>
      <c r="U819" s="621" t="s">
        <v>5272</v>
      </c>
    </row>
    <row r="820" spans="1:21" ht="24" customHeight="1" x14ac:dyDescent="0.2">
      <c r="A820" s="624">
        <v>815</v>
      </c>
      <c r="B820" s="160">
        <v>45678</v>
      </c>
      <c r="C820" s="160" t="s">
        <v>125</v>
      </c>
      <c r="D820" s="160" t="s">
        <v>5273</v>
      </c>
      <c r="E820" s="687">
        <v>40483182</v>
      </c>
      <c r="F820" s="623" t="str">
        <f t="shared" si="41"/>
        <v>CUERPO DPL ISLA 1180</v>
      </c>
      <c r="G820" s="575" t="s">
        <v>5274</v>
      </c>
      <c r="H820" s="576" t="s">
        <v>41</v>
      </c>
      <c r="I820" s="576" t="s">
        <v>62</v>
      </c>
      <c r="J820" s="576" t="s">
        <v>63</v>
      </c>
      <c r="K820" s="202">
        <v>45953</v>
      </c>
      <c r="L820" s="160" t="s">
        <v>5270</v>
      </c>
      <c r="M820" s="160" t="s">
        <v>2903</v>
      </c>
      <c r="N820" s="620">
        <v>997270444</v>
      </c>
      <c r="O820" s="596">
        <v>30</v>
      </c>
      <c r="P820" s="576" t="s">
        <v>442</v>
      </c>
      <c r="Q820" s="576" t="s">
        <v>62</v>
      </c>
      <c r="R820" s="597"/>
      <c r="S820" s="575" t="str">
        <f>D820</f>
        <v>017-901-000110461</v>
      </c>
      <c r="T820" s="599" t="s">
        <v>5271</v>
      </c>
      <c r="U820" s="621" t="s">
        <v>5272</v>
      </c>
    </row>
    <row r="821" spans="1:21" ht="24" customHeight="1" x14ac:dyDescent="0.2">
      <c r="A821" s="624">
        <v>816</v>
      </c>
      <c r="B821" s="160">
        <v>45874</v>
      </c>
      <c r="C821" s="160" t="s">
        <v>100</v>
      </c>
      <c r="D821" s="160" t="s">
        <v>5275</v>
      </c>
      <c r="E821" s="687">
        <v>112610067</v>
      </c>
      <c r="F821" s="623" t="str">
        <f t="shared" si="41"/>
        <v>GSC 96320 XBA IX (LAT) COCINA INOX</v>
      </c>
      <c r="G821" s="575" t="s">
        <v>5276</v>
      </c>
      <c r="H821" s="576" t="s">
        <v>41</v>
      </c>
      <c r="I821" s="576" t="s">
        <v>62</v>
      </c>
      <c r="J821" s="576" t="s">
        <v>63</v>
      </c>
      <c r="K821" s="202">
        <v>45953</v>
      </c>
      <c r="L821" s="160" t="s">
        <v>5277</v>
      </c>
      <c r="M821" s="160" t="s">
        <v>328</v>
      </c>
      <c r="N821" s="620">
        <v>991381982</v>
      </c>
      <c r="O821" s="596">
        <v>20</v>
      </c>
      <c r="P821" s="576" t="s">
        <v>442</v>
      </c>
      <c r="Q821" s="576" t="s">
        <v>62</v>
      </c>
      <c r="R821" s="597"/>
      <c r="S821" s="575" t="str">
        <f t="shared" ref="S821:S884" si="42">D821</f>
        <v>001-500-000075701</v>
      </c>
      <c r="T821" s="599" t="s">
        <v>5278</v>
      </c>
      <c r="U821" s="621" t="s">
        <v>5279</v>
      </c>
    </row>
    <row r="822" spans="1:21" ht="24" customHeight="1" x14ac:dyDescent="0.2">
      <c r="A822" s="624">
        <v>817</v>
      </c>
      <c r="B822" s="160">
        <v>45874</v>
      </c>
      <c r="C822" s="160" t="s">
        <v>100</v>
      </c>
      <c r="D822" s="160" t="s">
        <v>5275</v>
      </c>
      <c r="E822" s="576">
        <v>40590830</v>
      </c>
      <c r="F822" s="623" t="str">
        <f t="shared" si="41"/>
        <v>MWG 11X - MICROONDAS</v>
      </c>
      <c r="G822" s="575" t="s">
        <v>5280</v>
      </c>
      <c r="H822" s="576" t="s">
        <v>41</v>
      </c>
      <c r="I822" s="576" t="s">
        <v>62</v>
      </c>
      <c r="J822" s="576" t="s">
        <v>63</v>
      </c>
      <c r="K822" s="202">
        <v>45953</v>
      </c>
      <c r="L822" s="160" t="s">
        <v>5277</v>
      </c>
      <c r="M822" s="160" t="s">
        <v>328</v>
      </c>
      <c r="N822" s="620">
        <v>991381982</v>
      </c>
      <c r="O822" s="596">
        <v>20</v>
      </c>
      <c r="P822" s="576" t="s">
        <v>442</v>
      </c>
      <c r="Q822" s="576" t="s">
        <v>62</v>
      </c>
      <c r="R822" s="597"/>
      <c r="S822" s="575" t="str">
        <f t="shared" si="42"/>
        <v>001-500-000075701</v>
      </c>
      <c r="T822" s="599" t="s">
        <v>5278</v>
      </c>
      <c r="U822" s="621" t="s">
        <v>5279</v>
      </c>
    </row>
    <row r="823" spans="1:21" ht="24" customHeight="1" x14ac:dyDescent="0.2">
      <c r="A823" s="624">
        <v>818</v>
      </c>
      <c r="B823" s="160">
        <v>45853</v>
      </c>
      <c r="C823" s="575" t="s">
        <v>100</v>
      </c>
      <c r="D823" s="575" t="s">
        <v>5281</v>
      </c>
      <c r="E823" s="576">
        <v>112030019</v>
      </c>
      <c r="F823" s="623" t="str">
        <f t="shared" si="41"/>
        <v>ML 8220 BIS FBK- MICROONDAS</v>
      </c>
      <c r="G823" s="575" t="s">
        <v>5282</v>
      </c>
      <c r="H823" s="576" t="s">
        <v>41</v>
      </c>
      <c r="I823" s="576" t="s">
        <v>62</v>
      </c>
      <c r="J823" s="576" t="s">
        <v>63</v>
      </c>
      <c r="K823" s="202">
        <v>45953</v>
      </c>
      <c r="L823" s="594" t="s">
        <v>5283</v>
      </c>
      <c r="M823" s="594" t="s">
        <v>5284</v>
      </c>
      <c r="N823" s="575">
        <v>995437662</v>
      </c>
      <c r="O823" s="596">
        <v>15</v>
      </c>
      <c r="P823" s="576" t="s">
        <v>442</v>
      </c>
      <c r="Q823" s="576" t="s">
        <v>62</v>
      </c>
      <c r="R823" s="597"/>
      <c r="S823" s="575" t="str">
        <f t="shared" si="42"/>
        <v>001-502-000000381</v>
      </c>
      <c r="T823" s="599" t="s">
        <v>5285</v>
      </c>
      <c r="U823" s="621" t="s">
        <v>5286</v>
      </c>
    </row>
    <row r="824" spans="1:21" ht="24" customHeight="1" x14ac:dyDescent="0.2">
      <c r="A824" s="624">
        <v>819</v>
      </c>
      <c r="B824" s="160">
        <v>45853</v>
      </c>
      <c r="C824" s="575" t="s">
        <v>100</v>
      </c>
      <c r="D824" s="575" t="s">
        <v>5281</v>
      </c>
      <c r="E824" s="687">
        <v>111000059</v>
      </c>
      <c r="F824" s="623" t="str">
        <f t="shared" si="41"/>
        <v>HLB 85-G1 P BM Maestro Pizza</v>
      </c>
      <c r="G824" s="575" t="s">
        <v>5287</v>
      </c>
      <c r="H824" s="576" t="s">
        <v>41</v>
      </c>
      <c r="I824" s="576" t="s">
        <v>62</v>
      </c>
      <c r="J824" s="576" t="s">
        <v>63</v>
      </c>
      <c r="K824" s="202">
        <v>45953</v>
      </c>
      <c r="L824" s="594" t="s">
        <v>5283</v>
      </c>
      <c r="M824" s="594" t="s">
        <v>5284</v>
      </c>
      <c r="N824" s="575">
        <v>995437662</v>
      </c>
      <c r="O824" s="596">
        <v>15</v>
      </c>
      <c r="P824" s="576" t="s">
        <v>442</v>
      </c>
      <c r="Q824" s="576" t="s">
        <v>62</v>
      </c>
      <c r="R824" s="597"/>
      <c r="S824" s="575" t="str">
        <f t="shared" si="42"/>
        <v>001-502-000000381</v>
      </c>
      <c r="T824" s="599" t="s">
        <v>5285</v>
      </c>
      <c r="U824" s="621" t="s">
        <v>5286</v>
      </c>
    </row>
    <row r="825" spans="1:21" ht="24" customHeight="1" x14ac:dyDescent="0.2">
      <c r="A825" s="624">
        <v>820</v>
      </c>
      <c r="B825" s="160">
        <v>45853</v>
      </c>
      <c r="C825" s="575" t="s">
        <v>100</v>
      </c>
      <c r="D825" s="575" t="s">
        <v>5281</v>
      </c>
      <c r="E825" s="576">
        <v>40446712</v>
      </c>
      <c r="F825" s="623" t="str">
        <f t="shared" si="41"/>
        <v>GFH 73 INOX CAMPANA (110V-60HZ) C/KIT</v>
      </c>
      <c r="G825" s="575" t="s">
        <v>5288</v>
      </c>
      <c r="H825" s="576" t="s">
        <v>41</v>
      </c>
      <c r="I825" s="576" t="s">
        <v>62</v>
      </c>
      <c r="J825" s="576" t="s">
        <v>63</v>
      </c>
      <c r="K825" s="202">
        <v>45953</v>
      </c>
      <c r="L825" s="594" t="s">
        <v>5283</v>
      </c>
      <c r="M825" s="594" t="s">
        <v>5284</v>
      </c>
      <c r="N825" s="575">
        <v>995437662</v>
      </c>
      <c r="O825" s="596">
        <v>15</v>
      </c>
      <c r="P825" s="576" t="s">
        <v>442</v>
      </c>
      <c r="Q825" s="576" t="s">
        <v>62</v>
      </c>
      <c r="R825" s="597"/>
      <c r="S825" s="575" t="str">
        <f t="shared" si="42"/>
        <v>001-502-000000381</v>
      </c>
      <c r="T825" s="599" t="s">
        <v>5285</v>
      </c>
      <c r="U825" s="621" t="s">
        <v>5286</v>
      </c>
    </row>
    <row r="826" spans="1:21" ht="24" customHeight="1" x14ac:dyDescent="0.2">
      <c r="A826" s="624">
        <v>821</v>
      </c>
      <c r="B826" s="160">
        <v>45853</v>
      </c>
      <c r="C826" s="575" t="s">
        <v>100</v>
      </c>
      <c r="D826" s="575" t="s">
        <v>5281</v>
      </c>
      <c r="E826" s="576">
        <v>112580058</v>
      </c>
      <c r="F826" s="623" t="str">
        <f t="shared" si="41"/>
        <v>GBC 95030 KBB BK COCINA GAS</v>
      </c>
      <c r="G826" s="575" t="s">
        <v>5289</v>
      </c>
      <c r="H826" s="576" t="s">
        <v>41</v>
      </c>
      <c r="I826" s="576" t="s">
        <v>62</v>
      </c>
      <c r="J826" s="576" t="s">
        <v>63</v>
      </c>
      <c r="K826" s="202">
        <v>45953</v>
      </c>
      <c r="L826" s="594" t="s">
        <v>5283</v>
      </c>
      <c r="M826" s="594" t="s">
        <v>5284</v>
      </c>
      <c r="N826" s="575">
        <v>995437662</v>
      </c>
      <c r="O826" s="596">
        <v>15</v>
      </c>
      <c r="P826" s="576" t="s">
        <v>442</v>
      </c>
      <c r="Q826" s="576" t="s">
        <v>62</v>
      </c>
      <c r="R826" s="597"/>
      <c r="S826" s="575" t="str">
        <f t="shared" si="42"/>
        <v>001-502-000000381</v>
      </c>
      <c r="T826" s="599" t="s">
        <v>5285</v>
      </c>
      <c r="U826" s="621" t="s">
        <v>5286</v>
      </c>
    </row>
    <row r="827" spans="1:21" ht="24" customHeight="1" x14ac:dyDescent="0.2">
      <c r="A827" s="624">
        <v>822</v>
      </c>
      <c r="B827" s="208">
        <v>45884</v>
      </c>
      <c r="C827" s="575" t="s">
        <v>125</v>
      </c>
      <c r="D827" s="575" t="s">
        <v>5290</v>
      </c>
      <c r="E827" s="576">
        <v>111000051</v>
      </c>
      <c r="F827" s="623" t="str">
        <f t="shared" si="41"/>
        <v>HLB 8416 "AIR FRY" - HORNO ELEC</v>
      </c>
      <c r="G827" s="575" t="s">
        <v>5291</v>
      </c>
      <c r="H827" s="576" t="s">
        <v>41</v>
      </c>
      <c r="I827" s="576" t="s">
        <v>62</v>
      </c>
      <c r="J827" s="576" t="s">
        <v>63</v>
      </c>
      <c r="K827" s="202">
        <v>45953</v>
      </c>
      <c r="L827" s="594" t="s">
        <v>5292</v>
      </c>
      <c r="M827" s="594" t="s">
        <v>5293</v>
      </c>
      <c r="N827" s="575">
        <v>987688969</v>
      </c>
      <c r="O827" s="596">
        <v>15</v>
      </c>
      <c r="P827" s="576" t="s">
        <v>442</v>
      </c>
      <c r="Q827" s="576" t="s">
        <v>62</v>
      </c>
      <c r="R827" s="597"/>
      <c r="S827" s="575" t="str">
        <f t="shared" si="42"/>
        <v>043-905-000089006</v>
      </c>
      <c r="T827" s="599" t="s">
        <v>5294</v>
      </c>
      <c r="U827" s="621" t="s">
        <v>5295</v>
      </c>
    </row>
    <row r="828" spans="1:21" ht="24" customHeight="1" x14ac:dyDescent="0.2">
      <c r="A828" s="624">
        <v>823</v>
      </c>
      <c r="B828" s="208">
        <v>45884</v>
      </c>
      <c r="C828" s="575" t="s">
        <v>125</v>
      </c>
      <c r="D828" s="575" t="s">
        <v>5290</v>
      </c>
      <c r="E828" s="576">
        <v>40584202</v>
      </c>
      <c r="F828" s="623" t="str">
        <f t="shared" si="41"/>
        <v>ML 820 BIS - MICROONDAS</v>
      </c>
      <c r="G828" s="575" t="s">
        <v>5296</v>
      </c>
      <c r="H828" s="576" t="s">
        <v>41</v>
      </c>
      <c r="I828" s="576" t="s">
        <v>62</v>
      </c>
      <c r="J828" s="576" t="s">
        <v>63</v>
      </c>
      <c r="K828" s="202">
        <v>45953</v>
      </c>
      <c r="L828" s="594" t="s">
        <v>5292</v>
      </c>
      <c r="M828" s="594" t="s">
        <v>5293</v>
      </c>
      <c r="N828" s="575">
        <v>987688969</v>
      </c>
      <c r="O828" s="596">
        <v>15</v>
      </c>
      <c r="P828" s="576" t="s">
        <v>442</v>
      </c>
      <c r="Q828" s="576" t="s">
        <v>62</v>
      </c>
      <c r="R828" s="597"/>
      <c r="S828" s="575" t="str">
        <f t="shared" si="42"/>
        <v>043-905-000089006</v>
      </c>
      <c r="T828" s="599" t="s">
        <v>5294</v>
      </c>
      <c r="U828" s="621" t="s">
        <v>5295</v>
      </c>
    </row>
    <row r="829" spans="1:21" ht="24" customHeight="1" x14ac:dyDescent="0.2">
      <c r="A829" s="624">
        <v>824</v>
      </c>
      <c r="B829" s="208">
        <v>45884</v>
      </c>
      <c r="C829" s="575" t="s">
        <v>125</v>
      </c>
      <c r="D829" s="575" t="s">
        <v>5290</v>
      </c>
      <c r="E829" s="576">
        <v>112500046</v>
      </c>
      <c r="F829" s="623" t="str">
        <f t="shared" si="41"/>
        <v>IZF 88700 MST COCINA INDUCCION</v>
      </c>
      <c r="G829" s="575" t="s">
        <v>5297</v>
      </c>
      <c r="H829" s="576" t="s">
        <v>41</v>
      </c>
      <c r="I829" s="576" t="s">
        <v>62</v>
      </c>
      <c r="J829" s="576" t="s">
        <v>63</v>
      </c>
      <c r="K829" s="202">
        <v>45953</v>
      </c>
      <c r="L829" s="594" t="s">
        <v>5292</v>
      </c>
      <c r="M829" s="594" t="s">
        <v>5293</v>
      </c>
      <c r="N829" s="575">
        <v>987688969</v>
      </c>
      <c r="O829" s="596">
        <v>15</v>
      </c>
      <c r="P829" s="576" t="s">
        <v>442</v>
      </c>
      <c r="Q829" s="576" t="s">
        <v>62</v>
      </c>
      <c r="R829" s="597"/>
      <c r="S829" s="575" t="str">
        <f t="shared" si="42"/>
        <v>043-905-000089006</v>
      </c>
      <c r="T829" s="599" t="s">
        <v>5294</v>
      </c>
      <c r="U829" s="621" t="s">
        <v>5295</v>
      </c>
    </row>
    <row r="830" spans="1:21" ht="24" customHeight="1" x14ac:dyDescent="0.2">
      <c r="A830" s="624">
        <v>825</v>
      </c>
      <c r="B830" s="208" t="s">
        <v>5298</v>
      </c>
      <c r="C830" s="575" t="s">
        <v>187</v>
      </c>
      <c r="D830" s="575" t="s">
        <v>5299</v>
      </c>
      <c r="E830" s="576">
        <v>111000030</v>
      </c>
      <c r="F830" s="623" t="str">
        <f t="shared" si="41"/>
        <v>STEAKMASTER - HORNO ELEC</v>
      </c>
      <c r="G830" s="575" t="s">
        <v>5300</v>
      </c>
      <c r="H830" s="576" t="s">
        <v>41</v>
      </c>
      <c r="I830" s="576" t="s">
        <v>62</v>
      </c>
      <c r="J830" s="576" t="s">
        <v>63</v>
      </c>
      <c r="K830" s="202">
        <v>45953</v>
      </c>
      <c r="L830" s="625" t="s">
        <v>5301</v>
      </c>
      <c r="M830" s="594" t="s">
        <v>5302</v>
      </c>
      <c r="N830" s="575">
        <v>999333592</v>
      </c>
      <c r="O830" s="596">
        <v>20</v>
      </c>
      <c r="P830" s="576" t="s">
        <v>442</v>
      </c>
      <c r="Q830" s="576" t="s">
        <v>62</v>
      </c>
      <c r="R830" s="597"/>
      <c r="S830" s="575" t="str">
        <f t="shared" si="42"/>
        <v>040-103-000016648</v>
      </c>
      <c r="T830" s="599" t="s">
        <v>5303</v>
      </c>
      <c r="U830" s="621" t="s">
        <v>5304</v>
      </c>
    </row>
    <row r="831" spans="1:21" ht="24" customHeight="1" x14ac:dyDescent="0.2">
      <c r="A831" s="624">
        <v>826</v>
      </c>
      <c r="B831" s="208" t="s">
        <v>5298</v>
      </c>
      <c r="C831" s="575" t="s">
        <v>187</v>
      </c>
      <c r="D831" s="575" t="s">
        <v>5299</v>
      </c>
      <c r="E831" s="576">
        <v>112500046</v>
      </c>
      <c r="F831" s="623" t="str">
        <f t="shared" si="41"/>
        <v>IZF 88700 MST COCINA INDUCCION</v>
      </c>
      <c r="G831" s="622" t="s">
        <v>5305</v>
      </c>
      <c r="H831" s="576" t="s">
        <v>41</v>
      </c>
      <c r="I831" s="576" t="s">
        <v>62</v>
      </c>
      <c r="J831" s="576" t="s">
        <v>63</v>
      </c>
      <c r="K831" s="202">
        <v>45953</v>
      </c>
      <c r="L831" s="625" t="s">
        <v>5301</v>
      </c>
      <c r="M831" s="594" t="s">
        <v>5302</v>
      </c>
      <c r="N831" s="575">
        <v>999333592</v>
      </c>
      <c r="O831" s="596">
        <v>20</v>
      </c>
      <c r="P831" s="576" t="s">
        <v>442</v>
      </c>
      <c r="Q831" s="576" t="s">
        <v>62</v>
      </c>
      <c r="R831" s="597"/>
      <c r="S831" s="575" t="str">
        <f t="shared" si="42"/>
        <v>040-103-000016648</v>
      </c>
      <c r="T831" s="599" t="s">
        <v>5303</v>
      </c>
      <c r="U831" s="621" t="s">
        <v>5304</v>
      </c>
    </row>
    <row r="832" spans="1:21" ht="24" customHeight="1" x14ac:dyDescent="0.2">
      <c r="A832" s="624">
        <v>827</v>
      </c>
      <c r="B832" s="208">
        <v>45941</v>
      </c>
      <c r="C832" s="575" t="s">
        <v>187</v>
      </c>
      <c r="D832" s="575" t="s">
        <v>5306</v>
      </c>
      <c r="E832" s="576">
        <v>40584202</v>
      </c>
      <c r="F832" s="623" t="str">
        <f t="shared" si="41"/>
        <v>ML 820 BIS - MICROONDAS</v>
      </c>
      <c r="G832" s="575" t="s">
        <v>5307</v>
      </c>
      <c r="H832" s="576" t="s">
        <v>41</v>
      </c>
      <c r="I832" s="576" t="s">
        <v>62</v>
      </c>
      <c r="J832" s="576" t="s">
        <v>63</v>
      </c>
      <c r="K832" s="593">
        <v>45954</v>
      </c>
      <c r="L832" s="594" t="s">
        <v>5308</v>
      </c>
      <c r="M832" s="594" t="s">
        <v>2315</v>
      </c>
      <c r="N832" s="575">
        <v>984378517</v>
      </c>
      <c r="O832" s="596">
        <v>20</v>
      </c>
      <c r="P832" s="576" t="s">
        <v>442</v>
      </c>
      <c r="Q832" s="576" t="s">
        <v>62</v>
      </c>
      <c r="R832" s="597"/>
      <c r="S832" s="575" t="str">
        <f t="shared" si="42"/>
        <v>040-104-000014000</v>
      </c>
      <c r="T832" s="599" t="s">
        <v>5309</v>
      </c>
      <c r="U832" s="621" t="s">
        <v>5310</v>
      </c>
    </row>
    <row r="833" spans="1:21" ht="24" customHeight="1" x14ac:dyDescent="0.2">
      <c r="A833" s="624">
        <v>828</v>
      </c>
      <c r="B833" s="208">
        <v>45941</v>
      </c>
      <c r="C833" s="575" t="s">
        <v>187</v>
      </c>
      <c r="D833" s="575" t="s">
        <v>5306</v>
      </c>
      <c r="E833" s="576">
        <v>41560061</v>
      </c>
      <c r="F833" s="623" t="str">
        <f t="shared" si="41"/>
        <v>HLB 830 INOX HORNO ELEC</v>
      </c>
      <c r="G833" s="575" t="s">
        <v>5311</v>
      </c>
      <c r="H833" s="576" t="s">
        <v>41</v>
      </c>
      <c r="I833" s="576" t="s">
        <v>62</v>
      </c>
      <c r="J833" s="576" t="s">
        <v>63</v>
      </c>
      <c r="K833" s="593">
        <v>45954</v>
      </c>
      <c r="L833" s="594" t="s">
        <v>5308</v>
      </c>
      <c r="M833" s="594" t="s">
        <v>2315</v>
      </c>
      <c r="N833" s="575">
        <v>984378517</v>
      </c>
      <c r="O833" s="596">
        <v>20</v>
      </c>
      <c r="P833" s="576" t="s">
        <v>442</v>
      </c>
      <c r="Q833" s="576" t="s">
        <v>62</v>
      </c>
      <c r="R833" s="597"/>
      <c r="S833" s="575" t="str">
        <f t="shared" si="42"/>
        <v>040-104-000014000</v>
      </c>
      <c r="T833" s="599" t="s">
        <v>5309</v>
      </c>
      <c r="U833" s="621" t="s">
        <v>5310</v>
      </c>
    </row>
    <row r="834" spans="1:21" ht="24" customHeight="1" x14ac:dyDescent="0.2">
      <c r="A834" s="624">
        <v>829</v>
      </c>
      <c r="B834" s="208">
        <v>45933</v>
      </c>
      <c r="C834" s="575" t="s">
        <v>125</v>
      </c>
      <c r="D834" s="575" t="s">
        <v>5312</v>
      </c>
      <c r="E834" s="576">
        <v>112030019</v>
      </c>
      <c r="F834" s="623" t="str">
        <f t="shared" si="41"/>
        <v>ML 8220 BIS FBK- MICROONDAS</v>
      </c>
      <c r="G834" s="575" t="s">
        <v>5313</v>
      </c>
      <c r="H834" s="576" t="s">
        <v>41</v>
      </c>
      <c r="I834" s="576" t="s">
        <v>62</v>
      </c>
      <c r="J834" s="576" t="s">
        <v>63</v>
      </c>
      <c r="K834" s="593">
        <v>45954</v>
      </c>
      <c r="L834" s="594" t="s">
        <v>5314</v>
      </c>
      <c r="M834" s="594" t="s">
        <v>5008</v>
      </c>
      <c r="N834" s="575">
        <v>998266357</v>
      </c>
      <c r="O834" s="596">
        <v>15</v>
      </c>
      <c r="P834" s="576" t="s">
        <v>442</v>
      </c>
      <c r="Q834" s="576" t="s">
        <v>62</v>
      </c>
      <c r="R834" s="597"/>
      <c r="S834" s="575" t="str">
        <f t="shared" si="42"/>
        <v>043-401-000032447</v>
      </c>
      <c r="T834" s="599" t="s">
        <v>5315</v>
      </c>
      <c r="U834" s="621" t="s">
        <v>5316</v>
      </c>
    </row>
    <row r="835" spans="1:21" ht="24" customHeight="1" x14ac:dyDescent="0.2">
      <c r="A835" s="624">
        <v>830</v>
      </c>
      <c r="B835" s="208">
        <v>45933</v>
      </c>
      <c r="C835" s="575" t="s">
        <v>125</v>
      </c>
      <c r="D835" s="575" t="s">
        <v>5312</v>
      </c>
      <c r="E835" s="576">
        <v>111000051</v>
      </c>
      <c r="F835" s="623" t="str">
        <f t="shared" si="41"/>
        <v>HLB 8416 "AIR FRY" - HORNO ELEC</v>
      </c>
      <c r="G835" s="575" t="s">
        <v>5317</v>
      </c>
      <c r="H835" s="576" t="s">
        <v>41</v>
      </c>
      <c r="I835" s="576" t="s">
        <v>62</v>
      </c>
      <c r="J835" s="576" t="s">
        <v>63</v>
      </c>
      <c r="K835" s="593">
        <v>45954</v>
      </c>
      <c r="L835" s="594" t="s">
        <v>5314</v>
      </c>
      <c r="M835" s="594" t="s">
        <v>5008</v>
      </c>
      <c r="N835" s="575">
        <v>998266357</v>
      </c>
      <c r="O835" s="596">
        <v>15</v>
      </c>
      <c r="P835" s="576" t="s">
        <v>442</v>
      </c>
      <c r="Q835" s="576" t="s">
        <v>62</v>
      </c>
      <c r="R835" s="597"/>
      <c r="S835" s="575" t="str">
        <f t="shared" si="42"/>
        <v>043-401-000032447</v>
      </c>
      <c r="T835" s="599" t="s">
        <v>5315</v>
      </c>
      <c r="U835" s="621" t="s">
        <v>5316</v>
      </c>
    </row>
    <row r="836" spans="1:21" ht="24" customHeight="1" x14ac:dyDescent="0.2">
      <c r="A836" s="624">
        <v>831</v>
      </c>
      <c r="B836" s="208">
        <v>45933</v>
      </c>
      <c r="C836" s="575" t="s">
        <v>125</v>
      </c>
      <c r="D836" s="575" t="s">
        <v>5312</v>
      </c>
      <c r="E836" s="576">
        <v>113120010</v>
      </c>
      <c r="F836" s="623" t="str">
        <f t="shared" si="41"/>
        <v>GFI 97350 ECS IX 110/60 CAMPANA</v>
      </c>
      <c r="G836" s="575" t="s">
        <v>5318</v>
      </c>
      <c r="H836" s="576" t="s">
        <v>41</v>
      </c>
      <c r="I836" s="576" t="s">
        <v>62</v>
      </c>
      <c r="J836" s="576" t="s">
        <v>63</v>
      </c>
      <c r="K836" s="593">
        <v>45954</v>
      </c>
      <c r="L836" s="594" t="s">
        <v>5314</v>
      </c>
      <c r="M836" s="594" t="s">
        <v>5008</v>
      </c>
      <c r="N836" s="575">
        <v>998266357</v>
      </c>
      <c r="O836" s="596">
        <v>15</v>
      </c>
      <c r="P836" s="576" t="s">
        <v>442</v>
      </c>
      <c r="Q836" s="576" t="s">
        <v>62</v>
      </c>
      <c r="R836" s="597"/>
      <c r="S836" s="575" t="str">
        <f t="shared" si="42"/>
        <v>043-401-000032447</v>
      </c>
      <c r="T836" s="599" t="s">
        <v>5315</v>
      </c>
      <c r="U836" s="621" t="s">
        <v>5316</v>
      </c>
    </row>
    <row r="837" spans="1:21" ht="24" customHeight="1" x14ac:dyDescent="0.2">
      <c r="A837" s="624">
        <v>832</v>
      </c>
      <c r="B837" s="208">
        <v>45944</v>
      </c>
      <c r="C837" s="575" t="s">
        <v>125</v>
      </c>
      <c r="D837" s="575" t="s">
        <v>5319</v>
      </c>
      <c r="E837" s="576">
        <v>40446702</v>
      </c>
      <c r="F837" s="623" t="str">
        <f t="shared" si="41"/>
        <v>GFH 55 INOX CAMPANA (110V-60HZ) C/KIT</v>
      </c>
      <c r="G837" s="575" t="s">
        <v>5320</v>
      </c>
      <c r="H837" s="576" t="s">
        <v>41</v>
      </c>
      <c r="I837" s="576" t="s">
        <v>62</v>
      </c>
      <c r="J837" s="576" t="s">
        <v>63</v>
      </c>
      <c r="K837" s="593">
        <v>45957</v>
      </c>
      <c r="L837" s="594" t="s">
        <v>5321</v>
      </c>
      <c r="M837" s="594" t="s">
        <v>5322</v>
      </c>
      <c r="N837" s="575">
        <v>999896010</v>
      </c>
      <c r="O837" s="596">
        <v>15</v>
      </c>
      <c r="P837" s="576" t="s">
        <v>442</v>
      </c>
      <c r="Q837" s="576" t="s">
        <v>62</v>
      </c>
      <c r="R837" s="597"/>
      <c r="S837" s="575" t="str">
        <f t="shared" si="42"/>
        <v>026-906-000111007</v>
      </c>
      <c r="T837" s="599" t="s">
        <v>5323</v>
      </c>
      <c r="U837" s="621" t="s">
        <v>5324</v>
      </c>
    </row>
    <row r="838" spans="1:21" ht="24" customHeight="1" x14ac:dyDescent="0.2">
      <c r="A838" s="624">
        <v>833</v>
      </c>
      <c r="B838" s="208">
        <v>45944</v>
      </c>
      <c r="C838" s="575" t="s">
        <v>125</v>
      </c>
      <c r="D838" s="575" t="s">
        <v>5319</v>
      </c>
      <c r="E838" s="576">
        <v>40446702</v>
      </c>
      <c r="F838" s="623" t="str">
        <f t="shared" si="41"/>
        <v>GFH 55 INOX CAMPANA (110V-60HZ) C/KIT</v>
      </c>
      <c r="G838" s="575" t="s">
        <v>5325</v>
      </c>
      <c r="H838" s="576" t="s">
        <v>41</v>
      </c>
      <c r="I838" s="576" t="s">
        <v>62</v>
      </c>
      <c r="J838" s="576" t="s">
        <v>63</v>
      </c>
      <c r="K838" s="593">
        <v>45957</v>
      </c>
      <c r="L838" s="594" t="s">
        <v>5321</v>
      </c>
      <c r="M838" s="594" t="s">
        <v>5322</v>
      </c>
      <c r="N838" s="575">
        <v>999896010</v>
      </c>
      <c r="O838" s="596">
        <v>15</v>
      </c>
      <c r="P838" s="576" t="s">
        <v>442</v>
      </c>
      <c r="Q838" s="576" t="s">
        <v>62</v>
      </c>
      <c r="R838" s="597"/>
      <c r="S838" s="575" t="str">
        <f t="shared" si="42"/>
        <v>026-906-000111007</v>
      </c>
      <c r="T838" s="599" t="s">
        <v>5323</v>
      </c>
      <c r="U838" s="621" t="s">
        <v>5324</v>
      </c>
    </row>
    <row r="839" spans="1:21" ht="24" customHeight="1" x14ac:dyDescent="0.2">
      <c r="A839" s="624">
        <v>834</v>
      </c>
      <c r="B839" s="208">
        <v>45944</v>
      </c>
      <c r="C839" s="575" t="s">
        <v>125</v>
      </c>
      <c r="D839" s="575" t="s">
        <v>5319</v>
      </c>
      <c r="E839" s="626">
        <v>112580027</v>
      </c>
      <c r="F839" s="623" t="str">
        <f t="shared" si="41"/>
        <v>GBC 75030 KBB CRISTAL COCINA GAS</v>
      </c>
      <c r="G839" s="575" t="s">
        <v>5326</v>
      </c>
      <c r="H839" s="576" t="s">
        <v>41</v>
      </c>
      <c r="I839" s="576" t="s">
        <v>62</v>
      </c>
      <c r="J839" s="576" t="s">
        <v>63</v>
      </c>
      <c r="K839" s="593">
        <v>45957</v>
      </c>
      <c r="L839" s="594" t="s">
        <v>5321</v>
      </c>
      <c r="M839" s="594" t="s">
        <v>5322</v>
      </c>
      <c r="N839" s="575">
        <v>999896010</v>
      </c>
      <c r="O839" s="596">
        <v>15</v>
      </c>
      <c r="P839" s="576" t="s">
        <v>442</v>
      </c>
      <c r="Q839" s="576" t="s">
        <v>62</v>
      </c>
      <c r="R839" s="597"/>
      <c r="S839" s="575" t="str">
        <f t="shared" si="42"/>
        <v>026-906-000111007</v>
      </c>
      <c r="T839" s="599" t="s">
        <v>5323</v>
      </c>
      <c r="U839" s="621" t="s">
        <v>5324</v>
      </c>
    </row>
    <row r="840" spans="1:21" ht="24" customHeight="1" x14ac:dyDescent="0.2">
      <c r="A840" s="624">
        <v>835</v>
      </c>
      <c r="B840" s="208">
        <v>45944</v>
      </c>
      <c r="C840" s="575" t="s">
        <v>125</v>
      </c>
      <c r="D840" s="575" t="s">
        <v>5319</v>
      </c>
      <c r="E840" s="626">
        <v>112580027</v>
      </c>
      <c r="F840" s="623" t="str">
        <f t="shared" si="41"/>
        <v>GBC 75030 KBB CRISTAL COCINA GAS</v>
      </c>
      <c r="G840" s="575" t="s">
        <v>5327</v>
      </c>
      <c r="H840" s="576" t="s">
        <v>41</v>
      </c>
      <c r="I840" s="576" t="s">
        <v>62</v>
      </c>
      <c r="J840" s="576" t="s">
        <v>63</v>
      </c>
      <c r="K840" s="593">
        <v>45957</v>
      </c>
      <c r="L840" s="594" t="s">
        <v>5321</v>
      </c>
      <c r="M840" s="594" t="s">
        <v>5322</v>
      </c>
      <c r="N840" s="575">
        <v>999896010</v>
      </c>
      <c r="O840" s="596">
        <v>15</v>
      </c>
      <c r="P840" s="576" t="s">
        <v>442</v>
      </c>
      <c r="Q840" s="576" t="s">
        <v>62</v>
      </c>
      <c r="R840" s="597"/>
      <c r="S840" s="575" t="str">
        <f t="shared" si="42"/>
        <v>026-906-000111007</v>
      </c>
      <c r="T840" s="599" t="s">
        <v>5323</v>
      </c>
      <c r="U840" s="621" t="s">
        <v>5324</v>
      </c>
    </row>
    <row r="841" spans="1:21" ht="24" customHeight="1" x14ac:dyDescent="0.2">
      <c r="A841" s="624">
        <v>836</v>
      </c>
      <c r="B841" s="208">
        <v>45910</v>
      </c>
      <c r="C841" s="575" t="s">
        <v>75</v>
      </c>
      <c r="D841" s="575" t="s">
        <v>5328</v>
      </c>
      <c r="E841" s="576">
        <v>40467305</v>
      </c>
      <c r="F841" s="623" t="str">
        <f t="shared" si="41"/>
        <v>C 710 NEGRA CAMPANA (110V-60HZ) C/KIT</v>
      </c>
      <c r="G841" s="575" t="s">
        <v>5329</v>
      </c>
      <c r="H841" s="576" t="s">
        <v>41</v>
      </c>
      <c r="I841" s="576" t="s">
        <v>62</v>
      </c>
      <c r="J841" s="576" t="s">
        <v>63</v>
      </c>
      <c r="K841" s="593">
        <v>45958</v>
      </c>
      <c r="L841" s="594" t="s">
        <v>5330</v>
      </c>
      <c r="M841" s="594" t="s">
        <v>5331</v>
      </c>
      <c r="N841" s="575">
        <v>996109556</v>
      </c>
      <c r="O841" s="596">
        <v>20</v>
      </c>
      <c r="P841" s="576" t="s">
        <v>442</v>
      </c>
      <c r="Q841" s="576" t="s">
        <v>62</v>
      </c>
      <c r="R841" s="597"/>
      <c r="S841" s="575" t="str">
        <f t="shared" si="42"/>
        <v>001-001-000001294</v>
      </c>
      <c r="T841" s="599" t="s">
        <v>5332</v>
      </c>
      <c r="U841" s="621" t="s">
        <v>5333</v>
      </c>
    </row>
    <row r="842" spans="1:21" ht="24" customHeight="1" x14ac:dyDescent="0.2">
      <c r="A842" s="624">
        <v>837</v>
      </c>
      <c r="B842" s="208">
        <v>45897</v>
      </c>
      <c r="C842" s="575" t="s">
        <v>75</v>
      </c>
      <c r="D842" s="575" t="s">
        <v>5334</v>
      </c>
      <c r="E842" s="576">
        <v>112570073</v>
      </c>
      <c r="F842" s="623" t="str">
        <f t="shared" si="41"/>
        <v>GZC 96310 XBB CRISTAL COCINA GAS</v>
      </c>
      <c r="G842" s="575" t="s">
        <v>5335</v>
      </c>
      <c r="H842" s="576" t="s">
        <v>41</v>
      </c>
      <c r="I842" s="576" t="s">
        <v>62</v>
      </c>
      <c r="J842" s="576" t="s">
        <v>63</v>
      </c>
      <c r="K842" s="593">
        <v>45958</v>
      </c>
      <c r="L842" s="594" t="s">
        <v>5330</v>
      </c>
      <c r="M842" s="594" t="s">
        <v>5331</v>
      </c>
      <c r="N842" s="575">
        <v>996109556</v>
      </c>
      <c r="O842" s="596">
        <v>20</v>
      </c>
      <c r="P842" s="576" t="s">
        <v>442</v>
      </c>
      <c r="Q842" s="576" t="s">
        <v>62</v>
      </c>
      <c r="R842" s="597"/>
      <c r="S842" s="575" t="str">
        <f t="shared" si="42"/>
        <v>001-001-000001256</v>
      </c>
      <c r="T842" s="599" t="s">
        <v>5332</v>
      </c>
      <c r="U842" s="621" t="s">
        <v>5333</v>
      </c>
    </row>
    <row r="843" spans="1:21" ht="24" customHeight="1" x14ac:dyDescent="0.2">
      <c r="A843" s="624">
        <v>838</v>
      </c>
      <c r="B843" s="208">
        <v>45776</v>
      </c>
      <c r="C843" s="575" t="s">
        <v>190</v>
      </c>
      <c r="D843" s="575" t="s">
        <v>5336</v>
      </c>
      <c r="E843" s="576">
        <v>40483183</v>
      </c>
      <c r="F843" s="623" t="str">
        <f t="shared" si="41"/>
        <v>ESTRUCTURA DPL ISLA 1180</v>
      </c>
      <c r="G843" s="575" t="s">
        <v>5337</v>
      </c>
      <c r="H843" s="576" t="s">
        <v>41</v>
      </c>
      <c r="I843" s="576" t="s">
        <v>62</v>
      </c>
      <c r="J843" s="576" t="s">
        <v>63</v>
      </c>
      <c r="K843" s="593">
        <v>45959</v>
      </c>
      <c r="L843" s="594" t="s">
        <v>5338</v>
      </c>
      <c r="M843" s="594" t="s">
        <v>533</v>
      </c>
      <c r="N843" s="575">
        <v>992667566</v>
      </c>
      <c r="O843" s="596">
        <v>30</v>
      </c>
      <c r="P843" s="576" t="s">
        <v>442</v>
      </c>
      <c r="Q843" s="576" t="s">
        <v>62</v>
      </c>
      <c r="R843" s="597"/>
      <c r="S843" s="575" t="str">
        <f t="shared" si="42"/>
        <v>007-000037229</v>
      </c>
      <c r="T843" s="599" t="s">
        <v>5339</v>
      </c>
      <c r="U843" s="621" t="s">
        <v>5340</v>
      </c>
    </row>
    <row r="844" spans="1:21" ht="24" customHeight="1" x14ac:dyDescent="0.2">
      <c r="A844" s="624">
        <v>839</v>
      </c>
      <c r="B844" s="208">
        <v>45776</v>
      </c>
      <c r="C844" s="575" t="s">
        <v>190</v>
      </c>
      <c r="D844" s="575" t="s">
        <v>5336</v>
      </c>
      <c r="E844" s="576">
        <v>112030019</v>
      </c>
      <c r="F844" s="623" t="str">
        <f t="shared" si="41"/>
        <v>ML 8220 BIS FBK- MICROONDAS</v>
      </c>
      <c r="G844" s="575" t="s">
        <v>5341</v>
      </c>
      <c r="H844" s="576" t="s">
        <v>41</v>
      </c>
      <c r="I844" s="576" t="s">
        <v>62</v>
      </c>
      <c r="J844" s="576" t="s">
        <v>63</v>
      </c>
      <c r="K844" s="593">
        <v>45959</v>
      </c>
      <c r="L844" s="594" t="s">
        <v>5338</v>
      </c>
      <c r="M844" s="594" t="s">
        <v>533</v>
      </c>
      <c r="N844" s="575">
        <v>992667566</v>
      </c>
      <c r="O844" s="596">
        <v>15</v>
      </c>
      <c r="P844" s="576" t="s">
        <v>442</v>
      </c>
      <c r="Q844" s="576" t="s">
        <v>62</v>
      </c>
      <c r="R844" s="597"/>
      <c r="S844" s="575" t="str">
        <f t="shared" si="42"/>
        <v>007-000037229</v>
      </c>
      <c r="T844" s="599" t="s">
        <v>5339</v>
      </c>
      <c r="U844" s="621" t="s">
        <v>5340</v>
      </c>
    </row>
    <row r="845" spans="1:21" ht="24" customHeight="1" x14ac:dyDescent="0.2">
      <c r="A845" s="624">
        <v>840</v>
      </c>
      <c r="B845" s="208">
        <v>45776</v>
      </c>
      <c r="C845" s="575" t="s">
        <v>190</v>
      </c>
      <c r="D845" s="575" t="s">
        <v>5336</v>
      </c>
      <c r="E845" s="688">
        <v>112500049</v>
      </c>
      <c r="F845" s="623" t="str">
        <f t="shared" si="41"/>
        <v>IZS 86630 MST COCINA INDUCCION</v>
      </c>
      <c r="G845" s="575" t="s">
        <v>5342</v>
      </c>
      <c r="H845" s="576" t="s">
        <v>41</v>
      </c>
      <c r="I845" s="576" t="s">
        <v>62</v>
      </c>
      <c r="J845" s="576" t="s">
        <v>63</v>
      </c>
      <c r="K845" s="593">
        <v>45959</v>
      </c>
      <c r="L845" s="594" t="s">
        <v>5338</v>
      </c>
      <c r="M845" s="594" t="s">
        <v>533</v>
      </c>
      <c r="N845" s="575">
        <v>992667566</v>
      </c>
      <c r="O845" s="596">
        <v>15</v>
      </c>
      <c r="P845" s="576" t="s">
        <v>442</v>
      </c>
      <c r="Q845" s="576" t="s">
        <v>62</v>
      </c>
      <c r="R845" s="597"/>
      <c r="S845" s="575" t="str">
        <f t="shared" si="42"/>
        <v>007-000037229</v>
      </c>
      <c r="T845" s="599" t="s">
        <v>5339</v>
      </c>
      <c r="U845" s="621" t="s">
        <v>5340</v>
      </c>
    </row>
    <row r="846" spans="1:21" ht="24" customHeight="1" x14ac:dyDescent="0.2">
      <c r="A846" s="624">
        <v>841</v>
      </c>
      <c r="B846" s="208">
        <v>45776</v>
      </c>
      <c r="C846" s="575" t="s">
        <v>190</v>
      </c>
      <c r="D846" s="575" t="s">
        <v>5336</v>
      </c>
      <c r="E846" s="576">
        <v>111000078</v>
      </c>
      <c r="F846" s="623" t="str">
        <f t="shared" si="41"/>
        <v>HLB 8400 FBK HORNO ELEC</v>
      </c>
      <c r="G846" s="575" t="s">
        <v>5343</v>
      </c>
      <c r="H846" s="576" t="s">
        <v>41</v>
      </c>
      <c r="I846" s="576" t="s">
        <v>62</v>
      </c>
      <c r="J846" s="576" t="s">
        <v>63</v>
      </c>
      <c r="K846" s="593">
        <v>45959</v>
      </c>
      <c r="L846" s="594" t="s">
        <v>5338</v>
      </c>
      <c r="M846" s="594" t="s">
        <v>533</v>
      </c>
      <c r="N846" s="575">
        <v>992667566</v>
      </c>
      <c r="O846" s="596">
        <v>15</v>
      </c>
      <c r="P846" s="576" t="s">
        <v>442</v>
      </c>
      <c r="Q846" s="576" t="s">
        <v>62</v>
      </c>
      <c r="R846" s="597"/>
      <c r="S846" s="575" t="str">
        <f t="shared" si="42"/>
        <v>007-000037229</v>
      </c>
      <c r="T846" s="599" t="s">
        <v>5339</v>
      </c>
      <c r="U846" s="621" t="s">
        <v>5340</v>
      </c>
    </row>
    <row r="847" spans="1:21" ht="24" customHeight="1" x14ac:dyDescent="0.2">
      <c r="A847" s="624">
        <v>842</v>
      </c>
      <c r="B847" s="208">
        <v>45901</v>
      </c>
      <c r="C847" s="575" t="s">
        <v>100</v>
      </c>
      <c r="D847" s="575" t="s">
        <v>5344</v>
      </c>
      <c r="E847" s="576">
        <v>112570016</v>
      </c>
      <c r="F847" s="623" t="str">
        <f t="shared" si="41"/>
        <v>GZC 32300 XBB CRISTAL COCINA GAS</v>
      </c>
      <c r="G847" s="575" t="s">
        <v>5345</v>
      </c>
      <c r="H847" s="576" t="s">
        <v>41</v>
      </c>
      <c r="I847" s="576" t="s">
        <v>62</v>
      </c>
      <c r="J847" s="576" t="s">
        <v>63</v>
      </c>
      <c r="K847" s="593">
        <v>45959</v>
      </c>
      <c r="L847" s="594" t="s">
        <v>5338</v>
      </c>
      <c r="M847" s="594" t="s">
        <v>533</v>
      </c>
      <c r="N847" s="575">
        <v>992667566</v>
      </c>
      <c r="O847" s="596">
        <v>15</v>
      </c>
      <c r="P847" s="576" t="s">
        <v>442</v>
      </c>
      <c r="Q847" s="576" t="s">
        <v>62</v>
      </c>
      <c r="R847" s="597"/>
      <c r="S847" s="575" t="str">
        <f t="shared" si="42"/>
        <v>001-500-000076514</v>
      </c>
      <c r="T847" s="599" t="s">
        <v>5339</v>
      </c>
      <c r="U847" s="621" t="s">
        <v>5340</v>
      </c>
    </row>
    <row r="848" spans="1:21" ht="24" customHeight="1" x14ac:dyDescent="0.2">
      <c r="A848" s="624">
        <v>843</v>
      </c>
      <c r="B848" s="208">
        <v>45944</v>
      </c>
      <c r="C848" s="575" t="s">
        <v>161</v>
      </c>
      <c r="D848" s="575" t="s">
        <v>5346</v>
      </c>
      <c r="E848" s="576">
        <v>112580017</v>
      </c>
      <c r="F848" s="623" t="str">
        <f t="shared" si="41"/>
        <v>GBC 64000 KBB CRISTAL COCINA GAS</v>
      </c>
      <c r="G848" s="575" t="s">
        <v>5347</v>
      </c>
      <c r="H848" s="576" t="s">
        <v>41</v>
      </c>
      <c r="I848" s="576" t="s">
        <v>62</v>
      </c>
      <c r="J848" s="576" t="s">
        <v>63</v>
      </c>
      <c r="K848" s="593">
        <v>45960</v>
      </c>
      <c r="L848" s="594" t="s">
        <v>5348</v>
      </c>
      <c r="M848" s="594" t="s">
        <v>5349</v>
      </c>
      <c r="N848" s="575">
        <v>959062680</v>
      </c>
      <c r="O848" s="596">
        <v>15</v>
      </c>
      <c r="P848" s="576" t="s">
        <v>442</v>
      </c>
      <c r="Q848" s="576" t="s">
        <v>62</v>
      </c>
      <c r="R848" s="597"/>
      <c r="S848" s="575" t="str">
        <f t="shared" si="42"/>
        <v>040-103-000016710</v>
      </c>
      <c r="T848" s="599" t="s">
        <v>5350</v>
      </c>
      <c r="U848" s="621" t="s">
        <v>5351</v>
      </c>
    </row>
    <row r="849" spans="1:21" ht="24" customHeight="1" x14ac:dyDescent="0.2">
      <c r="A849" s="624">
        <v>844</v>
      </c>
      <c r="B849" s="208">
        <v>45944</v>
      </c>
      <c r="C849" s="575" t="s">
        <v>161</v>
      </c>
      <c r="D849" s="575" t="s">
        <v>5346</v>
      </c>
      <c r="E849" s="576">
        <v>40446712</v>
      </c>
      <c r="F849" s="623" t="str">
        <f t="shared" si="41"/>
        <v>GFH 73 INOX CAMPANA (110V-60HZ) C/KIT</v>
      </c>
      <c r="G849" s="575" t="s">
        <v>5352</v>
      </c>
      <c r="H849" s="576" t="s">
        <v>41</v>
      </c>
      <c r="I849" s="576" t="s">
        <v>62</v>
      </c>
      <c r="J849" s="576" t="s">
        <v>63</v>
      </c>
      <c r="K849" s="593">
        <v>45960</v>
      </c>
      <c r="L849" s="594" t="s">
        <v>5348</v>
      </c>
      <c r="M849" s="594" t="s">
        <v>5349</v>
      </c>
      <c r="N849" s="575">
        <v>959062680</v>
      </c>
      <c r="O849" s="596">
        <v>15</v>
      </c>
      <c r="P849" s="576" t="s">
        <v>442</v>
      </c>
      <c r="Q849" s="576" t="s">
        <v>62</v>
      </c>
      <c r="R849" s="597"/>
      <c r="S849" s="575" t="str">
        <f t="shared" si="42"/>
        <v>040-103-000016710</v>
      </c>
      <c r="T849" s="599" t="s">
        <v>5350</v>
      </c>
      <c r="U849" s="621" t="s">
        <v>5351</v>
      </c>
    </row>
    <row r="850" spans="1:21" ht="24" customHeight="1" x14ac:dyDescent="0.2">
      <c r="A850" s="624">
        <v>845</v>
      </c>
      <c r="B850" s="208">
        <v>45944</v>
      </c>
      <c r="C850" s="575" t="s">
        <v>161</v>
      </c>
      <c r="D850" s="575" t="s">
        <v>5346</v>
      </c>
      <c r="E850" s="576">
        <v>111020071</v>
      </c>
      <c r="F850" s="623" t="str">
        <f t="shared" si="41"/>
        <v>HBB 510 BK 220-240  50/60 HORNO ELEC</v>
      </c>
      <c r="G850" s="575" t="s">
        <v>5353</v>
      </c>
      <c r="H850" s="576" t="s">
        <v>41</v>
      </c>
      <c r="I850" s="576" t="s">
        <v>62</v>
      </c>
      <c r="J850" s="576" t="s">
        <v>63</v>
      </c>
      <c r="K850" s="593">
        <v>45960</v>
      </c>
      <c r="L850" s="594" t="s">
        <v>5348</v>
      </c>
      <c r="M850" s="594" t="s">
        <v>5349</v>
      </c>
      <c r="N850" s="575">
        <v>959062680</v>
      </c>
      <c r="O850" s="596">
        <v>15</v>
      </c>
      <c r="P850" s="576" t="s">
        <v>442</v>
      </c>
      <c r="Q850" s="576" t="s">
        <v>62</v>
      </c>
      <c r="R850" s="597"/>
      <c r="S850" s="575" t="str">
        <f t="shared" si="42"/>
        <v>040-103-000016710</v>
      </c>
      <c r="T850" s="599" t="s">
        <v>5350</v>
      </c>
      <c r="U850" s="621" t="s">
        <v>5351</v>
      </c>
    </row>
    <row r="851" spans="1:21" ht="24" customHeight="1" x14ac:dyDescent="0.2">
      <c r="A851" s="624">
        <v>846</v>
      </c>
      <c r="B851" s="208">
        <v>45910</v>
      </c>
      <c r="C851" s="575" t="s">
        <v>100</v>
      </c>
      <c r="D851" s="575" t="s">
        <v>5354</v>
      </c>
      <c r="E851" s="576">
        <v>40446712</v>
      </c>
      <c r="F851" s="623" t="str">
        <f t="shared" si="41"/>
        <v>GFH 73 INOX CAMPANA (110V-60HZ) C/KIT</v>
      </c>
      <c r="G851" s="575" t="s">
        <v>5355</v>
      </c>
      <c r="H851" s="576" t="s">
        <v>41</v>
      </c>
      <c r="I851" s="576" t="s">
        <v>62</v>
      </c>
      <c r="J851" s="576" t="s">
        <v>63</v>
      </c>
      <c r="K851" s="593">
        <v>45960</v>
      </c>
      <c r="L851" s="594" t="s">
        <v>5356</v>
      </c>
      <c r="M851" s="594" t="s">
        <v>1224</v>
      </c>
      <c r="N851" s="575">
        <v>984392198</v>
      </c>
      <c r="O851" s="596">
        <v>20</v>
      </c>
      <c r="P851" s="576" t="s">
        <v>442</v>
      </c>
      <c r="Q851" s="576" t="s">
        <v>62</v>
      </c>
      <c r="R851" s="597"/>
      <c r="S851" s="575" t="str">
        <f t="shared" si="42"/>
        <v>001-500-000076779</v>
      </c>
      <c r="T851" s="599" t="s">
        <v>5357</v>
      </c>
      <c r="U851" s="621" t="s">
        <v>5358</v>
      </c>
    </row>
    <row r="852" spans="1:21" ht="24" customHeight="1" x14ac:dyDescent="0.2">
      <c r="A852" s="624">
        <v>847</v>
      </c>
      <c r="B852" s="208">
        <v>45910</v>
      </c>
      <c r="C852" s="575" t="s">
        <v>100</v>
      </c>
      <c r="D852" s="575" t="s">
        <v>5354</v>
      </c>
      <c r="E852" s="576">
        <v>112580058</v>
      </c>
      <c r="F852" s="623" t="str">
        <f t="shared" si="41"/>
        <v>GBC 95030 KBB BK COCINA GAS</v>
      </c>
      <c r="G852" s="575" t="s">
        <v>5359</v>
      </c>
      <c r="H852" s="576" t="s">
        <v>41</v>
      </c>
      <c r="I852" s="576" t="s">
        <v>62</v>
      </c>
      <c r="J852" s="576" t="s">
        <v>63</v>
      </c>
      <c r="K852" s="593">
        <v>45960</v>
      </c>
      <c r="L852" s="594" t="s">
        <v>5356</v>
      </c>
      <c r="M852" s="594" t="s">
        <v>1224</v>
      </c>
      <c r="N852" s="575">
        <v>984392198</v>
      </c>
      <c r="O852" s="596">
        <v>20</v>
      </c>
      <c r="P852" s="576" t="s">
        <v>442</v>
      </c>
      <c r="Q852" s="576" t="s">
        <v>62</v>
      </c>
      <c r="R852" s="597"/>
      <c r="S852" s="575" t="str">
        <f t="shared" si="42"/>
        <v>001-500-000076779</v>
      </c>
      <c r="T852" s="599" t="s">
        <v>5357</v>
      </c>
      <c r="U852" s="621" t="s">
        <v>5358</v>
      </c>
    </row>
    <row r="853" spans="1:21" ht="24" customHeight="1" x14ac:dyDescent="0.2">
      <c r="A853" s="624">
        <v>848</v>
      </c>
      <c r="B853" s="208">
        <v>45943</v>
      </c>
      <c r="C853" s="575" t="s">
        <v>100</v>
      </c>
      <c r="D853" s="575" t="s">
        <v>5360</v>
      </c>
      <c r="E853" s="576">
        <v>112570128</v>
      </c>
      <c r="F853" s="623" t="str">
        <f t="shared" si="41"/>
        <v>JZC 96342 BBB BK (LAT) COCINA MIXTA GAS - INDUCCION</v>
      </c>
      <c r="G853" s="575" t="s">
        <v>5361</v>
      </c>
      <c r="H853" s="576" t="s">
        <v>41</v>
      </c>
      <c r="I853" s="576" t="s">
        <v>62</v>
      </c>
      <c r="J853" s="576" t="s">
        <v>63</v>
      </c>
      <c r="K853" s="593">
        <v>45961</v>
      </c>
      <c r="L853" s="594" t="s">
        <v>5362</v>
      </c>
      <c r="M853" s="594" t="s">
        <v>5363</v>
      </c>
      <c r="N853" s="575">
        <v>983275741</v>
      </c>
      <c r="O853" s="596">
        <v>20</v>
      </c>
      <c r="P853" s="576" t="s">
        <v>442</v>
      </c>
      <c r="Q853" s="576" t="s">
        <v>62</v>
      </c>
      <c r="R853" s="597"/>
      <c r="S853" s="575" t="str">
        <f t="shared" si="42"/>
        <v>001-500-000077798</v>
      </c>
      <c r="T853" s="599" t="s">
        <v>5364</v>
      </c>
      <c r="U853" s="621" t="s">
        <v>5365</v>
      </c>
    </row>
    <row r="854" spans="1:21" ht="24" customHeight="1" x14ac:dyDescent="0.2">
      <c r="A854" s="624">
        <v>849</v>
      </c>
      <c r="B854" s="208">
        <v>45943</v>
      </c>
      <c r="C854" s="575" t="s">
        <v>100</v>
      </c>
      <c r="D854" s="575" t="s">
        <v>5360</v>
      </c>
      <c r="E854" s="576">
        <v>111030002</v>
      </c>
      <c r="F854" s="623" t="str">
        <f t="shared" si="41"/>
        <v>HLB 760 G SS HORNO A GAS</v>
      </c>
      <c r="G854" s="575" t="s">
        <v>5366</v>
      </c>
      <c r="H854" s="576" t="s">
        <v>41</v>
      </c>
      <c r="I854" s="576" t="s">
        <v>62</v>
      </c>
      <c r="J854" s="576" t="s">
        <v>63</v>
      </c>
      <c r="K854" s="593">
        <v>45961</v>
      </c>
      <c r="L854" s="594" t="s">
        <v>5362</v>
      </c>
      <c r="M854" s="594" t="s">
        <v>5363</v>
      </c>
      <c r="N854" s="575">
        <v>983275741</v>
      </c>
      <c r="O854" s="596">
        <v>20</v>
      </c>
      <c r="P854" s="576" t="s">
        <v>442</v>
      </c>
      <c r="Q854" s="576" t="s">
        <v>62</v>
      </c>
      <c r="R854" s="597"/>
      <c r="S854" s="575" t="str">
        <f t="shared" si="42"/>
        <v>001-500-000077798</v>
      </c>
      <c r="T854" s="599" t="s">
        <v>5364</v>
      </c>
      <c r="U854" s="621" t="s">
        <v>5365</v>
      </c>
    </row>
    <row r="855" spans="1:21" ht="24" customHeight="1" x14ac:dyDescent="0.2">
      <c r="A855" s="624">
        <v>850</v>
      </c>
      <c r="B855" s="208">
        <v>45932</v>
      </c>
      <c r="C855" s="575" t="s">
        <v>100</v>
      </c>
      <c r="D855" s="575" t="s">
        <v>5367</v>
      </c>
      <c r="E855" s="576">
        <v>112520025</v>
      </c>
      <c r="F855" s="623" t="str">
        <f t="shared" si="41"/>
        <v>IZC 64010 MSS COCINA INDUCCION</v>
      </c>
      <c r="G855" s="575" t="s">
        <v>5368</v>
      </c>
      <c r="H855" s="576" t="s">
        <v>41</v>
      </c>
      <c r="I855" s="576" t="s">
        <v>62</v>
      </c>
      <c r="J855" s="576" t="s">
        <v>63</v>
      </c>
      <c r="K855" s="593">
        <v>45961</v>
      </c>
      <c r="L855" s="594" t="s">
        <v>5369</v>
      </c>
      <c r="M855" s="594" t="s">
        <v>5370</v>
      </c>
      <c r="N855" s="575">
        <v>987512754</v>
      </c>
      <c r="O855" s="596">
        <v>20</v>
      </c>
      <c r="P855" s="576" t="s">
        <v>442</v>
      </c>
      <c r="Q855" s="576" t="s">
        <v>62</v>
      </c>
      <c r="R855" s="597"/>
      <c r="S855" s="575" t="str">
        <f t="shared" si="42"/>
        <v>001-500-000077441</v>
      </c>
      <c r="T855" s="599" t="s">
        <v>5371</v>
      </c>
      <c r="U855" s="621" t="s">
        <v>5372</v>
      </c>
    </row>
    <row r="856" spans="1:21" ht="24" customHeight="1" x14ac:dyDescent="0.2">
      <c r="A856" s="624">
        <v>851</v>
      </c>
      <c r="B856" s="208">
        <v>45937</v>
      </c>
      <c r="C856" s="575" t="s">
        <v>100</v>
      </c>
      <c r="D856" s="575" t="s">
        <v>5373</v>
      </c>
      <c r="E856" s="576">
        <v>40584012</v>
      </c>
      <c r="F856" s="623" t="str">
        <f t="shared" si="41"/>
        <v>MS 620 BIS - MICROONDAS</v>
      </c>
      <c r="G856" s="575" t="s">
        <v>5374</v>
      </c>
      <c r="H856" s="576" t="s">
        <v>41</v>
      </c>
      <c r="I856" s="576" t="s">
        <v>62</v>
      </c>
      <c r="J856" s="576" t="s">
        <v>63</v>
      </c>
      <c r="K856" s="593" t="s">
        <v>5375</v>
      </c>
      <c r="L856" s="594" t="s">
        <v>5369</v>
      </c>
      <c r="M856" s="594" t="s">
        <v>5370</v>
      </c>
      <c r="N856" s="575">
        <v>987512754</v>
      </c>
      <c r="O856" s="596">
        <v>20</v>
      </c>
      <c r="P856" s="576" t="s">
        <v>442</v>
      </c>
      <c r="Q856" s="576" t="s">
        <v>62</v>
      </c>
      <c r="R856" s="597"/>
      <c r="S856" s="575" t="str">
        <f t="shared" si="42"/>
        <v>001-500-000077586</v>
      </c>
      <c r="T856" s="599" t="s">
        <v>5371</v>
      </c>
      <c r="U856" s="621" t="s">
        <v>5372</v>
      </c>
    </row>
    <row r="857" spans="1:21" ht="24" customHeight="1" x14ac:dyDescent="0.2">
      <c r="A857" s="624">
        <v>852</v>
      </c>
      <c r="B857" s="208">
        <v>45626</v>
      </c>
      <c r="C857" s="575" t="s">
        <v>75</v>
      </c>
      <c r="D857" s="575" t="s">
        <v>5376</v>
      </c>
      <c r="E857" s="576">
        <v>112950021</v>
      </c>
      <c r="F857" s="623" t="str">
        <f t="shared" si="41"/>
        <v>DVN 94030 TCL BK CAMPANA (110V-60HZ) C/KIT</v>
      </c>
      <c r="G857" s="575" t="s">
        <v>5377</v>
      </c>
      <c r="H857" s="576" t="s">
        <v>41</v>
      </c>
      <c r="I857" s="576" t="s">
        <v>62</v>
      </c>
      <c r="J857" s="576" t="s">
        <v>63</v>
      </c>
      <c r="K857" s="593">
        <v>45961</v>
      </c>
      <c r="L857" s="594" t="s">
        <v>5378</v>
      </c>
      <c r="M857" s="594" t="s">
        <v>5379</v>
      </c>
      <c r="N857" s="575">
        <v>986363298</v>
      </c>
      <c r="O857" s="596">
        <v>15</v>
      </c>
      <c r="P857" s="576" t="s">
        <v>442</v>
      </c>
      <c r="Q857" s="576" t="s">
        <v>62</v>
      </c>
      <c r="R857" s="597"/>
      <c r="S857" s="575" t="str">
        <f t="shared" si="42"/>
        <v>001-001-000000332</v>
      </c>
      <c r="T857" s="599" t="s">
        <v>5380</v>
      </c>
      <c r="U857" s="621" t="s">
        <v>5381</v>
      </c>
    </row>
    <row r="858" spans="1:21" ht="24" customHeight="1" x14ac:dyDescent="0.2">
      <c r="A858" s="624">
        <v>853</v>
      </c>
      <c r="B858" s="208">
        <v>45626</v>
      </c>
      <c r="C858" s="575" t="s">
        <v>75</v>
      </c>
      <c r="D858" s="575" t="s">
        <v>5376</v>
      </c>
      <c r="E858" s="576">
        <v>111020071</v>
      </c>
      <c r="F858" s="623" t="str">
        <f t="shared" si="41"/>
        <v>HBB 510 BK 220-240  50/60 HORNO ELEC</v>
      </c>
      <c r="G858" s="575" t="s">
        <v>5382</v>
      </c>
      <c r="H858" s="576" t="s">
        <v>41</v>
      </c>
      <c r="I858" s="576" t="s">
        <v>62</v>
      </c>
      <c r="J858" s="576" t="s">
        <v>63</v>
      </c>
      <c r="K858" s="593">
        <v>45961</v>
      </c>
      <c r="L858" s="594" t="s">
        <v>5378</v>
      </c>
      <c r="M858" s="594" t="s">
        <v>5379</v>
      </c>
      <c r="N858" s="575">
        <v>986363298</v>
      </c>
      <c r="O858" s="596">
        <v>15</v>
      </c>
      <c r="P858" s="576" t="s">
        <v>442</v>
      </c>
      <c r="Q858" s="576" t="s">
        <v>62</v>
      </c>
      <c r="R858" s="597"/>
      <c r="S858" s="575" t="str">
        <f t="shared" si="42"/>
        <v>001-001-000000332</v>
      </c>
      <c r="T858" s="599" t="s">
        <v>5380</v>
      </c>
      <c r="U858" s="621" t="s">
        <v>5381</v>
      </c>
    </row>
    <row r="859" spans="1:21" ht="24" customHeight="1" x14ac:dyDescent="0.2">
      <c r="A859" s="624">
        <v>854</v>
      </c>
      <c r="B859" s="208">
        <v>45626</v>
      </c>
      <c r="C859" s="575" t="s">
        <v>75</v>
      </c>
      <c r="D859" s="575" t="s">
        <v>5376</v>
      </c>
      <c r="E859" s="576">
        <v>40584202</v>
      </c>
      <c r="F859" s="623" t="str">
        <f t="shared" si="41"/>
        <v>ML 820 BIS - MICROONDAS</v>
      </c>
      <c r="G859" s="575" t="s">
        <v>5383</v>
      </c>
      <c r="H859" s="576" t="s">
        <v>41</v>
      </c>
      <c r="I859" s="576" t="s">
        <v>62</v>
      </c>
      <c r="J859" s="576" t="s">
        <v>63</v>
      </c>
      <c r="K859" s="593">
        <v>45961</v>
      </c>
      <c r="L859" s="594" t="s">
        <v>5378</v>
      </c>
      <c r="M859" s="594" t="s">
        <v>5379</v>
      </c>
      <c r="N859" s="575">
        <v>986363298</v>
      </c>
      <c r="O859" s="596">
        <v>15</v>
      </c>
      <c r="P859" s="576" t="s">
        <v>442</v>
      </c>
      <c r="Q859" s="576" t="s">
        <v>62</v>
      </c>
      <c r="R859" s="597"/>
      <c r="S859" s="575" t="str">
        <f t="shared" si="42"/>
        <v>001-001-000000332</v>
      </c>
      <c r="T859" s="599" t="s">
        <v>5380</v>
      </c>
      <c r="U859" s="621" t="s">
        <v>5381</v>
      </c>
    </row>
    <row r="860" spans="1:21" ht="24" customHeight="1" x14ac:dyDescent="0.2">
      <c r="A860" s="624">
        <v>855</v>
      </c>
      <c r="B860" s="208">
        <v>45897</v>
      </c>
      <c r="C860" s="575" t="s">
        <v>100</v>
      </c>
      <c r="D860" s="575" t="s">
        <v>5384</v>
      </c>
      <c r="E860" s="576">
        <v>41596006</v>
      </c>
      <c r="F860" s="623" t="str">
        <f t="shared" si="41"/>
        <v>HLF 824 G SS HORNO A GAS</v>
      </c>
      <c r="G860" s="575" t="s">
        <v>5385</v>
      </c>
      <c r="H860" s="576" t="s">
        <v>41</v>
      </c>
      <c r="I860" s="576" t="s">
        <v>62</v>
      </c>
      <c r="J860" s="576" t="s">
        <v>63</v>
      </c>
      <c r="K860" s="593">
        <v>45966</v>
      </c>
      <c r="L860" s="594" t="s">
        <v>5386</v>
      </c>
      <c r="M860" s="594" t="s">
        <v>5387</v>
      </c>
      <c r="N860" s="575">
        <v>984553983</v>
      </c>
      <c r="O860" s="596">
        <v>15</v>
      </c>
      <c r="P860" s="576" t="s">
        <v>442</v>
      </c>
      <c r="Q860" s="576" t="s">
        <v>62</v>
      </c>
      <c r="R860" s="597"/>
      <c r="S860" s="575" t="str">
        <f t="shared" si="42"/>
        <v>001-500-000076427</v>
      </c>
      <c r="T860" s="599" t="s">
        <v>5388</v>
      </c>
      <c r="U860" s="621" t="s">
        <v>5389</v>
      </c>
    </row>
    <row r="861" spans="1:21" ht="24" customHeight="1" x14ac:dyDescent="0.2">
      <c r="A861" s="624">
        <v>856</v>
      </c>
      <c r="B861" s="208">
        <v>45891</v>
      </c>
      <c r="C861" s="575" t="s">
        <v>100</v>
      </c>
      <c r="D861" s="575" t="s">
        <v>5390</v>
      </c>
      <c r="E861" s="576">
        <v>40467305</v>
      </c>
      <c r="F861" s="623" t="str">
        <f t="shared" si="41"/>
        <v>C 710 NEGRA CAMPANA (110V-60HZ) C/KIT</v>
      </c>
      <c r="G861" s="595" t="s">
        <v>5391</v>
      </c>
      <c r="H861" s="576" t="s">
        <v>41</v>
      </c>
      <c r="I861" s="576" t="s">
        <v>62</v>
      </c>
      <c r="J861" s="576" t="s">
        <v>63</v>
      </c>
      <c r="K861" s="593">
        <v>45966</v>
      </c>
      <c r="L861" s="594" t="s">
        <v>5386</v>
      </c>
      <c r="M861" s="594" t="s">
        <v>5387</v>
      </c>
      <c r="N861" s="575">
        <v>984553983</v>
      </c>
      <c r="O861" s="596">
        <v>15</v>
      </c>
      <c r="P861" s="576" t="s">
        <v>442</v>
      </c>
      <c r="Q861" s="576" t="s">
        <v>62</v>
      </c>
      <c r="R861" s="597"/>
      <c r="S861" s="575" t="str">
        <f t="shared" si="42"/>
        <v>001-500-000076249</v>
      </c>
      <c r="T861" s="599" t="s">
        <v>5388</v>
      </c>
      <c r="U861" s="621" t="s">
        <v>5389</v>
      </c>
    </row>
    <row r="862" spans="1:21" ht="24" customHeight="1" x14ac:dyDescent="0.2">
      <c r="A862" s="624">
        <v>857</v>
      </c>
      <c r="B862" s="208">
        <v>45891</v>
      </c>
      <c r="C862" s="575" t="s">
        <v>100</v>
      </c>
      <c r="D862" s="575" t="s">
        <v>5392</v>
      </c>
      <c r="E862" s="576">
        <v>112570093</v>
      </c>
      <c r="F862" s="623" t="str">
        <f t="shared" si="41"/>
        <v>GZC 75330 XBB CRISTAL COCINA GAS</v>
      </c>
      <c r="G862" s="575" t="s">
        <v>5393</v>
      </c>
      <c r="H862" s="576" t="s">
        <v>41</v>
      </c>
      <c r="I862" s="576" t="s">
        <v>62</v>
      </c>
      <c r="J862" s="576" t="s">
        <v>63</v>
      </c>
      <c r="K862" s="593">
        <v>45966</v>
      </c>
      <c r="L862" s="594" t="s">
        <v>5386</v>
      </c>
      <c r="M862" s="594" t="s">
        <v>5387</v>
      </c>
      <c r="N862" s="575">
        <v>984553983</v>
      </c>
      <c r="O862" s="596">
        <v>15</v>
      </c>
      <c r="P862" s="576" t="s">
        <v>442</v>
      </c>
      <c r="Q862" s="576" t="s">
        <v>62</v>
      </c>
      <c r="R862" s="597"/>
      <c r="S862" s="575" t="str">
        <f t="shared" si="42"/>
        <v>001-500-000076246</v>
      </c>
      <c r="T862" s="599" t="s">
        <v>5388</v>
      </c>
      <c r="U862" s="621" t="s">
        <v>5389</v>
      </c>
    </row>
    <row r="863" spans="1:21" ht="24" customHeight="1" x14ac:dyDescent="0.2">
      <c r="A863" s="624">
        <v>858</v>
      </c>
      <c r="B863" s="208">
        <v>45833</v>
      </c>
      <c r="C863" s="575" t="s">
        <v>125</v>
      </c>
      <c r="D863" s="575" t="s">
        <v>5394</v>
      </c>
      <c r="E863" s="576">
        <v>41560074</v>
      </c>
      <c r="F863" s="623" t="str">
        <f t="shared" ref="F863:F866" si="43">VLOOKUP(E863,PROD,2,FALSE)</f>
        <v>HLB 840 INOX HORNO ELEC</v>
      </c>
      <c r="G863" s="575" t="s">
        <v>5395</v>
      </c>
      <c r="H863" s="576" t="s">
        <v>41</v>
      </c>
      <c r="I863" s="576" t="s">
        <v>62</v>
      </c>
      <c r="J863" s="576" t="s">
        <v>63</v>
      </c>
      <c r="K863" s="689">
        <v>45967</v>
      </c>
      <c r="L863" s="672" t="s">
        <v>5396</v>
      </c>
      <c r="M863" s="672" t="s">
        <v>5397</v>
      </c>
      <c r="N863" s="667">
        <v>984150756</v>
      </c>
      <c r="O863" s="673">
        <v>15</v>
      </c>
      <c r="P863" s="670" t="s">
        <v>442</v>
      </c>
      <c r="Q863" s="670" t="s">
        <v>62</v>
      </c>
      <c r="R863" s="674"/>
      <c r="S863" s="575" t="str">
        <f t="shared" si="42"/>
        <v>016-907-000259142</v>
      </c>
      <c r="T863" s="690" t="s">
        <v>5398</v>
      </c>
      <c r="U863" s="669" t="s">
        <v>5399</v>
      </c>
    </row>
    <row r="864" spans="1:21" ht="24" customHeight="1" x14ac:dyDescent="0.2">
      <c r="A864" s="624">
        <v>859</v>
      </c>
      <c r="B864" s="208">
        <v>45833</v>
      </c>
      <c r="C864" s="575" t="s">
        <v>125</v>
      </c>
      <c r="D864" s="575" t="s">
        <v>5394</v>
      </c>
      <c r="E864" s="576">
        <v>40584305</v>
      </c>
      <c r="F864" s="623" t="str">
        <f t="shared" si="43"/>
        <v>ML 822 BIS - MICROONDAS (112030008)</v>
      </c>
      <c r="G864" s="595" t="s">
        <v>5400</v>
      </c>
      <c r="H864" s="576" t="s">
        <v>41</v>
      </c>
      <c r="I864" s="576" t="s">
        <v>62</v>
      </c>
      <c r="J864" s="576" t="s">
        <v>63</v>
      </c>
      <c r="K864" s="689">
        <v>45967</v>
      </c>
      <c r="L864" s="672" t="s">
        <v>5396</v>
      </c>
      <c r="M864" s="672" t="s">
        <v>5397</v>
      </c>
      <c r="N864" s="667">
        <v>984150756</v>
      </c>
      <c r="O864" s="673">
        <v>15</v>
      </c>
      <c r="P864" s="670" t="s">
        <v>442</v>
      </c>
      <c r="Q864" s="670" t="s">
        <v>62</v>
      </c>
      <c r="R864" s="674"/>
      <c r="S864" s="575" t="str">
        <f t="shared" si="42"/>
        <v>016-907-000259142</v>
      </c>
      <c r="T864" s="690" t="s">
        <v>5398</v>
      </c>
      <c r="U864" s="669" t="s">
        <v>5399</v>
      </c>
    </row>
    <row r="865" spans="1:21" ht="24" customHeight="1" x14ac:dyDescent="0.2">
      <c r="A865" s="624">
        <v>860</v>
      </c>
      <c r="B865" s="208">
        <v>45833</v>
      </c>
      <c r="C865" s="575" t="s">
        <v>125</v>
      </c>
      <c r="D865" s="575" t="s">
        <v>5394</v>
      </c>
      <c r="E865" s="576">
        <v>112570124</v>
      </c>
      <c r="F865" s="623" t="str">
        <f t="shared" si="43"/>
        <v>JZC 64322 ABB BK (LAT) COCINA MIXTA GAS - INDUCCION</v>
      </c>
      <c r="G865" s="575" t="s">
        <v>5401</v>
      </c>
      <c r="H865" s="576" t="s">
        <v>41</v>
      </c>
      <c r="I865" s="576" t="s">
        <v>62</v>
      </c>
      <c r="J865" s="576" t="s">
        <v>63</v>
      </c>
      <c r="K865" s="689">
        <v>45967</v>
      </c>
      <c r="L865" s="672" t="s">
        <v>5396</v>
      </c>
      <c r="M865" s="672" t="s">
        <v>5397</v>
      </c>
      <c r="N865" s="667">
        <v>984150756</v>
      </c>
      <c r="O865" s="673">
        <v>15</v>
      </c>
      <c r="P865" s="670" t="s">
        <v>442</v>
      </c>
      <c r="Q865" s="670" t="s">
        <v>62</v>
      </c>
      <c r="R865" s="674"/>
      <c r="S865" s="575" t="str">
        <f t="shared" si="42"/>
        <v>016-907-000259142</v>
      </c>
      <c r="T865" s="690" t="s">
        <v>5398</v>
      </c>
      <c r="U865" s="669" t="s">
        <v>5399</v>
      </c>
    </row>
    <row r="866" spans="1:21" ht="24" customHeight="1" x14ac:dyDescent="0.2">
      <c r="A866" s="624">
        <v>861</v>
      </c>
      <c r="B866" s="208">
        <v>45833</v>
      </c>
      <c r="C866" s="575" t="s">
        <v>125</v>
      </c>
      <c r="D866" s="575" t="s">
        <v>5402</v>
      </c>
      <c r="E866" s="576">
        <v>113100004</v>
      </c>
      <c r="F866" s="623" t="str">
        <f t="shared" si="43"/>
        <v>CAMPANA DHT 97670 ROS WH</v>
      </c>
      <c r="G866" s="575" t="s">
        <v>5403</v>
      </c>
      <c r="H866" s="576" t="s">
        <v>41</v>
      </c>
      <c r="I866" s="576" t="s">
        <v>62</v>
      </c>
      <c r="J866" s="576" t="s">
        <v>63</v>
      </c>
      <c r="K866" s="689">
        <v>45967</v>
      </c>
      <c r="L866" s="672" t="s">
        <v>5396</v>
      </c>
      <c r="M866" s="672" t="s">
        <v>5397</v>
      </c>
      <c r="N866" s="667">
        <v>984150756</v>
      </c>
      <c r="O866" s="673">
        <v>30</v>
      </c>
      <c r="P866" s="670" t="s">
        <v>442</v>
      </c>
      <c r="Q866" s="670" t="s">
        <v>62</v>
      </c>
      <c r="R866" s="674"/>
      <c r="S866" s="575" t="str">
        <f t="shared" si="42"/>
        <v>016-906-000000106</v>
      </c>
      <c r="T866" s="690" t="s">
        <v>5398</v>
      </c>
      <c r="U866" s="669" t="s">
        <v>5399</v>
      </c>
    </row>
    <row r="867" spans="1:21" ht="24" customHeight="1" x14ac:dyDescent="0.2">
      <c r="A867" s="624">
        <v>862</v>
      </c>
      <c r="B867" s="208">
        <v>45933</v>
      </c>
      <c r="C867" s="575" t="s">
        <v>202</v>
      </c>
      <c r="D867" s="575" t="s">
        <v>5404</v>
      </c>
      <c r="E867" s="576">
        <v>40466241</v>
      </c>
      <c r="F867" s="623" t="str">
        <f t="shared" si="41"/>
        <v>C 9310 INOX CAMPANA (110V-60HZ) C/KIT</v>
      </c>
      <c r="G867" s="575" t="s">
        <v>5405</v>
      </c>
      <c r="H867" s="576" t="s">
        <v>41</v>
      </c>
      <c r="I867" s="576" t="s">
        <v>62</v>
      </c>
      <c r="J867" s="576" t="s">
        <v>63</v>
      </c>
      <c r="K867" s="593">
        <v>45967</v>
      </c>
      <c r="L867" s="594" t="s">
        <v>5406</v>
      </c>
      <c r="M867" s="594" t="s">
        <v>5407</v>
      </c>
      <c r="N867" s="575">
        <v>5726697</v>
      </c>
      <c r="O867" s="596">
        <v>15</v>
      </c>
      <c r="P867" s="576" t="s">
        <v>442</v>
      </c>
      <c r="Q867" s="576" t="s">
        <v>62</v>
      </c>
      <c r="R867" s="597"/>
      <c r="S867" s="575" t="str">
        <f t="shared" si="42"/>
        <v>014-004-000071054</v>
      </c>
      <c r="T867" s="599" t="s">
        <v>5408</v>
      </c>
      <c r="U867" s="621" t="s">
        <v>5409</v>
      </c>
    </row>
    <row r="868" spans="1:21" ht="24" customHeight="1" x14ac:dyDescent="0.2">
      <c r="A868" s="624">
        <v>863</v>
      </c>
      <c r="B868" s="208">
        <v>45933</v>
      </c>
      <c r="C868" s="575" t="s">
        <v>202</v>
      </c>
      <c r="D868" s="575" t="s">
        <v>5404</v>
      </c>
      <c r="E868" s="576">
        <v>112610067</v>
      </c>
      <c r="F868" s="623" t="str">
        <f t="shared" si="41"/>
        <v>GSC 96320 XBA IX (LAT) COCINA INOX</v>
      </c>
      <c r="G868" s="575" t="s">
        <v>5410</v>
      </c>
      <c r="H868" s="576" t="s">
        <v>41</v>
      </c>
      <c r="I868" s="576" t="s">
        <v>62</v>
      </c>
      <c r="J868" s="576" t="s">
        <v>63</v>
      </c>
      <c r="K868" s="593">
        <v>45967</v>
      </c>
      <c r="L868" s="594" t="s">
        <v>5406</v>
      </c>
      <c r="M868" s="594" t="s">
        <v>5407</v>
      </c>
      <c r="N868" s="575">
        <v>5726697</v>
      </c>
      <c r="O868" s="596">
        <v>15</v>
      </c>
      <c r="P868" s="576" t="s">
        <v>442</v>
      </c>
      <c r="Q868" s="576" t="s">
        <v>62</v>
      </c>
      <c r="R868" s="597"/>
      <c r="S868" s="575" t="str">
        <f t="shared" si="42"/>
        <v>014-004-000071054</v>
      </c>
      <c r="T868" s="599" t="s">
        <v>5408</v>
      </c>
      <c r="U868" s="621" t="s">
        <v>5409</v>
      </c>
    </row>
    <row r="869" spans="1:21" ht="24" customHeight="1" x14ac:dyDescent="0.2">
      <c r="A869" s="624">
        <v>864</v>
      </c>
      <c r="B869" s="208">
        <v>45933</v>
      </c>
      <c r="C869" s="575" t="s">
        <v>202</v>
      </c>
      <c r="D869" s="575" t="s">
        <v>5404</v>
      </c>
      <c r="E869" s="576">
        <v>40584105</v>
      </c>
      <c r="F869" s="623" t="str">
        <f t="shared" si="41"/>
        <v>MS 622 BIS - MICROONDAS</v>
      </c>
      <c r="G869" s="575" t="s">
        <v>5411</v>
      </c>
      <c r="H869" s="576" t="s">
        <v>41</v>
      </c>
      <c r="I869" s="576" t="s">
        <v>62</v>
      </c>
      <c r="J869" s="576" t="s">
        <v>63</v>
      </c>
      <c r="K869" s="593">
        <v>45967</v>
      </c>
      <c r="L869" s="594" t="s">
        <v>5406</v>
      </c>
      <c r="M869" s="594" t="s">
        <v>5407</v>
      </c>
      <c r="N869" s="575">
        <v>5726697</v>
      </c>
      <c r="O869" s="596">
        <v>15</v>
      </c>
      <c r="P869" s="576" t="s">
        <v>442</v>
      </c>
      <c r="Q869" s="576" t="s">
        <v>62</v>
      </c>
      <c r="R869" s="597"/>
      <c r="S869" s="575" t="str">
        <f t="shared" si="42"/>
        <v>014-004-000071054</v>
      </c>
      <c r="T869" s="599" t="s">
        <v>5408</v>
      </c>
      <c r="U869" s="621" t="s">
        <v>5409</v>
      </c>
    </row>
    <row r="870" spans="1:21" ht="24" customHeight="1" x14ac:dyDescent="0.2">
      <c r="A870" s="624">
        <v>865</v>
      </c>
      <c r="B870" s="208">
        <v>45933</v>
      </c>
      <c r="C870" s="575" t="s">
        <v>202</v>
      </c>
      <c r="D870" s="575" t="s">
        <v>5404</v>
      </c>
      <c r="E870" s="576">
        <v>111010028</v>
      </c>
      <c r="F870" s="623" t="str">
        <f t="shared" si="41"/>
        <v>HSB 646 "AIRFRY" - HORNO ELEC</v>
      </c>
      <c r="G870" s="575" t="s">
        <v>5412</v>
      </c>
      <c r="H870" s="576" t="s">
        <v>41</v>
      </c>
      <c r="I870" s="576" t="s">
        <v>62</v>
      </c>
      <c r="J870" s="576" t="s">
        <v>63</v>
      </c>
      <c r="K870" s="593">
        <v>45967</v>
      </c>
      <c r="L870" s="594" t="s">
        <v>5406</v>
      </c>
      <c r="M870" s="594" t="s">
        <v>5407</v>
      </c>
      <c r="N870" s="575">
        <v>5726697</v>
      </c>
      <c r="O870" s="596">
        <v>15</v>
      </c>
      <c r="P870" s="576" t="s">
        <v>442</v>
      </c>
      <c r="Q870" s="576" t="s">
        <v>62</v>
      </c>
      <c r="R870" s="597"/>
      <c r="S870" s="575" t="str">
        <f t="shared" si="42"/>
        <v>014-004-000071054</v>
      </c>
      <c r="T870" s="599" t="s">
        <v>5408</v>
      </c>
      <c r="U870" s="621" t="s">
        <v>5409</v>
      </c>
    </row>
    <row r="871" spans="1:21" ht="24" customHeight="1" x14ac:dyDescent="0.2">
      <c r="A871" s="624">
        <v>866</v>
      </c>
      <c r="B871" s="208">
        <v>45933</v>
      </c>
      <c r="C871" s="575" t="s">
        <v>202</v>
      </c>
      <c r="D871" s="575" t="s">
        <v>5404</v>
      </c>
      <c r="E871" s="576">
        <v>114270008</v>
      </c>
      <c r="F871" s="623" t="str">
        <f t="shared" si="41"/>
        <v>LAVAVAJILLAS DFI 46900 120 60 WH</v>
      </c>
      <c r="G871" s="575" t="s">
        <v>5413</v>
      </c>
      <c r="H871" s="576" t="s">
        <v>41</v>
      </c>
      <c r="I871" s="576" t="s">
        <v>62</v>
      </c>
      <c r="J871" s="576" t="s">
        <v>63</v>
      </c>
      <c r="K871" s="593">
        <v>45967</v>
      </c>
      <c r="L871" s="594" t="s">
        <v>5406</v>
      </c>
      <c r="M871" s="594" t="s">
        <v>5407</v>
      </c>
      <c r="N871" s="575">
        <v>5726697</v>
      </c>
      <c r="O871" s="596">
        <v>15</v>
      </c>
      <c r="P871" s="576" t="s">
        <v>442</v>
      </c>
      <c r="Q871" s="576" t="s">
        <v>62</v>
      </c>
      <c r="R871" s="597"/>
      <c r="S871" s="575" t="str">
        <f t="shared" si="42"/>
        <v>014-004-000071054</v>
      </c>
      <c r="T871" s="599" t="s">
        <v>5408</v>
      </c>
      <c r="U871" s="621" t="s">
        <v>5409</v>
      </c>
    </row>
    <row r="872" spans="1:21" ht="24" customHeight="1" x14ac:dyDescent="0.2">
      <c r="A872" s="624">
        <v>867</v>
      </c>
      <c r="B872" s="208">
        <v>45920</v>
      </c>
      <c r="C872" s="575" t="s">
        <v>161</v>
      </c>
      <c r="D872" s="575" t="s">
        <v>5414</v>
      </c>
      <c r="E872" s="576">
        <v>41560142</v>
      </c>
      <c r="F872" s="623" t="str">
        <f t="shared" si="41"/>
        <v>HSB 635 INOX HORNO ELEC (41521810)</v>
      </c>
      <c r="G872" s="575" t="s">
        <v>5415</v>
      </c>
      <c r="H872" s="576" t="s">
        <v>41</v>
      </c>
      <c r="I872" s="576" t="s">
        <v>62</v>
      </c>
      <c r="J872" s="576" t="s">
        <v>63</v>
      </c>
      <c r="K872" s="593">
        <v>45967</v>
      </c>
      <c r="L872" s="594" t="s">
        <v>5416</v>
      </c>
      <c r="M872" s="594" t="s">
        <v>5417</v>
      </c>
      <c r="N872" s="575">
        <v>983473000</v>
      </c>
      <c r="O872" s="596">
        <v>15</v>
      </c>
      <c r="P872" s="576" t="s">
        <v>442</v>
      </c>
      <c r="Q872" s="576" t="s">
        <v>62</v>
      </c>
      <c r="R872" s="597"/>
      <c r="S872" s="575" t="str">
        <f t="shared" si="42"/>
        <v>040-103-000016219</v>
      </c>
      <c r="T872" s="599" t="s">
        <v>5418</v>
      </c>
      <c r="U872" s="621" t="s">
        <v>5419</v>
      </c>
    </row>
    <row r="873" spans="1:21" ht="24" customHeight="1" x14ac:dyDescent="0.2">
      <c r="A873" s="624">
        <v>868</v>
      </c>
      <c r="B873" s="208">
        <v>45920</v>
      </c>
      <c r="C873" s="575" t="s">
        <v>161</v>
      </c>
      <c r="D873" s="575" t="s">
        <v>5414</v>
      </c>
      <c r="E873" s="576">
        <v>112510036</v>
      </c>
      <c r="F873" s="623" t="str">
        <f t="shared" si="41"/>
        <v>IZC 32310 MSP BK COCINA MODULAR INDUCCION</v>
      </c>
      <c r="G873" s="575" t="s">
        <v>5420</v>
      </c>
      <c r="H873" s="576" t="s">
        <v>41</v>
      </c>
      <c r="I873" s="576" t="s">
        <v>62</v>
      </c>
      <c r="J873" s="576" t="s">
        <v>63</v>
      </c>
      <c r="K873" s="593">
        <v>45967</v>
      </c>
      <c r="L873" s="594" t="s">
        <v>5416</v>
      </c>
      <c r="M873" s="594" t="s">
        <v>5417</v>
      </c>
      <c r="N873" s="575">
        <v>983473000</v>
      </c>
      <c r="O873" s="596">
        <v>15</v>
      </c>
      <c r="P873" s="576" t="s">
        <v>442</v>
      </c>
      <c r="Q873" s="576" t="s">
        <v>62</v>
      </c>
      <c r="R873" s="597"/>
      <c r="S873" s="575" t="str">
        <f t="shared" si="42"/>
        <v>040-103-000016219</v>
      </c>
      <c r="T873" s="599" t="s">
        <v>5418</v>
      </c>
      <c r="U873" s="621" t="s">
        <v>5419</v>
      </c>
    </row>
    <row r="874" spans="1:21" ht="24" customHeight="1" x14ac:dyDescent="0.2">
      <c r="A874" s="624">
        <v>869</v>
      </c>
      <c r="B874" s="208">
        <v>45920</v>
      </c>
      <c r="C874" s="575" t="s">
        <v>161</v>
      </c>
      <c r="D874" s="575" t="s">
        <v>5414</v>
      </c>
      <c r="E874" s="576">
        <v>112580017</v>
      </c>
      <c r="F874" s="623" t="str">
        <f t="shared" si="41"/>
        <v>GBC 64000 KBB CRISTAL COCINA GAS</v>
      </c>
      <c r="G874" s="575" t="s">
        <v>5421</v>
      </c>
      <c r="H874" s="576" t="s">
        <v>41</v>
      </c>
      <c r="I874" s="576" t="s">
        <v>62</v>
      </c>
      <c r="J874" s="576" t="s">
        <v>63</v>
      </c>
      <c r="K874" s="593">
        <v>45967</v>
      </c>
      <c r="L874" s="594" t="s">
        <v>5416</v>
      </c>
      <c r="M874" s="594" t="s">
        <v>5417</v>
      </c>
      <c r="N874" s="575">
        <v>983473000</v>
      </c>
      <c r="O874" s="596">
        <v>15</v>
      </c>
      <c r="P874" s="576" t="s">
        <v>442</v>
      </c>
      <c r="Q874" s="576" t="s">
        <v>62</v>
      </c>
      <c r="R874" s="597"/>
      <c r="S874" s="575" t="str">
        <f t="shared" si="42"/>
        <v>040-103-000016219</v>
      </c>
      <c r="T874" s="599" t="s">
        <v>5418</v>
      </c>
      <c r="U874" s="621" t="s">
        <v>5419</v>
      </c>
    </row>
    <row r="875" spans="1:21" ht="24" customHeight="1" x14ac:dyDescent="0.2">
      <c r="A875" s="624">
        <v>870</v>
      </c>
      <c r="B875" s="208">
        <v>45920</v>
      </c>
      <c r="C875" s="575" t="s">
        <v>161</v>
      </c>
      <c r="D875" s="575" t="s">
        <v>5414</v>
      </c>
      <c r="E875" s="200">
        <v>40584012</v>
      </c>
      <c r="F875" s="623" t="str">
        <f t="shared" si="41"/>
        <v>MS 620 BIS - MICROONDAS</v>
      </c>
      <c r="G875" s="199" t="s">
        <v>5422</v>
      </c>
      <c r="H875" s="576" t="s">
        <v>41</v>
      </c>
      <c r="I875" s="576" t="s">
        <v>62</v>
      </c>
      <c r="J875" s="576" t="s">
        <v>63</v>
      </c>
      <c r="K875" s="593">
        <v>45967</v>
      </c>
      <c r="L875" s="594" t="s">
        <v>5416</v>
      </c>
      <c r="M875" s="594" t="s">
        <v>5417</v>
      </c>
      <c r="N875" s="575">
        <v>983473000</v>
      </c>
      <c r="O875" s="596">
        <v>15</v>
      </c>
      <c r="P875" s="576" t="s">
        <v>442</v>
      </c>
      <c r="Q875" s="576" t="s">
        <v>62</v>
      </c>
      <c r="R875" s="597"/>
      <c r="S875" s="575" t="str">
        <f t="shared" si="42"/>
        <v>040-103-000016219</v>
      </c>
      <c r="T875" s="599" t="s">
        <v>5418</v>
      </c>
      <c r="U875" s="621" t="s">
        <v>5419</v>
      </c>
    </row>
    <row r="876" spans="1:21" ht="24" customHeight="1" x14ac:dyDescent="0.2">
      <c r="A876" s="624">
        <v>871</v>
      </c>
      <c r="B876" s="198">
        <v>45798</v>
      </c>
      <c r="C876" s="199" t="s">
        <v>202</v>
      </c>
      <c r="D876" s="199" t="s">
        <v>5423</v>
      </c>
      <c r="E876" s="200">
        <v>111010028</v>
      </c>
      <c r="F876" s="623" t="str">
        <f t="shared" si="41"/>
        <v>HSB 646 "AIRFRY" - HORNO ELEC</v>
      </c>
      <c r="G876" s="199" t="s">
        <v>5424</v>
      </c>
      <c r="H876" s="576" t="s">
        <v>41</v>
      </c>
      <c r="I876" s="576" t="s">
        <v>62</v>
      </c>
      <c r="J876" s="576" t="s">
        <v>63</v>
      </c>
      <c r="K876" s="691">
        <v>45968</v>
      </c>
      <c r="L876" s="199" t="s">
        <v>5425</v>
      </c>
      <c r="M876" s="199" t="s">
        <v>1071</v>
      </c>
      <c r="N876" s="199">
        <v>998284291</v>
      </c>
      <c r="O876" s="596">
        <v>15</v>
      </c>
      <c r="P876" s="576" t="s">
        <v>442</v>
      </c>
      <c r="Q876" s="576" t="s">
        <v>62</v>
      </c>
      <c r="R876" s="597"/>
      <c r="S876" s="575" t="str">
        <f t="shared" si="42"/>
        <v>007-007-000031372</v>
      </c>
      <c r="T876" s="599" t="s">
        <v>5426</v>
      </c>
      <c r="U876" s="621" t="s">
        <v>5427</v>
      </c>
    </row>
    <row r="877" spans="1:21" ht="24" customHeight="1" x14ac:dyDescent="0.2">
      <c r="A877" s="624">
        <v>872</v>
      </c>
      <c r="B877" s="198">
        <v>45798</v>
      </c>
      <c r="C877" s="199" t="s">
        <v>202</v>
      </c>
      <c r="D877" s="199" t="s">
        <v>5423</v>
      </c>
      <c r="E877" s="200">
        <v>40466241</v>
      </c>
      <c r="F877" s="623" t="str">
        <f t="shared" si="41"/>
        <v>C 9310 INOX CAMPANA (110V-60HZ) C/KIT</v>
      </c>
      <c r="G877" s="199" t="s">
        <v>5428</v>
      </c>
      <c r="H877" s="576" t="s">
        <v>41</v>
      </c>
      <c r="I877" s="576" t="s">
        <v>62</v>
      </c>
      <c r="J877" s="576" t="s">
        <v>63</v>
      </c>
      <c r="K877" s="691">
        <v>45968</v>
      </c>
      <c r="L877" s="199" t="s">
        <v>5425</v>
      </c>
      <c r="M877" s="199" t="s">
        <v>1071</v>
      </c>
      <c r="N877" s="199">
        <v>998284291</v>
      </c>
      <c r="O877" s="596">
        <v>15</v>
      </c>
      <c r="P877" s="576" t="s">
        <v>442</v>
      </c>
      <c r="Q877" s="576" t="s">
        <v>62</v>
      </c>
      <c r="R877" s="597"/>
      <c r="S877" s="575" t="str">
        <f t="shared" si="42"/>
        <v>007-007-000031372</v>
      </c>
      <c r="T877" s="599" t="s">
        <v>5426</v>
      </c>
      <c r="U877" s="621" t="s">
        <v>5427</v>
      </c>
    </row>
    <row r="878" spans="1:21" ht="24" customHeight="1" x14ac:dyDescent="0.2">
      <c r="A878" s="624">
        <v>873</v>
      </c>
      <c r="B878" s="198">
        <v>45798</v>
      </c>
      <c r="C878" s="199" t="s">
        <v>202</v>
      </c>
      <c r="D878" s="199" t="s">
        <v>5423</v>
      </c>
      <c r="E878" s="576">
        <v>112610067</v>
      </c>
      <c r="F878" s="623" t="str">
        <f t="shared" si="41"/>
        <v>GSC 96320 XBA IX (LAT) COCINA INOX</v>
      </c>
      <c r="G878" s="575" t="s">
        <v>5429</v>
      </c>
      <c r="H878" s="576" t="s">
        <v>41</v>
      </c>
      <c r="I878" s="576" t="s">
        <v>62</v>
      </c>
      <c r="J878" s="576" t="s">
        <v>63</v>
      </c>
      <c r="K878" s="691">
        <v>45968</v>
      </c>
      <c r="L878" s="199" t="s">
        <v>5425</v>
      </c>
      <c r="M878" s="199" t="s">
        <v>1071</v>
      </c>
      <c r="N878" s="199">
        <v>998284291</v>
      </c>
      <c r="O878" s="596">
        <v>15</v>
      </c>
      <c r="P878" s="576" t="s">
        <v>442</v>
      </c>
      <c r="Q878" s="576" t="s">
        <v>62</v>
      </c>
      <c r="R878" s="597"/>
      <c r="S878" s="575" t="str">
        <f t="shared" si="42"/>
        <v>007-007-000031372</v>
      </c>
      <c r="T878" s="599" t="s">
        <v>5426</v>
      </c>
      <c r="U878" s="621" t="s">
        <v>5427</v>
      </c>
    </row>
    <row r="879" spans="1:21" ht="24" customHeight="1" x14ac:dyDescent="0.2">
      <c r="A879" s="624">
        <v>874</v>
      </c>
      <c r="B879" s="198">
        <v>45708</v>
      </c>
      <c r="C879" s="199" t="s">
        <v>202</v>
      </c>
      <c r="D879" s="199" t="s">
        <v>5430</v>
      </c>
      <c r="E879" s="576">
        <v>40782127</v>
      </c>
      <c r="F879" s="623" t="str">
        <f t="shared" si="41"/>
        <v>DW8 57 FIM PANELABLE LAVAVAJILLAS</v>
      </c>
      <c r="G879" s="575" t="s">
        <v>5431</v>
      </c>
      <c r="H879" s="576" t="s">
        <v>41</v>
      </c>
      <c r="I879" s="576" t="s">
        <v>62</v>
      </c>
      <c r="J879" s="576" t="s">
        <v>63</v>
      </c>
      <c r="K879" s="691">
        <v>45968</v>
      </c>
      <c r="L879" s="199" t="s">
        <v>5425</v>
      </c>
      <c r="M879" s="199" t="s">
        <v>1071</v>
      </c>
      <c r="N879" s="199">
        <v>998284291</v>
      </c>
      <c r="O879" s="596">
        <v>15</v>
      </c>
      <c r="P879" s="576" t="s">
        <v>442</v>
      </c>
      <c r="Q879" s="576" t="s">
        <v>62</v>
      </c>
      <c r="R879" s="597"/>
      <c r="S879" s="575" t="str">
        <f t="shared" si="42"/>
        <v>007-005-000136176</v>
      </c>
      <c r="T879" s="599" t="s">
        <v>5426</v>
      </c>
      <c r="U879" s="621" t="s">
        <v>5427</v>
      </c>
    </row>
    <row r="880" spans="1:21" ht="24" customHeight="1" x14ac:dyDescent="0.2">
      <c r="A880" s="624">
        <v>875</v>
      </c>
      <c r="B880" s="208">
        <v>45751</v>
      </c>
      <c r="C880" s="575" t="s">
        <v>100</v>
      </c>
      <c r="D880" s="575" t="s">
        <v>5432</v>
      </c>
      <c r="E880" s="576">
        <v>40584202</v>
      </c>
      <c r="F880" s="623" t="str">
        <f t="shared" si="41"/>
        <v>ML 820 BIS - MICROONDAS</v>
      </c>
      <c r="G880" s="575" t="s">
        <v>5433</v>
      </c>
      <c r="H880" s="576" t="s">
        <v>41</v>
      </c>
      <c r="I880" s="576" t="s">
        <v>62</v>
      </c>
      <c r="J880" s="576" t="s">
        <v>63</v>
      </c>
      <c r="K880" s="593">
        <v>45968</v>
      </c>
      <c r="L880" s="594" t="s">
        <v>5434</v>
      </c>
      <c r="M880" s="594" t="s">
        <v>5435</v>
      </c>
      <c r="N880" s="575">
        <v>998484504</v>
      </c>
      <c r="O880" s="596">
        <v>15</v>
      </c>
      <c r="P880" s="576" t="s">
        <v>442</v>
      </c>
      <c r="Q880" s="576" t="s">
        <v>62</v>
      </c>
      <c r="R880" s="597"/>
      <c r="S880" s="575" t="str">
        <f t="shared" si="42"/>
        <v>001-500-000000201</v>
      </c>
      <c r="T880" s="599" t="s">
        <v>5436</v>
      </c>
      <c r="U880" s="621" t="s">
        <v>5437</v>
      </c>
    </row>
    <row r="881" spans="1:21" ht="24" customHeight="1" x14ac:dyDescent="0.2">
      <c r="A881" s="624">
        <v>876</v>
      </c>
      <c r="B881" s="208">
        <v>45751</v>
      </c>
      <c r="C881" s="575" t="s">
        <v>100</v>
      </c>
      <c r="D881" s="575" t="s">
        <v>5432</v>
      </c>
      <c r="E881" s="576">
        <v>111000051</v>
      </c>
      <c r="F881" s="623" t="str">
        <f t="shared" si="41"/>
        <v>HLB 8416 "AIR FRY" - HORNO ELEC</v>
      </c>
      <c r="G881" s="575" t="s">
        <v>5438</v>
      </c>
      <c r="H881" s="576" t="s">
        <v>41</v>
      </c>
      <c r="I881" s="576" t="s">
        <v>62</v>
      </c>
      <c r="J881" s="576" t="s">
        <v>63</v>
      </c>
      <c r="K881" s="593">
        <v>45968</v>
      </c>
      <c r="L881" s="594" t="s">
        <v>5434</v>
      </c>
      <c r="M881" s="594" t="s">
        <v>5435</v>
      </c>
      <c r="N881" s="575">
        <v>998484504</v>
      </c>
      <c r="O881" s="596">
        <v>15</v>
      </c>
      <c r="P881" s="576" t="s">
        <v>442</v>
      </c>
      <c r="Q881" s="576" t="s">
        <v>62</v>
      </c>
      <c r="R881" s="597"/>
      <c r="S881" s="575" t="str">
        <f t="shared" si="42"/>
        <v>001-500-000000201</v>
      </c>
      <c r="T881" s="599" t="s">
        <v>5436</v>
      </c>
      <c r="U881" s="621" t="s">
        <v>5437</v>
      </c>
    </row>
    <row r="882" spans="1:21" ht="24" customHeight="1" x14ac:dyDescent="0.2">
      <c r="A882" s="624">
        <v>877</v>
      </c>
      <c r="B882" s="208">
        <v>45751</v>
      </c>
      <c r="C882" s="575" t="s">
        <v>100</v>
      </c>
      <c r="D882" s="575" t="s">
        <v>5432</v>
      </c>
      <c r="E882" s="576">
        <v>112580058</v>
      </c>
      <c r="F882" s="623" t="str">
        <f t="shared" si="41"/>
        <v>GBC 95030 KBB BK COCINA GAS</v>
      </c>
      <c r="G882" s="575" t="s">
        <v>5439</v>
      </c>
      <c r="H882" s="576" t="s">
        <v>41</v>
      </c>
      <c r="I882" s="576" t="s">
        <v>62</v>
      </c>
      <c r="J882" s="576" t="s">
        <v>63</v>
      </c>
      <c r="K882" s="593">
        <v>45968</v>
      </c>
      <c r="L882" s="594" t="s">
        <v>5434</v>
      </c>
      <c r="M882" s="594" t="s">
        <v>5435</v>
      </c>
      <c r="N882" s="575">
        <v>998484504</v>
      </c>
      <c r="O882" s="596">
        <v>15</v>
      </c>
      <c r="P882" s="576" t="s">
        <v>442</v>
      </c>
      <c r="Q882" s="576" t="s">
        <v>62</v>
      </c>
      <c r="R882" s="597"/>
      <c r="S882" s="575" t="str">
        <f t="shared" si="42"/>
        <v>001-500-000000201</v>
      </c>
      <c r="T882" s="599" t="s">
        <v>5436</v>
      </c>
      <c r="U882" s="621" t="s">
        <v>5437</v>
      </c>
    </row>
    <row r="883" spans="1:21" ht="24" customHeight="1" x14ac:dyDescent="0.2">
      <c r="A883" s="624">
        <v>878</v>
      </c>
      <c r="B883" s="208">
        <v>45625</v>
      </c>
      <c r="C883" s="575" t="s">
        <v>187</v>
      </c>
      <c r="D883" s="575" t="s">
        <v>5440</v>
      </c>
      <c r="E883" s="576">
        <v>111010028</v>
      </c>
      <c r="F883" s="623" t="str">
        <f t="shared" ref="F883:F902" si="44">VLOOKUP(E883,PROD,2,FALSE)</f>
        <v>HSB 646 "AIRFRY" - HORNO ELEC</v>
      </c>
      <c r="G883" s="575" t="s">
        <v>5441</v>
      </c>
      <c r="H883" s="576" t="s">
        <v>41</v>
      </c>
      <c r="I883" s="576" t="s">
        <v>62</v>
      </c>
      <c r="J883" s="576" t="s">
        <v>63</v>
      </c>
      <c r="K883" s="593">
        <v>45971</v>
      </c>
      <c r="L883" s="594" t="s">
        <v>5442</v>
      </c>
      <c r="M883" s="594" t="s">
        <v>2217</v>
      </c>
      <c r="N883" s="575">
        <v>987109638</v>
      </c>
      <c r="O883" s="596">
        <v>15</v>
      </c>
      <c r="P883" s="576" t="s">
        <v>442</v>
      </c>
      <c r="Q883" s="576" t="s">
        <v>62</v>
      </c>
      <c r="R883" s="597"/>
      <c r="S883" s="575" t="str">
        <f t="shared" si="42"/>
        <v>040-101-000000496</v>
      </c>
      <c r="T883" s="599" t="s">
        <v>5443</v>
      </c>
      <c r="U883" s="621" t="s">
        <v>5444</v>
      </c>
    </row>
    <row r="884" spans="1:21" ht="24" customHeight="1" x14ac:dyDescent="0.2">
      <c r="A884" s="624">
        <v>879</v>
      </c>
      <c r="B884" s="208">
        <v>45625</v>
      </c>
      <c r="C884" s="575" t="s">
        <v>187</v>
      </c>
      <c r="D884" s="575" t="s">
        <v>5445</v>
      </c>
      <c r="E884" s="576">
        <v>40584105</v>
      </c>
      <c r="F884" s="623" t="str">
        <f t="shared" si="44"/>
        <v>MS 622 BIS - MICROONDAS</v>
      </c>
      <c r="G884" s="575" t="s">
        <v>5446</v>
      </c>
      <c r="H884" s="576" t="s">
        <v>41</v>
      </c>
      <c r="I884" s="576" t="s">
        <v>62</v>
      </c>
      <c r="J884" s="576" t="s">
        <v>63</v>
      </c>
      <c r="K884" s="593">
        <v>45971</v>
      </c>
      <c r="L884" s="594" t="s">
        <v>5442</v>
      </c>
      <c r="M884" s="594" t="s">
        <v>2217</v>
      </c>
      <c r="N884" s="575">
        <v>987109638</v>
      </c>
      <c r="O884" s="596">
        <v>15</v>
      </c>
      <c r="P884" s="576" t="s">
        <v>442</v>
      </c>
      <c r="Q884" s="576" t="s">
        <v>62</v>
      </c>
      <c r="R884" s="597"/>
      <c r="S884" s="575" t="str">
        <f t="shared" si="42"/>
        <v>040-101-000000495</v>
      </c>
      <c r="T884" s="599" t="s">
        <v>5443</v>
      </c>
      <c r="U884" s="621" t="s">
        <v>5444</v>
      </c>
    </row>
    <row r="885" spans="1:21" ht="24" customHeight="1" x14ac:dyDescent="0.2">
      <c r="A885" s="624">
        <v>880</v>
      </c>
      <c r="B885" s="208">
        <v>45625</v>
      </c>
      <c r="C885" s="575" t="s">
        <v>187</v>
      </c>
      <c r="D885" s="575" t="s">
        <v>5440</v>
      </c>
      <c r="E885" s="576">
        <v>112570128</v>
      </c>
      <c r="F885" s="623" t="str">
        <f t="shared" si="44"/>
        <v>JZC 96342 BBB BK (LAT) COCINA MIXTA GAS - INDUCCION</v>
      </c>
      <c r="G885" s="575" t="s">
        <v>5447</v>
      </c>
      <c r="H885" s="576" t="s">
        <v>41</v>
      </c>
      <c r="I885" s="576" t="s">
        <v>62</v>
      </c>
      <c r="J885" s="576" t="s">
        <v>63</v>
      </c>
      <c r="K885" s="593">
        <v>45971</v>
      </c>
      <c r="L885" s="594" t="s">
        <v>5442</v>
      </c>
      <c r="M885" s="594" t="s">
        <v>2217</v>
      </c>
      <c r="N885" s="575">
        <v>987109638</v>
      </c>
      <c r="O885" s="596">
        <v>15</v>
      </c>
      <c r="P885" s="576" t="s">
        <v>442</v>
      </c>
      <c r="Q885" s="576" t="s">
        <v>62</v>
      </c>
      <c r="R885" s="597"/>
      <c r="S885" s="575" t="str">
        <f t="shared" ref="S885:S930" si="45">D885</f>
        <v>040-101-000000496</v>
      </c>
      <c r="T885" s="599" t="s">
        <v>5443</v>
      </c>
      <c r="U885" s="621" t="s">
        <v>5444</v>
      </c>
    </row>
    <row r="886" spans="1:21" ht="24" customHeight="1" x14ac:dyDescent="0.2">
      <c r="A886" s="624">
        <v>881</v>
      </c>
      <c r="B886" s="208">
        <v>45625</v>
      </c>
      <c r="C886" s="575" t="s">
        <v>187</v>
      </c>
      <c r="D886" s="575" t="s">
        <v>5440</v>
      </c>
      <c r="E886" s="576">
        <v>40480301</v>
      </c>
      <c r="F886" s="623" t="str">
        <f t="shared" si="44"/>
        <v>CC 40 ISLA INOX CAMPANA NC:40480321</v>
      </c>
      <c r="G886" s="575" t="s">
        <v>5448</v>
      </c>
      <c r="H886" s="576" t="s">
        <v>41</v>
      </c>
      <c r="I886" s="576" t="s">
        <v>62</v>
      </c>
      <c r="J886" s="576" t="s">
        <v>63</v>
      </c>
      <c r="K886" s="593">
        <v>45971</v>
      </c>
      <c r="L886" s="594" t="s">
        <v>5442</v>
      </c>
      <c r="M886" s="594" t="s">
        <v>2217</v>
      </c>
      <c r="N886" s="575">
        <v>987109638</v>
      </c>
      <c r="O886" s="596">
        <v>30</v>
      </c>
      <c r="P886" s="576" t="s">
        <v>442</v>
      </c>
      <c r="Q886" s="576" t="s">
        <v>62</v>
      </c>
      <c r="R886" s="597"/>
      <c r="S886" s="575" t="str">
        <f t="shared" si="45"/>
        <v>040-101-000000496</v>
      </c>
      <c r="T886" s="599" t="s">
        <v>5443</v>
      </c>
      <c r="U886" s="621" t="s">
        <v>5444</v>
      </c>
    </row>
    <row r="887" spans="1:21" ht="24" customHeight="1" x14ac:dyDescent="0.2">
      <c r="A887" s="624">
        <v>882</v>
      </c>
      <c r="B887" s="208">
        <v>45927</v>
      </c>
      <c r="C887" s="575" t="s">
        <v>187</v>
      </c>
      <c r="D887" s="575" t="s">
        <v>5449</v>
      </c>
      <c r="E887" s="576">
        <v>111910000</v>
      </c>
      <c r="F887" s="623" t="str">
        <f t="shared" si="44"/>
        <v>MLH 845 SS - MICROONDAS</v>
      </c>
      <c r="G887" s="575" t="s">
        <v>5450</v>
      </c>
      <c r="H887" s="576" t="s">
        <v>41</v>
      </c>
      <c r="I887" s="576" t="s">
        <v>62</v>
      </c>
      <c r="J887" s="576" t="s">
        <v>63</v>
      </c>
      <c r="K887" s="593">
        <v>45971</v>
      </c>
      <c r="L887" s="594" t="s">
        <v>5451</v>
      </c>
      <c r="M887" s="594" t="s">
        <v>4557</v>
      </c>
      <c r="N887" s="575">
        <v>980744307</v>
      </c>
      <c r="O887" s="596">
        <v>20</v>
      </c>
      <c r="P887" s="576" t="s">
        <v>442</v>
      </c>
      <c r="Q887" s="576" t="s">
        <v>62</v>
      </c>
      <c r="R887" s="597"/>
      <c r="S887" s="575" t="str">
        <f t="shared" si="45"/>
        <v>040-101-000000796</v>
      </c>
      <c r="T887" s="599" t="s">
        <v>5452</v>
      </c>
      <c r="U887" s="621" t="s">
        <v>5453</v>
      </c>
    </row>
    <row r="888" spans="1:21" ht="24" customHeight="1" x14ac:dyDescent="0.2">
      <c r="A888" s="624">
        <v>883</v>
      </c>
      <c r="B888" s="208">
        <v>45927</v>
      </c>
      <c r="C888" s="575" t="s">
        <v>187</v>
      </c>
      <c r="D888" s="575" t="s">
        <v>5449</v>
      </c>
      <c r="E888" s="576">
        <v>111010041</v>
      </c>
      <c r="F888" s="623" t="str">
        <f t="shared" si="44"/>
        <v>HSB 630 NEGRO HORNO ELEC</v>
      </c>
      <c r="G888" s="575" t="s">
        <v>5454</v>
      </c>
      <c r="H888" s="576" t="s">
        <v>41</v>
      </c>
      <c r="I888" s="576" t="s">
        <v>62</v>
      </c>
      <c r="J888" s="576" t="s">
        <v>63</v>
      </c>
      <c r="K888" s="593">
        <v>45971</v>
      </c>
      <c r="L888" s="594" t="s">
        <v>5451</v>
      </c>
      <c r="M888" s="594" t="s">
        <v>4557</v>
      </c>
      <c r="N888" s="575">
        <v>980744307</v>
      </c>
      <c r="O888" s="596">
        <v>20</v>
      </c>
      <c r="P888" s="576" t="s">
        <v>442</v>
      </c>
      <c r="Q888" s="576" t="s">
        <v>62</v>
      </c>
      <c r="R888" s="597"/>
      <c r="S888" s="575" t="str">
        <f t="shared" si="45"/>
        <v>040-101-000000796</v>
      </c>
      <c r="T888" s="599" t="s">
        <v>5452</v>
      </c>
      <c r="U888" s="621" t="s">
        <v>5453</v>
      </c>
    </row>
    <row r="889" spans="1:21" ht="24" customHeight="1" x14ac:dyDescent="0.2">
      <c r="A889" s="624">
        <v>884</v>
      </c>
      <c r="B889" s="208">
        <v>45897</v>
      </c>
      <c r="C889" s="575" t="s">
        <v>161</v>
      </c>
      <c r="D889" s="575" t="s">
        <v>5455</v>
      </c>
      <c r="E889" s="576">
        <v>112030019</v>
      </c>
      <c r="F889" s="623" t="str">
        <f t="shared" si="44"/>
        <v>ML 8220 BIS FBK- MICROONDAS</v>
      </c>
      <c r="G889" s="575" t="s">
        <v>5456</v>
      </c>
      <c r="H889" s="576" t="s">
        <v>41</v>
      </c>
      <c r="I889" s="576" t="s">
        <v>62</v>
      </c>
      <c r="J889" s="576" t="s">
        <v>63</v>
      </c>
      <c r="K889" s="593">
        <v>45971</v>
      </c>
      <c r="L889" s="594" t="s">
        <v>5457</v>
      </c>
      <c r="M889" s="594" t="s">
        <v>5458</v>
      </c>
      <c r="N889" s="575">
        <v>9887111791</v>
      </c>
      <c r="O889" s="596">
        <v>15</v>
      </c>
      <c r="P889" s="576" t="s">
        <v>442</v>
      </c>
      <c r="Q889" s="576" t="s">
        <v>62</v>
      </c>
      <c r="R889" s="597"/>
      <c r="S889" s="575" t="str">
        <f t="shared" si="45"/>
        <v>040-103-000015738</v>
      </c>
      <c r="T889" s="599" t="s">
        <v>5459</v>
      </c>
      <c r="U889" s="621" t="s">
        <v>5460</v>
      </c>
    </row>
    <row r="890" spans="1:21" ht="24" customHeight="1" x14ac:dyDescent="0.2">
      <c r="A890" s="624">
        <v>885</v>
      </c>
      <c r="B890" s="208">
        <v>45897</v>
      </c>
      <c r="C890" s="575" t="s">
        <v>161</v>
      </c>
      <c r="D890" s="575" t="s">
        <v>5455</v>
      </c>
      <c r="E890" s="576">
        <v>111000051</v>
      </c>
      <c r="F890" s="623" t="str">
        <f t="shared" si="44"/>
        <v>HLB 8416 "AIR FRY" - HORNO ELEC</v>
      </c>
      <c r="G890" s="575" t="s">
        <v>5461</v>
      </c>
      <c r="H890" s="576" t="s">
        <v>41</v>
      </c>
      <c r="I890" s="576" t="s">
        <v>62</v>
      </c>
      <c r="J890" s="576" t="s">
        <v>63</v>
      </c>
      <c r="K890" s="593">
        <v>45971</v>
      </c>
      <c r="L890" s="594" t="s">
        <v>5457</v>
      </c>
      <c r="M890" s="594" t="s">
        <v>5458</v>
      </c>
      <c r="N890" s="575">
        <v>9887111791</v>
      </c>
      <c r="O890" s="596">
        <v>15</v>
      </c>
      <c r="P890" s="576" t="s">
        <v>442</v>
      </c>
      <c r="Q890" s="576" t="s">
        <v>62</v>
      </c>
      <c r="R890" s="597"/>
      <c r="S890" s="575" t="str">
        <f t="shared" si="45"/>
        <v>040-103-000015738</v>
      </c>
      <c r="T890" s="599" t="s">
        <v>5459</v>
      </c>
      <c r="U890" s="621" t="s">
        <v>5460</v>
      </c>
    </row>
    <row r="891" spans="1:21" ht="24" customHeight="1" x14ac:dyDescent="0.2">
      <c r="A891" s="624">
        <v>886</v>
      </c>
      <c r="B891" s="208">
        <v>45897</v>
      </c>
      <c r="C891" s="575" t="s">
        <v>161</v>
      </c>
      <c r="D891" s="575" t="s">
        <v>5455</v>
      </c>
      <c r="E891" s="576">
        <v>112930047</v>
      </c>
      <c r="F891" s="623" t="str">
        <f t="shared" si="44"/>
        <v>DVT 98660 TRL BK</v>
      </c>
      <c r="G891" s="575" t="s">
        <v>5462</v>
      </c>
      <c r="H891" s="576" t="s">
        <v>41</v>
      </c>
      <c r="I891" s="576" t="s">
        <v>62</v>
      </c>
      <c r="J891" s="576" t="s">
        <v>63</v>
      </c>
      <c r="K891" s="593">
        <v>45971</v>
      </c>
      <c r="L891" s="594" t="s">
        <v>5457</v>
      </c>
      <c r="M891" s="594" t="s">
        <v>5458</v>
      </c>
      <c r="N891" s="575">
        <v>9887111791</v>
      </c>
      <c r="O891" s="596">
        <v>15</v>
      </c>
      <c r="P891" s="576" t="s">
        <v>442</v>
      </c>
      <c r="Q891" s="576" t="s">
        <v>62</v>
      </c>
      <c r="R891" s="597"/>
      <c r="S891" s="575" t="str">
        <f t="shared" si="45"/>
        <v>040-103-000015738</v>
      </c>
      <c r="T891" s="599" t="s">
        <v>5459</v>
      </c>
      <c r="U891" s="621" t="s">
        <v>5460</v>
      </c>
    </row>
    <row r="892" spans="1:21" ht="24" customHeight="1" x14ac:dyDescent="0.2">
      <c r="A892" s="624">
        <v>887</v>
      </c>
      <c r="B892" s="208">
        <v>45897</v>
      </c>
      <c r="C892" s="575" t="s">
        <v>161</v>
      </c>
      <c r="D892" s="575" t="s">
        <v>5455</v>
      </c>
      <c r="E892" s="576">
        <v>112570073</v>
      </c>
      <c r="F892" s="623" t="str">
        <f t="shared" si="44"/>
        <v>GZC 96310 XBB CRISTAL COCINA GAS</v>
      </c>
      <c r="G892" s="575" t="s">
        <v>5463</v>
      </c>
      <c r="H892" s="576" t="s">
        <v>41</v>
      </c>
      <c r="I892" s="576" t="s">
        <v>62</v>
      </c>
      <c r="J892" s="576" t="s">
        <v>63</v>
      </c>
      <c r="K892" s="593">
        <v>45971</v>
      </c>
      <c r="L892" s="594" t="s">
        <v>5457</v>
      </c>
      <c r="M892" s="594" t="s">
        <v>5458</v>
      </c>
      <c r="N892" s="575">
        <v>9887111791</v>
      </c>
      <c r="O892" s="596">
        <v>15</v>
      </c>
      <c r="P892" s="576" t="s">
        <v>442</v>
      </c>
      <c r="Q892" s="576" t="s">
        <v>62</v>
      </c>
      <c r="R892" s="597"/>
      <c r="S892" s="575" t="str">
        <f t="shared" si="45"/>
        <v>040-103-000015738</v>
      </c>
      <c r="T892" s="599" t="s">
        <v>5459</v>
      </c>
      <c r="U892" s="621" t="s">
        <v>5460</v>
      </c>
    </row>
    <row r="893" spans="1:21" ht="24" customHeight="1" x14ac:dyDescent="0.2">
      <c r="A893" s="624">
        <v>888</v>
      </c>
      <c r="B893" s="208">
        <v>45929</v>
      </c>
      <c r="C893" s="575" t="s">
        <v>125</v>
      </c>
      <c r="D893" s="575" t="s">
        <v>5464</v>
      </c>
      <c r="E893" s="576">
        <v>40446712</v>
      </c>
      <c r="F893" s="623" t="str">
        <f t="shared" si="44"/>
        <v>GFH 73 INOX CAMPANA (110V-60HZ) C/KIT</v>
      </c>
      <c r="G893" s="575" t="s">
        <v>5465</v>
      </c>
      <c r="H893" s="576" t="s">
        <v>41</v>
      </c>
      <c r="I893" s="576" t="s">
        <v>62</v>
      </c>
      <c r="J893" s="576" t="s">
        <v>63</v>
      </c>
      <c r="K893" s="593">
        <v>45971</v>
      </c>
      <c r="L893" s="594" t="s">
        <v>3684</v>
      </c>
      <c r="M893" s="594" t="s">
        <v>5466</v>
      </c>
      <c r="N893" s="575">
        <v>992206605</v>
      </c>
      <c r="O893" s="596">
        <v>15</v>
      </c>
      <c r="P893" s="576" t="s">
        <v>442</v>
      </c>
      <c r="Q893" s="576" t="s">
        <v>62</v>
      </c>
      <c r="R893" s="597"/>
      <c r="S893" s="575" t="str">
        <f t="shared" si="45"/>
        <v>043-901-000031950</v>
      </c>
      <c r="T893" s="599" t="s">
        <v>5467</v>
      </c>
      <c r="U893" s="621" t="s">
        <v>5468</v>
      </c>
    </row>
    <row r="894" spans="1:21" ht="24" customHeight="1" x14ac:dyDescent="0.2">
      <c r="A894" s="624">
        <v>889</v>
      </c>
      <c r="B894" s="208">
        <v>45929</v>
      </c>
      <c r="C894" s="575" t="s">
        <v>125</v>
      </c>
      <c r="D894" s="575" t="s">
        <v>5464</v>
      </c>
      <c r="E894" s="576">
        <v>112610069</v>
      </c>
      <c r="F894" s="623" t="str">
        <f t="shared" si="44"/>
        <v>GSC 75330 XBA IX (LAT) COCINA INOX</v>
      </c>
      <c r="G894" s="575" t="s">
        <v>5469</v>
      </c>
      <c r="H894" s="576" t="s">
        <v>41</v>
      </c>
      <c r="I894" s="576" t="s">
        <v>62</v>
      </c>
      <c r="J894" s="576" t="s">
        <v>63</v>
      </c>
      <c r="K894" s="593">
        <v>45971</v>
      </c>
      <c r="L894" s="594" t="s">
        <v>3684</v>
      </c>
      <c r="M894" s="594" t="s">
        <v>5466</v>
      </c>
      <c r="N894" s="575">
        <v>992206605</v>
      </c>
      <c r="O894" s="596">
        <v>15</v>
      </c>
      <c r="P894" s="576" t="s">
        <v>442</v>
      </c>
      <c r="Q894" s="576" t="s">
        <v>62</v>
      </c>
      <c r="R894" s="597"/>
      <c r="S894" s="575" t="str">
        <f t="shared" si="45"/>
        <v>043-901-000031950</v>
      </c>
      <c r="T894" s="599" t="s">
        <v>5467</v>
      </c>
      <c r="U894" s="621" t="s">
        <v>5468</v>
      </c>
    </row>
    <row r="895" spans="1:21" ht="24" customHeight="1" x14ac:dyDescent="0.2">
      <c r="A895" s="624">
        <v>890</v>
      </c>
      <c r="B895" s="208">
        <v>45929</v>
      </c>
      <c r="C895" s="575" t="s">
        <v>125</v>
      </c>
      <c r="D895" s="575" t="s">
        <v>5464</v>
      </c>
      <c r="E895" s="576">
        <v>111000051</v>
      </c>
      <c r="F895" s="623" t="str">
        <f t="shared" si="44"/>
        <v>HLB 8416 "AIR FRY" - HORNO ELEC</v>
      </c>
      <c r="G895" s="575" t="s">
        <v>5470</v>
      </c>
      <c r="H895" s="576" t="s">
        <v>41</v>
      </c>
      <c r="I895" s="576" t="s">
        <v>62</v>
      </c>
      <c r="J895" s="576" t="s">
        <v>63</v>
      </c>
      <c r="K895" s="593">
        <v>45971</v>
      </c>
      <c r="L895" s="594" t="s">
        <v>3684</v>
      </c>
      <c r="M895" s="594" t="s">
        <v>5466</v>
      </c>
      <c r="N895" s="575">
        <v>992206605</v>
      </c>
      <c r="O895" s="596">
        <v>15</v>
      </c>
      <c r="P895" s="576" t="s">
        <v>442</v>
      </c>
      <c r="Q895" s="576" t="s">
        <v>62</v>
      </c>
      <c r="R895" s="597"/>
      <c r="S895" s="575" t="str">
        <f t="shared" si="45"/>
        <v>043-901-000031950</v>
      </c>
      <c r="T895" s="599" t="s">
        <v>5467</v>
      </c>
      <c r="U895" s="621" t="s">
        <v>5468</v>
      </c>
    </row>
    <row r="896" spans="1:21" ht="24" customHeight="1" x14ac:dyDescent="0.2">
      <c r="A896" s="624">
        <v>891</v>
      </c>
      <c r="B896" s="208">
        <v>45872</v>
      </c>
      <c r="C896" s="575" t="s">
        <v>125</v>
      </c>
      <c r="D896" s="575" t="s">
        <v>5471</v>
      </c>
      <c r="E896" s="576">
        <v>112610067</v>
      </c>
      <c r="F896" s="623" t="str">
        <f t="shared" si="44"/>
        <v>GSC 96320 XBA IX (LAT) COCINA INOX</v>
      </c>
      <c r="G896" s="575" t="s">
        <v>5472</v>
      </c>
      <c r="H896" s="576" t="s">
        <v>41</v>
      </c>
      <c r="I896" s="576" t="s">
        <v>62</v>
      </c>
      <c r="J896" s="576" t="s">
        <v>63</v>
      </c>
      <c r="K896" s="593">
        <v>45971</v>
      </c>
      <c r="L896" s="594" t="s">
        <v>5473</v>
      </c>
      <c r="M896" s="594" t="s">
        <v>5474</v>
      </c>
      <c r="N896" s="575">
        <v>995190646</v>
      </c>
      <c r="O896" s="596">
        <v>15</v>
      </c>
      <c r="P896" s="576" t="s">
        <v>442</v>
      </c>
      <c r="Q896" s="576" t="s">
        <v>62</v>
      </c>
      <c r="R896" s="597"/>
      <c r="S896" s="575" t="str">
        <f t="shared" si="45"/>
        <v>043-901-000081922</v>
      </c>
      <c r="T896" s="599" t="s">
        <v>5475</v>
      </c>
      <c r="U896" s="621" t="s">
        <v>5476</v>
      </c>
    </row>
    <row r="897" spans="1:21" ht="24" customHeight="1" x14ac:dyDescent="0.2">
      <c r="A897" s="624">
        <v>892</v>
      </c>
      <c r="B897" s="208">
        <v>45872</v>
      </c>
      <c r="C897" s="575" t="s">
        <v>125</v>
      </c>
      <c r="D897" s="575" t="s">
        <v>5471</v>
      </c>
      <c r="E897" s="576">
        <v>111010028</v>
      </c>
      <c r="F897" s="623" t="str">
        <f t="shared" si="44"/>
        <v>HSB 646 "AIRFRY" - HORNO ELEC</v>
      </c>
      <c r="G897" s="575" t="s">
        <v>5477</v>
      </c>
      <c r="H897" s="576" t="s">
        <v>41</v>
      </c>
      <c r="I897" s="576" t="s">
        <v>62</v>
      </c>
      <c r="J897" s="576" t="s">
        <v>63</v>
      </c>
      <c r="K897" s="593">
        <v>45971</v>
      </c>
      <c r="L897" s="594" t="s">
        <v>5473</v>
      </c>
      <c r="M897" s="594" t="s">
        <v>5474</v>
      </c>
      <c r="N897" s="575">
        <v>995190646</v>
      </c>
      <c r="O897" s="596">
        <v>15</v>
      </c>
      <c r="P897" s="576" t="s">
        <v>442</v>
      </c>
      <c r="Q897" s="576" t="s">
        <v>62</v>
      </c>
      <c r="R897" s="597"/>
      <c r="S897" s="575" t="str">
        <f t="shared" si="45"/>
        <v>043-901-000081922</v>
      </c>
      <c r="T897" s="599" t="s">
        <v>5475</v>
      </c>
      <c r="U897" s="621" t="s">
        <v>5476</v>
      </c>
    </row>
    <row r="898" spans="1:21" ht="24" customHeight="1" x14ac:dyDescent="0.2">
      <c r="A898" s="624">
        <v>893</v>
      </c>
      <c r="B898" s="208">
        <v>45975</v>
      </c>
      <c r="C898" s="575" t="s">
        <v>125</v>
      </c>
      <c r="D898" s="575" t="s">
        <v>5478</v>
      </c>
      <c r="E898" s="576">
        <v>113120010</v>
      </c>
      <c r="F898" s="623" t="str">
        <f t="shared" si="44"/>
        <v>GFI 97350 ECS IX 110/60 CAMPANA</v>
      </c>
      <c r="G898" s="575" t="s">
        <v>5479</v>
      </c>
      <c r="H898" s="576" t="s">
        <v>41</v>
      </c>
      <c r="I898" s="576" t="s">
        <v>62</v>
      </c>
      <c r="J898" s="576" t="s">
        <v>63</v>
      </c>
      <c r="K898" s="593">
        <v>45971</v>
      </c>
      <c r="L898" s="594" t="s">
        <v>5473</v>
      </c>
      <c r="M898" s="594" t="s">
        <v>5474</v>
      </c>
      <c r="N898" s="575">
        <v>995190646</v>
      </c>
      <c r="O898" s="596">
        <v>15</v>
      </c>
      <c r="P898" s="576" t="s">
        <v>442</v>
      </c>
      <c r="Q898" s="576" t="s">
        <v>62</v>
      </c>
      <c r="R898" s="597"/>
      <c r="S898" s="575" t="str">
        <f t="shared" si="45"/>
        <v>043-903-000105706</v>
      </c>
      <c r="T898" s="599" t="s">
        <v>5475</v>
      </c>
      <c r="U898" s="621" t="s">
        <v>5476</v>
      </c>
    </row>
    <row r="899" spans="1:21" ht="24" customHeight="1" x14ac:dyDescent="0.2">
      <c r="A899" s="624">
        <v>894</v>
      </c>
      <c r="B899" s="208">
        <v>45943</v>
      </c>
      <c r="C899" s="575" t="s">
        <v>125</v>
      </c>
      <c r="D899" s="575" t="s">
        <v>5480</v>
      </c>
      <c r="E899" s="576">
        <v>112580017</v>
      </c>
      <c r="F899" s="623" t="str">
        <f t="shared" si="44"/>
        <v>GBC 64000 KBB CRISTAL COCINA GAS</v>
      </c>
      <c r="G899" s="575" t="s">
        <v>5481</v>
      </c>
      <c r="H899" s="576" t="s">
        <v>41</v>
      </c>
      <c r="I899" s="576" t="s">
        <v>62</v>
      </c>
      <c r="J899" s="576" t="s">
        <v>63</v>
      </c>
      <c r="K899" s="593">
        <v>45972</v>
      </c>
      <c r="L899" s="594" t="s">
        <v>3897</v>
      </c>
      <c r="M899" s="594" t="s">
        <v>5482</v>
      </c>
      <c r="N899" s="575">
        <v>999685842</v>
      </c>
      <c r="O899" s="596">
        <v>15</v>
      </c>
      <c r="P899" s="576" t="s">
        <v>442</v>
      </c>
      <c r="Q899" s="576" t="s">
        <v>62</v>
      </c>
      <c r="R899" s="597"/>
      <c r="S899" s="575" t="str">
        <f t="shared" si="45"/>
        <v>027-911-000948322</v>
      </c>
      <c r="T899" s="599" t="s">
        <v>5483</v>
      </c>
      <c r="U899" s="621" t="s">
        <v>5484</v>
      </c>
    </row>
    <row r="900" spans="1:21" ht="24" customHeight="1" x14ac:dyDescent="0.2">
      <c r="A900" s="624">
        <v>895</v>
      </c>
      <c r="B900" s="208">
        <v>45943</v>
      </c>
      <c r="C900" s="575" t="s">
        <v>125</v>
      </c>
      <c r="D900" s="575" t="s">
        <v>5480</v>
      </c>
      <c r="E900" s="576">
        <v>111040006</v>
      </c>
      <c r="F900" s="623" t="str">
        <f t="shared" si="44"/>
        <v>HSB 750 G SS HORNO A GAS</v>
      </c>
      <c r="G900" s="575" t="s">
        <v>5485</v>
      </c>
      <c r="H900" s="576" t="s">
        <v>41</v>
      </c>
      <c r="I900" s="576" t="s">
        <v>62</v>
      </c>
      <c r="J900" s="576" t="s">
        <v>63</v>
      </c>
      <c r="K900" s="593">
        <v>45972</v>
      </c>
      <c r="L900" s="594" t="s">
        <v>3897</v>
      </c>
      <c r="M900" s="594" t="s">
        <v>5482</v>
      </c>
      <c r="N900" s="575">
        <v>999685842</v>
      </c>
      <c r="O900" s="596">
        <v>15</v>
      </c>
      <c r="P900" s="576" t="s">
        <v>442</v>
      </c>
      <c r="Q900" s="576" t="s">
        <v>62</v>
      </c>
      <c r="R900" s="597"/>
      <c r="S900" s="575" t="str">
        <f t="shared" si="45"/>
        <v>027-911-000948322</v>
      </c>
      <c r="T900" s="599" t="s">
        <v>5483</v>
      </c>
      <c r="U900" s="621" t="s">
        <v>5484</v>
      </c>
    </row>
    <row r="901" spans="1:21" ht="24" customHeight="1" x14ac:dyDescent="0.2">
      <c r="A901" s="624">
        <v>896</v>
      </c>
      <c r="B901" s="208">
        <v>45943</v>
      </c>
      <c r="C901" s="575" t="s">
        <v>125</v>
      </c>
      <c r="D901" s="575" t="s">
        <v>5480</v>
      </c>
      <c r="E901" s="576">
        <v>111910000</v>
      </c>
      <c r="F901" s="623" t="str">
        <f t="shared" si="44"/>
        <v>MLH 845 SS - MICROONDAS</v>
      </c>
      <c r="G901" s="595" t="s">
        <v>5486</v>
      </c>
      <c r="H901" s="576" t="s">
        <v>41</v>
      </c>
      <c r="I901" s="576" t="s">
        <v>62</v>
      </c>
      <c r="J901" s="576" t="s">
        <v>63</v>
      </c>
      <c r="K901" s="593">
        <v>45972</v>
      </c>
      <c r="L901" s="594" t="s">
        <v>3897</v>
      </c>
      <c r="M901" s="594" t="s">
        <v>5482</v>
      </c>
      <c r="N901" s="575">
        <v>999685842</v>
      </c>
      <c r="O901" s="596">
        <v>15</v>
      </c>
      <c r="P901" s="576" t="s">
        <v>442</v>
      </c>
      <c r="Q901" s="576" t="s">
        <v>62</v>
      </c>
      <c r="R901" s="597"/>
      <c r="S901" s="575" t="str">
        <f t="shared" si="45"/>
        <v>027-911-000948322</v>
      </c>
      <c r="T901" s="599" t="s">
        <v>5483</v>
      </c>
      <c r="U901" s="621" t="s">
        <v>5484</v>
      </c>
    </row>
    <row r="902" spans="1:21" ht="24" customHeight="1" x14ac:dyDescent="0.2">
      <c r="A902" s="624">
        <v>897</v>
      </c>
      <c r="B902" s="208">
        <v>45815</v>
      </c>
      <c r="C902" s="575" t="s">
        <v>100</v>
      </c>
      <c r="D902" s="575" t="s">
        <v>5487</v>
      </c>
      <c r="E902" s="576">
        <v>112570211</v>
      </c>
      <c r="F902" s="623" t="str">
        <f t="shared" si="44"/>
        <v>GBC 75-G1 GBA BM COCINA GAS</v>
      </c>
      <c r="G902" s="575" t="s">
        <v>5488</v>
      </c>
      <c r="H902" s="576" t="s">
        <v>41</v>
      </c>
      <c r="I902" s="576" t="s">
        <v>62</v>
      </c>
      <c r="J902" s="576" t="s">
        <v>63</v>
      </c>
      <c r="K902" s="593">
        <v>45972</v>
      </c>
      <c r="L902" s="594" t="s">
        <v>5489</v>
      </c>
      <c r="M902" s="594" t="s">
        <v>4431</v>
      </c>
      <c r="N902" s="575">
        <v>984412139</v>
      </c>
      <c r="O902" s="596">
        <v>15</v>
      </c>
      <c r="P902" s="576" t="s">
        <v>442</v>
      </c>
      <c r="Q902" s="576" t="s">
        <v>62</v>
      </c>
      <c r="R902" s="597"/>
      <c r="S902" s="575" t="str">
        <f t="shared" si="45"/>
        <v>001-500-000074082</v>
      </c>
      <c r="T902" s="599" t="s">
        <v>5490</v>
      </c>
      <c r="U902" s="621" t="s">
        <v>5491</v>
      </c>
    </row>
    <row r="903" spans="1:21" ht="24" customHeight="1" x14ac:dyDescent="0.2">
      <c r="A903" s="624">
        <v>898</v>
      </c>
      <c r="B903" s="208">
        <v>45941</v>
      </c>
      <c r="C903" s="575" t="s">
        <v>100</v>
      </c>
      <c r="D903" s="575" t="s">
        <v>5492</v>
      </c>
      <c r="E903" s="576">
        <v>40466241</v>
      </c>
      <c r="F903" s="623" t="str">
        <f t="shared" ref="F903:F907" si="46">VLOOKUP(E903,PROD,2,FALSE)</f>
        <v>C 9310 INOX CAMPANA (110V-60HZ) C/KIT</v>
      </c>
      <c r="G903" s="575" t="s">
        <v>5493</v>
      </c>
      <c r="H903" s="576" t="s">
        <v>41</v>
      </c>
      <c r="I903" s="576" t="s">
        <v>62</v>
      </c>
      <c r="J903" s="576" t="s">
        <v>63</v>
      </c>
      <c r="K903" s="593">
        <v>45972</v>
      </c>
      <c r="L903" s="594" t="s">
        <v>5489</v>
      </c>
      <c r="M903" s="594" t="s">
        <v>4431</v>
      </c>
      <c r="N903" s="575">
        <v>984412139</v>
      </c>
      <c r="O903" s="596">
        <v>15</v>
      </c>
      <c r="P903" s="576" t="s">
        <v>442</v>
      </c>
      <c r="Q903" s="576" t="s">
        <v>62</v>
      </c>
      <c r="R903" s="597"/>
      <c r="S903" s="575" t="str">
        <f t="shared" si="45"/>
        <v>001-500-000077768</v>
      </c>
      <c r="T903" s="599" t="s">
        <v>5490</v>
      </c>
      <c r="U903" s="621" t="s">
        <v>5491</v>
      </c>
    </row>
    <row r="904" spans="1:21" ht="24" customHeight="1" x14ac:dyDescent="0.2">
      <c r="A904" s="624">
        <v>899</v>
      </c>
      <c r="B904" s="208">
        <v>45815</v>
      </c>
      <c r="C904" s="575" t="s">
        <v>100</v>
      </c>
      <c r="D904" s="575" t="s">
        <v>5487</v>
      </c>
      <c r="E904" s="576">
        <v>111030002</v>
      </c>
      <c r="F904" s="623" t="str">
        <f t="shared" si="46"/>
        <v>HLB 760 G SS HORNO A GAS</v>
      </c>
      <c r="G904" s="575" t="s">
        <v>5494</v>
      </c>
      <c r="H904" s="576" t="s">
        <v>41</v>
      </c>
      <c r="I904" s="576" t="s">
        <v>62</v>
      </c>
      <c r="J904" s="576" t="s">
        <v>63</v>
      </c>
      <c r="K904" s="593">
        <v>45972</v>
      </c>
      <c r="L904" s="594" t="s">
        <v>5489</v>
      </c>
      <c r="M904" s="594" t="s">
        <v>4431</v>
      </c>
      <c r="N904" s="575">
        <v>984412139</v>
      </c>
      <c r="O904" s="596">
        <v>15</v>
      </c>
      <c r="P904" s="576" t="s">
        <v>442</v>
      </c>
      <c r="Q904" s="576" t="s">
        <v>62</v>
      </c>
      <c r="R904" s="597"/>
      <c r="S904" s="575" t="str">
        <f t="shared" si="45"/>
        <v>001-500-000074082</v>
      </c>
      <c r="T904" s="599" t="s">
        <v>5490</v>
      </c>
      <c r="U904" s="621" t="s">
        <v>5491</v>
      </c>
    </row>
    <row r="905" spans="1:21" ht="24" customHeight="1" x14ac:dyDescent="0.2">
      <c r="A905" s="624">
        <v>900</v>
      </c>
      <c r="B905" s="208">
        <v>45964</v>
      </c>
      <c r="C905" s="575" t="s">
        <v>100</v>
      </c>
      <c r="D905" s="575" t="s">
        <v>5495</v>
      </c>
      <c r="E905" s="576">
        <v>111000051</v>
      </c>
      <c r="F905" s="623" t="str">
        <f t="shared" si="46"/>
        <v>HLB 8416 "AIR FRY" - HORNO ELEC</v>
      </c>
      <c r="G905" s="575" t="s">
        <v>5496</v>
      </c>
      <c r="H905" s="576" t="s">
        <v>41</v>
      </c>
      <c r="I905" s="576" t="s">
        <v>62</v>
      </c>
      <c r="J905" s="576" t="s">
        <v>63</v>
      </c>
      <c r="K905" s="593">
        <v>45972</v>
      </c>
      <c r="L905" s="594" t="s">
        <v>5497</v>
      </c>
      <c r="M905" s="594" t="s">
        <v>5498</v>
      </c>
      <c r="N905" s="575">
        <v>987408848</v>
      </c>
      <c r="O905" s="596">
        <v>20</v>
      </c>
      <c r="P905" s="576" t="s">
        <v>442</v>
      </c>
      <c r="Q905" s="576" t="s">
        <v>62</v>
      </c>
      <c r="R905" s="597"/>
      <c r="S905" s="575" t="str">
        <f t="shared" si="45"/>
        <v>001-500-000078440</v>
      </c>
      <c r="T905" s="599" t="s">
        <v>5499</v>
      </c>
      <c r="U905" s="621" t="s">
        <v>5500</v>
      </c>
    </row>
    <row r="906" spans="1:21" ht="24" customHeight="1" x14ac:dyDescent="0.2">
      <c r="A906" s="624">
        <v>901</v>
      </c>
      <c r="B906" s="208">
        <v>45864</v>
      </c>
      <c r="C906" s="575" t="s">
        <v>125</v>
      </c>
      <c r="D906" s="575" t="s">
        <v>5501</v>
      </c>
      <c r="E906" s="576">
        <v>112580027</v>
      </c>
      <c r="F906" s="623" t="str">
        <f t="shared" si="46"/>
        <v>GBC 75030 KBB CRISTAL COCINA GAS</v>
      </c>
      <c r="G906" s="575" t="s">
        <v>5502</v>
      </c>
      <c r="H906" s="576" t="s">
        <v>41</v>
      </c>
      <c r="I906" s="576" t="s">
        <v>62</v>
      </c>
      <c r="J906" s="576" t="s">
        <v>63</v>
      </c>
      <c r="K906" s="593">
        <v>45972</v>
      </c>
      <c r="L906" s="594" t="s">
        <v>5497</v>
      </c>
      <c r="M906" s="594" t="s">
        <v>5498</v>
      </c>
      <c r="N906" s="575">
        <v>987408848</v>
      </c>
      <c r="O906" s="596">
        <v>20</v>
      </c>
      <c r="P906" s="576" t="s">
        <v>442</v>
      </c>
      <c r="Q906" s="576" t="s">
        <v>62</v>
      </c>
      <c r="R906" s="597"/>
      <c r="S906" s="575" t="str">
        <f t="shared" si="45"/>
        <v>016-902-000520042</v>
      </c>
      <c r="T906" s="599" t="s">
        <v>5499</v>
      </c>
      <c r="U906" s="621" t="s">
        <v>5500</v>
      </c>
    </row>
    <row r="907" spans="1:21" ht="24" customHeight="1" x14ac:dyDescent="0.2">
      <c r="A907" s="624">
        <v>902</v>
      </c>
      <c r="B907" s="208">
        <v>45964</v>
      </c>
      <c r="C907" s="575" t="s">
        <v>187</v>
      </c>
      <c r="D907" s="575" t="s">
        <v>5503</v>
      </c>
      <c r="E907" s="576">
        <v>112500046</v>
      </c>
      <c r="F907" s="623" t="str">
        <f t="shared" si="46"/>
        <v>IZF 88700 MST COCINA INDUCCION</v>
      </c>
      <c r="G907" s="575" t="s">
        <v>5504</v>
      </c>
      <c r="H907" s="576" t="s">
        <v>41</v>
      </c>
      <c r="I907" s="576" t="s">
        <v>62</v>
      </c>
      <c r="J907" s="576" t="s">
        <v>63</v>
      </c>
      <c r="K907" s="593">
        <v>45973</v>
      </c>
      <c r="L907" s="594" t="s">
        <v>5505</v>
      </c>
      <c r="M907" s="594" t="s">
        <v>4022</v>
      </c>
      <c r="N907" s="575">
        <v>987668294</v>
      </c>
      <c r="O907" s="596">
        <v>15</v>
      </c>
      <c r="P907" s="576" t="s">
        <v>442</v>
      </c>
      <c r="Q907" s="576" t="s">
        <v>62</v>
      </c>
      <c r="R907" s="597"/>
      <c r="S907" s="575" t="str">
        <f t="shared" si="45"/>
        <v>040-104-000014429</v>
      </c>
      <c r="T907" s="599" t="s">
        <v>5506</v>
      </c>
      <c r="U907" s="621" t="s">
        <v>5507</v>
      </c>
    </row>
    <row r="908" spans="1:21" ht="24" customHeight="1" x14ac:dyDescent="0.2">
      <c r="A908" s="624">
        <v>903</v>
      </c>
      <c r="B908" s="208">
        <v>45964</v>
      </c>
      <c r="C908" s="575" t="s">
        <v>187</v>
      </c>
      <c r="D908" s="575" t="s">
        <v>5503</v>
      </c>
      <c r="E908" s="576">
        <v>112930047</v>
      </c>
      <c r="F908" s="623" t="str">
        <f t="shared" ref="F908:F917" si="47">VLOOKUP(E908,PROD,2,FALSE)</f>
        <v>DVT 98660 TRL BK</v>
      </c>
      <c r="G908" s="575" t="s">
        <v>5508</v>
      </c>
      <c r="H908" s="576" t="s">
        <v>41</v>
      </c>
      <c r="I908" s="576" t="s">
        <v>62</v>
      </c>
      <c r="J908" s="576" t="s">
        <v>63</v>
      </c>
      <c r="K908" s="593">
        <v>45973</v>
      </c>
      <c r="L908" s="594" t="s">
        <v>5505</v>
      </c>
      <c r="M908" s="594" t="s">
        <v>4022</v>
      </c>
      <c r="N908" s="575">
        <v>987668294</v>
      </c>
      <c r="O908" s="596">
        <v>15</v>
      </c>
      <c r="P908" s="576" t="s">
        <v>442</v>
      </c>
      <c r="Q908" s="576" t="s">
        <v>62</v>
      </c>
      <c r="R908" s="597"/>
      <c r="S908" s="575" t="str">
        <f t="shared" si="45"/>
        <v>040-104-000014429</v>
      </c>
      <c r="T908" s="599" t="s">
        <v>5506</v>
      </c>
      <c r="U908" s="621" t="s">
        <v>5507</v>
      </c>
    </row>
    <row r="909" spans="1:21" ht="24" customHeight="1" x14ac:dyDescent="0.2">
      <c r="A909" s="624">
        <v>904</v>
      </c>
      <c r="B909" s="208">
        <v>45964</v>
      </c>
      <c r="C909" s="575" t="s">
        <v>187</v>
      </c>
      <c r="D909" s="575" t="s">
        <v>5503</v>
      </c>
      <c r="E909" s="576">
        <v>111000050</v>
      </c>
      <c r="F909" s="623" t="str">
        <f t="shared" si="47"/>
        <v>HLB 8510 P "MAESTRO PIZZA"</v>
      </c>
      <c r="G909" s="575" t="s">
        <v>5509</v>
      </c>
      <c r="H909" s="576" t="s">
        <v>41</v>
      </c>
      <c r="I909" s="576" t="s">
        <v>62</v>
      </c>
      <c r="J909" s="576" t="s">
        <v>63</v>
      </c>
      <c r="K909" s="593">
        <v>45973</v>
      </c>
      <c r="L909" s="594" t="s">
        <v>5505</v>
      </c>
      <c r="M909" s="594" t="s">
        <v>4022</v>
      </c>
      <c r="N909" s="575">
        <v>987668294</v>
      </c>
      <c r="O909" s="596">
        <v>15</v>
      </c>
      <c r="P909" s="576" t="s">
        <v>442</v>
      </c>
      <c r="Q909" s="576" t="s">
        <v>62</v>
      </c>
      <c r="R909" s="597"/>
      <c r="S909" s="575" t="str">
        <f t="shared" si="45"/>
        <v>040-104-000014429</v>
      </c>
      <c r="T909" s="599" t="s">
        <v>5506</v>
      </c>
      <c r="U909" s="621" t="s">
        <v>5507</v>
      </c>
    </row>
    <row r="910" spans="1:21" ht="24" customHeight="1" x14ac:dyDescent="0.2">
      <c r="A910" s="624">
        <v>905</v>
      </c>
      <c r="B910" s="208">
        <v>45964</v>
      </c>
      <c r="C910" s="575" t="s">
        <v>125</v>
      </c>
      <c r="D910" s="575" t="s">
        <v>5510</v>
      </c>
      <c r="E910" s="576">
        <v>113120010</v>
      </c>
      <c r="F910" s="623" t="str">
        <f t="shared" si="47"/>
        <v>GFI 97350 ECS IX 110/60 CAMPANA</v>
      </c>
      <c r="G910" s="575" t="s">
        <v>5511</v>
      </c>
      <c r="H910" s="576" t="s">
        <v>41</v>
      </c>
      <c r="I910" s="576" t="s">
        <v>62</v>
      </c>
      <c r="J910" s="576" t="s">
        <v>63</v>
      </c>
      <c r="K910" s="593">
        <v>45973</v>
      </c>
      <c r="L910" s="594" t="s">
        <v>5512</v>
      </c>
      <c r="M910" s="594" t="s">
        <v>4089</v>
      </c>
      <c r="N910" s="575">
        <v>92174485</v>
      </c>
      <c r="O910" s="596">
        <v>15</v>
      </c>
      <c r="P910" s="576" t="s">
        <v>442</v>
      </c>
      <c r="Q910" s="576" t="s">
        <v>62</v>
      </c>
      <c r="R910" s="597"/>
      <c r="S910" s="575" t="str">
        <f t="shared" si="45"/>
        <v>043-901-00001974</v>
      </c>
      <c r="T910" s="599" t="s">
        <v>5513</v>
      </c>
      <c r="U910" s="621" t="s">
        <v>5514</v>
      </c>
    </row>
    <row r="911" spans="1:21" ht="24" customHeight="1" x14ac:dyDescent="0.2">
      <c r="A911" s="624">
        <v>906</v>
      </c>
      <c r="B911" s="208">
        <v>45964</v>
      </c>
      <c r="C911" s="575" t="s">
        <v>125</v>
      </c>
      <c r="D911" s="575" t="s">
        <v>5510</v>
      </c>
      <c r="E911" s="576">
        <v>111000051</v>
      </c>
      <c r="F911" s="623" t="str">
        <f t="shared" si="47"/>
        <v>HLB 8416 "AIR FRY" - HORNO ELEC</v>
      </c>
      <c r="G911" s="575" t="s">
        <v>5515</v>
      </c>
      <c r="H911" s="576" t="s">
        <v>41</v>
      </c>
      <c r="I911" s="576" t="s">
        <v>62</v>
      </c>
      <c r="J911" s="576" t="s">
        <v>63</v>
      </c>
      <c r="K911" s="593">
        <v>45973</v>
      </c>
      <c r="L911" s="594" t="s">
        <v>5512</v>
      </c>
      <c r="M911" s="594" t="s">
        <v>4089</v>
      </c>
      <c r="N911" s="575">
        <v>92174485</v>
      </c>
      <c r="O911" s="596">
        <v>15</v>
      </c>
      <c r="P911" s="576" t="s">
        <v>442</v>
      </c>
      <c r="Q911" s="576" t="s">
        <v>62</v>
      </c>
      <c r="R911" s="597"/>
      <c r="S911" s="575" t="str">
        <f t="shared" si="45"/>
        <v>043-901-00001974</v>
      </c>
      <c r="T911" s="599" t="s">
        <v>5513</v>
      </c>
      <c r="U911" s="621" t="s">
        <v>5514</v>
      </c>
    </row>
    <row r="912" spans="1:21" ht="24" customHeight="1" x14ac:dyDescent="0.2">
      <c r="A912" s="624">
        <v>907</v>
      </c>
      <c r="B912" s="208">
        <v>45964</v>
      </c>
      <c r="C912" s="575" t="s">
        <v>125</v>
      </c>
      <c r="D912" s="575" t="s">
        <v>5510</v>
      </c>
      <c r="E912" s="576">
        <v>112030019</v>
      </c>
      <c r="F912" s="623" t="str">
        <f t="shared" si="47"/>
        <v>ML 8220 BIS FBK- MICROONDAS</v>
      </c>
      <c r="G912" s="575" t="s">
        <v>5516</v>
      </c>
      <c r="H912" s="576" t="s">
        <v>41</v>
      </c>
      <c r="I912" s="576" t="s">
        <v>62</v>
      </c>
      <c r="J912" s="576" t="s">
        <v>63</v>
      </c>
      <c r="K912" s="593">
        <v>45973</v>
      </c>
      <c r="L912" s="594" t="s">
        <v>5512</v>
      </c>
      <c r="M912" s="594" t="s">
        <v>4089</v>
      </c>
      <c r="N912" s="575">
        <v>92174485</v>
      </c>
      <c r="O912" s="596">
        <v>15</v>
      </c>
      <c r="P912" s="576" t="s">
        <v>442</v>
      </c>
      <c r="Q912" s="576" t="s">
        <v>62</v>
      </c>
      <c r="R912" s="597"/>
      <c r="S912" s="575" t="str">
        <f t="shared" si="45"/>
        <v>043-901-00001974</v>
      </c>
      <c r="T912" s="599" t="s">
        <v>5513</v>
      </c>
      <c r="U912" s="621" t="s">
        <v>5514</v>
      </c>
    </row>
    <row r="913" spans="1:21" ht="24" customHeight="1" x14ac:dyDescent="0.2">
      <c r="A913" s="624">
        <v>908</v>
      </c>
      <c r="B913" s="208">
        <v>45962</v>
      </c>
      <c r="C913" s="575" t="s">
        <v>161</v>
      </c>
      <c r="D913" s="575" t="s">
        <v>5517</v>
      </c>
      <c r="E913" s="576">
        <v>40484203</v>
      </c>
      <c r="F913" s="623" t="str">
        <f t="shared" si="47"/>
        <v>DSH 785 INOX CAMPANA (110V-60HZ) C/KIT</v>
      </c>
      <c r="G913" s="575" t="s">
        <v>5518</v>
      </c>
      <c r="H913" s="576" t="s">
        <v>41</v>
      </c>
      <c r="I913" s="576" t="s">
        <v>62</v>
      </c>
      <c r="J913" s="576" t="s">
        <v>63</v>
      </c>
      <c r="K913" s="593">
        <v>45973</v>
      </c>
      <c r="L913" s="594" t="s">
        <v>5519</v>
      </c>
      <c r="M913" s="594" t="s">
        <v>5458</v>
      </c>
      <c r="N913" s="575">
        <v>93998609</v>
      </c>
      <c r="O913" s="596">
        <v>20</v>
      </c>
      <c r="P913" s="576" t="s">
        <v>442</v>
      </c>
      <c r="Q913" s="576" t="s">
        <v>62</v>
      </c>
      <c r="R913" s="597"/>
      <c r="S913" s="575" t="str">
        <f t="shared" si="45"/>
        <v>040-103-000017024</v>
      </c>
      <c r="T913" s="599" t="s">
        <v>5520</v>
      </c>
      <c r="U913" s="621" t="s">
        <v>5521</v>
      </c>
    </row>
    <row r="914" spans="1:21" ht="24" customHeight="1" x14ac:dyDescent="0.2">
      <c r="A914" s="624">
        <v>909</v>
      </c>
      <c r="B914" s="208">
        <v>45962</v>
      </c>
      <c r="C914" s="575" t="s">
        <v>161</v>
      </c>
      <c r="D914" s="575" t="s">
        <v>5517</v>
      </c>
      <c r="E914" s="576">
        <v>112510035</v>
      </c>
      <c r="F914" s="623" t="str">
        <f t="shared" si="47"/>
        <v>IZF 64440 MSP BK COCINA INDUCCION</v>
      </c>
      <c r="G914" s="575" t="s">
        <v>5522</v>
      </c>
      <c r="H914" s="576" t="s">
        <v>41</v>
      </c>
      <c r="I914" s="576" t="s">
        <v>62</v>
      </c>
      <c r="J914" s="576" t="s">
        <v>63</v>
      </c>
      <c r="K914" s="593">
        <v>45973</v>
      </c>
      <c r="L914" s="594" t="s">
        <v>5519</v>
      </c>
      <c r="M914" s="594" t="s">
        <v>5458</v>
      </c>
      <c r="N914" s="575">
        <v>93998609</v>
      </c>
      <c r="O914" s="596">
        <v>20</v>
      </c>
      <c r="P914" s="576" t="s">
        <v>442</v>
      </c>
      <c r="Q914" s="576" t="s">
        <v>62</v>
      </c>
      <c r="R914" s="597"/>
      <c r="S914" s="575" t="str">
        <f t="shared" si="45"/>
        <v>040-103-000017024</v>
      </c>
      <c r="T914" s="599" t="s">
        <v>5520</v>
      </c>
      <c r="U914" s="621" t="s">
        <v>5521</v>
      </c>
    </row>
    <row r="915" spans="1:21" ht="24" customHeight="1" x14ac:dyDescent="0.2">
      <c r="A915" s="624">
        <v>910</v>
      </c>
      <c r="B915" s="208">
        <v>45752</v>
      </c>
      <c r="C915" s="575" t="s">
        <v>100</v>
      </c>
      <c r="D915" s="575" t="s">
        <v>5159</v>
      </c>
      <c r="E915" s="576">
        <v>112570238</v>
      </c>
      <c r="F915" s="623" t="str">
        <f t="shared" si="47"/>
        <v>GBC 95-G1 GBA BM COCINA GAS</v>
      </c>
      <c r="G915" s="575" t="s">
        <v>5523</v>
      </c>
      <c r="H915" s="576" t="s">
        <v>41</v>
      </c>
      <c r="I915" s="576" t="s">
        <v>62</v>
      </c>
      <c r="J915" s="576" t="s">
        <v>63</v>
      </c>
      <c r="K915" s="593">
        <v>45974</v>
      </c>
      <c r="L915" s="594" t="s">
        <v>5524</v>
      </c>
      <c r="M915" s="594" t="s">
        <v>3619</v>
      </c>
      <c r="N915" s="575">
        <v>984995210</v>
      </c>
      <c r="O915" s="596">
        <v>15</v>
      </c>
      <c r="P915" s="576" t="s">
        <v>442</v>
      </c>
      <c r="Q915" s="576" t="s">
        <v>62</v>
      </c>
      <c r="R915" s="597"/>
      <c r="S915" s="575" t="str">
        <f t="shared" si="45"/>
        <v>001-500-000076630</v>
      </c>
      <c r="T915" s="599" t="s">
        <v>5525</v>
      </c>
      <c r="U915" s="621" t="s">
        <v>5526</v>
      </c>
    </row>
    <row r="916" spans="1:21" ht="24" customHeight="1" x14ac:dyDescent="0.2">
      <c r="A916" s="624">
        <v>911</v>
      </c>
      <c r="B916" s="208">
        <v>45752</v>
      </c>
      <c r="C916" s="575" t="s">
        <v>100</v>
      </c>
      <c r="D916" s="575" t="s">
        <v>5159</v>
      </c>
      <c r="E916" s="576">
        <v>40483182</v>
      </c>
      <c r="F916" s="623" t="str">
        <f t="shared" si="47"/>
        <v>CUERPO DPL ISLA 1180</v>
      </c>
      <c r="G916" s="575" t="s">
        <v>5527</v>
      </c>
      <c r="H916" s="576" t="s">
        <v>41</v>
      </c>
      <c r="I916" s="576" t="s">
        <v>62</v>
      </c>
      <c r="J916" s="576" t="s">
        <v>63</v>
      </c>
      <c r="K916" s="593">
        <v>45974</v>
      </c>
      <c r="L916" s="594" t="s">
        <v>5524</v>
      </c>
      <c r="M916" s="594" t="s">
        <v>3619</v>
      </c>
      <c r="N916" s="575">
        <v>984995210</v>
      </c>
      <c r="O916" s="596">
        <v>30</v>
      </c>
      <c r="P916" s="576" t="s">
        <v>442</v>
      </c>
      <c r="Q916" s="576" t="s">
        <v>62</v>
      </c>
      <c r="R916" s="597"/>
      <c r="S916" s="575" t="str">
        <f t="shared" si="45"/>
        <v>001-500-000076630</v>
      </c>
      <c r="T916" s="599" t="s">
        <v>5525</v>
      </c>
      <c r="U916" s="621" t="s">
        <v>5526</v>
      </c>
    </row>
    <row r="917" spans="1:21" ht="24" customHeight="1" x14ac:dyDescent="0.2">
      <c r="A917" s="624">
        <v>912</v>
      </c>
      <c r="B917" s="208">
        <v>45752</v>
      </c>
      <c r="C917" s="575" t="s">
        <v>100</v>
      </c>
      <c r="D917" s="575" t="s">
        <v>5159</v>
      </c>
      <c r="E917" s="576">
        <v>111030002</v>
      </c>
      <c r="F917" s="623" t="str">
        <f t="shared" si="47"/>
        <v>HLB 760 G SS HORNO A GAS</v>
      </c>
      <c r="G917" s="575" t="s">
        <v>5528</v>
      </c>
      <c r="H917" s="576" t="s">
        <v>41</v>
      </c>
      <c r="I917" s="576" t="s">
        <v>62</v>
      </c>
      <c r="J917" s="576" t="s">
        <v>63</v>
      </c>
      <c r="K917" s="593">
        <v>45974</v>
      </c>
      <c r="L917" s="594" t="s">
        <v>5524</v>
      </c>
      <c r="M917" s="594" t="s">
        <v>3619</v>
      </c>
      <c r="N917" s="575">
        <v>984995210</v>
      </c>
      <c r="O917" s="596">
        <v>15</v>
      </c>
      <c r="P917" s="576" t="s">
        <v>442</v>
      </c>
      <c r="Q917" s="576" t="s">
        <v>62</v>
      </c>
      <c r="R917" s="597"/>
      <c r="S917" s="575" t="str">
        <f t="shared" si="45"/>
        <v>001-500-000076630</v>
      </c>
      <c r="T917" s="599" t="s">
        <v>5525</v>
      </c>
      <c r="U917" s="621" t="s">
        <v>5526</v>
      </c>
    </row>
    <row r="918" spans="1:21" ht="24" customHeight="1" x14ac:dyDescent="0.2">
      <c r="A918" s="624">
        <v>913</v>
      </c>
      <c r="B918" s="208">
        <v>45752</v>
      </c>
      <c r="C918" s="575" t="s">
        <v>100</v>
      </c>
      <c r="D918" s="575" t="s">
        <v>5159</v>
      </c>
      <c r="E918" s="576">
        <v>113430051</v>
      </c>
      <c r="F918" s="623" t="str">
        <f t="shared" ref="F918:F924" si="48">VLOOKUP(E918,PROD,2,FALSE)</f>
        <v>RMF 77960 GBK MX REFRIGERADORA</v>
      </c>
      <c r="G918" s="575" t="s">
        <v>5529</v>
      </c>
      <c r="H918" s="576" t="s">
        <v>41</v>
      </c>
      <c r="I918" s="576" t="s">
        <v>62</v>
      </c>
      <c r="J918" s="576" t="s">
        <v>63</v>
      </c>
      <c r="K918" s="593">
        <v>45974</v>
      </c>
      <c r="L918" s="594" t="s">
        <v>5524</v>
      </c>
      <c r="M918" s="594" t="s">
        <v>3619</v>
      </c>
      <c r="N918" s="575">
        <v>984995210</v>
      </c>
      <c r="O918" s="596">
        <v>15</v>
      </c>
      <c r="P918" s="576" t="s">
        <v>442</v>
      </c>
      <c r="Q918" s="576" t="s">
        <v>62</v>
      </c>
      <c r="R918" s="597"/>
      <c r="S918" s="575" t="str">
        <f t="shared" si="45"/>
        <v>001-500-000076630</v>
      </c>
      <c r="T918" s="599" t="s">
        <v>5525</v>
      </c>
      <c r="U918" s="621" t="s">
        <v>5526</v>
      </c>
    </row>
    <row r="919" spans="1:21" ht="24" customHeight="1" x14ac:dyDescent="0.2">
      <c r="A919" s="624">
        <v>914</v>
      </c>
      <c r="B919" s="208">
        <v>45786</v>
      </c>
      <c r="C919" s="575" t="s">
        <v>100</v>
      </c>
      <c r="D919" s="575" t="s">
        <v>5530</v>
      </c>
      <c r="E919" s="576">
        <v>111000051</v>
      </c>
      <c r="F919" s="623" t="str">
        <f t="shared" si="48"/>
        <v>HLB 8416 "AIR FRY" - HORNO ELEC</v>
      </c>
      <c r="G919" s="575" t="s">
        <v>5531</v>
      </c>
      <c r="H919" s="576" t="s">
        <v>41</v>
      </c>
      <c r="I919" s="576" t="s">
        <v>62</v>
      </c>
      <c r="J919" s="576" t="s">
        <v>63</v>
      </c>
      <c r="K919" s="593">
        <v>45974</v>
      </c>
      <c r="L919" s="594" t="s">
        <v>5532</v>
      </c>
      <c r="M919" s="594" t="s">
        <v>5533</v>
      </c>
      <c r="N919" s="575">
        <v>984881377</v>
      </c>
      <c r="O919" s="596">
        <v>15</v>
      </c>
      <c r="P919" s="576" t="s">
        <v>442</v>
      </c>
      <c r="Q919" s="576" t="s">
        <v>62</v>
      </c>
      <c r="R919" s="597"/>
      <c r="S919" s="575" t="str">
        <f t="shared" si="45"/>
        <v>001-502-000000267</v>
      </c>
      <c r="T919" s="599" t="s">
        <v>5534</v>
      </c>
      <c r="U919" s="621" t="s">
        <v>5535</v>
      </c>
    </row>
    <row r="920" spans="1:21" ht="24" customHeight="1" x14ac:dyDescent="0.2">
      <c r="A920" s="624">
        <v>915</v>
      </c>
      <c r="B920" s="208">
        <v>45786</v>
      </c>
      <c r="C920" s="575" t="s">
        <v>100</v>
      </c>
      <c r="D920" s="575" t="s">
        <v>5530</v>
      </c>
      <c r="E920" s="576">
        <v>112580058</v>
      </c>
      <c r="F920" s="623" t="str">
        <f t="shared" si="48"/>
        <v>GBC 95030 KBB BK COCINA GAS</v>
      </c>
      <c r="G920" s="575" t="s">
        <v>5536</v>
      </c>
      <c r="H920" s="576" t="s">
        <v>41</v>
      </c>
      <c r="I920" s="576" t="s">
        <v>62</v>
      </c>
      <c r="J920" s="576" t="s">
        <v>63</v>
      </c>
      <c r="K920" s="593">
        <v>45974</v>
      </c>
      <c r="L920" s="594" t="s">
        <v>5532</v>
      </c>
      <c r="M920" s="594" t="s">
        <v>5533</v>
      </c>
      <c r="N920" s="575">
        <v>984881377</v>
      </c>
      <c r="O920" s="596">
        <v>15</v>
      </c>
      <c r="P920" s="576" t="s">
        <v>442</v>
      </c>
      <c r="Q920" s="576" t="s">
        <v>62</v>
      </c>
      <c r="R920" s="597"/>
      <c r="S920" s="575" t="str">
        <f t="shared" si="45"/>
        <v>001-502-000000267</v>
      </c>
      <c r="T920" s="599" t="s">
        <v>5534</v>
      </c>
      <c r="U920" s="621" t="s">
        <v>5535</v>
      </c>
    </row>
    <row r="921" spans="1:21" ht="24" customHeight="1" x14ac:dyDescent="0.2">
      <c r="A921" s="624">
        <v>916</v>
      </c>
      <c r="B921" s="208">
        <v>45786</v>
      </c>
      <c r="C921" s="575" t="s">
        <v>100</v>
      </c>
      <c r="D921" s="575" t="s">
        <v>5530</v>
      </c>
      <c r="E921" s="576">
        <v>112950021</v>
      </c>
      <c r="F921" s="623" t="str">
        <f t="shared" si="48"/>
        <v>DVN 94030 TCL BK CAMPANA (110V-60HZ) C/KIT</v>
      </c>
      <c r="G921" s="575" t="s">
        <v>5537</v>
      </c>
      <c r="H921" s="576" t="s">
        <v>41</v>
      </c>
      <c r="I921" s="576" t="s">
        <v>62</v>
      </c>
      <c r="J921" s="576" t="s">
        <v>63</v>
      </c>
      <c r="K921" s="593">
        <v>45974</v>
      </c>
      <c r="L921" s="594" t="s">
        <v>5532</v>
      </c>
      <c r="M921" s="594" t="s">
        <v>5533</v>
      </c>
      <c r="N921" s="575">
        <v>984881377</v>
      </c>
      <c r="O921" s="596">
        <v>15</v>
      </c>
      <c r="P921" s="576" t="s">
        <v>442</v>
      </c>
      <c r="Q921" s="576" t="s">
        <v>62</v>
      </c>
      <c r="R921" s="597"/>
      <c r="S921" s="575" t="str">
        <f t="shared" si="45"/>
        <v>001-502-000000267</v>
      </c>
      <c r="T921" s="599" t="s">
        <v>5534</v>
      </c>
      <c r="U921" s="621" t="s">
        <v>5535</v>
      </c>
    </row>
    <row r="922" spans="1:21" ht="24" customHeight="1" x14ac:dyDescent="0.2">
      <c r="A922" s="624">
        <v>917</v>
      </c>
      <c r="B922" s="208">
        <v>45827</v>
      </c>
      <c r="C922" s="575" t="s">
        <v>190</v>
      </c>
      <c r="D922" s="575" t="s">
        <v>5538</v>
      </c>
      <c r="E922" s="576">
        <v>111010028</v>
      </c>
      <c r="F922" s="623" t="str">
        <f t="shared" si="48"/>
        <v>HSB 646 "AIRFRY" - HORNO ELEC</v>
      </c>
      <c r="G922" s="575" t="s">
        <v>5539</v>
      </c>
      <c r="H922" s="576" t="s">
        <v>41</v>
      </c>
      <c r="I922" s="576" t="s">
        <v>62</v>
      </c>
      <c r="J922" s="576" t="s">
        <v>63</v>
      </c>
      <c r="K922" s="593">
        <v>45975</v>
      </c>
      <c r="L922" s="594" t="s">
        <v>5540</v>
      </c>
      <c r="M922" s="594" t="s">
        <v>533</v>
      </c>
      <c r="N922" s="575">
        <v>980835902</v>
      </c>
      <c r="O922" s="596">
        <v>15</v>
      </c>
      <c r="P922" s="576" t="s">
        <v>442</v>
      </c>
      <c r="Q922" s="576" t="s">
        <v>62</v>
      </c>
      <c r="R922" s="597"/>
      <c r="S922" s="575" t="str">
        <f t="shared" si="45"/>
        <v>006-002-000158175</v>
      </c>
      <c r="T922" s="599" t="s">
        <v>5541</v>
      </c>
      <c r="U922" s="621" t="s">
        <v>5542</v>
      </c>
    </row>
    <row r="923" spans="1:21" ht="24" customHeight="1" x14ac:dyDescent="0.2">
      <c r="A923" s="624">
        <v>918</v>
      </c>
      <c r="B923" s="208">
        <v>45827</v>
      </c>
      <c r="C923" s="575" t="s">
        <v>190</v>
      </c>
      <c r="D923" s="575" t="s">
        <v>5538</v>
      </c>
      <c r="E923" s="576">
        <v>40584012</v>
      </c>
      <c r="F923" s="623" t="str">
        <f t="shared" si="48"/>
        <v>MS 620 BIS - MICROONDAS</v>
      </c>
      <c r="G923" s="575" t="s">
        <v>5543</v>
      </c>
      <c r="H923" s="576" t="s">
        <v>41</v>
      </c>
      <c r="I923" s="576" t="s">
        <v>62</v>
      </c>
      <c r="J923" s="576" t="s">
        <v>63</v>
      </c>
      <c r="K923" s="593">
        <v>45975</v>
      </c>
      <c r="L923" s="594" t="s">
        <v>5540</v>
      </c>
      <c r="M923" s="594" t="s">
        <v>533</v>
      </c>
      <c r="N923" s="575">
        <v>980835902</v>
      </c>
      <c r="O923" s="596">
        <v>15</v>
      </c>
      <c r="P923" s="576" t="s">
        <v>442</v>
      </c>
      <c r="Q923" s="576" t="s">
        <v>62</v>
      </c>
      <c r="R923" s="597"/>
      <c r="S923" s="575" t="str">
        <f t="shared" si="45"/>
        <v>006-002-000158175</v>
      </c>
      <c r="T923" s="599" t="s">
        <v>5541</v>
      </c>
      <c r="U923" s="621" t="s">
        <v>5542</v>
      </c>
    </row>
    <row r="924" spans="1:21" ht="24" customHeight="1" x14ac:dyDescent="0.2">
      <c r="A924" s="624">
        <v>919</v>
      </c>
      <c r="B924" s="208">
        <v>45827</v>
      </c>
      <c r="C924" s="575" t="s">
        <v>190</v>
      </c>
      <c r="D924" s="575" t="s">
        <v>5538</v>
      </c>
      <c r="E924" s="576">
        <v>112570126</v>
      </c>
      <c r="F924" s="623" t="str">
        <f t="shared" si="48"/>
        <v>JZC 96324 ABB BK (LAT) COCINA MIXTA GAS - INDUCCION (40213042)</v>
      </c>
      <c r="G924" s="575" t="s">
        <v>5544</v>
      </c>
      <c r="H924" s="576" t="s">
        <v>41</v>
      </c>
      <c r="I924" s="576" t="s">
        <v>62</v>
      </c>
      <c r="J924" s="576" t="s">
        <v>63</v>
      </c>
      <c r="K924" s="593">
        <v>45975</v>
      </c>
      <c r="L924" s="594" t="s">
        <v>5540</v>
      </c>
      <c r="M924" s="594" t="s">
        <v>533</v>
      </c>
      <c r="N924" s="575">
        <v>980835902</v>
      </c>
      <c r="O924" s="596">
        <v>15</v>
      </c>
      <c r="P924" s="576" t="s">
        <v>442</v>
      </c>
      <c r="Q924" s="576" t="s">
        <v>62</v>
      </c>
      <c r="R924" s="597"/>
      <c r="S924" s="575" t="str">
        <f t="shared" si="45"/>
        <v>006-002-000158175</v>
      </c>
      <c r="T924" s="599" t="s">
        <v>5541</v>
      </c>
      <c r="U924" s="621" t="s">
        <v>5542</v>
      </c>
    </row>
    <row r="925" spans="1:21" ht="24" customHeight="1" x14ac:dyDescent="0.2">
      <c r="A925" s="624">
        <v>920</v>
      </c>
      <c r="B925" s="208">
        <v>45874</v>
      </c>
      <c r="C925" s="575" t="s">
        <v>187</v>
      </c>
      <c r="D925" s="575" t="s">
        <v>5545</v>
      </c>
      <c r="E925" s="576">
        <v>112520025</v>
      </c>
      <c r="F925" s="623" t="str">
        <f t="shared" ref="F925:F930" si="49">VLOOKUP(E925,PROD,2,FALSE)</f>
        <v>IZC 64010 MSS COCINA INDUCCION</v>
      </c>
      <c r="G925" s="575" t="s">
        <v>5546</v>
      </c>
      <c r="H925" s="576" t="s">
        <v>41</v>
      </c>
      <c r="I925" s="576" t="s">
        <v>62</v>
      </c>
      <c r="J925" s="576" t="s">
        <v>63</v>
      </c>
      <c r="K925" s="593">
        <v>45975</v>
      </c>
      <c r="L925" s="594" t="s">
        <v>5547</v>
      </c>
      <c r="M925" s="594" t="s">
        <v>5548</v>
      </c>
      <c r="N925" s="575">
        <v>997618127</v>
      </c>
      <c r="O925" s="596">
        <v>20</v>
      </c>
      <c r="P925" s="576" t="s">
        <v>442</v>
      </c>
      <c r="Q925" s="576" t="s">
        <v>62</v>
      </c>
      <c r="R925" s="597"/>
      <c r="S925" s="575" t="str">
        <f t="shared" si="45"/>
        <v>040-104-000012756</v>
      </c>
      <c r="T925" s="599" t="s">
        <v>5549</v>
      </c>
      <c r="U925" s="621" t="s">
        <v>5550</v>
      </c>
    </row>
    <row r="926" spans="1:21" ht="24" customHeight="1" x14ac:dyDescent="0.2">
      <c r="A926" s="624">
        <v>921</v>
      </c>
      <c r="B926" s="208">
        <v>45874</v>
      </c>
      <c r="C926" s="575" t="s">
        <v>187</v>
      </c>
      <c r="D926" s="575" t="s">
        <v>5545</v>
      </c>
      <c r="E926" s="576">
        <v>40467305</v>
      </c>
      <c r="F926" s="623" t="str">
        <f t="shared" si="49"/>
        <v>C 710 NEGRA CAMPANA (110V-60HZ) C/KIT</v>
      </c>
      <c r="G926" s="575" t="s">
        <v>5551</v>
      </c>
      <c r="H926" s="576" t="s">
        <v>41</v>
      </c>
      <c r="I926" s="576" t="s">
        <v>62</v>
      </c>
      <c r="J926" s="576" t="s">
        <v>63</v>
      </c>
      <c r="K926" s="593">
        <v>45975</v>
      </c>
      <c r="L926" s="594" t="s">
        <v>5547</v>
      </c>
      <c r="M926" s="594" t="s">
        <v>5548</v>
      </c>
      <c r="N926" s="575">
        <v>997618127</v>
      </c>
      <c r="O926" s="596">
        <v>20</v>
      </c>
      <c r="P926" s="576" t="s">
        <v>442</v>
      </c>
      <c r="Q926" s="576" t="s">
        <v>62</v>
      </c>
      <c r="R926" s="597"/>
      <c r="S926" s="575" t="str">
        <f t="shared" si="45"/>
        <v>040-104-000012756</v>
      </c>
      <c r="T926" s="599" t="s">
        <v>5549</v>
      </c>
      <c r="U926" s="621" t="s">
        <v>5550</v>
      </c>
    </row>
    <row r="927" spans="1:21" ht="24" customHeight="1" x14ac:dyDescent="0.2">
      <c r="A927" s="624">
        <v>922</v>
      </c>
      <c r="B927" s="208">
        <v>45913</v>
      </c>
      <c r="C927" s="575" t="s">
        <v>100</v>
      </c>
      <c r="D927" s="575" t="s">
        <v>5552</v>
      </c>
      <c r="E927" s="576">
        <v>112950019</v>
      </c>
      <c r="F927" s="623" t="str">
        <f t="shared" si="49"/>
        <v>DVN 64030 TCL BK CAMPANA (110V-60HZ) C/KIT</v>
      </c>
      <c r="G927" s="575" t="s">
        <v>5553</v>
      </c>
      <c r="H927" s="576" t="s">
        <v>41</v>
      </c>
      <c r="I927" s="576" t="s">
        <v>62</v>
      </c>
      <c r="J927" s="576" t="s">
        <v>63</v>
      </c>
      <c r="K927" s="593">
        <v>45978</v>
      </c>
      <c r="L927" s="594" t="s">
        <v>5554</v>
      </c>
      <c r="M927" s="594" t="s">
        <v>5555</v>
      </c>
      <c r="N927" s="575">
        <v>995838071</v>
      </c>
      <c r="O927" s="596">
        <v>20</v>
      </c>
      <c r="P927" s="576" t="s">
        <v>442</v>
      </c>
      <c r="Q927" s="576" t="s">
        <v>62</v>
      </c>
      <c r="R927" s="597"/>
      <c r="S927" s="575" t="str">
        <f t="shared" si="45"/>
        <v>001-500-000076906</v>
      </c>
      <c r="T927" s="599" t="s">
        <v>5556</v>
      </c>
      <c r="U927" s="621" t="s">
        <v>5557</v>
      </c>
    </row>
    <row r="928" spans="1:21" ht="24" customHeight="1" x14ac:dyDescent="0.2">
      <c r="A928" s="624">
        <v>923</v>
      </c>
      <c r="B928" s="208">
        <v>45927</v>
      </c>
      <c r="C928" s="575" t="s">
        <v>100</v>
      </c>
      <c r="D928" s="575" t="s">
        <v>5558</v>
      </c>
      <c r="E928" s="576">
        <v>112580017</v>
      </c>
      <c r="F928" s="623" t="str">
        <f t="shared" si="49"/>
        <v>GBC 64000 KBB CRISTAL COCINA GAS</v>
      </c>
      <c r="G928" s="575" t="s">
        <v>5559</v>
      </c>
      <c r="H928" s="576" t="s">
        <v>41</v>
      </c>
      <c r="I928" s="576" t="s">
        <v>62</v>
      </c>
      <c r="J928" s="576" t="s">
        <v>63</v>
      </c>
      <c r="K928" s="593">
        <v>45978</v>
      </c>
      <c r="L928" s="594" t="s">
        <v>5554</v>
      </c>
      <c r="M928" s="594" t="s">
        <v>5555</v>
      </c>
      <c r="N928" s="575">
        <v>995838071</v>
      </c>
      <c r="O928" s="596">
        <v>20</v>
      </c>
      <c r="P928" s="576" t="s">
        <v>442</v>
      </c>
      <c r="Q928" s="576" t="s">
        <v>62</v>
      </c>
      <c r="R928" s="597"/>
      <c r="S928" s="575" t="str">
        <f t="shared" si="45"/>
        <v>001-500-000077293</v>
      </c>
      <c r="T928" s="599" t="s">
        <v>5556</v>
      </c>
      <c r="U928" s="621" t="s">
        <v>5557</v>
      </c>
    </row>
    <row r="929" spans="1:21" ht="24" customHeight="1" x14ac:dyDescent="0.2">
      <c r="A929" s="624">
        <v>924</v>
      </c>
      <c r="B929" s="208">
        <v>45924</v>
      </c>
      <c r="C929" s="575" t="s">
        <v>100</v>
      </c>
      <c r="D929" s="575" t="s">
        <v>5560</v>
      </c>
      <c r="E929" s="576">
        <v>40461507</v>
      </c>
      <c r="F929" s="623" t="str">
        <f t="shared" si="49"/>
        <v>C 610 NEGRA CAMPANA (110V-60HZ) C/KIT</v>
      </c>
      <c r="G929" s="575" t="s">
        <v>5561</v>
      </c>
      <c r="H929" s="576" t="s">
        <v>41</v>
      </c>
      <c r="I929" s="576" t="s">
        <v>62</v>
      </c>
      <c r="J929" s="576" t="s">
        <v>63</v>
      </c>
      <c r="K929" s="593">
        <v>45978</v>
      </c>
      <c r="L929" s="594" t="s">
        <v>5562</v>
      </c>
      <c r="M929" s="594" t="s">
        <v>5563</v>
      </c>
      <c r="N929" s="575">
        <v>915034192</v>
      </c>
      <c r="O929" s="596">
        <v>20</v>
      </c>
      <c r="P929" s="576" t="s">
        <v>442</v>
      </c>
      <c r="Q929" s="576" t="s">
        <v>62</v>
      </c>
      <c r="R929" s="597"/>
      <c r="S929" s="575" t="str">
        <f t="shared" si="45"/>
        <v>001-500-000077208</v>
      </c>
      <c r="T929" s="599" t="s">
        <v>5564</v>
      </c>
      <c r="U929" s="621" t="s">
        <v>5565</v>
      </c>
    </row>
    <row r="930" spans="1:21" ht="24" customHeight="1" x14ac:dyDescent="0.2">
      <c r="A930" s="624">
        <v>925</v>
      </c>
      <c r="B930" s="208">
        <v>45924</v>
      </c>
      <c r="C930" s="575" t="s">
        <v>100</v>
      </c>
      <c r="D930" s="575" t="s">
        <v>5560</v>
      </c>
      <c r="E930" s="576">
        <v>112580017</v>
      </c>
      <c r="F930" s="623" t="str">
        <f t="shared" si="49"/>
        <v>GBC 64000 KBB CRISTAL COCINA GAS</v>
      </c>
      <c r="G930" s="575" t="s">
        <v>5566</v>
      </c>
      <c r="H930" s="576" t="s">
        <v>41</v>
      </c>
      <c r="I930" s="576" t="s">
        <v>62</v>
      </c>
      <c r="J930" s="576" t="s">
        <v>63</v>
      </c>
      <c r="K930" s="593">
        <v>45978</v>
      </c>
      <c r="L930" s="594" t="s">
        <v>5562</v>
      </c>
      <c r="M930" s="594" t="s">
        <v>5563</v>
      </c>
      <c r="N930" s="575">
        <v>915034192</v>
      </c>
      <c r="O930" s="596">
        <v>20</v>
      </c>
      <c r="P930" s="576" t="s">
        <v>442</v>
      </c>
      <c r="Q930" s="576" t="s">
        <v>62</v>
      </c>
      <c r="R930" s="597"/>
      <c r="S930" s="575" t="str">
        <f t="shared" si="45"/>
        <v>001-500-000077208</v>
      </c>
      <c r="T930" s="599" t="s">
        <v>5564</v>
      </c>
      <c r="U930" s="621" t="s">
        <v>5565</v>
      </c>
    </row>
  </sheetData>
  <phoneticPr fontId="24" type="noConversion"/>
  <hyperlinks>
    <hyperlink ref="U10" r:id="rId1" xr:uid="{57DF3963-9FF1-FF49-AEFE-ADA323137DEA}"/>
    <hyperlink ref="U11" r:id="rId2" xr:uid="{6ACD4CC7-9A59-EA4D-8D0C-A617C77FDCD0}"/>
    <hyperlink ref="U6" r:id="rId3" xr:uid="{F0A582E2-3FAA-9C4C-8E88-B1CB5AC71E43}"/>
    <hyperlink ref="U7" r:id="rId4" xr:uid="{F477DCE4-BAC3-E846-BAC2-A5E3D099AEBB}"/>
    <hyperlink ref="U8" r:id="rId5" xr:uid="{86C584ED-5C41-C745-850C-D67921E5669B}"/>
    <hyperlink ref="U9" r:id="rId6" xr:uid="{DE677070-28E1-2045-8031-DFD291A724B9}"/>
    <hyperlink ref="U12" r:id="rId7" xr:uid="{51AF1467-4D0F-4842-879C-B03F0BC5A543}"/>
    <hyperlink ref="U13" r:id="rId8" xr:uid="{68779AD5-7EA4-2E47-B0F4-40AFA5FD78F5}"/>
    <hyperlink ref="U14" r:id="rId9" xr:uid="{4D17CCE8-CE1E-7A44-B029-2FC27B322D2D}"/>
    <hyperlink ref="U15" r:id="rId10" xr:uid="{2BA48B9C-9DA8-A34D-9F1D-4175C7E20600}"/>
    <hyperlink ref="U16" r:id="rId11" xr:uid="{062E1039-20B5-8E46-8177-A7726E5FAA35}"/>
    <hyperlink ref="U17" r:id="rId12" xr:uid="{9F5C833D-272E-DC4B-A83F-0BB7A8EFD615}"/>
    <hyperlink ref="U18" r:id="rId13" xr:uid="{858E4784-C38E-C847-99AC-B4A1E6F6CF45}"/>
    <hyperlink ref="U19" r:id="rId14" xr:uid="{87995DD1-2E12-B640-ADA9-C756613C25B1}"/>
    <hyperlink ref="U20" r:id="rId15" xr:uid="{13D62059-FF38-F04E-85A6-276ED252CE0D}"/>
    <hyperlink ref="U21" r:id="rId16" xr:uid="{9742F0A3-4BA9-F54D-8079-1811A031804A}"/>
    <hyperlink ref="U22" r:id="rId17" xr:uid="{0145E52D-013A-1840-9965-FB7E6E5733F7}"/>
    <hyperlink ref="U23" r:id="rId18" xr:uid="{462B00A8-7799-104F-A2A6-57AB42F891BA}"/>
    <hyperlink ref="U24" r:id="rId19" xr:uid="{E82B2DCC-C3FD-EB46-9B40-2E82DF1C1E48}"/>
    <hyperlink ref="U25" r:id="rId20" xr:uid="{1C36484A-5892-9C42-927F-A94C212ECF50}"/>
    <hyperlink ref="U26" r:id="rId21" xr:uid="{E71EFAD2-5147-2440-B1E0-B1247B7F09CE}"/>
    <hyperlink ref="U27" r:id="rId22" xr:uid="{615A328C-34E2-F84F-A5FC-F2090C73A00D}"/>
    <hyperlink ref="U28" r:id="rId23" xr:uid="{300625CB-0507-3D4C-A06D-8FC53F5F1B6C}"/>
    <hyperlink ref="U29" r:id="rId24" xr:uid="{17C3A300-7D89-2B43-BD82-5458D7EBFD04}"/>
    <hyperlink ref="U30" r:id="rId25" xr:uid="{B660FF34-ECC6-A843-99ED-79015705C390}"/>
    <hyperlink ref="U31" r:id="rId26" xr:uid="{A9B765DC-6734-AC48-B731-A7D0FAC1F96F}"/>
    <hyperlink ref="U32" r:id="rId27" xr:uid="{8AF9F2B0-6815-1C49-9E65-9D84172282D3}"/>
    <hyperlink ref="U33" r:id="rId28" xr:uid="{BE64F590-B41A-A44F-B1E2-BFD8161B8A4A}"/>
    <hyperlink ref="U34" r:id="rId29" xr:uid="{4B6E285C-7733-8448-AD8C-C02A615ACE7F}"/>
    <hyperlink ref="U35" r:id="rId30" xr:uid="{C7654D00-6741-B548-A90D-6EE65145CA61}"/>
    <hyperlink ref="U36" r:id="rId31" xr:uid="{80612A4F-3744-FA4F-ABF6-9271C4CD21F9}"/>
    <hyperlink ref="U37" r:id="rId32" xr:uid="{398389E7-9CD5-5440-8201-633A938D1BBE}"/>
    <hyperlink ref="U38" r:id="rId33" xr:uid="{80BC7823-98D4-3E46-9ABA-F102B56DB37F}"/>
    <hyperlink ref="U39" r:id="rId34" xr:uid="{EB0DC954-9BC1-CF49-B1A3-D1C4B97B34F7}"/>
    <hyperlink ref="U40" r:id="rId35" xr:uid="{D72803C4-A52E-B84D-B65C-345D6E84A2C4}"/>
    <hyperlink ref="U45" r:id="rId36" xr:uid="{F983B785-D5DA-4B44-8131-DC56C1FFF0A6}"/>
    <hyperlink ref="U46" r:id="rId37" xr:uid="{1C39AD2A-0804-4A48-AD56-7C355276C752}"/>
    <hyperlink ref="U47" r:id="rId38" xr:uid="{E7C10B7A-8046-1A45-A1E2-EF44F61C4881}"/>
    <hyperlink ref="U48" r:id="rId39" xr:uid="{314A90E2-2F0A-1746-8065-A2FCD55149C9}"/>
    <hyperlink ref="U54" r:id="rId40" xr:uid="{1E07077C-B05A-7B4A-B31D-F59E99CD0AA9}"/>
    <hyperlink ref="U55" r:id="rId41" xr:uid="{9F3C4B5A-31C8-154B-A2EC-1F92A5F60A84}"/>
    <hyperlink ref="U56" r:id="rId42" xr:uid="{5F1A9AF6-C955-DE41-90BF-64B4BA7C3D00}"/>
    <hyperlink ref="U57" r:id="rId43" xr:uid="{34413AD5-7D3B-CB49-87FE-EA641592639D}"/>
    <hyperlink ref="U58" r:id="rId44" xr:uid="{95E28EE7-0736-1549-93FB-2A34C5196277}"/>
    <hyperlink ref="U59" r:id="rId45" xr:uid="{11922F94-11A1-E442-B06D-E3B6EDADC9D2}"/>
    <hyperlink ref="U62" r:id="rId46" xr:uid="{1B3A713A-51B9-7747-9C38-54CBE1DBACB7}"/>
    <hyperlink ref="U63" r:id="rId47" xr:uid="{B937269A-21CE-854B-91C0-E90B3FDB95A7}"/>
    <hyperlink ref="U64" r:id="rId48" xr:uid="{88A50428-04EC-A64F-824C-A4682C63DA04}"/>
    <hyperlink ref="U65" r:id="rId49" xr:uid="{5A3404B9-5FEE-384A-995F-455751324B02}"/>
    <hyperlink ref="U66" r:id="rId50" xr:uid="{258DC845-A8D4-034A-8E9A-8447D41F6AAE}"/>
    <hyperlink ref="U67" r:id="rId51" xr:uid="{112A71AB-1608-2446-9F91-D388DC265B3F}"/>
    <hyperlink ref="U73" r:id="rId52" xr:uid="{6DBB5D33-8FAB-D84B-85E5-68E8B34AB8A6}"/>
    <hyperlink ref="U74" r:id="rId53" xr:uid="{FE55A7A0-E406-FB43-BE79-C9493EAAC311}"/>
    <hyperlink ref="U75" r:id="rId54" xr:uid="{A8B556CF-761F-314D-A348-2FA5732C0933}"/>
    <hyperlink ref="U76" r:id="rId55" xr:uid="{A844F287-F30D-4F45-9EF4-78A21421D2BE}"/>
    <hyperlink ref="U77" r:id="rId56" xr:uid="{61048D9F-A774-744C-B6A0-A2C0EE797BC5}"/>
    <hyperlink ref="U78" r:id="rId57" xr:uid="{7DA1D479-2695-7947-96C6-6EBAB5B8E5D3}"/>
    <hyperlink ref="U79" r:id="rId58" xr:uid="{88E962C4-C529-B14F-90AC-E223183BAEFB}"/>
    <hyperlink ref="U80" r:id="rId59" xr:uid="{C2EF9963-439A-2A4F-AAB4-FE8509378886}"/>
    <hyperlink ref="U81" r:id="rId60" xr:uid="{47099817-438B-2F49-BB0D-66BEF1D595B4}"/>
    <hyperlink ref="U82" r:id="rId61" xr:uid="{808A9B67-BF13-D84C-AA5F-1093F17F5B25}"/>
    <hyperlink ref="U83" r:id="rId62" xr:uid="{8BC06D37-0474-4549-9753-33328A109632}"/>
    <hyperlink ref="U84" r:id="rId63" xr:uid="{0E933CDD-26C4-3048-94EA-2E37CC7713C5}"/>
    <hyperlink ref="U85" r:id="rId64" xr:uid="{10F385A4-64CF-9244-9158-971434B0C4C3}"/>
    <hyperlink ref="U86" r:id="rId65" xr:uid="{9CD0A77B-9184-364F-9F21-AFE7E89D4D3E}"/>
    <hyperlink ref="U87" r:id="rId66" xr:uid="{D1BCBFDA-C40B-814B-B087-4C173C721F15}"/>
    <hyperlink ref="U88" r:id="rId67" xr:uid="{D46B3A1B-858D-F646-9195-6AC2A21ACCD0}"/>
    <hyperlink ref="U89" r:id="rId68" xr:uid="{A1206C1E-3ECF-A844-81AE-D92AE2029203}"/>
    <hyperlink ref="U90" r:id="rId69" xr:uid="{8C5BA98E-B5D3-E34F-BDE4-5B94A686D3F4}"/>
    <hyperlink ref="U91" r:id="rId70" xr:uid="{79D2C8F2-5CF2-4144-BB81-BB1E52663BD8}"/>
    <hyperlink ref="U92" r:id="rId71" xr:uid="{7D786C6F-5B79-B444-BBA7-C8E87A902F81}"/>
    <hyperlink ref="U93" r:id="rId72" xr:uid="{DF410F74-3331-1645-825B-28ED37018EC8}"/>
    <hyperlink ref="U94" r:id="rId73" xr:uid="{0D7D747D-1D06-8244-A084-B3A63877EA7C}"/>
    <hyperlink ref="U60" r:id="rId74" xr:uid="{13E98432-6202-B148-A49F-089856FB1DAB}"/>
    <hyperlink ref="U61" r:id="rId75" xr:uid="{757CF5F9-7193-BB47-921B-00F356FF39D2}"/>
    <hyperlink ref="U68" r:id="rId76" xr:uid="{28839227-2681-F647-BBA5-8873A0565C82}"/>
    <hyperlink ref="U69" r:id="rId77" xr:uid="{32964701-0B04-444A-8977-4AC397935DD8}"/>
    <hyperlink ref="U70" r:id="rId78" xr:uid="{91291C39-316B-E34E-A6C1-14742E4A2456}"/>
    <hyperlink ref="U71" r:id="rId79" xr:uid="{E5F9F692-D653-5E49-B6D8-00DA63034A12}"/>
    <hyperlink ref="U72" r:id="rId80" xr:uid="{A6DDE1E5-75A8-9343-89C8-19D73E8E7CB8}"/>
    <hyperlink ref="U95" r:id="rId81" xr:uid="{7F356D3F-D291-8B46-95C8-6E1F60544F69}"/>
    <hyperlink ref="U96" r:id="rId82" xr:uid="{1811AD8B-219C-C843-AA83-5D599D0B35AE}"/>
    <hyperlink ref="U97" r:id="rId83" xr:uid="{313B249B-72E6-0B41-BD41-CC8A723A47F8}"/>
    <hyperlink ref="U98" r:id="rId84" xr:uid="{2B2BAF69-EBA6-104F-9ED7-DCA298C592A8}"/>
    <hyperlink ref="U99" r:id="rId85" xr:uid="{536CD4BD-E236-8546-A274-5C28C7079137}"/>
    <hyperlink ref="U100" r:id="rId86" xr:uid="{349D5D73-0549-1B4C-B23B-B67D5B8A5790}"/>
    <hyperlink ref="U101" r:id="rId87" xr:uid="{A826A214-C9E9-E34C-B1C9-0C45A30E451B}"/>
    <hyperlink ref="U102" r:id="rId88" xr:uid="{120909DB-5497-1E42-A656-D64E2B761CD6}"/>
    <hyperlink ref="U103" r:id="rId89" xr:uid="{60607322-FF4F-D842-9B75-2B51D9FC4100}"/>
    <hyperlink ref="U104" r:id="rId90" xr:uid="{69BD593E-A1A3-C24D-843C-5A03CDDBC547}"/>
    <hyperlink ref="U105" r:id="rId91" xr:uid="{1F4FAA27-4459-734D-B8B6-B38BD27C71D1}"/>
    <hyperlink ref="U106" r:id="rId92" xr:uid="{3A3B255B-34B8-144F-A409-117517897A85}"/>
    <hyperlink ref="U107" r:id="rId93" xr:uid="{27933564-0A46-124E-AD31-124DA7E041E6}"/>
    <hyperlink ref="U108" r:id="rId94" xr:uid="{5E26C16B-38B6-D149-85D6-D473E00AFB10}"/>
    <hyperlink ref="U109" r:id="rId95" xr:uid="{0E67BFB8-571D-334E-B2AD-038302E8BB62}"/>
    <hyperlink ref="U110" r:id="rId96" xr:uid="{439F9D65-8F27-DA4F-9045-0D00023E3228}"/>
    <hyperlink ref="U111" r:id="rId97" xr:uid="{2B4C873C-85EE-644C-9DDF-D0731608E844}"/>
    <hyperlink ref="U112" r:id="rId98" xr:uid="{1F92E06E-208B-C849-B7B0-3C9C030BF5B6}"/>
    <hyperlink ref="U113" r:id="rId99" xr:uid="{295BE9C8-7B78-5B4C-8B01-BE884DF81F37}"/>
    <hyperlink ref="U114" r:id="rId100" xr:uid="{41B96256-E3C0-C24A-B811-C17146F54E56}"/>
    <hyperlink ref="U115" r:id="rId101" xr:uid="{1CEBB091-51EF-2C45-BE77-CE0967BB50D8}"/>
    <hyperlink ref="U116" r:id="rId102" xr:uid="{CCA80C47-FE99-E542-A313-35BC0620214F}"/>
    <hyperlink ref="U117" r:id="rId103" xr:uid="{84A57116-36DA-C542-B44B-7EE8BC4536F9}"/>
    <hyperlink ref="U118" r:id="rId104" xr:uid="{CDA4D5CA-9218-C246-9015-2839847765C5}"/>
    <hyperlink ref="U119" r:id="rId105" xr:uid="{10B32699-6679-244C-BA9C-A71AD653B497}"/>
    <hyperlink ref="U120" r:id="rId106" xr:uid="{BB8E55C0-B985-CC4B-9CA8-FAD604AF847E}"/>
    <hyperlink ref="U121" r:id="rId107" xr:uid="{A06AA792-B003-8744-8096-AF495C93AC92}"/>
    <hyperlink ref="U122" r:id="rId108" xr:uid="{C1D4265C-ECD6-774C-B547-CA1D804E3546}"/>
    <hyperlink ref="U123" r:id="rId109" xr:uid="{CEAB1011-12AB-024F-A2D6-5AF0CBFAA05E}"/>
    <hyperlink ref="U124" r:id="rId110" xr:uid="{3CCC8527-0EB6-6244-8BCC-480674E0B862}"/>
    <hyperlink ref="U125" r:id="rId111" xr:uid="{9E3F2E18-993B-2446-870C-5D887F2C721F}"/>
    <hyperlink ref="U126" r:id="rId112" xr:uid="{53DCECA6-8B06-724E-BCA5-877D11AC04D9}"/>
    <hyperlink ref="U127" r:id="rId113" xr:uid="{83CD3441-A1F1-8748-8DD5-50BB28C6D041}"/>
    <hyperlink ref="U128" r:id="rId114" xr:uid="{9FD33AB9-CAE0-1746-B7E0-C1CAA710A625}"/>
    <hyperlink ref="U129" r:id="rId115" xr:uid="{D6BF929D-7F04-0B4E-90C6-96A5C224D81E}"/>
    <hyperlink ref="U130" r:id="rId116" xr:uid="{14265851-22F8-084B-8436-FF09A8B78D2D}"/>
    <hyperlink ref="U131" r:id="rId117" xr:uid="{78ADE21B-58EA-9145-8AD0-3606A94470A3}"/>
    <hyperlink ref="U132" r:id="rId118" xr:uid="{DD9D6AB5-832C-DF4E-A862-07C52E3165F7}"/>
    <hyperlink ref="U133" r:id="rId119" xr:uid="{E66119F0-8F09-E440-AFDF-64AF041168EF}"/>
    <hyperlink ref="U134" r:id="rId120" xr:uid="{853AE61F-3E03-0348-9D37-5B6C2485BA40}"/>
    <hyperlink ref="U135" r:id="rId121" xr:uid="{4BFE3D05-4B2E-3D47-8547-97E50F99F3CA}"/>
    <hyperlink ref="U136" r:id="rId122" xr:uid="{00C7831F-28D2-6A4D-95E3-4C93F19FFB24}"/>
    <hyperlink ref="U137" r:id="rId123" xr:uid="{5CBBA54B-289A-E849-8548-B151B12D78DC}"/>
    <hyperlink ref="U138" r:id="rId124" xr:uid="{1BE2A305-27AC-F041-95E6-090A04D636D7}"/>
    <hyperlink ref="U139" r:id="rId125" xr:uid="{B6DE466B-4E3F-0A45-B3FA-940BBC761E36}"/>
    <hyperlink ref="U140" r:id="rId126" xr:uid="{4299CC5E-B4D8-B54B-9ADA-48C98FCE88EB}"/>
    <hyperlink ref="U141" r:id="rId127" xr:uid="{95312064-C697-794A-8262-6F067894D998}"/>
    <hyperlink ref="U142" r:id="rId128" xr:uid="{316A3F7B-E966-BF47-8748-03693DDD446C}"/>
    <hyperlink ref="U143" r:id="rId129" xr:uid="{95C55AD9-71E6-8146-B680-C934A1DABC3D}"/>
    <hyperlink ref="U144" r:id="rId130" xr:uid="{06D4D57F-320A-1D4E-B8FE-B5AD06E3B1B6}"/>
    <hyperlink ref="U145" r:id="rId131" xr:uid="{78205C66-D866-D443-98EF-94340303CD6A}"/>
    <hyperlink ref="U146" r:id="rId132" xr:uid="{27235E29-87E5-8648-99A5-06C13327A18E}"/>
    <hyperlink ref="U147" r:id="rId133" xr:uid="{C885034B-ADF6-F14D-8939-30D92BC24ACE}"/>
    <hyperlink ref="U148" r:id="rId134" xr:uid="{372D3FC5-A18C-A048-AB9B-1EB84F851100}"/>
    <hyperlink ref="U149" r:id="rId135" xr:uid="{DA01A842-D16B-5F40-A8BC-A9F141709998}"/>
    <hyperlink ref="U150" r:id="rId136" xr:uid="{D69025ED-F81C-D140-AA0A-0C89E4FAB7DF}"/>
    <hyperlink ref="U151" r:id="rId137" xr:uid="{C17D81F3-C1B5-E449-94D8-7FF390DE699C}"/>
    <hyperlink ref="U152" r:id="rId138" xr:uid="{0442D652-A530-B744-92A4-455488CCF0D4}"/>
    <hyperlink ref="U153" r:id="rId139" xr:uid="{57EC6944-EDE9-1747-8204-E84867EA80F2}"/>
    <hyperlink ref="U154" r:id="rId140" xr:uid="{427698A9-B836-E84E-AC75-68B181305DA2}"/>
    <hyperlink ref="U155" r:id="rId141" xr:uid="{0CA983B9-A0AF-C647-AF68-4028C2FD5B52}"/>
    <hyperlink ref="U156" r:id="rId142" xr:uid="{BF98547A-7A08-0C44-B070-A7EFB5A0DCD7}"/>
    <hyperlink ref="U157" r:id="rId143" xr:uid="{951D09C8-D206-EF4F-959F-19AD59D59F3A}"/>
    <hyperlink ref="U158" r:id="rId144" xr:uid="{2B966204-6061-0F41-A89E-BB89FDE52795}"/>
    <hyperlink ref="U161" r:id="rId145" xr:uid="{26097EF9-CBB5-594B-93B7-312B485C986D}"/>
    <hyperlink ref="U162" r:id="rId146" xr:uid="{BF73E5F1-BDBA-7941-A4A7-CABD4CB184F9}"/>
    <hyperlink ref="U163" r:id="rId147" xr:uid="{CCC8F99F-54F6-364D-AA9B-4C4237A936F9}"/>
    <hyperlink ref="U164" r:id="rId148" xr:uid="{79600A2C-D9FE-B54F-8D39-22036D20CCB2}"/>
    <hyperlink ref="U165" r:id="rId149" xr:uid="{363D0FE6-B740-084C-9099-864A3586B3BD}"/>
    <hyperlink ref="U166" r:id="rId150" xr:uid="{73B817EE-880E-5E46-8D60-E43A6BB29FBA}"/>
    <hyperlink ref="U167" r:id="rId151" xr:uid="{39814D4C-C598-234E-8710-E7F10A5CBA57}"/>
    <hyperlink ref="U170" r:id="rId152" xr:uid="{191EA504-D521-1A41-812F-7B1CB9403A97}"/>
    <hyperlink ref="U171" r:id="rId153" display="mailto:dignasaltoc@gmail.com" xr:uid="{223F6D02-DA91-FB49-8303-26620D848D16}"/>
    <hyperlink ref="U168" r:id="rId154" xr:uid="{9CD84686-6439-EE4C-9E5E-682DCD259177}"/>
    <hyperlink ref="U169" r:id="rId155" xr:uid="{09F261B8-41FE-4843-9938-C7D0A95E0614}"/>
    <hyperlink ref="U172" r:id="rId156" xr:uid="{026BD737-D1A8-484F-81CA-7F9E8D0AE97D}"/>
    <hyperlink ref="U173" r:id="rId157" xr:uid="{25D105E2-51DB-7D41-B0D8-D7F4433F1039}"/>
    <hyperlink ref="U174" r:id="rId158" xr:uid="{07D5EF37-1FAD-F343-83EF-BBBE4D430D9C}"/>
    <hyperlink ref="U175" r:id="rId159" xr:uid="{AE80E802-FE4B-A641-93F0-A809995E1A53}"/>
    <hyperlink ref="U176" r:id="rId160" xr:uid="{63CE1C34-8B34-D54E-B4D8-4A72ADC095EB}"/>
    <hyperlink ref="U177" r:id="rId161" xr:uid="{85D4340A-FB7B-7041-820D-B634726FB8D7}"/>
    <hyperlink ref="U178" r:id="rId162" xr:uid="{FCA47C73-05A2-9442-A1BC-8F8303156DBA}"/>
    <hyperlink ref="U179" r:id="rId163" xr:uid="{E3AE0227-920A-5F41-A698-BB3A5DD1B297}"/>
    <hyperlink ref="U180" r:id="rId164" xr:uid="{2B7807E4-DE67-B74B-B836-3A8B5092DEDB}"/>
    <hyperlink ref="U181" r:id="rId165" xr:uid="{43738771-40B9-894D-AD9C-C311C0475C17}"/>
    <hyperlink ref="U182" r:id="rId166" xr:uid="{C8F0826D-3603-C64E-B370-F2DA1C3DB867}"/>
    <hyperlink ref="U183" r:id="rId167" xr:uid="{F245AC2B-04A4-0A44-860E-72F387F3E3E0}"/>
    <hyperlink ref="U184" r:id="rId168" xr:uid="{99E3ED6B-966E-DD4B-8198-C46272EE5C22}"/>
    <hyperlink ref="U185" r:id="rId169" xr:uid="{D00EB685-FC3C-8D45-94EA-812DF3F740C0}"/>
    <hyperlink ref="U186" r:id="rId170" xr:uid="{75B42D72-FC07-E24B-A3E1-7F12CCA6237A}"/>
    <hyperlink ref="U187" r:id="rId171" xr:uid="{AFF93E28-FA1C-F744-8AA4-244DD39CDAB0}"/>
    <hyperlink ref="U188" r:id="rId172" xr:uid="{2BAEB5ED-FC40-3742-83EC-FD82347BD6F0}"/>
    <hyperlink ref="U189" r:id="rId173" xr:uid="{B9FE8D87-D3D5-D94F-9929-73A9E1D71D79}"/>
    <hyperlink ref="U190" r:id="rId174" xr:uid="{CF325272-E71A-C94D-B603-D29CA25BA26E}"/>
    <hyperlink ref="U191" r:id="rId175" xr:uid="{BEDA4A30-A3EB-C849-A3A3-A58DC83C755D}"/>
    <hyperlink ref="U192" r:id="rId176" xr:uid="{C1D914B7-26CE-9648-B04D-7828CCDAAE2C}"/>
    <hyperlink ref="U193" r:id="rId177" xr:uid="{76A21BAD-E4D2-8A43-833A-86AF7B1D2C81}"/>
    <hyperlink ref="U194" r:id="rId178" xr:uid="{767DB01A-91C3-1C4A-A988-F1F6805EA93F}"/>
    <hyperlink ref="U195" r:id="rId179" xr:uid="{5B66FC14-DAA8-B144-A445-A121900793E1}"/>
    <hyperlink ref="U196" r:id="rId180" xr:uid="{5E1664A3-69AB-2647-97CE-E9DA357E329B}"/>
    <hyperlink ref="U197" r:id="rId181" xr:uid="{D042FA11-2D36-7444-800F-999CA743E6CB}"/>
    <hyperlink ref="U198" r:id="rId182" xr:uid="{4EBBDC10-B211-5541-A499-7E30C519B063}"/>
    <hyperlink ref="U199" r:id="rId183" xr:uid="{D2D84553-1CB9-9C45-8149-1FD98768DCE7}"/>
    <hyperlink ref="U200" r:id="rId184" xr:uid="{9F55DE8B-2F5F-684F-8AF6-22DFDB27D87B}"/>
    <hyperlink ref="U201" r:id="rId185" xr:uid="{4F029FD4-A6E4-6247-B420-EF3DEC5DB622}"/>
    <hyperlink ref="U202" r:id="rId186" xr:uid="{A865D23E-5D85-BA40-88FD-39F729EEF82F}"/>
    <hyperlink ref="U203" r:id="rId187" xr:uid="{0BC4DCE5-63BD-E345-82C2-CCB8E4044D28}"/>
    <hyperlink ref="U204" r:id="rId188" xr:uid="{C24F9CB4-8371-D84B-BD97-58419BE08DA1}"/>
    <hyperlink ref="U205" r:id="rId189" xr:uid="{334BD53A-9B84-EA4B-B543-EA6F7979BD81}"/>
    <hyperlink ref="U206" r:id="rId190" xr:uid="{176FA4C5-2228-8442-BFDA-FF5D009FF402}"/>
    <hyperlink ref="U207" r:id="rId191" xr:uid="{E4A4FE63-C96E-9A4B-9088-5E9926BEA83B}"/>
    <hyperlink ref="U208" r:id="rId192" xr:uid="{97AC9BE6-F7CE-FC44-BCF8-680B4237AC39}"/>
    <hyperlink ref="U209" r:id="rId193" xr:uid="{20552517-134D-E146-830C-D367F99C60A0}"/>
    <hyperlink ref="U210" r:id="rId194" xr:uid="{1FB81C59-7D5C-5B4D-BDD9-E43AD8ED506D}"/>
    <hyperlink ref="U211" r:id="rId195" xr:uid="{76989D07-908B-E646-AF04-AFBAC0681C81}"/>
    <hyperlink ref="U212" r:id="rId196" xr:uid="{2C36B219-6C9D-7D4A-A453-6C0A1E4524B6}"/>
    <hyperlink ref="U213" r:id="rId197" xr:uid="{5CE7195D-0A52-B341-9FE4-FB9EF812A6D2}"/>
    <hyperlink ref="U214" r:id="rId198" xr:uid="{B5FEA4E8-C177-6F4D-A8D1-28830220463C}"/>
    <hyperlink ref="U215" r:id="rId199" xr:uid="{3F78FB6C-24DD-2647-97E4-60589D1C7FB4}"/>
    <hyperlink ref="U216" r:id="rId200" xr:uid="{33350FF2-BB3B-CB42-B3E8-AA8C9215C3FA}"/>
    <hyperlink ref="U217" r:id="rId201" xr:uid="{CCF44A51-A5AC-9D44-B1B8-FE5A16CD41FB}"/>
    <hyperlink ref="U218" r:id="rId202" xr:uid="{FB58F2E7-FC9D-8C40-8E29-BC02E05DADFF}"/>
    <hyperlink ref="U219" r:id="rId203" xr:uid="{7E00D50F-8060-1F4A-91F0-7FF50811361F}"/>
    <hyperlink ref="U220" r:id="rId204" xr:uid="{67940D65-A6A8-0846-AC74-40CEDBE22262}"/>
    <hyperlink ref="U221" r:id="rId205" xr:uid="{79089AB3-D35E-C548-B197-68531FCE3FB8}"/>
    <hyperlink ref="U222" r:id="rId206" xr:uid="{ACC9A1D9-9BC4-F44E-BCE9-984FD7931D8E}"/>
    <hyperlink ref="U223" r:id="rId207" xr:uid="{E3BD6A15-F907-E342-A456-32FE4F28A699}"/>
    <hyperlink ref="U224" r:id="rId208" xr:uid="{F60BD94B-4F9F-2B49-A5CB-4ABEBB7A5B68}"/>
    <hyperlink ref="U225" r:id="rId209" xr:uid="{7E289471-7B1A-A942-9B36-A384162A3DEC}"/>
    <hyperlink ref="U226" r:id="rId210" xr:uid="{6D3C271D-2F74-254B-B5A4-84D239D9ED76}"/>
    <hyperlink ref="U227" r:id="rId211" xr:uid="{AA6C6565-EC12-3B40-B195-1DC95310F9C3}"/>
    <hyperlink ref="U228" r:id="rId212" xr:uid="{8EF9C111-A7DE-AB4F-B59E-4F638A14A3C1}"/>
    <hyperlink ref="U229" r:id="rId213" xr:uid="{C15E6D75-7024-EC49-BC22-86197A292098}"/>
    <hyperlink ref="U230" r:id="rId214" xr:uid="{508536CB-1995-2245-A47E-DAFB1804F982}"/>
    <hyperlink ref="U231" r:id="rId215" xr:uid="{96961CC5-B4FF-354F-9650-29B520D88C0A}"/>
    <hyperlink ref="U232" r:id="rId216" xr:uid="{62430205-43EF-CD4A-BE35-0D048DE37F06}"/>
    <hyperlink ref="U233" r:id="rId217" xr:uid="{36029321-2F1B-1D47-A8D8-E5D796CCDFA8}"/>
    <hyperlink ref="U234" r:id="rId218" xr:uid="{FA9BD49E-9131-7547-AAF8-504C25A902A7}"/>
    <hyperlink ref="U235" r:id="rId219" xr:uid="{4FBB3F1C-C7CC-EB45-AFFE-1C8663C92D43}"/>
    <hyperlink ref="U236" r:id="rId220" xr:uid="{2B9B17D8-A04A-0940-9EE6-447A555A6006}"/>
    <hyperlink ref="U237" r:id="rId221" xr:uid="{9F7D7918-F482-5149-950B-BEFF4CA2E81F}"/>
    <hyperlink ref="U238" r:id="rId222" xr:uid="{6A58D3C2-DA62-BC4F-849E-5B68E8983A98}"/>
    <hyperlink ref="U239" r:id="rId223" xr:uid="{E03D8A48-4EFE-EC45-9E4C-AFF385EEAF91}"/>
    <hyperlink ref="U240" r:id="rId224" xr:uid="{B59D47C3-335B-DB47-AF15-7D40597FBBF7}"/>
    <hyperlink ref="U241" r:id="rId225" xr:uid="{9BE3C063-9889-1A46-ACFB-D66974F11DD7}"/>
    <hyperlink ref="U242" r:id="rId226" xr:uid="{CEC863C2-0799-3C46-A713-6FB5E4D47E00}"/>
    <hyperlink ref="U243" r:id="rId227" xr:uid="{6EB9E35C-3239-2045-BF2E-C01F45B1568C}"/>
    <hyperlink ref="U244" r:id="rId228" xr:uid="{D5549D58-FAA2-6A43-970B-039D8C16ECE5}"/>
    <hyperlink ref="U245" r:id="rId229" xr:uid="{AB549B5D-1959-7C49-AD84-A0F16365D5F7}"/>
    <hyperlink ref="U246" r:id="rId230" xr:uid="{B132FE49-7B3F-1C4A-BBE5-2E6176D6364A}"/>
    <hyperlink ref="U247" r:id="rId231" xr:uid="{2CE83516-557B-ED47-A404-341CBA42F561}"/>
    <hyperlink ref="U248:U250" r:id="rId232" display="amorosoremigio@gmail.com" xr:uid="{BC20CCB2-44CC-4748-895D-22CF9288771A}"/>
    <hyperlink ref="U251" r:id="rId233" xr:uid="{40789BC9-02C4-AF46-80E7-11CB7A0AA7E3}"/>
    <hyperlink ref="U252" r:id="rId234" xr:uid="{A94A141A-1631-204E-8F51-141CBF1EA338}"/>
    <hyperlink ref="U159" r:id="rId235" xr:uid="{E0C73E7A-55DE-0846-B0B3-668E4D2CEBB6}"/>
    <hyperlink ref="U160" r:id="rId236" xr:uid="{FFF73BEB-E049-6A4C-B514-786B02A24765}"/>
    <hyperlink ref="U253" r:id="rId237" xr:uid="{32160F35-3BBA-B749-A46E-575C2862D154}"/>
    <hyperlink ref="U254" r:id="rId238" xr:uid="{AAF63826-5885-EC4D-9A7B-F1C47A1BFB45}"/>
    <hyperlink ref="U255" r:id="rId239" xr:uid="{39778D58-BD77-2543-8F5C-F80A6985D2D4}"/>
    <hyperlink ref="U256" r:id="rId240" xr:uid="{EDFA65C5-6701-5D44-B84E-1FBAB3CA61A0}"/>
    <hyperlink ref="U257" r:id="rId241" xr:uid="{12951607-99AE-484A-A8B8-F43F5061E6B6}"/>
    <hyperlink ref="U258" r:id="rId242" xr:uid="{9F22F04A-F7DE-9847-8E3C-0CDEA74C721E}"/>
    <hyperlink ref="U259" r:id="rId243" xr:uid="{5D9F9D53-7D55-F441-818A-6B263E9083A2}"/>
    <hyperlink ref="U260" r:id="rId244" xr:uid="{7B90E903-43E3-DA4C-8902-E51ECA0C8EE9}"/>
    <hyperlink ref="U261" r:id="rId245" xr:uid="{73C90490-4BBF-2842-9134-CA043267A525}"/>
    <hyperlink ref="U262" r:id="rId246" xr:uid="{9F8E4D3C-6CDC-6B4D-BFE2-3549B2DF8639}"/>
    <hyperlink ref="U263" r:id="rId247" xr:uid="{F4C1F3AA-C124-394B-A1F2-B5DEE1D6D84B}"/>
    <hyperlink ref="U264" r:id="rId248" xr:uid="{34AD5E1C-A0AF-0B49-91AB-42ABFF4BD383}"/>
    <hyperlink ref="U265" r:id="rId249" xr:uid="{DF31ACF2-3B65-E148-9B02-A1DD183B98F3}"/>
    <hyperlink ref="U266" r:id="rId250" xr:uid="{AB750417-6EFD-C949-9FEA-7C662F8D6603}"/>
    <hyperlink ref="U267" r:id="rId251" xr:uid="{B5188BEB-652F-C64A-963C-1FA1CC1A9888}"/>
    <hyperlink ref="U268" r:id="rId252" xr:uid="{0CE02A00-2456-9841-9230-77CD3DE8FEAB}"/>
    <hyperlink ref="U269" r:id="rId253" xr:uid="{08B79634-A08E-3142-BBE6-189B0F104547}"/>
    <hyperlink ref="U270" r:id="rId254" xr:uid="{CF6A2DAF-B70E-D044-B8EF-20ABDA3E3196}"/>
    <hyperlink ref="U271" r:id="rId255" xr:uid="{6B16E0AC-6E8A-E14F-8C78-9BF43BD823FF}"/>
    <hyperlink ref="U272" r:id="rId256" xr:uid="{82219EDF-7087-1448-91B0-ABDB05DF90B1}"/>
    <hyperlink ref="U273" r:id="rId257" xr:uid="{B93F8A7E-9F1D-004F-9012-03D5DF6F79CA}"/>
    <hyperlink ref="U274" r:id="rId258" xr:uid="{12FA2123-D27C-E349-A8BC-4033E94F0B0E}"/>
    <hyperlink ref="U275" r:id="rId259" xr:uid="{3FA55A66-DE53-0345-9CA6-397EDE325611}"/>
    <hyperlink ref="U276" r:id="rId260" xr:uid="{536D38F8-53F0-A748-92A1-2C6E35E3F485}"/>
    <hyperlink ref="U277" r:id="rId261" xr:uid="{8B75C442-7F7C-EC4C-8167-24B5B7F32340}"/>
    <hyperlink ref="U278" r:id="rId262" xr:uid="{457EC305-DA6A-2244-871F-8A98B9710F47}"/>
    <hyperlink ref="U279" r:id="rId263" xr:uid="{BFFF87A9-3FEC-6B4C-838E-301A17820BC9}"/>
    <hyperlink ref="U280" r:id="rId264" xr:uid="{A7D8A28D-E68F-844D-8CAD-E5595300D81D}"/>
    <hyperlink ref="U281" r:id="rId265" xr:uid="{407687C5-6FBD-4840-BD44-F37EBF707595}"/>
    <hyperlink ref="U282" r:id="rId266" xr:uid="{41A9F4C9-5AF2-2449-BA95-3C6D32843B1C}"/>
    <hyperlink ref="U283" r:id="rId267" xr:uid="{EE440BBE-C212-6443-B30A-73F4DA4B5875}"/>
    <hyperlink ref="U284" r:id="rId268" xr:uid="{49E71646-6DA4-E14A-B127-ED07273768AC}"/>
    <hyperlink ref="U285" r:id="rId269" xr:uid="{A0EC0426-E094-C64E-ADC9-1D7EC43B4396}"/>
    <hyperlink ref="U286" r:id="rId270" xr:uid="{C0DBC581-8569-2546-A01D-AE2B2DE126C1}"/>
    <hyperlink ref="U287" r:id="rId271" xr:uid="{5755E6A4-B300-A242-BAE8-194D586DC1A8}"/>
    <hyperlink ref="U288" r:id="rId272" xr:uid="{7F349B48-B6A5-6D4E-BCA0-3E3A57F2F3EA}"/>
    <hyperlink ref="U289" r:id="rId273" xr:uid="{A4B02824-19EA-7B44-97E3-233EA9EC399B}"/>
    <hyperlink ref="U290" r:id="rId274" xr:uid="{F3C6100C-8E32-2144-B571-0AC4CFB12D99}"/>
    <hyperlink ref="U291" r:id="rId275" xr:uid="{885B4E94-89CD-E04B-B4A8-70CE2322405E}"/>
    <hyperlink ref="U292" r:id="rId276" xr:uid="{8668F953-E54A-864E-BCDD-E9055A4F9A73}"/>
    <hyperlink ref="U293" r:id="rId277" xr:uid="{99F8E1E4-5269-974E-8556-ADF68EFFD73D}"/>
    <hyperlink ref="U294" r:id="rId278" xr:uid="{E2F808E2-513D-2248-A0F3-7B35BD588678}"/>
    <hyperlink ref="U295" r:id="rId279" xr:uid="{234BD30C-E24F-F841-B4E8-758F36DB1EE9}"/>
    <hyperlink ref="U296" r:id="rId280" xr:uid="{32B867A0-3F7F-DA41-A5C8-37171E52CBFA}"/>
    <hyperlink ref="U297" r:id="rId281" xr:uid="{F44DA703-004C-FD42-8809-AF52368E7C45}"/>
    <hyperlink ref="U298" r:id="rId282" xr:uid="{B1D9B662-550F-5944-8A15-237B0E6EE1DF}"/>
    <hyperlink ref="U299" r:id="rId283" xr:uid="{773A1E2B-2995-4148-B1CD-6113373DEB9A}"/>
    <hyperlink ref="U300" r:id="rId284" xr:uid="{6406A8BD-75A2-A149-BD6A-0311F839E01C}"/>
    <hyperlink ref="U301" r:id="rId285" xr:uid="{CEC63813-BF77-AF48-AD7B-48054A47094D}"/>
    <hyperlink ref="U302" r:id="rId286" xr:uid="{6F068F38-F24A-ED4D-AC1B-FD41987DE27F}"/>
    <hyperlink ref="U303" r:id="rId287" xr:uid="{00CC8D96-ED7B-394D-8CBE-F8365AA65598}"/>
    <hyperlink ref="U304" r:id="rId288" xr:uid="{130AD0D7-557A-1742-A303-7EFAB8563902}"/>
    <hyperlink ref="U305" r:id="rId289" xr:uid="{0850A64C-4B97-7B4E-A37B-CE4C90C415E1}"/>
    <hyperlink ref="U306" r:id="rId290" xr:uid="{FC9AE21D-0F41-1845-9C04-7EA9703714AB}"/>
    <hyperlink ref="U307" r:id="rId291" xr:uid="{B62C2E2F-C1D4-D848-85F9-3146A1593474}"/>
    <hyperlink ref="U308" r:id="rId292" xr:uid="{4464398B-7BE6-1240-B58A-4AB763E63FFA}"/>
    <hyperlink ref="U309" r:id="rId293" xr:uid="{C3F46799-27F4-EC45-890E-B1B254D64ACD}"/>
    <hyperlink ref="U310" r:id="rId294" xr:uid="{6FCF21C3-5ADC-8D45-B3B9-363BD127C1D1}"/>
    <hyperlink ref="U311" r:id="rId295" xr:uid="{3C034776-99BD-8043-8AF2-89E310BF3B87}"/>
    <hyperlink ref="U312" r:id="rId296" xr:uid="{4BD8A96C-35B5-894D-95DD-8BF44B0C1DB3}"/>
    <hyperlink ref="U315" r:id="rId297" xr:uid="{D700BF2F-C27D-CA46-80F7-74830C3E362C}"/>
    <hyperlink ref="U316" r:id="rId298" xr:uid="{04EFAC3D-40B7-C549-9885-647A35F0F008}"/>
    <hyperlink ref="U313" r:id="rId299" xr:uid="{5CFED3AC-63B9-E840-9590-A4E58A825196}"/>
    <hyperlink ref="U314" r:id="rId300" xr:uid="{D1D9797A-9180-E248-8A73-0263BA55A1DE}"/>
    <hyperlink ref="U320" r:id="rId301" xr:uid="{30DD4DFE-C30C-6A41-B296-F835E4258E0C}"/>
    <hyperlink ref="U321" r:id="rId302" xr:uid="{897C124D-4297-8049-A37B-85818F8F0764}"/>
    <hyperlink ref="U324" r:id="rId303" xr:uid="{C11F44A3-694A-584B-9AA5-6D0BEF7BFFFB}"/>
    <hyperlink ref="U325" r:id="rId304" xr:uid="{22761345-5AEF-7B4F-9134-E7DEECE0C97E}"/>
    <hyperlink ref="U326" r:id="rId305" xr:uid="{04E5E71B-6565-3F4B-9B75-653EF01B4A9A}"/>
    <hyperlink ref="U327" r:id="rId306" xr:uid="{1275D2D8-7F42-A94B-B6CE-491CC428E7F4}"/>
    <hyperlink ref="U328" r:id="rId307" xr:uid="{A70D2A6A-DF64-1B41-AA69-9D3C03FC933F}"/>
    <hyperlink ref="U329" r:id="rId308" xr:uid="{6B1A1166-7931-874B-AD59-15DAEB5589E4}"/>
    <hyperlink ref="U330" r:id="rId309" xr:uid="{4897C3DF-A2CE-364D-8D0F-A6DDC34AC684}"/>
    <hyperlink ref="U331" r:id="rId310" xr:uid="{ACC52654-BBE9-BA48-89DE-E4648023125D}"/>
    <hyperlink ref="U332" r:id="rId311" xr:uid="{7399D5C9-91C2-E641-8B41-47667467A712}"/>
    <hyperlink ref="U333" r:id="rId312" xr:uid="{37B4BBC7-92E5-C743-93B5-4FB52C5EDBD6}"/>
    <hyperlink ref="U334" r:id="rId313" xr:uid="{06841808-2F39-3748-9B07-D008E2728564}"/>
    <hyperlink ref="U335" r:id="rId314" xr:uid="{0A68EC26-6D1F-4A4B-A534-4DF9C0AB40E4}"/>
    <hyperlink ref="U336" r:id="rId315" xr:uid="{BB23F4FE-7BCE-354A-88B7-88F7C208A691}"/>
    <hyperlink ref="U337" r:id="rId316" xr:uid="{5E32B3B8-FE32-5F4B-8825-B190237CE4EF}"/>
    <hyperlink ref="U338" r:id="rId317" xr:uid="{907F6DF0-EFE5-2145-9B38-C0AD69F08DB3}"/>
    <hyperlink ref="U339" r:id="rId318" xr:uid="{7EB070E5-6B6A-8D4E-8305-0D61470873A1}"/>
    <hyperlink ref="U340" r:id="rId319" xr:uid="{B468466E-FF43-B144-B23B-0B16B964B977}"/>
    <hyperlink ref="U322" r:id="rId320" xr:uid="{82B0F82F-4CD2-4142-875F-83146104D7AA}"/>
    <hyperlink ref="U323" r:id="rId321" xr:uid="{B3E0F5A0-656F-1648-BA13-22DF5088D218}"/>
    <hyperlink ref="U341" r:id="rId322" xr:uid="{8E976E0D-D533-9C46-8AAE-F8AF1F41F638}"/>
    <hyperlink ref="U342" r:id="rId323" xr:uid="{70C888BA-0235-F441-A980-A0941265BE93}"/>
    <hyperlink ref="U343" r:id="rId324" xr:uid="{BFF70601-18B6-B542-B8F8-602D65501D2B}"/>
    <hyperlink ref="U346" r:id="rId325" xr:uid="{6C8AC0ED-AC5B-5340-B113-B179DE3E2952}"/>
    <hyperlink ref="U347" r:id="rId326" xr:uid="{228AD389-875D-D540-B587-C525F2B7AC53}"/>
    <hyperlink ref="U348" r:id="rId327" xr:uid="{85250B60-A01F-AA40-9C68-7E7EDEDC30A6}"/>
    <hyperlink ref="U344" r:id="rId328" xr:uid="{3B7F13D8-167C-8140-820F-96B84AE8EECB}"/>
    <hyperlink ref="U345" r:id="rId329" xr:uid="{87C9FA5C-3A61-C84E-A8C9-4A576462BCA4}"/>
    <hyperlink ref="U349" r:id="rId330" xr:uid="{81184EC5-9EB6-F64D-9CF1-30CA5567113C}"/>
    <hyperlink ref="U350" r:id="rId331" xr:uid="{2E275DE4-237B-4742-925B-866D345E4CBA}"/>
    <hyperlink ref="U351" r:id="rId332" xr:uid="{2B2907CD-1C15-984D-B8F4-7E77033ADE59}"/>
    <hyperlink ref="U352" r:id="rId333" xr:uid="{EC655FCB-2F23-D743-8E53-26668D53F086}"/>
    <hyperlink ref="U353" r:id="rId334" xr:uid="{4C869DEA-6838-504F-AB67-4DFF408A4FD9}"/>
    <hyperlink ref="U354" r:id="rId335" xr:uid="{0620E46A-6543-A546-AD44-FA849F6460F8}"/>
    <hyperlink ref="U355" r:id="rId336" xr:uid="{049E08DA-95D7-2444-8EA0-8DC818134F66}"/>
    <hyperlink ref="U356" r:id="rId337" xr:uid="{DF094C17-1CD7-C14B-8875-210715583020}"/>
    <hyperlink ref="U357" r:id="rId338" xr:uid="{16145B4F-A586-A945-9F3C-A1F046C5F8C7}"/>
    <hyperlink ref="U358" r:id="rId339" xr:uid="{6E50DEF4-642A-0049-840C-832847272817}"/>
    <hyperlink ref="U359" r:id="rId340" xr:uid="{65F6D21A-0532-B945-950A-5F4D7D50B1B2}"/>
    <hyperlink ref="U360" r:id="rId341" xr:uid="{8D6999E8-3072-2C4C-8991-ED489365B70E}"/>
    <hyperlink ref="U361" r:id="rId342" xr:uid="{720D914D-D774-9E43-8006-9C977546B3EE}"/>
    <hyperlink ref="U362" r:id="rId343" xr:uid="{2877D9D6-2327-9845-B13B-5D35CC6DF72D}"/>
    <hyperlink ref="U363" r:id="rId344" xr:uid="{DFB0CB87-B863-0143-9593-6F98F179E69D}"/>
    <hyperlink ref="U364" r:id="rId345" xr:uid="{CD3F9DD0-D607-0F49-8931-26A811140518}"/>
    <hyperlink ref="U365" r:id="rId346" xr:uid="{932A3614-F592-7F48-97B7-BFD04961479F}"/>
    <hyperlink ref="U366" r:id="rId347" xr:uid="{58E5FB48-7EA4-E74D-93AC-ECFE6F0A7A28}"/>
    <hyperlink ref="U367" r:id="rId348" xr:uid="{2D3F51FD-E0AC-A849-B5EA-3FB33B1393B8}"/>
    <hyperlink ref="U368" r:id="rId349" xr:uid="{49769D5C-4189-944A-BF35-6A18A0DF582F}"/>
    <hyperlink ref="U369" r:id="rId350" xr:uid="{C7E3292F-6615-FF4D-AD24-7BF6389CA639}"/>
    <hyperlink ref="U370" r:id="rId351" xr:uid="{893FAD8F-BF36-0C46-823D-9D078241BFFE}"/>
    <hyperlink ref="U371" r:id="rId352" xr:uid="{9A912A9B-8C2F-144B-883D-45AC03E5D363}"/>
    <hyperlink ref="U372" r:id="rId353" xr:uid="{2533F671-35ED-4746-8BCB-0AFE22177C1B}"/>
    <hyperlink ref="U373" r:id="rId354" xr:uid="{D569897E-25B1-E946-AA23-543C0B0F0E43}"/>
    <hyperlink ref="U374" r:id="rId355" xr:uid="{5E2467CA-F446-124D-A416-55B23C3A6FBE}"/>
    <hyperlink ref="U375" r:id="rId356" xr:uid="{96F39459-F500-174F-B837-32C7AFBF9A47}"/>
    <hyperlink ref="U376" r:id="rId357" xr:uid="{B4B18B9B-977B-4841-B64C-096CD5D654C5}"/>
    <hyperlink ref="U377" r:id="rId358" xr:uid="{0BEB593A-FE3D-FB42-8FE2-A1176E7B61C3}"/>
    <hyperlink ref="U378" r:id="rId359" xr:uid="{C985FAC1-205A-7543-824D-0A14B312600F}"/>
    <hyperlink ref="U379" r:id="rId360" xr:uid="{FF1E9990-E1E8-5944-B7BD-EBC57A5FCB4C}"/>
    <hyperlink ref="U380" r:id="rId361" xr:uid="{E99B78C2-5302-9342-83A1-C02963DB59D7}"/>
    <hyperlink ref="U381" r:id="rId362" xr:uid="{34428FAB-2BB5-0444-96DB-8E266471C49C}"/>
    <hyperlink ref="U382" r:id="rId363" xr:uid="{FE536C41-47FD-DA44-BE0B-6242151A3A21}"/>
    <hyperlink ref="U383" r:id="rId364" xr:uid="{DCF761B0-00B3-D848-9015-9032D386AD40}"/>
    <hyperlink ref="U384" r:id="rId365" xr:uid="{F64EB29C-4EE9-D144-B249-AEF67D19DAF7}"/>
    <hyperlink ref="U385" r:id="rId366" xr:uid="{B3BA3F08-3A17-5541-B30B-2B092A493FBD}"/>
    <hyperlink ref="U386" r:id="rId367" xr:uid="{0C835B7D-EF10-424D-9142-F99E9AF97BCC}"/>
    <hyperlink ref="U387" r:id="rId368" xr:uid="{C24AC713-A818-1342-85C8-9BDF8B51207D}"/>
    <hyperlink ref="U388" r:id="rId369" xr:uid="{32D7E826-7031-3341-A452-A25FCEB26DFC}"/>
    <hyperlink ref="U389" r:id="rId370" xr:uid="{5B493D96-2DAB-2B4A-A576-919DD70BED66}"/>
    <hyperlink ref="U390" r:id="rId371" xr:uid="{69C03C64-7430-934F-96A5-CF672B8AC920}"/>
    <hyperlink ref="U391" r:id="rId372" xr:uid="{86D00E91-AFBB-8C41-85EA-2E902AF1985C}"/>
    <hyperlink ref="U392" r:id="rId373" xr:uid="{8D5DAA63-DC22-5B44-A372-C3E9199EDF8A}"/>
    <hyperlink ref="U393" r:id="rId374" xr:uid="{3F2EF98E-377A-5041-920D-208EF7ECC84F}"/>
    <hyperlink ref="U394" r:id="rId375" xr:uid="{FAC45713-0E64-1D4C-8D2D-2BD5D6E4DD4F}"/>
    <hyperlink ref="U395" r:id="rId376" xr:uid="{B5485C58-6432-114D-AA06-628AC4DC1B81}"/>
    <hyperlink ref="U396" r:id="rId377" xr:uid="{87CF8836-F3D8-EE45-972F-51C8E77476F8}"/>
    <hyperlink ref="U397" r:id="rId378" xr:uid="{9017DD7E-C5D2-EB4F-AD9D-5B26A10A301B}"/>
    <hyperlink ref="U398" r:id="rId379" xr:uid="{6AF7EDA4-525F-994B-BC1A-78C8D856EC1B}"/>
    <hyperlink ref="U399" r:id="rId380" xr:uid="{DDCE7845-16CC-E249-97E0-A96157AD9681}"/>
    <hyperlink ref="U400" r:id="rId381" xr:uid="{148A88F9-D4E7-E945-95B7-B8DC7BDB601A}"/>
    <hyperlink ref="U401" r:id="rId382" xr:uid="{A0575643-80BA-3944-A0AB-7BB0FA1875C7}"/>
    <hyperlink ref="U402" r:id="rId383" xr:uid="{20640ECF-CAC1-A440-B6B3-722ECD2F525D}"/>
    <hyperlink ref="U403" r:id="rId384" xr:uid="{06308AC8-6440-7745-B306-27735E7C0F05}"/>
    <hyperlink ref="U404" r:id="rId385" xr:uid="{2C0C75D2-5345-2243-9449-ABE53666BB43}"/>
    <hyperlink ref="U405" r:id="rId386" xr:uid="{43ECA6BF-E76D-3A48-A33E-3F5ACE1EDF6A}"/>
    <hyperlink ref="U406" r:id="rId387" xr:uid="{633C66A9-CA17-F54F-A399-B92DA38CDC72}"/>
    <hyperlink ref="U407" r:id="rId388" xr:uid="{4A9B1779-1E9A-B84C-AC50-B44C9476697A}"/>
    <hyperlink ref="U408" r:id="rId389" xr:uid="{47BB9AE8-FA3D-4D4E-B48D-DF0AC2573FF4}"/>
    <hyperlink ref="U409" r:id="rId390" xr:uid="{440515F1-6623-8D48-A967-543E7BC6F4BF}"/>
    <hyperlink ref="U410" r:id="rId391" display="mailto:adrianaurgiles44@gmail.com" xr:uid="{67254393-2AB8-EE47-B462-88B38629736D}"/>
    <hyperlink ref="U411" r:id="rId392" display="mailto:adrianaurgiles44@gmail.com" xr:uid="{E4D32511-B55E-AD41-997D-54BE8DC838C0}"/>
    <hyperlink ref="U412" r:id="rId393" display="mailto:jorgemendez5@hotmail.com" xr:uid="{B889D74B-99C0-3744-A837-220AC0D4B423}"/>
    <hyperlink ref="U413" r:id="rId394" display="mailto:jorgemendez5@hotmail.com" xr:uid="{92C6CDB8-E801-0343-9FB9-1F0B2DD375A8}"/>
    <hyperlink ref="U414" r:id="rId395" display="mailto:jorgemendez5@hotmail.com" xr:uid="{B9B760A6-8E9D-594D-9D13-FB3848717326}"/>
    <hyperlink ref="U415" r:id="rId396" display="mailto:ecuasa@hotmail.com" xr:uid="{E969F73C-555A-B346-A451-3F743FEB7CA4}"/>
    <hyperlink ref="U416" r:id="rId397" display="mailto:ecuasa@hotmail.com" xr:uid="{3AE1B352-BECA-5649-8769-4A6B3D13FBBA}"/>
    <hyperlink ref="U417" r:id="rId398" display="mailto:ecuasa@hotmail.com" xr:uid="{49A9EF72-FA7D-3C44-98F2-CEA7E0F6EB11}"/>
    <hyperlink ref="U418" r:id="rId399" display="mailto:ecuasa@hotmail.com" xr:uid="{09D7FFE8-3D31-EF40-8134-2E9A1AA18194}"/>
    <hyperlink ref="U419" r:id="rId400" display="mailto:ecuasa@hotmail.com" xr:uid="{BE494EED-3D33-6949-AAB1-7A6E0467D441}"/>
    <hyperlink ref="U420" r:id="rId401" display="mailto:ecuasa@hotmail.com" xr:uid="{1F0E27D7-2F6E-BA4D-AF6A-0275E231880D}"/>
    <hyperlink ref="U421" r:id="rId402" display="mailto:ecuasa@hotmail.com" xr:uid="{42C7EB00-7FB4-C444-8496-BBFCFAB20BBD}"/>
    <hyperlink ref="U422" r:id="rId403" display="mailto:ecuasa@hotmail.com" xr:uid="{F3256239-B72E-4345-A414-8F83B3DB647B}"/>
    <hyperlink ref="U423" r:id="rId404" display="mailto:ecuasa@hotmail.com" xr:uid="{D0C7A471-E5DC-D543-8486-51866C9604F5}"/>
    <hyperlink ref="U424" r:id="rId405" display="mailto:ecuasa@hotmail.com" xr:uid="{6544C528-BAEA-B74B-825C-C98643C06BC9}"/>
    <hyperlink ref="U425" r:id="rId406" display="mailto:marceabad@hotmail.com" xr:uid="{DD28D06A-E4F4-D340-B174-1AADD49A933D}"/>
    <hyperlink ref="U426" r:id="rId407" display="mailto:marceabad@hotmail.com" xr:uid="{457B3C6E-FD2D-4C42-BBE3-5C777D6F06A4}"/>
    <hyperlink ref="U427" r:id="rId408" display="mailto:plazacarmen834@hotmail.com" xr:uid="{67BA27C4-FEFC-7D48-B131-718F7BA9F5DE}"/>
    <hyperlink ref="U428" r:id="rId409" display="mailto:plazacarmen834@hotmail.com" xr:uid="{D5213D9E-0958-D142-A09D-400681D6AAC1}"/>
    <hyperlink ref="U429" r:id="rId410" display="mailto:plazacarmen834@hotmail.com" xr:uid="{E58EEB80-1BD7-744A-A4A5-68841D260A78}"/>
    <hyperlink ref="U430" r:id="rId411" display="mailto:djia_mjac@hotmail.com" xr:uid="{E8C024CA-8871-1345-B733-797716D99165}"/>
    <hyperlink ref="U431" r:id="rId412" display="mailto:djia_mjac@hotmail.com" xr:uid="{E3767622-858F-E542-BA3C-C56317D71E39}"/>
    <hyperlink ref="U432" r:id="rId413" display="mailto:eeorellana@hotmail.com" xr:uid="{9FDA6282-1A0D-5C4E-8C04-8C00B40C916E}"/>
    <hyperlink ref="U433" r:id="rId414" display="mailto:eeorellana@hotmail.com" xr:uid="{D35B6333-5BFC-2542-B247-053C0C8BB9F4}"/>
    <hyperlink ref="U434" r:id="rId415" display="mailto:sayuribu24@gmail.com" xr:uid="{FFF3F1E3-F7A9-244E-81B1-A3213AB2CAE5}"/>
    <hyperlink ref="U435" r:id="rId416" display="mailto:sayuribu24@gmail.com" xr:uid="{BB29C94D-CF52-6246-BA61-6DCB5C2848F3}"/>
    <hyperlink ref="U436" r:id="rId417" display="mailto:paolaurgilesv@gmail.com" xr:uid="{0CB01014-E305-6745-8955-C91D0CA927B2}"/>
    <hyperlink ref="U437" r:id="rId418" display="mailto:paolaurgilesv@gmail.com" xr:uid="{A5CB29C5-C240-D04D-8AA6-79F17E3FF99E}"/>
    <hyperlink ref="U438" r:id="rId419" display="mailto:paolaurgilesv@gmail.com" xr:uid="{45263BF0-0EDA-514A-B85D-DDAB03AB39C7}"/>
    <hyperlink ref="U439" r:id="rId420" display="mailto:paolaurgilesv@gmail.com" xr:uid="{CF7A4BBF-7929-AF45-A71E-33BDB31CC9B4}"/>
    <hyperlink ref="U440" r:id="rId421" display="mailto:tiestojj7-34@hotmail.com" xr:uid="{74A16C1A-65FE-6545-8D1E-ABEFFEC37EB9}"/>
    <hyperlink ref="U441" r:id="rId422" display="mailto:tiestojj7-34@hotmail.com" xr:uid="{66A95C6D-5ED2-1540-AC5D-42EAEA73D546}"/>
    <hyperlink ref="U442" r:id="rId423" display="mailto:alexamor.1208@gmail.com" xr:uid="{C4442CD9-1839-224A-9839-8132BDD245C5}"/>
    <hyperlink ref="U443" r:id="rId424" display="mailto:alexamor.1208@gmail.com" xr:uid="{46E5BFA5-5D72-B74F-82C6-A122C5D2ADCD}"/>
    <hyperlink ref="U444" r:id="rId425" display="mailto:fabian.figueroa76@hotmail.com" xr:uid="{87699050-A9D7-8347-820F-065578697446}"/>
    <hyperlink ref="U445" r:id="rId426" display="mailto:fabian.figueroa76@hotmail.com" xr:uid="{B9FD4A8D-68A4-BF45-BCC6-8DCDE77C3AA5}"/>
    <hyperlink ref="U446" r:id="rId427" display="mailto:fabian.figueroa76@hotmail.com" xr:uid="{3B389B4E-C3DB-0F4B-9D2F-711156281F31}"/>
    <hyperlink ref="U447" r:id="rId428" display="mailto:juanpatriciorivera@hotmail.com" xr:uid="{C16A2A93-ABD8-D34F-ABAA-C89832F6AEE1}"/>
    <hyperlink ref="U448" r:id="rId429" display="mailto:juanpatriciorivera@hotmail.com" xr:uid="{AF2A5133-C8A9-9D45-B072-ED622A0D7D66}"/>
    <hyperlink ref="U449" r:id="rId430" display="mailto:rgarzon48@gmail.com" xr:uid="{FA1CB4B8-B5FB-D64D-AFC9-720D503B784C}"/>
    <hyperlink ref="U450" r:id="rId431" display="mailto:rgarzon48@gmail.com" xr:uid="{7C1C8225-D2D4-3E46-A882-052DFC56F264}"/>
    <hyperlink ref="U451" r:id="rId432" display="mailto:rgarzon48@gmail.com" xr:uid="{295D6901-F033-354F-BD52-E68270675484}"/>
    <hyperlink ref="U452" r:id="rId433" display="mailto:mcrivera.brvo@gmail.com" xr:uid="{779EB699-7516-AA48-97F7-95314F6942AA}"/>
    <hyperlink ref="U453" r:id="rId434" display="mailto:mcrivera.brvo@gmail.com" xr:uid="{24C69163-217A-1D48-8ECB-46DB89285330}"/>
    <hyperlink ref="U454" r:id="rId435" display="mailto:maria.enderica@yahoo.com" xr:uid="{243A785F-FE09-2B4A-8BBD-DEF1FCCC8594}"/>
    <hyperlink ref="U455" r:id="rId436" display="mailto:maria.enderica@yahoo.com" xr:uid="{A4123128-A798-A142-99DE-C6D5456FA7B6}"/>
    <hyperlink ref="U456" r:id="rId437" display="mailto:responsable1@hotmail.com" xr:uid="{5ADB916D-632A-4D46-8BEA-74C2A63D918C}"/>
    <hyperlink ref="U457" r:id="rId438" display="mailto:responsable1@hotmail.com" xr:uid="{4929EB4B-58DD-1D49-AF99-091E4BBA6CA0}"/>
    <hyperlink ref="U458" r:id="rId439" display="mailto:jeimisramosmonopi@hotmail.com" xr:uid="{BBDD32AF-1EC7-EA46-8758-16B4229C8CDF}"/>
    <hyperlink ref="U459" r:id="rId440" display="mailto:jeimisramosmonopi@hotmail.com" xr:uid="{4363F697-A0CF-F54B-9680-05A72ABE6FA0}"/>
    <hyperlink ref="U460" r:id="rId441" display="mailto:info@redoffice.ec" xr:uid="{626AF9BE-B837-DF42-AB3B-9A01CD76B7C3}"/>
    <hyperlink ref="U461" r:id="rId442" display="mailto:info@redoffice.ec" xr:uid="{687AE536-2468-2A45-8AF3-937EFFA0EFC8}"/>
    <hyperlink ref="U462" r:id="rId443" display="mailto:info@redoffice.ec" xr:uid="{9350950A-33D1-2A4F-A36D-248871B1D46B}"/>
    <hyperlink ref="U463" r:id="rId444" display="mailto:analucia.illescas@gmail.com" xr:uid="{2999C584-5DED-744C-8CA1-BCF118EB10D1}"/>
    <hyperlink ref="U464" r:id="rId445" display="mailto:analucia.illescas@gmail.com" xr:uid="{6C76D6D2-0528-3B46-900F-9D973B21D680}"/>
    <hyperlink ref="U465" r:id="rId446" display="mailto:analucia.illescas@gmail.com" xr:uid="{2B409337-6495-1849-AF23-58CF765F7115}"/>
    <hyperlink ref="U466" r:id="rId447" display="mailto:analucia.illescas@gmail.com" xr:uid="{2AA01C59-EB26-414E-81A3-45A2E92CD3FE}"/>
    <hyperlink ref="U467" r:id="rId448" display="mailto:estebansarmientocobos@gmail.com" xr:uid="{4A1EDCAB-0DA4-134D-ACB5-AC939E841464}"/>
    <hyperlink ref="U468" r:id="rId449" display="mailto:estebansarmientocobos@gmail.com" xr:uid="{7FADE493-22F4-554A-AE3B-775BD76555A2}"/>
    <hyperlink ref="U469" r:id="rId450" display="mailto:estebansarmientocobos@gmail.com" xr:uid="{EF3A0F8A-20B5-FB40-AF32-1C00F4A8B11C}"/>
    <hyperlink ref="U470" r:id="rId451" display="mailto:prici.verdugo@gmail.com" xr:uid="{522B272A-34A8-4D42-A365-25226A73AD56}"/>
    <hyperlink ref="U471" r:id="rId452" display="mailto:prici.verdugo@gmail.com" xr:uid="{412B5A27-89DF-6A43-8ECF-F1379228790B}"/>
    <hyperlink ref="U472" r:id="rId453" display="mailto:mhicapie380@gmail.com" xr:uid="{90B744FD-C4CC-D642-8D27-6DD4F2BA63E3}"/>
    <hyperlink ref="U473" r:id="rId454" display="mailto:mhicapie380@gmail.com" xr:uid="{6235A281-FA5E-C840-97E3-0B63A4CAA7D3}"/>
    <hyperlink ref="U474" r:id="rId455" display="mailto:pedro.a.89@hotmail.com" xr:uid="{75EAE73F-18B5-734B-B547-50DB72BB9B5D}"/>
    <hyperlink ref="U475" r:id="rId456" display="mailto:pedro.a.89@hotmail.com" xr:uid="{EB83069A-1CF3-1D4B-A04A-5AD592BBB953}"/>
    <hyperlink ref="U476" r:id="rId457" display="mailto:fati.toral.leon@gmail.com" xr:uid="{E689871D-E8B2-8940-A0FA-3D22AD1061BD}"/>
    <hyperlink ref="U477" r:id="rId458" display="mailto:fati.toral.leon@gmail.com" xr:uid="{9104A3E2-E97E-F14F-AB21-0721CB281FCF}"/>
    <hyperlink ref="U478" r:id="rId459" display="mailto:jerp63@gmail.com" xr:uid="{6E256A13-ED69-C244-B004-00226EFEC3D9}"/>
    <hyperlink ref="U479" r:id="rId460" display="mailto:jerp63@gmail.com" xr:uid="{73D67422-440F-4541-91D8-AA54364C5C43}"/>
    <hyperlink ref="U480" r:id="rId461" display="mailto:ana.elisabeth.ochoa@hotmai;l.com" xr:uid="{C4408155-C877-FC4B-B8CB-6E6442841DD6}"/>
    <hyperlink ref="U481" r:id="rId462" display="mailto:ana.elisabeth.ochoa@hotmai;l.com" xr:uid="{A285257D-ADF2-EE47-B064-88DF8B209DCF}"/>
    <hyperlink ref="U482" r:id="rId463" display="mailto:viciciopullas1959@hotmail.com" xr:uid="{A7849958-FE01-3547-B3B6-7B07E23208E3}"/>
    <hyperlink ref="U483" r:id="rId464" display="mailto:viciciopullas1959@hotmail.com" xr:uid="{F0089AA4-943C-4848-BCBF-C9314520EC1D}"/>
    <hyperlink ref="U484" r:id="rId465" display="mailto:viciciopullas1959@hotmail.com" xr:uid="{A0A1BCAF-CA69-FC43-9CC3-41BF062A9ABF}"/>
    <hyperlink ref="U485" r:id="rId466" display="mailto:viciciopullas1959@hotmail.com" xr:uid="{88EF2EFB-B728-044A-9841-D04862620826}"/>
    <hyperlink ref="U486" r:id="rId467" display="mailto:patho1924@gmail.com" xr:uid="{AB60309F-2635-FB45-B30B-DED247E0DF38}"/>
    <hyperlink ref="U487" r:id="rId468" display="mailto:patho1924@gmail.com" xr:uid="{7D68A7F2-B383-C449-AD5A-DA71F17879CB}"/>
    <hyperlink ref="U488" r:id="rId469" display="mailto:juanca7010@hotmail.com" xr:uid="{E4827D1A-4552-9345-B03C-D333090DF3BA}"/>
    <hyperlink ref="U489" r:id="rId470" display="mailto:juanca7010@hotmail.com" xr:uid="{E1E517C8-A2A1-B848-96BD-B550E79E3DBC}"/>
    <hyperlink ref="U490" r:id="rId471" display="mailto:Isantiagov@live.com" xr:uid="{D0BBF7DA-161A-B540-92D4-434D57FB563F}"/>
    <hyperlink ref="U491" r:id="rId472" display="mailto:Isantiagov@live.com" xr:uid="{24F12BAD-B357-C742-876C-DFF4A9B228F5}"/>
    <hyperlink ref="U492" r:id="rId473" display="mailto:Isantiagov@live.com" xr:uid="{FB1C6E68-3F83-994B-9FB0-AB9737A94B44}"/>
    <hyperlink ref="U493" r:id="rId474" xr:uid="{8086AAAB-E15F-FB4B-9E15-61F5EB9AAF22}"/>
    <hyperlink ref="U494" r:id="rId475" xr:uid="{08D4FC8A-904C-1242-A580-B1449086D265}"/>
    <hyperlink ref="U495" r:id="rId476" xr:uid="{45B53BD5-FE15-984C-BE1A-4F5C7DABD70E}"/>
    <hyperlink ref="U498" r:id="rId477" xr:uid="{DBA2AFD7-0C64-0E4A-9D53-9AD7E005C356}"/>
    <hyperlink ref="U499" r:id="rId478" xr:uid="{8BAA463B-A29A-A047-9782-454B7E749E4A}"/>
    <hyperlink ref="U500" r:id="rId479" xr:uid="{9FBA0D43-2047-AE44-9183-CA10F8159262}"/>
    <hyperlink ref="U501" r:id="rId480" xr:uid="{70C0294E-C3CA-5741-BCD1-A84D59E053D8}"/>
    <hyperlink ref="U502" r:id="rId481" xr:uid="{09672C6B-E18D-5145-BBAA-2EDA719E5D75}"/>
    <hyperlink ref="U503" r:id="rId482" xr:uid="{D36A7614-D12B-0844-8AC3-1790AD5D27E1}"/>
    <hyperlink ref="U504" r:id="rId483" xr:uid="{E0F6FFAB-5725-054B-9AEB-5573C604CF6B}"/>
    <hyperlink ref="U505" r:id="rId484" xr:uid="{891AE5CA-2449-E04A-BAC8-E5E75621B1D2}"/>
    <hyperlink ref="U506" r:id="rId485" xr:uid="{A0AA61CD-D1F4-3B4C-99D4-CFBF679D7664}"/>
    <hyperlink ref="U507" r:id="rId486" xr:uid="{5A55C415-00E4-8142-8BD6-EF1FE2187C61}"/>
    <hyperlink ref="U508" r:id="rId487" xr:uid="{FAB69AE8-E2A6-AE4C-BEB3-7243457C7EC7}"/>
    <hyperlink ref="U509" r:id="rId488" xr:uid="{03DDE7DC-804A-914F-9FFA-E21EDCC8BA6B}"/>
    <hyperlink ref="U510" r:id="rId489" xr:uid="{2762EA76-2F58-6B4B-A538-7BE9CC505A19}"/>
    <hyperlink ref="U511" r:id="rId490" xr:uid="{3F0A60F3-ECCD-534E-973E-1E3CDCDEDD0C}"/>
    <hyperlink ref="U512" r:id="rId491" xr:uid="{95907511-5DDF-0C4F-87FB-63D46624A537}"/>
    <hyperlink ref="U513" r:id="rId492" xr:uid="{D048F691-2A4B-444E-A40E-DBEB9FA3285F}"/>
    <hyperlink ref="U514" r:id="rId493" xr:uid="{8D1A25CE-0D09-C240-901E-E7BF5FD14C09}"/>
    <hyperlink ref="U515" r:id="rId494" xr:uid="{2E1345AF-5A25-9143-B631-FFC39630E95B}"/>
    <hyperlink ref="U516" r:id="rId495" xr:uid="{757F04A4-99ED-7D48-BC16-20EBF193E860}"/>
    <hyperlink ref="U517" r:id="rId496" xr:uid="{DF96929B-325C-6044-9695-ABDEA03BC2FD}"/>
    <hyperlink ref="U518" r:id="rId497" xr:uid="{65F0A3A4-B18F-CF4F-8DB8-FF032EFC021E}"/>
    <hyperlink ref="U519" r:id="rId498" xr:uid="{0F1D4EE6-F803-B446-B08A-E148786F05BB}"/>
    <hyperlink ref="U523" r:id="rId499" xr:uid="{43636D33-7278-5B45-84EF-825428C69EBC}"/>
    <hyperlink ref="U524" r:id="rId500" xr:uid="{5B274B3A-5DA1-DA4E-A052-E681C33F8EAB}"/>
    <hyperlink ref="U525" r:id="rId501" xr:uid="{AC6206EA-BCB6-2741-B7DC-7EE497DA4329}"/>
    <hyperlink ref="U526" r:id="rId502" xr:uid="{0EF9EE24-D127-3644-8284-7774385BE92F}"/>
    <hyperlink ref="U527" r:id="rId503" xr:uid="{F51C5521-EE84-7647-BC6A-D1BCB1F1445B}"/>
    <hyperlink ref="U528" r:id="rId504" xr:uid="{13ABBA0A-4DD3-204A-AF1C-797B3ABAD74A}"/>
    <hyperlink ref="U529" r:id="rId505" xr:uid="{DBB579EE-90C5-8446-B751-583C2AC31D10}"/>
    <hyperlink ref="U530" r:id="rId506" xr:uid="{C854ED37-DD1C-574F-84BE-9112E2585546}"/>
    <hyperlink ref="U531" r:id="rId507" xr:uid="{A684CA33-FE5C-144B-A015-AEF5D08527AD}"/>
    <hyperlink ref="U532" r:id="rId508" xr:uid="{DADECE54-E541-1948-8A8F-9478683874FC}"/>
    <hyperlink ref="U533" r:id="rId509" xr:uid="{E894C967-7799-2541-B6A0-436CB253269A}"/>
    <hyperlink ref="U534" r:id="rId510" xr:uid="{FAE70654-D99D-0D43-A1CB-9AD52F6A51F7}"/>
    <hyperlink ref="U535" r:id="rId511" xr:uid="{C7C2F29E-3C50-8B46-9DAF-FF07CCD2C4FF}"/>
    <hyperlink ref="U536" r:id="rId512" xr:uid="{1BD0EDC5-705E-5C45-BBA1-7055070C5FA9}"/>
    <hyperlink ref="U537" r:id="rId513" xr:uid="{C14ABFF2-B128-2C4F-9861-EA115BD07ED7}"/>
    <hyperlink ref="U538" r:id="rId514" xr:uid="{BAE99DA3-1A44-A44B-B612-B72166CCE53E}"/>
    <hyperlink ref="U539" r:id="rId515" xr:uid="{EF8D3D44-C21E-9548-B6A4-C8D84BACAAD8}"/>
    <hyperlink ref="U540" r:id="rId516" xr:uid="{55BE6FB2-A99D-554D-8F8C-B0476D49CF79}"/>
    <hyperlink ref="U541" r:id="rId517" xr:uid="{8707601C-6897-8B40-B533-67BE3940341B}"/>
    <hyperlink ref="U542" r:id="rId518" xr:uid="{E5DC7712-0131-AB4E-B513-B64377AE2B73}"/>
    <hyperlink ref="U543" r:id="rId519" xr:uid="{907E91E9-0735-3C40-8188-5B1CB66711BB}"/>
    <hyperlink ref="U544" r:id="rId520" xr:uid="{A0B90938-52B5-A046-A052-E8ECF22BF830}"/>
    <hyperlink ref="U545" r:id="rId521" xr:uid="{838D2C1A-C8C2-7F47-8B8F-486AE0F534D2}"/>
    <hyperlink ref="U546" r:id="rId522" xr:uid="{35AB3D93-4E56-7C47-B31F-2C9728BEAEE9}"/>
    <hyperlink ref="U547" r:id="rId523" xr:uid="{8EC282F2-AB07-9D42-ADBD-8D487497FB1A}"/>
    <hyperlink ref="U548" r:id="rId524" xr:uid="{846AD7EE-FB49-424E-BC58-C05AD43E95CF}"/>
    <hyperlink ref="U549" r:id="rId525" xr:uid="{4B1C441D-B1D3-C248-A857-41A43D649650}"/>
    <hyperlink ref="U550" r:id="rId526" xr:uid="{4DD2F6B0-210F-E942-A7AD-9B98AEBFB662}"/>
    <hyperlink ref="U551" r:id="rId527" xr:uid="{B043AFED-695D-904C-9D91-43D29B94A110}"/>
    <hyperlink ref="U552" r:id="rId528" xr:uid="{A160AED3-F489-F64C-9625-362174241FC4}"/>
    <hyperlink ref="U553" r:id="rId529" xr:uid="{59EC7C94-8742-1F41-99DB-8D0F7ED18B58}"/>
    <hyperlink ref="U554" r:id="rId530" xr:uid="{DB827A01-5F87-F545-B4CD-309D1E7BF70F}"/>
    <hyperlink ref="U555" r:id="rId531" xr:uid="{3CFA50C0-30D4-D947-9192-CA0554B18779}"/>
    <hyperlink ref="U556" r:id="rId532" xr:uid="{3F2C051E-E6C3-0744-AB2B-586C6D8BE5B4}"/>
    <hyperlink ref="U557" r:id="rId533" xr:uid="{FE8924F5-9224-0A43-A9CB-49D50B954A31}"/>
    <hyperlink ref="U558" r:id="rId534" xr:uid="{7359CBA7-C801-F444-993B-A882BDB7AC75}"/>
    <hyperlink ref="U559" r:id="rId535" xr:uid="{1ABEAD67-CB6D-D541-8799-CE23EFB64837}"/>
    <hyperlink ref="U560" r:id="rId536" xr:uid="{0FE920CB-7912-F049-9065-D012E8ACA767}"/>
    <hyperlink ref="U561" r:id="rId537" xr:uid="{1DF0AB1D-20DF-684A-9569-1028F78033AC}"/>
    <hyperlink ref="U562" r:id="rId538" xr:uid="{7CB9E74F-5F91-6345-B467-2D2213E5D794}"/>
    <hyperlink ref="U563" r:id="rId539" xr:uid="{9D8902AD-FDC6-C34F-A6F8-59FBAD6F4429}"/>
    <hyperlink ref="U564" r:id="rId540" xr:uid="{8E995273-D83A-8E43-8A1F-401B3B9E3222}"/>
    <hyperlink ref="U565" r:id="rId541" xr:uid="{FB971110-EE48-D84C-9570-3957629B2402}"/>
    <hyperlink ref="U566" r:id="rId542" xr:uid="{3565D2A7-83D2-A441-A8A8-0776F410B910}"/>
    <hyperlink ref="U567" r:id="rId543" xr:uid="{831B987D-2A2C-4349-969B-4CFD6212C23F}"/>
    <hyperlink ref="U568" r:id="rId544" xr:uid="{75F3B831-1A8D-2148-AEEA-2AA6C6B473F2}"/>
    <hyperlink ref="U569" r:id="rId545" xr:uid="{3DE3E410-ACD9-6F4A-A79C-73ECCE27CDF3}"/>
    <hyperlink ref="U570" r:id="rId546" xr:uid="{F008908F-4A79-154E-B838-CF81F3CCFD9B}"/>
    <hyperlink ref="U571" r:id="rId547" xr:uid="{3F3971A0-E295-5242-8FFD-B68FB4F8455E}"/>
    <hyperlink ref="U572" r:id="rId548" xr:uid="{7AF71019-268F-B24C-9BB4-559D9F683616}"/>
    <hyperlink ref="U573" r:id="rId549" xr:uid="{ABF75F41-6C23-AC4B-B264-613C68DA36FF}"/>
    <hyperlink ref="U574" r:id="rId550" xr:uid="{1EC8F0DA-CB8B-6740-8087-17F6FFA9BD46}"/>
    <hyperlink ref="U575" r:id="rId551" xr:uid="{CE3286A1-7664-E342-BB42-184E114AEE52}"/>
    <hyperlink ref="U576" r:id="rId552" xr:uid="{788E1E16-988B-8A4B-A496-0C101E91C7FA}"/>
    <hyperlink ref="U577" r:id="rId553" xr:uid="{E5B957CA-A2FE-7F46-B300-F6F212854034}"/>
    <hyperlink ref="U578" r:id="rId554" xr:uid="{5773C47E-C428-BB45-B2E7-70457F21B938}"/>
    <hyperlink ref="U579" r:id="rId555" xr:uid="{AFC2584A-BAF5-ED46-BD88-810C2DCCC992}"/>
    <hyperlink ref="U580" r:id="rId556" xr:uid="{B2F8A46A-72C2-2A4E-B1F2-9D44E451F48D}"/>
    <hyperlink ref="U581" r:id="rId557" xr:uid="{5E7D1036-B291-5A48-9AF1-438F25D761C6}"/>
    <hyperlink ref="U582" r:id="rId558" xr:uid="{FB799FF3-D632-FF4A-B42F-D163F4CF6DEC}"/>
    <hyperlink ref="U583" r:id="rId559" xr:uid="{73D191F1-27B6-CE45-B651-D8580B015221}"/>
    <hyperlink ref="U584" r:id="rId560" xr:uid="{8A180B6C-46E5-5D48-B6F8-DBCDD8164116}"/>
    <hyperlink ref="U585" r:id="rId561" xr:uid="{3433A89D-CE45-AE42-A726-F571150A55F8}"/>
    <hyperlink ref="U586" r:id="rId562" xr:uid="{D25D18A3-DD08-624B-A855-D0968ADF549D}"/>
    <hyperlink ref="U587" r:id="rId563" xr:uid="{CD18B986-E267-334F-BF96-53C8C2477A38}"/>
    <hyperlink ref="U588" r:id="rId564" xr:uid="{ED54A8FC-F3CC-A44D-990B-6D121422F517}"/>
    <hyperlink ref="U589" r:id="rId565" xr:uid="{DE674FD8-8C37-3C4D-B788-FA66F3541186}"/>
    <hyperlink ref="U590" r:id="rId566" xr:uid="{6F175784-8A32-7B48-A6E1-1E897E5365CF}"/>
    <hyperlink ref="U591" r:id="rId567" xr:uid="{22964E65-214F-7345-89A0-E4F51824D542}"/>
    <hyperlink ref="U592" r:id="rId568" xr:uid="{8B9CB35D-8A01-2A4E-B2DD-1201796BB2A8}"/>
    <hyperlink ref="U593" r:id="rId569" xr:uid="{E9B284F1-28E9-3C49-A8EE-DB4D4C2ABF1D}"/>
    <hyperlink ref="U594" r:id="rId570" xr:uid="{06466658-A532-284C-A3BA-226B5C9E4AF1}"/>
    <hyperlink ref="U595" r:id="rId571" xr:uid="{A239D33E-0EB8-8A46-B144-D4D5B5DB473B}"/>
    <hyperlink ref="U596" r:id="rId572" xr:uid="{F58ECFFB-B010-9040-A05E-7D363F04E44D}"/>
    <hyperlink ref="U597" r:id="rId573" xr:uid="{4BC1E911-DD88-9F46-88E8-94D7F90737AA}"/>
    <hyperlink ref="U598" r:id="rId574" xr:uid="{B1D1F3A7-2B4B-4349-BD3B-BC8EA356DC93}"/>
    <hyperlink ref="U599" r:id="rId575" xr:uid="{EA34D955-E0D7-0842-B2D5-0E9F1B423C9C}"/>
    <hyperlink ref="U600" r:id="rId576" xr:uid="{7722C8C3-7963-004A-80DC-66C5427B1F15}"/>
    <hyperlink ref="U601" r:id="rId577" xr:uid="{DE77B6A4-EB65-5247-AF61-95B8275C3230}"/>
    <hyperlink ref="U602" r:id="rId578" xr:uid="{772E2CAE-8181-1444-8AAF-B0C8CDC8BF80}"/>
    <hyperlink ref="U603" r:id="rId579" xr:uid="{FFD7B206-0739-BA48-A751-0071EAB1BC9F}"/>
    <hyperlink ref="U604" r:id="rId580" xr:uid="{B4C34168-1328-A64B-8987-12B0A45B19C3}"/>
    <hyperlink ref="U605" r:id="rId581" xr:uid="{CAE0FFDB-AC50-1D44-B079-91D6747EB4E2}"/>
    <hyperlink ref="U606" r:id="rId582" xr:uid="{AE30907E-D543-8344-A16C-53C0C2235B36}"/>
    <hyperlink ref="U607" r:id="rId583" xr:uid="{74DE0682-64E9-D041-806F-B31D36FDAFE1}"/>
    <hyperlink ref="U608" r:id="rId584" xr:uid="{68021BA4-A283-CF4E-B9DD-029C6D106E83}"/>
    <hyperlink ref="U609" r:id="rId585" xr:uid="{56463E43-81FD-E84A-B6F7-5C31028CE487}"/>
    <hyperlink ref="U610" r:id="rId586" xr:uid="{34495058-F450-6247-95F5-FE96FB564EE8}"/>
    <hyperlink ref="U611" r:id="rId587" xr:uid="{04CEA133-D33A-D849-853D-B38CC704E8AD}"/>
    <hyperlink ref="U612" r:id="rId588" xr:uid="{66DAEC5F-E539-DB41-8CA2-25894E068E7F}"/>
    <hyperlink ref="U613" r:id="rId589" xr:uid="{91504205-439A-2C46-A9A9-88A7EA510A8C}"/>
    <hyperlink ref="U614" r:id="rId590" xr:uid="{D42C0E45-5C45-C84B-82CD-801DB75E4B0E}"/>
    <hyperlink ref="U615" r:id="rId591" xr:uid="{62D581DD-0A3E-DD4B-BB38-2014CC76B3A7}"/>
    <hyperlink ref="U616" r:id="rId592" xr:uid="{51023539-19B0-A444-A184-B9E26BF668FC}"/>
    <hyperlink ref="U617" r:id="rId593" xr:uid="{C4CFD48C-C5DE-B048-B006-86F1B0391CC2}"/>
    <hyperlink ref="U618" r:id="rId594" xr:uid="{3A090FA4-59FF-6B4E-B105-035835AEDA63}"/>
    <hyperlink ref="U619" r:id="rId595" xr:uid="{67E4E84E-C297-C546-B68D-86875B8ED768}"/>
    <hyperlink ref="U620" r:id="rId596" xr:uid="{893AF82F-1B0F-2E46-BE67-D571D2B369BC}"/>
    <hyperlink ref="U621" r:id="rId597" xr:uid="{C4E15C5E-0E09-8445-BFD7-A68014174C9F}"/>
    <hyperlink ref="U622" r:id="rId598" xr:uid="{7CF7BFD6-C57B-1949-BCE8-1D6BDAA4684F}"/>
    <hyperlink ref="U623" r:id="rId599" xr:uid="{FE2ED4B1-69F4-2545-93BA-5A9316C00809}"/>
    <hyperlink ref="U624" r:id="rId600" xr:uid="{40758F55-FA43-0E44-B2B5-74A3CCE51285}"/>
    <hyperlink ref="U625" r:id="rId601" xr:uid="{916274BE-3146-C441-AB8A-C980335557BE}"/>
    <hyperlink ref="U631" r:id="rId602" xr:uid="{B1729E29-CAD1-FC4F-9D5A-F7B18D975C5E}"/>
    <hyperlink ref="U632" r:id="rId603" xr:uid="{5BCA2D36-F0C2-D548-AE1E-5B81F6E72EE0}"/>
    <hyperlink ref="U633" r:id="rId604" xr:uid="{E66D27C4-DEC3-D34C-9C01-639D9369F40B}"/>
    <hyperlink ref="U634" r:id="rId605" xr:uid="{936DCB77-E8AB-534C-8037-89375F6A8F55}"/>
    <hyperlink ref="U635" r:id="rId606" xr:uid="{E203FE41-1463-1740-81E2-157BAC772389}"/>
    <hyperlink ref="U636" r:id="rId607" display="mailto:GABYENRIQUEZ21406@GMAIL.COM" xr:uid="{04C67865-2860-D044-9FD6-B9F42EF721A7}"/>
    <hyperlink ref="U626" r:id="rId608" xr:uid="{6C74A85B-A9B2-2847-AF96-CBE61CBC3BCF}"/>
    <hyperlink ref="U627" r:id="rId609" xr:uid="{6224260C-450E-3B41-9696-3FF59AF696BC}"/>
    <hyperlink ref="U628" r:id="rId610" xr:uid="{AE6210BD-F7A8-0A40-A046-5870DB618F88}"/>
    <hyperlink ref="U629" r:id="rId611" xr:uid="{E9F5AC56-A535-024B-A98F-8AA6C6063C6E}"/>
    <hyperlink ref="U630" r:id="rId612" xr:uid="{4D6DC68B-9B29-7B40-84A0-ECBC95267F2C}"/>
    <hyperlink ref="U637" r:id="rId613" xr:uid="{545AB4A3-B5AA-0641-BC19-2B8B35CB39D7}"/>
    <hyperlink ref="U638" r:id="rId614" xr:uid="{103F8E8A-6590-C140-A68D-9B98EF3356CF}"/>
    <hyperlink ref="U639" r:id="rId615" xr:uid="{8A49A987-B557-7646-9C2C-2E1EBD192053}"/>
    <hyperlink ref="U640" r:id="rId616" xr:uid="{9787A4E1-63C8-2A4D-B0E1-2AA7336869E4}"/>
    <hyperlink ref="U641" r:id="rId617" xr:uid="{1BB62212-A2DB-8B48-9BDB-0801CB50D3FD}"/>
    <hyperlink ref="U642" r:id="rId618" xr:uid="{5B6B05BE-711C-644E-8327-8A0C73231FE9}"/>
    <hyperlink ref="U643" r:id="rId619" xr:uid="{E19DF78B-09E9-CF49-84A4-227D05F3662A}"/>
    <hyperlink ref="U648" r:id="rId620" xr:uid="{DB44FC4A-6D07-E24A-AF0E-A0D7C7C59242}"/>
    <hyperlink ref="U649" r:id="rId621" xr:uid="{0CAE5E31-283A-FF4A-8450-688C5A2A045D}"/>
    <hyperlink ref="U650" r:id="rId622" xr:uid="{B2A9E3B7-CA6E-E04F-901D-F39F2A8B9DC0}"/>
    <hyperlink ref="U651" r:id="rId623" xr:uid="{88B19857-CB70-7A4F-8136-9766CC2001CA}"/>
    <hyperlink ref="U652" r:id="rId624" xr:uid="{C2427287-3146-4E49-ACF8-BB7783418627}"/>
    <hyperlink ref="U653" r:id="rId625" xr:uid="{25672D91-4F13-6742-95FA-3B40B86FD854}"/>
    <hyperlink ref="U654" r:id="rId626" xr:uid="{51966493-CDF9-774B-AF09-D168547F7F31}"/>
    <hyperlink ref="U655" r:id="rId627" xr:uid="{891BE821-E36B-7A4E-A0DB-80F976B5BC9C}"/>
    <hyperlink ref="U656" r:id="rId628" xr:uid="{9764A9E0-0C98-434C-9486-9507110321BD}"/>
    <hyperlink ref="U657" r:id="rId629" display="mailto:J.C.QUIMIFARM@HOTMAIL.COM" xr:uid="{BD680497-14DF-2042-82C5-49FBB6126B7A}"/>
    <hyperlink ref="U662" r:id="rId630" xr:uid="{99200623-E43E-3A42-8A79-13D635A47A6B}"/>
    <hyperlink ref="U663" r:id="rId631" xr:uid="{25D2F779-3181-7647-B875-C0014E5521E9}"/>
    <hyperlink ref="U664" r:id="rId632" xr:uid="{F4157931-B6CD-8F48-B67B-9993EF38C35E}"/>
    <hyperlink ref="U665" r:id="rId633" xr:uid="{4A9EDBDA-E7D6-5440-9653-303F68E450D1}"/>
    <hyperlink ref="U666" r:id="rId634" xr:uid="{37DCB7B4-B3CB-8F43-ABC4-306DB5CBA71F}"/>
    <hyperlink ref="U667" r:id="rId635" xr:uid="{02F03149-1404-334D-BA44-B0B1D4127F4D}"/>
    <hyperlink ref="U668" r:id="rId636" xr:uid="{16E1BF14-7B92-5B49-805B-17CCDCA9A3AB}"/>
    <hyperlink ref="U669" r:id="rId637" display="mailto:JHONHIDALGO1987@GMAIL.COM" xr:uid="{CCAF0297-7C08-4848-9874-26A50DD42B03}"/>
    <hyperlink ref="U670" r:id="rId638" xr:uid="{C97BA8A4-63AB-9E42-B30C-4B24702D1DC0}"/>
    <hyperlink ref="U671" r:id="rId639" xr:uid="{4EFCB9E3-562F-2A4C-9304-0603B892FDB5}"/>
    <hyperlink ref="U672" r:id="rId640" xr:uid="{E516D7F2-2413-884B-9937-8B3025124F7B}"/>
    <hyperlink ref="U673" r:id="rId641" xr:uid="{01FB5E36-B4DD-6145-BDC8-6504639D94C9}"/>
    <hyperlink ref="U674" r:id="rId642" xr:uid="{39A20190-28B6-B74A-822C-C8877C769EEE}"/>
    <hyperlink ref="U675" r:id="rId643" xr:uid="{53844050-98F6-7647-9BE5-372E7375B410}"/>
    <hyperlink ref="U676" r:id="rId644" xr:uid="{12C33721-A4E0-2749-AE78-6DA09DFE5B35}"/>
    <hyperlink ref="U677" r:id="rId645" xr:uid="{F3173C59-A19E-4540-A332-0898507C00FE}"/>
    <hyperlink ref="U678" r:id="rId646" xr:uid="{254DA355-7499-4346-BA22-6849A66145EE}"/>
    <hyperlink ref="U679" r:id="rId647" xr:uid="{96C1D1A4-BEF3-7D4C-8F1F-A7FD2715E8CD}"/>
    <hyperlink ref="U680" r:id="rId648" xr:uid="{23317B72-4D92-A743-8C7E-9A0634650799}"/>
    <hyperlink ref="U681" r:id="rId649" xr:uid="{143DAEE8-F317-6A4E-9735-688503E85104}"/>
    <hyperlink ref="U682" r:id="rId650" xr:uid="{5C758697-0B92-4545-991A-B17FCD877E8D}"/>
    <hyperlink ref="U683" r:id="rId651" xr:uid="{780894FC-FD25-A24C-94E8-674C3411CAD2}"/>
    <hyperlink ref="U684" r:id="rId652" xr:uid="{78377D08-D613-B34A-B39B-D5C4C3DEC033}"/>
    <hyperlink ref="U685" r:id="rId653" xr:uid="{88B2AABD-20B6-9449-B7D1-52AC592DBAAF}"/>
    <hyperlink ref="U686" r:id="rId654" xr:uid="{3F594F47-5E5B-1444-840F-1B72C4F2C6F1}"/>
    <hyperlink ref="U687" r:id="rId655" xr:uid="{A0A52F3A-5A77-B447-95EA-565FAF9F20F9}"/>
    <hyperlink ref="U688" r:id="rId656" xr:uid="{BB2E44CB-5F53-1F42-A52D-ABC4EE0037BE}"/>
    <hyperlink ref="U689" r:id="rId657" xr:uid="{71EB1E01-625B-A94E-A3C6-E4382A0076AE}"/>
    <hyperlink ref="U690" r:id="rId658" xr:uid="{2973E1F7-1898-7846-8162-36078A205E7E}"/>
    <hyperlink ref="U691" r:id="rId659" xr:uid="{A3667386-1F02-2643-971D-6C9439EF9EE1}"/>
    <hyperlink ref="U692" r:id="rId660" xr:uid="{6F4AD29E-7D5D-EB42-A693-1F14F2D503F7}"/>
    <hyperlink ref="U693" r:id="rId661" xr:uid="{0EC0D6CC-F0DE-1148-8A14-3D2AA3E58B58}"/>
    <hyperlink ref="U694" r:id="rId662" xr:uid="{7CA8B975-A013-A04D-BC73-5D0C382105A5}"/>
    <hyperlink ref="U695" r:id="rId663" xr:uid="{C20886CB-CC4F-3B44-8ADF-7025093022E0}"/>
    <hyperlink ref="U696" r:id="rId664" xr:uid="{40211651-3229-9542-B49F-7E05AFFA5802}"/>
    <hyperlink ref="U697" r:id="rId665" xr:uid="{53F92586-AF04-7D43-BFED-A2EF59AE9149}"/>
    <hyperlink ref="U698" r:id="rId666" xr:uid="{4538B18C-C259-2A4B-A94D-E7907DDE6752}"/>
    <hyperlink ref="U704" r:id="rId667" xr:uid="{BC619DF8-B286-2842-B0B4-FB84517F458B}"/>
    <hyperlink ref="U705" r:id="rId668" xr:uid="{94ABB074-016B-2948-AF40-A26A823AE120}"/>
    <hyperlink ref="U699" r:id="rId669" xr:uid="{0E74D35A-FBFA-A547-8B5C-AE36B401C398}"/>
    <hyperlink ref="U700" r:id="rId670" xr:uid="{052F6B31-2375-A54D-9628-4F4F5D62CE59}"/>
    <hyperlink ref="U701" r:id="rId671" xr:uid="{37B44E89-858B-1F4E-9BF4-9EC5939CC33A}"/>
    <hyperlink ref="U702" r:id="rId672" xr:uid="{3EA56E56-057B-4E43-923C-B58538D9482E}"/>
    <hyperlink ref="U703" r:id="rId673" xr:uid="{90D80300-902E-5C4D-A905-80C4D57D7EE0}"/>
    <hyperlink ref="U706" r:id="rId674" xr:uid="{8696A5CB-263D-A64C-9641-FD55AAD8B58E}"/>
    <hyperlink ref="U707" r:id="rId675" xr:uid="{3D11BD1D-5FAB-E945-A807-D53CC7C7D945}"/>
    <hyperlink ref="U708" r:id="rId676" xr:uid="{0D75BBB4-0A52-7044-B5E5-E45B473B236E}"/>
    <hyperlink ref="U709" r:id="rId677" xr:uid="{908E4C92-3EBE-1144-B1E1-7F71E3ABEF43}"/>
    <hyperlink ref="U710" r:id="rId678" xr:uid="{D34EDD47-A423-4C47-994A-A6A43B0EAB3D}"/>
    <hyperlink ref="U711" r:id="rId679" xr:uid="{F614350E-6192-654B-B03E-D96A13642EF9}"/>
    <hyperlink ref="U712" r:id="rId680" xr:uid="{F239A423-95CE-5944-9767-78E4F0D66A24}"/>
    <hyperlink ref="U713" r:id="rId681" xr:uid="{4449A231-F77F-3345-A290-244076AB9ADF}"/>
    <hyperlink ref="U714" r:id="rId682" xr:uid="{0C6CBECF-CAAC-FB44-B9C4-5460F53D7E36}"/>
    <hyperlink ref="U715" r:id="rId683" xr:uid="{2BF90073-3FFD-8A47-A686-A171773A26DC}"/>
    <hyperlink ref="U716" r:id="rId684" xr:uid="{A7E4C534-C3F0-414D-A801-3C6728C0AA07}"/>
    <hyperlink ref="U717" r:id="rId685" xr:uid="{E665B375-D29C-CE42-90AF-FB9F7E86E650}"/>
    <hyperlink ref="U718" r:id="rId686" xr:uid="{E48DB45F-4A64-0442-9AF6-DBBCD9E7954A}"/>
    <hyperlink ref="U719" r:id="rId687" xr:uid="{E21F9ACE-102F-7E4E-8506-6421111FAFB6}"/>
    <hyperlink ref="U720" r:id="rId688" xr:uid="{FEC243B0-4E40-EE46-91EA-34963317E6D0}"/>
    <hyperlink ref="U721" r:id="rId689" xr:uid="{76B67835-AEAC-C44D-8EF9-85AC70D2AD3D}"/>
    <hyperlink ref="U644" r:id="rId690" xr:uid="{2991CAF3-5EA9-D34B-9131-47EC40E973CE}"/>
    <hyperlink ref="U645:U647" r:id="rId691" display="T.GONZALES@ICLOUD.COM" xr:uid="{9A316201-EDCA-B240-BF10-93984D45FCE1}"/>
    <hyperlink ref="U722" r:id="rId692" xr:uid="{AF42A5FD-CC12-1648-B9AE-03A3F075642F}"/>
    <hyperlink ref="U723" r:id="rId693" xr:uid="{A9BC6D05-F2AB-074C-B538-6027AF53CEC3}"/>
    <hyperlink ref="U724" r:id="rId694" xr:uid="{86A02C5F-33CC-CA43-AD5A-EBA55C79BF6B}"/>
    <hyperlink ref="U725" r:id="rId695" xr:uid="{29E269BD-44D1-9141-88C4-2A63E233585B}"/>
    <hyperlink ref="U726" r:id="rId696" xr:uid="{B431CC66-C1A4-FE41-B0B9-A81A3A4B31C4}"/>
    <hyperlink ref="U727" r:id="rId697" xr:uid="{224E376B-D79A-9348-903E-BB828A63967F}"/>
    <hyperlink ref="U658" r:id="rId698" xr:uid="{993FF07D-22B0-404D-9E68-138EBDE1671C}"/>
    <hyperlink ref="U659" r:id="rId699" xr:uid="{1A057A86-2D51-EF42-8A49-C56EB3A60CEC}"/>
    <hyperlink ref="U660" r:id="rId700" xr:uid="{580F57EE-C6EA-E644-8499-BE9DC5E97669}"/>
    <hyperlink ref="U661" r:id="rId701" xr:uid="{42A56314-3246-C047-B80B-EF30BB149B1E}"/>
    <hyperlink ref="U728" r:id="rId702" xr:uid="{A9A972E0-B40F-134E-8D08-DC28EA1145F8}"/>
    <hyperlink ref="U729" r:id="rId703" xr:uid="{EEF9BBDD-BCC3-3844-8267-21A32A4D9937}"/>
    <hyperlink ref="U730" r:id="rId704" xr:uid="{0377D957-6189-6D4E-924B-379B648DE834}"/>
    <hyperlink ref="U731" r:id="rId705" xr:uid="{B9B322BA-DC98-7445-9624-8B6139DE8B51}"/>
    <hyperlink ref="U732" r:id="rId706" xr:uid="{0969A418-0F57-4E49-8F1A-E873D38F6853}"/>
    <hyperlink ref="U733" r:id="rId707" xr:uid="{0638264F-AB9A-9B47-8D19-F73087553B95}"/>
    <hyperlink ref="U734" r:id="rId708" xr:uid="{10868194-9800-B64D-A8FA-60082E9387D8}"/>
    <hyperlink ref="U735" r:id="rId709" xr:uid="{5FB0E560-B6BB-954C-9C65-109352FEDA64}"/>
    <hyperlink ref="U736" r:id="rId710" xr:uid="{50843896-FDF3-B149-9B8D-0ED93B76C8B2}"/>
    <hyperlink ref="U737" r:id="rId711" xr:uid="{74C734FC-E539-A045-993F-0E8F8158EE01}"/>
    <hyperlink ref="U738" r:id="rId712" xr:uid="{94658F70-3C97-8A41-AA6B-185C9F667578}"/>
    <hyperlink ref="U739" r:id="rId713" xr:uid="{94F4943C-B4F0-194C-BE33-6456E45092EC}"/>
    <hyperlink ref="U740" r:id="rId714" xr:uid="{5EA1D1DC-905B-8646-B84F-6D8F99B933A2}"/>
    <hyperlink ref="U741" r:id="rId715" xr:uid="{E77DC615-FE07-2A46-89DF-FFFD53AB1960}"/>
    <hyperlink ref="U742" r:id="rId716" xr:uid="{32F21FAA-5B35-114F-BB07-DD4E1A3B388C}"/>
    <hyperlink ref="U743" r:id="rId717" xr:uid="{806AE15D-0803-5D48-8096-E25E5D27996C}"/>
    <hyperlink ref="U744" r:id="rId718" xr:uid="{A4B2DD24-ED73-1946-9F96-1BA73A888D1E}"/>
    <hyperlink ref="U745" r:id="rId719" xr:uid="{5FDEF9C5-D77B-2A46-96CF-C75F0A002F11}"/>
    <hyperlink ref="U746" r:id="rId720" xr:uid="{BA5AA874-BEA6-4F48-9E62-2AB84E412BCC}"/>
    <hyperlink ref="U747" r:id="rId721" xr:uid="{88A1CB29-9C15-DE45-88EE-AB1C2414FAB2}"/>
    <hyperlink ref="U748" r:id="rId722" xr:uid="{F5F43457-4322-E242-B7F1-2408CAFB0E93}"/>
    <hyperlink ref="U749" r:id="rId723" xr:uid="{A5459FB5-6E2A-1C48-A4F1-80075C8D689D}"/>
    <hyperlink ref="U750" r:id="rId724" xr:uid="{F659838F-B746-1448-9F9A-E3C3F9F74001}"/>
    <hyperlink ref="U751" r:id="rId725" xr:uid="{B67824FB-2BAF-524F-88F7-76B7DE7E113B}"/>
    <hyperlink ref="U752" r:id="rId726" xr:uid="{A5E18747-FFAD-0146-B086-8CF9A2A7BBD4}"/>
    <hyperlink ref="U753" r:id="rId727" xr:uid="{4D0B9149-6C76-B44D-AB79-E8E8C3B3C26E}"/>
    <hyperlink ref="U754" r:id="rId728" xr:uid="{9E9A6A56-7372-4941-A266-2901735A320C}"/>
    <hyperlink ref="U755" r:id="rId729" xr:uid="{6E7045BD-016D-D742-8AA7-91E48B88409F}"/>
    <hyperlink ref="U756" r:id="rId730" xr:uid="{9B864730-061A-EC4C-B76E-8287E59CEC17}"/>
    <hyperlink ref="U757" r:id="rId731" xr:uid="{EF1A68E6-2929-CF42-9F21-C4E3758E91F2}"/>
    <hyperlink ref="U758" r:id="rId732" xr:uid="{A68BC688-B8BA-E240-ADD3-BE02C2796CE0}"/>
    <hyperlink ref="U759" r:id="rId733" xr:uid="{503085C2-2569-3547-8BA0-6E790C270A3F}"/>
    <hyperlink ref="U760" r:id="rId734" xr:uid="{5CA57C95-4CE0-354C-8006-8E73E1382466}"/>
    <hyperlink ref="U761" r:id="rId735" xr:uid="{E947C155-DABF-2349-BBD8-C0A5738B7FDE}"/>
    <hyperlink ref="U762" r:id="rId736" xr:uid="{17404414-0C2B-4B42-8964-13F954887516}"/>
    <hyperlink ref="U763" r:id="rId737" xr:uid="{101CF155-961A-DB42-963C-A5FAF521913D}"/>
    <hyperlink ref="U764" r:id="rId738" xr:uid="{EBD37A08-09CC-0745-BF89-1AB570C390EE}"/>
    <hyperlink ref="U765" r:id="rId739" xr:uid="{7F670CE3-3791-D24A-8D77-7C26166C6D3B}"/>
    <hyperlink ref="U766" r:id="rId740" xr:uid="{CBD96877-90DD-FB4C-BD10-3169831B4881}"/>
    <hyperlink ref="U767" r:id="rId741" xr:uid="{7B9AA5FD-9CB6-C441-85DE-86AAE3D50701}"/>
    <hyperlink ref="U768" r:id="rId742" xr:uid="{E577ABDE-C730-AB49-9D9E-42F8DD6E3D53}"/>
    <hyperlink ref="U769" r:id="rId743" xr:uid="{27A2749D-EA7A-344F-8878-23AC1FD11D17}"/>
    <hyperlink ref="U770" r:id="rId744" xr:uid="{02BAFA87-0548-4647-8857-34FDAC05E8E2}"/>
    <hyperlink ref="U771" r:id="rId745" xr:uid="{9FA49D57-B091-2C40-A8F1-4CF0F5EE2182}"/>
    <hyperlink ref="U772" r:id="rId746" xr:uid="{DC7A8622-191A-224F-8F47-4FFA16632039}"/>
    <hyperlink ref="U773" r:id="rId747" xr:uid="{735BE323-C0CD-A84C-BC81-379F5BAA2FAA}"/>
    <hyperlink ref="U774" r:id="rId748" xr:uid="{702E1F03-2846-5C4B-A47E-FCDFE43CBD56}"/>
    <hyperlink ref="U775" r:id="rId749" xr:uid="{8A8E3E97-DD84-3F45-99A6-01B84E4097B1}"/>
    <hyperlink ref="U776" r:id="rId750" xr:uid="{3D92AEF1-D3B5-FA47-8838-5AA000C607CB}"/>
    <hyperlink ref="U777" r:id="rId751" xr:uid="{B690FC71-3C8C-C047-9633-DBA44F663279}"/>
    <hyperlink ref="U778" r:id="rId752" xr:uid="{F2853D8D-FBF8-DA49-BFCD-7CA14FCB57AC}"/>
    <hyperlink ref="U779" r:id="rId753" xr:uid="{9174F85A-FB82-8D46-B38B-747E37E157D4}"/>
    <hyperlink ref="U780" r:id="rId754" xr:uid="{B1F9C9C0-741C-B945-A9FA-03CD3712F582}"/>
    <hyperlink ref="U781" r:id="rId755" xr:uid="{B3D4F0BB-E644-2142-BBAF-3927954F14E9}"/>
    <hyperlink ref="U782" r:id="rId756" xr:uid="{5B3F7908-CD06-894D-A330-9AEA9E763E61}"/>
    <hyperlink ref="U783" r:id="rId757" xr:uid="{404889B8-ECB5-EE43-BBD1-4A09EB7EE925}"/>
    <hyperlink ref="U784" r:id="rId758" xr:uid="{DE439DBF-F231-7E42-B6ED-032417FF06A8}"/>
    <hyperlink ref="U785" r:id="rId759" xr:uid="{192D18F7-DC2E-C44F-8F63-722624FCBCFA}"/>
    <hyperlink ref="U786" r:id="rId760" xr:uid="{BFD7E6E4-5482-414E-B791-D8F6F7041327}"/>
    <hyperlink ref="U787" r:id="rId761" xr:uid="{17232BEC-5A87-DA4A-BA6F-A0FEAAF09A3E}"/>
    <hyperlink ref="U788" r:id="rId762" xr:uid="{36E549B5-AE8F-4E49-85E7-C618291D8402}"/>
    <hyperlink ref="U789" r:id="rId763" xr:uid="{FEC0C23D-941E-DC44-9781-6902802EC8C8}"/>
    <hyperlink ref="U790" r:id="rId764" xr:uid="{A694A12A-51EF-3544-B601-37535C76C611}"/>
    <hyperlink ref="U791" r:id="rId765" xr:uid="{16E362A9-66C3-4F45-8CE0-21EF44D9E5A1}"/>
    <hyperlink ref="U792" r:id="rId766" xr:uid="{31C8CFB0-45E6-C847-9D2B-CE2494517C1B}"/>
    <hyperlink ref="U793" r:id="rId767" xr:uid="{A9B5234C-C351-1448-82B0-7E4510E1AC95}"/>
    <hyperlink ref="U794" r:id="rId768" xr:uid="{73F1B031-8936-F243-BBF0-E5664504700A}"/>
    <hyperlink ref="U795" r:id="rId769" xr:uid="{34FD1A56-F5B9-AE45-8C62-CED151399ABE}"/>
    <hyperlink ref="U796" r:id="rId770" xr:uid="{278368DB-2B61-E642-8C6B-93EB46C49F8C}"/>
    <hyperlink ref="U797" r:id="rId771" xr:uid="{70CC5BF3-664E-3547-A05F-9B7FB7CC15A4}"/>
    <hyperlink ref="U798" r:id="rId772" xr:uid="{B9F330C1-91CC-A94A-BB46-54F4C35E51E6}"/>
    <hyperlink ref="U799" r:id="rId773" xr:uid="{122BC9AB-A2C9-E041-8F94-296CDCAE6751}"/>
    <hyperlink ref="U800" r:id="rId774" xr:uid="{9E0EC547-B580-D749-8C57-382F17BA22F8}"/>
    <hyperlink ref="U801" r:id="rId775" xr:uid="{FBB1FA7B-D14A-AD4C-9FBA-B173E98FF6B2}"/>
    <hyperlink ref="U802" r:id="rId776" xr:uid="{98F435EA-21C1-1247-92C8-E9946444B3ED}"/>
    <hyperlink ref="U803" r:id="rId777" xr:uid="{84117AC7-E654-F041-BA4D-50663EE3F653}"/>
    <hyperlink ref="U804" r:id="rId778" xr:uid="{32D398C3-95A5-6243-8C33-DCBF3B56010F}"/>
    <hyperlink ref="U805" r:id="rId779" xr:uid="{9034A650-11CC-8644-B60F-14E217456F61}"/>
    <hyperlink ref="U806" r:id="rId780" xr:uid="{DBCA684A-2571-EA43-AFAF-F5ECA9EF84DE}"/>
    <hyperlink ref="U807" r:id="rId781" xr:uid="{2B68ED9A-05D2-0C4D-AC73-174FDB5ED2E1}"/>
    <hyperlink ref="U808" r:id="rId782" xr:uid="{46CE1887-5B4A-4944-93EA-ACAB874DEAF8}"/>
    <hyperlink ref="U809" r:id="rId783" xr:uid="{F017DBDE-107D-1340-B71D-E75D3555D2CF}"/>
    <hyperlink ref="U810" r:id="rId784" xr:uid="{8986CBFB-9BCD-5F4F-A681-205BB7F4301A}"/>
    <hyperlink ref="U811" r:id="rId785" xr:uid="{E942B31A-78F6-EE46-A6EE-CA327A290511}"/>
    <hyperlink ref="U812" r:id="rId786" xr:uid="{1EEBF07E-E938-4344-88E1-4B479F9CFC90}"/>
    <hyperlink ref="U813" r:id="rId787" xr:uid="{00F3B4CE-6A56-F74C-8025-CF87A19896C6}"/>
    <hyperlink ref="U817" r:id="rId788" xr:uid="{CEFCF381-E448-2145-A412-110D815C3ACC}"/>
    <hyperlink ref="U818" r:id="rId789" xr:uid="{E07F7870-55F6-E64B-8AE0-8A19E48ABE3F}"/>
    <hyperlink ref="U819" r:id="rId790" xr:uid="{F8938627-D6E3-6348-96C0-B7E0964EF376}"/>
    <hyperlink ref="U820" r:id="rId791" xr:uid="{431AACB4-9303-FC45-B50A-337FCADCD7EF}"/>
    <hyperlink ref="U821" r:id="rId792" xr:uid="{234724A4-4BB4-FD44-89D3-DBBEF23E2ABD}"/>
    <hyperlink ref="U822" r:id="rId793" xr:uid="{622A8B89-9D93-9B4C-A139-D908F85BBEC3}"/>
    <hyperlink ref="U823" r:id="rId794" xr:uid="{8F0D6E8D-44A5-BB4E-B985-C0515CAC6272}"/>
    <hyperlink ref="U824" r:id="rId795" xr:uid="{4CC383BB-C859-0A4B-94EB-91620D3B1C32}"/>
    <hyperlink ref="U825" r:id="rId796" xr:uid="{BE3804E5-19A7-274B-A76F-1AFCA63E3E0A}"/>
    <hyperlink ref="U826" r:id="rId797" xr:uid="{D387C335-FDDD-F742-8D30-64A85EC2ED69}"/>
    <hyperlink ref="U827" r:id="rId798" xr:uid="{86E173E1-2EEE-114D-9925-08B47F0CA3EE}"/>
    <hyperlink ref="U828" r:id="rId799" xr:uid="{94408A73-C36C-FE4D-86BA-D4E4D07BE911}"/>
    <hyperlink ref="U829" r:id="rId800" xr:uid="{594B0BCC-9DAA-C547-A81D-D54921ABD7AA}"/>
    <hyperlink ref="U830" r:id="rId801" xr:uid="{3C377097-1660-3D48-B7E6-B9C310ABEFFE}"/>
    <hyperlink ref="U831" r:id="rId802" xr:uid="{DA10E205-F78C-BC43-8ABF-620199E8D078}"/>
    <hyperlink ref="U832" r:id="rId803" xr:uid="{687C4AD0-9271-5746-9DED-C9A2CA1D52A7}"/>
    <hyperlink ref="U833" r:id="rId804" xr:uid="{4ECEC91D-6E85-064A-B590-CA7E7AEE792F}"/>
    <hyperlink ref="U834" r:id="rId805" xr:uid="{8F8C2ADB-AB60-CE4C-97A4-06A7CC60F80C}"/>
    <hyperlink ref="U835" r:id="rId806" xr:uid="{A2071230-4065-1841-A622-4C52F717ECDE}"/>
    <hyperlink ref="U836" r:id="rId807" xr:uid="{AE2EEE39-2848-8641-9CA7-D97CC660CCE7}"/>
    <hyperlink ref="U837" r:id="rId808" xr:uid="{B475DB78-00D7-C240-9D32-ED2386689D8C}"/>
    <hyperlink ref="U838" r:id="rId809" xr:uid="{281C3FAD-81F6-6343-937C-3876052959E7}"/>
    <hyperlink ref="U839" r:id="rId810" xr:uid="{4D13FE70-D4A8-0B49-81D1-F1204750F65B}"/>
    <hyperlink ref="U840" r:id="rId811" xr:uid="{F4C38447-B014-5A44-9314-F2CB84F5A613}"/>
    <hyperlink ref="U841" r:id="rId812" xr:uid="{FD10D886-4075-674D-B839-26C610EE22C9}"/>
    <hyperlink ref="U842" r:id="rId813" xr:uid="{A91F6116-40D2-CC47-9F40-8E2E6A09B1B1}"/>
    <hyperlink ref="U843" r:id="rId814" xr:uid="{0BF163AD-BA81-B240-8CBC-25976CCDBC69}"/>
    <hyperlink ref="U844" r:id="rId815" xr:uid="{F9EC6AA0-73CA-8D44-9846-82E49DF9CCB1}"/>
    <hyperlink ref="U845" r:id="rId816" xr:uid="{60118A68-7A51-7143-85C9-EA5897F1FA63}"/>
    <hyperlink ref="U846" r:id="rId817" xr:uid="{8023A13D-7F70-824E-97B6-75BB5DE777E5}"/>
    <hyperlink ref="U847" r:id="rId818" xr:uid="{85471342-C2A1-0D45-81B0-2B1BF06CA65F}"/>
    <hyperlink ref="U848" r:id="rId819" xr:uid="{AAEB89FA-BBDA-674A-9FFF-C441D2E89B31}"/>
    <hyperlink ref="U849" r:id="rId820" xr:uid="{718D8831-B708-D146-9950-7A732067850E}"/>
    <hyperlink ref="U850" r:id="rId821" xr:uid="{5B597415-1690-A24E-BD8C-9706538E81BB}"/>
    <hyperlink ref="U851" r:id="rId822" xr:uid="{574979D6-E3A3-0A4D-9C18-77A41F11BDB4}"/>
    <hyperlink ref="U852" r:id="rId823" xr:uid="{6FD780B8-0A06-0042-98D3-6DEB240D0324}"/>
    <hyperlink ref="U853" r:id="rId824" xr:uid="{BDC56F31-9D12-B24F-9C64-BA65BDF46F89}"/>
    <hyperlink ref="U854" r:id="rId825" xr:uid="{9CAD5D66-EFA3-B54C-975B-B7DA419440FA}"/>
    <hyperlink ref="U855" r:id="rId826" xr:uid="{18633948-7575-CF47-820C-931764FF9958}"/>
    <hyperlink ref="U856" r:id="rId827" xr:uid="{2FCB729E-D8B5-0446-BFA8-294EEADA440D}"/>
    <hyperlink ref="U857" r:id="rId828" xr:uid="{7FDA7E35-EA7A-6E41-A003-01C33252F9CE}"/>
    <hyperlink ref="U858" r:id="rId829" xr:uid="{A6199959-E3F4-6A41-9D34-6396F797E55F}"/>
    <hyperlink ref="U859" r:id="rId830" xr:uid="{0E472F10-0708-F345-96E9-0D74BC1B9CEB}"/>
    <hyperlink ref="U860" r:id="rId831" xr:uid="{45833A6C-F331-134E-BB98-B0D6CC12BA26}"/>
    <hyperlink ref="U861" r:id="rId832" xr:uid="{EC4BEE9A-6AAE-2240-8AF9-A3CBA430E511}"/>
    <hyperlink ref="U862" r:id="rId833" xr:uid="{EB05B0B3-5963-154C-875D-474B2834C196}"/>
    <hyperlink ref="U863" r:id="rId834" xr:uid="{AB268ED9-A060-B44E-8E36-2297610B5750}"/>
    <hyperlink ref="U864" r:id="rId835" xr:uid="{BE090177-49D5-CA42-92AB-0A322398A6D4}"/>
    <hyperlink ref="U865" r:id="rId836" xr:uid="{9892FAF2-53B9-0746-9AAE-77079AE492BE}"/>
    <hyperlink ref="U866" r:id="rId837" xr:uid="{E9FA05A3-101B-4B49-81EA-3017555CD230}"/>
    <hyperlink ref="U872" r:id="rId838" xr:uid="{4AEACCCF-3BF7-6048-83DF-BD839A744F0A}"/>
    <hyperlink ref="U873" r:id="rId839" xr:uid="{241DE9C7-E8F0-9343-B36D-BFAF62D487F1}"/>
    <hyperlink ref="U874" r:id="rId840" xr:uid="{EB55C72F-878F-A049-B588-2050F5D6720B}"/>
    <hyperlink ref="U875" r:id="rId841" xr:uid="{11032E29-43CE-3245-AF1F-51285DB4B205}"/>
    <hyperlink ref="U876" r:id="rId842" xr:uid="{EDCC5D3B-517E-D04D-9AEC-6A4EB6C0A64D}"/>
    <hyperlink ref="U877" r:id="rId843" xr:uid="{86C80EAD-2407-654A-996E-14FBE983AEF8}"/>
    <hyperlink ref="U878" r:id="rId844" xr:uid="{698426F0-D181-8D46-8126-071288378971}"/>
    <hyperlink ref="U879" r:id="rId845" xr:uid="{6FA84263-36A5-5145-876C-915E62D48358}"/>
    <hyperlink ref="U880" r:id="rId846" xr:uid="{75397C2D-3FEF-0E43-BACB-3CC0142FE52F}"/>
    <hyperlink ref="U881" r:id="rId847" xr:uid="{7642EA54-7188-5646-BA3B-FD24A2F8390A}"/>
    <hyperlink ref="U882" r:id="rId848" xr:uid="{71DF1AC7-287F-8748-B30E-2A40A897947C}"/>
    <hyperlink ref="U887" r:id="rId849" xr:uid="{A0EC92B9-7BD2-7F4B-9EDD-458F875D4D99}"/>
    <hyperlink ref="U888" r:id="rId850" xr:uid="{AA912B42-8A7D-A24E-9658-855568A0E2CF}"/>
    <hyperlink ref="U889" r:id="rId851" xr:uid="{D1D785AE-F106-1A44-AE47-47D351FFF419}"/>
    <hyperlink ref="U890" r:id="rId852" xr:uid="{03EF079D-09D0-0547-B49D-43DE3D103A95}"/>
    <hyperlink ref="U891" r:id="rId853" xr:uid="{2579FC1E-E5D1-9B40-A295-C5B12F9E8C95}"/>
    <hyperlink ref="U892" r:id="rId854" xr:uid="{2B1CEA8F-7A7B-5241-87F5-4F40DE0F224A}"/>
    <hyperlink ref="U893" r:id="rId855" xr:uid="{C96487FE-625E-6D47-9C5C-18B91ED5045E}"/>
    <hyperlink ref="U883" r:id="rId856" xr:uid="{FEDA7BD2-1EAB-0948-A1F0-C726BE22A7EA}"/>
    <hyperlink ref="U884:U886" r:id="rId857" display="PRISCALDERONPA2@HOTMAIL.COM" xr:uid="{9216EC92-B84B-FE45-9F72-E98F7172E8CA}"/>
    <hyperlink ref="U894" r:id="rId858" xr:uid="{7E1BE918-8171-CE47-A824-C19B5001741B}"/>
    <hyperlink ref="U895" r:id="rId859" xr:uid="{391ED4D8-DD22-FC47-A836-C600A50E3DD9}"/>
    <hyperlink ref="U896" r:id="rId860" xr:uid="{ABA64FF2-9F38-3C4C-AE6E-9839DCACC205}"/>
    <hyperlink ref="U897" r:id="rId861" xr:uid="{890C4F6A-0550-C74A-AC4A-3F2F0D669CEA}"/>
    <hyperlink ref="U898" r:id="rId862" xr:uid="{290EBD48-BE0C-AE44-B358-60B0B5320559}"/>
    <hyperlink ref="U899" r:id="rId863" xr:uid="{F50E0DA3-88AD-F548-A0ED-B266E164C1D4}"/>
    <hyperlink ref="U900" r:id="rId864" xr:uid="{D4222205-6367-5548-9C0D-2C0DE634C1C3}"/>
    <hyperlink ref="U901" r:id="rId865" xr:uid="{BB34860E-ECC2-B844-8B89-B7EF7E4E6E5F}"/>
    <hyperlink ref="U902" r:id="rId866" xr:uid="{10F2C0D6-0318-ED4D-920C-44DA15E01703}"/>
    <hyperlink ref="U903" r:id="rId867" xr:uid="{4220AD60-4DC3-C444-A877-2C55E3F4A3BC}"/>
    <hyperlink ref="U904" r:id="rId868" xr:uid="{AA3CEC22-8F98-BB4F-98A4-33F531DCD3CB}"/>
    <hyperlink ref="U905" r:id="rId869" xr:uid="{AABCE37E-09FD-BF49-8438-8DACA13BEA8F}"/>
    <hyperlink ref="U906" r:id="rId870" xr:uid="{A6CC4455-CC8E-4246-BB08-BE355446A476}"/>
    <hyperlink ref="U907" r:id="rId871" xr:uid="{76BE1F9D-C068-144D-9EDC-E8ED5556237C}"/>
    <hyperlink ref="U908" r:id="rId872" xr:uid="{B5F98F93-051A-9346-B2C4-355E1D3A5FA4}"/>
    <hyperlink ref="U909" r:id="rId873" xr:uid="{73FDD56D-1A11-7B40-9A08-EC10E67474AD}"/>
    <hyperlink ref="U910" r:id="rId874" xr:uid="{6E6521D9-A4C6-A346-AC52-9D024C7C6E71}"/>
    <hyperlink ref="U911" r:id="rId875" xr:uid="{09000447-FFA3-D24C-AA69-3C65DD178380}"/>
    <hyperlink ref="U912" r:id="rId876" xr:uid="{2ED0C1AF-2DE4-5C41-B089-E856D1B2C1C7}"/>
    <hyperlink ref="U913" r:id="rId877" xr:uid="{C325AFE6-9A28-A94F-B9F2-EC3F4D78ABC3}"/>
    <hyperlink ref="U914" r:id="rId878" xr:uid="{B83CB5E5-3490-CF4B-9701-549C259D0EC5}"/>
    <hyperlink ref="U915" r:id="rId879" xr:uid="{9EB5C5E7-FB89-3A40-82A2-FEB852A413F8}"/>
    <hyperlink ref="U916" r:id="rId880" xr:uid="{A2518861-486A-944B-B555-1F54D1C69997}"/>
    <hyperlink ref="U917" r:id="rId881" xr:uid="{49E39044-6DE5-5C41-AA72-1ECC882A5BA5}"/>
    <hyperlink ref="U918" r:id="rId882" xr:uid="{4A51A100-D863-474F-AAA1-CAB44F673917}"/>
    <hyperlink ref="U919" r:id="rId883" xr:uid="{C3A1E879-096A-D248-A6CB-D1CFE85CDE8D}"/>
    <hyperlink ref="U920" r:id="rId884" xr:uid="{8D2E70AA-C0C3-C942-94FE-CD4B9FF056AA}"/>
    <hyperlink ref="U921" r:id="rId885" xr:uid="{03625DBF-E27F-8B49-8FBE-400026D8BF65}"/>
    <hyperlink ref="U922" r:id="rId886" xr:uid="{7387F887-2A3E-094C-9C83-FFD7DD18E2BA}"/>
    <hyperlink ref="U923" r:id="rId887" xr:uid="{01ECDF22-8081-C743-8826-B9F1FC3E8576}"/>
    <hyperlink ref="U924" r:id="rId888" xr:uid="{05306DA7-60CA-8447-96C5-17DE2EDD7587}"/>
    <hyperlink ref="U925" r:id="rId889" xr:uid="{85E8F8F9-9114-4C4F-A6A4-FD1A5E4F4AAD}"/>
    <hyperlink ref="U926" r:id="rId890" xr:uid="{F5E7E208-E3B4-DD4F-9ECF-C3E44C9A3673}"/>
    <hyperlink ref="U927" r:id="rId891" xr:uid="{85CAEEEF-1B9B-AF49-A6E6-71446ED2B633}"/>
    <hyperlink ref="U928" r:id="rId892" xr:uid="{D2453307-6C48-CE48-A15B-C431303E6FD8}"/>
    <hyperlink ref="U929" r:id="rId893" xr:uid="{D87A759B-B1A6-E648-97B7-886E38CC5632}"/>
    <hyperlink ref="U930" r:id="rId894" xr:uid="{C9B9B432-E507-3B41-80B3-78A4F9A2304C}"/>
  </hyperlinks>
  <pageMargins left="0.7" right="0.7" top="0.75" bottom="0.75" header="0.3" footer="0.3"/>
  <pageSetup paperSize="9" orientation="portrait" horizontalDpi="0" verticalDpi="0" r:id="rId895"/>
  <drawing r:id="rId8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148"/>
  <sheetViews>
    <sheetView topLeftCell="A16" zoomScaleNormal="100" workbookViewId="0">
      <selection activeCell="A142" sqref="A142"/>
    </sheetView>
  </sheetViews>
  <sheetFormatPr baseColWidth="10" defaultRowHeight="15" x14ac:dyDescent="0.2"/>
  <cols>
    <col min="1" max="1" width="8.8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30.5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0" x14ac:dyDescent="0.2">
      <c r="A3" s="4"/>
      <c r="B3" s="5"/>
      <c r="C3" s="6" t="s">
        <v>0</v>
      </c>
      <c r="D3" s="7"/>
      <c r="E3" s="8"/>
      <c r="F3" s="9"/>
      <c r="G3" s="10"/>
      <c r="H3" s="11"/>
      <c r="I3" s="11"/>
      <c r="J3" s="11"/>
      <c r="K3" s="11"/>
      <c r="L3" s="11"/>
      <c r="M3" s="12"/>
      <c r="N3" s="11"/>
      <c r="O3" s="4"/>
      <c r="P3" s="11"/>
      <c r="Q3" s="11"/>
      <c r="R3" s="11"/>
      <c r="S3" s="11"/>
    </row>
    <row r="4" spans="1:20" x14ac:dyDescent="0.2">
      <c r="A4" s="4"/>
      <c r="B4" s="5"/>
      <c r="C4" s="13" t="s">
        <v>1</v>
      </c>
      <c r="D4" s="14"/>
      <c r="E4" s="15"/>
      <c r="F4" s="15"/>
      <c r="G4" s="10"/>
      <c r="H4" s="11"/>
      <c r="I4" s="11"/>
      <c r="J4" s="11"/>
      <c r="K4" s="11"/>
      <c r="L4" s="11"/>
      <c r="M4" s="12"/>
      <c r="N4" s="11"/>
      <c r="O4" s="4"/>
      <c r="P4" s="11"/>
      <c r="Q4" s="11"/>
      <c r="R4" s="11"/>
      <c r="S4" s="11"/>
    </row>
    <row r="5" spans="1:20" ht="28.5" customHeight="1" x14ac:dyDescent="0.3">
      <c r="B5" s="16" t="s">
        <v>67</v>
      </c>
      <c r="C5" s="17"/>
      <c r="D5" s="18"/>
      <c r="E5" s="19" t="s">
        <v>23</v>
      </c>
      <c r="F5" s="20"/>
      <c r="G5" s="21"/>
      <c r="H5" s="22"/>
      <c r="I5" s="18"/>
      <c r="J5" s="23"/>
      <c r="K5" s="23"/>
      <c r="L5" s="24"/>
      <c r="M5" s="25" t="s">
        <v>438</v>
      </c>
      <c r="O5" s="26"/>
    </row>
    <row r="6" spans="1:20" x14ac:dyDescent="0.2">
      <c r="B6" s="27" t="s">
        <v>24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30"/>
      <c r="O6" s="26"/>
    </row>
    <row r="7" spans="1:20" x14ac:dyDescent="0.2">
      <c r="B7" s="31" t="s">
        <v>72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3"/>
      <c r="O7" s="26"/>
    </row>
    <row r="8" spans="1:20" s="1" customFormat="1" ht="34" x14ac:dyDescent="0.2">
      <c r="A8"/>
      <c r="B8" s="35" t="s">
        <v>25</v>
      </c>
      <c r="C8" s="35" t="s">
        <v>26</v>
      </c>
      <c r="D8" s="35" t="s">
        <v>27</v>
      </c>
      <c r="E8" s="35" t="s">
        <v>28</v>
      </c>
      <c r="F8" s="35" t="s">
        <v>29</v>
      </c>
      <c r="G8" s="35" t="s">
        <v>30</v>
      </c>
      <c r="H8" s="35" t="s">
        <v>31</v>
      </c>
      <c r="I8" s="35" t="s">
        <v>32</v>
      </c>
      <c r="J8" s="35" t="s">
        <v>33</v>
      </c>
      <c r="K8" s="35" t="s">
        <v>34</v>
      </c>
      <c r="L8" s="35" t="s">
        <v>35</v>
      </c>
      <c r="M8" s="35" t="s">
        <v>36</v>
      </c>
      <c r="N8" s="35" t="s">
        <v>37</v>
      </c>
      <c r="O8" s="35" t="s">
        <v>38</v>
      </c>
      <c r="P8" s="35" t="s">
        <v>39</v>
      </c>
      <c r="Q8" s="35" t="s">
        <v>40</v>
      </c>
      <c r="R8" s="36" t="s">
        <v>18</v>
      </c>
      <c r="S8" s="37" t="s">
        <v>19</v>
      </c>
    </row>
    <row r="9" spans="1:20" s="57" customFormat="1" ht="56.25" customHeight="1" x14ac:dyDescent="0.2">
      <c r="A9" s="64">
        <v>1</v>
      </c>
      <c r="B9" s="46">
        <v>45624</v>
      </c>
      <c r="C9" s="47">
        <v>45665</v>
      </c>
      <c r="D9" s="48">
        <v>1</v>
      </c>
      <c r="E9" s="48">
        <v>60803326</v>
      </c>
      <c r="F9" s="49" t="s">
        <v>116</v>
      </c>
      <c r="G9" s="50">
        <v>112500049</v>
      </c>
      <c r="H9" s="51" t="s">
        <v>117</v>
      </c>
      <c r="I9" s="52" t="s">
        <v>118</v>
      </c>
      <c r="J9" s="53" t="s">
        <v>41</v>
      </c>
      <c r="K9" s="50" t="s">
        <v>71</v>
      </c>
      <c r="L9" s="50" t="s">
        <v>119</v>
      </c>
      <c r="M9" s="49" t="s">
        <v>120</v>
      </c>
      <c r="N9" s="60">
        <v>12.5</v>
      </c>
      <c r="O9" s="59" t="s">
        <v>121</v>
      </c>
      <c r="P9" s="55" t="s">
        <v>122</v>
      </c>
      <c r="Q9" s="63" t="s">
        <v>123</v>
      </c>
      <c r="R9" s="45"/>
      <c r="S9" s="45" t="s">
        <v>124</v>
      </c>
      <c r="T9" s="56"/>
    </row>
    <row r="10" spans="1:20" s="57" customFormat="1" ht="93" customHeight="1" x14ac:dyDescent="0.2">
      <c r="A10" s="64">
        <v>2</v>
      </c>
      <c r="B10" s="46">
        <v>45260</v>
      </c>
      <c r="C10" s="47">
        <v>45665</v>
      </c>
      <c r="D10" s="48">
        <v>1</v>
      </c>
      <c r="E10" s="48"/>
      <c r="F10" s="49"/>
      <c r="G10" s="50">
        <v>11427008</v>
      </c>
      <c r="H10" s="51" t="s">
        <v>163</v>
      </c>
      <c r="I10" s="52" t="s">
        <v>164</v>
      </c>
      <c r="J10" s="53" t="s">
        <v>41</v>
      </c>
      <c r="K10" s="50" t="s">
        <v>71</v>
      </c>
      <c r="L10" s="50" t="s">
        <v>165</v>
      </c>
      <c r="M10" s="49" t="s">
        <v>166</v>
      </c>
      <c r="N10" s="54">
        <v>18.75</v>
      </c>
      <c r="O10" s="62" t="s">
        <v>167</v>
      </c>
      <c r="P10" s="55" t="s">
        <v>168</v>
      </c>
      <c r="Q10" s="63" t="s">
        <v>169</v>
      </c>
      <c r="R10" s="45"/>
      <c r="S10" s="45" t="s">
        <v>170</v>
      </c>
      <c r="T10" s="56"/>
    </row>
    <row r="11" spans="1:20" s="57" customFormat="1" ht="56.25" customHeight="1" x14ac:dyDescent="0.2">
      <c r="A11" s="64">
        <v>3</v>
      </c>
      <c r="B11" s="46">
        <v>44981</v>
      </c>
      <c r="C11" s="47">
        <v>45666</v>
      </c>
      <c r="D11" s="48">
        <v>1</v>
      </c>
      <c r="E11" s="48">
        <v>60803283</v>
      </c>
      <c r="F11" s="49" t="s">
        <v>171</v>
      </c>
      <c r="G11" s="50">
        <v>112500047</v>
      </c>
      <c r="H11" s="51" t="s">
        <v>172</v>
      </c>
      <c r="I11" s="52" t="s">
        <v>173</v>
      </c>
      <c r="J11" s="53" t="s">
        <v>41</v>
      </c>
      <c r="K11" s="50" t="s">
        <v>71</v>
      </c>
      <c r="L11" s="50" t="s">
        <v>174</v>
      </c>
      <c r="M11" s="49" t="s">
        <v>175</v>
      </c>
      <c r="N11" s="54">
        <v>12.5</v>
      </c>
      <c r="O11" s="59" t="s">
        <v>176</v>
      </c>
      <c r="P11" s="55" t="s">
        <v>177</v>
      </c>
      <c r="Q11" s="63" t="s">
        <v>178</v>
      </c>
      <c r="R11" s="45"/>
      <c r="S11" s="45" t="s">
        <v>179</v>
      </c>
      <c r="T11" s="56"/>
    </row>
    <row r="12" spans="1:20" s="57" customFormat="1" ht="56.25" customHeight="1" x14ac:dyDescent="0.2">
      <c r="A12" s="64">
        <v>4</v>
      </c>
      <c r="B12" s="46">
        <v>44578</v>
      </c>
      <c r="C12" s="47">
        <v>45665</v>
      </c>
      <c r="D12" s="48">
        <v>1</v>
      </c>
      <c r="E12" s="48">
        <v>60803250</v>
      </c>
      <c r="F12" s="49" t="s">
        <v>314</v>
      </c>
      <c r="G12" s="50">
        <v>112520024</v>
      </c>
      <c r="H12" s="51" t="s">
        <v>221</v>
      </c>
      <c r="I12" s="52" t="s">
        <v>222</v>
      </c>
      <c r="J12" s="53" t="s">
        <v>41</v>
      </c>
      <c r="K12" s="50" t="s">
        <v>71</v>
      </c>
      <c r="L12" s="50" t="s">
        <v>223</v>
      </c>
      <c r="M12" s="49" t="s">
        <v>313</v>
      </c>
      <c r="N12" s="54">
        <v>12.5</v>
      </c>
      <c r="O12" s="59" t="s">
        <v>224</v>
      </c>
      <c r="P12" s="55" t="s">
        <v>225</v>
      </c>
      <c r="Q12" s="63" t="s">
        <v>226</v>
      </c>
      <c r="R12" s="45"/>
      <c r="S12" s="45" t="s">
        <v>227</v>
      </c>
      <c r="T12" s="56"/>
    </row>
    <row r="13" spans="1:20" s="57" customFormat="1" ht="56.25" customHeight="1" x14ac:dyDescent="0.2">
      <c r="A13" s="64">
        <v>5</v>
      </c>
      <c r="B13" s="46">
        <v>37247</v>
      </c>
      <c r="C13" s="47">
        <v>45666</v>
      </c>
      <c r="D13" s="48">
        <v>1</v>
      </c>
      <c r="E13" s="48"/>
      <c r="F13" s="49"/>
      <c r="G13" s="50">
        <v>112580017</v>
      </c>
      <c r="H13" s="51" t="s">
        <v>228</v>
      </c>
      <c r="I13" s="52" t="s">
        <v>229</v>
      </c>
      <c r="J13" s="53" t="s">
        <v>41</v>
      </c>
      <c r="K13" s="50" t="s">
        <v>71</v>
      </c>
      <c r="L13" s="50" t="s">
        <v>230</v>
      </c>
      <c r="M13" s="49" t="s">
        <v>231</v>
      </c>
      <c r="N13" s="54">
        <v>12.5</v>
      </c>
      <c r="O13" s="59" t="s">
        <v>232</v>
      </c>
      <c r="P13" s="55" t="s">
        <v>233</v>
      </c>
      <c r="Q13" s="63" t="s">
        <v>234</v>
      </c>
      <c r="R13" s="45"/>
      <c r="S13" s="45" t="s">
        <v>235</v>
      </c>
      <c r="T13" s="56"/>
    </row>
    <row r="14" spans="1:20" s="57" customFormat="1" ht="56.25" customHeight="1" x14ac:dyDescent="0.2">
      <c r="A14" s="64">
        <v>6</v>
      </c>
      <c r="B14" s="46">
        <v>45302</v>
      </c>
      <c r="C14" s="61">
        <v>45667</v>
      </c>
      <c r="D14" s="48">
        <v>1</v>
      </c>
      <c r="E14" s="48"/>
      <c r="F14" s="49"/>
      <c r="G14" s="50">
        <v>40197155</v>
      </c>
      <c r="H14" s="51" t="s">
        <v>236</v>
      </c>
      <c r="I14" s="52" t="s">
        <v>237</v>
      </c>
      <c r="J14" s="53" t="s">
        <v>41</v>
      </c>
      <c r="K14" s="50" t="s">
        <v>71</v>
      </c>
      <c r="L14" s="50" t="s">
        <v>238</v>
      </c>
      <c r="M14" s="49" t="s">
        <v>312</v>
      </c>
      <c r="N14" s="54">
        <v>12.5</v>
      </c>
      <c r="O14" s="59" t="s">
        <v>239</v>
      </c>
      <c r="P14" s="55" t="s">
        <v>240</v>
      </c>
      <c r="Q14" s="63" t="s">
        <v>241</v>
      </c>
      <c r="R14" s="45"/>
      <c r="S14" s="45" t="s">
        <v>242</v>
      </c>
      <c r="T14" s="56"/>
    </row>
    <row r="15" spans="1:20" ht="36" customHeight="1" x14ac:dyDescent="0.2">
      <c r="A15" s="64">
        <v>7</v>
      </c>
      <c r="B15" s="46">
        <v>45381</v>
      </c>
      <c r="C15" s="47">
        <v>45667</v>
      </c>
      <c r="D15" s="48">
        <v>1</v>
      </c>
      <c r="E15" s="48">
        <v>60803282</v>
      </c>
      <c r="F15" s="49" t="s">
        <v>283</v>
      </c>
      <c r="G15" s="50">
        <v>112500047</v>
      </c>
      <c r="H15" s="51" t="s">
        <v>284</v>
      </c>
      <c r="I15" s="52" t="s">
        <v>285</v>
      </c>
      <c r="J15" s="53" t="s">
        <v>41</v>
      </c>
      <c r="K15" s="50" t="s">
        <v>71</v>
      </c>
      <c r="L15" s="50" t="s">
        <v>286</v>
      </c>
      <c r="M15" s="49" t="s">
        <v>287</v>
      </c>
      <c r="N15" s="60">
        <v>12.5</v>
      </c>
      <c r="O15" s="59" t="s">
        <v>288</v>
      </c>
      <c r="P15" s="55" t="s">
        <v>289</v>
      </c>
      <c r="Q15" s="63" t="s">
        <v>290</v>
      </c>
      <c r="R15" s="45"/>
      <c r="S15" s="45" t="s">
        <v>291</v>
      </c>
    </row>
    <row r="16" spans="1:20" s="57" customFormat="1" ht="56.25" customHeight="1" x14ac:dyDescent="0.2">
      <c r="A16" s="64">
        <v>8</v>
      </c>
      <c r="B16" s="46">
        <v>45364</v>
      </c>
      <c r="C16" s="47">
        <v>45684</v>
      </c>
      <c r="D16" s="48">
        <v>1</v>
      </c>
      <c r="E16" s="48">
        <v>60803327</v>
      </c>
      <c r="F16" s="49" t="s">
        <v>627</v>
      </c>
      <c r="G16" s="50">
        <v>112500049</v>
      </c>
      <c r="H16" s="51" t="s">
        <v>628</v>
      </c>
      <c r="I16" s="52" t="s">
        <v>629</v>
      </c>
      <c r="J16" s="53" t="s">
        <v>41</v>
      </c>
      <c r="K16" s="50" t="s">
        <v>71</v>
      </c>
      <c r="L16" s="50" t="s">
        <v>630</v>
      </c>
      <c r="M16" s="49" t="s">
        <v>631</v>
      </c>
      <c r="N16" s="54">
        <v>12.5</v>
      </c>
      <c r="O16" s="59">
        <v>301913943</v>
      </c>
      <c r="P16" s="55" t="s">
        <v>632</v>
      </c>
      <c r="Q16" s="45">
        <v>959236985</v>
      </c>
      <c r="R16" s="45"/>
      <c r="S16" s="45" t="s">
        <v>633</v>
      </c>
      <c r="T16" s="56"/>
    </row>
    <row r="17" spans="1:20" s="57" customFormat="1" ht="56.25" customHeight="1" x14ac:dyDescent="0.2">
      <c r="A17" s="64">
        <v>9</v>
      </c>
      <c r="B17" s="46">
        <v>45489</v>
      </c>
      <c r="C17" s="47">
        <v>45326</v>
      </c>
      <c r="D17" s="48">
        <v>1</v>
      </c>
      <c r="E17" s="48"/>
      <c r="F17" s="49"/>
      <c r="G17" s="50">
        <v>112580027</v>
      </c>
      <c r="H17" s="51" t="s">
        <v>634</v>
      </c>
      <c r="I17" s="52" t="s">
        <v>635</v>
      </c>
      <c r="J17" s="53" t="s">
        <v>41</v>
      </c>
      <c r="K17" s="50" t="s">
        <v>71</v>
      </c>
      <c r="L17" s="50" t="s">
        <v>636</v>
      </c>
      <c r="M17" s="49" t="s">
        <v>637</v>
      </c>
      <c r="N17" s="54">
        <v>12.5</v>
      </c>
      <c r="O17" s="59">
        <v>706287745</v>
      </c>
      <c r="P17" s="55" t="s">
        <v>638</v>
      </c>
      <c r="Q17" s="45">
        <v>706287745</v>
      </c>
      <c r="R17" s="45"/>
      <c r="S17" s="45" t="s">
        <v>639</v>
      </c>
      <c r="T17" s="56"/>
    </row>
    <row r="18" spans="1:20" s="57" customFormat="1" ht="56.25" customHeight="1" x14ac:dyDescent="0.2">
      <c r="A18" s="64">
        <v>10</v>
      </c>
      <c r="B18" s="46">
        <v>45222</v>
      </c>
      <c r="C18" s="47">
        <v>45695</v>
      </c>
      <c r="D18" s="48">
        <v>1</v>
      </c>
      <c r="E18" s="48">
        <v>81483104</v>
      </c>
      <c r="F18" s="49" t="s">
        <v>640</v>
      </c>
      <c r="G18" s="50">
        <v>40485357</v>
      </c>
      <c r="H18" s="51" t="s">
        <v>641</v>
      </c>
      <c r="I18" s="52" t="s">
        <v>642</v>
      </c>
      <c r="J18" s="53" t="s">
        <v>41</v>
      </c>
      <c r="K18" s="50" t="s">
        <v>71</v>
      </c>
      <c r="L18" s="50" t="s">
        <v>643</v>
      </c>
      <c r="M18" s="49" t="s">
        <v>644</v>
      </c>
      <c r="N18" s="54">
        <v>15</v>
      </c>
      <c r="O18" s="59" t="s">
        <v>645</v>
      </c>
      <c r="P18" s="55" t="s">
        <v>646</v>
      </c>
      <c r="Q18" s="45">
        <v>982603913</v>
      </c>
      <c r="R18" s="45"/>
      <c r="S18" s="45" t="s">
        <v>647</v>
      </c>
      <c r="T18" s="56"/>
    </row>
    <row r="19" spans="1:20" s="57" customFormat="1" ht="56.25" customHeight="1" x14ac:dyDescent="0.2">
      <c r="A19" s="64">
        <v>11</v>
      </c>
      <c r="B19" s="46">
        <v>45072</v>
      </c>
      <c r="C19" s="47">
        <v>45700</v>
      </c>
      <c r="D19" s="48">
        <v>1</v>
      </c>
      <c r="E19" s="48">
        <v>81480080</v>
      </c>
      <c r="F19" s="49" t="s">
        <v>648</v>
      </c>
      <c r="G19" s="50">
        <v>40480321</v>
      </c>
      <c r="H19" s="51" t="s">
        <v>111</v>
      </c>
      <c r="I19" s="52" t="s">
        <v>649</v>
      </c>
      <c r="J19" s="53" t="s">
        <v>41</v>
      </c>
      <c r="K19" s="50" t="s">
        <v>71</v>
      </c>
      <c r="L19" s="50" t="s">
        <v>650</v>
      </c>
      <c r="M19" s="49" t="s">
        <v>651</v>
      </c>
      <c r="N19" s="54">
        <v>15</v>
      </c>
      <c r="O19" s="59">
        <v>104048808</v>
      </c>
      <c r="P19" s="55" t="s">
        <v>652</v>
      </c>
      <c r="Q19" s="45">
        <v>994412124</v>
      </c>
      <c r="R19" s="45"/>
      <c r="S19" s="45" t="s">
        <v>653</v>
      </c>
      <c r="T19" s="56"/>
    </row>
    <row r="20" spans="1:20" s="57" customFormat="1" ht="56.25" customHeight="1" x14ac:dyDescent="0.2">
      <c r="A20" s="64">
        <v>12</v>
      </c>
      <c r="B20" s="46">
        <v>45353</v>
      </c>
      <c r="C20" s="47">
        <v>45701</v>
      </c>
      <c r="D20" s="48">
        <v>1</v>
      </c>
      <c r="E20" s="48">
        <v>83340626</v>
      </c>
      <c r="F20" s="49" t="s">
        <v>654</v>
      </c>
      <c r="G20" s="50">
        <v>111000050</v>
      </c>
      <c r="H20" s="51" t="s">
        <v>655</v>
      </c>
      <c r="I20" s="52" t="s">
        <v>656</v>
      </c>
      <c r="J20" s="53" t="s">
        <v>41</v>
      </c>
      <c r="K20" s="50" t="s">
        <v>71</v>
      </c>
      <c r="L20" s="50" t="s">
        <v>657</v>
      </c>
      <c r="M20" s="49" t="s">
        <v>658</v>
      </c>
      <c r="N20" s="54">
        <v>15</v>
      </c>
      <c r="O20" s="59" t="s">
        <v>659</v>
      </c>
      <c r="P20" s="55" t="s">
        <v>660</v>
      </c>
      <c r="Q20" s="45">
        <v>993096851</v>
      </c>
      <c r="R20" s="45"/>
      <c r="S20" s="45" t="s">
        <v>661</v>
      </c>
      <c r="T20" s="56"/>
    </row>
    <row r="21" spans="1:20" s="57" customFormat="1" ht="56.25" customHeight="1" x14ac:dyDescent="0.2">
      <c r="A21" s="64">
        <v>13</v>
      </c>
      <c r="B21" s="46">
        <v>45565</v>
      </c>
      <c r="C21" s="47">
        <v>45705</v>
      </c>
      <c r="D21" s="48">
        <v>1</v>
      </c>
      <c r="E21" s="48"/>
      <c r="F21" s="49"/>
      <c r="G21" s="50">
        <v>113430018</v>
      </c>
      <c r="H21" s="51" t="s">
        <v>662</v>
      </c>
      <c r="I21" s="52" t="s">
        <v>663</v>
      </c>
      <c r="J21" s="53" t="s">
        <v>41</v>
      </c>
      <c r="K21" s="50" t="s">
        <v>71</v>
      </c>
      <c r="L21" s="50" t="s">
        <v>664</v>
      </c>
      <c r="M21" s="49" t="s">
        <v>665</v>
      </c>
      <c r="N21" s="54">
        <v>18.75</v>
      </c>
      <c r="O21" s="59" t="s">
        <v>666</v>
      </c>
      <c r="P21" s="55" t="s">
        <v>667</v>
      </c>
      <c r="Q21" s="45">
        <v>989434151</v>
      </c>
      <c r="R21" s="45"/>
      <c r="S21" s="45" t="s">
        <v>668</v>
      </c>
      <c r="T21" s="56"/>
    </row>
    <row r="22" spans="1:20" s="57" customFormat="1" ht="56.25" customHeight="1" x14ac:dyDescent="0.2">
      <c r="A22" s="64">
        <v>14</v>
      </c>
      <c r="B22" s="46">
        <v>45419</v>
      </c>
      <c r="C22" s="47">
        <v>45706</v>
      </c>
      <c r="D22" s="48">
        <v>1</v>
      </c>
      <c r="E22" s="48"/>
      <c r="F22" s="49"/>
      <c r="G22" s="50">
        <v>40782128</v>
      </c>
      <c r="H22" s="51" t="s">
        <v>669</v>
      </c>
      <c r="I22" s="52" t="s">
        <v>670</v>
      </c>
      <c r="J22" s="53" t="s">
        <v>41</v>
      </c>
      <c r="K22" s="50" t="s">
        <v>71</v>
      </c>
      <c r="L22" s="50" t="s">
        <v>671</v>
      </c>
      <c r="M22" s="49" t="s">
        <v>672</v>
      </c>
      <c r="N22" s="54">
        <v>18.75</v>
      </c>
      <c r="O22" s="59" t="s">
        <v>673</v>
      </c>
      <c r="P22" s="55" t="s">
        <v>674</v>
      </c>
      <c r="Q22" s="45">
        <v>984912808</v>
      </c>
      <c r="R22" s="45"/>
      <c r="S22" s="45" t="s">
        <v>675</v>
      </c>
      <c r="T22" s="56"/>
    </row>
    <row r="23" spans="1:20" s="34" customFormat="1" ht="56.25" customHeight="1" x14ac:dyDescent="0.2">
      <c r="A23" s="64">
        <v>15</v>
      </c>
      <c r="B23" s="67">
        <v>45154</v>
      </c>
      <c r="C23" s="68">
        <v>45709</v>
      </c>
      <c r="D23" s="69">
        <v>1</v>
      </c>
      <c r="E23" s="69">
        <v>83340602</v>
      </c>
      <c r="F23" s="70" t="s">
        <v>1117</v>
      </c>
      <c r="G23" s="71">
        <v>111000031</v>
      </c>
      <c r="H23" s="72" t="s">
        <v>137</v>
      </c>
      <c r="I23" s="73" t="s">
        <v>1118</v>
      </c>
      <c r="J23" s="74" t="s">
        <v>41</v>
      </c>
      <c r="K23" s="71" t="s">
        <v>64</v>
      </c>
      <c r="L23" s="71" t="s">
        <v>1119</v>
      </c>
      <c r="M23" s="75" t="s">
        <v>1120</v>
      </c>
      <c r="N23" s="76">
        <v>15</v>
      </c>
      <c r="O23" s="77">
        <v>1716141047</v>
      </c>
      <c r="P23" s="78" t="s">
        <v>1121</v>
      </c>
      <c r="Q23" s="34">
        <v>980682260</v>
      </c>
      <c r="S23" s="79" t="s">
        <v>1122</v>
      </c>
    </row>
    <row r="24" spans="1:20" s="34" customFormat="1" ht="56.25" customHeight="1" x14ac:dyDescent="0.2">
      <c r="A24" s="64">
        <v>16</v>
      </c>
      <c r="B24" s="67">
        <v>45540</v>
      </c>
      <c r="C24" s="68">
        <v>45712</v>
      </c>
      <c r="D24" s="69">
        <v>1</v>
      </c>
      <c r="E24" s="69"/>
      <c r="F24" s="70"/>
      <c r="G24" s="71">
        <v>112570239</v>
      </c>
      <c r="H24" s="72" t="s">
        <v>1123</v>
      </c>
      <c r="I24" s="73" t="s">
        <v>1124</v>
      </c>
      <c r="J24" s="74" t="s">
        <v>41</v>
      </c>
      <c r="K24" s="71" t="s">
        <v>64</v>
      </c>
      <c r="L24" s="71" t="s">
        <v>1125</v>
      </c>
      <c r="M24" s="75" t="s">
        <v>1126</v>
      </c>
      <c r="N24" s="76">
        <v>12.5</v>
      </c>
      <c r="O24" s="77">
        <v>104196647</v>
      </c>
      <c r="P24" s="78" t="s">
        <v>1127</v>
      </c>
      <c r="Q24" s="34">
        <v>997436897</v>
      </c>
      <c r="S24" s="80" t="s">
        <v>1128</v>
      </c>
    </row>
    <row r="25" spans="1:20" s="34" customFormat="1" ht="56.25" customHeight="1" x14ac:dyDescent="0.2">
      <c r="A25" s="64">
        <v>17</v>
      </c>
      <c r="B25" s="67">
        <v>45498</v>
      </c>
      <c r="C25" s="68">
        <v>45729</v>
      </c>
      <c r="D25" s="69">
        <v>1</v>
      </c>
      <c r="E25" s="69">
        <v>99119774</v>
      </c>
      <c r="F25" s="70" t="s">
        <v>1129</v>
      </c>
      <c r="G25" s="71">
        <v>40197255</v>
      </c>
      <c r="H25" s="70" t="s">
        <v>1130</v>
      </c>
      <c r="I25" s="73" t="s">
        <v>1131</v>
      </c>
      <c r="J25" s="74" t="s">
        <v>41</v>
      </c>
      <c r="K25" s="71" t="s">
        <v>64</v>
      </c>
      <c r="L25" s="71" t="s">
        <v>1132</v>
      </c>
      <c r="M25" s="75" t="s">
        <v>1133</v>
      </c>
      <c r="N25" s="76">
        <v>12.5</v>
      </c>
      <c r="O25" s="77" t="s">
        <v>1134</v>
      </c>
      <c r="P25" s="78" t="s">
        <v>1135</v>
      </c>
      <c r="Q25" s="34">
        <v>984929898</v>
      </c>
      <c r="S25" s="80" t="s">
        <v>1136</v>
      </c>
    </row>
    <row r="26" spans="1:20" s="34" customFormat="1" ht="56.25" customHeight="1" x14ac:dyDescent="0.2">
      <c r="A26" s="64">
        <v>18</v>
      </c>
      <c r="B26" s="67">
        <v>45552</v>
      </c>
      <c r="C26" s="68">
        <v>45729</v>
      </c>
      <c r="D26" s="69">
        <v>1</v>
      </c>
      <c r="E26" s="69">
        <v>60803326</v>
      </c>
      <c r="F26" s="70" t="s">
        <v>1137</v>
      </c>
      <c r="G26" s="71">
        <v>112500049</v>
      </c>
      <c r="H26" s="72" t="s">
        <v>942</v>
      </c>
      <c r="I26" s="73" t="s">
        <v>1138</v>
      </c>
      <c r="J26" s="74" t="s">
        <v>41</v>
      </c>
      <c r="K26" s="71" t="s">
        <v>64</v>
      </c>
      <c r="L26" s="71" t="s">
        <v>1139</v>
      </c>
      <c r="M26" s="75" t="s">
        <v>1140</v>
      </c>
      <c r="N26" s="76">
        <v>12.5</v>
      </c>
      <c r="O26" s="77">
        <v>500609417</v>
      </c>
      <c r="P26" s="78" t="s">
        <v>1141</v>
      </c>
      <c r="Q26" s="34">
        <v>994509684</v>
      </c>
      <c r="S26" s="80" t="s">
        <v>1142</v>
      </c>
    </row>
    <row r="27" spans="1:20" s="34" customFormat="1" ht="56.25" customHeight="1" x14ac:dyDescent="0.2">
      <c r="A27" s="64">
        <v>19</v>
      </c>
      <c r="B27" s="67">
        <v>44751</v>
      </c>
      <c r="C27" s="68">
        <v>45729</v>
      </c>
      <c r="D27" s="69">
        <v>1</v>
      </c>
      <c r="E27" s="69"/>
      <c r="F27" s="70"/>
      <c r="G27" s="71">
        <v>112520025</v>
      </c>
      <c r="H27" s="72" t="s">
        <v>91</v>
      </c>
      <c r="I27" s="73" t="s">
        <v>1143</v>
      </c>
      <c r="J27" s="74" t="s">
        <v>41</v>
      </c>
      <c r="K27" s="71" t="s">
        <v>64</v>
      </c>
      <c r="L27" s="71" t="s">
        <v>1144</v>
      </c>
      <c r="M27" s="75" t="s">
        <v>1145</v>
      </c>
      <c r="N27" s="76">
        <v>12.5</v>
      </c>
      <c r="O27" s="77" t="s">
        <v>1146</v>
      </c>
      <c r="P27" s="78" t="s">
        <v>1147</v>
      </c>
      <c r="Q27" s="34">
        <v>989550351</v>
      </c>
      <c r="S27" s="80" t="s">
        <v>1148</v>
      </c>
    </row>
    <row r="28" spans="1:20" s="34" customFormat="1" ht="56.25" customHeight="1" x14ac:dyDescent="0.2">
      <c r="A28" s="64">
        <v>20</v>
      </c>
      <c r="B28" s="81">
        <v>45730</v>
      </c>
      <c r="C28" s="82">
        <v>45730</v>
      </c>
      <c r="D28" s="83">
        <v>1</v>
      </c>
      <c r="E28" s="83"/>
      <c r="F28" s="84"/>
      <c r="G28" s="85">
        <v>40197255</v>
      </c>
      <c r="H28" s="70" t="s">
        <v>1130</v>
      </c>
      <c r="I28" s="86" t="s">
        <v>1149</v>
      </c>
      <c r="J28" s="87" t="s">
        <v>41</v>
      </c>
      <c r="K28" s="85" t="s">
        <v>64</v>
      </c>
      <c r="L28" s="85" t="s">
        <v>1150</v>
      </c>
      <c r="M28" s="88" t="s">
        <v>1151</v>
      </c>
      <c r="N28" s="89">
        <v>12.5</v>
      </c>
      <c r="O28" s="90" t="s">
        <v>1152</v>
      </c>
      <c r="P28" s="91" t="s">
        <v>1153</v>
      </c>
      <c r="Q28" s="92">
        <v>72828939</v>
      </c>
      <c r="R28" s="92"/>
      <c r="S28" s="93" t="s">
        <v>1154</v>
      </c>
    </row>
    <row r="29" spans="1:20" s="34" customFormat="1" ht="54" x14ac:dyDescent="0.2">
      <c r="A29" s="64">
        <v>21</v>
      </c>
      <c r="B29" s="81">
        <v>45381</v>
      </c>
      <c r="C29" s="82">
        <v>45730</v>
      </c>
      <c r="D29" s="83">
        <v>1</v>
      </c>
      <c r="E29" s="69">
        <v>99119774</v>
      </c>
      <c r="F29" s="70" t="s">
        <v>1129</v>
      </c>
      <c r="G29" s="71">
        <v>40197255</v>
      </c>
      <c r="H29" s="70" t="s">
        <v>1130</v>
      </c>
      <c r="I29" s="86" t="s">
        <v>1155</v>
      </c>
      <c r="J29" s="87" t="s">
        <v>41</v>
      </c>
      <c r="K29" s="85" t="s">
        <v>64</v>
      </c>
      <c r="L29" s="85" t="s">
        <v>1156</v>
      </c>
      <c r="M29" s="75" t="s">
        <v>1133</v>
      </c>
      <c r="N29" s="89">
        <v>12.5</v>
      </c>
      <c r="O29" s="90" t="s">
        <v>1157</v>
      </c>
      <c r="P29" s="91" t="s">
        <v>1158</v>
      </c>
      <c r="Q29" s="92">
        <v>990194159</v>
      </c>
      <c r="R29" s="92"/>
      <c r="S29" s="93" t="s">
        <v>1159</v>
      </c>
    </row>
    <row r="30" spans="1:20" s="57" customFormat="1" ht="52" customHeight="1" x14ac:dyDescent="0.2">
      <c r="A30" s="64">
        <v>22</v>
      </c>
      <c r="B30" s="94">
        <v>44679</v>
      </c>
      <c r="C30" s="95">
        <v>45733</v>
      </c>
      <c r="D30" s="96">
        <v>1</v>
      </c>
      <c r="E30" s="96">
        <v>60803127</v>
      </c>
      <c r="F30" s="97" t="s">
        <v>1695</v>
      </c>
      <c r="G30" s="98">
        <v>112500011</v>
      </c>
      <c r="H30" s="99" t="s">
        <v>1696</v>
      </c>
      <c r="I30" s="100" t="s">
        <v>1697</v>
      </c>
      <c r="J30" s="101" t="s">
        <v>41</v>
      </c>
      <c r="K30" s="98" t="s">
        <v>64</v>
      </c>
      <c r="L30" s="98" t="s">
        <v>1698</v>
      </c>
      <c r="M30" s="97" t="s">
        <v>1699</v>
      </c>
      <c r="N30" s="102">
        <v>12.5</v>
      </c>
      <c r="O30" s="103" t="s">
        <v>1700</v>
      </c>
      <c r="P30" s="104" t="s">
        <v>1701</v>
      </c>
      <c r="Q30" s="63" t="s">
        <v>1702</v>
      </c>
      <c r="R30" s="45"/>
      <c r="S30" s="45" t="s">
        <v>1703</v>
      </c>
      <c r="T30" s="56"/>
    </row>
    <row r="31" spans="1:20" s="118" customFormat="1" ht="52" customHeight="1" x14ac:dyDescent="0.2">
      <c r="A31" s="64">
        <v>23</v>
      </c>
      <c r="B31" s="105">
        <v>45552</v>
      </c>
      <c r="C31" s="106">
        <v>45733</v>
      </c>
      <c r="D31" s="107">
        <v>1</v>
      </c>
      <c r="E31" s="107">
        <v>60803326</v>
      </c>
      <c r="F31" s="108" t="s">
        <v>1137</v>
      </c>
      <c r="G31" s="109">
        <v>112500049</v>
      </c>
      <c r="H31" s="108" t="s">
        <v>942</v>
      </c>
      <c r="I31" s="110" t="s">
        <v>1138</v>
      </c>
      <c r="J31" s="111" t="s">
        <v>41</v>
      </c>
      <c r="K31" s="109" t="s">
        <v>64</v>
      </c>
      <c r="L31" s="109" t="s">
        <v>1139</v>
      </c>
      <c r="M31" s="112" t="s">
        <v>1140</v>
      </c>
      <c r="N31" s="113">
        <v>12.5</v>
      </c>
      <c r="O31" s="114">
        <v>500609417</v>
      </c>
      <c r="P31" s="115" t="s">
        <v>1141</v>
      </c>
      <c r="Q31" s="116">
        <v>994509684</v>
      </c>
      <c r="R31" s="116"/>
      <c r="S31" s="117" t="s">
        <v>1704</v>
      </c>
    </row>
    <row r="32" spans="1:20" s="57" customFormat="1" ht="52" customHeight="1" x14ac:dyDescent="0.2">
      <c r="A32" s="64">
        <v>24</v>
      </c>
      <c r="B32" s="94">
        <v>45624</v>
      </c>
      <c r="C32" s="95">
        <v>45733</v>
      </c>
      <c r="D32" s="96">
        <v>1</v>
      </c>
      <c r="E32" s="96"/>
      <c r="F32" s="97"/>
      <c r="G32" s="98">
        <v>40297052</v>
      </c>
      <c r="H32" s="99" t="s">
        <v>1705</v>
      </c>
      <c r="I32" s="100">
        <v>2524040566</v>
      </c>
      <c r="J32" s="101" t="s">
        <v>41</v>
      </c>
      <c r="K32" s="98" t="s">
        <v>64</v>
      </c>
      <c r="L32" s="98" t="s">
        <v>1241</v>
      </c>
      <c r="M32" s="97" t="s">
        <v>1706</v>
      </c>
      <c r="N32" s="102">
        <v>12.5</v>
      </c>
      <c r="O32" s="103" t="s">
        <v>1707</v>
      </c>
      <c r="P32" s="104" t="s">
        <v>1708</v>
      </c>
      <c r="Q32" s="63" t="s">
        <v>1709</v>
      </c>
      <c r="R32" s="45"/>
      <c r="S32" s="45" t="s">
        <v>1238</v>
      </c>
      <c r="T32" s="56"/>
    </row>
    <row r="33" spans="1:20" s="57" customFormat="1" ht="52" customHeight="1" x14ac:dyDescent="0.2">
      <c r="A33" s="64">
        <v>25</v>
      </c>
      <c r="B33" s="94">
        <v>45668</v>
      </c>
      <c r="C33" s="95">
        <v>45733</v>
      </c>
      <c r="D33" s="96">
        <v>1</v>
      </c>
      <c r="E33" s="96"/>
      <c r="F33" s="97"/>
      <c r="G33" s="98">
        <v>113430018</v>
      </c>
      <c r="H33" s="99" t="s">
        <v>1710</v>
      </c>
      <c r="I33" s="100" t="s">
        <v>356</v>
      </c>
      <c r="J33" s="101" t="s">
        <v>41</v>
      </c>
      <c r="K33" s="98" t="s">
        <v>64</v>
      </c>
      <c r="L33" s="98" t="s">
        <v>357</v>
      </c>
      <c r="M33" s="97" t="s">
        <v>1711</v>
      </c>
      <c r="N33" s="102">
        <v>18.75</v>
      </c>
      <c r="O33" s="103" t="s">
        <v>1712</v>
      </c>
      <c r="P33" s="104" t="s">
        <v>1713</v>
      </c>
      <c r="Q33" s="63" t="s">
        <v>1714</v>
      </c>
      <c r="R33" s="45"/>
      <c r="S33" s="45" t="s">
        <v>353</v>
      </c>
      <c r="T33" s="56"/>
    </row>
    <row r="34" spans="1:20" s="118" customFormat="1" ht="52" customHeight="1" x14ac:dyDescent="0.2">
      <c r="A34" s="64">
        <v>26</v>
      </c>
      <c r="B34" s="105">
        <v>44751</v>
      </c>
      <c r="C34" s="106">
        <v>45733</v>
      </c>
      <c r="D34" s="107">
        <v>1</v>
      </c>
      <c r="E34" s="107"/>
      <c r="F34" s="108"/>
      <c r="G34" s="109">
        <v>112520025</v>
      </c>
      <c r="H34" s="108" t="s">
        <v>91</v>
      </c>
      <c r="I34" s="110" t="s">
        <v>1143</v>
      </c>
      <c r="J34" s="111" t="s">
        <v>41</v>
      </c>
      <c r="K34" s="109" t="s">
        <v>64</v>
      </c>
      <c r="L34" s="109" t="s">
        <v>1144</v>
      </c>
      <c r="M34" s="112" t="s">
        <v>1145</v>
      </c>
      <c r="N34" s="113">
        <v>12.5</v>
      </c>
      <c r="O34" s="114" t="s">
        <v>1146</v>
      </c>
      <c r="P34" s="115" t="s">
        <v>1147</v>
      </c>
      <c r="Q34" s="117">
        <v>989550351</v>
      </c>
      <c r="R34" s="117"/>
      <c r="S34" s="117" t="s">
        <v>1148</v>
      </c>
    </row>
    <row r="35" spans="1:20" s="57" customFormat="1" ht="52" customHeight="1" x14ac:dyDescent="0.2">
      <c r="A35" s="64">
        <v>27</v>
      </c>
      <c r="B35" s="94">
        <v>45014</v>
      </c>
      <c r="C35" s="95">
        <v>45733</v>
      </c>
      <c r="D35" s="96">
        <v>1</v>
      </c>
      <c r="E35" s="96" t="s">
        <v>1715</v>
      </c>
      <c r="F35" s="97" t="s">
        <v>1716</v>
      </c>
      <c r="G35" s="98">
        <v>115000008</v>
      </c>
      <c r="H35" s="99" t="s">
        <v>1717</v>
      </c>
      <c r="I35" s="100"/>
      <c r="J35" s="101" t="s">
        <v>41</v>
      </c>
      <c r="K35" s="98" t="s">
        <v>64</v>
      </c>
      <c r="L35" s="98" t="s">
        <v>1718</v>
      </c>
      <c r="M35" s="97" t="s">
        <v>1719</v>
      </c>
      <c r="N35" s="102">
        <v>12.5</v>
      </c>
      <c r="O35" s="103" t="s">
        <v>1720</v>
      </c>
      <c r="P35" s="104" t="s">
        <v>1721</v>
      </c>
      <c r="Q35" s="63" t="s">
        <v>1722</v>
      </c>
      <c r="R35" s="45"/>
      <c r="S35" s="45" t="s">
        <v>1723</v>
      </c>
      <c r="T35" s="56"/>
    </row>
    <row r="36" spans="1:20" s="57" customFormat="1" ht="52" customHeight="1" x14ac:dyDescent="0.2">
      <c r="A36" s="64">
        <v>28</v>
      </c>
      <c r="B36" s="94">
        <v>45564</v>
      </c>
      <c r="C36" s="95">
        <v>45734</v>
      </c>
      <c r="D36" s="96">
        <v>1</v>
      </c>
      <c r="E36" s="96"/>
      <c r="F36" s="97"/>
      <c r="G36" s="98">
        <v>112570211</v>
      </c>
      <c r="H36" s="99" t="s">
        <v>1724</v>
      </c>
      <c r="I36" s="100" t="s">
        <v>1725</v>
      </c>
      <c r="J36" s="101" t="s">
        <v>41</v>
      </c>
      <c r="K36" s="98" t="s">
        <v>64</v>
      </c>
      <c r="L36" s="98" t="s">
        <v>1726</v>
      </c>
      <c r="M36" s="97" t="s">
        <v>1727</v>
      </c>
      <c r="N36" s="102">
        <v>12.5</v>
      </c>
      <c r="O36" s="103" t="s">
        <v>1728</v>
      </c>
      <c r="P36" s="104" t="s">
        <v>1729</v>
      </c>
      <c r="Q36" s="63" t="s">
        <v>1730</v>
      </c>
      <c r="R36" s="45"/>
      <c r="S36" s="45" t="s">
        <v>1731</v>
      </c>
      <c r="T36" s="56"/>
    </row>
    <row r="37" spans="1:20" s="118" customFormat="1" ht="52" customHeight="1" x14ac:dyDescent="0.2">
      <c r="A37" s="64">
        <v>29</v>
      </c>
      <c r="B37" s="105">
        <v>44884</v>
      </c>
      <c r="C37" s="106">
        <v>45735</v>
      </c>
      <c r="D37" s="107">
        <v>1</v>
      </c>
      <c r="E37" s="107"/>
      <c r="F37" s="108"/>
      <c r="G37" s="109">
        <v>40197255</v>
      </c>
      <c r="H37" s="108" t="s">
        <v>1130</v>
      </c>
      <c r="I37" s="110" t="s">
        <v>1732</v>
      </c>
      <c r="J37" s="111" t="s">
        <v>41</v>
      </c>
      <c r="K37" s="109" t="s">
        <v>64</v>
      </c>
      <c r="L37" s="109" t="s">
        <v>1150</v>
      </c>
      <c r="M37" s="112" t="s">
        <v>1151</v>
      </c>
      <c r="N37" s="113">
        <v>12.5</v>
      </c>
      <c r="O37" s="114" t="s">
        <v>1152</v>
      </c>
      <c r="P37" s="115" t="s">
        <v>1153</v>
      </c>
      <c r="Q37" s="117">
        <v>72828939</v>
      </c>
      <c r="R37" s="117"/>
      <c r="S37" s="117" t="s">
        <v>1154</v>
      </c>
    </row>
    <row r="38" spans="1:20" s="57" customFormat="1" ht="52" customHeight="1" x14ac:dyDescent="0.2">
      <c r="A38" s="64">
        <v>30</v>
      </c>
      <c r="B38" s="94">
        <v>45540</v>
      </c>
      <c r="C38" s="95">
        <v>45735</v>
      </c>
      <c r="D38" s="96">
        <v>1</v>
      </c>
      <c r="E38" s="96">
        <v>93172390</v>
      </c>
      <c r="F38" s="97" t="s">
        <v>1733</v>
      </c>
      <c r="G38" s="98">
        <v>40589202</v>
      </c>
      <c r="H38" s="99" t="s">
        <v>1734</v>
      </c>
      <c r="I38" s="100" t="s">
        <v>1735</v>
      </c>
      <c r="J38" s="101" t="s">
        <v>41</v>
      </c>
      <c r="K38" s="98" t="s">
        <v>64</v>
      </c>
      <c r="L38" s="98" t="s">
        <v>286</v>
      </c>
      <c r="M38" s="97" t="s">
        <v>1736</v>
      </c>
      <c r="N38" s="102">
        <v>15</v>
      </c>
      <c r="O38" s="103" t="s">
        <v>288</v>
      </c>
      <c r="P38" s="104" t="s">
        <v>1737</v>
      </c>
      <c r="Q38" s="63" t="s">
        <v>1738</v>
      </c>
      <c r="R38" s="45"/>
      <c r="S38" s="45" t="s">
        <v>1739</v>
      </c>
      <c r="T38" s="56"/>
    </row>
    <row r="39" spans="1:20" s="119" customFormat="1" ht="52" customHeight="1" x14ac:dyDescent="0.2">
      <c r="A39" s="64">
        <v>31</v>
      </c>
      <c r="B39" s="105">
        <v>45381</v>
      </c>
      <c r="C39" s="106">
        <v>45740</v>
      </c>
      <c r="D39" s="107">
        <v>1</v>
      </c>
      <c r="E39" s="107">
        <v>99119774</v>
      </c>
      <c r="F39" s="108" t="s">
        <v>1129</v>
      </c>
      <c r="G39" s="109">
        <v>40197255</v>
      </c>
      <c r="H39" s="108" t="s">
        <v>1130</v>
      </c>
      <c r="I39" s="110" t="s">
        <v>1740</v>
      </c>
      <c r="J39" s="111" t="s">
        <v>41</v>
      </c>
      <c r="K39" s="109" t="s">
        <v>64</v>
      </c>
      <c r="L39" s="109" t="s">
        <v>1156</v>
      </c>
      <c r="M39" s="112" t="s">
        <v>1133</v>
      </c>
      <c r="N39" s="113">
        <v>12.5</v>
      </c>
      <c r="O39" s="114" t="s">
        <v>1157</v>
      </c>
      <c r="P39" s="115" t="s">
        <v>1158</v>
      </c>
      <c r="Q39" s="116">
        <v>990194159</v>
      </c>
      <c r="R39" s="116"/>
      <c r="S39" s="116" t="s">
        <v>1159</v>
      </c>
    </row>
    <row r="40" spans="1:20" s="57" customFormat="1" ht="52" customHeight="1" x14ac:dyDescent="0.2">
      <c r="A40" s="64">
        <v>32</v>
      </c>
      <c r="B40" s="94">
        <v>44965</v>
      </c>
      <c r="C40" s="95">
        <v>45740</v>
      </c>
      <c r="D40" s="96">
        <v>1</v>
      </c>
      <c r="E40" s="96"/>
      <c r="F40" s="97"/>
      <c r="G40" s="98">
        <v>40197255</v>
      </c>
      <c r="H40" s="99" t="s">
        <v>538</v>
      </c>
      <c r="I40" s="100" t="s">
        <v>1741</v>
      </c>
      <c r="J40" s="101" t="s">
        <v>41</v>
      </c>
      <c r="K40" s="98" t="s">
        <v>64</v>
      </c>
      <c r="L40" s="98" t="s">
        <v>1742</v>
      </c>
      <c r="M40" s="97" t="s">
        <v>1743</v>
      </c>
      <c r="N40" s="102">
        <v>12.5</v>
      </c>
      <c r="O40" s="103" t="s">
        <v>1744</v>
      </c>
      <c r="P40" s="104" t="s">
        <v>1745</v>
      </c>
      <c r="Q40" s="63" t="s">
        <v>1746</v>
      </c>
      <c r="R40" s="45"/>
      <c r="S40" s="45" t="s">
        <v>1747</v>
      </c>
      <c r="T40" s="56"/>
    </row>
    <row r="41" spans="1:20" s="57" customFormat="1" ht="52" customHeight="1" x14ac:dyDescent="0.2">
      <c r="A41" s="64">
        <v>33</v>
      </c>
      <c r="B41" s="94">
        <v>45256</v>
      </c>
      <c r="C41" s="95">
        <v>45741</v>
      </c>
      <c r="D41" s="96">
        <v>1</v>
      </c>
      <c r="E41" s="96">
        <v>81597018</v>
      </c>
      <c r="F41" s="97" t="s">
        <v>1748</v>
      </c>
      <c r="G41" s="98">
        <v>41596121</v>
      </c>
      <c r="H41" s="99" t="s">
        <v>1749</v>
      </c>
      <c r="I41" s="100" t="s">
        <v>1750</v>
      </c>
      <c r="J41" s="101" t="s">
        <v>41</v>
      </c>
      <c r="K41" s="98" t="s">
        <v>64</v>
      </c>
      <c r="L41" s="98" t="s">
        <v>1751</v>
      </c>
      <c r="M41" s="97" t="s">
        <v>1752</v>
      </c>
      <c r="N41" s="102">
        <v>18.75</v>
      </c>
      <c r="O41" s="103" t="s">
        <v>1753</v>
      </c>
      <c r="P41" s="104" t="s">
        <v>1754</v>
      </c>
      <c r="Q41" s="63" t="s">
        <v>1755</v>
      </c>
      <c r="R41" s="45"/>
      <c r="S41" s="45" t="s">
        <v>1756</v>
      </c>
      <c r="T41" s="56"/>
    </row>
    <row r="42" spans="1:20" s="57" customFormat="1" ht="52" customHeight="1" x14ac:dyDescent="0.2">
      <c r="A42" s="64">
        <v>34</v>
      </c>
      <c r="B42" s="94">
        <v>45419</v>
      </c>
      <c r="C42" s="95">
        <v>45741</v>
      </c>
      <c r="D42" s="96">
        <v>1</v>
      </c>
      <c r="E42" s="96">
        <v>60803268</v>
      </c>
      <c r="F42" s="97" t="s">
        <v>1757</v>
      </c>
      <c r="G42" s="98">
        <v>112500098</v>
      </c>
      <c r="H42" s="99" t="s">
        <v>1758</v>
      </c>
      <c r="I42" s="100" t="s">
        <v>1759</v>
      </c>
      <c r="J42" s="101" t="s">
        <v>41</v>
      </c>
      <c r="K42" s="98" t="s">
        <v>64</v>
      </c>
      <c r="L42" s="98" t="s">
        <v>1760</v>
      </c>
      <c r="M42" s="97" t="s">
        <v>1761</v>
      </c>
      <c r="N42" s="102">
        <v>12.5</v>
      </c>
      <c r="O42" s="103" t="s">
        <v>1762</v>
      </c>
      <c r="P42" s="104" t="s">
        <v>1763</v>
      </c>
      <c r="Q42" s="63" t="s">
        <v>1764</v>
      </c>
      <c r="R42" s="45"/>
      <c r="S42" s="45" t="s">
        <v>1765</v>
      </c>
      <c r="T42" s="56"/>
    </row>
    <row r="43" spans="1:20" s="118" customFormat="1" ht="52" customHeight="1" x14ac:dyDescent="0.2">
      <c r="A43" s="64">
        <v>35</v>
      </c>
      <c r="B43" s="120">
        <v>45154</v>
      </c>
      <c r="C43" s="121">
        <v>45742</v>
      </c>
      <c r="D43" s="122">
        <v>1</v>
      </c>
      <c r="E43" s="122">
        <v>83340602</v>
      </c>
      <c r="F43" s="123" t="s">
        <v>1117</v>
      </c>
      <c r="G43" s="124">
        <v>111000031</v>
      </c>
      <c r="H43" s="123" t="s">
        <v>137</v>
      </c>
      <c r="I43" s="125" t="s">
        <v>1118</v>
      </c>
      <c r="J43" s="126" t="s">
        <v>41</v>
      </c>
      <c r="K43" s="124" t="s">
        <v>64</v>
      </c>
      <c r="L43" s="124" t="s">
        <v>1119</v>
      </c>
      <c r="M43" s="127" t="s">
        <v>1120</v>
      </c>
      <c r="N43" s="128">
        <v>15</v>
      </c>
      <c r="O43" s="129">
        <v>1716141047</v>
      </c>
      <c r="P43" s="130" t="s">
        <v>1121</v>
      </c>
      <c r="Q43" s="117">
        <v>980682260</v>
      </c>
      <c r="R43" s="117"/>
      <c r="S43" s="117" t="s">
        <v>1122</v>
      </c>
    </row>
    <row r="44" spans="1:20" s="57" customFormat="1" ht="52" customHeight="1" x14ac:dyDescent="0.2">
      <c r="A44" s="64">
        <v>36</v>
      </c>
      <c r="B44" s="94">
        <v>45645</v>
      </c>
      <c r="C44" s="95">
        <v>45742</v>
      </c>
      <c r="D44" s="96">
        <v>1</v>
      </c>
      <c r="E44" s="96"/>
      <c r="F44" s="97"/>
      <c r="G44" s="98">
        <v>40197255</v>
      </c>
      <c r="H44" s="99" t="s">
        <v>1766</v>
      </c>
      <c r="I44" s="100" t="s">
        <v>1767</v>
      </c>
      <c r="J44" s="101" t="s">
        <v>41</v>
      </c>
      <c r="K44" s="98" t="s">
        <v>64</v>
      </c>
      <c r="L44" s="98" t="s">
        <v>1768</v>
      </c>
      <c r="M44" s="97" t="s">
        <v>1769</v>
      </c>
      <c r="N44" s="102">
        <v>12.5</v>
      </c>
      <c r="O44" s="103" t="s">
        <v>1770</v>
      </c>
      <c r="P44" s="104" t="s">
        <v>1771</v>
      </c>
      <c r="Q44" s="63" t="s">
        <v>1772</v>
      </c>
      <c r="R44" s="45"/>
      <c r="S44" s="45" t="s">
        <v>1773</v>
      </c>
      <c r="T44" s="56"/>
    </row>
    <row r="45" spans="1:20" s="57" customFormat="1" ht="52" customHeight="1" x14ac:dyDescent="0.2">
      <c r="A45" s="64">
        <v>37</v>
      </c>
      <c r="B45" s="94">
        <v>45004</v>
      </c>
      <c r="C45" s="95">
        <v>45748</v>
      </c>
      <c r="D45" s="96">
        <v>1</v>
      </c>
      <c r="E45" s="96"/>
      <c r="F45" s="97"/>
      <c r="G45" s="98">
        <v>112570068</v>
      </c>
      <c r="H45" s="99" t="s">
        <v>110</v>
      </c>
      <c r="I45" s="100" t="s">
        <v>1774</v>
      </c>
      <c r="J45" s="101" t="s">
        <v>41</v>
      </c>
      <c r="K45" s="98" t="s">
        <v>64</v>
      </c>
      <c r="L45" s="98" t="s">
        <v>1775</v>
      </c>
      <c r="M45" s="97" t="s">
        <v>1776</v>
      </c>
      <c r="N45" s="102">
        <v>12.5</v>
      </c>
      <c r="O45" s="103" t="s">
        <v>1777</v>
      </c>
      <c r="P45" s="104" t="s">
        <v>1778</v>
      </c>
      <c r="Q45" s="63" t="s">
        <v>1779</v>
      </c>
      <c r="R45" s="45"/>
      <c r="S45" s="45" t="s">
        <v>1780</v>
      </c>
      <c r="T45" s="56"/>
    </row>
    <row r="46" spans="1:20" s="118" customFormat="1" ht="52" customHeight="1" x14ac:dyDescent="0.2">
      <c r="A46" s="64">
        <v>38</v>
      </c>
      <c r="B46" s="120">
        <v>45540</v>
      </c>
      <c r="C46" s="121">
        <v>45749</v>
      </c>
      <c r="D46" s="122">
        <v>1</v>
      </c>
      <c r="E46" s="122"/>
      <c r="F46" s="123"/>
      <c r="G46" s="124">
        <v>112570239</v>
      </c>
      <c r="H46" s="123" t="s">
        <v>1123</v>
      </c>
      <c r="I46" s="125" t="s">
        <v>1124</v>
      </c>
      <c r="J46" s="126" t="s">
        <v>41</v>
      </c>
      <c r="K46" s="124" t="s">
        <v>64</v>
      </c>
      <c r="L46" s="124" t="s">
        <v>1125</v>
      </c>
      <c r="M46" s="127" t="s">
        <v>1126</v>
      </c>
      <c r="N46" s="128">
        <v>12.5</v>
      </c>
      <c r="O46" s="129">
        <v>104196647</v>
      </c>
      <c r="P46" s="130" t="s">
        <v>1127</v>
      </c>
      <c r="Q46" s="117">
        <v>997436897</v>
      </c>
      <c r="R46" s="117"/>
      <c r="S46" s="117" t="s">
        <v>1128</v>
      </c>
    </row>
    <row r="47" spans="1:20" s="57" customFormat="1" ht="52" customHeight="1" x14ac:dyDescent="0.2">
      <c r="A47" s="64">
        <v>39</v>
      </c>
      <c r="B47" s="94">
        <v>45737</v>
      </c>
      <c r="C47" s="95">
        <v>45751</v>
      </c>
      <c r="D47" s="96">
        <v>1</v>
      </c>
      <c r="E47" s="96"/>
      <c r="F47" s="97"/>
      <c r="G47" s="98">
        <v>41596006</v>
      </c>
      <c r="H47" s="99" t="s">
        <v>1781</v>
      </c>
      <c r="I47" s="100" t="s">
        <v>1782</v>
      </c>
      <c r="J47" s="101" t="s">
        <v>41</v>
      </c>
      <c r="K47" s="98" t="s">
        <v>64</v>
      </c>
      <c r="L47" s="98" t="s">
        <v>1524</v>
      </c>
      <c r="M47" s="97" t="s">
        <v>1783</v>
      </c>
      <c r="N47" s="102">
        <v>18.75</v>
      </c>
      <c r="O47" s="103" t="s">
        <v>1784</v>
      </c>
      <c r="P47" s="104" t="s">
        <v>1528</v>
      </c>
      <c r="Q47" s="63" t="s">
        <v>1785</v>
      </c>
      <c r="R47" s="45"/>
      <c r="S47" s="45" t="s">
        <v>1522</v>
      </c>
      <c r="T47" s="56"/>
    </row>
    <row r="48" spans="1:20" s="57" customFormat="1" ht="52" customHeight="1" x14ac:dyDescent="0.2">
      <c r="A48" s="64">
        <v>40</v>
      </c>
      <c r="B48" s="94">
        <v>45649</v>
      </c>
      <c r="C48" s="95">
        <v>45758</v>
      </c>
      <c r="D48" s="96">
        <v>1</v>
      </c>
      <c r="E48" s="96"/>
      <c r="F48" s="97"/>
      <c r="G48" s="98">
        <v>113430018</v>
      </c>
      <c r="H48" s="99" t="s">
        <v>1710</v>
      </c>
      <c r="I48" s="100" t="s">
        <v>418</v>
      </c>
      <c r="J48" s="101" t="s">
        <v>41</v>
      </c>
      <c r="K48" s="98" t="s">
        <v>64</v>
      </c>
      <c r="L48" s="98" t="s">
        <v>419</v>
      </c>
      <c r="M48" s="97" t="s">
        <v>1786</v>
      </c>
      <c r="N48" s="102">
        <v>18.75</v>
      </c>
      <c r="O48" s="103" t="s">
        <v>1787</v>
      </c>
      <c r="P48" s="104" t="s">
        <v>423</v>
      </c>
      <c r="Q48" s="63" t="s">
        <v>421</v>
      </c>
      <c r="R48" s="45"/>
      <c r="S48" s="45" t="s">
        <v>416</v>
      </c>
      <c r="T48" s="56"/>
    </row>
    <row r="49" spans="1:20" s="57" customFormat="1" ht="52" customHeight="1" x14ac:dyDescent="0.2">
      <c r="A49" s="64">
        <v>41</v>
      </c>
      <c r="B49" s="94">
        <v>45273</v>
      </c>
      <c r="C49" s="95">
        <v>45759</v>
      </c>
      <c r="D49" s="96">
        <v>1</v>
      </c>
      <c r="E49" s="96">
        <v>60803326</v>
      </c>
      <c r="F49" s="97" t="s">
        <v>1788</v>
      </c>
      <c r="G49" s="98">
        <v>112500049</v>
      </c>
      <c r="H49" s="99" t="s">
        <v>942</v>
      </c>
      <c r="I49" s="100" t="s">
        <v>1789</v>
      </c>
      <c r="J49" s="101" t="s">
        <v>41</v>
      </c>
      <c r="K49" s="98" t="s">
        <v>64</v>
      </c>
      <c r="L49" s="98" t="s">
        <v>1790</v>
      </c>
      <c r="M49" s="97" t="s">
        <v>1791</v>
      </c>
      <c r="N49" s="102">
        <v>12.5</v>
      </c>
      <c r="O49" s="103" t="s">
        <v>1792</v>
      </c>
      <c r="P49" s="104" t="s">
        <v>1793</v>
      </c>
      <c r="Q49" s="63" t="s">
        <v>1794</v>
      </c>
      <c r="R49" s="45"/>
      <c r="S49" s="45" t="s">
        <v>1795</v>
      </c>
      <c r="T49" s="56"/>
    </row>
    <row r="50" spans="1:20" s="119" customFormat="1" ht="52" customHeight="1" x14ac:dyDescent="0.2">
      <c r="A50" s="64">
        <v>42</v>
      </c>
      <c r="B50" s="105">
        <v>45498</v>
      </c>
      <c r="C50" s="106">
        <v>45760</v>
      </c>
      <c r="D50" s="107">
        <v>1</v>
      </c>
      <c r="E50" s="107">
        <v>99119774</v>
      </c>
      <c r="F50" s="108" t="s">
        <v>1129</v>
      </c>
      <c r="G50" s="109">
        <v>40197255</v>
      </c>
      <c r="H50" s="108" t="s">
        <v>1130</v>
      </c>
      <c r="I50" s="110" t="s">
        <v>1131</v>
      </c>
      <c r="J50" s="111" t="s">
        <v>41</v>
      </c>
      <c r="K50" s="109" t="s">
        <v>64</v>
      </c>
      <c r="L50" s="109" t="s">
        <v>1132</v>
      </c>
      <c r="M50" s="112" t="s">
        <v>1133</v>
      </c>
      <c r="N50" s="113">
        <v>12.5</v>
      </c>
      <c r="O50" s="114" t="s">
        <v>1134</v>
      </c>
      <c r="P50" s="115" t="s">
        <v>1135</v>
      </c>
      <c r="Q50" s="116">
        <v>984929898</v>
      </c>
      <c r="R50" s="116"/>
      <c r="S50" s="116" t="s">
        <v>1136</v>
      </c>
    </row>
    <row r="51" spans="1:20" s="57" customFormat="1" ht="52" customHeight="1" x14ac:dyDescent="0.2">
      <c r="A51" s="64">
        <v>43</v>
      </c>
      <c r="B51" s="94">
        <v>45565</v>
      </c>
      <c r="C51" s="95">
        <v>45761</v>
      </c>
      <c r="D51" s="96">
        <v>1</v>
      </c>
      <c r="E51" s="96"/>
      <c r="F51" s="97"/>
      <c r="G51" s="98">
        <v>113430051</v>
      </c>
      <c r="H51" s="99" t="s">
        <v>1796</v>
      </c>
      <c r="I51" s="100" t="s">
        <v>1797</v>
      </c>
      <c r="J51" s="101" t="s">
        <v>41</v>
      </c>
      <c r="K51" s="98" t="s">
        <v>64</v>
      </c>
      <c r="L51" s="98" t="s">
        <v>608</v>
      </c>
      <c r="M51" s="97" t="s">
        <v>1798</v>
      </c>
      <c r="N51" s="102">
        <v>18.75</v>
      </c>
      <c r="O51" s="103" t="s">
        <v>1799</v>
      </c>
      <c r="P51" s="104" t="s">
        <v>1800</v>
      </c>
      <c r="Q51" s="63" t="s">
        <v>1801</v>
      </c>
      <c r="R51" s="45"/>
      <c r="S51" s="45" t="s">
        <v>606</v>
      </c>
      <c r="T51" s="56"/>
    </row>
    <row r="52" spans="1:20" s="57" customFormat="1" ht="52" customHeight="1" x14ac:dyDescent="0.2">
      <c r="A52" s="64">
        <v>44</v>
      </c>
      <c r="B52" s="94">
        <v>45373</v>
      </c>
      <c r="C52" s="95">
        <v>45761</v>
      </c>
      <c r="D52" s="96">
        <v>1</v>
      </c>
      <c r="E52" s="96">
        <v>83340735</v>
      </c>
      <c r="F52" s="97" t="s">
        <v>1802</v>
      </c>
      <c r="G52" s="98">
        <v>111200005</v>
      </c>
      <c r="H52" s="99" t="s">
        <v>1803</v>
      </c>
      <c r="I52" s="100" t="s">
        <v>1804</v>
      </c>
      <c r="J52" s="101" t="s">
        <v>41</v>
      </c>
      <c r="K52" s="98" t="s">
        <v>64</v>
      </c>
      <c r="L52" s="98" t="s">
        <v>1805</v>
      </c>
      <c r="M52" s="97" t="s">
        <v>1806</v>
      </c>
      <c r="N52" s="102">
        <v>15</v>
      </c>
      <c r="O52" s="103" t="s">
        <v>1807</v>
      </c>
      <c r="P52" s="104" t="s">
        <v>1808</v>
      </c>
      <c r="Q52" s="63" t="s">
        <v>1809</v>
      </c>
      <c r="R52" s="45"/>
      <c r="S52" s="45" t="s">
        <v>1810</v>
      </c>
      <c r="T52" s="56"/>
    </row>
    <row r="53" spans="1:20" s="57" customFormat="1" ht="52" customHeight="1" x14ac:dyDescent="0.2">
      <c r="A53" s="64">
        <v>45</v>
      </c>
      <c r="B53" s="94">
        <v>45677</v>
      </c>
      <c r="C53" s="95">
        <v>45761</v>
      </c>
      <c r="D53" s="96">
        <v>1</v>
      </c>
      <c r="E53" s="96"/>
      <c r="F53" s="97"/>
      <c r="G53" s="98">
        <v>111000051</v>
      </c>
      <c r="H53" s="99" t="s">
        <v>137</v>
      </c>
      <c r="I53" s="100" t="s">
        <v>466</v>
      </c>
      <c r="J53" s="101" t="s">
        <v>41</v>
      </c>
      <c r="K53" s="98" t="s">
        <v>64</v>
      </c>
      <c r="L53" s="98" t="s">
        <v>1811</v>
      </c>
      <c r="M53" s="97" t="s">
        <v>1812</v>
      </c>
      <c r="N53" s="102">
        <v>15</v>
      </c>
      <c r="O53" s="103" t="s">
        <v>1813</v>
      </c>
      <c r="P53" s="104" t="s">
        <v>1814</v>
      </c>
      <c r="Q53" s="63" t="s">
        <v>462</v>
      </c>
      <c r="R53" s="45"/>
      <c r="S53" s="45" t="s">
        <v>459</v>
      </c>
      <c r="T53" s="56"/>
    </row>
    <row r="54" spans="1:20" s="57" customFormat="1" ht="52" customHeight="1" x14ac:dyDescent="0.2">
      <c r="A54" s="64">
        <v>46</v>
      </c>
      <c r="B54" s="94">
        <v>45374</v>
      </c>
      <c r="C54" s="95">
        <v>45763</v>
      </c>
      <c r="D54" s="96">
        <v>1</v>
      </c>
      <c r="E54" s="96"/>
      <c r="F54" s="97"/>
      <c r="G54" s="98">
        <v>112580027</v>
      </c>
      <c r="H54" s="99" t="s">
        <v>517</v>
      </c>
      <c r="I54" s="100" t="s">
        <v>1815</v>
      </c>
      <c r="J54" s="101" t="s">
        <v>41</v>
      </c>
      <c r="K54" s="98" t="s">
        <v>64</v>
      </c>
      <c r="L54" s="98" t="s">
        <v>1816</v>
      </c>
      <c r="M54" s="97" t="s">
        <v>1817</v>
      </c>
      <c r="N54" s="102">
        <v>12.5</v>
      </c>
      <c r="O54" s="103" t="s">
        <v>1818</v>
      </c>
      <c r="P54" s="104" t="s">
        <v>1819</v>
      </c>
      <c r="Q54" s="63" t="s">
        <v>1820</v>
      </c>
      <c r="R54" s="45"/>
      <c r="S54" s="45" t="s">
        <v>1821</v>
      </c>
      <c r="T54" s="56"/>
    </row>
    <row r="55" spans="1:20" s="57" customFormat="1" ht="56.25" customHeight="1" x14ac:dyDescent="0.2">
      <c r="A55" s="64">
        <v>47</v>
      </c>
      <c r="B55" s="46">
        <v>45342</v>
      </c>
      <c r="C55" s="47">
        <v>45776</v>
      </c>
      <c r="D55" s="48">
        <v>1</v>
      </c>
      <c r="E55" s="48"/>
      <c r="F55" s="49"/>
      <c r="G55" s="50">
        <v>112570211</v>
      </c>
      <c r="H55" s="51" t="s">
        <v>1724</v>
      </c>
      <c r="I55" s="52" t="s">
        <v>2235</v>
      </c>
      <c r="J55" s="53" t="s">
        <v>41</v>
      </c>
      <c r="K55" s="50" t="s">
        <v>64</v>
      </c>
      <c r="L55" s="50" t="s">
        <v>2236</v>
      </c>
      <c r="M55" s="49" t="s">
        <v>2237</v>
      </c>
      <c r="N55" s="54">
        <v>12.5</v>
      </c>
      <c r="O55" s="59">
        <v>103093084</v>
      </c>
      <c r="P55" s="55" t="s">
        <v>2238</v>
      </c>
      <c r="Q55" s="45">
        <v>992203634</v>
      </c>
      <c r="R55" s="45"/>
      <c r="S55" s="45" t="s">
        <v>2239</v>
      </c>
      <c r="T55" s="56"/>
    </row>
    <row r="56" spans="1:20" s="57" customFormat="1" ht="56.25" customHeight="1" x14ac:dyDescent="0.2">
      <c r="A56" s="64">
        <v>48</v>
      </c>
      <c r="B56" s="46">
        <v>45277</v>
      </c>
      <c r="C56" s="47">
        <v>45776</v>
      </c>
      <c r="D56" s="48">
        <v>1</v>
      </c>
      <c r="E56" s="48">
        <v>60803270</v>
      </c>
      <c r="F56" s="49" t="s">
        <v>2240</v>
      </c>
      <c r="G56" s="50">
        <v>112510035</v>
      </c>
      <c r="H56" s="51" t="s">
        <v>2241</v>
      </c>
      <c r="I56" s="52" t="s">
        <v>2242</v>
      </c>
      <c r="J56" s="53" t="s">
        <v>41</v>
      </c>
      <c r="K56" s="50" t="s">
        <v>64</v>
      </c>
      <c r="L56" s="50" t="s">
        <v>2243</v>
      </c>
      <c r="M56" s="49" t="s">
        <v>2244</v>
      </c>
      <c r="N56" s="54">
        <v>12.5</v>
      </c>
      <c r="O56" s="59" t="s">
        <v>2245</v>
      </c>
      <c r="P56" s="55" t="s">
        <v>2246</v>
      </c>
      <c r="Q56" s="45">
        <v>999776301</v>
      </c>
      <c r="R56" s="45"/>
      <c r="S56" s="45" t="s">
        <v>2247</v>
      </c>
      <c r="T56" s="56"/>
    </row>
    <row r="57" spans="1:20" s="57" customFormat="1" ht="56.25" customHeight="1" x14ac:dyDescent="0.2">
      <c r="A57" s="64">
        <v>49</v>
      </c>
      <c r="B57" s="46">
        <v>45373</v>
      </c>
      <c r="C57" s="47">
        <v>45776</v>
      </c>
      <c r="D57" s="48">
        <v>1</v>
      </c>
      <c r="E57" s="48">
        <v>82032119</v>
      </c>
      <c r="F57" s="49" t="s">
        <v>2248</v>
      </c>
      <c r="G57" s="50">
        <v>11200005</v>
      </c>
      <c r="H57" s="51" t="s">
        <v>1803</v>
      </c>
      <c r="I57" s="52" t="s">
        <v>1804</v>
      </c>
      <c r="J57" s="53" t="s">
        <v>41</v>
      </c>
      <c r="K57" s="50" t="s">
        <v>64</v>
      </c>
      <c r="L57" s="50" t="s">
        <v>1805</v>
      </c>
      <c r="M57" s="49" t="s">
        <v>2249</v>
      </c>
      <c r="N57" s="54">
        <v>15</v>
      </c>
      <c r="O57" s="59" t="s">
        <v>1807</v>
      </c>
      <c r="P57" s="55" t="s">
        <v>2250</v>
      </c>
      <c r="Q57" s="45">
        <v>986463109</v>
      </c>
      <c r="R57" s="45"/>
      <c r="S57" s="45" t="s">
        <v>1810</v>
      </c>
      <c r="T57" s="56"/>
    </row>
    <row r="58" spans="1:20" s="57" customFormat="1" ht="56.25" customHeight="1" x14ac:dyDescent="0.2">
      <c r="A58" s="64">
        <v>50</v>
      </c>
      <c r="B58" s="46">
        <v>45636</v>
      </c>
      <c r="C58" s="47">
        <v>45778</v>
      </c>
      <c r="D58" s="48">
        <v>1</v>
      </c>
      <c r="E58" s="48"/>
      <c r="F58" s="49"/>
      <c r="G58" s="50">
        <v>112570211</v>
      </c>
      <c r="H58" s="51" t="s">
        <v>2251</v>
      </c>
      <c r="I58" s="52" t="s">
        <v>480</v>
      </c>
      <c r="J58" s="53" t="s">
        <v>41</v>
      </c>
      <c r="K58" s="50" t="s">
        <v>64</v>
      </c>
      <c r="L58" s="50" t="s">
        <v>481</v>
      </c>
      <c r="M58" s="49" t="s">
        <v>2252</v>
      </c>
      <c r="N58" s="54">
        <v>12.5</v>
      </c>
      <c r="O58" s="59" t="s">
        <v>2253</v>
      </c>
      <c r="P58" s="55" t="s">
        <v>2254</v>
      </c>
      <c r="Q58" s="45">
        <v>992832434</v>
      </c>
      <c r="R58" s="45"/>
      <c r="S58" s="45" t="s">
        <v>2255</v>
      </c>
      <c r="T58" s="56"/>
    </row>
    <row r="59" spans="1:20" s="57" customFormat="1" ht="56.25" customHeight="1" x14ac:dyDescent="0.2">
      <c r="A59" s="64">
        <v>51</v>
      </c>
      <c r="B59" s="46">
        <v>45726</v>
      </c>
      <c r="C59" s="47">
        <v>45791</v>
      </c>
      <c r="D59" s="48">
        <v>1</v>
      </c>
      <c r="E59" s="48"/>
      <c r="F59" s="49"/>
      <c r="G59" s="50">
        <v>112570126</v>
      </c>
      <c r="H59" s="51" t="s">
        <v>1422</v>
      </c>
      <c r="I59" s="52" t="s">
        <v>2256</v>
      </c>
      <c r="J59" s="53" t="s">
        <v>41</v>
      </c>
      <c r="K59" s="50" t="s">
        <v>64</v>
      </c>
      <c r="L59" s="50" t="s">
        <v>2257</v>
      </c>
      <c r="M59" s="49" t="s">
        <v>2258</v>
      </c>
      <c r="N59" s="54">
        <v>12.5</v>
      </c>
      <c r="O59" s="59" t="s">
        <v>2259</v>
      </c>
      <c r="P59" s="55" t="s">
        <v>2260</v>
      </c>
      <c r="Q59" s="45">
        <v>998060034</v>
      </c>
      <c r="R59" s="45"/>
      <c r="S59" s="45" t="s">
        <v>2261</v>
      </c>
      <c r="T59" s="56"/>
    </row>
    <row r="60" spans="1:20" s="57" customFormat="1" ht="56.25" customHeight="1" x14ac:dyDescent="0.2">
      <c r="A60" s="64">
        <v>52</v>
      </c>
      <c r="B60" s="46">
        <v>45493</v>
      </c>
      <c r="C60" s="47">
        <v>45792</v>
      </c>
      <c r="D60" s="48">
        <v>1</v>
      </c>
      <c r="E60" s="48"/>
      <c r="F60" s="49"/>
      <c r="G60" s="50">
        <v>415966006</v>
      </c>
      <c r="H60" s="51" t="s">
        <v>1014</v>
      </c>
      <c r="I60" s="52" t="s">
        <v>2262</v>
      </c>
      <c r="J60" s="53" t="s">
        <v>41</v>
      </c>
      <c r="K60" s="50" t="s">
        <v>64</v>
      </c>
      <c r="L60" s="50" t="s">
        <v>2263</v>
      </c>
      <c r="M60" s="49" t="s">
        <v>2264</v>
      </c>
      <c r="N60" s="54">
        <v>18.75</v>
      </c>
      <c r="O60" s="59" t="s">
        <v>2265</v>
      </c>
      <c r="P60" s="55" t="s">
        <v>2266</v>
      </c>
      <c r="Q60" s="45">
        <v>984884651</v>
      </c>
      <c r="R60" s="45"/>
      <c r="S60" s="45" t="s">
        <v>1415</v>
      </c>
      <c r="T60" s="56"/>
    </row>
    <row r="61" spans="1:20" s="57" customFormat="1" ht="71" customHeight="1" x14ac:dyDescent="0.2">
      <c r="A61" s="64">
        <v>53</v>
      </c>
      <c r="B61" s="46">
        <v>45712</v>
      </c>
      <c r="C61" s="47">
        <v>45792</v>
      </c>
      <c r="D61" s="48">
        <v>1</v>
      </c>
      <c r="E61" s="48" t="s">
        <v>2267</v>
      </c>
      <c r="F61" s="49" t="s">
        <v>2268</v>
      </c>
      <c r="G61" s="50">
        <v>40197155</v>
      </c>
      <c r="H61" s="51" t="s">
        <v>2269</v>
      </c>
      <c r="I61" s="52" t="s">
        <v>2270</v>
      </c>
      <c r="J61" s="53" t="s">
        <v>41</v>
      </c>
      <c r="K61" s="50" t="s">
        <v>64</v>
      </c>
      <c r="L61" s="50" t="s">
        <v>2271</v>
      </c>
      <c r="M61" s="49" t="s">
        <v>2272</v>
      </c>
      <c r="N61" s="54">
        <v>12.5</v>
      </c>
      <c r="O61" s="59" t="s">
        <v>2273</v>
      </c>
      <c r="P61" s="55" t="s">
        <v>2274</v>
      </c>
      <c r="Q61" s="45">
        <v>992216211</v>
      </c>
      <c r="R61" s="45"/>
      <c r="S61" s="45" t="s">
        <v>2275</v>
      </c>
      <c r="T61" s="56"/>
    </row>
    <row r="62" spans="1:20" s="57" customFormat="1" ht="71" customHeight="1" x14ac:dyDescent="0.2">
      <c r="A62" s="64">
        <v>54</v>
      </c>
      <c r="B62" s="46">
        <v>45427</v>
      </c>
      <c r="C62" s="47">
        <v>45795</v>
      </c>
      <c r="D62" s="48">
        <v>1</v>
      </c>
      <c r="E62" s="48">
        <v>81214020</v>
      </c>
      <c r="F62" s="49" t="s">
        <v>2276</v>
      </c>
      <c r="G62" s="50">
        <v>112610069</v>
      </c>
      <c r="H62" s="51" t="s">
        <v>1007</v>
      </c>
      <c r="I62" s="52" t="s">
        <v>2277</v>
      </c>
      <c r="J62" s="53" t="s">
        <v>41</v>
      </c>
      <c r="K62" s="50" t="s">
        <v>64</v>
      </c>
      <c r="L62" s="50" t="s">
        <v>2278</v>
      </c>
      <c r="M62" s="49" t="s">
        <v>2279</v>
      </c>
      <c r="N62" s="54">
        <v>12.5</v>
      </c>
      <c r="O62" s="59" t="s">
        <v>2280</v>
      </c>
      <c r="P62" s="55" t="s">
        <v>2281</v>
      </c>
      <c r="Q62" s="45">
        <v>993050629</v>
      </c>
      <c r="R62" s="45"/>
      <c r="S62" s="45" t="s">
        <v>2282</v>
      </c>
      <c r="T62" s="56"/>
    </row>
    <row r="63" spans="1:20" s="57" customFormat="1" ht="71" customHeight="1" x14ac:dyDescent="0.2">
      <c r="A63" s="64">
        <v>55</v>
      </c>
      <c r="B63" s="46">
        <v>45287</v>
      </c>
      <c r="C63" s="47">
        <v>45795</v>
      </c>
      <c r="D63" s="48">
        <v>1</v>
      </c>
      <c r="E63" s="48" t="s">
        <v>2283</v>
      </c>
      <c r="F63" s="49" t="s">
        <v>2284</v>
      </c>
      <c r="G63" s="50">
        <v>404467712</v>
      </c>
      <c r="H63" s="51" t="s">
        <v>519</v>
      </c>
      <c r="I63" s="52" t="s">
        <v>2285</v>
      </c>
      <c r="J63" s="53" t="s">
        <v>41</v>
      </c>
      <c r="K63" s="50" t="s">
        <v>64</v>
      </c>
      <c r="L63" s="50" t="s">
        <v>2286</v>
      </c>
      <c r="M63" s="49" t="s">
        <v>2287</v>
      </c>
      <c r="N63" s="54">
        <v>15</v>
      </c>
      <c r="O63" s="59" t="s">
        <v>2288</v>
      </c>
      <c r="P63" s="55" t="s">
        <v>2289</v>
      </c>
      <c r="Q63" s="45">
        <v>964076317</v>
      </c>
      <c r="R63" s="45"/>
      <c r="S63" s="45" t="s">
        <v>2290</v>
      </c>
      <c r="T63" s="56"/>
    </row>
    <row r="64" spans="1:20" s="57" customFormat="1" ht="71" customHeight="1" x14ac:dyDescent="0.2">
      <c r="A64" s="64">
        <v>56</v>
      </c>
      <c r="B64" s="46">
        <v>45447</v>
      </c>
      <c r="C64" s="47">
        <v>45795</v>
      </c>
      <c r="D64" s="48">
        <v>1</v>
      </c>
      <c r="E64" s="48">
        <v>83340602</v>
      </c>
      <c r="F64" s="49" t="s">
        <v>2291</v>
      </c>
      <c r="G64" s="50">
        <v>41560061</v>
      </c>
      <c r="H64" s="51" t="s">
        <v>2156</v>
      </c>
      <c r="I64" s="52" t="s">
        <v>2292</v>
      </c>
      <c r="J64" s="53" t="s">
        <v>41</v>
      </c>
      <c r="K64" s="50" t="s">
        <v>64</v>
      </c>
      <c r="L64" s="50" t="s">
        <v>2293</v>
      </c>
      <c r="M64" s="49" t="s">
        <v>2294</v>
      </c>
      <c r="N64" s="54">
        <v>15</v>
      </c>
      <c r="O64" s="59" t="s">
        <v>2295</v>
      </c>
      <c r="P64" s="55" t="s">
        <v>2296</v>
      </c>
      <c r="Q64" s="59" t="s">
        <v>2297</v>
      </c>
      <c r="R64" s="45"/>
      <c r="S64" s="45" t="s">
        <v>2298</v>
      </c>
      <c r="T64" s="56"/>
    </row>
    <row r="65" spans="1:20" s="57" customFormat="1" ht="71" customHeight="1" x14ac:dyDescent="0.2">
      <c r="A65" s="64">
        <v>57</v>
      </c>
      <c r="B65" s="46">
        <v>45754</v>
      </c>
      <c r="C65" s="47">
        <v>45795</v>
      </c>
      <c r="D65" s="48">
        <v>1</v>
      </c>
      <c r="E65" s="48"/>
      <c r="F65" s="49"/>
      <c r="G65" s="50"/>
      <c r="H65" s="51" t="s">
        <v>2299</v>
      </c>
      <c r="I65" s="52"/>
      <c r="J65" s="53" t="s">
        <v>41</v>
      </c>
      <c r="K65" s="50" t="s">
        <v>64</v>
      </c>
      <c r="L65" s="50" t="s">
        <v>2300</v>
      </c>
      <c r="M65" s="49" t="s">
        <v>2301</v>
      </c>
      <c r="N65" s="54">
        <v>12.5</v>
      </c>
      <c r="O65" s="59" t="s">
        <v>2302</v>
      </c>
      <c r="P65" s="55" t="s">
        <v>2303</v>
      </c>
      <c r="Q65" s="59" t="s">
        <v>2304</v>
      </c>
      <c r="R65" s="45"/>
      <c r="S65" s="45" t="s">
        <v>2305</v>
      </c>
      <c r="T65" s="56"/>
    </row>
    <row r="66" spans="1:20" s="57" customFormat="1" ht="56.25" customHeight="1" x14ac:dyDescent="0.2">
      <c r="A66" s="64">
        <v>58</v>
      </c>
      <c r="B66" s="46">
        <v>45743</v>
      </c>
      <c r="C66" s="47">
        <v>45797</v>
      </c>
      <c r="D66" s="48">
        <v>1</v>
      </c>
      <c r="E66" s="48"/>
      <c r="F66" s="49"/>
      <c r="G66" s="50">
        <v>112570126</v>
      </c>
      <c r="H66" s="51" t="s">
        <v>1422</v>
      </c>
      <c r="I66" s="52" t="s">
        <v>2734</v>
      </c>
      <c r="J66" s="53" t="s">
        <v>41</v>
      </c>
      <c r="K66" s="50" t="s">
        <v>64</v>
      </c>
      <c r="L66" s="50" t="s">
        <v>2735</v>
      </c>
      <c r="M66" s="49" t="s">
        <v>2736</v>
      </c>
      <c r="N66" s="54">
        <v>12.5</v>
      </c>
      <c r="O66" s="59">
        <v>101106086</v>
      </c>
      <c r="P66" s="55" t="s">
        <v>2138</v>
      </c>
      <c r="Q66" s="63" t="s">
        <v>2737</v>
      </c>
      <c r="R66" s="45"/>
      <c r="S66" s="45" t="s">
        <v>2135</v>
      </c>
      <c r="T66" s="56"/>
    </row>
    <row r="67" spans="1:20" s="57" customFormat="1" ht="56.25" customHeight="1" x14ac:dyDescent="0.2">
      <c r="A67" s="64">
        <v>59</v>
      </c>
      <c r="B67" s="46">
        <v>44725</v>
      </c>
      <c r="C67" s="47">
        <v>45804</v>
      </c>
      <c r="D67" s="48">
        <v>1</v>
      </c>
      <c r="E67" s="48">
        <v>60803252</v>
      </c>
      <c r="F67" s="49" t="s">
        <v>2738</v>
      </c>
      <c r="G67" s="50">
        <v>112520025</v>
      </c>
      <c r="H67" s="51" t="s">
        <v>2739</v>
      </c>
      <c r="I67" s="52" t="s">
        <v>2740</v>
      </c>
      <c r="J67" s="53" t="s">
        <v>41</v>
      </c>
      <c r="K67" s="50" t="s">
        <v>64</v>
      </c>
      <c r="L67" s="50" t="s">
        <v>2741</v>
      </c>
      <c r="M67" s="49" t="s">
        <v>2742</v>
      </c>
      <c r="N67" s="54">
        <v>12.5</v>
      </c>
      <c r="O67" s="59" t="s">
        <v>2743</v>
      </c>
      <c r="P67" s="55" t="s">
        <v>2744</v>
      </c>
      <c r="Q67" s="63" t="s">
        <v>2745</v>
      </c>
      <c r="R67" s="45"/>
      <c r="S67" s="45" t="s">
        <v>2746</v>
      </c>
      <c r="T67" s="56"/>
    </row>
    <row r="68" spans="1:20" s="57" customFormat="1" ht="56.25" customHeight="1" x14ac:dyDescent="0.2">
      <c r="A68" s="64">
        <v>60</v>
      </c>
      <c r="B68" s="46">
        <v>45207</v>
      </c>
      <c r="C68" s="47">
        <v>45804</v>
      </c>
      <c r="D68" s="48">
        <v>1</v>
      </c>
      <c r="E68" s="48">
        <v>81214020</v>
      </c>
      <c r="F68" s="49" t="s">
        <v>2747</v>
      </c>
      <c r="G68" s="50">
        <v>112610069</v>
      </c>
      <c r="H68" s="51" t="s">
        <v>1007</v>
      </c>
      <c r="I68" s="52" t="s">
        <v>2748</v>
      </c>
      <c r="J68" s="53" t="s">
        <v>41</v>
      </c>
      <c r="K68" s="50" t="s">
        <v>64</v>
      </c>
      <c r="L68" s="50" t="s">
        <v>2749</v>
      </c>
      <c r="M68" s="49" t="s">
        <v>2750</v>
      </c>
      <c r="N68" s="54">
        <v>12.5</v>
      </c>
      <c r="O68" s="59" t="s">
        <v>2751</v>
      </c>
      <c r="P68" s="55" t="s">
        <v>2752</v>
      </c>
      <c r="Q68" s="63" t="s">
        <v>2753</v>
      </c>
      <c r="R68" s="45"/>
      <c r="S68" s="45" t="s">
        <v>2754</v>
      </c>
      <c r="T68" s="56"/>
    </row>
    <row r="69" spans="1:20" s="57" customFormat="1" ht="56.25" customHeight="1" x14ac:dyDescent="0.2">
      <c r="A69" s="64">
        <v>61</v>
      </c>
      <c r="B69" s="46">
        <v>45207</v>
      </c>
      <c r="C69" s="47">
        <v>45804</v>
      </c>
      <c r="D69" s="48">
        <v>1</v>
      </c>
      <c r="E69" s="48"/>
      <c r="F69" s="49"/>
      <c r="G69" s="50">
        <v>111090006</v>
      </c>
      <c r="H69" s="51" t="s">
        <v>1271</v>
      </c>
      <c r="I69" s="52" t="s">
        <v>2755</v>
      </c>
      <c r="J69" s="53" t="s">
        <v>41</v>
      </c>
      <c r="K69" s="50" t="s">
        <v>64</v>
      </c>
      <c r="L69" s="50" t="s">
        <v>2749</v>
      </c>
      <c r="M69" s="49" t="s">
        <v>2756</v>
      </c>
      <c r="N69" s="54">
        <v>18.75</v>
      </c>
      <c r="O69" s="59" t="s">
        <v>2751</v>
      </c>
      <c r="P69" s="55" t="s">
        <v>2752</v>
      </c>
      <c r="Q69" s="63" t="s">
        <v>2753</v>
      </c>
      <c r="R69" s="45"/>
      <c r="S69" s="45" t="s">
        <v>2754</v>
      </c>
      <c r="T69" s="56"/>
    </row>
    <row r="70" spans="1:20" s="57" customFormat="1" ht="56.25" customHeight="1" x14ac:dyDescent="0.2">
      <c r="A70" s="64">
        <v>62</v>
      </c>
      <c r="B70" s="46">
        <v>45216</v>
      </c>
      <c r="C70" s="47">
        <v>45805</v>
      </c>
      <c r="D70" s="48">
        <v>1</v>
      </c>
      <c r="E70" s="48">
        <v>83340602</v>
      </c>
      <c r="F70" s="49" t="s">
        <v>2757</v>
      </c>
      <c r="G70" s="50">
        <v>111000051</v>
      </c>
      <c r="H70" s="51" t="s">
        <v>137</v>
      </c>
      <c r="I70" s="52" t="s">
        <v>2758</v>
      </c>
      <c r="J70" s="53" t="s">
        <v>41</v>
      </c>
      <c r="K70" s="50" t="s">
        <v>64</v>
      </c>
      <c r="L70" s="50" t="s">
        <v>2470</v>
      </c>
      <c r="M70" s="49" t="s">
        <v>2759</v>
      </c>
      <c r="N70" s="54">
        <v>15</v>
      </c>
      <c r="O70" s="59" t="s">
        <v>2760</v>
      </c>
      <c r="P70" s="55" t="s">
        <v>2472</v>
      </c>
      <c r="Q70" s="59" t="s">
        <v>2761</v>
      </c>
      <c r="R70" s="45"/>
      <c r="S70" s="45" t="s">
        <v>2762</v>
      </c>
      <c r="T70" s="56"/>
    </row>
    <row r="71" spans="1:20" s="57" customFormat="1" ht="56.25" customHeight="1" x14ac:dyDescent="0.2">
      <c r="A71" s="64">
        <v>63</v>
      </c>
      <c r="B71" s="46">
        <v>45681</v>
      </c>
      <c r="C71" s="47">
        <v>45805</v>
      </c>
      <c r="D71" s="48">
        <v>1</v>
      </c>
      <c r="E71" s="48">
        <v>81214022</v>
      </c>
      <c r="F71" s="49" t="s">
        <v>2763</v>
      </c>
      <c r="G71" s="50">
        <v>112610069</v>
      </c>
      <c r="H71" s="51" t="s">
        <v>1007</v>
      </c>
      <c r="I71" s="52" t="s">
        <v>1008</v>
      </c>
      <c r="J71" s="53" t="s">
        <v>41</v>
      </c>
      <c r="K71" s="50" t="s">
        <v>64</v>
      </c>
      <c r="L71" s="50" t="s">
        <v>2764</v>
      </c>
      <c r="M71" s="49" t="s">
        <v>2765</v>
      </c>
      <c r="N71" s="54">
        <v>12.5</v>
      </c>
      <c r="O71" s="59" t="s">
        <v>2766</v>
      </c>
      <c r="P71" s="55"/>
      <c r="Q71" s="63" t="s">
        <v>2767</v>
      </c>
      <c r="R71" s="45"/>
      <c r="S71" s="45" t="s">
        <v>1006</v>
      </c>
      <c r="T71" s="56"/>
    </row>
    <row r="72" spans="1:20" s="57" customFormat="1" ht="56.25" customHeight="1" x14ac:dyDescent="0.2">
      <c r="A72" s="64">
        <v>64</v>
      </c>
      <c r="B72" s="46">
        <v>45762</v>
      </c>
      <c r="C72" s="47">
        <v>45807</v>
      </c>
      <c r="D72" s="48">
        <v>1</v>
      </c>
      <c r="E72" s="48"/>
      <c r="F72" s="49"/>
      <c r="G72" s="50">
        <v>41596006</v>
      </c>
      <c r="H72" s="51" t="s">
        <v>1014</v>
      </c>
      <c r="I72" s="52" t="s">
        <v>1523</v>
      </c>
      <c r="J72" s="53" t="s">
        <v>41</v>
      </c>
      <c r="K72" s="50" t="s">
        <v>64</v>
      </c>
      <c r="L72" s="50" t="s">
        <v>2399</v>
      </c>
      <c r="M72" s="49" t="s">
        <v>2768</v>
      </c>
      <c r="N72" s="54">
        <v>15</v>
      </c>
      <c r="O72" s="59" t="s">
        <v>1527</v>
      </c>
      <c r="P72" s="55" t="s">
        <v>1528</v>
      </c>
      <c r="Q72" s="63" t="s">
        <v>1526</v>
      </c>
      <c r="R72" s="45"/>
      <c r="S72" s="45" t="s">
        <v>2769</v>
      </c>
      <c r="T72" s="56"/>
    </row>
    <row r="73" spans="1:20" s="57" customFormat="1" ht="56.25" customHeight="1" x14ac:dyDescent="0.2">
      <c r="A73" s="64">
        <v>65</v>
      </c>
      <c r="B73" s="46">
        <v>45597</v>
      </c>
      <c r="C73" s="47">
        <v>45810</v>
      </c>
      <c r="D73" s="48">
        <v>1</v>
      </c>
      <c r="E73" s="48"/>
      <c r="F73" s="49"/>
      <c r="G73" s="50">
        <v>40197155</v>
      </c>
      <c r="H73" s="51" t="s">
        <v>2269</v>
      </c>
      <c r="I73" s="52" t="s">
        <v>2770</v>
      </c>
      <c r="J73" s="53" t="s">
        <v>41</v>
      </c>
      <c r="K73" s="50" t="s">
        <v>64</v>
      </c>
      <c r="L73" s="50" t="s">
        <v>2771</v>
      </c>
      <c r="M73" s="49" t="s">
        <v>2772</v>
      </c>
      <c r="N73" s="54">
        <v>12.5</v>
      </c>
      <c r="O73" s="59" t="s">
        <v>2773</v>
      </c>
      <c r="P73" s="55" t="s">
        <v>2774</v>
      </c>
      <c r="Q73" s="63" t="s">
        <v>2775</v>
      </c>
      <c r="R73" s="45"/>
      <c r="S73" s="45" t="s">
        <v>2776</v>
      </c>
      <c r="T73" s="56"/>
    </row>
    <row r="74" spans="1:20" s="57" customFormat="1" ht="56.25" customHeight="1" x14ac:dyDescent="0.2">
      <c r="A74" s="64">
        <v>66</v>
      </c>
      <c r="B74" s="46">
        <v>45626</v>
      </c>
      <c r="C74" s="47">
        <v>45814</v>
      </c>
      <c r="D74" s="48">
        <v>1</v>
      </c>
      <c r="E74" s="48"/>
      <c r="F74" s="49"/>
      <c r="G74" s="50">
        <v>112570128</v>
      </c>
      <c r="H74" s="51" t="s">
        <v>1215</v>
      </c>
      <c r="I74" s="52" t="s">
        <v>2777</v>
      </c>
      <c r="J74" s="53" t="s">
        <v>41</v>
      </c>
      <c r="K74" s="50" t="s">
        <v>64</v>
      </c>
      <c r="L74" s="50" t="s">
        <v>2523</v>
      </c>
      <c r="M74" s="49" t="s">
        <v>2778</v>
      </c>
      <c r="N74" s="54">
        <v>12.5</v>
      </c>
      <c r="O74" s="59" t="s">
        <v>2779</v>
      </c>
      <c r="P74" s="55" t="s">
        <v>2525</v>
      </c>
      <c r="Q74" s="63" t="s">
        <v>2780</v>
      </c>
      <c r="R74" s="45"/>
      <c r="S74" s="45" t="s">
        <v>2521</v>
      </c>
      <c r="T74" s="56"/>
    </row>
    <row r="75" spans="1:20" s="57" customFormat="1" ht="56.25" customHeight="1" x14ac:dyDescent="0.2">
      <c r="A75" s="64">
        <v>67</v>
      </c>
      <c r="B75" s="46">
        <v>45724</v>
      </c>
      <c r="C75" s="47">
        <v>45819</v>
      </c>
      <c r="D75" s="48">
        <v>1</v>
      </c>
      <c r="E75" s="48">
        <v>81483051</v>
      </c>
      <c r="F75" s="49" t="s">
        <v>2781</v>
      </c>
      <c r="G75" s="50">
        <v>81483051</v>
      </c>
      <c r="H75" s="51" t="s">
        <v>2782</v>
      </c>
      <c r="I75" s="52" t="s">
        <v>2783</v>
      </c>
      <c r="J75" s="53" t="s">
        <v>41</v>
      </c>
      <c r="K75" s="50" t="s">
        <v>64</v>
      </c>
      <c r="L75" s="50" t="s">
        <v>2644</v>
      </c>
      <c r="M75" s="49" t="s">
        <v>2784</v>
      </c>
      <c r="N75" s="54">
        <v>15</v>
      </c>
      <c r="O75" s="59" t="s">
        <v>2785</v>
      </c>
      <c r="P75" s="55" t="s">
        <v>2786</v>
      </c>
      <c r="Q75" s="63" t="s">
        <v>2787</v>
      </c>
      <c r="R75" s="45"/>
      <c r="S75" s="45" t="s">
        <v>2788</v>
      </c>
      <c r="T75" s="56"/>
    </row>
    <row r="76" spans="1:20" s="57" customFormat="1" ht="56.25" customHeight="1" x14ac:dyDescent="0.2">
      <c r="A76" s="64">
        <v>68</v>
      </c>
      <c r="B76" s="46">
        <v>44994</v>
      </c>
      <c r="C76" s="47">
        <v>45820</v>
      </c>
      <c r="D76" s="48">
        <v>1</v>
      </c>
      <c r="E76" s="48">
        <v>60803270</v>
      </c>
      <c r="F76" s="49" t="s">
        <v>2789</v>
      </c>
      <c r="G76" s="50">
        <v>60803270</v>
      </c>
      <c r="H76" s="51" t="s">
        <v>2719</v>
      </c>
      <c r="I76" s="52" t="s">
        <v>2790</v>
      </c>
      <c r="J76" s="53" t="s">
        <v>41</v>
      </c>
      <c r="K76" s="50" t="s">
        <v>64</v>
      </c>
      <c r="L76" s="50" t="s">
        <v>2791</v>
      </c>
      <c r="M76" s="49" t="s">
        <v>2792</v>
      </c>
      <c r="N76" s="54">
        <v>12.5</v>
      </c>
      <c r="O76" s="59" t="s">
        <v>2793</v>
      </c>
      <c r="P76" s="55" t="s">
        <v>2794</v>
      </c>
      <c r="Q76" s="63" t="s">
        <v>2795</v>
      </c>
      <c r="R76" s="45"/>
      <c r="S76" s="45" t="s">
        <v>2796</v>
      </c>
      <c r="T76" s="56"/>
    </row>
    <row r="77" spans="1:20" s="57" customFormat="1" ht="56.25" customHeight="1" x14ac:dyDescent="0.2">
      <c r="A77" s="64">
        <v>69</v>
      </c>
      <c r="B77" s="46">
        <v>45388</v>
      </c>
      <c r="C77" s="47">
        <v>45820</v>
      </c>
      <c r="D77" s="48">
        <v>1</v>
      </c>
      <c r="E77" s="48">
        <v>83340602</v>
      </c>
      <c r="F77" s="49" t="s">
        <v>2757</v>
      </c>
      <c r="G77" s="50">
        <v>41560061</v>
      </c>
      <c r="H77" s="51" t="s">
        <v>2156</v>
      </c>
      <c r="I77" s="52" t="s">
        <v>2292</v>
      </c>
      <c r="J77" s="53" t="s">
        <v>41</v>
      </c>
      <c r="K77" s="50" t="s">
        <v>64</v>
      </c>
      <c r="L77" s="50" t="s">
        <v>2293</v>
      </c>
      <c r="M77" s="49" t="s">
        <v>2797</v>
      </c>
      <c r="N77" s="54">
        <v>15</v>
      </c>
      <c r="O77" s="59" t="s">
        <v>2798</v>
      </c>
      <c r="P77" s="55" t="s">
        <v>2799</v>
      </c>
      <c r="Q77" s="63" t="s">
        <v>2297</v>
      </c>
      <c r="R77" s="45"/>
      <c r="S77" s="45" t="s">
        <v>2800</v>
      </c>
      <c r="T77" s="56"/>
    </row>
    <row r="78" spans="1:20" s="57" customFormat="1" ht="56.25" customHeight="1" x14ac:dyDescent="0.2">
      <c r="A78" s="64">
        <v>70</v>
      </c>
      <c r="B78" s="46">
        <v>44812</v>
      </c>
      <c r="C78" s="47">
        <v>45827</v>
      </c>
      <c r="D78" s="48">
        <v>1</v>
      </c>
      <c r="E78" s="48"/>
      <c r="F78" s="49"/>
      <c r="G78" s="50">
        <v>40732510</v>
      </c>
      <c r="H78" s="51" t="s">
        <v>3242</v>
      </c>
      <c r="I78" s="52" t="s">
        <v>3243</v>
      </c>
      <c r="J78" s="53" t="s">
        <v>41</v>
      </c>
      <c r="K78" s="50" t="s">
        <v>64</v>
      </c>
      <c r="L78" s="50" t="s">
        <v>3244</v>
      </c>
      <c r="M78" s="49" t="s">
        <v>3245</v>
      </c>
      <c r="N78" s="54">
        <v>18.75</v>
      </c>
      <c r="O78" s="59" t="s">
        <v>3246</v>
      </c>
      <c r="P78" s="55" t="s">
        <v>3247</v>
      </c>
      <c r="Q78" s="45">
        <v>998891887</v>
      </c>
      <c r="R78" s="45"/>
      <c r="S78" s="45" t="s">
        <v>3248</v>
      </c>
      <c r="T78" s="56"/>
    </row>
    <row r="79" spans="1:20" s="57" customFormat="1" ht="56.25" customHeight="1" x14ac:dyDescent="0.2">
      <c r="A79" s="64">
        <v>71</v>
      </c>
      <c r="B79" s="46">
        <v>45635</v>
      </c>
      <c r="C79" s="47">
        <v>45827</v>
      </c>
      <c r="D79" s="48">
        <v>1</v>
      </c>
      <c r="E79" s="48"/>
      <c r="F79" s="49"/>
      <c r="G79" s="50">
        <v>112500047</v>
      </c>
      <c r="H79" s="51" t="s">
        <v>284</v>
      </c>
      <c r="I79" s="52" t="s">
        <v>2558</v>
      </c>
      <c r="J79" s="53" t="s">
        <v>41</v>
      </c>
      <c r="K79" s="50" t="s">
        <v>64</v>
      </c>
      <c r="L79" s="50" t="s">
        <v>2559</v>
      </c>
      <c r="M79" s="49" t="s">
        <v>3249</v>
      </c>
      <c r="N79" s="54">
        <v>12.5</v>
      </c>
      <c r="O79" s="59" t="s">
        <v>3250</v>
      </c>
      <c r="P79" s="55" t="s">
        <v>3251</v>
      </c>
      <c r="Q79" s="45">
        <v>995961394</v>
      </c>
      <c r="R79" s="45"/>
      <c r="S79" s="45" t="s">
        <v>2531</v>
      </c>
      <c r="T79" s="56"/>
    </row>
    <row r="80" spans="1:20" s="57" customFormat="1" ht="56.25" customHeight="1" x14ac:dyDescent="0.2">
      <c r="A80" s="64">
        <v>72</v>
      </c>
      <c r="B80" s="46">
        <v>45829</v>
      </c>
      <c r="C80" s="47">
        <v>45838</v>
      </c>
      <c r="D80" s="48">
        <v>1</v>
      </c>
      <c r="E80" s="48"/>
      <c r="F80" s="49"/>
      <c r="G80" s="50">
        <v>40590835</v>
      </c>
      <c r="H80" s="51" t="s">
        <v>275</v>
      </c>
      <c r="I80" s="52" t="s">
        <v>3252</v>
      </c>
      <c r="J80" s="53" t="s">
        <v>41</v>
      </c>
      <c r="K80" s="50" t="s">
        <v>64</v>
      </c>
      <c r="L80" s="50" t="s">
        <v>3253</v>
      </c>
      <c r="M80" s="49" t="s">
        <v>3254</v>
      </c>
      <c r="N80" s="54">
        <v>15</v>
      </c>
      <c r="O80" s="59" t="s">
        <v>3255</v>
      </c>
      <c r="P80" s="55" t="s">
        <v>3256</v>
      </c>
      <c r="Q80" s="45">
        <v>983754901</v>
      </c>
      <c r="R80" s="45"/>
      <c r="S80" s="45" t="s">
        <v>3257</v>
      </c>
      <c r="T80" s="56"/>
    </row>
    <row r="81" spans="1:20" s="57" customFormat="1" ht="56.25" customHeight="1" x14ac:dyDescent="0.2">
      <c r="A81" s="64">
        <v>73</v>
      </c>
      <c r="B81" s="46">
        <v>45990</v>
      </c>
      <c r="C81" s="47">
        <v>45834</v>
      </c>
      <c r="D81" s="48">
        <v>1</v>
      </c>
      <c r="E81" s="48"/>
      <c r="F81" s="49"/>
      <c r="G81" s="50">
        <v>113430018</v>
      </c>
      <c r="H81" s="51" t="s">
        <v>417</v>
      </c>
      <c r="I81" s="52" t="s">
        <v>3258</v>
      </c>
      <c r="J81" s="53" t="s">
        <v>41</v>
      </c>
      <c r="K81" s="50" t="s">
        <v>64</v>
      </c>
      <c r="L81" s="50" t="s">
        <v>3259</v>
      </c>
      <c r="M81" s="49" t="s">
        <v>3260</v>
      </c>
      <c r="N81" s="54">
        <v>18.75</v>
      </c>
      <c r="O81" s="59" t="s">
        <v>3261</v>
      </c>
      <c r="P81" s="55" t="s">
        <v>3262</v>
      </c>
      <c r="Q81" s="45">
        <v>996563519</v>
      </c>
      <c r="R81" s="45"/>
      <c r="S81" s="45" t="s">
        <v>3263</v>
      </c>
      <c r="T81" s="56"/>
    </row>
    <row r="82" spans="1:20" s="57" customFormat="1" ht="56.25" customHeight="1" x14ac:dyDescent="0.2">
      <c r="A82" s="64">
        <v>74</v>
      </c>
      <c r="B82" s="46">
        <v>45140</v>
      </c>
      <c r="C82" s="47">
        <v>45834</v>
      </c>
      <c r="D82" s="48">
        <v>1</v>
      </c>
      <c r="E82" s="48"/>
      <c r="F82" s="49"/>
      <c r="G82" s="50">
        <v>113430018</v>
      </c>
      <c r="H82" s="51" t="s">
        <v>417</v>
      </c>
      <c r="I82" s="52" t="s">
        <v>3264</v>
      </c>
      <c r="J82" s="53" t="s">
        <v>41</v>
      </c>
      <c r="K82" s="50" t="s">
        <v>64</v>
      </c>
      <c r="L82" s="50" t="s">
        <v>3265</v>
      </c>
      <c r="M82" s="49" t="s">
        <v>3266</v>
      </c>
      <c r="N82" s="54">
        <v>18.75</v>
      </c>
      <c r="O82" s="59" t="s">
        <v>3267</v>
      </c>
      <c r="P82" s="55" t="s">
        <v>3268</v>
      </c>
      <c r="Q82" s="45">
        <v>990709123</v>
      </c>
      <c r="R82" s="45"/>
      <c r="S82" s="45" t="s">
        <v>3269</v>
      </c>
      <c r="T82" s="56"/>
    </row>
    <row r="83" spans="1:20" s="57" customFormat="1" ht="56.25" customHeight="1" x14ac:dyDescent="0.2">
      <c r="A83" s="64">
        <v>75</v>
      </c>
      <c r="B83" s="46">
        <v>45346</v>
      </c>
      <c r="C83" s="47">
        <v>45836</v>
      </c>
      <c r="D83" s="48">
        <v>1</v>
      </c>
      <c r="E83" s="48">
        <v>60803313</v>
      </c>
      <c r="F83" s="49" t="s">
        <v>3270</v>
      </c>
      <c r="G83" s="50">
        <v>112730000</v>
      </c>
      <c r="H83" s="51" t="s">
        <v>1545</v>
      </c>
      <c r="I83" s="52" t="s">
        <v>3271</v>
      </c>
      <c r="J83" s="53" t="s">
        <v>41</v>
      </c>
      <c r="K83" s="50" t="s">
        <v>64</v>
      </c>
      <c r="L83" s="50" t="s">
        <v>1402</v>
      </c>
      <c r="M83" s="49" t="s">
        <v>3272</v>
      </c>
      <c r="N83" s="54">
        <v>12.5</v>
      </c>
      <c r="O83" s="59" t="s">
        <v>1404</v>
      </c>
      <c r="P83" s="55" t="s">
        <v>3273</v>
      </c>
      <c r="Q83" s="45">
        <v>994340209</v>
      </c>
      <c r="R83" s="45"/>
      <c r="S83" s="45" t="s">
        <v>3274</v>
      </c>
      <c r="T83" s="56"/>
    </row>
    <row r="84" spans="1:20" s="57" customFormat="1" ht="71" customHeight="1" x14ac:dyDescent="0.2">
      <c r="A84" s="64">
        <v>76</v>
      </c>
      <c r="B84" s="46">
        <v>45730</v>
      </c>
      <c r="C84" s="47">
        <v>45836</v>
      </c>
      <c r="D84" s="48">
        <v>1</v>
      </c>
      <c r="E84" s="48">
        <v>81214154</v>
      </c>
      <c r="F84" s="49" t="s">
        <v>3275</v>
      </c>
      <c r="G84" s="50">
        <v>81214154</v>
      </c>
      <c r="H84" s="51" t="s">
        <v>3276</v>
      </c>
      <c r="I84" s="52" t="s">
        <v>2040</v>
      </c>
      <c r="J84" s="53" t="s">
        <v>41</v>
      </c>
      <c r="K84" s="50" t="s">
        <v>64</v>
      </c>
      <c r="L84" s="50" t="s">
        <v>1205</v>
      </c>
      <c r="M84" s="49" t="s">
        <v>3277</v>
      </c>
      <c r="N84" s="54">
        <v>12.5</v>
      </c>
      <c r="O84" s="59" t="s">
        <v>2043</v>
      </c>
      <c r="P84" s="55" t="s">
        <v>2044</v>
      </c>
      <c r="Q84" s="45">
        <v>996110451</v>
      </c>
      <c r="R84" s="45"/>
      <c r="S84" s="45" t="s">
        <v>2038</v>
      </c>
      <c r="T84" s="56"/>
    </row>
    <row r="85" spans="1:20" ht="42" x14ac:dyDescent="0.2">
      <c r="A85" s="64">
        <v>77</v>
      </c>
      <c r="B85" s="46">
        <v>45842</v>
      </c>
      <c r="C85" s="47">
        <v>45859</v>
      </c>
      <c r="D85" s="48">
        <v>1</v>
      </c>
      <c r="E85" s="48"/>
      <c r="F85" s="49"/>
      <c r="G85" s="131">
        <v>112580027</v>
      </c>
      <c r="H85" s="132" t="str">
        <f t="shared" ref="H85:H100" si="0">VLOOKUP(G85,PROD,2,FALSE)</f>
        <v>GBC 75030 KBB CRISTAL COCINA GAS</v>
      </c>
      <c r="I85" s="50" t="s">
        <v>3396</v>
      </c>
      <c r="J85" s="53" t="s">
        <v>41</v>
      </c>
      <c r="K85" s="50" t="s">
        <v>64</v>
      </c>
      <c r="L85" s="50" t="s">
        <v>3397</v>
      </c>
      <c r="M85" s="49" t="s">
        <v>3398</v>
      </c>
      <c r="N85" s="54">
        <v>12.5</v>
      </c>
      <c r="O85" s="133" t="s">
        <v>3399</v>
      </c>
      <c r="P85" s="55" t="s">
        <v>3400</v>
      </c>
      <c r="Q85" s="45">
        <v>999079486</v>
      </c>
      <c r="R85" s="45"/>
      <c r="S85" s="45" t="s">
        <v>3401</v>
      </c>
    </row>
    <row r="86" spans="1:20" ht="63" x14ac:dyDescent="0.2">
      <c r="A86" s="64">
        <v>78</v>
      </c>
      <c r="B86" s="46">
        <v>45036</v>
      </c>
      <c r="C86" s="47">
        <v>45859</v>
      </c>
      <c r="D86" s="48">
        <v>1</v>
      </c>
      <c r="E86" s="48"/>
      <c r="F86" s="49"/>
      <c r="G86" s="50">
        <v>40584305</v>
      </c>
      <c r="H86" s="132" t="str">
        <f t="shared" si="0"/>
        <v>ML 822 BIS - MICROONDAS (112030008)</v>
      </c>
      <c r="I86" s="50" t="s">
        <v>3402</v>
      </c>
      <c r="J86" s="53" t="s">
        <v>41</v>
      </c>
      <c r="K86" s="50" t="s">
        <v>64</v>
      </c>
      <c r="L86" s="50" t="s">
        <v>3403</v>
      </c>
      <c r="M86" s="49" t="s">
        <v>3404</v>
      </c>
      <c r="N86" s="54">
        <v>15</v>
      </c>
      <c r="O86" s="133" t="s">
        <v>3405</v>
      </c>
      <c r="P86" s="55" t="s">
        <v>3406</v>
      </c>
      <c r="Q86" s="45">
        <v>989302476</v>
      </c>
      <c r="R86" s="45"/>
      <c r="S86" s="45" t="s">
        <v>3407</v>
      </c>
    </row>
    <row r="87" spans="1:20" ht="42" x14ac:dyDescent="0.2">
      <c r="A87" s="64">
        <v>79</v>
      </c>
      <c r="B87" s="46">
        <v>45712</v>
      </c>
      <c r="C87" s="47">
        <v>45861</v>
      </c>
      <c r="D87" s="48">
        <v>1</v>
      </c>
      <c r="E87" s="48"/>
      <c r="F87" s="49"/>
      <c r="G87" s="50">
        <v>40461543</v>
      </c>
      <c r="H87" s="132" t="str">
        <f t="shared" si="0"/>
        <v>C 6310 INOX CAMPANA (110V-60HZ) C/KIT</v>
      </c>
      <c r="I87" s="50" t="s">
        <v>981</v>
      </c>
      <c r="J87" s="53" t="s">
        <v>41</v>
      </c>
      <c r="K87" s="50" t="s">
        <v>64</v>
      </c>
      <c r="L87" s="50" t="s">
        <v>982</v>
      </c>
      <c r="M87" s="49" t="s">
        <v>3408</v>
      </c>
      <c r="N87" s="54">
        <v>12.5</v>
      </c>
      <c r="O87" s="133" t="s">
        <v>985</v>
      </c>
      <c r="P87" s="55" t="s">
        <v>3409</v>
      </c>
      <c r="Q87" s="45">
        <v>987233336</v>
      </c>
      <c r="R87" s="45"/>
      <c r="S87" s="45" t="s">
        <v>979</v>
      </c>
    </row>
    <row r="88" spans="1:20" ht="42" x14ac:dyDescent="0.2">
      <c r="A88" s="64">
        <v>80</v>
      </c>
      <c r="B88" s="46">
        <v>45689</v>
      </c>
      <c r="C88" s="47">
        <v>45861</v>
      </c>
      <c r="D88" s="48">
        <v>1</v>
      </c>
      <c r="E88" s="48"/>
      <c r="F88" s="49"/>
      <c r="G88" s="50">
        <v>40782127</v>
      </c>
      <c r="H88" s="132" t="str">
        <f t="shared" si="0"/>
        <v>DW8 57 FIM PANELABLE LAVAVAJILLAS</v>
      </c>
      <c r="I88" s="50" t="s">
        <v>3410</v>
      </c>
      <c r="J88" s="53" t="s">
        <v>41</v>
      </c>
      <c r="K88" s="50" t="s">
        <v>64</v>
      </c>
      <c r="L88" s="50" t="s">
        <v>3411</v>
      </c>
      <c r="M88" s="49" t="s">
        <v>3412</v>
      </c>
      <c r="N88" s="54">
        <v>18.75</v>
      </c>
      <c r="O88" s="133" t="s">
        <v>842</v>
      </c>
      <c r="P88" s="55" t="s">
        <v>3413</v>
      </c>
      <c r="Q88" s="45">
        <v>984014275</v>
      </c>
      <c r="R88" s="45"/>
      <c r="S88" s="45" t="s">
        <v>836</v>
      </c>
    </row>
    <row r="89" spans="1:20" ht="42" x14ac:dyDescent="0.2">
      <c r="A89" s="64">
        <v>81</v>
      </c>
      <c r="B89" s="46">
        <v>45799</v>
      </c>
      <c r="C89" s="47">
        <v>45862</v>
      </c>
      <c r="D89" s="48">
        <v>1</v>
      </c>
      <c r="E89" s="48"/>
      <c r="F89" s="49"/>
      <c r="G89" s="131">
        <v>111570003</v>
      </c>
      <c r="H89" s="132" t="str">
        <f t="shared" si="0"/>
        <v>COCINA GOURMET BBQ 4100 G SS</v>
      </c>
      <c r="I89" s="50" t="s">
        <v>3414</v>
      </c>
      <c r="J89" s="53" t="s">
        <v>41</v>
      </c>
      <c r="K89" s="50" t="s">
        <v>64</v>
      </c>
      <c r="L89" s="50" t="s">
        <v>3415</v>
      </c>
      <c r="M89" s="49" t="s">
        <v>3416</v>
      </c>
      <c r="N89" s="54">
        <v>12.5</v>
      </c>
      <c r="O89" s="133" t="s">
        <v>3417</v>
      </c>
      <c r="P89" s="55" t="s">
        <v>3418</v>
      </c>
      <c r="Q89" s="45">
        <v>989739803</v>
      </c>
      <c r="R89" s="45"/>
      <c r="S89" s="45" t="s">
        <v>3419</v>
      </c>
    </row>
    <row r="90" spans="1:20" ht="54" x14ac:dyDescent="0.2">
      <c r="A90" s="64">
        <v>82</v>
      </c>
      <c r="B90" s="46">
        <v>44974</v>
      </c>
      <c r="C90" s="47">
        <v>45863</v>
      </c>
      <c r="D90" s="48">
        <v>1</v>
      </c>
      <c r="E90" s="48">
        <v>60803269</v>
      </c>
      <c r="F90" s="49" t="s">
        <v>3420</v>
      </c>
      <c r="G90" s="131">
        <v>112510035</v>
      </c>
      <c r="H90" s="132" t="str">
        <f t="shared" si="0"/>
        <v>IZF 64440 MSP BK COCINA INDUCCION</v>
      </c>
      <c r="I90" s="50" t="s">
        <v>2242</v>
      </c>
      <c r="J90" s="53" t="s">
        <v>41</v>
      </c>
      <c r="K90" s="50" t="s">
        <v>64</v>
      </c>
      <c r="L90" s="50" t="s">
        <v>2243</v>
      </c>
      <c r="M90" s="49" t="s">
        <v>3421</v>
      </c>
      <c r="N90" s="54">
        <v>12.5</v>
      </c>
      <c r="O90" s="133" t="s">
        <v>2245</v>
      </c>
      <c r="P90" s="55" t="s">
        <v>3422</v>
      </c>
      <c r="Q90" s="45">
        <v>998411628</v>
      </c>
      <c r="R90" s="45"/>
      <c r="S90" s="45" t="s">
        <v>2247</v>
      </c>
    </row>
    <row r="91" spans="1:20" ht="42" x14ac:dyDescent="0.2">
      <c r="A91" s="64">
        <v>83</v>
      </c>
      <c r="B91" s="46">
        <v>45769</v>
      </c>
      <c r="C91" s="47">
        <v>45868</v>
      </c>
      <c r="D91" s="48">
        <v>1</v>
      </c>
      <c r="E91" s="48"/>
      <c r="F91" s="49"/>
      <c r="G91" s="50">
        <v>111040006</v>
      </c>
      <c r="H91" s="132" t="str">
        <f t="shared" si="0"/>
        <v>HSB 750 G SS HORNO A GAS</v>
      </c>
      <c r="I91" s="50" t="s">
        <v>3423</v>
      </c>
      <c r="J91" s="53" t="s">
        <v>41</v>
      </c>
      <c r="K91" s="50" t="s">
        <v>64</v>
      </c>
      <c r="L91" s="50" t="s">
        <v>3231</v>
      </c>
      <c r="M91" s="49" t="s">
        <v>3424</v>
      </c>
      <c r="N91" s="54">
        <v>18.75</v>
      </c>
      <c r="O91" s="133" t="s">
        <v>3425</v>
      </c>
      <c r="P91" s="55" t="s">
        <v>3233</v>
      </c>
      <c r="Q91" s="45">
        <v>990307165</v>
      </c>
      <c r="R91" s="45"/>
      <c r="S91" s="45" t="s">
        <v>3229</v>
      </c>
    </row>
    <row r="92" spans="1:20" ht="63" x14ac:dyDescent="0.2">
      <c r="A92" s="64">
        <v>84</v>
      </c>
      <c r="B92" s="46">
        <v>45827</v>
      </c>
      <c r="C92" s="47">
        <v>45874</v>
      </c>
      <c r="D92" s="48">
        <v>1</v>
      </c>
      <c r="E92" s="48"/>
      <c r="F92" s="49"/>
      <c r="G92" s="131">
        <v>112570128</v>
      </c>
      <c r="H92" s="132" t="str">
        <f t="shared" si="0"/>
        <v>JZC 96342 BBB BK (LAT) COCINA MIXTA GAS - INDUCCION</v>
      </c>
      <c r="I92" s="50" t="s">
        <v>3426</v>
      </c>
      <c r="J92" s="53" t="s">
        <v>41</v>
      </c>
      <c r="K92" s="50" t="s">
        <v>64</v>
      </c>
      <c r="L92" s="50" t="s">
        <v>3427</v>
      </c>
      <c r="M92" s="49" t="s">
        <v>3428</v>
      </c>
      <c r="N92" s="54">
        <v>12.5</v>
      </c>
      <c r="O92" s="133" t="s">
        <v>3429</v>
      </c>
      <c r="P92" s="55" t="s">
        <v>3430</v>
      </c>
      <c r="Q92" s="45">
        <v>983162005</v>
      </c>
      <c r="R92" s="45"/>
      <c r="S92" s="45" t="s">
        <v>3431</v>
      </c>
    </row>
    <row r="93" spans="1:20" ht="42" x14ac:dyDescent="0.2">
      <c r="A93" s="64">
        <v>85</v>
      </c>
      <c r="B93" s="134">
        <v>45398</v>
      </c>
      <c r="C93" s="47">
        <v>45877</v>
      </c>
      <c r="D93" s="48">
        <v>1</v>
      </c>
      <c r="E93" s="48"/>
      <c r="F93" s="49"/>
      <c r="G93" s="131">
        <v>112500047</v>
      </c>
      <c r="H93" s="132" t="str">
        <f t="shared" si="0"/>
        <v>IZF 99700 MST COCINA INDUCCION</v>
      </c>
      <c r="I93" s="50" t="s">
        <v>3432</v>
      </c>
      <c r="J93" s="53" t="s">
        <v>41</v>
      </c>
      <c r="K93" s="50" t="s">
        <v>64</v>
      </c>
      <c r="L93" s="50" t="s">
        <v>3433</v>
      </c>
      <c r="M93" s="49" t="s">
        <v>3434</v>
      </c>
      <c r="N93" s="54">
        <v>12.5</v>
      </c>
      <c r="O93" s="133" t="s">
        <v>3435</v>
      </c>
      <c r="P93" s="55" t="s">
        <v>3436</v>
      </c>
      <c r="Q93" s="45">
        <v>992598515</v>
      </c>
      <c r="R93" s="45"/>
      <c r="S93" s="45" t="s">
        <v>3437</v>
      </c>
    </row>
    <row r="94" spans="1:20" ht="54" x14ac:dyDescent="0.2">
      <c r="A94" s="64">
        <v>86</v>
      </c>
      <c r="B94" s="46">
        <v>45635</v>
      </c>
      <c r="C94" s="47">
        <v>45517</v>
      </c>
      <c r="D94" s="48">
        <v>1</v>
      </c>
      <c r="E94" s="48"/>
      <c r="F94" s="49"/>
      <c r="G94" s="131">
        <v>41598031</v>
      </c>
      <c r="H94" s="132" t="str">
        <f t="shared" si="0"/>
        <v>CAFETERA INTEGRACION CLC 855 GM INOX</v>
      </c>
      <c r="I94" s="50" t="s">
        <v>3438</v>
      </c>
      <c r="J94" s="53" t="s">
        <v>41</v>
      </c>
      <c r="K94" s="50" t="s">
        <v>64</v>
      </c>
      <c r="L94" s="50" t="s">
        <v>3439</v>
      </c>
      <c r="M94" s="49" t="s">
        <v>3440</v>
      </c>
      <c r="N94" s="54">
        <v>12.5</v>
      </c>
      <c r="O94" s="133" t="s">
        <v>3441</v>
      </c>
      <c r="P94" s="55" t="s">
        <v>3442</v>
      </c>
      <c r="Q94" s="45">
        <v>984459007</v>
      </c>
      <c r="R94" s="45"/>
      <c r="S94" s="45" t="s">
        <v>3443</v>
      </c>
    </row>
    <row r="95" spans="1:20" ht="47" customHeight="1" x14ac:dyDescent="0.2">
      <c r="A95" s="64">
        <v>87</v>
      </c>
      <c r="B95" s="46">
        <v>44960</v>
      </c>
      <c r="C95" s="47">
        <v>45881</v>
      </c>
      <c r="D95" s="48">
        <v>1</v>
      </c>
      <c r="E95" s="48"/>
      <c r="F95" s="49"/>
      <c r="G95" s="131">
        <v>111040006</v>
      </c>
      <c r="H95" s="132" t="str">
        <f t="shared" si="0"/>
        <v>HSB 750 G SS HORNO A GAS</v>
      </c>
      <c r="I95" s="50" t="s">
        <v>3444</v>
      </c>
      <c r="J95" s="53" t="s">
        <v>41</v>
      </c>
      <c r="K95" s="50" t="s">
        <v>64</v>
      </c>
      <c r="L95" s="50" t="s">
        <v>3445</v>
      </c>
      <c r="M95" s="49" t="s">
        <v>3446</v>
      </c>
      <c r="N95" s="54">
        <v>18.75</v>
      </c>
      <c r="O95" s="133" t="s">
        <v>3447</v>
      </c>
      <c r="P95" s="55" t="s">
        <v>3448</v>
      </c>
      <c r="Q95" s="45">
        <v>986379450</v>
      </c>
      <c r="R95" s="45"/>
      <c r="S95" s="45" t="s">
        <v>3449</v>
      </c>
    </row>
    <row r="96" spans="1:20" ht="42" x14ac:dyDescent="0.2">
      <c r="A96" s="64">
        <v>88</v>
      </c>
      <c r="B96" s="46">
        <v>45748</v>
      </c>
      <c r="C96" s="47">
        <v>45882</v>
      </c>
      <c r="D96" s="48">
        <v>1</v>
      </c>
      <c r="E96" s="48"/>
      <c r="F96" s="49"/>
      <c r="G96" s="131">
        <v>113430018</v>
      </c>
      <c r="H96" s="132" t="str">
        <f t="shared" si="0"/>
        <v>RLF 74920 SS SBS REFRIGERADORA</v>
      </c>
      <c r="I96" s="50" t="s">
        <v>3450</v>
      </c>
      <c r="J96" s="53" t="s">
        <v>41</v>
      </c>
      <c r="K96" s="50" t="s">
        <v>64</v>
      </c>
      <c r="L96" s="50" t="s">
        <v>3451</v>
      </c>
      <c r="M96" s="49" t="s">
        <v>3452</v>
      </c>
      <c r="N96" s="54">
        <v>18.75</v>
      </c>
      <c r="O96" s="133" t="s">
        <v>3453</v>
      </c>
      <c r="P96" s="55" t="s">
        <v>3454</v>
      </c>
      <c r="Q96" s="45">
        <v>992150336</v>
      </c>
      <c r="R96" s="45"/>
      <c r="S96" s="45" t="s">
        <v>3455</v>
      </c>
    </row>
    <row r="97" spans="1:28" ht="42" x14ac:dyDescent="0.2">
      <c r="A97" s="64">
        <v>89</v>
      </c>
      <c r="B97" s="46">
        <v>45575</v>
      </c>
      <c r="C97" s="47">
        <v>45882</v>
      </c>
      <c r="D97" s="48">
        <v>1</v>
      </c>
      <c r="E97" s="48"/>
      <c r="F97" s="49"/>
      <c r="G97" s="131">
        <v>112570073</v>
      </c>
      <c r="H97" s="132" t="str">
        <f t="shared" si="0"/>
        <v>GZC 96310 XBB CRISTAL COCINA GAS</v>
      </c>
      <c r="I97" s="50" t="s">
        <v>3456</v>
      </c>
      <c r="J97" s="53" t="s">
        <v>41</v>
      </c>
      <c r="K97" s="50" t="s">
        <v>64</v>
      </c>
      <c r="L97" s="50" t="s">
        <v>963</v>
      </c>
      <c r="M97" s="49" t="s">
        <v>3457</v>
      </c>
      <c r="N97" s="54">
        <v>12.5</v>
      </c>
      <c r="O97" s="133" t="s">
        <v>3458</v>
      </c>
      <c r="P97" s="55" t="s">
        <v>3459</v>
      </c>
      <c r="Q97" s="45">
        <v>59103138</v>
      </c>
      <c r="R97" s="45"/>
      <c r="S97" s="45" t="s">
        <v>3460</v>
      </c>
    </row>
    <row r="98" spans="1:28" ht="72" x14ac:dyDescent="0.2">
      <c r="A98" s="64">
        <v>90</v>
      </c>
      <c r="B98" s="134">
        <v>45806</v>
      </c>
      <c r="C98" s="47">
        <v>45884</v>
      </c>
      <c r="D98" s="48">
        <v>1</v>
      </c>
      <c r="E98" s="48" t="s">
        <v>3461</v>
      </c>
      <c r="F98" s="49" t="s">
        <v>3462</v>
      </c>
      <c r="G98" s="131">
        <v>112500047</v>
      </c>
      <c r="H98" s="132" t="str">
        <f t="shared" si="0"/>
        <v>IZF 99700 MST COCINA INDUCCION</v>
      </c>
      <c r="I98" s="50" t="s">
        <v>3463</v>
      </c>
      <c r="J98" s="53" t="s">
        <v>41</v>
      </c>
      <c r="K98" s="50" t="s">
        <v>64</v>
      </c>
      <c r="L98" s="50" t="s">
        <v>3464</v>
      </c>
      <c r="M98" s="49" t="s">
        <v>3465</v>
      </c>
      <c r="N98" s="54">
        <v>12.5</v>
      </c>
      <c r="O98" s="133" t="s">
        <v>3466</v>
      </c>
      <c r="P98" s="55" t="s">
        <v>3467</v>
      </c>
      <c r="Q98" s="45">
        <v>999100747</v>
      </c>
      <c r="R98" s="45"/>
      <c r="S98" s="45" t="s">
        <v>3468</v>
      </c>
    </row>
    <row r="99" spans="1:28" ht="42" x14ac:dyDescent="0.2">
      <c r="A99" s="64">
        <v>91</v>
      </c>
      <c r="B99" s="134">
        <v>45259</v>
      </c>
      <c r="C99" s="47">
        <v>45887</v>
      </c>
      <c r="D99" s="48">
        <v>1</v>
      </c>
      <c r="E99" s="48">
        <v>8139016</v>
      </c>
      <c r="F99" s="49" t="s">
        <v>3469</v>
      </c>
      <c r="G99" s="131">
        <v>112580027</v>
      </c>
      <c r="H99" s="132" t="str">
        <f t="shared" si="0"/>
        <v>GBC 75030 KBB CRISTAL COCINA GAS</v>
      </c>
      <c r="I99" s="50" t="s">
        <v>3470</v>
      </c>
      <c r="J99" s="53" t="s">
        <v>41</v>
      </c>
      <c r="K99" s="50" t="s">
        <v>64</v>
      </c>
      <c r="L99" s="50" t="s">
        <v>3471</v>
      </c>
      <c r="M99" s="49" t="s">
        <v>3472</v>
      </c>
      <c r="N99" s="54">
        <v>12.5</v>
      </c>
      <c r="O99" s="133" t="s">
        <v>3473</v>
      </c>
      <c r="P99" s="55" t="s">
        <v>3474</v>
      </c>
      <c r="Q99" s="45">
        <v>999850384</v>
      </c>
      <c r="R99" s="45"/>
      <c r="S99" s="45" t="s">
        <v>3475</v>
      </c>
    </row>
    <row r="100" spans="1:28" ht="42" x14ac:dyDescent="0.2">
      <c r="A100" s="64">
        <v>92</v>
      </c>
      <c r="B100" s="134">
        <v>45058</v>
      </c>
      <c r="C100" s="47">
        <v>45887</v>
      </c>
      <c r="D100" s="48">
        <v>1</v>
      </c>
      <c r="E100" s="48">
        <v>8139016</v>
      </c>
      <c r="F100" s="49" t="s">
        <v>3469</v>
      </c>
      <c r="G100" s="131">
        <v>112580058</v>
      </c>
      <c r="H100" s="132" t="str">
        <f t="shared" si="0"/>
        <v>GBC 95030 KBB BK COCINA GAS</v>
      </c>
      <c r="I100" s="50" t="s">
        <v>3476</v>
      </c>
      <c r="J100" s="53" t="s">
        <v>41</v>
      </c>
      <c r="K100" s="50" t="s">
        <v>64</v>
      </c>
      <c r="L100" s="50" t="s">
        <v>3477</v>
      </c>
      <c r="M100" s="49" t="s">
        <v>3478</v>
      </c>
      <c r="N100" s="54">
        <v>12.5</v>
      </c>
      <c r="O100" s="133" t="s">
        <v>3479</v>
      </c>
      <c r="P100" s="55" t="s">
        <v>3480</v>
      </c>
      <c r="Q100" s="45">
        <v>99785097</v>
      </c>
      <c r="R100" s="45"/>
      <c r="S100" s="45" t="s">
        <v>3481</v>
      </c>
    </row>
    <row r="101" spans="1:28" ht="42" x14ac:dyDescent="0.2">
      <c r="A101" s="64">
        <v>93</v>
      </c>
      <c r="B101" s="135">
        <v>45627</v>
      </c>
      <c r="C101" s="136">
        <v>45904</v>
      </c>
      <c r="D101" s="137">
        <v>1</v>
      </c>
      <c r="E101" s="137"/>
      <c r="F101" s="138"/>
      <c r="G101" s="139">
        <v>41598031</v>
      </c>
      <c r="H101" s="140" t="s">
        <v>4235</v>
      </c>
      <c r="I101" s="141" t="s">
        <v>4236</v>
      </c>
      <c r="J101" s="142" t="s">
        <v>41</v>
      </c>
      <c r="K101" s="141" t="s">
        <v>64</v>
      </c>
      <c r="L101" s="141" t="s">
        <v>2533</v>
      </c>
      <c r="M101" s="138" t="s">
        <v>4237</v>
      </c>
      <c r="N101" s="143">
        <v>15</v>
      </c>
      <c r="O101" s="144" t="s">
        <v>4238</v>
      </c>
      <c r="P101" s="146" t="s">
        <v>4239</v>
      </c>
      <c r="Q101" s="147">
        <v>996113452</v>
      </c>
      <c r="R101" s="147"/>
      <c r="S101" s="147" t="s">
        <v>2531</v>
      </c>
      <c r="T101" s="66"/>
      <c r="U101" s="66"/>
      <c r="V101" s="66"/>
      <c r="W101" s="66"/>
      <c r="X101" s="66"/>
      <c r="Y101" s="66"/>
      <c r="Z101" s="66"/>
      <c r="AA101" s="66"/>
      <c r="AB101" s="66"/>
    </row>
    <row r="102" spans="1:28" ht="21" x14ac:dyDescent="0.2">
      <c r="A102" s="64">
        <v>94</v>
      </c>
      <c r="B102" s="148">
        <v>45744</v>
      </c>
      <c r="C102" s="149">
        <v>45910</v>
      </c>
      <c r="D102" s="150">
        <v>1</v>
      </c>
      <c r="E102" s="150">
        <v>40197255</v>
      </c>
      <c r="F102" s="151" t="s">
        <v>4240</v>
      </c>
      <c r="G102" s="152">
        <v>40197255</v>
      </c>
      <c r="H102" s="140" t="s">
        <v>4241</v>
      </c>
      <c r="I102" s="153" t="s">
        <v>4242</v>
      </c>
      <c r="J102" s="154" t="s">
        <v>41</v>
      </c>
      <c r="K102" s="153" t="s">
        <v>64</v>
      </c>
      <c r="L102" s="153" t="s">
        <v>3439</v>
      </c>
      <c r="M102" s="151" t="s">
        <v>4243</v>
      </c>
      <c r="N102" s="155">
        <v>12.5</v>
      </c>
      <c r="O102" s="156" t="s">
        <v>4244</v>
      </c>
      <c r="P102" s="146" t="s">
        <v>4245</v>
      </c>
      <c r="Q102" s="157">
        <v>984454001</v>
      </c>
      <c r="R102" s="157"/>
      <c r="S102" s="157" t="s">
        <v>4246</v>
      </c>
      <c r="T102" s="66"/>
      <c r="U102" s="66"/>
      <c r="V102" s="66"/>
      <c r="W102" s="66"/>
      <c r="X102" s="66"/>
      <c r="Y102" s="66"/>
      <c r="Z102" s="66"/>
      <c r="AA102" s="66"/>
      <c r="AB102" s="66"/>
    </row>
    <row r="103" spans="1:28" ht="42" x14ac:dyDescent="0.2">
      <c r="A103" s="64">
        <v>95</v>
      </c>
      <c r="B103" s="148">
        <v>45469</v>
      </c>
      <c r="C103" s="149">
        <v>45912</v>
      </c>
      <c r="D103" s="150">
        <v>1</v>
      </c>
      <c r="E103" s="150">
        <v>8128027</v>
      </c>
      <c r="F103" s="151" t="s">
        <v>4247</v>
      </c>
      <c r="G103" s="152">
        <v>112610071</v>
      </c>
      <c r="H103" s="140" t="s">
        <v>4248</v>
      </c>
      <c r="I103" s="153" t="s">
        <v>4249</v>
      </c>
      <c r="J103" s="154" t="s">
        <v>41</v>
      </c>
      <c r="K103" s="153" t="s">
        <v>64</v>
      </c>
      <c r="L103" s="153" t="s">
        <v>4250</v>
      </c>
      <c r="M103" s="151" t="s">
        <v>4251</v>
      </c>
      <c r="N103" s="155">
        <v>12.5</v>
      </c>
      <c r="O103" s="156" t="s">
        <v>4252</v>
      </c>
      <c r="P103" s="146" t="s">
        <v>4253</v>
      </c>
      <c r="Q103" s="157">
        <v>991688171</v>
      </c>
      <c r="R103" s="157"/>
      <c r="S103" s="157" t="s">
        <v>4254</v>
      </c>
      <c r="T103" s="66"/>
      <c r="U103" s="66"/>
      <c r="V103" s="66"/>
      <c r="W103" s="66"/>
      <c r="X103" s="66"/>
      <c r="Y103" s="66"/>
      <c r="Z103" s="66"/>
      <c r="AA103" s="66"/>
      <c r="AB103" s="66"/>
    </row>
    <row r="104" spans="1:28" ht="63" x14ac:dyDescent="0.2">
      <c r="A104" s="64">
        <v>96</v>
      </c>
      <c r="B104" s="148">
        <v>45953</v>
      </c>
      <c r="C104" s="149">
        <v>45912</v>
      </c>
      <c r="D104" s="150">
        <v>2</v>
      </c>
      <c r="E104" s="150">
        <v>81483104</v>
      </c>
      <c r="F104" s="151" t="s">
        <v>4255</v>
      </c>
      <c r="G104" s="152">
        <v>40485311</v>
      </c>
      <c r="H104" s="140" t="s">
        <v>4256</v>
      </c>
      <c r="I104" s="153" t="s">
        <v>4257</v>
      </c>
      <c r="J104" s="154" t="s">
        <v>41</v>
      </c>
      <c r="K104" s="153" t="s">
        <v>64</v>
      </c>
      <c r="L104" s="153" t="s">
        <v>4258</v>
      </c>
      <c r="M104" s="151" t="s">
        <v>4259</v>
      </c>
      <c r="N104" s="155">
        <v>12.5</v>
      </c>
      <c r="O104" s="156" t="s">
        <v>645</v>
      </c>
      <c r="P104" s="146" t="s">
        <v>4260</v>
      </c>
      <c r="Q104" s="157">
        <v>988243799</v>
      </c>
      <c r="R104" s="157"/>
      <c r="S104" s="157" t="s">
        <v>4261</v>
      </c>
      <c r="T104" s="66"/>
      <c r="U104" s="66"/>
      <c r="V104" s="66"/>
      <c r="W104" s="66"/>
      <c r="X104" s="66"/>
      <c r="Y104" s="66"/>
      <c r="Z104" s="66"/>
      <c r="AA104" s="66"/>
      <c r="AB104" s="66"/>
    </row>
    <row r="105" spans="1:28" ht="42" x14ac:dyDescent="0.2">
      <c r="A105" s="64">
        <v>97</v>
      </c>
      <c r="B105" s="148">
        <v>45985</v>
      </c>
      <c r="C105" s="149">
        <v>45912</v>
      </c>
      <c r="D105" s="150">
        <v>1</v>
      </c>
      <c r="E105" s="150">
        <v>60803269</v>
      </c>
      <c r="F105" s="151" t="s">
        <v>3420</v>
      </c>
      <c r="G105" s="158">
        <v>112510035</v>
      </c>
      <c r="H105" s="140" t="s">
        <v>4262</v>
      </c>
      <c r="I105" s="153" t="s">
        <v>4263</v>
      </c>
      <c r="J105" s="154" t="s">
        <v>41</v>
      </c>
      <c r="K105" s="153" t="s">
        <v>64</v>
      </c>
      <c r="L105" s="153" t="s">
        <v>4264</v>
      </c>
      <c r="M105" s="151" t="s">
        <v>4265</v>
      </c>
      <c r="N105" s="155">
        <v>12.5</v>
      </c>
      <c r="O105" s="156" t="s">
        <v>4266</v>
      </c>
      <c r="P105" s="146" t="s">
        <v>4267</v>
      </c>
      <c r="Q105" s="157">
        <v>987715854</v>
      </c>
      <c r="R105" s="157"/>
      <c r="S105" s="157" t="s">
        <v>4268</v>
      </c>
      <c r="T105" s="66"/>
      <c r="U105" s="66"/>
      <c r="V105" s="66"/>
      <c r="W105" s="66"/>
      <c r="X105" s="66"/>
      <c r="Y105" s="66"/>
      <c r="Z105" s="66"/>
      <c r="AA105" s="66"/>
      <c r="AB105" s="66"/>
    </row>
    <row r="106" spans="1:28" ht="63" x14ac:dyDescent="0.2">
      <c r="A106" s="64">
        <v>98</v>
      </c>
      <c r="B106" s="148">
        <v>45133</v>
      </c>
      <c r="C106" s="149">
        <v>45912</v>
      </c>
      <c r="D106" s="150">
        <v>1</v>
      </c>
      <c r="E106" s="150"/>
      <c r="F106" s="151"/>
      <c r="G106" s="158">
        <v>112570124</v>
      </c>
      <c r="H106" s="140" t="s">
        <v>4269</v>
      </c>
      <c r="I106" s="153" t="s">
        <v>4270</v>
      </c>
      <c r="J106" s="154" t="s">
        <v>41</v>
      </c>
      <c r="K106" s="153" t="s">
        <v>64</v>
      </c>
      <c r="L106" s="153" t="s">
        <v>4271</v>
      </c>
      <c r="M106" s="151" t="s">
        <v>4272</v>
      </c>
      <c r="N106" s="155">
        <v>12.5</v>
      </c>
      <c r="O106" s="156" t="s">
        <v>4273</v>
      </c>
      <c r="P106" s="146" t="s">
        <v>4274</v>
      </c>
      <c r="Q106" s="157">
        <v>984770337</v>
      </c>
      <c r="R106" s="157"/>
      <c r="S106" s="157" t="s">
        <v>4275</v>
      </c>
      <c r="T106" s="66"/>
      <c r="U106" s="66"/>
      <c r="V106" s="66"/>
      <c r="W106" s="66"/>
      <c r="X106" s="66"/>
      <c r="Y106" s="66"/>
      <c r="Z106" s="66"/>
      <c r="AA106" s="66"/>
      <c r="AB106" s="66"/>
    </row>
    <row r="107" spans="1:28" ht="42" x14ac:dyDescent="0.2">
      <c r="A107" s="64">
        <v>99</v>
      </c>
      <c r="B107" s="148">
        <v>45688</v>
      </c>
      <c r="C107" s="149">
        <v>45915</v>
      </c>
      <c r="D107" s="150">
        <v>1</v>
      </c>
      <c r="E107" s="150">
        <v>81411015</v>
      </c>
      <c r="F107" s="151" t="s">
        <v>4276</v>
      </c>
      <c r="G107" s="158">
        <v>113100004</v>
      </c>
      <c r="H107" s="140" t="s">
        <v>2140</v>
      </c>
      <c r="I107" s="153" t="s">
        <v>4277</v>
      </c>
      <c r="J107" s="154" t="s">
        <v>41</v>
      </c>
      <c r="K107" s="153" t="s">
        <v>64</v>
      </c>
      <c r="L107" s="153" t="s">
        <v>2516</v>
      </c>
      <c r="M107" s="151" t="s">
        <v>4278</v>
      </c>
      <c r="N107" s="155">
        <v>15</v>
      </c>
      <c r="O107" s="156" t="s">
        <v>4279</v>
      </c>
      <c r="P107" s="146" t="s">
        <v>4280</v>
      </c>
      <c r="Q107" s="157">
        <v>982660042</v>
      </c>
      <c r="R107" s="157"/>
      <c r="S107" s="157" t="s">
        <v>4281</v>
      </c>
      <c r="T107" s="66"/>
      <c r="U107" s="66"/>
      <c r="V107" s="66"/>
      <c r="W107" s="66"/>
      <c r="X107" s="66"/>
      <c r="Y107" s="66"/>
      <c r="Z107" s="66"/>
      <c r="AA107" s="66"/>
      <c r="AB107" s="66"/>
    </row>
    <row r="108" spans="1:28" ht="42" x14ac:dyDescent="0.2">
      <c r="A108" s="64">
        <v>100</v>
      </c>
      <c r="B108" s="148">
        <v>45806</v>
      </c>
      <c r="C108" s="149">
        <v>45915</v>
      </c>
      <c r="D108" s="150">
        <v>1</v>
      </c>
      <c r="E108" s="150">
        <v>112500047</v>
      </c>
      <c r="F108" s="151" t="s">
        <v>4282</v>
      </c>
      <c r="G108" s="152">
        <v>112500047</v>
      </c>
      <c r="H108" s="140" t="s">
        <v>4283</v>
      </c>
      <c r="I108" s="153" t="s">
        <v>4284</v>
      </c>
      <c r="J108" s="154" t="s">
        <v>41</v>
      </c>
      <c r="K108" s="153" t="s">
        <v>64</v>
      </c>
      <c r="L108" s="153" t="s">
        <v>3464</v>
      </c>
      <c r="M108" s="151" t="s">
        <v>4243</v>
      </c>
      <c r="N108" s="155">
        <v>12.5</v>
      </c>
      <c r="O108" s="156" t="s">
        <v>3466</v>
      </c>
      <c r="P108" s="145" t="s">
        <v>4285</v>
      </c>
      <c r="Q108" s="157">
        <v>999100747</v>
      </c>
      <c r="R108" s="157"/>
      <c r="S108" s="157" t="s">
        <v>4286</v>
      </c>
      <c r="T108" s="66"/>
      <c r="U108" s="66"/>
      <c r="V108" s="66"/>
      <c r="W108" s="66"/>
      <c r="X108" s="66"/>
      <c r="Y108" s="66"/>
      <c r="Z108" s="66"/>
      <c r="AA108" s="66"/>
      <c r="AB108" s="66"/>
    </row>
    <row r="109" spans="1:28" ht="42" x14ac:dyDescent="0.2">
      <c r="A109" s="64">
        <v>101</v>
      </c>
      <c r="B109" s="148">
        <v>45901</v>
      </c>
      <c r="C109" s="149">
        <v>45918</v>
      </c>
      <c r="D109" s="150">
        <v>1</v>
      </c>
      <c r="E109" s="150"/>
      <c r="F109" s="151"/>
      <c r="G109" s="152">
        <v>111570003</v>
      </c>
      <c r="H109" s="140" t="s">
        <v>4287</v>
      </c>
      <c r="I109" s="153" t="s">
        <v>4288</v>
      </c>
      <c r="J109" s="154" t="s">
        <v>41</v>
      </c>
      <c r="K109" s="153" t="s">
        <v>64</v>
      </c>
      <c r="L109" s="153" t="s">
        <v>100</v>
      </c>
      <c r="M109" s="151" t="s">
        <v>4289</v>
      </c>
      <c r="N109" s="155">
        <v>12.5</v>
      </c>
      <c r="O109" s="156" t="s">
        <v>4290</v>
      </c>
      <c r="P109" s="146" t="s">
        <v>4291</v>
      </c>
      <c r="Q109" s="157">
        <v>987665567</v>
      </c>
      <c r="R109" s="157"/>
      <c r="S109" s="157" t="s">
        <v>1185</v>
      </c>
      <c r="T109" s="66"/>
      <c r="U109" s="66"/>
      <c r="V109" s="66"/>
      <c r="W109" s="66"/>
      <c r="X109" s="66"/>
      <c r="Y109" s="66"/>
      <c r="Z109" s="66"/>
      <c r="AA109" s="66"/>
      <c r="AB109" s="66"/>
    </row>
    <row r="110" spans="1:28" ht="42" x14ac:dyDescent="0.2">
      <c r="A110" s="64">
        <v>102</v>
      </c>
      <c r="B110" s="148">
        <v>45901</v>
      </c>
      <c r="C110" s="149">
        <v>45918</v>
      </c>
      <c r="D110" s="150">
        <v>1</v>
      </c>
      <c r="E110" s="150"/>
      <c r="F110" s="151"/>
      <c r="G110" s="152">
        <v>112610067</v>
      </c>
      <c r="H110" s="140" t="s">
        <v>4292</v>
      </c>
      <c r="I110" s="153" t="s">
        <v>4293</v>
      </c>
      <c r="J110" s="154" t="s">
        <v>41</v>
      </c>
      <c r="K110" s="153" t="s">
        <v>64</v>
      </c>
      <c r="L110" s="153" t="s">
        <v>100</v>
      </c>
      <c r="M110" s="151" t="s">
        <v>4294</v>
      </c>
      <c r="N110" s="155">
        <v>12.5</v>
      </c>
      <c r="O110" s="156" t="s">
        <v>4290</v>
      </c>
      <c r="P110" s="146" t="s">
        <v>4291</v>
      </c>
      <c r="Q110" s="157">
        <v>987665567</v>
      </c>
      <c r="R110" s="157"/>
      <c r="S110" s="157" t="s">
        <v>1185</v>
      </c>
      <c r="T110" s="66"/>
      <c r="U110" s="66"/>
      <c r="V110" s="66"/>
      <c r="W110" s="66"/>
      <c r="X110" s="66"/>
      <c r="Y110" s="66"/>
      <c r="Z110" s="66"/>
      <c r="AA110" s="66"/>
      <c r="AB110" s="66"/>
    </row>
    <row r="111" spans="1:28" ht="34" customHeight="1" x14ac:dyDescent="0.2">
      <c r="A111" s="64">
        <v>103</v>
      </c>
      <c r="B111" s="46">
        <v>45635</v>
      </c>
      <c r="C111" s="47">
        <v>45919</v>
      </c>
      <c r="D111" s="48"/>
      <c r="E111" s="48"/>
      <c r="F111" s="49"/>
      <c r="G111" s="131">
        <v>111570003</v>
      </c>
      <c r="H111" s="132" t="str">
        <f t="shared" ref="H111:H118" si="1">VLOOKUP(G111,PROD,2,FALSE)</f>
        <v>COCINA GOURMET BBQ 4100 G SS</v>
      </c>
      <c r="I111" s="50" t="s">
        <v>4593</v>
      </c>
      <c r="J111" s="53" t="s">
        <v>41</v>
      </c>
      <c r="K111" s="50" t="s">
        <v>64</v>
      </c>
      <c r="L111" s="50" t="s">
        <v>4594</v>
      </c>
      <c r="M111" s="49" t="s">
        <v>4595</v>
      </c>
      <c r="N111" s="54">
        <v>12.5</v>
      </c>
      <c r="O111" s="169" t="s">
        <v>4596</v>
      </c>
      <c r="P111" s="55" t="s">
        <v>4597</v>
      </c>
      <c r="Q111" s="45">
        <v>998665110</v>
      </c>
      <c r="R111" s="45"/>
      <c r="S111" s="45" t="s">
        <v>4598</v>
      </c>
    </row>
    <row r="112" spans="1:28" ht="63" x14ac:dyDescent="0.2">
      <c r="A112" s="64">
        <v>104</v>
      </c>
      <c r="B112" s="46">
        <v>45557</v>
      </c>
      <c r="C112" s="47">
        <v>45922</v>
      </c>
      <c r="D112" s="48">
        <v>1</v>
      </c>
      <c r="E112" s="48">
        <v>60803213</v>
      </c>
      <c r="F112" s="49" t="s">
        <v>4599</v>
      </c>
      <c r="G112" s="170">
        <v>112570126</v>
      </c>
      <c r="H112" s="132" t="str">
        <f t="shared" si="1"/>
        <v>JZC 96324 ABB BK (LAT) COCINA MIXTA GAS - INDUCCION (40213042)</v>
      </c>
      <c r="I112" s="50" t="s">
        <v>3157</v>
      </c>
      <c r="J112" s="53" t="s">
        <v>41</v>
      </c>
      <c r="K112" s="50" t="s">
        <v>64</v>
      </c>
      <c r="L112" s="50" t="s">
        <v>3158</v>
      </c>
      <c r="M112" s="49" t="s">
        <v>4600</v>
      </c>
      <c r="N112" s="54">
        <v>12.5</v>
      </c>
      <c r="O112" s="169" t="s">
        <v>4601</v>
      </c>
      <c r="P112" s="55" t="s">
        <v>4602</v>
      </c>
      <c r="Q112" s="45">
        <v>994453010</v>
      </c>
      <c r="R112" s="45"/>
      <c r="S112" s="45" t="s">
        <v>3156</v>
      </c>
    </row>
    <row r="113" spans="1:19" ht="42" x14ac:dyDescent="0.2">
      <c r="A113" s="64">
        <v>105</v>
      </c>
      <c r="B113" s="46">
        <v>45817</v>
      </c>
      <c r="C113" s="47">
        <v>45923</v>
      </c>
      <c r="D113" s="48">
        <v>1</v>
      </c>
      <c r="E113" s="48">
        <v>83340602</v>
      </c>
      <c r="F113" s="49" t="s">
        <v>1117</v>
      </c>
      <c r="G113" s="170">
        <v>111000051</v>
      </c>
      <c r="H113" s="132" t="str">
        <f t="shared" si="1"/>
        <v>HLB 8416 "AIR FRY" - HORNO ELEC</v>
      </c>
      <c r="I113" s="50" t="s">
        <v>4603</v>
      </c>
      <c r="J113" s="53" t="s">
        <v>41</v>
      </c>
      <c r="K113" s="50" t="s">
        <v>64</v>
      </c>
      <c r="L113" s="50" t="s">
        <v>3305</v>
      </c>
      <c r="M113" s="49" t="s">
        <v>4604</v>
      </c>
      <c r="N113" s="54">
        <v>15</v>
      </c>
      <c r="O113" s="169" t="s">
        <v>3307</v>
      </c>
      <c r="P113" s="55" t="s">
        <v>4605</v>
      </c>
      <c r="Q113" s="45">
        <v>996747976</v>
      </c>
      <c r="R113" s="45"/>
      <c r="S113" s="45" t="s">
        <v>3303</v>
      </c>
    </row>
    <row r="114" spans="1:19" ht="42" x14ac:dyDescent="0.2">
      <c r="A114" s="64">
        <v>106</v>
      </c>
      <c r="B114" s="46">
        <v>45236</v>
      </c>
      <c r="C114" s="47">
        <v>45925</v>
      </c>
      <c r="D114" s="48">
        <v>1</v>
      </c>
      <c r="E114" s="48">
        <v>60803270</v>
      </c>
      <c r="F114" s="49" t="s">
        <v>4606</v>
      </c>
      <c r="G114" s="170">
        <v>112510035</v>
      </c>
      <c r="H114" s="132" t="str">
        <f t="shared" si="1"/>
        <v>IZF 64440 MSP BK COCINA INDUCCION</v>
      </c>
      <c r="I114" s="50" t="s">
        <v>4607</v>
      </c>
      <c r="J114" s="53" t="s">
        <v>41</v>
      </c>
      <c r="K114" s="50" t="s">
        <v>64</v>
      </c>
      <c r="L114" s="50" t="s">
        <v>4544</v>
      </c>
      <c r="M114" s="49" t="s">
        <v>4608</v>
      </c>
      <c r="N114" s="54">
        <v>12.5</v>
      </c>
      <c r="O114" s="169" t="s">
        <v>4546</v>
      </c>
      <c r="P114" s="55" t="s">
        <v>4609</v>
      </c>
      <c r="Q114" s="45">
        <v>9984745385</v>
      </c>
      <c r="R114" s="45"/>
      <c r="S114" s="45" t="s">
        <v>4542</v>
      </c>
    </row>
    <row r="115" spans="1:19" ht="42" x14ac:dyDescent="0.2">
      <c r="A115" s="64">
        <v>107</v>
      </c>
      <c r="B115" s="46">
        <v>45879</v>
      </c>
      <c r="C115" s="47">
        <v>45925</v>
      </c>
      <c r="D115" s="48"/>
      <c r="E115" s="48"/>
      <c r="F115" s="49"/>
      <c r="G115" s="170">
        <v>40584202</v>
      </c>
      <c r="H115" s="132" t="str">
        <f t="shared" si="1"/>
        <v>ML 820 BIS - MICROONDAS</v>
      </c>
      <c r="I115" s="50" t="s">
        <v>4610</v>
      </c>
      <c r="J115" s="53" t="s">
        <v>41</v>
      </c>
      <c r="K115" s="50" t="s">
        <v>64</v>
      </c>
      <c r="L115" s="50" t="s">
        <v>4611</v>
      </c>
      <c r="M115" s="49" t="s">
        <v>4612</v>
      </c>
      <c r="N115" s="54">
        <v>15</v>
      </c>
      <c r="O115" s="169" t="s">
        <v>4613</v>
      </c>
      <c r="P115" s="55" t="s">
        <v>4614</v>
      </c>
      <c r="Q115" s="45">
        <v>984233395</v>
      </c>
      <c r="R115" s="45"/>
      <c r="S115" s="45" t="s">
        <v>4615</v>
      </c>
    </row>
    <row r="116" spans="1:19" ht="54" x14ac:dyDescent="0.2">
      <c r="A116" s="64">
        <v>108</v>
      </c>
      <c r="B116" s="46">
        <v>45795</v>
      </c>
      <c r="C116" s="47">
        <v>45925</v>
      </c>
      <c r="D116" s="48">
        <v>1</v>
      </c>
      <c r="E116" s="48">
        <v>60803252</v>
      </c>
      <c r="F116" s="49" t="s">
        <v>4616</v>
      </c>
      <c r="G116" s="170">
        <v>112520025</v>
      </c>
      <c r="H116" s="132" t="str">
        <f t="shared" si="1"/>
        <v>IZC 64010 MSS COCINA INDUCCION</v>
      </c>
      <c r="I116" s="50" t="s">
        <v>4617</v>
      </c>
      <c r="J116" s="53" t="s">
        <v>41</v>
      </c>
      <c r="K116" s="50" t="s">
        <v>64</v>
      </c>
      <c r="L116" s="50" t="s">
        <v>4618</v>
      </c>
      <c r="M116" s="49" t="s">
        <v>4619</v>
      </c>
      <c r="N116" s="54">
        <v>12.5</v>
      </c>
      <c r="O116" s="169" t="s">
        <v>4620</v>
      </c>
      <c r="P116" s="55" t="s">
        <v>4621</v>
      </c>
      <c r="Q116" s="45">
        <v>993344583</v>
      </c>
      <c r="R116" s="45"/>
      <c r="S116" s="45" t="s">
        <v>4622</v>
      </c>
    </row>
    <row r="117" spans="1:19" ht="42" x14ac:dyDescent="0.2">
      <c r="A117" s="64">
        <v>109</v>
      </c>
      <c r="B117" s="46">
        <v>45688</v>
      </c>
      <c r="C117" s="47">
        <v>45927</v>
      </c>
      <c r="D117" s="48">
        <v>1</v>
      </c>
      <c r="E117" s="48">
        <v>81411026</v>
      </c>
      <c r="F117" s="49" t="s">
        <v>4623</v>
      </c>
      <c r="G117" s="131">
        <v>113100004</v>
      </c>
      <c r="H117" s="132" t="str">
        <f t="shared" si="1"/>
        <v>CAMPANA DHT 97670 ROS WH</v>
      </c>
      <c r="I117" s="50" t="s">
        <v>2520</v>
      </c>
      <c r="J117" s="53" t="s">
        <v>41</v>
      </c>
      <c r="K117" s="50" t="s">
        <v>64</v>
      </c>
      <c r="L117" s="50" t="s">
        <v>2516</v>
      </c>
      <c r="M117" s="49" t="s">
        <v>4624</v>
      </c>
      <c r="N117" s="54">
        <v>15</v>
      </c>
      <c r="O117" s="169" t="s">
        <v>4625</v>
      </c>
      <c r="P117" s="55" t="s">
        <v>4626</v>
      </c>
      <c r="Q117" s="45">
        <v>982660042</v>
      </c>
      <c r="R117" s="45"/>
      <c r="S117" s="45" t="s">
        <v>4281</v>
      </c>
    </row>
    <row r="118" spans="1:19" ht="32" customHeight="1" x14ac:dyDescent="0.2">
      <c r="A118" s="64">
        <v>110</v>
      </c>
      <c r="B118" s="46">
        <v>44963</v>
      </c>
      <c r="C118" s="47">
        <v>45932</v>
      </c>
      <c r="D118" s="48">
        <v>1</v>
      </c>
      <c r="E118" s="48">
        <v>81672551</v>
      </c>
      <c r="F118" s="49" t="s">
        <v>4627</v>
      </c>
      <c r="G118" s="131">
        <v>113430018</v>
      </c>
      <c r="H118" s="132" t="str">
        <f t="shared" si="1"/>
        <v>RLF 74920 SS SBS REFRIGERADORA</v>
      </c>
      <c r="I118" s="50" t="s">
        <v>4628</v>
      </c>
      <c r="J118" s="53" t="s">
        <v>41</v>
      </c>
      <c r="K118" s="50" t="s">
        <v>64</v>
      </c>
      <c r="L118" s="50" t="s">
        <v>4629</v>
      </c>
      <c r="M118" s="49" t="s">
        <v>4630</v>
      </c>
      <c r="N118" s="54">
        <v>18.75</v>
      </c>
      <c r="O118" s="169" t="s">
        <v>4631</v>
      </c>
      <c r="P118" s="55" t="s">
        <v>4632</v>
      </c>
      <c r="Q118" s="45">
        <v>969749925</v>
      </c>
      <c r="R118" s="45"/>
      <c r="S118" s="45" t="s">
        <v>4633</v>
      </c>
    </row>
    <row r="119" spans="1:19" ht="42" x14ac:dyDescent="0.2">
      <c r="A119" s="64">
        <v>111</v>
      </c>
      <c r="B119" s="46">
        <v>45712</v>
      </c>
      <c r="C119" s="47">
        <v>45934</v>
      </c>
      <c r="D119" s="48">
        <v>1</v>
      </c>
      <c r="E119" s="48">
        <v>60905060</v>
      </c>
      <c r="F119" s="49" t="s">
        <v>4634</v>
      </c>
      <c r="G119" s="131">
        <v>40446712</v>
      </c>
      <c r="H119" s="132" t="str">
        <f t="shared" ref="H119:H123" si="2">VLOOKUP(G119,PROD,2,FALSE)</f>
        <v>GFH 73 INOX CAMPANA (110V-60HZ) C/KIT</v>
      </c>
      <c r="I119" s="50" t="s">
        <v>4087</v>
      </c>
      <c r="J119" s="53" t="s">
        <v>41</v>
      </c>
      <c r="K119" s="50" t="s">
        <v>64</v>
      </c>
      <c r="L119" s="50" t="s">
        <v>4088</v>
      </c>
      <c r="M119" s="49" t="s">
        <v>4635</v>
      </c>
      <c r="N119" s="54">
        <v>12.5</v>
      </c>
      <c r="O119" s="169" t="s">
        <v>4636</v>
      </c>
      <c r="P119" s="55" t="s">
        <v>4637</v>
      </c>
      <c r="Q119" s="45">
        <v>985225444</v>
      </c>
      <c r="R119" s="45"/>
      <c r="S119" s="45" t="s">
        <v>4086</v>
      </c>
    </row>
    <row r="120" spans="1:19" ht="63" x14ac:dyDescent="0.2">
      <c r="A120" s="64">
        <v>112</v>
      </c>
      <c r="B120" s="46">
        <v>45831</v>
      </c>
      <c r="C120" s="47">
        <v>45934</v>
      </c>
      <c r="D120" s="48">
        <v>1</v>
      </c>
      <c r="E120" s="48">
        <v>81212030</v>
      </c>
      <c r="F120" s="49" t="s">
        <v>4638</v>
      </c>
      <c r="G120" s="170">
        <v>112570128</v>
      </c>
      <c r="H120" s="132" t="str">
        <f t="shared" si="2"/>
        <v>JZC 96342 BBB BK (LAT) COCINA MIXTA GAS - INDUCCION</v>
      </c>
      <c r="I120" s="50" t="s">
        <v>4639</v>
      </c>
      <c r="J120" s="53" t="s">
        <v>41</v>
      </c>
      <c r="K120" s="50" t="s">
        <v>64</v>
      </c>
      <c r="L120" s="50" t="s">
        <v>3844</v>
      </c>
      <c r="M120" s="49" t="s">
        <v>4640</v>
      </c>
      <c r="N120" s="54">
        <v>12.5</v>
      </c>
      <c r="O120" s="169" t="s">
        <v>3846</v>
      </c>
      <c r="P120" s="55" t="s">
        <v>4641</v>
      </c>
      <c r="Q120" s="45">
        <v>989234501</v>
      </c>
      <c r="R120" s="45"/>
      <c r="S120" s="45" t="s">
        <v>4642</v>
      </c>
    </row>
    <row r="121" spans="1:19" ht="63" x14ac:dyDescent="0.2">
      <c r="A121" s="64">
        <v>113</v>
      </c>
      <c r="B121" s="46">
        <v>45774</v>
      </c>
      <c r="C121" s="47">
        <v>45936</v>
      </c>
      <c r="D121" s="48">
        <v>1</v>
      </c>
      <c r="E121" s="48">
        <v>81699330</v>
      </c>
      <c r="F121" s="49" t="s">
        <v>4643</v>
      </c>
      <c r="G121" s="170">
        <v>113430073</v>
      </c>
      <c r="H121" s="132" t="str">
        <f t="shared" si="2"/>
        <v>RMF 77960 DSS MX REFRIGERADORA DARK INOX</v>
      </c>
      <c r="I121" s="50" t="s">
        <v>4644</v>
      </c>
      <c r="J121" s="53" t="s">
        <v>41</v>
      </c>
      <c r="K121" s="50" t="s">
        <v>64</v>
      </c>
      <c r="L121" s="50" t="s">
        <v>4645</v>
      </c>
      <c r="M121" s="49" t="s">
        <v>4646</v>
      </c>
      <c r="N121" s="54">
        <v>18.75</v>
      </c>
      <c r="O121" s="169" t="s">
        <v>4647</v>
      </c>
      <c r="P121" s="55" t="s">
        <v>4648</v>
      </c>
      <c r="Q121" s="45">
        <v>987581621</v>
      </c>
      <c r="R121" s="45"/>
      <c r="S121" s="45" t="s">
        <v>4649</v>
      </c>
    </row>
    <row r="122" spans="1:19" ht="42" x14ac:dyDescent="0.2">
      <c r="A122" s="64">
        <v>114</v>
      </c>
      <c r="B122" s="46">
        <v>44895</v>
      </c>
      <c r="C122" s="47">
        <v>45937</v>
      </c>
      <c r="D122" s="48">
        <v>1</v>
      </c>
      <c r="E122" s="48">
        <v>83340602</v>
      </c>
      <c r="F122" s="49" t="s">
        <v>1117</v>
      </c>
      <c r="G122" s="170">
        <v>41560061</v>
      </c>
      <c r="H122" s="132" t="str">
        <f t="shared" si="2"/>
        <v>HLB 830 INOX HORNO ELEC</v>
      </c>
      <c r="I122" s="50" t="s">
        <v>4650</v>
      </c>
      <c r="J122" s="53" t="s">
        <v>41</v>
      </c>
      <c r="K122" s="50" t="s">
        <v>64</v>
      </c>
      <c r="L122" s="50" t="s">
        <v>4651</v>
      </c>
      <c r="M122" s="49" t="s">
        <v>4652</v>
      </c>
      <c r="N122" s="54">
        <v>15</v>
      </c>
      <c r="O122" s="169" t="s">
        <v>4653</v>
      </c>
      <c r="P122" s="55" t="s">
        <v>4654</v>
      </c>
      <c r="Q122" s="45">
        <v>992737834</v>
      </c>
      <c r="R122" s="45"/>
      <c r="S122" s="45" t="s">
        <v>4655</v>
      </c>
    </row>
    <row r="123" spans="1:19" ht="42" x14ac:dyDescent="0.2">
      <c r="A123" s="64">
        <v>115</v>
      </c>
      <c r="B123" s="46">
        <v>45824</v>
      </c>
      <c r="C123" s="47">
        <v>45938</v>
      </c>
      <c r="D123" s="48">
        <v>1</v>
      </c>
      <c r="E123" s="48">
        <v>83340602</v>
      </c>
      <c r="F123" s="49" t="s">
        <v>1117</v>
      </c>
      <c r="G123" s="170">
        <v>111000051</v>
      </c>
      <c r="H123" s="132" t="str">
        <f t="shared" si="2"/>
        <v>HLB 8416 "AIR FRY" - HORNO ELEC</v>
      </c>
      <c r="I123" s="50" t="s">
        <v>4656</v>
      </c>
      <c r="J123" s="53" t="s">
        <v>41</v>
      </c>
      <c r="K123" s="50" t="s">
        <v>64</v>
      </c>
      <c r="L123" s="50" t="s">
        <v>3318</v>
      </c>
      <c r="M123" s="49" t="s">
        <v>4657</v>
      </c>
      <c r="N123" s="54">
        <v>15</v>
      </c>
      <c r="O123" s="169" t="s">
        <v>4658</v>
      </c>
      <c r="P123" s="55" t="s">
        <v>4659</v>
      </c>
      <c r="Q123" s="45">
        <v>998133816</v>
      </c>
      <c r="R123" s="45"/>
      <c r="S123" s="45" t="s">
        <v>3316</v>
      </c>
    </row>
    <row r="124" spans="1:19" ht="42" x14ac:dyDescent="0.2">
      <c r="A124" s="64">
        <v>116</v>
      </c>
      <c r="B124" s="46">
        <v>45288</v>
      </c>
      <c r="C124" s="47">
        <v>45938</v>
      </c>
      <c r="D124" s="48">
        <v>1</v>
      </c>
      <c r="E124" s="48">
        <v>83340602</v>
      </c>
      <c r="F124" s="49" t="s">
        <v>1117</v>
      </c>
      <c r="G124" s="170">
        <v>111000051</v>
      </c>
      <c r="H124" s="132" t="str">
        <f t="shared" ref="H124:H125" si="3">VLOOKUP(G124,PROD,2,FALSE)</f>
        <v>HLB 8416 "AIR FRY" - HORNO ELEC</v>
      </c>
      <c r="I124" s="50" t="s">
        <v>4660</v>
      </c>
      <c r="J124" s="53" t="s">
        <v>41</v>
      </c>
      <c r="K124" s="50" t="s">
        <v>64</v>
      </c>
      <c r="L124" s="50" t="s">
        <v>4661</v>
      </c>
      <c r="M124" s="49" t="s">
        <v>4662</v>
      </c>
      <c r="N124" s="54">
        <v>15</v>
      </c>
      <c r="O124" s="169" t="s">
        <v>659</v>
      </c>
      <c r="P124" s="55" t="s">
        <v>4663</v>
      </c>
      <c r="Q124" s="45">
        <v>993096851</v>
      </c>
      <c r="R124" s="45"/>
      <c r="S124" s="45" t="s">
        <v>4664</v>
      </c>
    </row>
    <row r="125" spans="1:19" ht="36" x14ac:dyDescent="0.2">
      <c r="A125" s="64">
        <v>117</v>
      </c>
      <c r="B125" s="46">
        <v>45681</v>
      </c>
      <c r="C125" s="47">
        <v>45942</v>
      </c>
      <c r="D125" s="48">
        <v>1</v>
      </c>
      <c r="E125" s="48">
        <v>81636006</v>
      </c>
      <c r="F125" s="49" t="s">
        <v>4665</v>
      </c>
      <c r="G125" s="170">
        <v>113610005</v>
      </c>
      <c r="H125" s="132" t="str">
        <f t="shared" si="3"/>
        <v>RVF 10032 VINERA</v>
      </c>
      <c r="I125" s="50" t="s">
        <v>509</v>
      </c>
      <c r="J125" s="53" t="s">
        <v>41</v>
      </c>
      <c r="K125" s="50" t="s">
        <v>64</v>
      </c>
      <c r="L125" s="50" t="s">
        <v>503</v>
      </c>
      <c r="M125" s="49" t="s">
        <v>4666</v>
      </c>
      <c r="N125" s="54">
        <v>18.75</v>
      </c>
      <c r="O125" s="169" t="s">
        <v>4667</v>
      </c>
      <c r="P125" s="55" t="s">
        <v>4668</v>
      </c>
      <c r="Q125" s="45">
        <v>987206773</v>
      </c>
      <c r="R125" s="45"/>
      <c r="S125" s="45" t="s">
        <v>4669</v>
      </c>
    </row>
    <row r="126" spans="1:19" ht="42" x14ac:dyDescent="0.2">
      <c r="A126" s="64">
        <v>118</v>
      </c>
      <c r="B126" s="46">
        <v>45674</v>
      </c>
      <c r="C126" s="47">
        <v>45945</v>
      </c>
      <c r="D126" s="48">
        <v>1</v>
      </c>
      <c r="E126" s="48">
        <v>81240008</v>
      </c>
      <c r="F126" s="49" t="s">
        <v>4670</v>
      </c>
      <c r="G126" s="170">
        <v>112610067</v>
      </c>
      <c r="H126" s="132" t="str">
        <f t="shared" ref="H126:H129" si="4">VLOOKUP(G126,PROD,2,FALSE)</f>
        <v>GSC 96320 XBA IX (LAT) COCINA INOX</v>
      </c>
      <c r="I126" s="50" t="s">
        <v>596</v>
      </c>
      <c r="J126" s="53" t="s">
        <v>41</v>
      </c>
      <c r="K126" s="50" t="s">
        <v>64</v>
      </c>
      <c r="L126" s="50" t="s">
        <v>597</v>
      </c>
      <c r="M126" s="49" t="s">
        <v>4671</v>
      </c>
      <c r="N126" s="54">
        <v>12.5</v>
      </c>
      <c r="O126" s="169" t="s">
        <v>599</v>
      </c>
      <c r="P126" s="55" t="s">
        <v>4672</v>
      </c>
      <c r="Q126" s="45">
        <v>98882491</v>
      </c>
      <c r="R126" s="45"/>
      <c r="S126" s="45" t="s">
        <v>4673</v>
      </c>
    </row>
    <row r="127" spans="1:19" ht="42" x14ac:dyDescent="0.2">
      <c r="A127" s="64">
        <v>119</v>
      </c>
      <c r="B127" s="171">
        <v>45779</v>
      </c>
      <c r="C127" s="172">
        <v>45945</v>
      </c>
      <c r="D127" s="173">
        <v>1</v>
      </c>
      <c r="E127" s="173">
        <v>81213049</v>
      </c>
      <c r="F127" s="174" t="s">
        <v>4674</v>
      </c>
      <c r="G127" s="175">
        <v>112500046</v>
      </c>
      <c r="H127" s="176" t="str">
        <f t="shared" si="4"/>
        <v>IZF 88700 MST COCINA INDUCCION</v>
      </c>
      <c r="I127" s="177" t="s">
        <v>4675</v>
      </c>
      <c r="J127" s="178" t="s">
        <v>41</v>
      </c>
      <c r="K127" s="177" t="s">
        <v>64</v>
      </c>
      <c r="L127" s="177" t="s">
        <v>4676</v>
      </c>
      <c r="M127" s="174" t="s">
        <v>4677</v>
      </c>
      <c r="N127" s="179">
        <v>12.5</v>
      </c>
      <c r="O127" s="180" t="s">
        <v>4678</v>
      </c>
      <c r="P127" s="181" t="s">
        <v>4679</v>
      </c>
      <c r="Q127" s="182">
        <v>993588865</v>
      </c>
      <c r="R127" s="182"/>
      <c r="S127" s="182" t="s">
        <v>4680</v>
      </c>
    </row>
    <row r="128" spans="1:19" ht="36" x14ac:dyDescent="0.25">
      <c r="A128" s="64">
        <v>120</v>
      </c>
      <c r="B128" s="183">
        <v>45497</v>
      </c>
      <c r="C128" s="184">
        <v>45946</v>
      </c>
      <c r="D128" s="96">
        <v>1</v>
      </c>
      <c r="E128" s="96">
        <v>81636002</v>
      </c>
      <c r="F128" s="97" t="s">
        <v>4681</v>
      </c>
      <c r="G128" s="185">
        <v>113610005</v>
      </c>
      <c r="H128" s="186" t="str">
        <f t="shared" si="4"/>
        <v>RVF 10032 VINERA</v>
      </c>
      <c r="I128" s="98" t="s">
        <v>201</v>
      </c>
      <c r="J128" s="101" t="s">
        <v>41</v>
      </c>
      <c r="K128" s="98" t="s">
        <v>64</v>
      </c>
      <c r="L128" s="98" t="s">
        <v>193</v>
      </c>
      <c r="M128" s="97" t="s">
        <v>4682</v>
      </c>
      <c r="N128" s="102">
        <v>18.75</v>
      </c>
      <c r="O128" s="187">
        <v>101205128</v>
      </c>
      <c r="P128" s="65" t="s">
        <v>4683</v>
      </c>
      <c r="Q128" s="45">
        <v>998627974</v>
      </c>
      <c r="R128" s="58"/>
      <c r="S128" s="45" t="s">
        <v>188</v>
      </c>
    </row>
    <row r="129" spans="1:19" ht="32" customHeight="1" x14ac:dyDescent="0.25">
      <c r="A129" s="64">
        <v>121</v>
      </c>
      <c r="B129" s="183">
        <v>45712</v>
      </c>
      <c r="C129" s="184">
        <v>45946</v>
      </c>
      <c r="D129" s="188"/>
      <c r="E129" s="188"/>
      <c r="F129" s="188"/>
      <c r="G129" s="188">
        <v>40466241</v>
      </c>
      <c r="H129" s="189" t="str">
        <f t="shared" si="4"/>
        <v>C 9310 INOX CAMPANA (110V-60HZ) C/KIT</v>
      </c>
      <c r="I129" s="190" t="s">
        <v>4684</v>
      </c>
      <c r="J129" s="191" t="s">
        <v>41</v>
      </c>
      <c r="K129" s="190" t="s">
        <v>64</v>
      </c>
      <c r="L129" s="190" t="s">
        <v>4088</v>
      </c>
      <c r="M129" s="192" t="s">
        <v>4685</v>
      </c>
      <c r="N129" s="193">
        <v>12.5</v>
      </c>
      <c r="O129" s="187">
        <v>102272135</v>
      </c>
      <c r="P129" s="194" t="s">
        <v>4686</v>
      </c>
      <c r="Q129" s="195">
        <v>985225444</v>
      </c>
      <c r="R129" s="188"/>
      <c r="S129" s="196" t="s">
        <v>4687</v>
      </c>
    </row>
    <row r="130" spans="1:19" ht="32" customHeight="1" x14ac:dyDescent="0.25">
      <c r="A130" s="64">
        <v>122</v>
      </c>
      <c r="B130" s="183">
        <v>45754</v>
      </c>
      <c r="C130" s="184">
        <v>45947</v>
      </c>
      <c r="D130" s="188">
        <v>1</v>
      </c>
      <c r="E130" s="188">
        <v>83340602</v>
      </c>
      <c r="F130" s="188" t="s">
        <v>4688</v>
      </c>
      <c r="G130" s="188">
        <v>111000051</v>
      </c>
      <c r="H130" s="189" t="str">
        <f t="shared" ref="H130" si="5">VLOOKUP(G130,PROD,2,FALSE)</f>
        <v>HLB 8416 "AIR FRY" - HORNO ELEC</v>
      </c>
      <c r="I130" s="190" t="s">
        <v>4182</v>
      </c>
      <c r="J130" s="191" t="s">
        <v>41</v>
      </c>
      <c r="K130" s="190" t="s">
        <v>64</v>
      </c>
      <c r="L130" s="190" t="s">
        <v>4688</v>
      </c>
      <c r="M130" s="192" t="s">
        <v>4689</v>
      </c>
      <c r="N130" s="193">
        <v>15</v>
      </c>
      <c r="O130" s="187">
        <v>105195416</v>
      </c>
      <c r="P130" s="197" t="s">
        <v>4181</v>
      </c>
      <c r="Q130" s="195">
        <v>984847325</v>
      </c>
      <c r="R130" s="188"/>
      <c r="S130" s="196" t="s">
        <v>4690</v>
      </c>
    </row>
    <row r="131" spans="1:19" ht="42" x14ac:dyDescent="0.2">
      <c r="A131" s="64">
        <v>123</v>
      </c>
      <c r="B131" s="46">
        <v>45741</v>
      </c>
      <c r="C131" s="47">
        <v>45951</v>
      </c>
      <c r="D131" s="48">
        <v>1</v>
      </c>
      <c r="E131" s="48">
        <v>60803282</v>
      </c>
      <c r="F131" s="49" t="s">
        <v>5194</v>
      </c>
      <c r="G131" s="131">
        <v>112500047</v>
      </c>
      <c r="H131" s="132" t="str">
        <f>VLOOKUP(G131,PROD,2,FALSE)</f>
        <v>IZF 99700 MST COCINA INDUCCION</v>
      </c>
      <c r="I131" s="50" t="s">
        <v>3210</v>
      </c>
      <c r="J131" s="53" t="s">
        <v>41</v>
      </c>
      <c r="K131" s="50" t="s">
        <v>64</v>
      </c>
      <c r="L131" s="50" t="s">
        <v>3211</v>
      </c>
      <c r="M131" s="49" t="s">
        <v>5195</v>
      </c>
      <c r="N131" s="54">
        <v>12.5</v>
      </c>
      <c r="O131" s="169" t="s">
        <v>5196</v>
      </c>
      <c r="P131" s="55" t="s">
        <v>5197</v>
      </c>
      <c r="Q131" s="45">
        <v>9842723334</v>
      </c>
      <c r="R131" s="45"/>
      <c r="S131" s="45" t="s">
        <v>5198</v>
      </c>
    </row>
    <row r="132" spans="1:19" ht="42" x14ac:dyDescent="0.2">
      <c r="A132" s="64">
        <v>124</v>
      </c>
      <c r="B132" s="46">
        <v>45866</v>
      </c>
      <c r="C132" s="47">
        <v>45957</v>
      </c>
      <c r="D132" s="48">
        <v>1</v>
      </c>
      <c r="E132" s="48"/>
      <c r="F132" s="49"/>
      <c r="G132" s="131">
        <v>112500046</v>
      </c>
      <c r="H132" s="132" t="str">
        <f>VLOOKUP(G132,PROD,2,FALSE)</f>
        <v>IZF 88700 MST COCINA INDUCCION</v>
      </c>
      <c r="I132" s="50" t="s">
        <v>4141</v>
      </c>
      <c r="J132" s="53" t="s">
        <v>41</v>
      </c>
      <c r="K132" s="50" t="s">
        <v>64</v>
      </c>
      <c r="L132" s="50" t="s">
        <v>4142</v>
      </c>
      <c r="M132" s="49" t="s">
        <v>5199</v>
      </c>
      <c r="N132" s="54">
        <v>12.5</v>
      </c>
      <c r="O132" s="169" t="s">
        <v>5200</v>
      </c>
      <c r="P132" s="55" t="s">
        <v>4144</v>
      </c>
      <c r="Q132" s="45">
        <v>998161675</v>
      </c>
      <c r="R132" s="45"/>
      <c r="S132" s="45" t="s">
        <v>4140</v>
      </c>
    </row>
    <row r="133" spans="1:19" ht="42" x14ac:dyDescent="0.2">
      <c r="A133" s="64">
        <v>125</v>
      </c>
      <c r="B133" s="46">
        <v>45731</v>
      </c>
      <c r="C133" s="47">
        <v>45958</v>
      </c>
      <c r="D133" s="48"/>
      <c r="E133" s="48"/>
      <c r="F133" s="49"/>
      <c r="G133" s="170">
        <v>112030019</v>
      </c>
      <c r="H133" s="132" t="str">
        <f>VLOOKUP(G133,PROD,2,FALSE)</f>
        <v>ML 8220 BIS FBK- MICROONDAS</v>
      </c>
      <c r="I133" s="50" t="s">
        <v>3556</v>
      </c>
      <c r="J133" s="53" t="s">
        <v>41</v>
      </c>
      <c r="K133" s="50" t="s">
        <v>64</v>
      </c>
      <c r="L133" s="50" t="s">
        <v>5201</v>
      </c>
      <c r="M133" s="49" t="s">
        <v>5202</v>
      </c>
      <c r="N133" s="54">
        <v>15</v>
      </c>
      <c r="O133" s="169" t="s">
        <v>5203</v>
      </c>
      <c r="P133" s="55" t="s">
        <v>5204</v>
      </c>
      <c r="Q133" s="45">
        <v>991095384</v>
      </c>
      <c r="R133" s="45"/>
      <c r="S133" s="45" t="s">
        <v>3550</v>
      </c>
    </row>
    <row r="134" spans="1:19" ht="54" x14ac:dyDescent="0.2">
      <c r="A134" s="64">
        <v>126</v>
      </c>
      <c r="B134" s="46">
        <v>45933</v>
      </c>
      <c r="C134" s="47">
        <v>45958</v>
      </c>
      <c r="D134" s="48"/>
      <c r="E134" s="48"/>
      <c r="F134" s="49"/>
      <c r="G134" s="170">
        <v>112030019</v>
      </c>
      <c r="H134" s="132" t="str">
        <f t="shared" ref="H134:H142" si="6">VLOOKUP(G134,PROD,2,FALSE)</f>
        <v>ML 8220 BIS FBK- MICROONDAS</v>
      </c>
      <c r="I134" s="50" t="s">
        <v>4860</v>
      </c>
      <c r="J134" s="53" t="s">
        <v>41</v>
      </c>
      <c r="K134" s="50" t="s">
        <v>64</v>
      </c>
      <c r="L134" s="50" t="s">
        <v>4861</v>
      </c>
      <c r="M134" s="49" t="s">
        <v>5205</v>
      </c>
      <c r="N134" s="54">
        <v>15</v>
      </c>
      <c r="O134" s="169" t="s">
        <v>5206</v>
      </c>
      <c r="P134" s="55" t="s">
        <v>5207</v>
      </c>
      <c r="Q134" s="45">
        <v>995720411</v>
      </c>
      <c r="R134" s="45"/>
      <c r="S134" s="45" t="s">
        <v>4859</v>
      </c>
    </row>
    <row r="135" spans="1:19" ht="36" x14ac:dyDescent="0.2">
      <c r="A135" s="64">
        <v>127</v>
      </c>
      <c r="B135" s="46">
        <v>45503</v>
      </c>
      <c r="C135" s="47">
        <v>45958</v>
      </c>
      <c r="D135" s="48">
        <v>1</v>
      </c>
      <c r="E135" s="48">
        <v>60803317</v>
      </c>
      <c r="F135" s="49" t="s">
        <v>5208</v>
      </c>
      <c r="G135" s="170">
        <v>112730000</v>
      </c>
      <c r="H135" s="132" t="str">
        <f t="shared" ref="H135" si="7">VLOOKUP(G135,PROD,2,FALSE)</f>
        <v>AFF 87601 HOOD IN HOB</v>
      </c>
      <c r="I135" s="50" t="s">
        <v>1546</v>
      </c>
      <c r="J135" s="53" t="s">
        <v>41</v>
      </c>
      <c r="K135" s="50" t="s">
        <v>64</v>
      </c>
      <c r="L135" s="50" t="s">
        <v>1547</v>
      </c>
      <c r="M135" s="49" t="s">
        <v>5209</v>
      </c>
      <c r="N135" s="54">
        <v>12.5</v>
      </c>
      <c r="O135" s="169" t="s">
        <v>1550</v>
      </c>
      <c r="P135" s="55" t="s">
        <v>5210</v>
      </c>
      <c r="Q135" s="45">
        <v>994058325</v>
      </c>
      <c r="R135" s="45"/>
      <c r="S135" s="45" t="s">
        <v>1544</v>
      </c>
    </row>
    <row r="136" spans="1:19" ht="54" x14ac:dyDescent="0.2">
      <c r="A136" s="64">
        <v>128</v>
      </c>
      <c r="B136" s="46">
        <v>45778</v>
      </c>
      <c r="C136" s="47">
        <v>45959</v>
      </c>
      <c r="D136" s="48">
        <v>1</v>
      </c>
      <c r="E136" s="48">
        <v>81219016</v>
      </c>
      <c r="F136" s="49" t="s">
        <v>5211</v>
      </c>
      <c r="G136" s="170">
        <v>112580027</v>
      </c>
      <c r="H136" s="132" t="str">
        <f t="shared" si="6"/>
        <v>GBC 75030 KBB CRISTAL COCINA GAS</v>
      </c>
      <c r="I136" s="50" t="s">
        <v>5212</v>
      </c>
      <c r="J136" s="53" t="s">
        <v>41</v>
      </c>
      <c r="K136" s="50" t="s">
        <v>64</v>
      </c>
      <c r="L136" s="50" t="s">
        <v>5213</v>
      </c>
      <c r="M136" s="49" t="s">
        <v>5214</v>
      </c>
      <c r="N136" s="54">
        <v>12.5</v>
      </c>
      <c r="O136" s="169" t="s">
        <v>5215</v>
      </c>
      <c r="P136" s="55" t="s">
        <v>5216</v>
      </c>
      <c r="Q136" s="45">
        <v>979328809</v>
      </c>
      <c r="R136" s="45"/>
      <c r="S136" s="45" t="s">
        <v>5217</v>
      </c>
    </row>
    <row r="137" spans="1:19" ht="42" x14ac:dyDescent="0.2">
      <c r="A137" s="64">
        <v>129</v>
      </c>
      <c r="B137" s="46">
        <v>45806</v>
      </c>
      <c r="C137" s="47">
        <v>45959</v>
      </c>
      <c r="D137" s="48">
        <v>1</v>
      </c>
      <c r="E137" s="48">
        <v>60803282</v>
      </c>
      <c r="F137" s="49" t="s">
        <v>5218</v>
      </c>
      <c r="G137" s="170">
        <v>112500047</v>
      </c>
      <c r="H137" s="132" t="str">
        <f t="shared" si="6"/>
        <v>IZF 99700 MST COCINA INDUCCION</v>
      </c>
      <c r="I137" s="50" t="s">
        <v>3463</v>
      </c>
      <c r="J137" s="53" t="s">
        <v>41</v>
      </c>
      <c r="K137" s="50" t="s">
        <v>64</v>
      </c>
      <c r="L137" s="50" t="s">
        <v>3464</v>
      </c>
      <c r="M137" s="49" t="s">
        <v>5219</v>
      </c>
      <c r="N137" s="54">
        <v>12.5</v>
      </c>
      <c r="O137" s="169" t="s">
        <v>3466</v>
      </c>
      <c r="P137" s="55" t="s">
        <v>5220</v>
      </c>
      <c r="Q137" s="45">
        <v>999100747</v>
      </c>
      <c r="R137" s="45"/>
      <c r="S137" s="45" t="s">
        <v>4286</v>
      </c>
    </row>
    <row r="138" spans="1:19" ht="42" x14ac:dyDescent="0.2">
      <c r="A138" s="64">
        <v>130</v>
      </c>
      <c r="B138" s="46">
        <v>45127</v>
      </c>
      <c r="C138" s="47">
        <v>45960</v>
      </c>
      <c r="D138" s="48">
        <v>1</v>
      </c>
      <c r="E138" s="48">
        <v>60803272</v>
      </c>
      <c r="F138" s="49" t="s">
        <v>4606</v>
      </c>
      <c r="G138" s="170">
        <v>112500048</v>
      </c>
      <c r="H138" s="132" t="str">
        <f t="shared" ref="H138" si="8">VLOOKUP(G138,PROD,2,FALSE)</f>
        <v>IZS 97630 MST COCINA INDUCCION</v>
      </c>
      <c r="I138" s="50" t="s">
        <v>5221</v>
      </c>
      <c r="J138" s="53" t="s">
        <v>41</v>
      </c>
      <c r="K138" s="50" t="s">
        <v>64</v>
      </c>
      <c r="L138" s="50" t="s">
        <v>5222</v>
      </c>
      <c r="M138" s="49" t="s">
        <v>5223</v>
      </c>
      <c r="N138" s="54">
        <v>12.5</v>
      </c>
      <c r="O138" s="169" t="s">
        <v>5224</v>
      </c>
      <c r="P138" s="55" t="s">
        <v>5225</v>
      </c>
      <c r="Q138" s="45">
        <v>998346841</v>
      </c>
      <c r="R138" s="45"/>
      <c r="S138" s="45" t="s">
        <v>5226</v>
      </c>
    </row>
    <row r="139" spans="1:19" ht="42" x14ac:dyDescent="0.2">
      <c r="A139" s="64">
        <v>131</v>
      </c>
      <c r="B139" s="46">
        <v>45949</v>
      </c>
      <c r="C139" s="47">
        <v>45968</v>
      </c>
      <c r="D139" s="48">
        <v>1</v>
      </c>
      <c r="E139" s="48">
        <v>81742367</v>
      </c>
      <c r="F139" s="49" t="s">
        <v>5227</v>
      </c>
      <c r="G139" s="131">
        <v>114270008</v>
      </c>
      <c r="H139" s="132" t="str">
        <f t="shared" si="6"/>
        <v>LAVAVAJILLAS DFI 46900 120 60 WH</v>
      </c>
      <c r="I139" s="50" t="s">
        <v>5228</v>
      </c>
      <c r="J139" s="53" t="s">
        <v>41</v>
      </c>
      <c r="K139" s="50" t="s">
        <v>64</v>
      </c>
      <c r="L139" s="50" t="s">
        <v>5229</v>
      </c>
      <c r="M139" s="49" t="s">
        <v>5230</v>
      </c>
      <c r="N139" s="54">
        <v>18.75</v>
      </c>
      <c r="O139" s="169" t="s">
        <v>5231</v>
      </c>
      <c r="P139" s="55" t="s">
        <v>5232</v>
      </c>
      <c r="Q139" s="45">
        <v>997439434</v>
      </c>
      <c r="R139" s="45"/>
      <c r="S139" s="45" t="s">
        <v>5233</v>
      </c>
    </row>
    <row r="140" spans="1:19" ht="37" customHeight="1" x14ac:dyDescent="0.2">
      <c r="A140" s="64">
        <v>132</v>
      </c>
      <c r="B140" s="46">
        <v>45381</v>
      </c>
      <c r="C140" s="47">
        <v>45971</v>
      </c>
      <c r="D140" s="48">
        <v>1</v>
      </c>
      <c r="E140" s="48">
        <v>60803282</v>
      </c>
      <c r="F140" s="49" t="s">
        <v>5194</v>
      </c>
      <c r="G140" s="131">
        <v>112500047</v>
      </c>
      <c r="H140" s="132" t="str">
        <f t="shared" ref="H140:H141" si="9">VLOOKUP(G140,PROD,2,FALSE)</f>
        <v>IZF 99700 MST COCINA INDUCCION</v>
      </c>
      <c r="I140" s="50" t="s">
        <v>285</v>
      </c>
      <c r="J140" s="53" t="s">
        <v>41</v>
      </c>
      <c r="K140" s="50" t="s">
        <v>64</v>
      </c>
      <c r="L140" s="50" t="s">
        <v>286</v>
      </c>
      <c r="M140" s="49" t="s">
        <v>5234</v>
      </c>
      <c r="N140" s="54">
        <v>12.5</v>
      </c>
      <c r="O140" s="169" t="s">
        <v>288</v>
      </c>
      <c r="P140" s="55" t="s">
        <v>5235</v>
      </c>
      <c r="Q140" s="45">
        <v>980913535</v>
      </c>
      <c r="R140" s="45"/>
      <c r="S140" s="45" t="s">
        <v>291</v>
      </c>
    </row>
    <row r="141" spans="1:19" ht="37" customHeight="1" x14ac:dyDescent="0.2">
      <c r="A141" s="64">
        <v>133</v>
      </c>
      <c r="B141" s="46">
        <v>45346</v>
      </c>
      <c r="C141" s="47">
        <v>45975</v>
      </c>
      <c r="D141" s="48">
        <v>1</v>
      </c>
      <c r="E141" s="48">
        <v>60803316</v>
      </c>
      <c r="F141" s="49" t="s">
        <v>5236</v>
      </c>
      <c r="G141" s="131">
        <v>112730000</v>
      </c>
      <c r="H141" s="132" t="str">
        <f t="shared" si="9"/>
        <v>AFF 87601 HOOD IN HOB</v>
      </c>
      <c r="I141" s="50" t="s">
        <v>3271</v>
      </c>
      <c r="J141" s="53" t="s">
        <v>41</v>
      </c>
      <c r="K141" s="50" t="s">
        <v>64</v>
      </c>
      <c r="L141" s="50" t="s">
        <v>1402</v>
      </c>
      <c r="M141" s="49" t="s">
        <v>5237</v>
      </c>
      <c r="N141" s="54">
        <v>12.5</v>
      </c>
      <c r="O141" s="169" t="s">
        <v>1404</v>
      </c>
      <c r="P141" s="55" t="s">
        <v>5238</v>
      </c>
      <c r="Q141" s="45">
        <v>99340209</v>
      </c>
      <c r="R141" s="45"/>
      <c r="S141" s="45" t="s">
        <v>3274</v>
      </c>
    </row>
    <row r="142" spans="1:19" ht="37" customHeight="1" x14ac:dyDescent="0.2">
      <c r="A142" s="64">
        <v>134</v>
      </c>
      <c r="B142" s="46">
        <v>45204</v>
      </c>
      <c r="C142" s="47">
        <v>45976</v>
      </c>
      <c r="D142" s="48">
        <v>1</v>
      </c>
      <c r="E142" s="48">
        <v>60803213</v>
      </c>
      <c r="F142" s="49" t="s">
        <v>5239</v>
      </c>
      <c r="G142" s="131">
        <v>112570126</v>
      </c>
      <c r="H142" s="132" t="str">
        <f t="shared" si="6"/>
        <v>JZC 96324 ABB BK (LAT) COCINA MIXTA GAS - INDUCCION (40213042)</v>
      </c>
      <c r="I142" s="50" t="s">
        <v>5240</v>
      </c>
      <c r="J142" s="53" t="s">
        <v>41</v>
      </c>
      <c r="K142" s="50" t="s">
        <v>64</v>
      </c>
      <c r="L142" s="50" t="s">
        <v>5241</v>
      </c>
      <c r="M142" s="49" t="s">
        <v>5242</v>
      </c>
      <c r="N142" s="54">
        <v>12.5</v>
      </c>
      <c r="O142" s="169" t="s">
        <v>5243</v>
      </c>
      <c r="P142" s="55" t="s">
        <v>5244</v>
      </c>
      <c r="Q142" s="45">
        <v>996155115</v>
      </c>
      <c r="R142" s="45"/>
      <c r="S142" s="45" t="s">
        <v>5245</v>
      </c>
    </row>
    <row r="143" spans="1:19" ht="42" x14ac:dyDescent="0.2">
      <c r="A143" s="64">
        <v>135</v>
      </c>
      <c r="B143" s="46">
        <v>45923</v>
      </c>
      <c r="C143" s="47">
        <v>45976</v>
      </c>
      <c r="D143" s="48">
        <v>1</v>
      </c>
      <c r="E143" s="48">
        <v>81240011</v>
      </c>
      <c r="F143" s="49" t="s">
        <v>5246</v>
      </c>
      <c r="G143" s="131">
        <v>112610067</v>
      </c>
      <c r="H143" s="132" t="str">
        <f t="shared" ref="H143:H147" si="10">VLOOKUP(G143,PROD,2,FALSE)</f>
        <v>GSC 96320 XBA IX (LAT) COCINA INOX</v>
      </c>
      <c r="I143" s="50" t="s">
        <v>5247</v>
      </c>
      <c r="J143" s="53" t="s">
        <v>41</v>
      </c>
      <c r="K143" s="50" t="s">
        <v>64</v>
      </c>
      <c r="L143" s="50" t="s">
        <v>5077</v>
      </c>
      <c r="M143" s="49" t="s">
        <v>5248</v>
      </c>
      <c r="N143" s="54">
        <v>12.5</v>
      </c>
      <c r="O143" s="169" t="s">
        <v>5249</v>
      </c>
      <c r="P143" s="55" t="s">
        <v>5250</v>
      </c>
      <c r="Q143" s="45">
        <v>999486055</v>
      </c>
      <c r="R143" s="45"/>
      <c r="S143" s="45" t="s">
        <v>5251</v>
      </c>
    </row>
    <row r="144" spans="1:19" ht="36" x14ac:dyDescent="0.2">
      <c r="A144" s="64">
        <v>136</v>
      </c>
      <c r="B144" s="46">
        <v>45512</v>
      </c>
      <c r="C144" s="47">
        <v>45976</v>
      </c>
      <c r="D144" s="48">
        <v>1</v>
      </c>
      <c r="E144" s="48">
        <v>81636002</v>
      </c>
      <c r="F144" s="49" t="s">
        <v>4681</v>
      </c>
      <c r="G144" s="170">
        <v>113610005</v>
      </c>
      <c r="H144" s="132" t="str">
        <f t="shared" si="10"/>
        <v>RVF 10032 VINERA</v>
      </c>
      <c r="I144" s="50" t="s">
        <v>1556</v>
      </c>
      <c r="J144" s="53" t="s">
        <v>41</v>
      </c>
      <c r="K144" s="50" t="s">
        <v>64</v>
      </c>
      <c r="L144" s="50" t="s">
        <v>1547</v>
      </c>
      <c r="M144" s="49" t="s">
        <v>5252</v>
      </c>
      <c r="N144" s="54">
        <v>18.75</v>
      </c>
      <c r="O144" s="169" t="s">
        <v>5253</v>
      </c>
      <c r="P144" s="55" t="s">
        <v>5210</v>
      </c>
      <c r="Q144" s="45">
        <v>994058325</v>
      </c>
      <c r="R144" s="45"/>
      <c r="S144" s="45" t="s">
        <v>5254</v>
      </c>
    </row>
    <row r="145" spans="1:19" ht="42" x14ac:dyDescent="0.2">
      <c r="A145" s="64">
        <v>137</v>
      </c>
      <c r="B145" s="46">
        <v>45615</v>
      </c>
      <c r="C145" s="47">
        <v>45976</v>
      </c>
      <c r="D145" s="48">
        <v>1</v>
      </c>
      <c r="E145" s="48">
        <v>83340602</v>
      </c>
      <c r="F145" s="49" t="s">
        <v>1117</v>
      </c>
      <c r="G145" s="170">
        <v>41560061</v>
      </c>
      <c r="H145" s="132" t="str">
        <f t="shared" si="10"/>
        <v>HLB 830 INOX HORNO ELEC</v>
      </c>
      <c r="I145" s="50" t="s">
        <v>3748</v>
      </c>
      <c r="J145" s="53" t="s">
        <v>41</v>
      </c>
      <c r="K145" s="50" t="s">
        <v>64</v>
      </c>
      <c r="L145" s="50" t="s">
        <v>3743</v>
      </c>
      <c r="M145" s="49" t="s">
        <v>5255</v>
      </c>
      <c r="N145" s="54">
        <v>15</v>
      </c>
      <c r="O145" s="169" t="s">
        <v>5256</v>
      </c>
      <c r="P145" s="55" t="s">
        <v>5257</v>
      </c>
      <c r="Q145" s="45">
        <v>987008849</v>
      </c>
      <c r="R145" s="45"/>
      <c r="S145" s="45" t="s">
        <v>3741</v>
      </c>
    </row>
    <row r="146" spans="1:19" ht="42" x14ac:dyDescent="0.2">
      <c r="A146" s="64">
        <v>138</v>
      </c>
      <c r="B146" s="46">
        <v>45775</v>
      </c>
      <c r="C146" s="47">
        <v>45977</v>
      </c>
      <c r="D146" s="48">
        <v>1</v>
      </c>
      <c r="E146" s="48">
        <v>83340602</v>
      </c>
      <c r="F146" s="49" t="s">
        <v>5258</v>
      </c>
      <c r="G146" s="170">
        <v>111000051</v>
      </c>
      <c r="H146" s="132" t="str">
        <f t="shared" si="10"/>
        <v>HLB 8416 "AIR FRY" - HORNO ELEC</v>
      </c>
      <c r="I146" s="50" t="s">
        <v>3135</v>
      </c>
      <c r="J146" s="53" t="s">
        <v>41</v>
      </c>
      <c r="K146" s="50" t="s">
        <v>64</v>
      </c>
      <c r="L146" s="50" t="s">
        <v>5259</v>
      </c>
      <c r="M146" s="49" t="s">
        <v>4689</v>
      </c>
      <c r="N146" s="54">
        <v>15</v>
      </c>
      <c r="O146" s="169" t="s">
        <v>5260</v>
      </c>
      <c r="P146" s="55" t="s">
        <v>5261</v>
      </c>
      <c r="Q146" s="45">
        <v>984616503</v>
      </c>
      <c r="R146" s="45"/>
      <c r="S146" s="45" t="s">
        <v>5262</v>
      </c>
    </row>
    <row r="147" spans="1:19" ht="42" x14ac:dyDescent="0.2">
      <c r="A147" s="64">
        <v>139</v>
      </c>
      <c r="B147" s="46">
        <v>45919</v>
      </c>
      <c r="C147" s="47">
        <v>45977</v>
      </c>
      <c r="D147" s="48">
        <v>1</v>
      </c>
      <c r="E147" s="48">
        <v>60803327</v>
      </c>
      <c r="F147" s="49" t="s">
        <v>5263</v>
      </c>
      <c r="G147" s="170">
        <v>112500049</v>
      </c>
      <c r="H147" s="132" t="str">
        <f t="shared" si="10"/>
        <v>IZS 86630 MST COCINA INDUCCION</v>
      </c>
      <c r="I147" s="50" t="s">
        <v>4925</v>
      </c>
      <c r="J147" s="53" t="s">
        <v>41</v>
      </c>
      <c r="K147" s="50" t="s">
        <v>64</v>
      </c>
      <c r="L147" s="50" t="s">
        <v>4921</v>
      </c>
      <c r="M147" s="49" t="s">
        <v>5264</v>
      </c>
      <c r="N147" s="54">
        <v>12.5</v>
      </c>
      <c r="O147" s="169" t="s">
        <v>5265</v>
      </c>
      <c r="P147" s="55" t="s">
        <v>4924</v>
      </c>
      <c r="Q147" s="45">
        <v>996123320</v>
      </c>
      <c r="R147" s="45"/>
      <c r="S147" s="45" t="s">
        <v>4919</v>
      </c>
    </row>
    <row r="148" spans="1:19" ht="42" x14ac:dyDescent="0.2">
      <c r="A148" s="64">
        <v>140</v>
      </c>
      <c r="B148" s="46">
        <v>45949</v>
      </c>
      <c r="C148" s="47">
        <v>45978</v>
      </c>
      <c r="D148" s="48">
        <v>1</v>
      </c>
      <c r="E148" s="48">
        <v>81742384</v>
      </c>
      <c r="F148" s="49" t="s">
        <v>5266</v>
      </c>
      <c r="G148" s="170">
        <v>114270008</v>
      </c>
      <c r="H148" s="132" t="str">
        <f t="shared" ref="H148" si="11">VLOOKUP(G148,PROD,2,FALSE)</f>
        <v>LAVAVAJILLAS DFI 46900 120 60 WH</v>
      </c>
      <c r="I148" s="50" t="s">
        <v>5228</v>
      </c>
      <c r="J148" s="53" t="s">
        <v>41</v>
      </c>
      <c r="K148" s="50" t="s">
        <v>64</v>
      </c>
      <c r="L148" s="50" t="s">
        <v>5229</v>
      </c>
      <c r="M148" s="49" t="s">
        <v>5267</v>
      </c>
      <c r="N148" s="54">
        <v>18.75</v>
      </c>
      <c r="O148" s="169" t="s">
        <v>5231</v>
      </c>
      <c r="P148" s="55" t="s">
        <v>5232</v>
      </c>
      <c r="Q148" s="45">
        <v>997439434</v>
      </c>
      <c r="R148" s="45"/>
      <c r="S148" s="45" t="s">
        <v>5233</v>
      </c>
    </row>
  </sheetData>
  <phoneticPr fontId="24" type="noConversion"/>
  <hyperlinks>
    <hyperlink ref="P9" r:id="rId1" xr:uid="{EE4E0092-93D0-7643-A592-D19FE76207F1}"/>
    <hyperlink ref="P10" r:id="rId2" xr:uid="{54806630-2120-3344-9CB6-039358A04782}"/>
    <hyperlink ref="P11" r:id="rId3" xr:uid="{C7991A2D-D392-E24B-B567-B4F9ACF9F2C6}"/>
    <hyperlink ref="P12" r:id="rId4" xr:uid="{30ADE725-EC8C-6143-ADCB-7D8A45CB2833}"/>
    <hyperlink ref="P13" r:id="rId5" xr:uid="{3BAF763C-2A81-ED4A-90A1-9B6C2B9F79FB}"/>
    <hyperlink ref="P14" r:id="rId6" xr:uid="{70052DF3-1ADA-F449-A594-7F49E37DE5E1}"/>
    <hyperlink ref="P15" r:id="rId7" xr:uid="{0D5EA21A-EB20-0A4F-A13C-566CEFCE3DB0}"/>
    <hyperlink ref="P16" r:id="rId8" xr:uid="{C66F49F6-0C03-8D48-B039-23D63EC652FA}"/>
    <hyperlink ref="P17" r:id="rId9" xr:uid="{81C3437B-CB4A-4D40-A766-FF571082E6E0}"/>
    <hyperlink ref="P18" r:id="rId10" xr:uid="{2E2CA7E1-6C20-B449-A3D1-FB19286A57E8}"/>
    <hyperlink ref="P20" r:id="rId11" xr:uid="{52BD6005-92D7-D64C-B246-9164F13D1370}"/>
    <hyperlink ref="P21" r:id="rId12" xr:uid="{0D15A00B-4BFF-C14C-8D27-DAD184632B9D}"/>
    <hyperlink ref="P22" r:id="rId13" xr:uid="{F7DE8504-AF37-A44D-9AE5-61B90CFCE3B7}"/>
    <hyperlink ref="P23" r:id="rId14" xr:uid="{13E191CC-549D-1649-BE5B-0BB077A7EBA5}"/>
    <hyperlink ref="P24" r:id="rId15" xr:uid="{8311C824-499A-764A-8677-F48DA539D9F8}"/>
    <hyperlink ref="P25" r:id="rId16" xr:uid="{7D34E359-B7B9-794E-B5A5-343C61D8297D}"/>
    <hyperlink ref="P26" r:id="rId17" xr:uid="{A977E62E-F944-5B4A-AB17-39516B4E4EA9}"/>
    <hyperlink ref="P27" r:id="rId18" xr:uid="{DE7604DB-6288-C741-A03F-D2A8E906C9EC}"/>
    <hyperlink ref="P28" r:id="rId19" xr:uid="{5D3C6CB1-A125-154E-BEF4-D7CEF02B6F91}"/>
    <hyperlink ref="P29" r:id="rId20" xr:uid="{B26F4ECD-5093-554F-A086-AACB65DC2B6D}"/>
    <hyperlink ref="P30" r:id="rId21" xr:uid="{6F09820E-C1C0-1944-9D0A-1FB8974B362F}"/>
    <hyperlink ref="P32" r:id="rId22" xr:uid="{11F73117-2C26-5A4E-A458-E2A14B3E754F}"/>
    <hyperlink ref="P33" r:id="rId23" xr:uid="{96758570-1F79-3F49-B08A-34BD70B48153}"/>
    <hyperlink ref="P35" r:id="rId24" xr:uid="{3FCB19AB-5FCF-7649-A662-929FCA29BBF5}"/>
    <hyperlink ref="P36" r:id="rId25" xr:uid="{056A3EF8-416B-084A-AC24-551FEEE5D1A0}"/>
    <hyperlink ref="P38" r:id="rId26" xr:uid="{EF5E018A-2D4E-8B44-8835-7209F223DEE3}"/>
    <hyperlink ref="P40" r:id="rId27" xr:uid="{15244FE1-7725-E24A-9C39-6D259F45384A}"/>
    <hyperlink ref="P41" r:id="rId28" xr:uid="{7A0F4EE5-02A2-3E43-A19D-6A33CE67B928}"/>
    <hyperlink ref="P42" r:id="rId29" xr:uid="{B2407142-6DBB-C546-8FFB-EB90AC18B456}"/>
    <hyperlink ref="P44" r:id="rId30" xr:uid="{399688E7-4DF2-1143-8348-181AF4CAB182}"/>
    <hyperlink ref="P45" r:id="rId31" xr:uid="{4F76ADE4-9EC0-3749-A2D6-2BF5AC7A9298}"/>
    <hyperlink ref="P47" r:id="rId32" xr:uid="{815F67AD-7439-E845-9C34-CC3B0D318B68}"/>
    <hyperlink ref="P48" r:id="rId33" xr:uid="{B98FC032-B53D-1D41-95B2-73650D8E3946}"/>
    <hyperlink ref="P49" r:id="rId34" xr:uid="{B56FB5C7-D9F0-624B-8C96-A8B8C812875A}"/>
    <hyperlink ref="P51" r:id="rId35" xr:uid="{EF2862DE-A8F2-8045-8FFC-87C9A636BE62}"/>
    <hyperlink ref="P52" r:id="rId36" xr:uid="{709661CF-A790-7648-AF7E-C12C206BFAAD}"/>
    <hyperlink ref="P53" r:id="rId37" xr:uid="{5591791A-1E40-6D40-946D-6E98C8E6A72D}"/>
    <hyperlink ref="P54" r:id="rId38" xr:uid="{7344F2E2-653F-3640-882C-9A6A63E4D9E4}"/>
    <hyperlink ref="P43" r:id="rId39" xr:uid="{FD201B31-E43F-1E43-B656-12DC6E8E8FB1}"/>
    <hyperlink ref="P46" r:id="rId40" xr:uid="{9408A1EC-80AB-6041-B59A-AEA84DD815F9}"/>
    <hyperlink ref="P50" r:id="rId41" xr:uid="{8DC12BBD-B84A-334F-8661-441823E82E11}"/>
    <hyperlink ref="P31" r:id="rId42" xr:uid="{EB5BE42E-E749-574F-9C42-EAB1757F1108}"/>
    <hyperlink ref="P34" r:id="rId43" xr:uid="{92E5B3AA-41D2-A247-856C-E932EFFA602F}"/>
    <hyperlink ref="P37" r:id="rId44" xr:uid="{A78C1DB4-FFEC-5D45-9C36-979F8FDE1729}"/>
    <hyperlink ref="P39" r:id="rId45" xr:uid="{31817E0B-1340-CE4D-9E12-B6ABEEEC7985}"/>
    <hyperlink ref="P55" r:id="rId46" xr:uid="{82EC2AC1-5B32-6B43-B025-1285BA156821}"/>
    <hyperlink ref="P56" r:id="rId47" xr:uid="{DD86DA99-7729-4F4E-8ECF-FD7E3D0B7E4A}"/>
    <hyperlink ref="P57" r:id="rId48" xr:uid="{E71DFA5D-3ED5-CB4D-B285-C34CC3DCF54F}"/>
    <hyperlink ref="P58" r:id="rId49" xr:uid="{AA1F3F28-1C30-F349-9828-BA0DBBB3AA7B}"/>
    <hyperlink ref="P59" r:id="rId50" xr:uid="{37405B00-0E84-1146-A04C-98E134B91416}"/>
    <hyperlink ref="P60" r:id="rId51" xr:uid="{023B8D13-6115-A74B-8C6B-3F4A18EE2364}"/>
    <hyperlink ref="P61" r:id="rId52" xr:uid="{07CA6974-3CBB-4346-B067-F02CB58EA2B2}"/>
    <hyperlink ref="P62" r:id="rId53" xr:uid="{CFD2B108-721B-2B4C-9E8B-C71F0D0EC975}"/>
    <hyperlink ref="P63" r:id="rId54" xr:uid="{AC352D20-4934-DC49-B789-A23947F7E56B}"/>
    <hyperlink ref="P64" r:id="rId55" xr:uid="{A8CD6172-F50E-3749-B6B8-3DDED8A0CFFC}"/>
    <hyperlink ref="P65" r:id="rId56" xr:uid="{EB055167-B6A6-C041-A0A9-AED360138365}"/>
    <hyperlink ref="P66" r:id="rId57" xr:uid="{EAB445FB-FA5D-DD44-96DB-C8F6397FA598}"/>
    <hyperlink ref="P67" r:id="rId58" xr:uid="{8B686FB0-AD94-5D49-86F1-07359751F03C}"/>
    <hyperlink ref="P68" r:id="rId59" xr:uid="{1F6A2D32-8F7F-DF43-878D-A6D4A6B917BE}"/>
    <hyperlink ref="P69" r:id="rId60" xr:uid="{0B57E4EA-6A44-2842-BC22-F18D25C8A446}"/>
    <hyperlink ref="P70" r:id="rId61" xr:uid="{D3AE55F1-15C3-7A40-8280-E4D6FE020BB0}"/>
    <hyperlink ref="P72" r:id="rId62" xr:uid="{531226AB-E779-4D48-AA6E-99EB5AF591AF}"/>
    <hyperlink ref="P73" r:id="rId63" xr:uid="{876C5AC5-F721-3846-8735-96D36E2532D3}"/>
    <hyperlink ref="P74" r:id="rId64" xr:uid="{C15CCC00-5C40-9C46-8185-265023998866}"/>
    <hyperlink ref="P75" r:id="rId65" xr:uid="{78EE9CC9-2011-B048-93BF-09A525FABC64}"/>
    <hyperlink ref="P76" r:id="rId66" xr:uid="{6F883557-63B7-7942-913F-7773EA804170}"/>
    <hyperlink ref="P77" r:id="rId67" xr:uid="{A5F546F3-A0F4-9047-8319-99047BDA6814}"/>
    <hyperlink ref="P84" r:id="rId68" xr:uid="{7A21F3D6-88D2-C54A-8DF4-D259432C3B74}"/>
    <hyperlink ref="P83" r:id="rId69" xr:uid="{0E270437-F7C4-8045-8045-17D5A4933DCF}"/>
    <hyperlink ref="P82" r:id="rId70" xr:uid="{93D9BC7F-12BC-7742-86AC-CE40A749CCCC}"/>
    <hyperlink ref="P81" r:id="rId71" xr:uid="{189F8445-C7F7-E24E-925C-150F5C789E64}"/>
    <hyperlink ref="P80" r:id="rId72" xr:uid="{D19EEF69-45E3-8646-9784-65EBB373B260}"/>
    <hyperlink ref="P79" r:id="rId73" xr:uid="{9685328E-5D2E-AC40-9E44-93B38189D089}"/>
    <hyperlink ref="P78" r:id="rId74" xr:uid="{F4A8655F-8AE7-6548-A502-6F4CD6898034}"/>
    <hyperlink ref="P89" r:id="rId75" xr:uid="{80C55424-433B-8E41-AE78-EEC6DE3CD644}"/>
    <hyperlink ref="P90" r:id="rId76" xr:uid="{EAC7CB64-3B19-EE4E-A68A-CD64320D1A55}"/>
    <hyperlink ref="P85" r:id="rId77" xr:uid="{D168FD60-F7C5-2C48-B4E4-4923093DF2C1}"/>
    <hyperlink ref="P86" r:id="rId78" xr:uid="{BD1E309C-6B37-2942-9B97-EED1868848D2}"/>
    <hyperlink ref="P87" r:id="rId79" xr:uid="{C4F599D7-7EDF-B44D-81DE-257DC22DD94A}"/>
    <hyperlink ref="P88" r:id="rId80" xr:uid="{F39BB80F-0D81-FF47-A3FC-D4BDC6F210BE}"/>
    <hyperlink ref="P91" r:id="rId81" xr:uid="{9C09F03F-A1EE-8B46-A1F6-C088CDF47703}"/>
    <hyperlink ref="P92" r:id="rId82" xr:uid="{39457B63-5550-8944-913E-826D8CEE4BA0}"/>
    <hyperlink ref="P93" r:id="rId83" xr:uid="{D23AB9C8-1A3D-004A-A53C-6345BF4153D5}"/>
    <hyperlink ref="P94" r:id="rId84" xr:uid="{DF2A9A27-9C27-DB4A-BDFD-E49CF0CFC07B}"/>
    <hyperlink ref="P95" r:id="rId85" xr:uid="{20AEFAF8-4615-614D-AEB3-37C8AD5D684B}"/>
    <hyperlink ref="P96" r:id="rId86" xr:uid="{7401EB48-8A5A-B344-AEA8-DC2E3C9A2B3A}"/>
    <hyperlink ref="P97" r:id="rId87" xr:uid="{6FB5E880-9C8E-7D4A-9F16-55E0EF9C33C4}"/>
    <hyperlink ref="P98" r:id="rId88" xr:uid="{C06B3966-1381-E84E-846C-2B631085BBB6}"/>
    <hyperlink ref="P99" r:id="rId89" xr:uid="{A063F583-E8A3-A64C-8E0A-0D2755FBC083}"/>
    <hyperlink ref="P100" r:id="rId90" xr:uid="{59B2B343-86A8-BB4B-B408-2C4A23893CE9}"/>
    <hyperlink ref="P101" r:id="rId91" display="mailto:XICIRUBLA84@HOTMAIL.COM" xr:uid="{C2FE9D3E-4BFF-B241-B6A7-8B5CC5E10945}"/>
    <hyperlink ref="P102" r:id="rId92" display="mailto:PAZREYESCORDERO@HOTMAIL.COM" xr:uid="{968883CB-34AC-084D-8067-9094CE5AB92A}"/>
    <hyperlink ref="P103" r:id="rId93" display="mailto:HERMAGMASACHE@HOTMAIL.COM" xr:uid="{F09282E2-E4D8-FF40-AFCE-74FDFFD16CC3}"/>
    <hyperlink ref="P104" r:id="rId94" display="mailto:JJ.ARTEAGA58@GMAIL.COM" xr:uid="{084A8A3F-3F72-9443-98AF-C19B1E83137F}"/>
    <hyperlink ref="P105" r:id="rId95" display="mailto:DAVEASTUD@GMAIL.COM" xr:uid="{A4F50C41-3739-5845-8290-52DDE5AE18CE}"/>
    <hyperlink ref="P106" r:id="rId96" display="mailto:CECIOLIVARES24@GMAIL.COM" xr:uid="{87812157-F916-624B-86BC-81EA15CDBD6F}"/>
    <hyperlink ref="P107" r:id="rId97" display="mailto:ADRIANHERAS@ICLOUD.COM" xr:uid="{C9381521-EA8B-BD41-BC91-0A8D1F406A0A}"/>
    <hyperlink ref="P109" r:id="rId98" display="mailto:VENTAS@COMERCIALSOLIS.COM.EC" xr:uid="{D43F265D-94C7-1D45-8750-E0239AE6DC7C}"/>
    <hyperlink ref="P110" r:id="rId99" display="mailto:VENTAS@COMERCIALSOLIS.COM.EC" xr:uid="{16319E4F-FDF1-7347-ADE8-31BA867F163B}"/>
    <hyperlink ref="P111" r:id="rId100" xr:uid="{D4BF5428-AF5F-5347-90FD-B38EC19B0012}"/>
    <hyperlink ref="P112" r:id="rId101" xr:uid="{62C97B09-7A70-9540-AA08-71C3A3C059ED}"/>
    <hyperlink ref="P116" r:id="rId102" xr:uid="{87CB598B-33C9-6840-AEA4-037C1CE94B51}"/>
    <hyperlink ref="P117" r:id="rId103" xr:uid="{6C6A3772-8398-F042-AA07-326CEA0E8F33}"/>
    <hyperlink ref="P118" r:id="rId104" xr:uid="{5779C730-7782-2F4A-A506-DFA33135AA05}"/>
    <hyperlink ref="P119" r:id="rId105" xr:uid="{1F953C1C-C485-604F-AFFB-40A836E76BD2}"/>
    <hyperlink ref="P120" r:id="rId106" xr:uid="{DF1D61EC-24B6-A84B-BDE7-FAAEA819F58D}"/>
    <hyperlink ref="P121" r:id="rId107" xr:uid="{CDDAA724-68FE-C54C-89DB-B303EF1F7504}"/>
    <hyperlink ref="P122" r:id="rId108" xr:uid="{E61AD544-87AB-7849-8CCC-521ACFA48C3D}"/>
    <hyperlink ref="P124" r:id="rId109" xr:uid="{9D957E20-F0B4-4044-AC79-5CD9A4E9CB57}"/>
    <hyperlink ref="P126" r:id="rId110" xr:uid="{90667242-099E-494A-B8B3-8537C03A50BA}"/>
    <hyperlink ref="P127" r:id="rId111" xr:uid="{21D4A956-3449-A945-B64D-3341EFEDDFA7}"/>
    <hyperlink ref="P114" r:id="rId112" xr:uid="{BCB2B3E2-605B-3840-8A34-4159D9DC3E11}"/>
    <hyperlink ref="P113" r:id="rId113" xr:uid="{540E5891-B960-C049-BE56-D96DE75A7DCB}"/>
    <hyperlink ref="P123" r:id="rId114" xr:uid="{15EEF56B-C1A6-734E-B5D6-02DFF55211CA}"/>
    <hyperlink ref="P125" r:id="rId115" xr:uid="{8F65325E-2091-3245-91B9-BC17B8457573}"/>
    <hyperlink ref="P128" r:id="rId116" xr:uid="{10B0ED76-0DE0-CF4C-8528-064FA1698001}"/>
    <hyperlink ref="P129" r:id="rId117" xr:uid="{38428E3A-27A1-E54E-867E-1AF2EE5B6BBA}"/>
    <hyperlink ref="P115" r:id="rId118" xr:uid="{C4F2C47A-0155-B444-85CE-FAD540F7C815}"/>
    <hyperlink ref="P130" r:id="rId119" xr:uid="{192ECE3D-A864-9D42-A79C-C07EEA90CC77}"/>
    <hyperlink ref="P132" r:id="rId120" xr:uid="{2E5DD7B7-25C9-DC45-A0E5-24388C9C12F8}"/>
    <hyperlink ref="P133" r:id="rId121" xr:uid="{FF2A0B5D-FF29-584D-A8B2-BEE58FAF2DB8}"/>
    <hyperlink ref="P134" r:id="rId122" xr:uid="{BB35159D-4834-C049-BBE6-CE1DFD1F2736}"/>
    <hyperlink ref="P136" r:id="rId123" xr:uid="{6D6FD03A-EC84-1D42-A7E2-9D5411B66BEC}"/>
    <hyperlink ref="P137" r:id="rId124" xr:uid="{157CCE20-87FA-364D-85BB-E5D3703F3830}"/>
    <hyperlink ref="P139" r:id="rId125" xr:uid="{B827A936-BA3D-3843-B787-204D07D8601A}"/>
    <hyperlink ref="P142" r:id="rId126" xr:uid="{E14DDE04-1200-7E45-8ABF-192786B2003C}"/>
    <hyperlink ref="P143" r:id="rId127" xr:uid="{6428910C-EC40-4140-9801-58AAD72B2770}"/>
    <hyperlink ref="P144" r:id="rId128" xr:uid="{70F922B5-DAB7-C744-8BA3-BF04D1F47982}"/>
    <hyperlink ref="P145" r:id="rId129" xr:uid="{6ABA42DE-1209-3D4A-8670-ED89DF8C25FB}"/>
    <hyperlink ref="P146" r:id="rId130" xr:uid="{3918A323-5BE5-A040-A5FC-C97095C08D97}"/>
    <hyperlink ref="P147" r:id="rId131" xr:uid="{A4A629AF-99D3-E84E-A061-1B44735AAC06}"/>
    <hyperlink ref="P138" r:id="rId132" xr:uid="{AC331DDB-9FDC-C146-A03B-D400E989AB51}"/>
    <hyperlink ref="P131" r:id="rId133" xr:uid="{39E90A28-ECD3-874B-B394-076A99BD71CA}"/>
    <hyperlink ref="P135" r:id="rId134" xr:uid="{568CA0FD-200D-8744-BB6C-4E0BFB141FFB}"/>
    <hyperlink ref="P140" r:id="rId135" xr:uid="{CA4EF334-FACC-AE4D-AC7E-F6A1DBFA02B6}"/>
    <hyperlink ref="P141" r:id="rId136" xr:uid="{22A975E5-8267-0647-AE4D-AA587ECAF2CF}"/>
    <hyperlink ref="P148" r:id="rId137" xr:uid="{152D6B32-6E8A-4F44-B902-34D17EEAD6EA}"/>
  </hyperlinks>
  <pageMargins left="0.7" right="0.7" top="0.75" bottom="0.75" header="0.3" footer="0.3"/>
  <pageSetup paperSize="9" orientation="portrait" horizontalDpi="0" verticalDpi="0" r:id="rId138"/>
  <drawing r:id="rId1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90"/>
  <sheetViews>
    <sheetView topLeftCell="A45" zoomScale="113" zoomScaleNormal="113" workbookViewId="0">
      <selection activeCell="U4" sqref="U4"/>
    </sheetView>
  </sheetViews>
  <sheetFormatPr baseColWidth="10" defaultRowHeight="15" customHeight="1" x14ac:dyDescent="0.2"/>
  <cols>
    <col min="1" max="1" width="3.6640625" style="159" customWidth="1"/>
    <col min="2" max="2" width="11.5" style="159" bestFit="1" customWidth="1"/>
    <col min="3" max="3" width="27.6640625" style="159" customWidth="1"/>
    <col min="4" max="4" width="20.5" style="159" customWidth="1"/>
    <col min="5" max="5" width="12.6640625" style="159" customWidth="1"/>
    <col min="6" max="6" width="33" style="159" customWidth="1"/>
    <col min="7" max="7" width="14.6640625" style="159" customWidth="1"/>
    <col min="8" max="8" width="8.1640625" style="159" customWidth="1"/>
    <col min="9" max="9" width="8.5" style="159" customWidth="1"/>
    <col min="10" max="10" width="9" style="159" customWidth="1"/>
    <col min="11" max="11" width="10.33203125" style="159" customWidth="1"/>
    <col min="12" max="12" width="27.33203125" style="159" customWidth="1"/>
    <col min="13" max="13" width="29" style="159" customWidth="1"/>
    <col min="14" max="14" width="12.33203125" style="159" bestFit="1" customWidth="1"/>
    <col min="15" max="15" width="14.33203125" style="159" customWidth="1"/>
    <col min="16" max="16" width="22.1640625" style="159" customWidth="1"/>
    <col min="17" max="17" width="8.1640625" style="159" customWidth="1"/>
    <col min="18" max="18" width="6.1640625" style="159" customWidth="1"/>
    <col min="19" max="19" width="20.1640625" style="159" customWidth="1"/>
    <col min="20" max="20" width="18" style="159" customWidth="1"/>
    <col min="21" max="21" width="32.33203125" style="159" customWidth="1"/>
    <col min="22" max="16384" width="10.83203125" style="159"/>
  </cols>
  <sheetData>
    <row r="3" spans="1:21" ht="15" customHeight="1" x14ac:dyDescent="0.2">
      <c r="A3" s="446"/>
      <c r="B3" s="447"/>
      <c r="C3" s="448" t="s">
        <v>42</v>
      </c>
      <c r="D3" s="447"/>
      <c r="E3" s="441"/>
      <c r="F3" s="447"/>
      <c r="G3" s="449"/>
      <c r="H3" s="447"/>
      <c r="I3" s="447"/>
      <c r="J3" s="447"/>
      <c r="K3" s="450"/>
      <c r="L3" s="450"/>
      <c r="M3" s="447"/>
      <c r="N3" s="447"/>
      <c r="O3" s="451"/>
      <c r="P3" s="447"/>
      <c r="Q3" s="447"/>
      <c r="R3" s="447"/>
      <c r="S3" s="447"/>
      <c r="T3" s="447"/>
      <c r="U3" s="447"/>
    </row>
    <row r="4" spans="1:21" ht="15" customHeight="1" x14ac:dyDescent="0.2">
      <c r="A4" s="446"/>
      <c r="B4" s="447"/>
      <c r="C4" s="452" t="s">
        <v>43</v>
      </c>
      <c r="D4" s="447"/>
      <c r="E4" s="447"/>
      <c r="F4" s="447"/>
      <c r="G4" s="449"/>
      <c r="H4" s="447"/>
      <c r="I4" s="447" t="s">
        <v>44</v>
      </c>
      <c r="J4" s="447"/>
      <c r="K4" s="450"/>
      <c r="L4" s="450"/>
      <c r="M4" s="447" t="s">
        <v>5836</v>
      </c>
      <c r="N4" s="447"/>
      <c r="O4" s="451"/>
      <c r="P4" s="447"/>
      <c r="Q4" s="446"/>
      <c r="R4" s="447"/>
      <c r="S4" s="447"/>
      <c r="T4" s="453"/>
      <c r="U4" s="453"/>
    </row>
    <row r="5" spans="1:21" ht="15" customHeight="1" x14ac:dyDescent="0.2">
      <c r="A5" s="447"/>
      <c r="B5" s="454" t="s">
        <v>2</v>
      </c>
      <c r="C5" s="454" t="s">
        <v>3</v>
      </c>
      <c r="D5" s="454" t="s">
        <v>4</v>
      </c>
      <c r="E5" s="454" t="s">
        <v>5</v>
      </c>
      <c r="F5" s="454" t="s">
        <v>6</v>
      </c>
      <c r="G5" s="454" t="s">
        <v>7</v>
      </c>
      <c r="H5" s="454" t="s">
        <v>8</v>
      </c>
      <c r="I5" s="454" t="s">
        <v>9</v>
      </c>
      <c r="J5" s="454" t="s">
        <v>10</v>
      </c>
      <c r="K5" s="455" t="s">
        <v>45</v>
      </c>
      <c r="L5" s="455" t="s">
        <v>12</v>
      </c>
      <c r="M5" s="455" t="s">
        <v>13</v>
      </c>
      <c r="N5" s="455" t="s">
        <v>14</v>
      </c>
      <c r="O5" s="456" t="s">
        <v>15</v>
      </c>
      <c r="P5" s="455" t="s">
        <v>46</v>
      </c>
      <c r="Q5" s="455" t="s">
        <v>47</v>
      </c>
      <c r="R5" s="457" t="s">
        <v>48</v>
      </c>
      <c r="S5" s="457" t="s">
        <v>19</v>
      </c>
      <c r="T5" s="458" t="s">
        <v>20</v>
      </c>
      <c r="U5" s="455" t="s">
        <v>49</v>
      </c>
    </row>
    <row r="6" spans="1:21" ht="15" customHeight="1" x14ac:dyDescent="0.2">
      <c r="A6" s="459">
        <v>1</v>
      </c>
      <c r="B6" s="460">
        <v>45649</v>
      </c>
      <c r="C6" s="461" t="s">
        <v>75</v>
      </c>
      <c r="D6" s="462" t="s">
        <v>76</v>
      </c>
      <c r="E6" s="462">
        <v>111570002</v>
      </c>
      <c r="F6" s="463" t="s">
        <v>73</v>
      </c>
      <c r="G6" s="462" t="s">
        <v>77</v>
      </c>
      <c r="H6" s="464" t="s">
        <v>41</v>
      </c>
      <c r="I6" s="465" t="s">
        <v>62</v>
      </c>
      <c r="J6" s="465" t="s">
        <v>63</v>
      </c>
      <c r="K6" s="460">
        <v>45663</v>
      </c>
      <c r="L6" s="461" t="s">
        <v>78</v>
      </c>
      <c r="M6" s="461" t="s">
        <v>79</v>
      </c>
      <c r="N6" s="466" t="s">
        <v>80</v>
      </c>
      <c r="O6" s="467">
        <v>29</v>
      </c>
      <c r="P6" s="461"/>
      <c r="Q6" s="461" t="s">
        <v>62</v>
      </c>
      <c r="R6" s="468"/>
      <c r="S6" s="462" t="s">
        <v>76</v>
      </c>
      <c r="T6" s="469" t="s">
        <v>81</v>
      </c>
      <c r="U6" s="470" t="s">
        <v>82</v>
      </c>
    </row>
    <row r="7" spans="1:21" ht="15" customHeight="1" x14ac:dyDescent="0.2">
      <c r="A7" s="459">
        <v>2</v>
      </c>
      <c r="B7" s="460">
        <v>45660</v>
      </c>
      <c r="C7" s="461" t="s">
        <v>83</v>
      </c>
      <c r="D7" s="462" t="s">
        <v>84</v>
      </c>
      <c r="E7" s="462">
        <v>111570003</v>
      </c>
      <c r="F7" s="463" t="s">
        <v>66</v>
      </c>
      <c r="G7" s="462" t="s">
        <v>85</v>
      </c>
      <c r="H7" s="464" t="s">
        <v>41</v>
      </c>
      <c r="I7" s="465" t="s">
        <v>62</v>
      </c>
      <c r="J7" s="465" t="s">
        <v>63</v>
      </c>
      <c r="K7" s="460">
        <v>45664</v>
      </c>
      <c r="L7" s="461" t="s">
        <v>86</v>
      </c>
      <c r="M7" s="461" t="s">
        <v>87</v>
      </c>
      <c r="N7" s="466" t="s">
        <v>88</v>
      </c>
      <c r="O7" s="467">
        <v>29</v>
      </c>
      <c r="P7" s="461"/>
      <c r="Q7" s="461" t="s">
        <v>62</v>
      </c>
      <c r="R7" s="468"/>
      <c r="S7" s="462" t="s">
        <v>84</v>
      </c>
      <c r="T7" s="469" t="s">
        <v>88</v>
      </c>
      <c r="U7" s="470" t="s">
        <v>89</v>
      </c>
    </row>
    <row r="8" spans="1:21" ht="15" customHeight="1" x14ac:dyDescent="0.2">
      <c r="A8" s="459">
        <v>3</v>
      </c>
      <c r="B8" s="460">
        <v>45664</v>
      </c>
      <c r="C8" s="461" t="s">
        <v>125</v>
      </c>
      <c r="D8" s="462" t="s">
        <v>180</v>
      </c>
      <c r="E8" s="462">
        <v>1115700003</v>
      </c>
      <c r="F8" s="463" t="s">
        <v>66</v>
      </c>
      <c r="G8" s="462" t="s">
        <v>181</v>
      </c>
      <c r="H8" s="464" t="s">
        <v>41</v>
      </c>
      <c r="I8" s="465" t="s">
        <v>62</v>
      </c>
      <c r="J8" s="465" t="s">
        <v>63</v>
      </c>
      <c r="K8" s="460">
        <v>45665</v>
      </c>
      <c r="L8" s="461" t="s">
        <v>182</v>
      </c>
      <c r="M8" s="461" t="s">
        <v>183</v>
      </c>
      <c r="N8" s="466" t="s">
        <v>184</v>
      </c>
      <c r="O8" s="467">
        <v>29</v>
      </c>
      <c r="P8" s="461" t="s">
        <v>70</v>
      </c>
      <c r="Q8" s="461" t="s">
        <v>62</v>
      </c>
      <c r="R8" s="468"/>
      <c r="S8" s="462" t="str">
        <f>D8</f>
        <v>043-905-000052666</v>
      </c>
      <c r="T8" s="469" t="s">
        <v>185</v>
      </c>
      <c r="U8" s="470" t="s">
        <v>186</v>
      </c>
    </row>
    <row r="9" spans="1:21" ht="15" customHeight="1" x14ac:dyDescent="0.2">
      <c r="A9" s="459">
        <v>4</v>
      </c>
      <c r="B9" s="460">
        <v>45667</v>
      </c>
      <c r="C9" s="461" t="s">
        <v>277</v>
      </c>
      <c r="D9" s="462"/>
      <c r="E9" s="462"/>
      <c r="F9" s="463" t="s">
        <v>73</v>
      </c>
      <c r="G9" s="462" t="s">
        <v>278</v>
      </c>
      <c r="H9" s="464" t="s">
        <v>41</v>
      </c>
      <c r="I9" s="465" t="s">
        <v>62</v>
      </c>
      <c r="J9" s="465" t="s">
        <v>63</v>
      </c>
      <c r="K9" s="460">
        <v>45667</v>
      </c>
      <c r="L9" s="461" t="s">
        <v>277</v>
      </c>
      <c r="M9" s="461" t="s">
        <v>279</v>
      </c>
      <c r="N9" s="466" t="s">
        <v>280</v>
      </c>
      <c r="O9" s="467">
        <v>29</v>
      </c>
      <c r="P9" s="461" t="s">
        <v>70</v>
      </c>
      <c r="Q9" s="461" t="s">
        <v>62</v>
      </c>
      <c r="R9" s="468"/>
      <c r="S9" s="462">
        <f t="shared" ref="S9" si="0">D9</f>
        <v>0</v>
      </c>
      <c r="T9" s="469" t="s">
        <v>281</v>
      </c>
      <c r="U9" s="470" t="s">
        <v>282</v>
      </c>
    </row>
    <row r="10" spans="1:21" ht="15" customHeight="1" x14ac:dyDescent="0.2">
      <c r="A10" s="459">
        <v>5</v>
      </c>
      <c r="B10" s="471">
        <v>45685</v>
      </c>
      <c r="C10" s="472" t="s">
        <v>161</v>
      </c>
      <c r="D10" s="473"/>
      <c r="E10" s="474">
        <v>111570002</v>
      </c>
      <c r="F10" s="475" t="s">
        <v>676</v>
      </c>
      <c r="G10" s="476" t="s">
        <v>677</v>
      </c>
      <c r="H10" s="477"/>
      <c r="I10" s="478" t="s">
        <v>62</v>
      </c>
      <c r="J10" s="478" t="s">
        <v>63</v>
      </c>
      <c r="K10" s="471">
        <v>45685</v>
      </c>
      <c r="L10" s="472" t="s">
        <v>678</v>
      </c>
      <c r="M10" s="479" t="s">
        <v>679</v>
      </c>
      <c r="N10" s="480">
        <v>993973913</v>
      </c>
      <c r="O10" s="481">
        <v>29</v>
      </c>
      <c r="P10" s="472" t="s">
        <v>70</v>
      </c>
      <c r="Q10" s="472" t="s">
        <v>64</v>
      </c>
      <c r="R10" s="482"/>
      <c r="S10" s="482"/>
      <c r="T10" s="483" t="s">
        <v>680</v>
      </c>
      <c r="U10" s="484" t="s">
        <v>681</v>
      </c>
    </row>
    <row r="11" spans="1:21" ht="15" customHeight="1" x14ac:dyDescent="0.2">
      <c r="A11" s="459">
        <v>6</v>
      </c>
      <c r="B11" s="471">
        <v>45685</v>
      </c>
      <c r="C11" s="472" t="s">
        <v>161</v>
      </c>
      <c r="D11" s="473"/>
      <c r="E11" s="485">
        <v>111570002</v>
      </c>
      <c r="F11" s="486" t="s">
        <v>66</v>
      </c>
      <c r="G11" s="487" t="s">
        <v>682</v>
      </c>
      <c r="H11" s="488"/>
      <c r="I11" s="489" t="s">
        <v>62</v>
      </c>
      <c r="J11" s="489" t="s">
        <v>63</v>
      </c>
      <c r="K11" s="490">
        <v>45685</v>
      </c>
      <c r="L11" s="491" t="s">
        <v>678</v>
      </c>
      <c r="M11" s="492" t="s">
        <v>679</v>
      </c>
      <c r="N11" s="493">
        <v>993973913</v>
      </c>
      <c r="O11" s="494">
        <v>29</v>
      </c>
      <c r="P11" s="491" t="s">
        <v>70</v>
      </c>
      <c r="Q11" s="491" t="s">
        <v>64</v>
      </c>
      <c r="R11" s="495"/>
      <c r="S11" s="495"/>
      <c r="T11" s="496" t="s">
        <v>680</v>
      </c>
      <c r="U11" s="497" t="s">
        <v>681</v>
      </c>
    </row>
    <row r="12" spans="1:21" ht="15" customHeight="1" x14ac:dyDescent="0.2">
      <c r="A12" s="459">
        <v>7</v>
      </c>
      <c r="B12" s="471">
        <v>45641</v>
      </c>
      <c r="C12" s="472" t="s">
        <v>125</v>
      </c>
      <c r="D12" s="473" t="s">
        <v>683</v>
      </c>
      <c r="E12" s="498">
        <v>111570002</v>
      </c>
      <c r="F12" s="499" t="s">
        <v>676</v>
      </c>
      <c r="G12" s="498" t="s">
        <v>684</v>
      </c>
      <c r="H12" s="500"/>
      <c r="I12" s="501" t="s">
        <v>62</v>
      </c>
      <c r="J12" s="501" t="s">
        <v>63</v>
      </c>
      <c r="K12" s="502">
        <v>45691</v>
      </c>
      <c r="L12" s="503" t="s">
        <v>685</v>
      </c>
      <c r="M12" s="503" t="s">
        <v>686</v>
      </c>
      <c r="N12" s="504">
        <v>964109673</v>
      </c>
      <c r="O12" s="505">
        <v>29</v>
      </c>
      <c r="P12" s="503" t="s">
        <v>69</v>
      </c>
      <c r="Q12" s="503" t="s">
        <v>64</v>
      </c>
      <c r="R12" s="506"/>
      <c r="S12" s="506" t="str">
        <f>+D12</f>
        <v>043-905-000048978</v>
      </c>
      <c r="T12" s="507">
        <v>105277271</v>
      </c>
      <c r="U12" s="508" t="s">
        <v>687</v>
      </c>
    </row>
    <row r="13" spans="1:21" ht="15" customHeight="1" x14ac:dyDescent="0.2">
      <c r="A13" s="459">
        <v>8</v>
      </c>
      <c r="B13" s="471">
        <v>45625</v>
      </c>
      <c r="C13" s="472" t="s">
        <v>187</v>
      </c>
      <c r="D13" s="473" t="s">
        <v>558</v>
      </c>
      <c r="E13" s="498">
        <v>111570002</v>
      </c>
      <c r="F13" s="499" t="s">
        <v>676</v>
      </c>
      <c r="G13" s="498" t="s">
        <v>688</v>
      </c>
      <c r="H13" s="500"/>
      <c r="I13" s="501" t="s">
        <v>62</v>
      </c>
      <c r="J13" s="501" t="s">
        <v>63</v>
      </c>
      <c r="K13" s="502">
        <v>45694</v>
      </c>
      <c r="L13" s="503" t="s">
        <v>560</v>
      </c>
      <c r="M13" s="503" t="s">
        <v>689</v>
      </c>
      <c r="N13" s="504">
        <v>985384847</v>
      </c>
      <c r="O13" s="505">
        <v>29</v>
      </c>
      <c r="P13" s="503" t="s">
        <v>69</v>
      </c>
      <c r="Q13" s="503" t="s">
        <v>64</v>
      </c>
      <c r="R13" s="506"/>
      <c r="S13" s="506" t="str">
        <f>D13</f>
        <v>040-104-000008328</v>
      </c>
      <c r="T13" s="507">
        <v>103817839</v>
      </c>
      <c r="U13" s="508" t="s">
        <v>690</v>
      </c>
    </row>
    <row r="14" spans="1:21" ht="15" customHeight="1" x14ac:dyDescent="0.2">
      <c r="A14" s="459">
        <v>9</v>
      </c>
      <c r="B14" s="471">
        <v>45694</v>
      </c>
      <c r="C14" s="472" t="s">
        <v>100</v>
      </c>
      <c r="D14" s="473"/>
      <c r="E14" s="498">
        <v>111570003</v>
      </c>
      <c r="F14" s="499" t="s">
        <v>66</v>
      </c>
      <c r="G14" s="498" t="s">
        <v>691</v>
      </c>
      <c r="H14" s="500"/>
      <c r="I14" s="501" t="s">
        <v>62</v>
      </c>
      <c r="J14" s="501" t="s">
        <v>63</v>
      </c>
      <c r="K14" s="502">
        <v>45694</v>
      </c>
      <c r="L14" s="503" t="s">
        <v>692</v>
      </c>
      <c r="M14" s="503" t="s">
        <v>693</v>
      </c>
      <c r="N14" s="504">
        <v>74114427</v>
      </c>
      <c r="O14" s="505">
        <v>29</v>
      </c>
      <c r="P14" s="503" t="s">
        <v>70</v>
      </c>
      <c r="Q14" s="503" t="s">
        <v>64</v>
      </c>
      <c r="R14" s="506"/>
      <c r="S14" s="506"/>
      <c r="T14" s="507">
        <v>104779830</v>
      </c>
      <c r="U14" s="508" t="s">
        <v>305</v>
      </c>
    </row>
    <row r="15" spans="1:21" ht="15" customHeight="1" x14ac:dyDescent="0.2">
      <c r="A15" s="459">
        <v>10</v>
      </c>
      <c r="B15" s="471">
        <v>45696</v>
      </c>
      <c r="C15" s="472" t="s">
        <v>161</v>
      </c>
      <c r="D15" s="473" t="s">
        <v>694</v>
      </c>
      <c r="E15" s="498">
        <v>111570002</v>
      </c>
      <c r="F15" s="499" t="s">
        <v>676</v>
      </c>
      <c r="G15" s="498" t="s">
        <v>695</v>
      </c>
      <c r="H15" s="500"/>
      <c r="I15" s="501" t="s">
        <v>62</v>
      </c>
      <c r="J15" s="501" t="s">
        <v>63</v>
      </c>
      <c r="K15" s="502">
        <v>45703</v>
      </c>
      <c r="L15" s="503" t="s">
        <v>696</v>
      </c>
      <c r="M15" s="503" t="s">
        <v>533</v>
      </c>
      <c r="N15" s="504">
        <v>991047765</v>
      </c>
      <c r="O15" s="505">
        <v>29</v>
      </c>
      <c r="P15" s="503" t="s">
        <v>69</v>
      </c>
      <c r="Q15" s="503" t="s">
        <v>64</v>
      </c>
      <c r="R15" s="506"/>
      <c r="S15" s="506" t="str">
        <f t="shared" ref="S15:S17" si="1">D15</f>
        <v>040-104-000009831</v>
      </c>
      <c r="T15" s="507">
        <v>103326898</v>
      </c>
      <c r="U15" s="508" t="s">
        <v>697</v>
      </c>
    </row>
    <row r="16" spans="1:21" ht="15" customHeight="1" x14ac:dyDescent="0.2">
      <c r="A16" s="459">
        <v>11</v>
      </c>
      <c r="B16" s="471">
        <v>45643</v>
      </c>
      <c r="C16" s="472" t="s">
        <v>125</v>
      </c>
      <c r="D16" s="473" t="s">
        <v>698</v>
      </c>
      <c r="E16" s="498">
        <v>111570002</v>
      </c>
      <c r="F16" s="499" t="s">
        <v>66</v>
      </c>
      <c r="G16" s="498" t="s">
        <v>699</v>
      </c>
      <c r="H16" s="500"/>
      <c r="I16" s="501" t="s">
        <v>62</v>
      </c>
      <c r="J16" s="501" t="s">
        <v>63</v>
      </c>
      <c r="K16" s="502">
        <v>45703</v>
      </c>
      <c r="L16" s="503" t="s">
        <v>700</v>
      </c>
      <c r="M16" s="503" t="s">
        <v>701</v>
      </c>
      <c r="N16" s="504">
        <v>998274028</v>
      </c>
      <c r="O16" s="505">
        <v>29</v>
      </c>
      <c r="P16" s="503" t="s">
        <v>69</v>
      </c>
      <c r="Q16" s="503" t="s">
        <v>64</v>
      </c>
      <c r="R16" s="506"/>
      <c r="S16" s="506" t="str">
        <f t="shared" si="1"/>
        <v>043-104-000005458</v>
      </c>
      <c r="T16" s="507">
        <v>104131727</v>
      </c>
      <c r="U16" s="508" t="s">
        <v>702</v>
      </c>
    </row>
    <row r="17" spans="1:21" ht="15" customHeight="1" x14ac:dyDescent="0.2">
      <c r="A17" s="459">
        <v>12</v>
      </c>
      <c r="B17" s="460">
        <v>45696</v>
      </c>
      <c r="C17" s="461" t="s">
        <v>161</v>
      </c>
      <c r="D17" s="473" t="s">
        <v>703</v>
      </c>
      <c r="E17" s="498">
        <v>111570003</v>
      </c>
      <c r="F17" s="499" t="s">
        <v>66</v>
      </c>
      <c r="G17" s="498" t="s">
        <v>704</v>
      </c>
      <c r="H17" s="500"/>
      <c r="I17" s="501" t="s">
        <v>62</v>
      </c>
      <c r="J17" s="501" t="s">
        <v>63</v>
      </c>
      <c r="K17" s="502">
        <v>45703</v>
      </c>
      <c r="L17" s="503" t="s">
        <v>705</v>
      </c>
      <c r="M17" s="503" t="s">
        <v>706</v>
      </c>
      <c r="N17" s="504">
        <v>987874835</v>
      </c>
      <c r="O17" s="505">
        <v>29</v>
      </c>
      <c r="P17" s="503" t="s">
        <v>69</v>
      </c>
      <c r="Q17" s="503" t="s">
        <v>64</v>
      </c>
      <c r="R17" s="506"/>
      <c r="S17" s="506" t="str">
        <f t="shared" si="1"/>
        <v>040-104-000009848</v>
      </c>
      <c r="T17" s="507">
        <v>105393904</v>
      </c>
      <c r="U17" s="508" t="s">
        <v>707</v>
      </c>
    </row>
    <row r="18" spans="1:21" ht="15" customHeight="1" x14ac:dyDescent="0.2">
      <c r="A18" s="459">
        <v>13</v>
      </c>
      <c r="B18" s="471">
        <v>45700</v>
      </c>
      <c r="C18" s="472" t="s">
        <v>125</v>
      </c>
      <c r="D18" s="476" t="s">
        <v>1160</v>
      </c>
      <c r="E18" s="476">
        <v>111570002</v>
      </c>
      <c r="F18" s="475" t="s">
        <v>66</v>
      </c>
      <c r="G18" s="476" t="s">
        <v>1161</v>
      </c>
      <c r="H18" s="477"/>
      <c r="I18" s="478" t="s">
        <v>64</v>
      </c>
      <c r="J18" s="478" t="s">
        <v>65</v>
      </c>
      <c r="K18" s="478">
        <v>45712</v>
      </c>
      <c r="L18" s="472" t="s">
        <v>1162</v>
      </c>
      <c r="M18" s="472" t="s">
        <v>1163</v>
      </c>
      <c r="N18" s="472">
        <v>969620107</v>
      </c>
      <c r="O18" s="481">
        <v>29</v>
      </c>
      <c r="P18" s="472" t="s">
        <v>1164</v>
      </c>
      <c r="Q18" s="472" t="s">
        <v>64</v>
      </c>
      <c r="R18" s="482">
        <v>0</v>
      </c>
      <c r="S18" s="482" t="str">
        <f>D18</f>
        <v>038-904-000188199</v>
      </c>
      <c r="T18" s="509">
        <v>1710801182</v>
      </c>
      <c r="U18" s="484" t="s">
        <v>1165</v>
      </c>
    </row>
    <row r="19" spans="1:21" ht="15" customHeight="1" x14ac:dyDescent="0.2">
      <c r="A19" s="459">
        <v>14</v>
      </c>
      <c r="B19" s="510">
        <v>45712</v>
      </c>
      <c r="C19" s="511" t="s">
        <v>161</v>
      </c>
      <c r="D19" s="473" t="s">
        <v>1166</v>
      </c>
      <c r="E19" s="474">
        <v>111570003</v>
      </c>
      <c r="F19" s="475" t="s">
        <v>66</v>
      </c>
      <c r="G19" s="473" t="s">
        <v>1167</v>
      </c>
      <c r="H19" s="512"/>
      <c r="I19" s="513" t="s">
        <v>64</v>
      </c>
      <c r="J19" s="465" t="s">
        <v>65</v>
      </c>
      <c r="K19" s="514">
        <v>45715</v>
      </c>
      <c r="L19" s="515" t="s">
        <v>1168</v>
      </c>
      <c r="M19" s="479" t="s">
        <v>1169</v>
      </c>
      <c r="N19" s="515">
        <v>984854758</v>
      </c>
      <c r="O19" s="516">
        <v>29</v>
      </c>
      <c r="P19" s="515" t="s">
        <v>1164</v>
      </c>
      <c r="Q19" s="461" t="s">
        <v>64</v>
      </c>
      <c r="R19" s="517">
        <v>0</v>
      </c>
      <c r="S19" s="482" t="str">
        <f t="shared" ref="S19:S24" si="2">D19</f>
        <v>040-104-000009993</v>
      </c>
      <c r="T19" s="518">
        <v>101031813</v>
      </c>
      <c r="U19" s="519" t="s">
        <v>1170</v>
      </c>
    </row>
    <row r="20" spans="1:21" ht="15" customHeight="1" x14ac:dyDescent="0.2">
      <c r="A20" s="459">
        <v>15</v>
      </c>
      <c r="B20" s="471">
        <v>45802</v>
      </c>
      <c r="C20" s="472" t="s">
        <v>100</v>
      </c>
      <c r="D20" s="476" t="s">
        <v>1171</v>
      </c>
      <c r="E20" s="476">
        <v>111570003</v>
      </c>
      <c r="F20" s="475" t="s">
        <v>66</v>
      </c>
      <c r="G20" s="476" t="s">
        <v>1172</v>
      </c>
      <c r="H20" s="477"/>
      <c r="I20" s="478" t="s">
        <v>64</v>
      </c>
      <c r="J20" s="478" t="s">
        <v>65</v>
      </c>
      <c r="K20" s="478">
        <v>45715</v>
      </c>
      <c r="L20" s="472" t="s">
        <v>1173</v>
      </c>
      <c r="M20" s="472" t="s">
        <v>328</v>
      </c>
      <c r="N20" s="472">
        <v>983549571</v>
      </c>
      <c r="O20" s="481">
        <v>29</v>
      </c>
      <c r="P20" s="472" t="s">
        <v>1164</v>
      </c>
      <c r="Q20" s="472" t="s">
        <v>64</v>
      </c>
      <c r="R20" s="482">
        <v>0</v>
      </c>
      <c r="S20" s="482" t="str">
        <f t="shared" si="2"/>
        <v>001-502-000000162</v>
      </c>
      <c r="T20" s="472">
        <v>300722907</v>
      </c>
      <c r="U20" s="484" t="s">
        <v>1174</v>
      </c>
    </row>
    <row r="21" spans="1:21" ht="15" customHeight="1" x14ac:dyDescent="0.2">
      <c r="A21" s="459">
        <v>16</v>
      </c>
      <c r="B21" s="471">
        <v>45723</v>
      </c>
      <c r="C21" s="472" t="s">
        <v>1175</v>
      </c>
      <c r="D21" s="476" t="s">
        <v>1176</v>
      </c>
      <c r="E21" s="476">
        <v>111570002</v>
      </c>
      <c r="F21" s="520" t="s">
        <v>676</v>
      </c>
      <c r="G21" s="476" t="s">
        <v>1177</v>
      </c>
      <c r="H21" s="477"/>
      <c r="I21" s="478" t="s">
        <v>64</v>
      </c>
      <c r="J21" s="478" t="s">
        <v>65</v>
      </c>
      <c r="K21" s="478">
        <v>45695</v>
      </c>
      <c r="L21" s="472" t="s">
        <v>1178</v>
      </c>
      <c r="M21" s="472" t="s">
        <v>1179</v>
      </c>
      <c r="N21" s="472">
        <v>963511443</v>
      </c>
      <c r="O21" s="481">
        <v>29</v>
      </c>
      <c r="P21" s="472" t="s">
        <v>70</v>
      </c>
      <c r="Q21" s="472" t="s">
        <v>64</v>
      </c>
      <c r="R21" s="482">
        <v>0</v>
      </c>
      <c r="S21" s="482" t="str">
        <f t="shared" si="2"/>
        <v>Sap Teka</v>
      </c>
      <c r="T21" s="509">
        <v>1714494646</v>
      </c>
      <c r="U21" s="484" t="s">
        <v>1180</v>
      </c>
    </row>
    <row r="22" spans="1:21" ht="15" customHeight="1" x14ac:dyDescent="0.2">
      <c r="A22" s="459">
        <v>17</v>
      </c>
      <c r="B22" s="471">
        <v>45723</v>
      </c>
      <c r="C22" s="472" t="s">
        <v>1175</v>
      </c>
      <c r="D22" s="476" t="s">
        <v>1176</v>
      </c>
      <c r="E22" s="476">
        <v>111570002</v>
      </c>
      <c r="F22" s="520" t="s">
        <v>676</v>
      </c>
      <c r="G22" s="476" t="s">
        <v>1181</v>
      </c>
      <c r="H22" s="477"/>
      <c r="I22" s="478" t="s">
        <v>64</v>
      </c>
      <c r="J22" s="478" t="s">
        <v>65</v>
      </c>
      <c r="K22" s="478">
        <v>45695</v>
      </c>
      <c r="L22" s="472" t="s">
        <v>1178</v>
      </c>
      <c r="M22" s="472" t="s">
        <v>1179</v>
      </c>
      <c r="N22" s="472">
        <v>963511443</v>
      </c>
      <c r="O22" s="481">
        <v>29</v>
      </c>
      <c r="P22" s="472" t="s">
        <v>70</v>
      </c>
      <c r="Q22" s="472" t="s">
        <v>64</v>
      </c>
      <c r="R22" s="482">
        <v>0</v>
      </c>
      <c r="S22" s="482" t="str">
        <f t="shared" si="2"/>
        <v>Sap Teka</v>
      </c>
      <c r="T22" s="509">
        <v>1714494646</v>
      </c>
      <c r="U22" s="484" t="s">
        <v>1180</v>
      </c>
    </row>
    <row r="23" spans="1:21" ht="15" customHeight="1" x14ac:dyDescent="0.2">
      <c r="A23" s="459">
        <v>18</v>
      </c>
      <c r="B23" s="471">
        <v>45723</v>
      </c>
      <c r="C23" s="472" t="s">
        <v>1175</v>
      </c>
      <c r="D23" s="476" t="s">
        <v>1176</v>
      </c>
      <c r="E23" s="476">
        <v>111570002</v>
      </c>
      <c r="F23" s="475" t="s">
        <v>66</v>
      </c>
      <c r="G23" s="476" t="s">
        <v>1182</v>
      </c>
      <c r="H23" s="477"/>
      <c r="I23" s="478" t="s">
        <v>64</v>
      </c>
      <c r="J23" s="478" t="s">
        <v>65</v>
      </c>
      <c r="K23" s="478">
        <v>45695</v>
      </c>
      <c r="L23" s="472" t="s">
        <v>1178</v>
      </c>
      <c r="M23" s="472" t="s">
        <v>1179</v>
      </c>
      <c r="N23" s="472">
        <v>963511443</v>
      </c>
      <c r="O23" s="481">
        <v>29</v>
      </c>
      <c r="P23" s="472" t="s">
        <v>70</v>
      </c>
      <c r="Q23" s="472" t="s">
        <v>64</v>
      </c>
      <c r="R23" s="482">
        <v>0</v>
      </c>
      <c r="S23" s="482" t="str">
        <f t="shared" si="2"/>
        <v>Sap Teka</v>
      </c>
      <c r="T23" s="509">
        <v>1714494646</v>
      </c>
      <c r="U23" s="484" t="s">
        <v>1180</v>
      </c>
    </row>
    <row r="24" spans="1:21" ht="15" customHeight="1" x14ac:dyDescent="0.2">
      <c r="A24" s="459">
        <v>19</v>
      </c>
      <c r="B24" s="471">
        <v>45723</v>
      </c>
      <c r="C24" s="472" t="s">
        <v>1175</v>
      </c>
      <c r="D24" s="476" t="s">
        <v>1176</v>
      </c>
      <c r="E24" s="476">
        <v>111570002</v>
      </c>
      <c r="F24" s="475" t="s">
        <v>66</v>
      </c>
      <c r="G24" s="462" t="s">
        <v>1183</v>
      </c>
      <c r="H24" s="464"/>
      <c r="I24" s="465" t="s">
        <v>64</v>
      </c>
      <c r="J24" s="465" t="s">
        <v>65</v>
      </c>
      <c r="K24" s="465">
        <v>45695</v>
      </c>
      <c r="L24" s="461" t="s">
        <v>1178</v>
      </c>
      <c r="M24" s="461" t="s">
        <v>1179</v>
      </c>
      <c r="N24" s="461">
        <v>963511443</v>
      </c>
      <c r="O24" s="521">
        <v>29</v>
      </c>
      <c r="P24" s="461" t="s">
        <v>70</v>
      </c>
      <c r="Q24" s="461" t="s">
        <v>64</v>
      </c>
      <c r="R24" s="468">
        <v>0</v>
      </c>
      <c r="S24" s="468" t="str">
        <f t="shared" si="2"/>
        <v>Sap Teka</v>
      </c>
      <c r="T24" s="522">
        <v>1714494646</v>
      </c>
      <c r="U24" s="470" t="s">
        <v>1180</v>
      </c>
    </row>
    <row r="25" spans="1:21" ht="15" customHeight="1" x14ac:dyDescent="0.2">
      <c r="A25" s="459">
        <v>20</v>
      </c>
      <c r="B25" s="523">
        <v>45736</v>
      </c>
      <c r="C25" s="524" t="s">
        <v>100</v>
      </c>
      <c r="D25" s="525" t="s">
        <v>1822</v>
      </c>
      <c r="E25" s="525">
        <v>11570003</v>
      </c>
      <c r="F25" s="205" t="s">
        <v>66</v>
      </c>
      <c r="G25" s="525" t="s">
        <v>1823</v>
      </c>
      <c r="H25" s="525"/>
      <c r="I25" s="526" t="s">
        <v>62</v>
      </c>
      <c r="J25" s="526" t="s">
        <v>63</v>
      </c>
      <c r="K25" s="527">
        <v>45737</v>
      </c>
      <c r="L25" s="524" t="s">
        <v>1824</v>
      </c>
      <c r="M25" s="524" t="s">
        <v>1825</v>
      </c>
      <c r="N25" s="528">
        <v>998056679</v>
      </c>
      <c r="O25" s="529">
        <v>29</v>
      </c>
      <c r="P25" s="524" t="s">
        <v>69</v>
      </c>
      <c r="Q25" s="524" t="s">
        <v>64</v>
      </c>
      <c r="R25" s="530"/>
      <c r="S25" s="530" t="s">
        <v>1826</v>
      </c>
      <c r="T25" s="524">
        <v>101400802</v>
      </c>
      <c r="U25" s="531" t="s">
        <v>1827</v>
      </c>
    </row>
    <row r="26" spans="1:21" ht="15" customHeight="1" x14ac:dyDescent="0.2">
      <c r="A26" s="459">
        <v>21</v>
      </c>
      <c r="B26" s="532">
        <v>45736</v>
      </c>
      <c r="C26" s="533" t="s">
        <v>100</v>
      </c>
      <c r="D26" s="207" t="s">
        <v>1828</v>
      </c>
      <c r="E26" s="207">
        <v>11570003</v>
      </c>
      <c r="F26" s="206" t="s">
        <v>66</v>
      </c>
      <c r="G26" s="207" t="s">
        <v>1829</v>
      </c>
      <c r="H26" s="207"/>
      <c r="I26" s="534" t="s">
        <v>62</v>
      </c>
      <c r="J26" s="534" t="s">
        <v>63</v>
      </c>
      <c r="K26" s="535">
        <v>45737</v>
      </c>
      <c r="L26" s="533" t="s">
        <v>1830</v>
      </c>
      <c r="M26" s="533" t="s">
        <v>1831</v>
      </c>
      <c r="N26" s="536">
        <v>998628914</v>
      </c>
      <c r="O26" s="537">
        <v>29</v>
      </c>
      <c r="P26" s="533" t="s">
        <v>69</v>
      </c>
      <c r="Q26" s="533" t="s">
        <v>64</v>
      </c>
      <c r="R26" s="538"/>
      <c r="S26" s="538" t="s">
        <v>1832</v>
      </c>
      <c r="T26" s="533">
        <v>103205993</v>
      </c>
      <c r="U26" s="531" t="s">
        <v>1833</v>
      </c>
    </row>
    <row r="27" spans="1:21" ht="15" customHeight="1" x14ac:dyDescent="0.2">
      <c r="A27" s="459">
        <v>22</v>
      </c>
      <c r="B27" s="532">
        <v>45736</v>
      </c>
      <c r="C27" s="533" t="s">
        <v>100</v>
      </c>
      <c r="D27" s="207" t="s">
        <v>1834</v>
      </c>
      <c r="E27" s="207">
        <v>11570003</v>
      </c>
      <c r="F27" s="206" t="s">
        <v>66</v>
      </c>
      <c r="G27" s="207" t="s">
        <v>1835</v>
      </c>
      <c r="H27" s="207"/>
      <c r="I27" s="534" t="s">
        <v>62</v>
      </c>
      <c r="J27" s="534" t="s">
        <v>63</v>
      </c>
      <c r="K27" s="535">
        <v>45737</v>
      </c>
      <c r="L27" s="533" t="s">
        <v>1836</v>
      </c>
      <c r="M27" s="533" t="s">
        <v>1837</v>
      </c>
      <c r="N27" s="536">
        <v>998056679</v>
      </c>
      <c r="O27" s="537">
        <v>29</v>
      </c>
      <c r="P27" s="533" t="s">
        <v>69</v>
      </c>
      <c r="Q27" s="533" t="s">
        <v>64</v>
      </c>
      <c r="R27" s="538"/>
      <c r="S27" s="538" t="s">
        <v>1838</v>
      </c>
      <c r="T27" s="533">
        <v>102291267</v>
      </c>
      <c r="U27" s="531" t="s">
        <v>1827</v>
      </c>
    </row>
    <row r="28" spans="1:21" ht="15" customHeight="1" x14ac:dyDescent="0.2">
      <c r="A28" s="459">
        <v>23</v>
      </c>
      <c r="B28" s="532"/>
      <c r="C28" s="533" t="s">
        <v>1184</v>
      </c>
      <c r="D28" s="207"/>
      <c r="E28" s="207">
        <v>11570003</v>
      </c>
      <c r="F28" s="206" t="s">
        <v>66</v>
      </c>
      <c r="G28" s="207" t="s">
        <v>1839</v>
      </c>
      <c r="H28" s="207"/>
      <c r="I28" s="534" t="s">
        <v>62</v>
      </c>
      <c r="J28" s="534" t="s">
        <v>63</v>
      </c>
      <c r="K28" s="535">
        <v>45738</v>
      </c>
      <c r="L28" s="533" t="s">
        <v>100</v>
      </c>
      <c r="M28" s="533" t="s">
        <v>1189</v>
      </c>
      <c r="N28" s="536">
        <v>987665567</v>
      </c>
      <c r="O28" s="537">
        <v>29</v>
      </c>
      <c r="P28" s="533" t="s">
        <v>70</v>
      </c>
      <c r="Q28" s="533" t="s">
        <v>64</v>
      </c>
      <c r="R28" s="538"/>
      <c r="S28" s="538" t="s">
        <v>1840</v>
      </c>
      <c r="T28" s="533">
        <v>103642708</v>
      </c>
      <c r="U28" s="531" t="s">
        <v>305</v>
      </c>
    </row>
    <row r="29" spans="1:21" ht="15" customHeight="1" x14ac:dyDescent="0.2">
      <c r="A29" s="459">
        <v>24</v>
      </c>
      <c r="B29" s="532"/>
      <c r="C29" s="533" t="s">
        <v>1184</v>
      </c>
      <c r="D29" s="207"/>
      <c r="E29" s="207">
        <v>11570002</v>
      </c>
      <c r="F29" s="206" t="s">
        <v>1841</v>
      </c>
      <c r="G29" s="207" t="s">
        <v>1842</v>
      </c>
      <c r="H29" s="207"/>
      <c r="I29" s="534" t="s">
        <v>62</v>
      </c>
      <c r="J29" s="534" t="s">
        <v>63</v>
      </c>
      <c r="K29" s="535">
        <v>45738</v>
      </c>
      <c r="L29" s="533" t="s">
        <v>100</v>
      </c>
      <c r="M29" s="533" t="s">
        <v>1189</v>
      </c>
      <c r="N29" s="536">
        <v>987665567</v>
      </c>
      <c r="O29" s="537">
        <v>29</v>
      </c>
      <c r="P29" s="533" t="s">
        <v>70</v>
      </c>
      <c r="Q29" s="533" t="s">
        <v>64</v>
      </c>
      <c r="R29" s="538"/>
      <c r="S29" s="538" t="s">
        <v>1840</v>
      </c>
      <c r="T29" s="533">
        <v>103642708</v>
      </c>
      <c r="U29" s="531" t="s">
        <v>305</v>
      </c>
    </row>
    <row r="30" spans="1:21" ht="15" customHeight="1" x14ac:dyDescent="0.2">
      <c r="A30" s="459">
        <v>25</v>
      </c>
      <c r="B30" s="532">
        <v>45734</v>
      </c>
      <c r="C30" s="533" t="s">
        <v>1843</v>
      </c>
      <c r="D30" s="207" t="s">
        <v>1844</v>
      </c>
      <c r="E30" s="207">
        <v>11570002</v>
      </c>
      <c r="F30" s="206" t="s">
        <v>1841</v>
      </c>
      <c r="G30" s="207" t="s">
        <v>1845</v>
      </c>
      <c r="H30" s="207"/>
      <c r="I30" s="534" t="s">
        <v>62</v>
      </c>
      <c r="J30" s="534" t="s">
        <v>63</v>
      </c>
      <c r="K30" s="535">
        <v>45741</v>
      </c>
      <c r="L30" s="533" t="s">
        <v>1846</v>
      </c>
      <c r="M30" s="533" t="s">
        <v>1847</v>
      </c>
      <c r="N30" s="536">
        <v>958806603</v>
      </c>
      <c r="O30" s="537">
        <v>29</v>
      </c>
      <c r="P30" s="533" t="s">
        <v>69</v>
      </c>
      <c r="Q30" s="533" t="s">
        <v>64</v>
      </c>
      <c r="R30" s="538"/>
      <c r="S30" s="538" t="s">
        <v>1848</v>
      </c>
      <c r="T30" s="533">
        <v>103676573</v>
      </c>
      <c r="U30" s="531" t="s">
        <v>1849</v>
      </c>
    </row>
    <row r="31" spans="1:21" ht="15" customHeight="1" x14ac:dyDescent="0.2">
      <c r="A31" s="459">
        <v>26</v>
      </c>
      <c r="B31" s="532">
        <v>45749</v>
      </c>
      <c r="C31" s="533" t="s">
        <v>1184</v>
      </c>
      <c r="D31" s="207"/>
      <c r="E31" s="207">
        <v>11570003</v>
      </c>
      <c r="F31" s="206" t="s">
        <v>66</v>
      </c>
      <c r="G31" s="207" t="s">
        <v>1850</v>
      </c>
      <c r="H31" s="207"/>
      <c r="I31" s="534" t="s">
        <v>62</v>
      </c>
      <c r="J31" s="534" t="s">
        <v>63</v>
      </c>
      <c r="K31" s="535">
        <v>45749</v>
      </c>
      <c r="L31" s="533" t="s">
        <v>100</v>
      </c>
      <c r="M31" s="533" t="s">
        <v>1189</v>
      </c>
      <c r="N31" s="536">
        <v>987665567</v>
      </c>
      <c r="O31" s="537">
        <v>29</v>
      </c>
      <c r="P31" s="533" t="s">
        <v>70</v>
      </c>
      <c r="Q31" s="533" t="s">
        <v>64</v>
      </c>
      <c r="R31" s="538"/>
      <c r="S31" s="538" t="s">
        <v>1840</v>
      </c>
      <c r="T31" s="533">
        <v>103642708</v>
      </c>
      <c r="U31" s="531" t="s">
        <v>305</v>
      </c>
    </row>
    <row r="32" spans="1:21" ht="15" customHeight="1" x14ac:dyDescent="0.2">
      <c r="A32" s="459">
        <v>27</v>
      </c>
      <c r="B32" s="532">
        <v>45756</v>
      </c>
      <c r="C32" s="533" t="s">
        <v>1851</v>
      </c>
      <c r="D32" s="207" t="s">
        <v>1852</v>
      </c>
      <c r="E32" s="207">
        <v>11570002</v>
      </c>
      <c r="F32" s="206" t="s">
        <v>1841</v>
      </c>
      <c r="G32" s="207" t="s">
        <v>1853</v>
      </c>
      <c r="H32" s="207"/>
      <c r="I32" s="534" t="s">
        <v>62</v>
      </c>
      <c r="J32" s="534" t="s">
        <v>63</v>
      </c>
      <c r="K32" s="535">
        <v>45756</v>
      </c>
      <c r="L32" s="533" t="s">
        <v>1854</v>
      </c>
      <c r="M32" s="533" t="s">
        <v>1110</v>
      </c>
      <c r="N32" s="536">
        <v>997927792</v>
      </c>
      <c r="O32" s="537">
        <v>29</v>
      </c>
      <c r="P32" s="533" t="s">
        <v>69</v>
      </c>
      <c r="Q32" s="533" t="s">
        <v>64</v>
      </c>
      <c r="R32" s="538"/>
      <c r="S32" s="538" t="s">
        <v>1855</v>
      </c>
      <c r="T32" s="533">
        <v>101813731</v>
      </c>
      <c r="U32" s="531" t="s">
        <v>1856</v>
      </c>
    </row>
    <row r="33" spans="1:21" ht="15" customHeight="1" x14ac:dyDescent="0.2">
      <c r="A33" s="459">
        <v>28</v>
      </c>
      <c r="B33" s="471"/>
      <c r="C33" s="472" t="s">
        <v>1185</v>
      </c>
      <c r="D33" s="473"/>
      <c r="E33" s="474">
        <v>111570002</v>
      </c>
      <c r="F33" s="475" t="s">
        <v>2306</v>
      </c>
      <c r="G33" s="476" t="s">
        <v>2307</v>
      </c>
      <c r="H33" s="477"/>
      <c r="I33" s="478" t="s">
        <v>62</v>
      </c>
      <c r="J33" s="478" t="s">
        <v>63</v>
      </c>
      <c r="K33" s="471">
        <v>45771</v>
      </c>
      <c r="L33" s="472" t="s">
        <v>100</v>
      </c>
      <c r="M33" s="479" t="s">
        <v>1189</v>
      </c>
      <c r="N33" s="480">
        <v>724114427</v>
      </c>
      <c r="O33" s="481">
        <v>29</v>
      </c>
      <c r="P33" s="472" t="s">
        <v>70</v>
      </c>
      <c r="Q33" s="472" t="s">
        <v>64</v>
      </c>
      <c r="R33" s="482"/>
      <c r="S33" s="482"/>
      <c r="T33" s="509">
        <v>104088265</v>
      </c>
      <c r="U33" s="484" t="s">
        <v>2308</v>
      </c>
    </row>
    <row r="34" spans="1:21" ht="15" customHeight="1" x14ac:dyDescent="0.2">
      <c r="A34" s="459">
        <v>29</v>
      </c>
      <c r="B34" s="471"/>
      <c r="C34" s="472" t="s">
        <v>1185</v>
      </c>
      <c r="D34" s="473"/>
      <c r="E34" s="474">
        <v>111570002</v>
      </c>
      <c r="F34" s="475" t="s">
        <v>2306</v>
      </c>
      <c r="G34" s="476" t="s">
        <v>2309</v>
      </c>
      <c r="H34" s="477"/>
      <c r="I34" s="478" t="s">
        <v>62</v>
      </c>
      <c r="J34" s="478" t="s">
        <v>63</v>
      </c>
      <c r="K34" s="471">
        <v>45779</v>
      </c>
      <c r="L34" s="472" t="s">
        <v>100</v>
      </c>
      <c r="M34" s="479" t="s">
        <v>1189</v>
      </c>
      <c r="N34" s="480">
        <v>997513007</v>
      </c>
      <c r="O34" s="481">
        <v>29</v>
      </c>
      <c r="P34" s="472" t="s">
        <v>70</v>
      </c>
      <c r="Q34" s="472" t="s">
        <v>64</v>
      </c>
      <c r="R34" s="482"/>
      <c r="S34" s="482"/>
      <c r="T34" s="480">
        <v>105562029</v>
      </c>
      <c r="U34" s="484" t="s">
        <v>2308</v>
      </c>
    </row>
    <row r="35" spans="1:21" ht="15" customHeight="1" x14ac:dyDescent="0.2">
      <c r="A35" s="459">
        <v>30</v>
      </c>
      <c r="B35" s="471"/>
      <c r="C35" s="472" t="s">
        <v>1185</v>
      </c>
      <c r="D35" s="473"/>
      <c r="E35" s="474">
        <v>111570002</v>
      </c>
      <c r="F35" s="475" t="s">
        <v>2306</v>
      </c>
      <c r="G35" s="476" t="s">
        <v>2310</v>
      </c>
      <c r="H35" s="477"/>
      <c r="I35" s="478" t="s">
        <v>62</v>
      </c>
      <c r="J35" s="478" t="s">
        <v>63</v>
      </c>
      <c r="K35" s="471">
        <v>45779</v>
      </c>
      <c r="L35" s="472" t="s">
        <v>100</v>
      </c>
      <c r="M35" s="479" t="s">
        <v>1189</v>
      </c>
      <c r="N35" s="480">
        <v>997513007</v>
      </c>
      <c r="O35" s="481">
        <v>29</v>
      </c>
      <c r="P35" s="472" t="s">
        <v>70</v>
      </c>
      <c r="Q35" s="472" t="s">
        <v>64</v>
      </c>
      <c r="R35" s="482"/>
      <c r="S35" s="482"/>
      <c r="T35" s="480">
        <v>105562029</v>
      </c>
      <c r="U35" s="484" t="s">
        <v>2308</v>
      </c>
    </row>
    <row r="36" spans="1:21" ht="15" customHeight="1" x14ac:dyDescent="0.2">
      <c r="A36" s="459">
        <v>31</v>
      </c>
      <c r="B36" s="471"/>
      <c r="C36" s="472" t="s">
        <v>1185</v>
      </c>
      <c r="D36" s="473"/>
      <c r="E36" s="474">
        <v>111570003</v>
      </c>
      <c r="F36" s="475" t="s">
        <v>66</v>
      </c>
      <c r="G36" s="476" t="s">
        <v>2311</v>
      </c>
      <c r="H36" s="477"/>
      <c r="I36" s="478" t="s">
        <v>62</v>
      </c>
      <c r="J36" s="478" t="s">
        <v>63</v>
      </c>
      <c r="K36" s="471">
        <v>45779</v>
      </c>
      <c r="L36" s="472" t="s">
        <v>100</v>
      </c>
      <c r="M36" s="479" t="s">
        <v>1189</v>
      </c>
      <c r="N36" s="480">
        <v>997513007</v>
      </c>
      <c r="O36" s="481">
        <v>29</v>
      </c>
      <c r="P36" s="472" t="s">
        <v>70</v>
      </c>
      <c r="Q36" s="472" t="s">
        <v>64</v>
      </c>
      <c r="R36" s="482"/>
      <c r="S36" s="482"/>
      <c r="T36" s="480">
        <v>105562029</v>
      </c>
      <c r="U36" s="484" t="s">
        <v>2308</v>
      </c>
    </row>
    <row r="37" spans="1:21" ht="15" customHeight="1" x14ac:dyDescent="0.2">
      <c r="A37" s="459">
        <v>32</v>
      </c>
      <c r="B37" s="471"/>
      <c r="C37" s="472" t="s">
        <v>1185</v>
      </c>
      <c r="D37" s="473"/>
      <c r="E37" s="474">
        <v>111570003</v>
      </c>
      <c r="F37" s="475" t="s">
        <v>66</v>
      </c>
      <c r="G37" s="476" t="s">
        <v>2312</v>
      </c>
      <c r="H37" s="477"/>
      <c r="I37" s="478" t="s">
        <v>62</v>
      </c>
      <c r="J37" s="478" t="s">
        <v>63</v>
      </c>
      <c r="K37" s="471">
        <v>45779</v>
      </c>
      <c r="L37" s="472" t="s">
        <v>100</v>
      </c>
      <c r="M37" s="479" t="s">
        <v>1189</v>
      </c>
      <c r="N37" s="480">
        <v>997513007</v>
      </c>
      <c r="O37" s="481">
        <v>29</v>
      </c>
      <c r="P37" s="472" t="s">
        <v>70</v>
      </c>
      <c r="Q37" s="472" t="s">
        <v>64</v>
      </c>
      <c r="R37" s="482"/>
      <c r="S37" s="482"/>
      <c r="T37" s="480">
        <v>105562029</v>
      </c>
      <c r="U37" s="484" t="s">
        <v>2308</v>
      </c>
    </row>
    <row r="38" spans="1:21" ht="15" customHeight="1" x14ac:dyDescent="0.2">
      <c r="A38" s="459">
        <v>33</v>
      </c>
      <c r="B38" s="471"/>
      <c r="C38" s="472" t="s">
        <v>1185</v>
      </c>
      <c r="D38" s="473"/>
      <c r="E38" s="474">
        <v>111570002</v>
      </c>
      <c r="F38" s="475" t="s">
        <v>2306</v>
      </c>
      <c r="G38" s="476" t="s">
        <v>2313</v>
      </c>
      <c r="H38" s="477"/>
      <c r="I38" s="478" t="s">
        <v>62</v>
      </c>
      <c r="J38" s="478" t="s">
        <v>63</v>
      </c>
      <c r="K38" s="471">
        <v>45782</v>
      </c>
      <c r="L38" s="472" t="s">
        <v>2314</v>
      </c>
      <c r="M38" s="479" t="s">
        <v>2315</v>
      </c>
      <c r="N38" s="480">
        <v>963511443</v>
      </c>
      <c r="O38" s="481">
        <v>29</v>
      </c>
      <c r="P38" s="472" t="s">
        <v>70</v>
      </c>
      <c r="Q38" s="472" t="s">
        <v>64</v>
      </c>
      <c r="R38" s="482"/>
      <c r="S38" s="482"/>
      <c r="T38" s="509">
        <v>1714494646</v>
      </c>
      <c r="U38" s="484" t="s">
        <v>1180</v>
      </c>
    </row>
    <row r="39" spans="1:21" ht="15" customHeight="1" x14ac:dyDescent="0.2">
      <c r="A39" s="459">
        <v>34</v>
      </c>
      <c r="B39" s="471"/>
      <c r="C39" s="472" t="s">
        <v>1185</v>
      </c>
      <c r="D39" s="473"/>
      <c r="E39" s="474">
        <v>111570003</v>
      </c>
      <c r="F39" s="475" t="s">
        <v>66</v>
      </c>
      <c r="G39" s="476" t="s">
        <v>2316</v>
      </c>
      <c r="H39" s="477"/>
      <c r="I39" s="478" t="s">
        <v>62</v>
      </c>
      <c r="J39" s="478" t="s">
        <v>63</v>
      </c>
      <c r="K39" s="471">
        <v>45782</v>
      </c>
      <c r="L39" s="472" t="s">
        <v>2314</v>
      </c>
      <c r="M39" s="479" t="s">
        <v>2315</v>
      </c>
      <c r="N39" s="480">
        <v>963511443</v>
      </c>
      <c r="O39" s="481">
        <v>29</v>
      </c>
      <c r="P39" s="472" t="s">
        <v>70</v>
      </c>
      <c r="Q39" s="472" t="s">
        <v>64</v>
      </c>
      <c r="R39" s="482"/>
      <c r="S39" s="482"/>
      <c r="T39" s="509">
        <v>1714494646</v>
      </c>
      <c r="U39" s="484" t="s">
        <v>1180</v>
      </c>
    </row>
    <row r="40" spans="1:21" ht="15" customHeight="1" x14ac:dyDescent="0.2">
      <c r="A40" s="459">
        <v>35</v>
      </c>
      <c r="B40" s="460">
        <v>45785</v>
      </c>
      <c r="C40" s="461" t="s">
        <v>125</v>
      </c>
      <c r="D40" s="473" t="s">
        <v>2317</v>
      </c>
      <c r="E40" s="474">
        <v>111570002</v>
      </c>
      <c r="F40" s="475" t="s">
        <v>2306</v>
      </c>
      <c r="G40" s="476" t="s">
        <v>2318</v>
      </c>
      <c r="H40" s="477"/>
      <c r="I40" s="478" t="s">
        <v>62</v>
      </c>
      <c r="J40" s="478" t="s">
        <v>63</v>
      </c>
      <c r="K40" s="471">
        <v>45786</v>
      </c>
      <c r="L40" s="472" t="s">
        <v>2319</v>
      </c>
      <c r="M40" s="479" t="s">
        <v>328</v>
      </c>
      <c r="N40" s="480">
        <v>993484233</v>
      </c>
      <c r="O40" s="481">
        <v>29</v>
      </c>
      <c r="P40" s="472" t="s">
        <v>69</v>
      </c>
      <c r="Q40" s="472" t="s">
        <v>64</v>
      </c>
      <c r="R40" s="482"/>
      <c r="S40" s="482"/>
      <c r="T40" s="509">
        <v>301527180</v>
      </c>
      <c r="U40" s="484" t="s">
        <v>2320</v>
      </c>
    </row>
    <row r="41" spans="1:21" ht="15" customHeight="1" x14ac:dyDescent="0.2">
      <c r="A41" s="459">
        <v>36</v>
      </c>
      <c r="B41" s="460">
        <v>45787</v>
      </c>
      <c r="C41" s="461" t="s">
        <v>100</v>
      </c>
      <c r="D41" s="473" t="s">
        <v>2321</v>
      </c>
      <c r="E41" s="474">
        <v>111570002</v>
      </c>
      <c r="F41" s="475" t="s">
        <v>2306</v>
      </c>
      <c r="G41" s="476" t="s">
        <v>2322</v>
      </c>
      <c r="H41" s="477"/>
      <c r="I41" s="478" t="s">
        <v>62</v>
      </c>
      <c r="J41" s="478" t="s">
        <v>63</v>
      </c>
      <c r="K41" s="471">
        <v>45786</v>
      </c>
      <c r="L41" s="472" t="s">
        <v>2323</v>
      </c>
      <c r="M41" s="479" t="s">
        <v>2324</v>
      </c>
      <c r="N41" s="480">
        <v>984782441</v>
      </c>
      <c r="O41" s="481">
        <v>29</v>
      </c>
      <c r="P41" s="472" t="s">
        <v>69</v>
      </c>
      <c r="Q41" s="472" t="s">
        <v>64</v>
      </c>
      <c r="R41" s="482"/>
      <c r="S41" s="482"/>
      <c r="T41" s="509">
        <v>301527180</v>
      </c>
      <c r="U41" s="484" t="s">
        <v>2325</v>
      </c>
    </row>
    <row r="42" spans="1:21" ht="15" customHeight="1" x14ac:dyDescent="0.2">
      <c r="A42" s="459">
        <v>37</v>
      </c>
      <c r="B42" s="460">
        <v>45787</v>
      </c>
      <c r="C42" s="461" t="s">
        <v>100</v>
      </c>
      <c r="D42" s="473" t="s">
        <v>2326</v>
      </c>
      <c r="E42" s="474">
        <v>111570002</v>
      </c>
      <c r="F42" s="475" t="s">
        <v>2306</v>
      </c>
      <c r="G42" s="476" t="s">
        <v>2327</v>
      </c>
      <c r="H42" s="477"/>
      <c r="I42" s="478" t="s">
        <v>62</v>
      </c>
      <c r="J42" s="478" t="s">
        <v>63</v>
      </c>
      <c r="K42" s="471">
        <v>45793</v>
      </c>
      <c r="L42" s="472" t="s">
        <v>2328</v>
      </c>
      <c r="M42" s="479" t="s">
        <v>2329</v>
      </c>
      <c r="N42" s="480">
        <v>95897170</v>
      </c>
      <c r="O42" s="481">
        <v>29</v>
      </c>
      <c r="P42" s="472" t="s">
        <v>70</v>
      </c>
      <c r="Q42" s="472" t="s">
        <v>64</v>
      </c>
      <c r="R42" s="482"/>
      <c r="S42" s="482"/>
      <c r="T42" s="509">
        <v>104578620</v>
      </c>
      <c r="U42" s="484" t="s">
        <v>2330</v>
      </c>
    </row>
    <row r="43" spans="1:21" ht="15" customHeight="1" x14ac:dyDescent="0.2">
      <c r="A43" s="459">
        <v>38</v>
      </c>
      <c r="B43" s="471">
        <v>45812</v>
      </c>
      <c r="C43" s="472" t="s">
        <v>2801</v>
      </c>
      <c r="D43" s="473" t="s">
        <v>2674</v>
      </c>
      <c r="E43" s="474">
        <v>111570003</v>
      </c>
      <c r="F43" s="475" t="s">
        <v>66</v>
      </c>
      <c r="G43" s="476" t="s">
        <v>2802</v>
      </c>
      <c r="H43" s="477"/>
      <c r="I43" s="478" t="s">
        <v>62</v>
      </c>
      <c r="J43" s="478" t="s">
        <v>63</v>
      </c>
      <c r="K43" s="471">
        <v>45819</v>
      </c>
      <c r="L43" s="472" t="s">
        <v>2803</v>
      </c>
      <c r="M43" s="479" t="s">
        <v>2804</v>
      </c>
      <c r="N43" s="480">
        <v>993098737</v>
      </c>
      <c r="O43" s="481">
        <v>29</v>
      </c>
      <c r="P43" s="472" t="s">
        <v>2805</v>
      </c>
      <c r="Q43" s="472" t="s">
        <v>64</v>
      </c>
      <c r="R43" s="482"/>
      <c r="S43" s="482" t="str">
        <f>D43</f>
        <v>043-903-000076718</v>
      </c>
      <c r="T43" s="480">
        <v>311111175</v>
      </c>
      <c r="U43" s="484" t="s">
        <v>2806</v>
      </c>
    </row>
    <row r="44" spans="1:21" ht="15" customHeight="1" x14ac:dyDescent="0.2">
      <c r="A44" s="459">
        <v>39</v>
      </c>
      <c r="B44" s="471">
        <v>45820</v>
      </c>
      <c r="C44" s="472" t="s">
        <v>1185</v>
      </c>
      <c r="D44" s="473"/>
      <c r="E44" s="474">
        <v>111570003</v>
      </c>
      <c r="F44" s="475" t="s">
        <v>66</v>
      </c>
      <c r="G44" s="476" t="s">
        <v>2807</v>
      </c>
      <c r="H44" s="477"/>
      <c r="I44" s="478" t="s">
        <v>62</v>
      </c>
      <c r="J44" s="478" t="s">
        <v>63</v>
      </c>
      <c r="K44" s="471">
        <v>45820</v>
      </c>
      <c r="L44" s="472" t="s">
        <v>2808</v>
      </c>
      <c r="M44" s="479" t="s">
        <v>679</v>
      </c>
      <c r="N44" s="480">
        <v>987001205</v>
      </c>
      <c r="O44" s="481">
        <v>29</v>
      </c>
      <c r="P44" s="472" t="s">
        <v>70</v>
      </c>
      <c r="Q44" s="472" t="s">
        <v>64</v>
      </c>
      <c r="R44" s="482"/>
      <c r="S44" s="482"/>
      <c r="T44" s="509">
        <v>104627737</v>
      </c>
      <c r="U44" s="484" t="s">
        <v>305</v>
      </c>
    </row>
    <row r="45" spans="1:21" ht="15" customHeight="1" x14ac:dyDescent="0.2">
      <c r="A45" s="459">
        <v>40</v>
      </c>
      <c r="B45" s="471">
        <v>45820</v>
      </c>
      <c r="C45" s="472" t="s">
        <v>1185</v>
      </c>
      <c r="D45" s="473"/>
      <c r="E45" s="474">
        <v>111570002</v>
      </c>
      <c r="F45" s="475" t="s">
        <v>66</v>
      </c>
      <c r="G45" s="476" t="s">
        <v>2809</v>
      </c>
      <c r="H45" s="477"/>
      <c r="I45" s="478" t="s">
        <v>62</v>
      </c>
      <c r="J45" s="478" t="s">
        <v>63</v>
      </c>
      <c r="K45" s="471">
        <v>45820</v>
      </c>
      <c r="L45" s="472" t="s">
        <v>2808</v>
      </c>
      <c r="M45" s="479" t="s">
        <v>679</v>
      </c>
      <c r="N45" s="480">
        <v>987001205</v>
      </c>
      <c r="O45" s="481">
        <v>29</v>
      </c>
      <c r="P45" s="472" t="s">
        <v>70</v>
      </c>
      <c r="Q45" s="472" t="s">
        <v>64</v>
      </c>
      <c r="R45" s="482"/>
      <c r="S45" s="482"/>
      <c r="T45" s="509">
        <v>104627737</v>
      </c>
      <c r="U45" s="484" t="s">
        <v>305</v>
      </c>
    </row>
    <row r="46" spans="1:21" ht="15" customHeight="1" x14ac:dyDescent="0.2">
      <c r="A46" s="459">
        <v>41</v>
      </c>
      <c r="B46" s="471">
        <v>45820</v>
      </c>
      <c r="C46" s="472" t="s">
        <v>1185</v>
      </c>
      <c r="D46" s="473"/>
      <c r="E46" s="474">
        <v>111570002</v>
      </c>
      <c r="F46" s="475" t="s">
        <v>66</v>
      </c>
      <c r="G46" s="476" t="s">
        <v>2810</v>
      </c>
      <c r="H46" s="477"/>
      <c r="I46" s="478" t="s">
        <v>62</v>
      </c>
      <c r="J46" s="478" t="s">
        <v>63</v>
      </c>
      <c r="K46" s="471">
        <v>45820</v>
      </c>
      <c r="L46" s="472" t="s">
        <v>2808</v>
      </c>
      <c r="M46" s="479" t="s">
        <v>679</v>
      </c>
      <c r="N46" s="480">
        <v>987001205</v>
      </c>
      <c r="O46" s="481">
        <v>29</v>
      </c>
      <c r="P46" s="472" t="s">
        <v>70</v>
      </c>
      <c r="Q46" s="472" t="s">
        <v>64</v>
      </c>
      <c r="R46" s="482"/>
      <c r="S46" s="482"/>
      <c r="T46" s="509">
        <v>104627737</v>
      </c>
      <c r="U46" s="484" t="s">
        <v>305</v>
      </c>
    </row>
    <row r="47" spans="1:21" ht="15" customHeight="1" x14ac:dyDescent="0.2">
      <c r="A47" s="459">
        <v>42</v>
      </c>
      <c r="B47" s="471">
        <v>45827</v>
      </c>
      <c r="C47" s="472" t="s">
        <v>710</v>
      </c>
      <c r="D47" s="473" t="s">
        <v>3278</v>
      </c>
      <c r="E47" s="474">
        <v>111570003</v>
      </c>
      <c r="F47" s="475" t="s">
        <v>66</v>
      </c>
      <c r="G47" s="476" t="s">
        <v>3279</v>
      </c>
      <c r="H47" s="477"/>
      <c r="I47" s="478" t="s">
        <v>62</v>
      </c>
      <c r="J47" s="478" t="s">
        <v>63</v>
      </c>
      <c r="K47" s="471">
        <v>45828</v>
      </c>
      <c r="L47" s="472" t="s">
        <v>3280</v>
      </c>
      <c r="M47" s="479" t="s">
        <v>3281</v>
      </c>
      <c r="N47" s="480">
        <v>996081837</v>
      </c>
      <c r="O47" s="481">
        <v>29</v>
      </c>
      <c r="P47" s="472" t="s">
        <v>70</v>
      </c>
      <c r="Q47" s="472" t="s">
        <v>64</v>
      </c>
      <c r="R47" s="482"/>
      <c r="S47" s="482" t="str">
        <f>D47</f>
        <v>043-902-000053437</v>
      </c>
      <c r="T47" s="483" t="s">
        <v>3282</v>
      </c>
      <c r="U47" s="484" t="s">
        <v>3283</v>
      </c>
    </row>
    <row r="48" spans="1:21" ht="15" customHeight="1" x14ac:dyDescent="0.2">
      <c r="A48" s="459">
        <v>43</v>
      </c>
      <c r="B48" s="471">
        <v>45828</v>
      </c>
      <c r="C48" s="472" t="s">
        <v>710</v>
      </c>
      <c r="D48" s="473" t="s">
        <v>3284</v>
      </c>
      <c r="E48" s="474">
        <v>111570002</v>
      </c>
      <c r="F48" s="475" t="s">
        <v>66</v>
      </c>
      <c r="G48" s="476" t="s">
        <v>3285</v>
      </c>
      <c r="H48" s="477"/>
      <c r="I48" s="478" t="s">
        <v>62</v>
      </c>
      <c r="J48" s="478" t="s">
        <v>63</v>
      </c>
      <c r="K48" s="471">
        <v>45824</v>
      </c>
      <c r="L48" s="472" t="s">
        <v>3286</v>
      </c>
      <c r="M48" s="479" t="s">
        <v>328</v>
      </c>
      <c r="N48" s="480">
        <v>993696069</v>
      </c>
      <c r="O48" s="481">
        <v>29</v>
      </c>
      <c r="P48" s="472" t="s">
        <v>70</v>
      </c>
      <c r="Q48" s="472" t="s">
        <v>64</v>
      </c>
      <c r="R48" s="482"/>
      <c r="S48" s="482" t="str">
        <f>D48</f>
        <v>043-905-000070922</v>
      </c>
      <c r="T48" s="480">
        <v>101144533</v>
      </c>
      <c r="U48" s="484" t="s">
        <v>3287</v>
      </c>
    </row>
    <row r="49" spans="1:21" ht="15" customHeight="1" x14ac:dyDescent="0.2">
      <c r="A49" s="459">
        <v>44</v>
      </c>
      <c r="B49" s="471">
        <v>45840</v>
      </c>
      <c r="C49" s="472" t="s">
        <v>710</v>
      </c>
      <c r="D49" s="473" t="s">
        <v>3288</v>
      </c>
      <c r="E49" s="474">
        <v>111570002</v>
      </c>
      <c r="F49" s="475" t="s">
        <v>2306</v>
      </c>
      <c r="G49" s="476" t="s">
        <v>3289</v>
      </c>
      <c r="H49" s="477"/>
      <c r="I49" s="478" t="s">
        <v>62</v>
      </c>
      <c r="J49" s="478" t="s">
        <v>63</v>
      </c>
      <c r="K49" s="471">
        <v>45840</v>
      </c>
      <c r="L49" s="472" t="s">
        <v>3290</v>
      </c>
      <c r="M49" s="479" t="s">
        <v>3291</v>
      </c>
      <c r="N49" s="480">
        <v>964154449</v>
      </c>
      <c r="O49" s="481">
        <v>29</v>
      </c>
      <c r="P49" s="472" t="s">
        <v>70</v>
      </c>
      <c r="Q49" s="472" t="s">
        <v>64</v>
      </c>
      <c r="R49" s="482"/>
      <c r="S49" s="482" t="str">
        <f t="shared" ref="S49:S51" si="3">D49</f>
        <v>043-906-000046965</v>
      </c>
      <c r="T49" s="480">
        <v>104217799</v>
      </c>
      <c r="U49" s="484" t="s">
        <v>3292</v>
      </c>
    </row>
    <row r="50" spans="1:21" ht="15" customHeight="1" x14ac:dyDescent="0.2">
      <c r="A50" s="459">
        <v>45</v>
      </c>
      <c r="B50" s="471">
        <v>45845</v>
      </c>
      <c r="C50" s="472" t="s">
        <v>1185</v>
      </c>
      <c r="D50" s="473" t="s">
        <v>41</v>
      </c>
      <c r="E50" s="474">
        <v>111570002</v>
      </c>
      <c r="F50" s="475" t="s">
        <v>2306</v>
      </c>
      <c r="G50" s="476" t="s">
        <v>3293</v>
      </c>
      <c r="H50" s="477"/>
      <c r="I50" s="478" t="s">
        <v>62</v>
      </c>
      <c r="J50" s="478" t="s">
        <v>63</v>
      </c>
      <c r="K50" s="471">
        <v>45845</v>
      </c>
      <c r="L50" s="472" t="s">
        <v>3294</v>
      </c>
      <c r="M50" s="479" t="s">
        <v>679</v>
      </c>
      <c r="N50" s="480">
        <v>963539762</v>
      </c>
      <c r="O50" s="481">
        <v>29</v>
      </c>
      <c r="P50" s="472" t="s">
        <v>70</v>
      </c>
      <c r="Q50" s="472" t="s">
        <v>64</v>
      </c>
      <c r="R50" s="482"/>
      <c r="S50" s="482" t="str">
        <f t="shared" si="3"/>
        <v>SAP</v>
      </c>
      <c r="T50" s="480">
        <v>105195536</v>
      </c>
      <c r="U50" s="484" t="s">
        <v>3295</v>
      </c>
    </row>
    <row r="51" spans="1:21" ht="15" customHeight="1" x14ac:dyDescent="0.2">
      <c r="A51" s="459">
        <v>46</v>
      </c>
      <c r="B51" s="471">
        <v>45845</v>
      </c>
      <c r="C51" s="472" t="s">
        <v>1185</v>
      </c>
      <c r="D51" s="473" t="s">
        <v>41</v>
      </c>
      <c r="E51" s="474">
        <v>111570002</v>
      </c>
      <c r="F51" s="475" t="s">
        <v>2306</v>
      </c>
      <c r="G51" s="476" t="s">
        <v>3296</v>
      </c>
      <c r="H51" s="477"/>
      <c r="I51" s="478" t="s">
        <v>62</v>
      </c>
      <c r="J51" s="478" t="s">
        <v>63</v>
      </c>
      <c r="K51" s="539">
        <v>45845</v>
      </c>
      <c r="L51" s="472" t="s">
        <v>3294</v>
      </c>
      <c r="M51" s="479" t="s">
        <v>679</v>
      </c>
      <c r="N51" s="480">
        <v>963539762</v>
      </c>
      <c r="O51" s="481">
        <v>29</v>
      </c>
      <c r="P51" s="472" t="s">
        <v>70</v>
      </c>
      <c r="Q51" s="472" t="s">
        <v>64</v>
      </c>
      <c r="R51" s="482"/>
      <c r="S51" s="482" t="str">
        <f t="shared" si="3"/>
        <v>SAP</v>
      </c>
      <c r="T51" s="480">
        <v>105195536</v>
      </c>
      <c r="U51" s="484" t="s">
        <v>3295</v>
      </c>
    </row>
    <row r="52" spans="1:21" ht="15" customHeight="1" x14ac:dyDescent="0.2">
      <c r="A52" s="459">
        <v>47</v>
      </c>
      <c r="B52" s="540">
        <v>45870</v>
      </c>
      <c r="C52" s="541" t="s">
        <v>1185</v>
      </c>
      <c r="D52" s="542" t="s">
        <v>3764</v>
      </c>
      <c r="E52" s="543">
        <v>111570002</v>
      </c>
      <c r="F52" s="442" t="str">
        <f t="shared" ref="F52:F54" si="4">VLOOKUP(E52,PROD,2,FALSE)</f>
        <v>COCINA GOURMET BBQ 3100 G BK-SS</v>
      </c>
      <c r="G52" s="542" t="s">
        <v>3765</v>
      </c>
      <c r="H52" s="443" t="s">
        <v>3766</v>
      </c>
      <c r="I52" s="544" t="s">
        <v>62</v>
      </c>
      <c r="J52" s="544" t="s">
        <v>63</v>
      </c>
      <c r="K52" s="540">
        <v>45866</v>
      </c>
      <c r="L52" s="541" t="s">
        <v>100</v>
      </c>
      <c r="M52" s="541" t="s">
        <v>3767</v>
      </c>
      <c r="N52" s="545">
        <v>987515341</v>
      </c>
      <c r="O52" s="546">
        <v>29</v>
      </c>
      <c r="P52" s="541" t="s">
        <v>70</v>
      </c>
      <c r="Q52" s="541" t="s">
        <v>64</v>
      </c>
      <c r="R52" s="547"/>
      <c r="S52" s="547" t="str">
        <f>D52</f>
        <v>S/N</v>
      </c>
      <c r="T52" s="548" t="s">
        <v>3768</v>
      </c>
      <c r="U52" s="549" t="s">
        <v>305</v>
      </c>
    </row>
    <row r="53" spans="1:21" ht="15" customHeight="1" x14ac:dyDescent="0.2">
      <c r="A53" s="459">
        <v>48</v>
      </c>
      <c r="B53" s="540">
        <v>45824</v>
      </c>
      <c r="C53" s="541" t="s">
        <v>125</v>
      </c>
      <c r="D53" s="542" t="s">
        <v>3769</v>
      </c>
      <c r="E53" s="543">
        <v>111570003</v>
      </c>
      <c r="F53" s="442" t="str">
        <f t="shared" si="4"/>
        <v>COCINA GOURMET BBQ 4100 G SS</v>
      </c>
      <c r="G53" s="542" t="s">
        <v>3770</v>
      </c>
      <c r="H53" s="443" t="s">
        <v>3766</v>
      </c>
      <c r="I53" s="544" t="s">
        <v>62</v>
      </c>
      <c r="J53" s="544" t="s">
        <v>63</v>
      </c>
      <c r="K53" s="540">
        <v>45866</v>
      </c>
      <c r="L53" s="541" t="s">
        <v>3544</v>
      </c>
      <c r="M53" s="541" t="s">
        <v>328</v>
      </c>
      <c r="N53" s="545">
        <v>998523465</v>
      </c>
      <c r="O53" s="546">
        <v>29</v>
      </c>
      <c r="P53" s="541" t="s">
        <v>69</v>
      </c>
      <c r="Q53" s="541" t="s">
        <v>64</v>
      </c>
      <c r="R53" s="547"/>
      <c r="S53" s="547" t="str">
        <f>D53</f>
        <v>017-901-000116470</v>
      </c>
      <c r="T53" s="548" t="s">
        <v>3771</v>
      </c>
      <c r="U53" s="549" t="s">
        <v>3772</v>
      </c>
    </row>
    <row r="54" spans="1:21" ht="15" customHeight="1" x14ac:dyDescent="0.2">
      <c r="A54" s="459">
        <v>49</v>
      </c>
      <c r="B54" s="540">
        <v>45875</v>
      </c>
      <c r="C54" s="541" t="s">
        <v>100</v>
      </c>
      <c r="D54" s="542" t="s">
        <v>3773</v>
      </c>
      <c r="E54" s="543">
        <v>111570003</v>
      </c>
      <c r="F54" s="442" t="str">
        <f t="shared" si="4"/>
        <v>COCINA GOURMET BBQ 4100 G SS</v>
      </c>
      <c r="G54" s="542" t="s">
        <v>3774</v>
      </c>
      <c r="H54" s="443" t="s">
        <v>3766</v>
      </c>
      <c r="I54" s="544" t="s">
        <v>62</v>
      </c>
      <c r="J54" s="544" t="s">
        <v>63</v>
      </c>
      <c r="K54" s="540">
        <v>45877</v>
      </c>
      <c r="L54" s="541" t="s">
        <v>3775</v>
      </c>
      <c r="M54" s="541" t="s">
        <v>3776</v>
      </c>
      <c r="N54" s="545">
        <v>997557010</v>
      </c>
      <c r="O54" s="546">
        <v>29</v>
      </c>
      <c r="P54" s="541" t="s">
        <v>69</v>
      </c>
      <c r="Q54" s="541" t="s">
        <v>64</v>
      </c>
      <c r="R54" s="547"/>
      <c r="S54" s="547" t="str">
        <f t="shared" ref="S54" si="5">D54</f>
        <v>001-500-000075767</v>
      </c>
      <c r="T54" s="550" t="s">
        <v>3777</v>
      </c>
      <c r="U54" s="549" t="s">
        <v>3778</v>
      </c>
    </row>
    <row r="55" spans="1:21" ht="15" customHeight="1" x14ac:dyDescent="0.2">
      <c r="A55" s="459">
        <v>50</v>
      </c>
      <c r="B55" s="540">
        <v>45870</v>
      </c>
      <c r="C55" s="541" t="s">
        <v>1185</v>
      </c>
      <c r="D55" s="542" t="s">
        <v>41</v>
      </c>
      <c r="E55" s="543">
        <v>111570002</v>
      </c>
      <c r="F55" s="442" t="str">
        <f t="shared" ref="F55:F57" si="6">VLOOKUP(E55,PROD,2,FALSE)</f>
        <v>COCINA GOURMET BBQ 3100 G BK-SS</v>
      </c>
      <c r="G55" s="542" t="s">
        <v>4295</v>
      </c>
      <c r="H55" s="443" t="s">
        <v>3766</v>
      </c>
      <c r="I55" s="544" t="s">
        <v>62</v>
      </c>
      <c r="J55" s="544" t="s">
        <v>63</v>
      </c>
      <c r="K55" s="540">
        <v>45890</v>
      </c>
      <c r="L55" s="541" t="s">
        <v>4296</v>
      </c>
      <c r="M55" s="541" t="s">
        <v>4297</v>
      </c>
      <c r="N55" s="545">
        <v>987001205</v>
      </c>
      <c r="O55" s="546">
        <v>29</v>
      </c>
      <c r="P55" s="541" t="s">
        <v>70</v>
      </c>
      <c r="Q55" s="541" t="s">
        <v>64</v>
      </c>
      <c r="R55" s="547"/>
      <c r="S55" s="547" t="str">
        <f>D55</f>
        <v>SAP</v>
      </c>
      <c r="T55" s="548" t="s">
        <v>4298</v>
      </c>
      <c r="U55" s="549" t="s">
        <v>4299</v>
      </c>
    </row>
    <row r="56" spans="1:21" ht="15" customHeight="1" x14ac:dyDescent="0.2">
      <c r="A56" s="459">
        <v>51</v>
      </c>
      <c r="B56" s="540">
        <v>45870</v>
      </c>
      <c r="C56" s="541" t="s">
        <v>1185</v>
      </c>
      <c r="D56" s="542" t="s">
        <v>41</v>
      </c>
      <c r="E56" s="543">
        <v>111570003</v>
      </c>
      <c r="F56" s="442" t="str">
        <f t="shared" si="6"/>
        <v>COCINA GOURMET BBQ 4100 G SS</v>
      </c>
      <c r="G56" s="542" t="s">
        <v>4300</v>
      </c>
      <c r="H56" s="443" t="s">
        <v>3766</v>
      </c>
      <c r="I56" s="544" t="s">
        <v>62</v>
      </c>
      <c r="J56" s="544" t="s">
        <v>63</v>
      </c>
      <c r="K56" s="540">
        <v>45890</v>
      </c>
      <c r="L56" s="541" t="s">
        <v>4296</v>
      </c>
      <c r="M56" s="541" t="s">
        <v>4297</v>
      </c>
      <c r="N56" s="545">
        <v>987001205</v>
      </c>
      <c r="O56" s="546">
        <v>29</v>
      </c>
      <c r="P56" s="541" t="s">
        <v>70</v>
      </c>
      <c r="Q56" s="541" t="s">
        <v>64</v>
      </c>
      <c r="R56" s="547"/>
      <c r="S56" s="547" t="str">
        <f>D56</f>
        <v>SAP</v>
      </c>
      <c r="T56" s="548" t="s">
        <v>4298</v>
      </c>
      <c r="U56" s="549" t="s">
        <v>4299</v>
      </c>
    </row>
    <row r="57" spans="1:21" ht="15" customHeight="1" x14ac:dyDescent="0.2">
      <c r="A57" s="459">
        <v>52</v>
      </c>
      <c r="B57" s="540">
        <v>45891</v>
      </c>
      <c r="C57" s="541" t="s">
        <v>125</v>
      </c>
      <c r="D57" s="542" t="s">
        <v>4301</v>
      </c>
      <c r="E57" s="543">
        <v>111570003</v>
      </c>
      <c r="F57" s="442" t="str">
        <f t="shared" si="6"/>
        <v>COCINA GOURMET BBQ 4100 G SS</v>
      </c>
      <c r="G57" s="542" t="s">
        <v>4302</v>
      </c>
      <c r="H57" s="443" t="s">
        <v>3766</v>
      </c>
      <c r="I57" s="544" t="s">
        <v>62</v>
      </c>
      <c r="J57" s="544" t="s">
        <v>63</v>
      </c>
      <c r="K57" s="540">
        <v>45892</v>
      </c>
      <c r="L57" s="541" t="s">
        <v>4303</v>
      </c>
      <c r="M57" s="541" t="s">
        <v>4304</v>
      </c>
      <c r="N57" s="545">
        <v>990771871</v>
      </c>
      <c r="O57" s="546">
        <v>29</v>
      </c>
      <c r="P57" s="541" t="s">
        <v>69</v>
      </c>
      <c r="Q57" s="541" t="s">
        <v>64</v>
      </c>
      <c r="R57" s="547"/>
      <c r="S57" s="547" t="str">
        <f t="shared" ref="S57:S62" si="7">D57</f>
        <v>043-906-000050121</v>
      </c>
      <c r="T57" s="550" t="s">
        <v>4305</v>
      </c>
      <c r="U57" s="549" t="s">
        <v>4306</v>
      </c>
    </row>
    <row r="58" spans="1:21" ht="15" customHeight="1" x14ac:dyDescent="0.2">
      <c r="A58" s="459">
        <v>53</v>
      </c>
      <c r="B58" s="540">
        <v>45895</v>
      </c>
      <c r="C58" s="541" t="s">
        <v>190</v>
      </c>
      <c r="D58" s="542" t="s">
        <v>4307</v>
      </c>
      <c r="E58" s="543">
        <v>111570003</v>
      </c>
      <c r="F58" s="442" t="str">
        <f t="shared" ref="F58:F60" si="8">VLOOKUP(E58,PROD,2,FALSE)</f>
        <v>COCINA GOURMET BBQ 4100 G SS</v>
      </c>
      <c r="G58" s="542" t="s">
        <v>4308</v>
      </c>
      <c r="H58" s="443" t="s">
        <v>3766</v>
      </c>
      <c r="I58" s="544" t="s">
        <v>62</v>
      </c>
      <c r="J58" s="544" t="s">
        <v>63</v>
      </c>
      <c r="K58" s="540">
        <v>45908</v>
      </c>
      <c r="L58" s="541" t="s">
        <v>4309</v>
      </c>
      <c r="M58" s="541" t="s">
        <v>4310</v>
      </c>
      <c r="N58" s="545">
        <v>982757711</v>
      </c>
      <c r="O58" s="546">
        <v>29</v>
      </c>
      <c r="P58" s="541" t="s">
        <v>69</v>
      </c>
      <c r="Q58" s="541" t="s">
        <v>64</v>
      </c>
      <c r="R58" s="547"/>
      <c r="S58" s="547" t="str">
        <f t="shared" si="7"/>
        <v>006-002-000158018</v>
      </c>
      <c r="T58" s="550" t="s">
        <v>4311</v>
      </c>
      <c r="U58" s="549" t="s">
        <v>4312</v>
      </c>
    </row>
    <row r="59" spans="1:21" ht="15" customHeight="1" x14ac:dyDescent="0.2">
      <c r="A59" s="459">
        <v>54</v>
      </c>
      <c r="B59" s="540">
        <v>45897</v>
      </c>
      <c r="C59" s="541" t="s">
        <v>75</v>
      </c>
      <c r="D59" s="542" t="s">
        <v>4313</v>
      </c>
      <c r="E59" s="543">
        <v>111570003</v>
      </c>
      <c r="F59" s="442" t="str">
        <f t="shared" si="8"/>
        <v>COCINA GOURMET BBQ 4100 G SS</v>
      </c>
      <c r="G59" s="542" t="s">
        <v>4314</v>
      </c>
      <c r="H59" s="443" t="s">
        <v>3766</v>
      </c>
      <c r="I59" s="544" t="s">
        <v>62</v>
      </c>
      <c r="J59" s="544" t="s">
        <v>63</v>
      </c>
      <c r="K59" s="540">
        <v>45910</v>
      </c>
      <c r="L59" s="541" t="s">
        <v>4142</v>
      </c>
      <c r="M59" s="541" t="s">
        <v>4315</v>
      </c>
      <c r="N59" s="545">
        <v>998161675</v>
      </c>
      <c r="O59" s="546">
        <v>29</v>
      </c>
      <c r="P59" s="541" t="s">
        <v>69</v>
      </c>
      <c r="Q59" s="541" t="s">
        <v>64</v>
      </c>
      <c r="R59" s="547"/>
      <c r="S59" s="547" t="str">
        <f t="shared" si="7"/>
        <v>001-001-000001257</v>
      </c>
      <c r="T59" s="550" t="s">
        <v>4316</v>
      </c>
      <c r="U59" s="549" t="s">
        <v>4144</v>
      </c>
    </row>
    <row r="60" spans="1:21" ht="15" customHeight="1" x14ac:dyDescent="0.2">
      <c r="A60" s="459">
        <v>55</v>
      </c>
      <c r="B60" s="540">
        <v>45907</v>
      </c>
      <c r="C60" s="541" t="s">
        <v>187</v>
      </c>
      <c r="D60" s="542" t="s">
        <v>4317</v>
      </c>
      <c r="E60" s="543">
        <v>111570003</v>
      </c>
      <c r="F60" s="442" t="str">
        <f t="shared" si="8"/>
        <v>COCINA GOURMET BBQ 4100 G SS</v>
      </c>
      <c r="G60" s="542" t="s">
        <v>4318</v>
      </c>
      <c r="H60" s="443" t="s">
        <v>3766</v>
      </c>
      <c r="I60" s="544" t="s">
        <v>62</v>
      </c>
      <c r="J60" s="544" t="s">
        <v>63</v>
      </c>
      <c r="K60" s="540">
        <v>45912</v>
      </c>
      <c r="L60" s="541" t="s">
        <v>4319</v>
      </c>
      <c r="M60" s="541" t="s">
        <v>533</v>
      </c>
      <c r="N60" s="545">
        <v>999072912</v>
      </c>
      <c r="O60" s="546">
        <v>29</v>
      </c>
      <c r="P60" s="541" t="s">
        <v>69</v>
      </c>
      <c r="Q60" s="541" t="s">
        <v>64</v>
      </c>
      <c r="R60" s="547"/>
      <c r="S60" s="547" t="str">
        <f t="shared" si="7"/>
        <v>040-105-000002021</v>
      </c>
      <c r="T60" s="550" t="s">
        <v>4320</v>
      </c>
      <c r="U60" s="549" t="s">
        <v>4321</v>
      </c>
    </row>
    <row r="61" spans="1:21" ht="15" customHeight="1" x14ac:dyDescent="0.2">
      <c r="A61" s="459">
        <v>56</v>
      </c>
      <c r="B61" s="540">
        <v>45907</v>
      </c>
      <c r="C61" s="541" t="s">
        <v>187</v>
      </c>
      <c r="D61" s="542" t="s">
        <v>4317</v>
      </c>
      <c r="E61" s="543">
        <v>111570003</v>
      </c>
      <c r="F61" s="442" t="str">
        <f t="shared" ref="F61" si="9">VLOOKUP(E61,PROD,2,FALSE)</f>
        <v>COCINA GOURMET BBQ 4100 G SS</v>
      </c>
      <c r="G61" s="542" t="s">
        <v>4318</v>
      </c>
      <c r="H61" s="443" t="s">
        <v>3766</v>
      </c>
      <c r="I61" s="544" t="s">
        <v>62</v>
      </c>
      <c r="J61" s="544" t="s">
        <v>63</v>
      </c>
      <c r="K61" s="540">
        <v>45912</v>
      </c>
      <c r="L61" s="541" t="s">
        <v>4319</v>
      </c>
      <c r="M61" s="541" t="s">
        <v>533</v>
      </c>
      <c r="N61" s="545">
        <v>999072912</v>
      </c>
      <c r="O61" s="546">
        <v>29</v>
      </c>
      <c r="P61" s="541" t="s">
        <v>69</v>
      </c>
      <c r="Q61" s="541" t="s">
        <v>64</v>
      </c>
      <c r="R61" s="547"/>
      <c r="S61" s="547" t="str">
        <f t="shared" si="7"/>
        <v>040-105-000002021</v>
      </c>
      <c r="T61" s="550" t="s">
        <v>4320</v>
      </c>
      <c r="U61" s="549" t="s">
        <v>4321</v>
      </c>
    </row>
    <row r="62" spans="1:21" ht="15" customHeight="1" x14ac:dyDescent="0.2">
      <c r="A62" s="459">
        <v>57</v>
      </c>
      <c r="B62" s="540">
        <v>45911</v>
      </c>
      <c r="C62" s="541" t="s">
        <v>125</v>
      </c>
      <c r="D62" s="542" t="s">
        <v>4322</v>
      </c>
      <c r="E62" s="543">
        <v>111570002</v>
      </c>
      <c r="F62" s="442" t="str">
        <f t="shared" ref="F62" si="10">VLOOKUP(E62,PROD,2,FALSE)</f>
        <v>COCINA GOURMET BBQ 3100 G BK-SS</v>
      </c>
      <c r="G62" s="542" t="s">
        <v>4323</v>
      </c>
      <c r="H62" s="443" t="s">
        <v>3766</v>
      </c>
      <c r="I62" s="544" t="s">
        <v>62</v>
      </c>
      <c r="J62" s="544" t="s">
        <v>63</v>
      </c>
      <c r="K62" s="540">
        <v>45916</v>
      </c>
      <c r="L62" s="541" t="s">
        <v>4324</v>
      </c>
      <c r="M62" s="541" t="s">
        <v>4325</v>
      </c>
      <c r="N62" s="545">
        <v>998077046</v>
      </c>
      <c r="O62" s="546">
        <v>29</v>
      </c>
      <c r="P62" s="541" t="s">
        <v>69</v>
      </c>
      <c r="Q62" s="541" t="s">
        <v>64</v>
      </c>
      <c r="R62" s="547"/>
      <c r="S62" s="547" t="str">
        <f t="shared" si="7"/>
        <v>043-902-000061233</v>
      </c>
      <c r="T62" s="550" t="s">
        <v>4326</v>
      </c>
      <c r="U62" s="549" t="s">
        <v>4327</v>
      </c>
    </row>
    <row r="63" spans="1:21" ht="15" customHeight="1" x14ac:dyDescent="0.2">
      <c r="A63" s="459">
        <v>58</v>
      </c>
      <c r="B63" s="551">
        <v>45919</v>
      </c>
      <c r="C63" s="552" t="s">
        <v>125</v>
      </c>
      <c r="D63" s="445" t="s">
        <v>4965</v>
      </c>
      <c r="E63" s="164">
        <v>111570003</v>
      </c>
      <c r="F63" s="444" t="s">
        <v>4287</v>
      </c>
      <c r="G63" s="553" t="s">
        <v>4966</v>
      </c>
      <c r="H63" s="445" t="s">
        <v>3766</v>
      </c>
      <c r="I63" s="554" t="s">
        <v>62</v>
      </c>
      <c r="J63" s="554" t="s">
        <v>63</v>
      </c>
      <c r="K63" s="555">
        <v>45924</v>
      </c>
      <c r="L63" s="552" t="s">
        <v>4967</v>
      </c>
      <c r="M63" s="552" t="s">
        <v>4968</v>
      </c>
      <c r="N63" s="556">
        <v>987840178</v>
      </c>
      <c r="O63" s="557">
        <v>29</v>
      </c>
      <c r="P63" s="552" t="s">
        <v>69</v>
      </c>
      <c r="Q63" s="552" t="s">
        <v>64</v>
      </c>
      <c r="R63" s="558"/>
      <c r="S63" s="558" t="s">
        <v>4969</v>
      </c>
      <c r="T63" s="559" t="s">
        <v>4970</v>
      </c>
      <c r="U63" s="560" t="s">
        <v>4971</v>
      </c>
    </row>
    <row r="64" spans="1:21" ht="15" customHeight="1" x14ac:dyDescent="0.2">
      <c r="A64" s="459">
        <v>59</v>
      </c>
      <c r="B64" s="166">
        <v>45879</v>
      </c>
      <c r="C64" s="561" t="s">
        <v>125</v>
      </c>
      <c r="D64" s="168" t="s">
        <v>4972</v>
      </c>
      <c r="E64" s="165">
        <v>111570003</v>
      </c>
      <c r="F64" s="444" t="s">
        <v>4287</v>
      </c>
      <c r="G64" s="562" t="s">
        <v>4973</v>
      </c>
      <c r="H64" s="168" t="s">
        <v>3766</v>
      </c>
      <c r="I64" s="563" t="s">
        <v>62</v>
      </c>
      <c r="J64" s="563" t="s">
        <v>63</v>
      </c>
      <c r="K64" s="167">
        <v>45929</v>
      </c>
      <c r="L64" s="561" t="s">
        <v>4974</v>
      </c>
      <c r="M64" s="561" t="s">
        <v>1268</v>
      </c>
      <c r="N64" s="564">
        <v>987546847</v>
      </c>
      <c r="O64" s="565">
        <v>29</v>
      </c>
      <c r="P64" s="561" t="s">
        <v>69</v>
      </c>
      <c r="Q64" s="561" t="s">
        <v>64</v>
      </c>
      <c r="R64" s="566"/>
      <c r="S64" s="566" t="s">
        <v>4975</v>
      </c>
      <c r="T64" s="567" t="s">
        <v>4976</v>
      </c>
      <c r="U64" s="568" t="s">
        <v>4977</v>
      </c>
    </row>
    <row r="65" spans="1:21" ht="15" customHeight="1" x14ac:dyDescent="0.2">
      <c r="A65" s="459">
        <v>60</v>
      </c>
      <c r="B65" s="166">
        <v>45901</v>
      </c>
      <c r="C65" s="561" t="s">
        <v>1185</v>
      </c>
      <c r="D65" s="168" t="s">
        <v>41</v>
      </c>
      <c r="E65" s="165">
        <v>111570002</v>
      </c>
      <c r="F65" s="444" t="s">
        <v>4978</v>
      </c>
      <c r="G65" s="562" t="s">
        <v>4979</v>
      </c>
      <c r="H65" s="168" t="s">
        <v>3766</v>
      </c>
      <c r="I65" s="563" t="s">
        <v>62</v>
      </c>
      <c r="J65" s="563" t="s">
        <v>63</v>
      </c>
      <c r="K65" s="167">
        <v>45930</v>
      </c>
      <c r="L65" s="561" t="s">
        <v>4980</v>
      </c>
      <c r="M65" s="561" t="s">
        <v>1179</v>
      </c>
      <c r="N65" s="564">
        <v>965511148</v>
      </c>
      <c r="O65" s="565">
        <v>29</v>
      </c>
      <c r="P65" s="561" t="s">
        <v>70</v>
      </c>
      <c r="Q65" s="561" t="s">
        <v>64</v>
      </c>
      <c r="R65" s="566"/>
      <c r="S65" s="566" t="s">
        <v>4981</v>
      </c>
      <c r="T65" s="569" t="s">
        <v>4982</v>
      </c>
      <c r="U65" s="568" t="s">
        <v>4983</v>
      </c>
    </row>
    <row r="66" spans="1:21" ht="15" customHeight="1" x14ac:dyDescent="0.2">
      <c r="A66" s="459">
        <v>61</v>
      </c>
      <c r="B66" s="166">
        <v>45901</v>
      </c>
      <c r="C66" s="561" t="s">
        <v>1185</v>
      </c>
      <c r="D66" s="168" t="s">
        <v>41</v>
      </c>
      <c r="E66" s="165">
        <v>111570002</v>
      </c>
      <c r="F66" s="444" t="s">
        <v>4978</v>
      </c>
      <c r="G66" s="562" t="s">
        <v>4984</v>
      </c>
      <c r="H66" s="168" t="s">
        <v>3766</v>
      </c>
      <c r="I66" s="563" t="s">
        <v>62</v>
      </c>
      <c r="J66" s="563" t="s">
        <v>63</v>
      </c>
      <c r="K66" s="167">
        <v>45930</v>
      </c>
      <c r="L66" s="561" t="s">
        <v>4980</v>
      </c>
      <c r="M66" s="561" t="s">
        <v>1179</v>
      </c>
      <c r="N66" s="564">
        <v>965511148</v>
      </c>
      <c r="O66" s="565">
        <v>29</v>
      </c>
      <c r="P66" s="561" t="s">
        <v>70</v>
      </c>
      <c r="Q66" s="561" t="s">
        <v>64</v>
      </c>
      <c r="R66" s="566"/>
      <c r="S66" s="566" t="s">
        <v>4981</v>
      </c>
      <c r="T66" s="569" t="s">
        <v>4982</v>
      </c>
      <c r="U66" s="568" t="s">
        <v>4983</v>
      </c>
    </row>
    <row r="67" spans="1:21" ht="15" customHeight="1" x14ac:dyDescent="0.2">
      <c r="A67" s="459">
        <v>62</v>
      </c>
      <c r="B67" s="166">
        <v>45927</v>
      </c>
      <c r="C67" s="561" t="s">
        <v>100</v>
      </c>
      <c r="D67" s="168" t="s">
        <v>4985</v>
      </c>
      <c r="E67" s="165">
        <v>111570002</v>
      </c>
      <c r="F67" s="444" t="s">
        <v>4978</v>
      </c>
      <c r="G67" s="562" t="s">
        <v>4986</v>
      </c>
      <c r="H67" s="168" t="s">
        <v>3766</v>
      </c>
      <c r="I67" s="563" t="s">
        <v>62</v>
      </c>
      <c r="J67" s="563" t="s">
        <v>63</v>
      </c>
      <c r="K67" s="167">
        <v>45930</v>
      </c>
      <c r="L67" s="561" t="s">
        <v>4987</v>
      </c>
      <c r="M67" s="561" t="s">
        <v>4988</v>
      </c>
      <c r="N67" s="564">
        <v>958898441</v>
      </c>
      <c r="O67" s="565">
        <v>29</v>
      </c>
      <c r="P67" s="561" t="s">
        <v>69</v>
      </c>
      <c r="Q67" s="561" t="s">
        <v>64</v>
      </c>
      <c r="R67" s="566"/>
      <c r="S67" s="566" t="s">
        <v>4989</v>
      </c>
      <c r="T67" s="569" t="s">
        <v>4990</v>
      </c>
      <c r="U67" s="568" t="s">
        <v>4991</v>
      </c>
    </row>
    <row r="68" spans="1:21" ht="15" customHeight="1" x14ac:dyDescent="0.2">
      <c r="A68" s="459">
        <v>63</v>
      </c>
      <c r="B68" s="166">
        <v>45933</v>
      </c>
      <c r="C68" s="561" t="s">
        <v>100</v>
      </c>
      <c r="D68" s="168" t="s">
        <v>4992</v>
      </c>
      <c r="E68" s="165">
        <v>111570003</v>
      </c>
      <c r="F68" s="444" t="s">
        <v>4287</v>
      </c>
      <c r="G68" s="562" t="s">
        <v>4993</v>
      </c>
      <c r="H68" s="168" t="s">
        <v>3766</v>
      </c>
      <c r="I68" s="563" t="s">
        <v>62</v>
      </c>
      <c r="J68" s="563" t="s">
        <v>63</v>
      </c>
      <c r="K68" s="167">
        <v>45937</v>
      </c>
      <c r="L68" s="561" t="s">
        <v>4994</v>
      </c>
      <c r="M68" s="561" t="s">
        <v>4995</v>
      </c>
      <c r="N68" s="564">
        <v>93983855011</v>
      </c>
      <c r="O68" s="565">
        <v>29</v>
      </c>
      <c r="P68" s="561" t="s">
        <v>69</v>
      </c>
      <c r="Q68" s="561" t="s">
        <v>64</v>
      </c>
      <c r="R68" s="566"/>
      <c r="S68" s="566" t="s">
        <v>4996</v>
      </c>
      <c r="T68" s="569" t="s">
        <v>4997</v>
      </c>
      <c r="U68" s="568" t="s">
        <v>4998</v>
      </c>
    </row>
    <row r="69" spans="1:21" ht="15" customHeight="1" x14ac:dyDescent="0.2">
      <c r="A69" s="459">
        <v>64</v>
      </c>
      <c r="B69" s="166">
        <v>45874</v>
      </c>
      <c r="C69" s="561" t="s">
        <v>125</v>
      </c>
      <c r="D69" s="168" t="s">
        <v>4857</v>
      </c>
      <c r="E69" s="165">
        <v>111570003</v>
      </c>
      <c r="F69" s="444" t="s">
        <v>4287</v>
      </c>
      <c r="G69" s="562" t="s">
        <v>2312</v>
      </c>
      <c r="H69" s="168" t="s">
        <v>3766</v>
      </c>
      <c r="I69" s="563" t="s">
        <v>62</v>
      </c>
      <c r="J69" s="563" t="s">
        <v>63</v>
      </c>
      <c r="K69" s="167">
        <v>45947</v>
      </c>
      <c r="L69" s="561" t="s">
        <v>4853</v>
      </c>
      <c r="M69" s="561" t="s">
        <v>4999</v>
      </c>
      <c r="N69" s="564">
        <v>994903708</v>
      </c>
      <c r="O69" s="565">
        <v>29</v>
      </c>
      <c r="P69" s="561" t="s">
        <v>69</v>
      </c>
      <c r="Q69" s="561" t="s">
        <v>64</v>
      </c>
      <c r="R69" s="566"/>
      <c r="S69" s="566" t="s">
        <v>5000</v>
      </c>
      <c r="T69" s="569" t="s">
        <v>5001</v>
      </c>
      <c r="U69" s="568" t="s">
        <v>5002</v>
      </c>
    </row>
    <row r="70" spans="1:21" ht="15" customHeight="1" x14ac:dyDescent="0.2">
      <c r="A70" s="459">
        <v>65</v>
      </c>
      <c r="B70" s="551">
        <v>45950</v>
      </c>
      <c r="C70" s="552" t="s">
        <v>1185</v>
      </c>
      <c r="D70" s="445" t="s">
        <v>41</v>
      </c>
      <c r="E70" s="164">
        <v>111570002</v>
      </c>
      <c r="F70" s="444" t="s">
        <v>4978</v>
      </c>
      <c r="G70" s="553" t="s">
        <v>5567</v>
      </c>
      <c r="H70" s="445" t="s">
        <v>3766</v>
      </c>
      <c r="I70" s="554" t="s">
        <v>62</v>
      </c>
      <c r="J70" s="554" t="s">
        <v>63</v>
      </c>
      <c r="K70" s="555">
        <v>45950</v>
      </c>
      <c r="L70" s="552" t="s">
        <v>5568</v>
      </c>
      <c r="M70" s="552" t="s">
        <v>5569</v>
      </c>
      <c r="N70" s="556">
        <v>963517484</v>
      </c>
      <c r="O70" s="557">
        <v>29</v>
      </c>
      <c r="P70" s="552" t="s">
        <v>70</v>
      </c>
      <c r="Q70" s="552" t="s">
        <v>64</v>
      </c>
      <c r="R70" s="558"/>
      <c r="S70" s="558" t="s">
        <v>4981</v>
      </c>
      <c r="T70" s="559" t="s">
        <v>5570</v>
      </c>
      <c r="U70" s="570" t="s">
        <v>5571</v>
      </c>
    </row>
    <row r="71" spans="1:21" ht="15" customHeight="1" x14ac:dyDescent="0.2">
      <c r="A71" s="459">
        <v>66</v>
      </c>
      <c r="B71" s="166">
        <v>45950</v>
      </c>
      <c r="C71" s="561" t="s">
        <v>1185</v>
      </c>
      <c r="D71" s="168" t="s">
        <v>41</v>
      </c>
      <c r="E71" s="165">
        <v>111570002</v>
      </c>
      <c r="F71" s="444" t="s">
        <v>4978</v>
      </c>
      <c r="G71" s="562" t="s">
        <v>5572</v>
      </c>
      <c r="H71" s="168" t="s">
        <v>3766</v>
      </c>
      <c r="I71" s="563" t="s">
        <v>62</v>
      </c>
      <c r="J71" s="563" t="s">
        <v>63</v>
      </c>
      <c r="K71" s="167">
        <v>45950</v>
      </c>
      <c r="L71" s="561" t="s">
        <v>5568</v>
      </c>
      <c r="M71" s="561" t="s">
        <v>5569</v>
      </c>
      <c r="N71" s="564">
        <v>963517484</v>
      </c>
      <c r="O71" s="565">
        <v>29</v>
      </c>
      <c r="P71" s="561" t="s">
        <v>70</v>
      </c>
      <c r="Q71" s="561" t="s">
        <v>64</v>
      </c>
      <c r="R71" s="566"/>
      <c r="S71" s="566" t="s">
        <v>4981</v>
      </c>
      <c r="T71" s="567" t="s">
        <v>5570</v>
      </c>
      <c r="U71" s="571" t="s">
        <v>5571</v>
      </c>
    </row>
    <row r="72" spans="1:21" ht="15" customHeight="1" x14ac:dyDescent="0.2">
      <c r="A72" s="459">
        <v>67</v>
      </c>
      <c r="B72" s="166">
        <v>45950</v>
      </c>
      <c r="C72" s="561" t="s">
        <v>1185</v>
      </c>
      <c r="D72" s="168" t="s">
        <v>41</v>
      </c>
      <c r="E72" s="165">
        <v>111570003</v>
      </c>
      <c r="F72" s="444" t="s">
        <v>4287</v>
      </c>
      <c r="G72" s="562" t="s">
        <v>5573</v>
      </c>
      <c r="H72" s="168" t="s">
        <v>3766</v>
      </c>
      <c r="I72" s="563" t="s">
        <v>62</v>
      </c>
      <c r="J72" s="563" t="s">
        <v>63</v>
      </c>
      <c r="K72" s="167">
        <v>45950</v>
      </c>
      <c r="L72" s="561" t="s">
        <v>5568</v>
      </c>
      <c r="M72" s="561" t="s">
        <v>5569</v>
      </c>
      <c r="N72" s="564">
        <v>963517484</v>
      </c>
      <c r="O72" s="565">
        <v>29</v>
      </c>
      <c r="P72" s="561" t="s">
        <v>70</v>
      </c>
      <c r="Q72" s="561" t="s">
        <v>64</v>
      </c>
      <c r="R72" s="566"/>
      <c r="S72" s="566" t="s">
        <v>4981</v>
      </c>
      <c r="T72" s="567" t="s">
        <v>5570</v>
      </c>
      <c r="U72" s="571" t="s">
        <v>5571</v>
      </c>
    </row>
    <row r="73" spans="1:21" ht="15" customHeight="1" x14ac:dyDescent="0.2">
      <c r="A73" s="459">
        <v>68</v>
      </c>
      <c r="B73" s="166">
        <v>45950</v>
      </c>
      <c r="C73" s="561" t="s">
        <v>1185</v>
      </c>
      <c r="D73" s="168" t="s">
        <v>41</v>
      </c>
      <c r="E73" s="165">
        <v>111570003</v>
      </c>
      <c r="F73" s="444" t="s">
        <v>4287</v>
      </c>
      <c r="G73" s="562" t="s">
        <v>5574</v>
      </c>
      <c r="H73" s="168" t="s">
        <v>3766</v>
      </c>
      <c r="I73" s="563" t="s">
        <v>62</v>
      </c>
      <c r="J73" s="563" t="s">
        <v>63</v>
      </c>
      <c r="K73" s="167">
        <v>45950</v>
      </c>
      <c r="L73" s="561" t="s">
        <v>5568</v>
      </c>
      <c r="M73" s="561" t="s">
        <v>5569</v>
      </c>
      <c r="N73" s="564">
        <v>963517484</v>
      </c>
      <c r="O73" s="565">
        <v>29</v>
      </c>
      <c r="P73" s="561" t="s">
        <v>70</v>
      </c>
      <c r="Q73" s="561" t="s">
        <v>64</v>
      </c>
      <c r="R73" s="566"/>
      <c r="S73" s="566" t="s">
        <v>4981</v>
      </c>
      <c r="T73" s="567" t="s">
        <v>5570</v>
      </c>
      <c r="U73" s="571" t="s">
        <v>5571</v>
      </c>
    </row>
    <row r="74" spans="1:21" ht="15" customHeight="1" x14ac:dyDescent="0.2">
      <c r="A74" s="459">
        <v>69</v>
      </c>
      <c r="B74" s="166">
        <v>45938</v>
      </c>
      <c r="C74" s="561" t="s">
        <v>100</v>
      </c>
      <c r="D74" s="168" t="s">
        <v>5575</v>
      </c>
      <c r="E74" s="165">
        <v>111570003</v>
      </c>
      <c r="F74" s="444" t="s">
        <v>4287</v>
      </c>
      <c r="G74" s="562" t="s">
        <v>5576</v>
      </c>
      <c r="H74" s="168" t="s">
        <v>3766</v>
      </c>
      <c r="I74" s="563" t="s">
        <v>62</v>
      </c>
      <c r="J74" s="563" t="s">
        <v>63</v>
      </c>
      <c r="K74" s="167">
        <v>45951</v>
      </c>
      <c r="L74" s="561" t="s">
        <v>100</v>
      </c>
      <c r="M74" s="561" t="s">
        <v>5577</v>
      </c>
      <c r="N74" s="564">
        <v>986118566</v>
      </c>
      <c r="O74" s="565">
        <v>29</v>
      </c>
      <c r="P74" s="561" t="s">
        <v>69</v>
      </c>
      <c r="Q74" s="561" t="s">
        <v>64</v>
      </c>
      <c r="R74" s="566"/>
      <c r="S74" s="566" t="s">
        <v>5578</v>
      </c>
      <c r="T74" s="569" t="s">
        <v>5579</v>
      </c>
      <c r="U74" s="568" t="s">
        <v>5580</v>
      </c>
    </row>
    <row r="75" spans="1:21" ht="15" customHeight="1" x14ac:dyDescent="0.2">
      <c r="A75" s="459">
        <v>70</v>
      </c>
      <c r="B75" s="166">
        <v>45941</v>
      </c>
      <c r="C75" s="561" t="s">
        <v>125</v>
      </c>
      <c r="D75" s="168" t="s">
        <v>5581</v>
      </c>
      <c r="E75" s="165">
        <v>111570002</v>
      </c>
      <c r="F75" s="444" t="s">
        <v>4978</v>
      </c>
      <c r="G75" s="562" t="s">
        <v>5582</v>
      </c>
      <c r="H75" s="168" t="s">
        <v>3766</v>
      </c>
      <c r="I75" s="563" t="s">
        <v>62</v>
      </c>
      <c r="J75" s="563" t="s">
        <v>63</v>
      </c>
      <c r="K75" s="167" t="s">
        <v>5583</v>
      </c>
      <c r="L75" s="561" t="s">
        <v>5584</v>
      </c>
      <c r="M75" s="561" t="s">
        <v>2118</v>
      </c>
      <c r="N75" s="564">
        <v>999753668</v>
      </c>
      <c r="O75" s="565">
        <v>29</v>
      </c>
      <c r="P75" s="561" t="s">
        <v>69</v>
      </c>
      <c r="Q75" s="561" t="s">
        <v>64</v>
      </c>
      <c r="R75" s="566"/>
      <c r="S75" s="566" t="s">
        <v>5585</v>
      </c>
      <c r="T75" s="569" t="s">
        <v>5586</v>
      </c>
      <c r="U75" s="568" t="s">
        <v>5587</v>
      </c>
    </row>
    <row r="76" spans="1:21" ht="15" customHeight="1" x14ac:dyDescent="0.2">
      <c r="A76" s="459">
        <v>71</v>
      </c>
      <c r="B76" s="166">
        <v>45952</v>
      </c>
      <c r="C76" s="561" t="s">
        <v>1185</v>
      </c>
      <c r="D76" s="168" t="s">
        <v>41</v>
      </c>
      <c r="E76" s="165">
        <v>111570002</v>
      </c>
      <c r="F76" s="444" t="s">
        <v>4978</v>
      </c>
      <c r="G76" s="562" t="s">
        <v>5588</v>
      </c>
      <c r="H76" s="168" t="s">
        <v>3766</v>
      </c>
      <c r="I76" s="563" t="s">
        <v>62</v>
      </c>
      <c r="J76" s="563" t="s">
        <v>63</v>
      </c>
      <c r="K76" s="167">
        <v>45952</v>
      </c>
      <c r="L76" s="561" t="s">
        <v>5589</v>
      </c>
      <c r="M76" s="561" t="s">
        <v>5590</v>
      </c>
      <c r="N76" s="564">
        <v>74114427</v>
      </c>
      <c r="O76" s="565">
        <v>29</v>
      </c>
      <c r="P76" s="561" t="s">
        <v>70</v>
      </c>
      <c r="Q76" s="561" t="s">
        <v>64</v>
      </c>
      <c r="R76" s="566"/>
      <c r="S76" s="566" t="s">
        <v>4981</v>
      </c>
      <c r="T76" s="569" t="s">
        <v>5591</v>
      </c>
      <c r="U76" s="568" t="s">
        <v>5592</v>
      </c>
    </row>
    <row r="77" spans="1:21" ht="15" customHeight="1" x14ac:dyDescent="0.2">
      <c r="A77" s="459">
        <v>72</v>
      </c>
      <c r="B77" s="166">
        <v>45951</v>
      </c>
      <c r="C77" s="561" t="s">
        <v>100</v>
      </c>
      <c r="D77" s="168" t="s">
        <v>5593</v>
      </c>
      <c r="E77" s="165">
        <v>111570002</v>
      </c>
      <c r="F77" s="444" t="s">
        <v>4978</v>
      </c>
      <c r="G77" s="562" t="s">
        <v>3765</v>
      </c>
      <c r="H77" s="168" t="s">
        <v>3766</v>
      </c>
      <c r="I77" s="563" t="s">
        <v>62</v>
      </c>
      <c r="J77" s="563" t="s">
        <v>63</v>
      </c>
      <c r="K77" s="167">
        <v>45953</v>
      </c>
      <c r="L77" s="561" t="s">
        <v>5594</v>
      </c>
      <c r="M77" s="561" t="s">
        <v>5595</v>
      </c>
      <c r="N77" s="564">
        <v>984614027</v>
      </c>
      <c r="O77" s="565">
        <v>29</v>
      </c>
      <c r="P77" s="561" t="s">
        <v>69</v>
      </c>
      <c r="Q77" s="561" t="s">
        <v>64</v>
      </c>
      <c r="R77" s="566"/>
      <c r="S77" s="566" t="s">
        <v>5596</v>
      </c>
      <c r="T77" s="569" t="s">
        <v>5597</v>
      </c>
      <c r="U77" s="568" t="s">
        <v>5598</v>
      </c>
    </row>
    <row r="78" spans="1:21" ht="15" customHeight="1" x14ac:dyDescent="0.2">
      <c r="A78" s="459">
        <v>73</v>
      </c>
      <c r="B78" s="166">
        <v>45951</v>
      </c>
      <c r="C78" s="561" t="s">
        <v>1185</v>
      </c>
      <c r="D78" s="168" t="s">
        <v>41</v>
      </c>
      <c r="E78" s="165">
        <v>111570002</v>
      </c>
      <c r="F78" s="444" t="s">
        <v>4978</v>
      </c>
      <c r="G78" s="562" t="s">
        <v>5599</v>
      </c>
      <c r="H78" s="168" t="s">
        <v>3766</v>
      </c>
      <c r="I78" s="563" t="s">
        <v>62</v>
      </c>
      <c r="J78" s="563" t="s">
        <v>63</v>
      </c>
      <c r="K78" s="167">
        <v>45960</v>
      </c>
      <c r="L78" s="561" t="s">
        <v>5600</v>
      </c>
      <c r="M78" s="561" t="s">
        <v>5601</v>
      </c>
      <c r="N78" s="163">
        <v>963517484</v>
      </c>
      <c r="O78" s="572">
        <v>29</v>
      </c>
      <c r="P78" s="561" t="s">
        <v>70</v>
      </c>
      <c r="Q78" s="561" t="s">
        <v>64</v>
      </c>
      <c r="R78" s="566"/>
      <c r="S78" s="566" t="s">
        <v>4981</v>
      </c>
      <c r="T78" s="569" t="s">
        <v>5602</v>
      </c>
      <c r="U78" s="568" t="s">
        <v>5603</v>
      </c>
    </row>
    <row r="79" spans="1:21" ht="15" customHeight="1" x14ac:dyDescent="0.2">
      <c r="A79" s="459">
        <v>74</v>
      </c>
      <c r="B79" s="166">
        <v>45951</v>
      </c>
      <c r="C79" s="561" t="s">
        <v>1185</v>
      </c>
      <c r="D79" s="168" t="s">
        <v>41</v>
      </c>
      <c r="E79" s="165">
        <v>111570003</v>
      </c>
      <c r="F79" s="444" t="s">
        <v>4287</v>
      </c>
      <c r="G79" s="562" t="s">
        <v>5604</v>
      </c>
      <c r="H79" s="168" t="s">
        <v>3766</v>
      </c>
      <c r="I79" s="563" t="s">
        <v>62</v>
      </c>
      <c r="J79" s="563" t="s">
        <v>63</v>
      </c>
      <c r="K79" s="167">
        <v>45960</v>
      </c>
      <c r="L79" s="561" t="s">
        <v>5600</v>
      </c>
      <c r="M79" s="561" t="s">
        <v>5601</v>
      </c>
      <c r="N79" s="163">
        <v>963517484</v>
      </c>
      <c r="O79" s="572">
        <v>29</v>
      </c>
      <c r="P79" s="561" t="s">
        <v>70</v>
      </c>
      <c r="Q79" s="561" t="s">
        <v>64</v>
      </c>
      <c r="R79" s="566"/>
      <c r="S79" s="566" t="s">
        <v>4981</v>
      </c>
      <c r="T79" s="569" t="s">
        <v>5602</v>
      </c>
      <c r="U79" s="568" t="s">
        <v>5603</v>
      </c>
    </row>
    <row r="80" spans="1:21" ht="15" customHeight="1" x14ac:dyDescent="0.2">
      <c r="A80" s="459">
        <v>75</v>
      </c>
      <c r="B80" s="166">
        <v>45874</v>
      </c>
      <c r="C80" s="561" t="s">
        <v>125</v>
      </c>
      <c r="D80" s="168" t="s">
        <v>4857</v>
      </c>
      <c r="E80" s="165">
        <v>111570003</v>
      </c>
      <c r="F80" s="444" t="s">
        <v>4287</v>
      </c>
      <c r="G80" s="562" t="s">
        <v>5605</v>
      </c>
      <c r="H80" s="168" t="s">
        <v>3766</v>
      </c>
      <c r="I80" s="563" t="s">
        <v>62</v>
      </c>
      <c r="J80" s="563" t="s">
        <v>63</v>
      </c>
      <c r="K80" s="167">
        <v>45966</v>
      </c>
      <c r="L80" s="561" t="s">
        <v>5606</v>
      </c>
      <c r="M80" s="561" t="s">
        <v>5607</v>
      </c>
      <c r="N80" s="556">
        <v>989790921</v>
      </c>
      <c r="O80" s="565">
        <v>29</v>
      </c>
      <c r="P80" s="561" t="s">
        <v>69</v>
      </c>
      <c r="Q80" s="561" t="s">
        <v>64</v>
      </c>
      <c r="R80" s="566"/>
      <c r="S80" s="566" t="s">
        <v>5000</v>
      </c>
      <c r="T80" s="569" t="s">
        <v>5608</v>
      </c>
      <c r="U80" s="568" t="s">
        <v>5609</v>
      </c>
    </row>
    <row r="81" spans="1:21" ht="15" customHeight="1" x14ac:dyDescent="0.2">
      <c r="A81" s="459">
        <v>76</v>
      </c>
      <c r="B81" s="166">
        <v>45926</v>
      </c>
      <c r="C81" s="561" t="s">
        <v>125</v>
      </c>
      <c r="D81" s="168" t="s">
        <v>5610</v>
      </c>
      <c r="E81" s="165">
        <v>111570003</v>
      </c>
      <c r="F81" s="444" t="s">
        <v>4287</v>
      </c>
      <c r="G81" s="562" t="s">
        <v>5611</v>
      </c>
      <c r="H81" s="168" t="s">
        <v>3766</v>
      </c>
      <c r="I81" s="563" t="s">
        <v>62</v>
      </c>
      <c r="J81" s="563" t="s">
        <v>63</v>
      </c>
      <c r="K81" s="167">
        <v>45966</v>
      </c>
      <c r="L81" s="561" t="s">
        <v>5612</v>
      </c>
      <c r="M81" s="561" t="s">
        <v>5613</v>
      </c>
      <c r="N81" s="564">
        <v>998869255</v>
      </c>
      <c r="O81" s="565">
        <v>29</v>
      </c>
      <c r="P81" s="561" t="s">
        <v>69</v>
      </c>
      <c r="Q81" s="561" t="s">
        <v>64</v>
      </c>
      <c r="R81" s="566"/>
      <c r="S81" s="566" t="s">
        <v>5614</v>
      </c>
      <c r="T81" s="569" t="s">
        <v>5615</v>
      </c>
      <c r="U81" s="568" t="s">
        <v>5616</v>
      </c>
    </row>
    <row r="82" spans="1:21" ht="15" customHeight="1" x14ac:dyDescent="0.2">
      <c r="A82" s="459">
        <v>77</v>
      </c>
      <c r="B82" s="166">
        <v>45965</v>
      </c>
      <c r="C82" s="561" t="s">
        <v>100</v>
      </c>
      <c r="D82" s="168" t="s">
        <v>5617</v>
      </c>
      <c r="E82" s="165">
        <v>111570003</v>
      </c>
      <c r="F82" s="444" t="s">
        <v>4287</v>
      </c>
      <c r="G82" s="562" t="s">
        <v>5618</v>
      </c>
      <c r="H82" s="168" t="s">
        <v>3766</v>
      </c>
      <c r="I82" s="563" t="s">
        <v>62</v>
      </c>
      <c r="J82" s="563" t="s">
        <v>63</v>
      </c>
      <c r="K82" s="167">
        <v>45967</v>
      </c>
      <c r="L82" s="561" t="s">
        <v>5619</v>
      </c>
      <c r="M82" s="561" t="s">
        <v>5620</v>
      </c>
      <c r="N82" s="564">
        <v>4115526</v>
      </c>
      <c r="O82" s="565">
        <v>29</v>
      </c>
      <c r="P82" s="561" t="s">
        <v>69</v>
      </c>
      <c r="Q82" s="561" t="s">
        <v>64</v>
      </c>
      <c r="R82" s="566"/>
      <c r="S82" s="566" t="s">
        <v>5621</v>
      </c>
      <c r="T82" s="569" t="s">
        <v>5622</v>
      </c>
      <c r="U82" s="568" t="s">
        <v>5623</v>
      </c>
    </row>
    <row r="83" spans="1:21" ht="15" customHeight="1" x14ac:dyDescent="0.2">
      <c r="A83" s="459">
        <v>78</v>
      </c>
      <c r="B83" s="166">
        <v>45961</v>
      </c>
      <c r="C83" s="561" t="s">
        <v>100</v>
      </c>
      <c r="D83" s="168" t="s">
        <v>5624</v>
      </c>
      <c r="E83" s="165">
        <v>111570002</v>
      </c>
      <c r="F83" s="444" t="s">
        <v>4978</v>
      </c>
      <c r="G83" s="562" t="s">
        <v>5625</v>
      </c>
      <c r="H83" s="168" t="s">
        <v>3766</v>
      </c>
      <c r="I83" s="563" t="s">
        <v>62</v>
      </c>
      <c r="J83" s="563" t="s">
        <v>63</v>
      </c>
      <c r="K83" s="167">
        <v>45968</v>
      </c>
      <c r="L83" s="561" t="s">
        <v>5626</v>
      </c>
      <c r="M83" s="561" t="s">
        <v>5627</v>
      </c>
      <c r="N83" s="564">
        <v>980244514</v>
      </c>
      <c r="O83" s="565">
        <v>29</v>
      </c>
      <c r="P83" s="561" t="s">
        <v>69</v>
      </c>
      <c r="Q83" s="561" t="s">
        <v>64</v>
      </c>
      <c r="R83" s="566"/>
      <c r="S83" s="566" t="s">
        <v>5628</v>
      </c>
      <c r="T83" s="569" t="s">
        <v>5629</v>
      </c>
      <c r="U83" s="568" t="s">
        <v>5630</v>
      </c>
    </row>
    <row r="84" spans="1:21" ht="15" customHeight="1" x14ac:dyDescent="0.2">
      <c r="A84" s="459">
        <v>79</v>
      </c>
      <c r="B84" s="166">
        <v>45972</v>
      </c>
      <c r="C84" s="561" t="s">
        <v>125</v>
      </c>
      <c r="D84" s="168" t="s">
        <v>5631</v>
      </c>
      <c r="E84" s="165">
        <v>111570003</v>
      </c>
      <c r="F84" s="444" t="s">
        <v>4287</v>
      </c>
      <c r="G84" s="562" t="s">
        <v>5573</v>
      </c>
      <c r="H84" s="168" t="s">
        <v>3766</v>
      </c>
      <c r="I84" s="563" t="s">
        <v>62</v>
      </c>
      <c r="J84" s="563" t="s">
        <v>63</v>
      </c>
      <c r="K84" s="167">
        <v>45973</v>
      </c>
      <c r="L84" s="561" t="s">
        <v>5632</v>
      </c>
      <c r="M84" s="561" t="s">
        <v>748</v>
      </c>
      <c r="N84" s="564">
        <v>997437371</v>
      </c>
      <c r="O84" s="565">
        <v>29</v>
      </c>
      <c r="P84" s="561" t="s">
        <v>69</v>
      </c>
      <c r="Q84" s="561" t="s">
        <v>64</v>
      </c>
      <c r="R84" s="566"/>
      <c r="S84" s="566" t="s">
        <v>5633</v>
      </c>
      <c r="T84" s="569" t="s">
        <v>5634</v>
      </c>
      <c r="U84" s="568" t="s">
        <v>5635</v>
      </c>
    </row>
    <row r="85" spans="1:21" ht="15" customHeight="1" x14ac:dyDescent="0.2">
      <c r="A85" s="459">
        <v>80</v>
      </c>
      <c r="B85" s="166">
        <v>45905</v>
      </c>
      <c r="C85" s="561" t="s">
        <v>100</v>
      </c>
      <c r="D85" s="168" t="s">
        <v>41</v>
      </c>
      <c r="E85" s="165">
        <v>111570002</v>
      </c>
      <c r="F85" s="444" t="s">
        <v>4978</v>
      </c>
      <c r="G85" s="562" t="s">
        <v>5636</v>
      </c>
      <c r="H85" s="168" t="s">
        <v>3766</v>
      </c>
      <c r="I85" s="563" t="s">
        <v>62</v>
      </c>
      <c r="J85" s="563" t="s">
        <v>63</v>
      </c>
      <c r="K85" s="167">
        <v>45974</v>
      </c>
      <c r="L85" s="561" t="s">
        <v>5637</v>
      </c>
      <c r="M85" s="561" t="s">
        <v>3619</v>
      </c>
      <c r="N85" s="564">
        <v>984995210</v>
      </c>
      <c r="O85" s="565">
        <v>29</v>
      </c>
      <c r="P85" s="561" t="s">
        <v>69</v>
      </c>
      <c r="Q85" s="561" t="s">
        <v>64</v>
      </c>
      <c r="R85" s="566"/>
      <c r="S85" s="566" t="s">
        <v>4981</v>
      </c>
      <c r="T85" s="569" t="s">
        <v>5638</v>
      </c>
      <c r="U85" s="568" t="s">
        <v>5639</v>
      </c>
    </row>
    <row r="86" spans="1:21" ht="15" customHeight="1" x14ac:dyDescent="0.2">
      <c r="A86" s="459">
        <v>81</v>
      </c>
      <c r="B86" s="166">
        <v>45976</v>
      </c>
      <c r="C86" s="561" t="s">
        <v>125</v>
      </c>
      <c r="D86" s="168" t="s">
        <v>5640</v>
      </c>
      <c r="E86" s="165">
        <v>111570002</v>
      </c>
      <c r="F86" s="444" t="s">
        <v>4978</v>
      </c>
      <c r="G86" s="562" t="s">
        <v>4984</v>
      </c>
      <c r="H86" s="168" t="s">
        <v>3766</v>
      </c>
      <c r="I86" s="563" t="s">
        <v>62</v>
      </c>
      <c r="J86" s="563" t="s">
        <v>63</v>
      </c>
      <c r="K86" s="167">
        <v>45975</v>
      </c>
      <c r="L86" s="561" t="s">
        <v>5641</v>
      </c>
      <c r="M86" s="561" t="s">
        <v>5642</v>
      </c>
      <c r="N86" s="564">
        <v>962913522</v>
      </c>
      <c r="O86" s="565">
        <v>29</v>
      </c>
      <c r="P86" s="561" t="s">
        <v>69</v>
      </c>
      <c r="Q86" s="561" t="s">
        <v>64</v>
      </c>
      <c r="R86" s="566"/>
      <c r="S86" s="566" t="s">
        <v>5643</v>
      </c>
      <c r="T86" s="569" t="s">
        <v>5644</v>
      </c>
      <c r="U86" s="568" t="s">
        <v>5645</v>
      </c>
    </row>
    <row r="87" spans="1:21" ht="15" customHeight="1" x14ac:dyDescent="0.2">
      <c r="A87" s="459">
        <v>82</v>
      </c>
      <c r="B87" s="166">
        <v>45962</v>
      </c>
      <c r="C87" s="561" t="s">
        <v>1185</v>
      </c>
      <c r="D87" s="168" t="s">
        <v>41</v>
      </c>
      <c r="E87" s="165">
        <v>111570002</v>
      </c>
      <c r="F87" s="444" t="s">
        <v>4978</v>
      </c>
      <c r="G87" s="562" t="s">
        <v>5646</v>
      </c>
      <c r="H87" s="168" t="s">
        <v>3766</v>
      </c>
      <c r="I87" s="563" t="s">
        <v>62</v>
      </c>
      <c r="J87" s="563" t="s">
        <v>63</v>
      </c>
      <c r="K87" s="167">
        <v>45975</v>
      </c>
      <c r="L87" s="561" t="s">
        <v>5647</v>
      </c>
      <c r="M87" s="561" t="s">
        <v>5648</v>
      </c>
      <c r="N87" s="564">
        <v>985539645</v>
      </c>
      <c r="O87" s="565">
        <v>29</v>
      </c>
      <c r="P87" s="561" t="s">
        <v>70</v>
      </c>
      <c r="Q87" s="561" t="s">
        <v>64</v>
      </c>
      <c r="R87" s="566"/>
      <c r="S87" s="566" t="s">
        <v>4981</v>
      </c>
      <c r="T87" s="569" t="s">
        <v>5649</v>
      </c>
      <c r="U87" s="568" t="s">
        <v>5650</v>
      </c>
    </row>
    <row r="88" spans="1:21" ht="15" customHeight="1" x14ac:dyDescent="0.2">
      <c r="A88" s="459">
        <v>83</v>
      </c>
      <c r="B88" s="166">
        <v>45962</v>
      </c>
      <c r="C88" s="561" t="s">
        <v>1185</v>
      </c>
      <c r="D88" s="168" t="s">
        <v>41</v>
      </c>
      <c r="E88" s="165">
        <v>111570002</v>
      </c>
      <c r="F88" s="444" t="s">
        <v>4978</v>
      </c>
      <c r="G88" s="562" t="s">
        <v>5646</v>
      </c>
      <c r="H88" s="168" t="s">
        <v>3766</v>
      </c>
      <c r="I88" s="563" t="s">
        <v>62</v>
      </c>
      <c r="J88" s="563" t="s">
        <v>63</v>
      </c>
      <c r="K88" s="167">
        <v>45975</v>
      </c>
      <c r="L88" s="561" t="s">
        <v>5647</v>
      </c>
      <c r="M88" s="561" t="s">
        <v>5648</v>
      </c>
      <c r="N88" s="564">
        <v>985539645</v>
      </c>
      <c r="O88" s="565">
        <v>29</v>
      </c>
      <c r="P88" s="561" t="s">
        <v>70</v>
      </c>
      <c r="Q88" s="561" t="s">
        <v>64</v>
      </c>
      <c r="R88" s="566"/>
      <c r="S88" s="566" t="s">
        <v>4981</v>
      </c>
      <c r="T88" s="569" t="s">
        <v>5649</v>
      </c>
      <c r="U88" s="568" t="s">
        <v>5650</v>
      </c>
    </row>
    <row r="89" spans="1:21" ht="15" customHeight="1" x14ac:dyDescent="0.2">
      <c r="A89" s="459">
        <v>84</v>
      </c>
      <c r="B89" s="166">
        <v>42302</v>
      </c>
      <c r="C89" s="561" t="s">
        <v>125</v>
      </c>
      <c r="D89" s="168" t="s">
        <v>5651</v>
      </c>
      <c r="E89" s="165">
        <v>111570003</v>
      </c>
      <c r="F89" s="444" t="s">
        <v>4287</v>
      </c>
      <c r="G89" s="562" t="s">
        <v>4300</v>
      </c>
      <c r="H89" s="168" t="s">
        <v>3766</v>
      </c>
      <c r="I89" s="563" t="s">
        <v>62</v>
      </c>
      <c r="J89" s="563" t="s">
        <v>63</v>
      </c>
      <c r="K89" s="167">
        <v>45978</v>
      </c>
      <c r="L89" s="561" t="s">
        <v>5652</v>
      </c>
      <c r="M89" s="561" t="s">
        <v>5653</v>
      </c>
      <c r="N89" s="564">
        <v>998158752</v>
      </c>
      <c r="O89" s="565">
        <v>29</v>
      </c>
      <c r="P89" s="561" t="s">
        <v>69</v>
      </c>
      <c r="Q89" s="561" t="s">
        <v>64</v>
      </c>
      <c r="R89" s="566"/>
      <c r="S89" s="566" t="s">
        <v>5654</v>
      </c>
      <c r="T89" s="569" t="s">
        <v>5655</v>
      </c>
      <c r="U89" s="568" t="s">
        <v>5656</v>
      </c>
    </row>
    <row r="90" spans="1:21" ht="15" customHeight="1" x14ac:dyDescent="0.2">
      <c r="A90" s="459">
        <v>85</v>
      </c>
      <c r="B90" s="405">
        <v>45961</v>
      </c>
      <c r="C90" s="406" t="s">
        <v>1185</v>
      </c>
      <c r="D90" s="406" t="s">
        <v>41</v>
      </c>
      <c r="E90" s="407">
        <v>113120010</v>
      </c>
      <c r="F90" s="408" t="str">
        <f t="shared" ref="F90" si="11">VLOOKUP(E90,PROD,2,FALSE)</f>
        <v>GFI 97350 ECS IX 110/60 CAMPANA</v>
      </c>
      <c r="G90" s="409" t="s">
        <v>5657</v>
      </c>
      <c r="H90" s="410" t="s">
        <v>41</v>
      </c>
      <c r="I90" s="406" t="s">
        <v>64</v>
      </c>
      <c r="J90" s="411" t="s">
        <v>65</v>
      </c>
      <c r="K90" s="412">
        <v>45961</v>
      </c>
      <c r="L90" s="413" t="s">
        <v>5658</v>
      </c>
      <c r="M90" s="413" t="s">
        <v>1179</v>
      </c>
      <c r="N90" s="416" t="s">
        <v>5659</v>
      </c>
      <c r="O90" s="414">
        <v>15</v>
      </c>
      <c r="P90" s="406" t="s">
        <v>70</v>
      </c>
      <c r="Q90" s="161" t="s">
        <v>64</v>
      </c>
      <c r="R90" s="161">
        <v>1712049111</v>
      </c>
      <c r="S90" s="161"/>
    </row>
  </sheetData>
  <phoneticPr fontId="24" type="noConversion"/>
  <hyperlinks>
    <hyperlink ref="U6" r:id="rId1" xr:uid="{50E5C60D-C29F-E443-8477-3C8CCE8576BE}"/>
    <hyperlink ref="U7" r:id="rId2" xr:uid="{F26D6B76-3BD6-1C49-9843-E4006042A69D}"/>
    <hyperlink ref="U8" r:id="rId3" xr:uid="{A1B4F83D-BC00-C943-8C1D-DC641C2F6FFF}"/>
    <hyperlink ref="U9" r:id="rId4" xr:uid="{B3CF9A9E-B407-C948-BB69-30F1F0B106FB}"/>
    <hyperlink ref="U10" r:id="rId5" xr:uid="{DFB9BE4F-CA71-D143-9D0F-16F04B100F2C}"/>
    <hyperlink ref="U11" r:id="rId6" xr:uid="{B82CD698-A069-6C4A-9C2A-76827D404E68}"/>
    <hyperlink ref="U12" r:id="rId7" xr:uid="{187A72CC-FF83-CF48-890A-517DAE617BFB}"/>
    <hyperlink ref="U13" r:id="rId8" xr:uid="{7F0F7C07-C967-D147-9141-EC243BD469F6}"/>
    <hyperlink ref="U14" r:id="rId9" xr:uid="{E5E194A7-5AFF-BA48-86A6-2B121EA9DD58}"/>
    <hyperlink ref="U15" r:id="rId10" xr:uid="{D7B1749A-385E-8E44-8110-CA43774F5C4A}"/>
    <hyperlink ref="U16" r:id="rId11" xr:uid="{263A7E2B-C339-8541-B398-04D2B53D7A82}"/>
    <hyperlink ref="U17" r:id="rId12" xr:uid="{C61AA7A7-892A-C842-B60F-7C1673997972}"/>
    <hyperlink ref="U20" r:id="rId13" xr:uid="{9CC7EBF8-34BF-ED47-858D-FBC77DE4C5CE}"/>
    <hyperlink ref="U18" r:id="rId14" xr:uid="{01F1F217-20DF-8649-ACDE-32BEC80F6C8E}"/>
    <hyperlink ref="U19" r:id="rId15" xr:uid="{3E2FF81F-2D20-A34C-BAEC-C409E9883DBA}"/>
    <hyperlink ref="U21" r:id="rId16" xr:uid="{EB4DA0C4-10EE-7C44-A580-F591082DCF3C}"/>
    <hyperlink ref="U22" r:id="rId17" xr:uid="{78916A16-84F8-B646-90CF-9C7114338705}"/>
    <hyperlink ref="U23" r:id="rId18" xr:uid="{FAE4F6E3-509F-B046-9A63-542475D72E1A}"/>
    <hyperlink ref="U24" r:id="rId19" xr:uid="{CF73224A-4B1F-7043-8699-69540484E64F}"/>
    <hyperlink ref="U25" r:id="rId20" display="mailto:cgflores28@hotmail.com" xr:uid="{03A7178B-3521-3340-92D6-6F9402C9C80E}"/>
    <hyperlink ref="U26" r:id="rId21" display="mailto:danielapu85@gmail.com" xr:uid="{EDAAEB9E-D037-1942-A09F-D01B5199A6CE}"/>
    <hyperlink ref="U27" r:id="rId22" display="mailto:cgflores28@hotmail.com" xr:uid="{3D7CD0B9-598B-3541-9235-5BD285857F26}"/>
    <hyperlink ref="U28" r:id="rId23" display="mailto:ventas@comercialsolis.com.ec" xr:uid="{0F31C6F0-0CA3-374D-88D2-814BA493A265}"/>
    <hyperlink ref="U29" r:id="rId24" display="mailto:ventas@comercialsolis.com.ec" xr:uid="{73DC1123-F3B6-344D-A16D-391944E351A1}"/>
    <hyperlink ref="U30" r:id="rId25" display="mailto:oximaldonado@hotmail.com" xr:uid="{A5979A68-863B-7E47-A117-7C45A4B26087}"/>
    <hyperlink ref="U31" r:id="rId26" display="mailto:ventas@comercialsolis.com.ec" xr:uid="{617DB1A1-BE29-9942-926C-E18695C7D971}"/>
    <hyperlink ref="U32" r:id="rId27" display="mailto:chao8019@yahoo.com" xr:uid="{0436DD2D-C0E3-BF48-A062-89DBB334055F}"/>
    <hyperlink ref="U33" r:id="rId28" xr:uid="{83BB5E30-5AF0-144D-8195-70EA6652D607}"/>
    <hyperlink ref="U34:U37" r:id="rId29" display="contabilidad@comercialsolis.com.ec" xr:uid="{564428A1-7AAF-234A-B67B-2E37217601E3}"/>
    <hyperlink ref="U38" r:id="rId30" xr:uid="{A87346B8-48DC-904B-92F8-4E8A5419D1EB}"/>
    <hyperlink ref="U39" r:id="rId31" xr:uid="{AAF70A51-65B3-E943-9119-4C89692D0E0C}"/>
    <hyperlink ref="U40" r:id="rId32" xr:uid="{01C3C9B5-67DC-DF4A-9BB4-0B35C035B11D}"/>
    <hyperlink ref="U41" r:id="rId33" xr:uid="{A695855A-E3E0-664C-844C-CF37C93E3196}"/>
    <hyperlink ref="U42" r:id="rId34" xr:uid="{C6A3EAFC-1E69-0E47-BF03-0EB8726212FE}"/>
    <hyperlink ref="U43" r:id="rId35" xr:uid="{3490CF57-60B3-8447-9AA0-63539560EA67}"/>
    <hyperlink ref="U44" r:id="rId36" xr:uid="{B6AC6B6D-5D6F-C44F-8AE8-76F1B30CAB68}"/>
    <hyperlink ref="U45" r:id="rId37" xr:uid="{48D7D673-6110-9A4E-B2C8-913856B3E69E}"/>
    <hyperlink ref="U46" r:id="rId38" xr:uid="{BB5D0BDB-9484-8C4D-BA41-8ED47D048CDE}"/>
    <hyperlink ref="U47" r:id="rId39" xr:uid="{ED746EAE-07B9-424C-A948-BE5E48EF054F}"/>
    <hyperlink ref="U48" r:id="rId40" xr:uid="{38D34BD0-07FB-574E-A6AF-E974F4A367A6}"/>
    <hyperlink ref="U49" r:id="rId41" xr:uid="{D0EC5013-4D9E-464B-B00A-1573CF2370A5}"/>
    <hyperlink ref="U50" r:id="rId42" xr:uid="{ADACCCB7-8093-EB42-AFC1-3C35CADB63F1}"/>
    <hyperlink ref="U51" r:id="rId43" xr:uid="{D6C25B01-FB68-5547-BF6D-CEF0256C7D5F}"/>
    <hyperlink ref="U53" r:id="rId44" xr:uid="{EE26C758-0E9A-B54A-AA4E-89318D706C11}"/>
    <hyperlink ref="U52" r:id="rId45" xr:uid="{484A91C6-1C60-4847-BE3E-58BBD2AE4C6F}"/>
    <hyperlink ref="U54" r:id="rId46" xr:uid="{CAF26A41-B033-D445-B28A-61E7CF253E4F}"/>
    <hyperlink ref="U55" r:id="rId47" xr:uid="{B4C94C1E-9F36-B542-B631-F334816D3F29}"/>
    <hyperlink ref="U56" r:id="rId48" xr:uid="{A67CDA85-F338-3E4A-9D14-80364D56A4FB}"/>
    <hyperlink ref="U57" r:id="rId49" xr:uid="{CAAB8BE5-1FC8-424A-ABE0-783787182A83}"/>
    <hyperlink ref="U58" r:id="rId50" xr:uid="{2FA93D34-F6D7-8F4D-A8EB-A4762B4D99DF}"/>
    <hyperlink ref="U59" r:id="rId51" xr:uid="{45060064-82FC-4D48-88A8-5A52198D6CF3}"/>
    <hyperlink ref="U60" r:id="rId52" xr:uid="{AE4309E7-7ED3-8C49-B5C1-46FE718FAAFA}"/>
    <hyperlink ref="U61" r:id="rId53" xr:uid="{4748F947-1D0D-404E-AF5C-33C48E578D19}"/>
    <hyperlink ref="U62" r:id="rId54" xr:uid="{78048928-FC0A-194D-B7A4-11A6CDA91515}"/>
    <hyperlink ref="U63" r:id="rId55" display="mailto:PATYMOGROVEJO@YAHOO.COM" xr:uid="{78307FF4-D5D9-5E45-BEC4-7EA7C4A1E9CD}"/>
    <hyperlink ref="U64" r:id="rId56" display="mailto:FERNANDOGUERRA25@YAHOO.COM" xr:uid="{625D64FC-2F3B-2449-9C0B-F0B8053A3E7D}"/>
    <hyperlink ref="U65" r:id="rId57" display="mailto:FREDDYN@KYWI.COM.EC" xr:uid="{F071D2D3-A9D2-0347-95DC-4AF86939ED48}"/>
    <hyperlink ref="U66" r:id="rId58" display="mailto:FREDDYN@KYWI.COM.EC" xr:uid="{E4945A7C-01C3-2445-9484-3BDAB15A473E}"/>
    <hyperlink ref="U67" r:id="rId59" display="mailto:MAYA8020@HOTMAIL.COM" xr:uid="{66FBD6C2-4967-1C4E-88A3-67D02599F193}"/>
    <hyperlink ref="U68" r:id="rId60" display="mailto:DAVIDMAXXIE@OUTLOOK.COM" xr:uid="{2A857D28-8B00-4A40-8B71-BC1965F5A896}"/>
    <hyperlink ref="U69" r:id="rId61" display="mailto:LMGIRON@GMAIL.COM" xr:uid="{4C58F81C-2C8D-0945-A631-B885352DF0E0}"/>
    <hyperlink ref="U74" r:id="rId62" display="mailto:DIANACARDENAS28@HOTMAIL.COM" xr:uid="{46D57D5D-3074-2041-861C-B520835A9EFD}"/>
    <hyperlink ref="U75" r:id="rId63" display="mailto:MMRTINEZCARD@GMAIL.COM" xr:uid="{BA31DFAC-8D39-D04B-ADA8-DC4CA51CD1D5}"/>
    <hyperlink ref="U76" r:id="rId64" display="mailto:VENTAS@COMERCIALSOLIS.COM.EC" xr:uid="{7D8318E4-8F82-7640-81E1-A71293EAB904}"/>
    <hyperlink ref="U77" r:id="rId65" display="mailto:ESTMUNDONOVA54@HOTMAIL.COM" xr:uid="{B8B64C0F-F298-5B48-AABC-3484A405AB7E}"/>
    <hyperlink ref="U78" r:id="rId66" display="mailto:CONTACT@SUPORT.KYWI.COM" xr:uid="{0F23F6A1-036F-5C4E-A65B-B46CA79BFAF4}"/>
    <hyperlink ref="U79" r:id="rId67" display="mailto:CONTACT@SUPORT.KYWI.COM" xr:uid="{335072E6-6C67-1745-8AB7-9C18B5492C5B}"/>
    <hyperlink ref="U80" r:id="rId68" display="mailto:SEGUROSJET@GMAIL.COM" xr:uid="{BB9114E3-5A05-AA4F-9F54-CFDB16ACA2EF}"/>
    <hyperlink ref="U81" r:id="rId69" display="mailto:MOHELEPODNECOQ@GMAIL.COM" xr:uid="{6387272C-1B93-814E-8755-B06F7D0D08F7}"/>
    <hyperlink ref="U82" r:id="rId70" display="mailto:HUBERMEO@HOTMAIL.COM" xr:uid="{844DCA0D-54CD-A64E-851A-AA7BA3121766}"/>
    <hyperlink ref="U83" r:id="rId71" display="mailto:TAFANYVIDAL11@GMAIL.COM" xr:uid="{287EA214-A24A-514A-BC99-A8451A5FEE71}"/>
    <hyperlink ref="U84" r:id="rId72" display="mailto:LARRYVONESCHEN@GMAIL.COM" xr:uid="{470ABEC1-7B14-0949-85BD-98171A8C0CD0}"/>
    <hyperlink ref="U85" r:id="rId73" display="mailto:LUPEYEIS@YAHOO.COM" xr:uid="{3CF6B3D0-ECAF-9648-914A-409D64C2EDD2}"/>
    <hyperlink ref="U86" r:id="rId74" display="mailto:EDISON777@OUTLOOK.COM" xr:uid="{4B617ACC-8AAE-0244-81E8-5D489C9B2C24}"/>
    <hyperlink ref="U87" r:id="rId75" display="mailto:SERVICIOALCLIENTE@ECMERCAD.COM" xr:uid="{6312A6A8-1276-C84D-89CE-C09B4EF383F2}"/>
    <hyperlink ref="U88" r:id="rId76" display="mailto:SERVICIOALCLIENTE@ECMERCAD.COM" xr:uid="{D1B4B890-4ADC-204A-B1BF-FC7AB97A8C5B}"/>
    <hyperlink ref="U89" r:id="rId77" display="mailto:CHICAPES@HOTMAIL.COM" xr:uid="{5C59BF23-83EC-6B44-9043-380157D06264}"/>
  </hyperlinks>
  <pageMargins left="0.7" right="0.7" top="0.75" bottom="0.75" header="0.3" footer="0.3"/>
  <drawing r:id="rId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Q31"/>
  <sheetViews>
    <sheetView workbookViewId="0">
      <selection activeCell="T8" sqref="T8"/>
    </sheetView>
  </sheetViews>
  <sheetFormatPr baseColWidth="10" defaultRowHeight="16" x14ac:dyDescent="0.2"/>
  <cols>
    <col min="1" max="1" width="4.83203125" style="162" customWidth="1"/>
    <col min="2" max="2" width="10.83203125" style="162"/>
    <col min="3" max="3" width="19.5" style="162" customWidth="1"/>
    <col min="4" max="4" width="10.83203125" style="162"/>
    <col min="5" max="5" width="25.1640625" style="162" customWidth="1"/>
    <col min="6" max="6" width="39.33203125" style="162" bestFit="1" customWidth="1"/>
    <col min="7" max="7" width="16.83203125" style="162" customWidth="1"/>
    <col min="8" max="9" width="10.83203125" style="162"/>
    <col min="10" max="10" width="15.6640625" style="162" customWidth="1"/>
    <col min="11" max="11" width="18.6640625" style="162" customWidth="1"/>
    <col min="12" max="12" width="27.6640625" style="162" customWidth="1"/>
    <col min="13" max="13" width="31.33203125" style="162" customWidth="1"/>
    <col min="14" max="14" width="16" style="162" customWidth="1"/>
    <col min="15" max="15" width="10.83203125" style="162"/>
    <col min="16" max="16" width="28" style="162" customWidth="1"/>
    <col min="17" max="16384" width="10.83203125" style="162"/>
  </cols>
  <sheetData>
    <row r="4" spans="1:17" x14ac:dyDescent="0.2">
      <c r="C4" s="417" t="s">
        <v>50</v>
      </c>
      <c r="D4" s="418"/>
      <c r="E4" s="418"/>
      <c r="G4" s="418"/>
      <c r="H4" s="418"/>
      <c r="I4" s="418"/>
      <c r="J4" s="418"/>
      <c r="K4" s="418"/>
      <c r="L4" s="418"/>
      <c r="M4" s="418"/>
      <c r="N4" s="418"/>
      <c r="O4" s="418"/>
    </row>
    <row r="5" spans="1:17" ht="17" thickBot="1" x14ac:dyDescent="0.25">
      <c r="B5" s="418"/>
      <c r="C5" s="419" t="s">
        <v>1</v>
      </c>
      <c r="D5" s="419"/>
      <c r="E5" s="419"/>
      <c r="J5" s="162" t="s">
        <v>61</v>
      </c>
      <c r="L5" s="415" t="s">
        <v>439</v>
      </c>
    </row>
    <row r="6" spans="1:17" ht="58.5" customHeight="1" x14ac:dyDescent="0.2">
      <c r="A6" s="420"/>
      <c r="B6" s="421" t="s">
        <v>51</v>
      </c>
      <c r="C6" s="421" t="s">
        <v>52</v>
      </c>
      <c r="D6" s="421" t="s">
        <v>4</v>
      </c>
      <c r="E6" s="422" t="s">
        <v>53</v>
      </c>
      <c r="F6" s="421" t="s">
        <v>54</v>
      </c>
      <c r="G6" s="421" t="s">
        <v>55</v>
      </c>
      <c r="H6" s="421" t="s">
        <v>8</v>
      </c>
      <c r="I6" s="421" t="s">
        <v>56</v>
      </c>
      <c r="J6" s="421" t="s">
        <v>57</v>
      </c>
      <c r="K6" s="421" t="s">
        <v>58</v>
      </c>
      <c r="L6" s="421" t="s">
        <v>12</v>
      </c>
      <c r="M6" s="423" t="s">
        <v>59</v>
      </c>
      <c r="N6" s="421" t="s">
        <v>14</v>
      </c>
      <c r="O6" s="423" t="s">
        <v>15</v>
      </c>
      <c r="P6" s="421" t="s">
        <v>60</v>
      </c>
    </row>
    <row r="7" spans="1:17" ht="24" customHeight="1" x14ac:dyDescent="0.2">
      <c r="A7" s="424">
        <v>1</v>
      </c>
      <c r="B7" s="401">
        <v>45674</v>
      </c>
      <c r="C7" s="403" t="s">
        <v>100</v>
      </c>
      <c r="D7" s="403"/>
      <c r="E7" s="204" t="s">
        <v>300</v>
      </c>
      <c r="F7" s="203" t="s">
        <v>301</v>
      </c>
      <c r="G7" s="203" t="s">
        <v>302</v>
      </c>
      <c r="H7" s="402" t="s">
        <v>41</v>
      </c>
      <c r="I7" s="403" t="s">
        <v>64</v>
      </c>
      <c r="J7" s="403" t="s">
        <v>65</v>
      </c>
      <c r="K7" s="203">
        <v>45674</v>
      </c>
      <c r="L7" s="203" t="s">
        <v>100</v>
      </c>
      <c r="M7" s="425" t="s">
        <v>303</v>
      </c>
      <c r="N7" s="204" t="s">
        <v>304</v>
      </c>
      <c r="O7" s="426">
        <v>15</v>
      </c>
      <c r="P7" s="427" t="s">
        <v>305</v>
      </c>
      <c r="Q7" s="428"/>
    </row>
    <row r="8" spans="1:17" x14ac:dyDescent="0.2">
      <c r="A8" s="424">
        <v>2</v>
      </c>
      <c r="B8" s="401">
        <v>45674</v>
      </c>
      <c r="C8" s="403" t="s">
        <v>100</v>
      </c>
      <c r="D8" s="403"/>
      <c r="E8" s="204" t="s">
        <v>306</v>
      </c>
      <c r="F8" s="203" t="s">
        <v>307</v>
      </c>
      <c r="G8" s="203" t="s">
        <v>310</v>
      </c>
      <c r="H8" s="402" t="s">
        <v>41</v>
      </c>
      <c r="I8" s="403" t="s">
        <v>64</v>
      </c>
      <c r="J8" s="403" t="s">
        <v>65</v>
      </c>
      <c r="K8" s="203">
        <v>45674</v>
      </c>
      <c r="L8" s="203" t="s">
        <v>100</v>
      </c>
      <c r="M8" s="425" t="s">
        <v>303</v>
      </c>
      <c r="N8" s="204" t="s">
        <v>304</v>
      </c>
      <c r="O8" s="426">
        <v>15</v>
      </c>
      <c r="P8" s="427" t="s">
        <v>305</v>
      </c>
    </row>
    <row r="9" spans="1:17" x14ac:dyDescent="0.2">
      <c r="A9" s="424">
        <v>3</v>
      </c>
      <c r="B9" s="401">
        <v>45674</v>
      </c>
      <c r="C9" s="403" t="s">
        <v>100</v>
      </c>
      <c r="D9" s="403"/>
      <c r="E9" s="204" t="s">
        <v>308</v>
      </c>
      <c r="F9" s="203" t="s">
        <v>309</v>
      </c>
      <c r="G9" s="203" t="s">
        <v>311</v>
      </c>
      <c r="H9" s="402" t="s">
        <v>41</v>
      </c>
      <c r="I9" s="403" t="s">
        <v>64</v>
      </c>
      <c r="J9" s="403" t="s">
        <v>65</v>
      </c>
      <c r="K9" s="203">
        <v>45674</v>
      </c>
      <c r="L9" s="203" t="s">
        <v>100</v>
      </c>
      <c r="M9" s="425" t="s">
        <v>303</v>
      </c>
      <c r="N9" s="204" t="s">
        <v>304</v>
      </c>
      <c r="O9" s="426">
        <v>15</v>
      </c>
      <c r="P9" s="427" t="s">
        <v>305</v>
      </c>
    </row>
    <row r="10" spans="1:17" ht="24" customHeight="1" x14ac:dyDescent="0.2">
      <c r="A10" s="424">
        <v>4</v>
      </c>
      <c r="B10" s="401"/>
      <c r="C10" s="403"/>
      <c r="D10" s="403"/>
      <c r="E10" s="430">
        <v>10104309</v>
      </c>
      <c r="F10" s="424" t="s">
        <v>708</v>
      </c>
      <c r="G10" s="403" t="s">
        <v>709</v>
      </c>
      <c r="H10" s="402" t="s">
        <v>41</v>
      </c>
      <c r="I10" s="403" t="s">
        <v>64</v>
      </c>
      <c r="J10" s="403" t="s">
        <v>65</v>
      </c>
      <c r="K10" s="404">
        <v>45685</v>
      </c>
      <c r="L10" s="425" t="s">
        <v>710</v>
      </c>
      <c r="M10" s="425" t="s">
        <v>711</v>
      </c>
      <c r="N10" s="429" t="s">
        <v>712</v>
      </c>
      <c r="O10" s="426">
        <v>12.5</v>
      </c>
      <c r="P10" s="403" t="s">
        <v>70</v>
      </c>
      <c r="Q10" s="428"/>
    </row>
    <row r="11" spans="1:17" ht="24" customHeight="1" x14ac:dyDescent="0.2">
      <c r="A11" s="424">
        <v>5</v>
      </c>
      <c r="B11" s="401"/>
      <c r="C11" s="403"/>
      <c r="D11" s="403"/>
      <c r="E11" s="430">
        <v>10104309</v>
      </c>
      <c r="F11" s="424" t="s">
        <v>708</v>
      </c>
      <c r="G11" s="403" t="s">
        <v>713</v>
      </c>
      <c r="H11" s="402" t="s">
        <v>41</v>
      </c>
      <c r="I11" s="403" t="s">
        <v>64</v>
      </c>
      <c r="J11" s="403" t="s">
        <v>65</v>
      </c>
      <c r="K11" s="404">
        <v>45685</v>
      </c>
      <c r="L11" s="425" t="s">
        <v>710</v>
      </c>
      <c r="M11" s="425" t="s">
        <v>711</v>
      </c>
      <c r="N11" s="429" t="s">
        <v>712</v>
      </c>
      <c r="O11" s="426">
        <v>12.5</v>
      </c>
      <c r="P11" s="403" t="s">
        <v>70</v>
      </c>
      <c r="Q11" s="428"/>
    </row>
    <row r="12" spans="1:17" ht="20" customHeight="1" x14ac:dyDescent="0.2">
      <c r="A12" s="424">
        <v>6</v>
      </c>
      <c r="B12" s="401"/>
      <c r="C12" s="403"/>
      <c r="D12" s="403"/>
      <c r="E12" s="430">
        <v>10104309</v>
      </c>
      <c r="F12" s="424" t="s">
        <v>708</v>
      </c>
      <c r="G12" s="403" t="s">
        <v>714</v>
      </c>
      <c r="H12" s="402" t="s">
        <v>41</v>
      </c>
      <c r="I12" s="403" t="s">
        <v>64</v>
      </c>
      <c r="J12" s="403" t="s">
        <v>65</v>
      </c>
      <c r="K12" s="404">
        <v>45685</v>
      </c>
      <c r="L12" s="425" t="s">
        <v>710</v>
      </c>
      <c r="M12" s="425" t="s">
        <v>711</v>
      </c>
      <c r="N12" s="429" t="s">
        <v>712</v>
      </c>
      <c r="O12" s="426">
        <v>12.5</v>
      </c>
      <c r="P12" s="403" t="s">
        <v>70</v>
      </c>
    </row>
    <row r="13" spans="1:17" ht="21" customHeight="1" x14ac:dyDescent="0.2">
      <c r="A13" s="424">
        <v>7</v>
      </c>
      <c r="B13" s="401"/>
      <c r="C13" s="403"/>
      <c r="D13" s="403"/>
      <c r="E13" s="430">
        <v>10104309</v>
      </c>
      <c r="F13" s="424" t="s">
        <v>708</v>
      </c>
      <c r="G13" s="403" t="s">
        <v>715</v>
      </c>
      <c r="H13" s="402" t="s">
        <v>41</v>
      </c>
      <c r="I13" s="403" t="s">
        <v>64</v>
      </c>
      <c r="J13" s="403" t="s">
        <v>65</v>
      </c>
      <c r="K13" s="404">
        <v>45685</v>
      </c>
      <c r="L13" s="425" t="s">
        <v>710</v>
      </c>
      <c r="M13" s="425" t="s">
        <v>711</v>
      </c>
      <c r="N13" s="429" t="s">
        <v>712</v>
      </c>
      <c r="O13" s="426">
        <v>12.5</v>
      </c>
      <c r="P13" s="403" t="s">
        <v>70</v>
      </c>
    </row>
    <row r="14" spans="1:17" ht="24" customHeight="1" x14ac:dyDescent="0.2">
      <c r="A14" s="424">
        <v>8</v>
      </c>
      <c r="B14" s="401"/>
      <c r="C14" s="403" t="s">
        <v>1184</v>
      </c>
      <c r="D14" s="403" t="s">
        <v>1185</v>
      </c>
      <c r="E14" s="430">
        <v>112950020</v>
      </c>
      <c r="F14" s="424" t="s">
        <v>1186</v>
      </c>
      <c r="G14" s="403" t="s">
        <v>1187</v>
      </c>
      <c r="H14" s="402" t="s">
        <v>41</v>
      </c>
      <c r="I14" s="403" t="s">
        <v>64</v>
      </c>
      <c r="J14" s="403" t="s">
        <v>65</v>
      </c>
      <c r="K14" s="404" t="s">
        <v>1188</v>
      </c>
      <c r="L14" s="425" t="s">
        <v>100</v>
      </c>
      <c r="M14" s="425" t="s">
        <v>1189</v>
      </c>
      <c r="N14" s="403">
        <v>7241114427</v>
      </c>
      <c r="O14" s="426">
        <v>15</v>
      </c>
      <c r="P14" s="403" t="s">
        <v>70</v>
      </c>
    </row>
    <row r="15" spans="1:17" ht="24" customHeight="1" x14ac:dyDescent="0.2">
      <c r="A15" s="424">
        <v>9</v>
      </c>
      <c r="B15" s="401"/>
      <c r="C15" s="403" t="s">
        <v>1184</v>
      </c>
      <c r="D15" s="403" t="s">
        <v>1185</v>
      </c>
      <c r="E15" s="430">
        <v>40466111</v>
      </c>
      <c r="F15" s="424" t="s">
        <v>1017</v>
      </c>
      <c r="G15" s="403" t="s">
        <v>1190</v>
      </c>
      <c r="H15" s="402" t="s">
        <v>41</v>
      </c>
      <c r="I15" s="403" t="s">
        <v>64</v>
      </c>
      <c r="J15" s="403" t="s">
        <v>65</v>
      </c>
      <c r="K15" s="404" t="s">
        <v>1188</v>
      </c>
      <c r="L15" s="425" t="s">
        <v>100</v>
      </c>
      <c r="M15" s="425" t="s">
        <v>1189</v>
      </c>
      <c r="N15" s="403">
        <v>7241114427</v>
      </c>
      <c r="O15" s="426">
        <v>15</v>
      </c>
      <c r="P15" s="403" t="s">
        <v>70</v>
      </c>
    </row>
    <row r="16" spans="1:17" ht="24" customHeight="1" x14ac:dyDescent="0.2">
      <c r="A16" s="424">
        <v>10</v>
      </c>
      <c r="B16" s="401"/>
      <c r="C16" s="403" t="s">
        <v>1184</v>
      </c>
      <c r="D16" s="403" t="s">
        <v>1185</v>
      </c>
      <c r="E16" s="430">
        <v>112950009</v>
      </c>
      <c r="F16" s="424" t="s">
        <v>1857</v>
      </c>
      <c r="G16" s="403" t="s">
        <v>1858</v>
      </c>
      <c r="H16" s="402" t="s">
        <v>41</v>
      </c>
      <c r="I16" s="403" t="s">
        <v>64</v>
      </c>
      <c r="J16" s="403" t="s">
        <v>65</v>
      </c>
      <c r="K16" s="404">
        <v>45738</v>
      </c>
      <c r="L16" s="425" t="s">
        <v>1859</v>
      </c>
      <c r="M16" s="425" t="s">
        <v>1189</v>
      </c>
      <c r="N16" s="429" t="s">
        <v>1860</v>
      </c>
      <c r="O16" s="426">
        <v>15</v>
      </c>
      <c r="P16" s="403" t="s">
        <v>70</v>
      </c>
    </row>
    <row r="17" spans="1:16" x14ac:dyDescent="0.2">
      <c r="A17" s="424">
        <v>11</v>
      </c>
      <c r="B17" s="433">
        <v>45799</v>
      </c>
      <c r="C17" s="434" t="s">
        <v>2811</v>
      </c>
      <c r="D17" s="434"/>
      <c r="E17" s="435">
        <v>113600016</v>
      </c>
      <c r="F17" s="432" t="s">
        <v>2812</v>
      </c>
      <c r="G17" s="434" t="s">
        <v>2813</v>
      </c>
      <c r="H17" s="436" t="s">
        <v>41</v>
      </c>
      <c r="I17" s="434" t="s">
        <v>64</v>
      </c>
      <c r="J17" s="434" t="s">
        <v>65</v>
      </c>
      <c r="K17" s="437">
        <v>45800</v>
      </c>
      <c r="L17" s="438" t="s">
        <v>2814</v>
      </c>
      <c r="M17" s="438" t="s">
        <v>2815</v>
      </c>
      <c r="N17" s="431" t="s">
        <v>2816</v>
      </c>
      <c r="O17" s="439">
        <v>15</v>
      </c>
      <c r="P17" s="434" t="s">
        <v>70</v>
      </c>
    </row>
    <row r="18" spans="1:16" x14ac:dyDescent="0.2">
      <c r="A18" s="424">
        <v>12</v>
      </c>
      <c r="B18" s="433">
        <v>45799</v>
      </c>
      <c r="C18" s="434" t="s">
        <v>2811</v>
      </c>
      <c r="D18" s="434"/>
      <c r="E18" s="435">
        <v>113600015</v>
      </c>
      <c r="F18" s="432" t="s">
        <v>2817</v>
      </c>
      <c r="G18" s="434" t="s">
        <v>2818</v>
      </c>
      <c r="H18" s="436" t="s">
        <v>41</v>
      </c>
      <c r="I18" s="434" t="s">
        <v>64</v>
      </c>
      <c r="J18" s="434" t="s">
        <v>65</v>
      </c>
      <c r="K18" s="437">
        <v>45800</v>
      </c>
      <c r="L18" s="438" t="s">
        <v>2814</v>
      </c>
      <c r="M18" s="438" t="s">
        <v>2815</v>
      </c>
      <c r="N18" s="431" t="s">
        <v>2816</v>
      </c>
      <c r="O18" s="439">
        <v>15</v>
      </c>
      <c r="P18" s="434" t="s">
        <v>70</v>
      </c>
    </row>
    <row r="19" spans="1:16" x14ac:dyDescent="0.2">
      <c r="A19" s="424">
        <v>13</v>
      </c>
      <c r="B19" s="433">
        <v>45799</v>
      </c>
      <c r="C19" s="434" t="s">
        <v>2811</v>
      </c>
      <c r="D19" s="434"/>
      <c r="E19" s="435">
        <v>113600017</v>
      </c>
      <c r="F19" s="432" t="s">
        <v>2819</v>
      </c>
      <c r="G19" s="434" t="s">
        <v>2820</v>
      </c>
      <c r="H19" s="436" t="s">
        <v>41</v>
      </c>
      <c r="I19" s="434" t="s">
        <v>64</v>
      </c>
      <c r="J19" s="434" t="s">
        <v>65</v>
      </c>
      <c r="K19" s="437">
        <v>45800</v>
      </c>
      <c r="L19" s="438" t="s">
        <v>2814</v>
      </c>
      <c r="M19" s="438" t="s">
        <v>2815</v>
      </c>
      <c r="N19" s="431" t="s">
        <v>2816</v>
      </c>
      <c r="O19" s="439">
        <v>15</v>
      </c>
      <c r="P19" s="434" t="s">
        <v>70</v>
      </c>
    </row>
    <row r="20" spans="1:16" x14ac:dyDescent="0.2">
      <c r="A20" s="424">
        <v>14</v>
      </c>
      <c r="B20" s="433">
        <v>45799</v>
      </c>
      <c r="C20" s="434" t="s">
        <v>2811</v>
      </c>
      <c r="D20" s="434"/>
      <c r="E20" s="435">
        <v>113600015</v>
      </c>
      <c r="F20" s="432" t="s">
        <v>2817</v>
      </c>
      <c r="G20" s="434" t="s">
        <v>2821</v>
      </c>
      <c r="H20" s="436" t="s">
        <v>41</v>
      </c>
      <c r="I20" s="434" t="s">
        <v>64</v>
      </c>
      <c r="J20" s="434" t="s">
        <v>65</v>
      </c>
      <c r="K20" s="437">
        <v>45800</v>
      </c>
      <c r="L20" s="438" t="s">
        <v>2814</v>
      </c>
      <c r="M20" s="438" t="s">
        <v>2815</v>
      </c>
      <c r="N20" s="431" t="s">
        <v>2816</v>
      </c>
      <c r="O20" s="439">
        <v>15</v>
      </c>
      <c r="P20" s="434" t="s">
        <v>70</v>
      </c>
    </row>
    <row r="21" spans="1:16" x14ac:dyDescent="0.2">
      <c r="A21" s="424">
        <v>15</v>
      </c>
      <c r="B21" s="433">
        <v>45799</v>
      </c>
      <c r="C21" s="434" t="s">
        <v>2811</v>
      </c>
      <c r="D21" s="434"/>
      <c r="E21" s="435">
        <v>113600015</v>
      </c>
      <c r="F21" s="432" t="s">
        <v>2817</v>
      </c>
      <c r="G21" s="434" t="s">
        <v>2822</v>
      </c>
      <c r="H21" s="436" t="s">
        <v>41</v>
      </c>
      <c r="I21" s="434" t="s">
        <v>64</v>
      </c>
      <c r="J21" s="434" t="s">
        <v>65</v>
      </c>
      <c r="K21" s="437">
        <v>45800</v>
      </c>
      <c r="L21" s="438" t="s">
        <v>2814</v>
      </c>
      <c r="M21" s="438" t="s">
        <v>2815</v>
      </c>
      <c r="N21" s="431" t="s">
        <v>2816</v>
      </c>
      <c r="O21" s="439">
        <v>15</v>
      </c>
      <c r="P21" s="434" t="s">
        <v>70</v>
      </c>
    </row>
    <row r="22" spans="1:16" x14ac:dyDescent="0.2">
      <c r="A22" s="424">
        <v>16</v>
      </c>
      <c r="B22" s="433">
        <v>45800</v>
      </c>
      <c r="C22" s="434" t="s">
        <v>2823</v>
      </c>
      <c r="D22" s="434"/>
      <c r="E22" s="435">
        <v>404667320</v>
      </c>
      <c r="F22" s="432" t="s">
        <v>855</v>
      </c>
      <c r="G22" s="434" t="s">
        <v>2824</v>
      </c>
      <c r="H22" s="436" t="s">
        <v>41</v>
      </c>
      <c r="I22" s="434" t="s">
        <v>64</v>
      </c>
      <c r="J22" s="434" t="s">
        <v>65</v>
      </c>
      <c r="K22" s="437">
        <v>45800</v>
      </c>
      <c r="L22" s="438" t="s">
        <v>2825</v>
      </c>
      <c r="M22" s="438" t="s">
        <v>679</v>
      </c>
      <c r="N22" s="431" t="s">
        <v>2826</v>
      </c>
      <c r="O22" s="439">
        <v>15</v>
      </c>
      <c r="P22" s="434" t="s">
        <v>70</v>
      </c>
    </row>
    <row r="23" spans="1:16" ht="24" customHeight="1" x14ac:dyDescent="0.2">
      <c r="A23" s="424">
        <v>17</v>
      </c>
      <c r="B23" s="401">
        <v>45866</v>
      </c>
      <c r="C23" s="403" t="s">
        <v>3779</v>
      </c>
      <c r="D23" s="403" t="s">
        <v>1185</v>
      </c>
      <c r="E23" s="430">
        <v>112950021</v>
      </c>
      <c r="F23" s="440" t="str">
        <f>VLOOKUP(E23,PROD,2,FALSE)</f>
        <v>DVN 94030 TCL BK CAMPANA (110V-60HZ) C/KIT</v>
      </c>
      <c r="G23" s="425" t="s">
        <v>3780</v>
      </c>
      <c r="H23" s="402" t="s">
        <v>41</v>
      </c>
      <c r="I23" s="403" t="s">
        <v>64</v>
      </c>
      <c r="J23" s="403" t="s">
        <v>65</v>
      </c>
      <c r="K23" s="404">
        <v>45866</v>
      </c>
      <c r="L23" s="425" t="s">
        <v>3781</v>
      </c>
      <c r="M23" s="425" t="s">
        <v>693</v>
      </c>
      <c r="N23" s="429" t="s">
        <v>3782</v>
      </c>
      <c r="O23" s="426">
        <v>15</v>
      </c>
      <c r="P23" s="403" t="s">
        <v>70</v>
      </c>
    </row>
    <row r="24" spans="1:16" ht="24" customHeight="1" x14ac:dyDescent="0.2">
      <c r="A24" s="424">
        <v>18</v>
      </c>
      <c r="B24" s="401">
        <v>45877</v>
      </c>
      <c r="C24" s="403" t="s">
        <v>3779</v>
      </c>
      <c r="D24" s="403" t="s">
        <v>1185</v>
      </c>
      <c r="E24" s="430">
        <v>40297051</v>
      </c>
      <c r="F24" s="440" t="str">
        <f>VLOOKUP(E24,PROD,2,FALSE)</f>
        <v>COCINA A GAS FS3RS966GGX</v>
      </c>
      <c r="G24" s="425">
        <v>325001708</v>
      </c>
      <c r="H24" s="402" t="s">
        <v>41</v>
      </c>
      <c r="I24" s="403" t="s">
        <v>64</v>
      </c>
      <c r="J24" s="403" t="s">
        <v>65</v>
      </c>
      <c r="K24" s="404">
        <v>45877</v>
      </c>
      <c r="L24" s="425" t="s">
        <v>161</v>
      </c>
      <c r="M24" s="425" t="s">
        <v>679</v>
      </c>
      <c r="N24" s="429" t="s">
        <v>3783</v>
      </c>
      <c r="O24" s="426">
        <v>15</v>
      </c>
      <c r="P24" s="403" t="s">
        <v>70</v>
      </c>
    </row>
    <row r="25" spans="1:16" ht="24" customHeight="1" x14ac:dyDescent="0.2">
      <c r="A25" s="424">
        <v>19</v>
      </c>
      <c r="B25" s="401">
        <v>45870</v>
      </c>
      <c r="C25" s="403" t="s">
        <v>1185</v>
      </c>
      <c r="D25" s="403" t="s">
        <v>41</v>
      </c>
      <c r="E25" s="430">
        <v>111910000</v>
      </c>
      <c r="F25" s="440" t="str">
        <f t="shared" ref="F25:F31" si="0">VLOOKUP(E25,PROD,2,FALSE)</f>
        <v>MLH 845 SS - MICROONDAS</v>
      </c>
      <c r="G25" s="425" t="s">
        <v>4328</v>
      </c>
      <c r="H25" s="402" t="s">
        <v>41</v>
      </c>
      <c r="I25" s="403" t="s">
        <v>64</v>
      </c>
      <c r="J25" s="403" t="s">
        <v>65</v>
      </c>
      <c r="K25" s="404">
        <v>45894</v>
      </c>
      <c r="L25" s="425" t="s">
        <v>4329</v>
      </c>
      <c r="M25" s="425" t="s">
        <v>1189</v>
      </c>
      <c r="N25" s="429" t="s">
        <v>304</v>
      </c>
      <c r="O25" s="426">
        <v>15</v>
      </c>
      <c r="P25" s="403" t="s">
        <v>70</v>
      </c>
    </row>
    <row r="26" spans="1:16" ht="24" customHeight="1" x14ac:dyDescent="0.2">
      <c r="A26" s="424">
        <v>20</v>
      </c>
      <c r="B26" s="401">
        <v>45870</v>
      </c>
      <c r="C26" s="403" t="s">
        <v>1185</v>
      </c>
      <c r="D26" s="403" t="s">
        <v>41</v>
      </c>
      <c r="E26" s="430">
        <v>112910007</v>
      </c>
      <c r="F26" s="440" t="str">
        <f t="shared" si="0"/>
        <v>CC 480 BK ISLA INOX CAMPANA</v>
      </c>
      <c r="G26" s="425" t="s">
        <v>4330</v>
      </c>
      <c r="H26" s="402" t="s">
        <v>41</v>
      </c>
      <c r="I26" s="403" t="s">
        <v>64</v>
      </c>
      <c r="J26" s="403" t="s">
        <v>65</v>
      </c>
      <c r="K26" s="404">
        <v>45896</v>
      </c>
      <c r="L26" s="425" t="s">
        <v>4331</v>
      </c>
      <c r="M26" s="425" t="s">
        <v>1189</v>
      </c>
      <c r="N26" s="429" t="s">
        <v>4332</v>
      </c>
      <c r="O26" s="426">
        <v>15</v>
      </c>
      <c r="P26" s="403" t="s">
        <v>70</v>
      </c>
    </row>
    <row r="27" spans="1:16" ht="24" customHeight="1" x14ac:dyDescent="0.2">
      <c r="A27" s="424">
        <v>21</v>
      </c>
      <c r="B27" s="401">
        <v>45870</v>
      </c>
      <c r="C27" s="403" t="s">
        <v>1185</v>
      </c>
      <c r="D27" s="403" t="s">
        <v>41</v>
      </c>
      <c r="E27" s="430">
        <v>112950019</v>
      </c>
      <c r="F27" s="440" t="str">
        <f t="shared" si="0"/>
        <v>DVN 64030 TCL BK CAMPANA (110V-60HZ) C/KIT</v>
      </c>
      <c r="G27" s="425" t="s">
        <v>4333</v>
      </c>
      <c r="H27" s="402" t="s">
        <v>41</v>
      </c>
      <c r="I27" s="403" t="s">
        <v>64</v>
      </c>
      <c r="J27" s="403" t="s">
        <v>65</v>
      </c>
      <c r="K27" s="404">
        <v>45896</v>
      </c>
      <c r="L27" s="425" t="s">
        <v>4331</v>
      </c>
      <c r="M27" s="425" t="s">
        <v>1189</v>
      </c>
      <c r="N27" s="429" t="s">
        <v>4332</v>
      </c>
      <c r="O27" s="426">
        <v>15</v>
      </c>
      <c r="P27" s="403" t="s">
        <v>70</v>
      </c>
    </row>
    <row r="28" spans="1:16" ht="24" customHeight="1" x14ac:dyDescent="0.2">
      <c r="A28" s="424">
        <v>22</v>
      </c>
      <c r="B28" s="401">
        <v>45870</v>
      </c>
      <c r="C28" s="403" t="s">
        <v>1185</v>
      </c>
      <c r="D28" s="403" t="s">
        <v>41</v>
      </c>
      <c r="E28" s="430">
        <v>40455334</v>
      </c>
      <c r="F28" s="440" t="str">
        <f t="shared" si="0"/>
        <v>NC 980 CRISTAL CAMPANA (110V-60HZ) C/KIT</v>
      </c>
      <c r="G28" s="425" t="s">
        <v>4334</v>
      </c>
      <c r="H28" s="402" t="s">
        <v>41</v>
      </c>
      <c r="I28" s="403" t="s">
        <v>64</v>
      </c>
      <c r="J28" s="403" t="s">
        <v>65</v>
      </c>
      <c r="K28" s="404">
        <v>45896</v>
      </c>
      <c r="L28" s="425" t="s">
        <v>4331</v>
      </c>
      <c r="M28" s="425" t="s">
        <v>1189</v>
      </c>
      <c r="N28" s="429" t="s">
        <v>4332</v>
      </c>
      <c r="O28" s="426">
        <v>15</v>
      </c>
      <c r="P28" s="403" t="s">
        <v>70</v>
      </c>
    </row>
    <row r="29" spans="1:16" ht="24" customHeight="1" x14ac:dyDescent="0.2">
      <c r="A29" s="424">
        <v>23</v>
      </c>
      <c r="B29" s="401">
        <v>45870</v>
      </c>
      <c r="C29" s="403" t="s">
        <v>1185</v>
      </c>
      <c r="D29" s="403" t="s">
        <v>41</v>
      </c>
      <c r="E29" s="430">
        <v>112950020</v>
      </c>
      <c r="F29" s="440" t="str">
        <f t="shared" si="0"/>
        <v>DVN 74030 TCL BK CAMPANA (110V-60HZ) C/KIT</v>
      </c>
      <c r="G29" s="425" t="s">
        <v>4335</v>
      </c>
      <c r="H29" s="402" t="s">
        <v>41</v>
      </c>
      <c r="I29" s="403" t="s">
        <v>64</v>
      </c>
      <c r="J29" s="403" t="s">
        <v>65</v>
      </c>
      <c r="K29" s="404">
        <v>45896</v>
      </c>
      <c r="L29" s="425" t="s">
        <v>4331</v>
      </c>
      <c r="M29" s="425" t="s">
        <v>1189</v>
      </c>
      <c r="N29" s="429" t="s">
        <v>4332</v>
      </c>
      <c r="O29" s="426">
        <v>15</v>
      </c>
      <c r="P29" s="403" t="s">
        <v>70</v>
      </c>
    </row>
    <row r="30" spans="1:16" ht="24" customHeight="1" x14ac:dyDescent="0.2">
      <c r="A30" s="424">
        <v>24</v>
      </c>
      <c r="B30" s="401">
        <v>45870</v>
      </c>
      <c r="C30" s="403" t="s">
        <v>1185</v>
      </c>
      <c r="D30" s="403" t="s">
        <v>41</v>
      </c>
      <c r="E30" s="430">
        <v>40484203</v>
      </c>
      <c r="F30" s="440" t="str">
        <f t="shared" si="0"/>
        <v>DSH 785 INOX CAMPANA (110V-60HZ) C/KIT</v>
      </c>
      <c r="G30" s="425" t="s">
        <v>4336</v>
      </c>
      <c r="H30" s="402" t="s">
        <v>41</v>
      </c>
      <c r="I30" s="403" t="s">
        <v>64</v>
      </c>
      <c r="J30" s="403" t="s">
        <v>65</v>
      </c>
      <c r="K30" s="404">
        <v>45896</v>
      </c>
      <c r="L30" s="425" t="s">
        <v>4331</v>
      </c>
      <c r="M30" s="425" t="s">
        <v>1189</v>
      </c>
      <c r="N30" s="429" t="s">
        <v>4332</v>
      </c>
      <c r="O30" s="426">
        <v>15</v>
      </c>
      <c r="P30" s="403" t="s">
        <v>70</v>
      </c>
    </row>
    <row r="31" spans="1:16" ht="24" customHeight="1" x14ac:dyDescent="0.2">
      <c r="A31" s="424">
        <v>25</v>
      </c>
      <c r="B31" s="401">
        <v>45870</v>
      </c>
      <c r="C31" s="403" t="s">
        <v>1185</v>
      </c>
      <c r="D31" s="403" t="s">
        <v>41</v>
      </c>
      <c r="E31" s="430">
        <v>112970010</v>
      </c>
      <c r="F31" s="440" t="str">
        <f t="shared" si="0"/>
        <v>DSH 986 FBK CAMPANA</v>
      </c>
      <c r="G31" s="425" t="s">
        <v>4337</v>
      </c>
      <c r="H31" s="402" t="s">
        <v>41</v>
      </c>
      <c r="I31" s="403" t="s">
        <v>64</v>
      </c>
      <c r="J31" s="403" t="s">
        <v>65</v>
      </c>
      <c r="K31" s="404">
        <v>45896</v>
      </c>
      <c r="L31" s="425" t="s">
        <v>4331</v>
      </c>
      <c r="M31" s="425" t="s">
        <v>1189</v>
      </c>
      <c r="N31" s="429" t="s">
        <v>4332</v>
      </c>
      <c r="O31" s="426">
        <v>15</v>
      </c>
      <c r="P31" s="403" t="s">
        <v>70</v>
      </c>
    </row>
  </sheetData>
  <hyperlinks>
    <hyperlink ref="P7" r:id="rId1" xr:uid="{CC96174C-9CC1-C24D-99B6-B8883CDEDF03}"/>
    <hyperlink ref="P8" r:id="rId2" xr:uid="{8D03F156-CFDA-7943-A44A-EA4BBEA5B679}"/>
    <hyperlink ref="P9" r:id="rId3" xr:uid="{88EF2EFF-10D9-D943-8600-D01E5150C686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6"/>
  <sheetViews>
    <sheetView topLeftCell="A3" zoomScaleNormal="100" workbookViewId="0">
      <pane ySplit="2" topLeftCell="A218" activePane="bottomLeft" state="frozen"/>
      <selection activeCell="A3" sqref="A3"/>
      <selection pane="bottomLeft" activeCell="N207" sqref="N207:N214"/>
    </sheetView>
  </sheetViews>
  <sheetFormatPr baseColWidth="10" defaultRowHeight="15" x14ac:dyDescent="0.2"/>
  <cols>
    <col min="1" max="1" width="6.6640625" style="209" customWidth="1"/>
    <col min="2" max="2" width="11.83203125" style="209" customWidth="1"/>
    <col min="3" max="3" width="10.33203125" style="209" customWidth="1"/>
    <col min="4" max="4" width="20" style="209" customWidth="1"/>
    <col min="5" max="5" width="18.33203125" style="209" customWidth="1"/>
    <col min="6" max="6" width="15" style="209" customWidth="1"/>
    <col min="7" max="7" width="20.83203125" style="209" customWidth="1"/>
    <col min="8" max="8" width="20.33203125" style="209" customWidth="1"/>
    <col min="9" max="9" width="6.6640625" style="209" customWidth="1"/>
    <col min="10" max="10" width="7.83203125" style="209" customWidth="1"/>
    <col min="11" max="11" width="10.33203125" style="209" customWidth="1"/>
    <col min="12" max="12" width="7.33203125" style="209" customWidth="1"/>
    <col min="13" max="13" width="28.1640625" style="209" customWidth="1"/>
    <col min="14" max="14" width="17.5" style="209" customWidth="1"/>
    <col min="15" max="15" width="9.6640625" style="209" customWidth="1"/>
    <col min="16" max="16" width="7.1640625" style="209" customWidth="1"/>
    <col min="17" max="17" width="10.83203125" style="209"/>
    <col min="18" max="18" width="8" style="209" customWidth="1"/>
    <col min="19" max="19" width="21" style="209" customWidth="1"/>
    <col min="20" max="20" width="14" style="209" customWidth="1"/>
    <col min="21" max="21" width="30" style="209" customWidth="1"/>
    <col min="22" max="22" width="33" style="209" customWidth="1"/>
    <col min="23" max="16384" width="10.83203125" style="209"/>
  </cols>
  <sheetData>
    <row r="1" spans="1:21" x14ac:dyDescent="0.2">
      <c r="E1" s="209" t="s">
        <v>74</v>
      </c>
      <c r="H1" s="210"/>
    </row>
    <row r="2" spans="1:21" x14ac:dyDescent="0.2">
      <c r="B2" s="38"/>
      <c r="C2" s="211" t="s">
        <v>0</v>
      </c>
      <c r="G2" s="212"/>
      <c r="I2" s="39"/>
      <c r="J2" s="40"/>
      <c r="K2" s="213"/>
      <c r="L2" s="214"/>
      <c r="M2" s="41"/>
      <c r="N2" s="41"/>
      <c r="O2" s="38"/>
      <c r="P2" s="215"/>
      <c r="U2" s="42"/>
    </row>
    <row r="3" spans="1:21" x14ac:dyDescent="0.2">
      <c r="B3" s="38"/>
      <c r="C3" s="216" t="s">
        <v>1</v>
      </c>
      <c r="G3" s="38"/>
      <c r="I3" s="39"/>
      <c r="J3" s="40"/>
      <c r="K3" s="213" t="s">
        <v>68</v>
      </c>
      <c r="L3" s="214"/>
      <c r="M3" s="41"/>
      <c r="N3" s="43"/>
      <c r="O3" s="44" t="s">
        <v>5837</v>
      </c>
      <c r="P3" s="215"/>
      <c r="Q3" s="217"/>
      <c r="U3" s="42"/>
    </row>
    <row r="4" spans="1:21" ht="24" customHeight="1" x14ac:dyDescent="0.2">
      <c r="B4" s="218" t="s">
        <v>11</v>
      </c>
      <c r="C4" s="218" t="s">
        <v>2</v>
      </c>
      <c r="D4" s="218" t="s">
        <v>3</v>
      </c>
      <c r="E4" s="218" t="s">
        <v>4</v>
      </c>
      <c r="F4" s="218" t="s">
        <v>5</v>
      </c>
      <c r="G4" s="218" t="s">
        <v>6</v>
      </c>
      <c r="H4" s="218" t="s">
        <v>7</v>
      </c>
      <c r="I4" s="218" t="s">
        <v>8</v>
      </c>
      <c r="J4" s="218" t="s">
        <v>9</v>
      </c>
      <c r="K4" s="218" t="s">
        <v>10</v>
      </c>
      <c r="L4" s="219" t="s">
        <v>12</v>
      </c>
      <c r="M4" s="219" t="s">
        <v>13</v>
      </c>
      <c r="N4" s="218" t="s">
        <v>14</v>
      </c>
      <c r="O4" s="220" t="s">
        <v>15</v>
      </c>
      <c r="P4" s="218" t="s">
        <v>16</v>
      </c>
      <c r="Q4" s="218" t="s">
        <v>17</v>
      </c>
      <c r="R4" s="221" t="s">
        <v>18</v>
      </c>
      <c r="S4" s="218" t="s">
        <v>19</v>
      </c>
      <c r="T4" s="218" t="s">
        <v>20</v>
      </c>
      <c r="U4" s="222" t="s">
        <v>21</v>
      </c>
    </row>
    <row r="5" spans="1:21" x14ac:dyDescent="0.2">
      <c r="A5" s="223">
        <v>1</v>
      </c>
      <c r="B5" s="224">
        <v>45663</v>
      </c>
      <c r="C5" s="224">
        <v>45661</v>
      </c>
      <c r="D5" s="224" t="s">
        <v>125</v>
      </c>
      <c r="E5" s="224" t="s">
        <v>126</v>
      </c>
      <c r="F5" s="225" t="s">
        <v>127</v>
      </c>
      <c r="G5" s="224" t="s">
        <v>128</v>
      </c>
      <c r="H5" s="224" t="s">
        <v>129</v>
      </c>
      <c r="I5" s="225" t="s">
        <v>41</v>
      </c>
      <c r="J5" s="224" t="s">
        <v>64</v>
      </c>
      <c r="K5" s="224" t="s">
        <v>65</v>
      </c>
      <c r="L5" s="224" t="s">
        <v>130</v>
      </c>
      <c r="M5" s="224" t="s">
        <v>131</v>
      </c>
      <c r="N5" s="225" t="s">
        <v>132</v>
      </c>
      <c r="O5" s="226">
        <v>15</v>
      </c>
      <c r="P5" s="224" t="s">
        <v>69</v>
      </c>
      <c r="Q5" s="224" t="s">
        <v>64</v>
      </c>
      <c r="R5" s="224"/>
      <c r="S5" s="224" t="str">
        <f>E5</f>
        <v>043-903-000050987</v>
      </c>
      <c r="T5" s="227" t="s">
        <v>133</v>
      </c>
      <c r="U5" s="228" t="s">
        <v>134</v>
      </c>
    </row>
    <row r="6" spans="1:21" x14ac:dyDescent="0.2">
      <c r="A6" s="223">
        <v>2</v>
      </c>
      <c r="B6" s="224">
        <v>45663</v>
      </c>
      <c r="C6" s="224">
        <v>45659</v>
      </c>
      <c r="D6" s="224" t="s">
        <v>125</v>
      </c>
      <c r="E6" s="224" t="s">
        <v>135</v>
      </c>
      <c r="F6" s="225" t="s">
        <v>136</v>
      </c>
      <c r="G6" s="224" t="s">
        <v>137</v>
      </c>
      <c r="H6" s="224" t="s">
        <v>138</v>
      </c>
      <c r="I6" s="225" t="s">
        <v>41</v>
      </c>
      <c r="J6" s="224" t="s">
        <v>64</v>
      </c>
      <c r="K6" s="224" t="s">
        <v>65</v>
      </c>
      <c r="L6" s="224" t="s">
        <v>139</v>
      </c>
      <c r="M6" s="224" t="s">
        <v>140</v>
      </c>
      <c r="N6" s="225" t="s">
        <v>141</v>
      </c>
      <c r="O6" s="226">
        <v>25</v>
      </c>
      <c r="P6" s="224" t="s">
        <v>69</v>
      </c>
      <c r="Q6" s="224" t="s">
        <v>64</v>
      </c>
      <c r="R6" s="224"/>
      <c r="S6" s="224" t="str">
        <f>E6</f>
        <v>043-903-000050722</v>
      </c>
      <c r="T6" s="227" t="s">
        <v>142</v>
      </c>
      <c r="U6" s="228" t="s">
        <v>143</v>
      </c>
    </row>
    <row r="7" spans="1:21" x14ac:dyDescent="0.2">
      <c r="A7" s="223">
        <v>3</v>
      </c>
      <c r="B7" s="224">
        <v>45663</v>
      </c>
      <c r="C7" s="224">
        <v>45648</v>
      </c>
      <c r="D7" s="224" t="s">
        <v>161</v>
      </c>
      <c r="E7" s="224" t="s">
        <v>162</v>
      </c>
      <c r="F7" s="225" t="s">
        <v>144</v>
      </c>
      <c r="G7" s="224" t="s">
        <v>145</v>
      </c>
      <c r="H7" s="224" t="s">
        <v>146</v>
      </c>
      <c r="I7" s="225" t="s">
        <v>41</v>
      </c>
      <c r="J7" s="224" t="s">
        <v>64</v>
      </c>
      <c r="K7" s="224" t="s">
        <v>65</v>
      </c>
      <c r="L7" s="224" t="s">
        <v>147</v>
      </c>
      <c r="M7" s="224" t="s">
        <v>148</v>
      </c>
      <c r="N7" s="225" t="s">
        <v>149</v>
      </c>
      <c r="O7" s="226">
        <v>29</v>
      </c>
      <c r="P7" s="224" t="s">
        <v>69</v>
      </c>
      <c r="Q7" s="224" t="s">
        <v>64</v>
      </c>
      <c r="R7" s="224"/>
      <c r="S7" s="224" t="str">
        <f>E7</f>
        <v>040-104-000008828</v>
      </c>
      <c r="T7" s="227" t="s">
        <v>150</v>
      </c>
      <c r="U7" s="228" t="s">
        <v>151</v>
      </c>
    </row>
    <row r="8" spans="1:21" x14ac:dyDescent="0.2">
      <c r="A8" s="223">
        <v>4</v>
      </c>
      <c r="B8" s="224">
        <v>45664</v>
      </c>
      <c r="C8" s="224">
        <v>45587</v>
      </c>
      <c r="D8" s="224" t="s">
        <v>125</v>
      </c>
      <c r="E8" s="224" t="s">
        <v>152</v>
      </c>
      <c r="F8" s="225" t="s">
        <v>153</v>
      </c>
      <c r="G8" s="224" t="s">
        <v>154</v>
      </c>
      <c r="H8" s="224" t="s">
        <v>155</v>
      </c>
      <c r="I8" s="225" t="s">
        <v>41</v>
      </c>
      <c r="J8" s="224" t="s">
        <v>64</v>
      </c>
      <c r="K8" s="224" t="s">
        <v>65</v>
      </c>
      <c r="L8" s="224" t="s">
        <v>156</v>
      </c>
      <c r="M8" s="224" t="s">
        <v>157</v>
      </c>
      <c r="N8" s="225" t="s">
        <v>158</v>
      </c>
      <c r="O8" s="226">
        <v>25</v>
      </c>
      <c r="P8" s="224" t="s">
        <v>69</v>
      </c>
      <c r="Q8" s="224" t="s">
        <v>64</v>
      </c>
      <c r="R8" s="224"/>
      <c r="S8" s="224" t="str">
        <f>E8</f>
        <v>043-906-000032740</v>
      </c>
      <c r="T8" s="227" t="s">
        <v>159</v>
      </c>
      <c r="U8" s="228" t="s">
        <v>160</v>
      </c>
    </row>
    <row r="9" spans="1:21" x14ac:dyDescent="0.2">
      <c r="A9" s="223">
        <v>5</v>
      </c>
      <c r="B9" s="224">
        <v>45665</v>
      </c>
      <c r="C9" s="224">
        <v>45441</v>
      </c>
      <c r="D9" s="224" t="s">
        <v>202</v>
      </c>
      <c r="E9" s="224" t="s">
        <v>203</v>
      </c>
      <c r="F9" s="225" t="s">
        <v>204</v>
      </c>
      <c r="G9" s="224" t="s">
        <v>205</v>
      </c>
      <c r="H9" s="224" t="s">
        <v>206</v>
      </c>
      <c r="I9" s="225" t="s">
        <v>41</v>
      </c>
      <c r="J9" s="224" t="s">
        <v>64</v>
      </c>
      <c r="K9" s="224" t="s">
        <v>65</v>
      </c>
      <c r="L9" s="224" t="s">
        <v>207</v>
      </c>
      <c r="M9" s="224" t="s">
        <v>208</v>
      </c>
      <c r="N9" s="225" t="s">
        <v>209</v>
      </c>
      <c r="O9" s="226">
        <v>25</v>
      </c>
      <c r="P9" s="224" t="s">
        <v>69</v>
      </c>
      <c r="Q9" s="224" t="s">
        <v>64</v>
      </c>
      <c r="R9" s="224"/>
      <c r="S9" s="224" t="str">
        <f>E9</f>
        <v>007-007-000031524</v>
      </c>
      <c r="T9" s="227" t="s">
        <v>210</v>
      </c>
      <c r="U9" s="228" t="s">
        <v>211</v>
      </c>
    </row>
    <row r="10" spans="1:21" x14ac:dyDescent="0.2">
      <c r="A10" s="223">
        <v>6</v>
      </c>
      <c r="B10" s="224">
        <v>45665</v>
      </c>
      <c r="C10" s="224">
        <v>45663</v>
      </c>
      <c r="D10" s="224" t="s">
        <v>125</v>
      </c>
      <c r="E10" s="224" t="s">
        <v>212</v>
      </c>
      <c r="F10" s="225" t="s">
        <v>213</v>
      </c>
      <c r="G10" s="224" t="s">
        <v>214</v>
      </c>
      <c r="H10" s="224" t="s">
        <v>215</v>
      </c>
      <c r="I10" s="225" t="s">
        <v>41</v>
      </c>
      <c r="J10" s="224" t="s">
        <v>64</v>
      </c>
      <c r="K10" s="224" t="s">
        <v>65</v>
      </c>
      <c r="L10" s="224" t="s">
        <v>216</v>
      </c>
      <c r="M10" s="224" t="s">
        <v>217</v>
      </c>
      <c r="N10" s="225" t="s">
        <v>218</v>
      </c>
      <c r="O10" s="226">
        <v>15</v>
      </c>
      <c r="P10" s="224" t="s">
        <v>69</v>
      </c>
      <c r="Q10" s="224" t="s">
        <v>64</v>
      </c>
      <c r="R10" s="224"/>
      <c r="S10" s="224" t="str">
        <f>E10</f>
        <v>016-907-000233652</v>
      </c>
      <c r="T10" s="227" t="s">
        <v>219</v>
      </c>
      <c r="U10" s="228" t="s">
        <v>220</v>
      </c>
    </row>
    <row r="11" spans="1:21" x14ac:dyDescent="0.2">
      <c r="A11" s="223">
        <v>7</v>
      </c>
      <c r="B11" s="224">
        <v>45667</v>
      </c>
      <c r="C11" s="224">
        <v>45633</v>
      </c>
      <c r="D11" s="224" t="s">
        <v>161</v>
      </c>
      <c r="E11" s="224" t="s">
        <v>243</v>
      </c>
      <c r="F11" s="225" t="s">
        <v>136</v>
      </c>
      <c r="G11" s="224" t="s">
        <v>137</v>
      </c>
      <c r="H11" s="224" t="s">
        <v>244</v>
      </c>
      <c r="I11" s="225" t="s">
        <v>41</v>
      </c>
      <c r="J11" s="224" t="s">
        <v>64</v>
      </c>
      <c r="K11" s="224" t="s">
        <v>65</v>
      </c>
      <c r="L11" s="224" t="s">
        <v>245</v>
      </c>
      <c r="M11" s="224" t="s">
        <v>246</v>
      </c>
      <c r="N11" s="225" t="s">
        <v>247</v>
      </c>
      <c r="O11" s="226">
        <v>25</v>
      </c>
      <c r="P11" s="224" t="s">
        <v>69</v>
      </c>
      <c r="Q11" s="224" t="s">
        <v>64</v>
      </c>
      <c r="R11" s="224"/>
      <c r="S11" s="224" t="str">
        <f>E11</f>
        <v>040-103-000010079</v>
      </c>
      <c r="T11" s="227" t="s">
        <v>248</v>
      </c>
      <c r="U11" s="228" t="s">
        <v>249</v>
      </c>
    </row>
    <row r="12" spans="1:21" x14ac:dyDescent="0.2">
      <c r="A12" s="223">
        <v>8</v>
      </c>
      <c r="B12" s="224">
        <v>45670</v>
      </c>
      <c r="C12" s="224">
        <v>45668</v>
      </c>
      <c r="D12" s="224" t="s">
        <v>125</v>
      </c>
      <c r="E12" s="224" t="s">
        <v>250</v>
      </c>
      <c r="F12" s="225" t="s">
        <v>251</v>
      </c>
      <c r="G12" s="224" t="s">
        <v>252</v>
      </c>
      <c r="H12" s="224" t="s">
        <v>253</v>
      </c>
      <c r="I12" s="225" t="s">
        <v>41</v>
      </c>
      <c r="J12" s="224" t="s">
        <v>64</v>
      </c>
      <c r="K12" s="224" t="s">
        <v>65</v>
      </c>
      <c r="L12" s="224" t="s">
        <v>254</v>
      </c>
      <c r="M12" s="224" t="s">
        <v>255</v>
      </c>
      <c r="N12" s="225" t="s">
        <v>256</v>
      </c>
      <c r="O12" s="226">
        <v>15</v>
      </c>
      <c r="P12" s="224" t="s">
        <v>69</v>
      </c>
      <c r="Q12" s="224" t="s">
        <v>64</v>
      </c>
      <c r="R12" s="224"/>
      <c r="S12" s="224" t="str">
        <f>E12</f>
        <v>016-902-000493252</v>
      </c>
      <c r="T12" s="227" t="s">
        <v>257</v>
      </c>
      <c r="U12" s="228" t="s">
        <v>258</v>
      </c>
    </row>
    <row r="13" spans="1:21" x14ac:dyDescent="0.2">
      <c r="A13" s="223">
        <v>9</v>
      </c>
      <c r="B13" s="224">
        <v>45671</v>
      </c>
      <c r="C13" s="224">
        <v>45352</v>
      </c>
      <c r="D13" s="224" t="s">
        <v>100</v>
      </c>
      <c r="E13" s="224" t="s">
        <v>259</v>
      </c>
      <c r="F13" s="225" t="s">
        <v>260</v>
      </c>
      <c r="G13" s="224" t="s">
        <v>261</v>
      </c>
      <c r="H13" s="224" t="s">
        <v>262</v>
      </c>
      <c r="I13" s="225" t="s">
        <v>41</v>
      </c>
      <c r="J13" s="224" t="s">
        <v>64</v>
      </c>
      <c r="K13" s="224" t="s">
        <v>65</v>
      </c>
      <c r="L13" s="224" t="s">
        <v>263</v>
      </c>
      <c r="M13" s="224" t="s">
        <v>264</v>
      </c>
      <c r="N13" s="225" t="s">
        <v>265</v>
      </c>
      <c r="O13" s="226">
        <v>29</v>
      </c>
      <c r="P13" s="224" t="s">
        <v>69</v>
      </c>
      <c r="Q13" s="229" t="s">
        <v>64</v>
      </c>
      <c r="S13" s="224" t="str">
        <f>E13</f>
        <v>001-501-000002015</v>
      </c>
      <c r="T13" s="230" t="s">
        <v>266</v>
      </c>
      <c r="U13" s="231" t="s">
        <v>267</v>
      </c>
    </row>
    <row r="14" spans="1:21" x14ac:dyDescent="0.2">
      <c r="A14" s="223">
        <v>10</v>
      </c>
      <c r="B14" s="224">
        <v>45673</v>
      </c>
      <c r="C14" s="224">
        <v>45639</v>
      </c>
      <c r="D14" s="224" t="s">
        <v>125</v>
      </c>
      <c r="E14" s="224" t="s">
        <v>292</v>
      </c>
      <c r="F14" s="225" t="s">
        <v>293</v>
      </c>
      <c r="G14" s="224" t="s">
        <v>294</v>
      </c>
      <c r="H14" s="232">
        <v>111910000000140</v>
      </c>
      <c r="I14" s="225" t="s">
        <v>41</v>
      </c>
      <c r="J14" s="224" t="s">
        <v>64</v>
      </c>
      <c r="K14" s="224" t="s">
        <v>65</v>
      </c>
      <c r="L14" s="224" t="s">
        <v>295</v>
      </c>
      <c r="M14" s="224" t="s">
        <v>296</v>
      </c>
      <c r="N14" s="225" t="s">
        <v>297</v>
      </c>
      <c r="O14" s="226">
        <v>36</v>
      </c>
      <c r="P14" s="224" t="s">
        <v>69</v>
      </c>
      <c r="Q14" s="229" t="s">
        <v>64</v>
      </c>
      <c r="S14" s="224" t="str">
        <f>E14</f>
        <v>043-904-000053680</v>
      </c>
      <c r="T14" s="230" t="s">
        <v>298</v>
      </c>
      <c r="U14" s="233" t="s">
        <v>299</v>
      </c>
    </row>
    <row r="15" spans="1:21" x14ac:dyDescent="0.2">
      <c r="A15" s="223">
        <v>11</v>
      </c>
      <c r="B15" s="224">
        <v>45672</v>
      </c>
      <c r="C15" s="224">
        <v>45645</v>
      </c>
      <c r="D15" s="224" t="s">
        <v>125</v>
      </c>
      <c r="E15" s="224" t="s">
        <v>344</v>
      </c>
      <c r="F15" s="225" t="s">
        <v>345</v>
      </c>
      <c r="G15" s="224" t="s">
        <v>346</v>
      </c>
      <c r="H15" s="224" t="s">
        <v>347</v>
      </c>
      <c r="I15" s="225" t="s">
        <v>41</v>
      </c>
      <c r="J15" s="224" t="s">
        <v>64</v>
      </c>
      <c r="K15" s="224" t="s">
        <v>65</v>
      </c>
      <c r="L15" s="224" t="s">
        <v>348</v>
      </c>
      <c r="M15" s="224" t="s">
        <v>349</v>
      </c>
      <c r="N15" s="225" t="s">
        <v>350</v>
      </c>
      <c r="O15" s="226">
        <v>29</v>
      </c>
      <c r="P15" s="224" t="s">
        <v>69</v>
      </c>
      <c r="Q15" s="229" t="s">
        <v>64</v>
      </c>
      <c r="S15" s="224" t="str">
        <f>E15</f>
        <v>043-904-000054826</v>
      </c>
      <c r="T15" s="234" t="s">
        <v>351</v>
      </c>
      <c r="U15" s="233" t="s">
        <v>352</v>
      </c>
    </row>
    <row r="16" spans="1:21" x14ac:dyDescent="0.2">
      <c r="A16" s="223">
        <v>12</v>
      </c>
      <c r="B16" s="224">
        <v>45673</v>
      </c>
      <c r="C16" s="224">
        <v>45668</v>
      </c>
      <c r="D16" s="224" t="s">
        <v>161</v>
      </c>
      <c r="E16" s="224" t="s">
        <v>353</v>
      </c>
      <c r="F16" s="225" t="s">
        <v>354</v>
      </c>
      <c r="G16" s="224" t="s">
        <v>355</v>
      </c>
      <c r="H16" s="224" t="s">
        <v>356</v>
      </c>
      <c r="I16" s="225" t="s">
        <v>41</v>
      </c>
      <c r="J16" s="224" t="s">
        <v>64</v>
      </c>
      <c r="K16" s="224" t="s">
        <v>65</v>
      </c>
      <c r="L16" s="224" t="s">
        <v>357</v>
      </c>
      <c r="M16" s="224" t="s">
        <v>358</v>
      </c>
      <c r="N16" s="225" t="s">
        <v>359</v>
      </c>
      <c r="O16" s="226">
        <v>30</v>
      </c>
      <c r="P16" s="224" t="s">
        <v>69</v>
      </c>
      <c r="Q16" s="224" t="s">
        <v>64</v>
      </c>
      <c r="R16" s="224"/>
      <c r="S16" s="224" t="str">
        <f>E16</f>
        <v>040-103-000011113</v>
      </c>
      <c r="T16" s="227" t="s">
        <v>360</v>
      </c>
      <c r="U16" s="228" t="s">
        <v>361</v>
      </c>
    </row>
    <row r="17" spans="1:21" x14ac:dyDescent="0.2">
      <c r="A17" s="223">
        <v>13</v>
      </c>
      <c r="B17" s="224">
        <v>45673</v>
      </c>
      <c r="C17" s="224">
        <v>45667</v>
      </c>
      <c r="D17" s="224" t="s">
        <v>125</v>
      </c>
      <c r="E17" s="224" t="s">
        <v>362</v>
      </c>
      <c r="F17" s="225" t="s">
        <v>363</v>
      </c>
      <c r="G17" s="224" t="s">
        <v>364</v>
      </c>
      <c r="H17" s="224" t="s">
        <v>365</v>
      </c>
      <c r="I17" s="225" t="s">
        <v>41</v>
      </c>
      <c r="J17" s="224" t="s">
        <v>64</v>
      </c>
      <c r="K17" s="224" t="s">
        <v>65</v>
      </c>
      <c r="L17" s="224" t="s">
        <v>366</v>
      </c>
      <c r="M17" s="224" t="s">
        <v>367</v>
      </c>
      <c r="N17" s="225" t="s">
        <v>368</v>
      </c>
      <c r="O17" s="226">
        <v>15</v>
      </c>
      <c r="P17" s="224" t="s">
        <v>69</v>
      </c>
      <c r="Q17" s="224" t="s">
        <v>64</v>
      </c>
      <c r="R17" s="224"/>
      <c r="S17" s="224" t="str">
        <f>E17</f>
        <v>016-907-000234265</v>
      </c>
      <c r="T17" s="227" t="s">
        <v>369</v>
      </c>
      <c r="U17" s="228" t="s">
        <v>370</v>
      </c>
    </row>
    <row r="18" spans="1:21" x14ac:dyDescent="0.2">
      <c r="A18" s="223">
        <v>14</v>
      </c>
      <c r="B18" s="224">
        <v>45674</v>
      </c>
      <c r="C18" s="224">
        <v>45672</v>
      </c>
      <c r="D18" s="224" t="s">
        <v>125</v>
      </c>
      <c r="E18" s="224" t="s">
        <v>371</v>
      </c>
      <c r="F18" s="225" t="s">
        <v>372</v>
      </c>
      <c r="G18" s="224" t="s">
        <v>214</v>
      </c>
      <c r="H18" s="224" t="s">
        <v>373</v>
      </c>
      <c r="I18" s="225" t="s">
        <v>41</v>
      </c>
      <c r="J18" s="224" t="s">
        <v>64</v>
      </c>
      <c r="K18" s="224" t="s">
        <v>65</v>
      </c>
      <c r="L18" s="224" t="s">
        <v>216</v>
      </c>
      <c r="M18" s="224" t="s">
        <v>374</v>
      </c>
      <c r="N18" s="225" t="s">
        <v>218</v>
      </c>
      <c r="O18" s="226">
        <v>15</v>
      </c>
      <c r="P18" s="224" t="s">
        <v>69</v>
      </c>
      <c r="Q18" s="224" t="s">
        <v>64</v>
      </c>
      <c r="R18" s="224"/>
      <c r="S18" s="224" t="str">
        <f>E18</f>
        <v>016-902-000493658</v>
      </c>
      <c r="T18" s="227" t="s">
        <v>219</v>
      </c>
      <c r="U18" s="228" t="s">
        <v>220</v>
      </c>
    </row>
    <row r="19" spans="1:21" x14ac:dyDescent="0.2">
      <c r="A19" s="223">
        <v>15</v>
      </c>
      <c r="B19" s="224">
        <v>45674</v>
      </c>
      <c r="C19" s="224">
        <v>45673</v>
      </c>
      <c r="D19" s="224" t="s">
        <v>100</v>
      </c>
      <c r="E19" s="224" t="s">
        <v>383</v>
      </c>
      <c r="F19" s="225" t="s">
        <v>375</v>
      </c>
      <c r="G19" s="224" t="s">
        <v>376</v>
      </c>
      <c r="H19" s="224" t="s">
        <v>377</v>
      </c>
      <c r="I19" s="225" t="s">
        <v>41</v>
      </c>
      <c r="J19" s="224" t="s">
        <v>64</v>
      </c>
      <c r="K19" s="224" t="s">
        <v>65</v>
      </c>
      <c r="L19" s="224" t="s">
        <v>382</v>
      </c>
      <c r="M19" s="224" t="s">
        <v>378</v>
      </c>
      <c r="N19" s="225" t="s">
        <v>379</v>
      </c>
      <c r="O19" s="226">
        <v>29</v>
      </c>
      <c r="P19" s="224" t="s">
        <v>69</v>
      </c>
      <c r="Q19" s="224" t="s">
        <v>64</v>
      </c>
      <c r="R19" s="224"/>
      <c r="S19" s="224" t="str">
        <f>E19</f>
        <v>001-500-000070174</v>
      </c>
      <c r="T19" s="227" t="s">
        <v>380</v>
      </c>
      <c r="U19" s="228" t="s">
        <v>381</v>
      </c>
    </row>
    <row r="20" spans="1:21" x14ac:dyDescent="0.2">
      <c r="A20" s="223">
        <v>16</v>
      </c>
      <c r="B20" s="224">
        <v>45677</v>
      </c>
      <c r="C20" s="224">
        <v>45664</v>
      </c>
      <c r="D20" s="224" t="s">
        <v>125</v>
      </c>
      <c r="E20" s="224" t="s">
        <v>415</v>
      </c>
      <c r="F20" s="225" t="s">
        <v>213</v>
      </c>
      <c r="G20" s="224" t="s">
        <v>214</v>
      </c>
      <c r="H20" s="224" t="s">
        <v>403</v>
      </c>
      <c r="I20" s="225" t="s">
        <v>41</v>
      </c>
      <c r="J20" s="224" t="s">
        <v>64</v>
      </c>
      <c r="K20" s="224" t="s">
        <v>65</v>
      </c>
      <c r="L20" s="224" t="s">
        <v>404</v>
      </c>
      <c r="M20" s="224" t="s">
        <v>405</v>
      </c>
      <c r="N20" s="225" t="s">
        <v>406</v>
      </c>
      <c r="O20" s="226">
        <v>15</v>
      </c>
      <c r="P20" s="224" t="s">
        <v>69</v>
      </c>
      <c r="Q20" s="224" t="s">
        <v>64</v>
      </c>
      <c r="R20" s="224"/>
      <c r="S20" s="224" t="str">
        <f>E20</f>
        <v>016-907-000233808</v>
      </c>
      <c r="T20" s="227" t="s">
        <v>407</v>
      </c>
      <c r="U20" s="228" t="s">
        <v>408</v>
      </c>
    </row>
    <row r="21" spans="1:21" x14ac:dyDescent="0.2">
      <c r="A21" s="223">
        <v>17</v>
      </c>
      <c r="B21" s="235">
        <v>45678</v>
      </c>
      <c r="C21" s="236">
        <v>45675</v>
      </c>
      <c r="D21" s="236" t="s">
        <v>125</v>
      </c>
      <c r="E21" s="236" t="s">
        <v>716</v>
      </c>
      <c r="F21" s="237" t="s">
        <v>213</v>
      </c>
      <c r="G21" s="236" t="s">
        <v>717</v>
      </c>
      <c r="H21" s="236" t="s">
        <v>718</v>
      </c>
      <c r="I21" s="237" t="s">
        <v>41</v>
      </c>
      <c r="J21" s="236" t="s">
        <v>64</v>
      </c>
      <c r="K21" s="236" t="s">
        <v>65</v>
      </c>
      <c r="L21" s="236" t="s">
        <v>719</v>
      </c>
      <c r="M21" s="236" t="s">
        <v>720</v>
      </c>
      <c r="N21" s="237" t="s">
        <v>721</v>
      </c>
      <c r="O21" s="238">
        <v>15</v>
      </c>
      <c r="P21" s="236" t="s">
        <v>69</v>
      </c>
      <c r="Q21" s="236" t="s">
        <v>64</v>
      </c>
      <c r="R21" s="236"/>
      <c r="S21" s="236" t="s">
        <v>716</v>
      </c>
      <c r="T21" s="237" t="s">
        <v>722</v>
      </c>
      <c r="U21" s="239" t="s">
        <v>723</v>
      </c>
    </row>
    <row r="22" spans="1:21" x14ac:dyDescent="0.2">
      <c r="A22" s="223">
        <v>18</v>
      </c>
      <c r="B22" s="235">
        <v>45679</v>
      </c>
      <c r="C22" s="236">
        <v>45678</v>
      </c>
      <c r="D22" s="236" t="s">
        <v>100</v>
      </c>
      <c r="E22" s="236" t="s">
        <v>724</v>
      </c>
      <c r="F22" s="237" t="s">
        <v>725</v>
      </c>
      <c r="G22" s="236" t="s">
        <v>726</v>
      </c>
      <c r="H22" s="236" t="s">
        <v>727</v>
      </c>
      <c r="I22" s="237" t="s">
        <v>41</v>
      </c>
      <c r="J22" s="236" t="s">
        <v>64</v>
      </c>
      <c r="K22" s="236" t="s">
        <v>65</v>
      </c>
      <c r="L22" s="236" t="s">
        <v>728</v>
      </c>
      <c r="M22" s="236" t="s">
        <v>729</v>
      </c>
      <c r="N22" s="237" t="s">
        <v>730</v>
      </c>
      <c r="O22" s="238">
        <v>25</v>
      </c>
      <c r="P22" s="236" t="s">
        <v>69</v>
      </c>
      <c r="Q22" s="236" t="s">
        <v>64</v>
      </c>
      <c r="R22" s="236"/>
      <c r="S22" s="236" t="s">
        <v>724</v>
      </c>
      <c r="T22" s="237" t="s">
        <v>731</v>
      </c>
      <c r="U22" s="239" t="s">
        <v>732</v>
      </c>
    </row>
    <row r="23" spans="1:21" x14ac:dyDescent="0.2">
      <c r="A23" s="223">
        <v>19</v>
      </c>
      <c r="B23" s="235">
        <v>45679</v>
      </c>
      <c r="C23" s="236">
        <v>45673</v>
      </c>
      <c r="D23" s="236" t="s">
        <v>733</v>
      </c>
      <c r="E23" s="236" t="s">
        <v>734</v>
      </c>
      <c r="F23" s="237" t="s">
        <v>735</v>
      </c>
      <c r="G23" s="236" t="s">
        <v>736</v>
      </c>
      <c r="H23" s="236" t="s">
        <v>737</v>
      </c>
      <c r="I23" s="237" t="s">
        <v>41</v>
      </c>
      <c r="J23" s="236" t="s">
        <v>64</v>
      </c>
      <c r="K23" s="236" t="s">
        <v>65</v>
      </c>
      <c r="L23" s="236" t="s">
        <v>738</v>
      </c>
      <c r="M23" s="236" t="s">
        <v>739</v>
      </c>
      <c r="N23" s="237" t="s">
        <v>740</v>
      </c>
      <c r="O23" s="238">
        <v>36</v>
      </c>
      <c r="P23" s="236" t="s">
        <v>69</v>
      </c>
      <c r="Q23" s="236" t="s">
        <v>64</v>
      </c>
      <c r="R23" s="236"/>
      <c r="S23" s="236" t="s">
        <v>734</v>
      </c>
      <c r="T23" s="237" t="s">
        <v>741</v>
      </c>
      <c r="U23" s="239" t="s">
        <v>742</v>
      </c>
    </row>
    <row r="24" spans="1:21" x14ac:dyDescent="0.2">
      <c r="A24" s="223">
        <v>20</v>
      </c>
      <c r="B24" s="235">
        <v>45681</v>
      </c>
      <c r="C24" s="236">
        <v>45563</v>
      </c>
      <c r="D24" s="236" t="s">
        <v>190</v>
      </c>
      <c r="E24" s="236" t="s">
        <v>743</v>
      </c>
      <c r="F24" s="237" t="s">
        <v>744</v>
      </c>
      <c r="G24" s="236" t="s">
        <v>745</v>
      </c>
      <c r="H24" s="236" t="s">
        <v>746</v>
      </c>
      <c r="I24" s="237" t="s">
        <v>41</v>
      </c>
      <c r="J24" s="236" t="s">
        <v>64</v>
      </c>
      <c r="K24" s="236" t="s">
        <v>65</v>
      </c>
      <c r="L24" s="236" t="s">
        <v>747</v>
      </c>
      <c r="M24" s="236" t="s">
        <v>748</v>
      </c>
      <c r="N24" s="237" t="s">
        <v>749</v>
      </c>
      <c r="O24" s="238">
        <v>25</v>
      </c>
      <c r="P24" s="236" t="s">
        <v>69</v>
      </c>
      <c r="Q24" s="236" t="s">
        <v>64</v>
      </c>
      <c r="R24" s="236"/>
      <c r="S24" s="236" t="s">
        <v>743</v>
      </c>
      <c r="T24" s="237" t="s">
        <v>750</v>
      </c>
      <c r="U24" s="239" t="s">
        <v>751</v>
      </c>
    </row>
    <row r="25" spans="1:21" x14ac:dyDescent="0.2">
      <c r="A25" s="223">
        <v>21</v>
      </c>
      <c r="B25" s="235">
        <v>45681</v>
      </c>
      <c r="C25" s="236">
        <v>45625</v>
      </c>
      <c r="D25" s="236" t="s">
        <v>190</v>
      </c>
      <c r="E25" s="236" t="s">
        <v>752</v>
      </c>
      <c r="F25" s="237" t="s">
        <v>753</v>
      </c>
      <c r="G25" s="236" t="s">
        <v>754</v>
      </c>
      <c r="H25" s="236" t="s">
        <v>755</v>
      </c>
      <c r="I25" s="237" t="s">
        <v>41</v>
      </c>
      <c r="J25" s="236" t="s">
        <v>64</v>
      </c>
      <c r="K25" s="236" t="s">
        <v>65</v>
      </c>
      <c r="L25" s="236" t="s">
        <v>756</v>
      </c>
      <c r="M25" s="236" t="s">
        <v>328</v>
      </c>
      <c r="N25" s="237" t="s">
        <v>757</v>
      </c>
      <c r="O25" s="238">
        <v>29</v>
      </c>
      <c r="P25" s="236" t="s">
        <v>69</v>
      </c>
      <c r="Q25" s="236" t="s">
        <v>64</v>
      </c>
      <c r="R25" s="236"/>
      <c r="S25" s="236" t="s">
        <v>752</v>
      </c>
      <c r="T25" s="237" t="s">
        <v>758</v>
      </c>
      <c r="U25" s="239" t="s">
        <v>759</v>
      </c>
    </row>
    <row r="26" spans="1:21" x14ac:dyDescent="0.2">
      <c r="A26" s="223">
        <v>22</v>
      </c>
      <c r="B26" s="235">
        <v>45684</v>
      </c>
      <c r="C26" s="236">
        <v>45679</v>
      </c>
      <c r="D26" s="236" t="s">
        <v>125</v>
      </c>
      <c r="E26" s="236" t="s">
        <v>760</v>
      </c>
      <c r="F26" s="237" t="s">
        <v>251</v>
      </c>
      <c r="G26" s="236" t="s">
        <v>252</v>
      </c>
      <c r="H26" s="236" t="s">
        <v>761</v>
      </c>
      <c r="I26" s="237" t="s">
        <v>41</v>
      </c>
      <c r="J26" s="236" t="s">
        <v>64</v>
      </c>
      <c r="K26" s="236" t="s">
        <v>65</v>
      </c>
      <c r="L26" s="236" t="s">
        <v>762</v>
      </c>
      <c r="M26" s="236" t="s">
        <v>763</v>
      </c>
      <c r="N26" s="237" t="s">
        <v>764</v>
      </c>
      <c r="O26" s="238">
        <v>15</v>
      </c>
      <c r="P26" s="236" t="s">
        <v>69</v>
      </c>
      <c r="Q26" s="236" t="s">
        <v>64</v>
      </c>
      <c r="R26" s="236"/>
      <c r="S26" s="236" t="s">
        <v>760</v>
      </c>
      <c r="T26" s="237" t="s">
        <v>765</v>
      </c>
      <c r="U26" s="239" t="s">
        <v>766</v>
      </c>
    </row>
    <row r="27" spans="1:21" x14ac:dyDescent="0.2">
      <c r="A27" s="223">
        <v>23</v>
      </c>
      <c r="B27" s="235">
        <v>45685</v>
      </c>
      <c r="C27" s="236">
        <v>45679</v>
      </c>
      <c r="D27" s="236" t="s">
        <v>125</v>
      </c>
      <c r="E27" s="236" t="s">
        <v>767</v>
      </c>
      <c r="F27" s="237" t="s">
        <v>768</v>
      </c>
      <c r="G27" s="236" t="s">
        <v>522</v>
      </c>
      <c r="H27" s="236" t="s">
        <v>769</v>
      </c>
      <c r="I27" s="237" t="s">
        <v>41</v>
      </c>
      <c r="J27" s="236" t="s">
        <v>64</v>
      </c>
      <c r="K27" s="236" t="s">
        <v>65</v>
      </c>
      <c r="L27" s="236" t="s">
        <v>770</v>
      </c>
      <c r="M27" s="236" t="s">
        <v>771</v>
      </c>
      <c r="N27" s="237" t="s">
        <v>772</v>
      </c>
      <c r="O27" s="238">
        <v>36</v>
      </c>
      <c r="P27" s="236" t="s">
        <v>69</v>
      </c>
      <c r="Q27" s="236" t="s">
        <v>64</v>
      </c>
      <c r="R27" s="236"/>
      <c r="S27" s="236" t="s">
        <v>767</v>
      </c>
      <c r="T27" s="237" t="s">
        <v>773</v>
      </c>
      <c r="U27" s="239" t="s">
        <v>774</v>
      </c>
    </row>
    <row r="28" spans="1:21" x14ac:dyDescent="0.2">
      <c r="A28" s="223">
        <v>24</v>
      </c>
      <c r="B28" s="235">
        <v>45685</v>
      </c>
      <c r="C28" s="236">
        <v>45680</v>
      </c>
      <c r="D28" s="236" t="s">
        <v>775</v>
      </c>
      <c r="E28" s="236" t="s">
        <v>776</v>
      </c>
      <c r="F28" s="237" t="s">
        <v>777</v>
      </c>
      <c r="G28" s="236" t="s">
        <v>519</v>
      </c>
      <c r="H28" s="236" t="s">
        <v>778</v>
      </c>
      <c r="I28" s="237" t="s">
        <v>41</v>
      </c>
      <c r="J28" s="236" t="s">
        <v>64</v>
      </c>
      <c r="K28" s="236" t="s">
        <v>65</v>
      </c>
      <c r="L28" s="236" t="s">
        <v>779</v>
      </c>
      <c r="M28" s="236" t="s">
        <v>780</v>
      </c>
      <c r="N28" s="237" t="s">
        <v>781</v>
      </c>
      <c r="O28" s="238">
        <v>15</v>
      </c>
      <c r="P28" s="236" t="s">
        <v>69</v>
      </c>
      <c r="Q28" s="236" t="s">
        <v>64</v>
      </c>
      <c r="R28" s="236"/>
      <c r="S28" s="236" t="s">
        <v>776</v>
      </c>
      <c r="T28" s="237" t="s">
        <v>782</v>
      </c>
      <c r="U28" s="239" t="s">
        <v>783</v>
      </c>
    </row>
    <row r="29" spans="1:21" x14ac:dyDescent="0.2">
      <c r="A29" s="223">
        <v>25</v>
      </c>
      <c r="B29" s="235">
        <v>45686</v>
      </c>
      <c r="C29" s="236">
        <v>45681</v>
      </c>
      <c r="D29" s="236" t="s">
        <v>100</v>
      </c>
      <c r="E29" s="236" t="s">
        <v>784</v>
      </c>
      <c r="F29" s="237" t="s">
        <v>785</v>
      </c>
      <c r="G29" s="236" t="s">
        <v>275</v>
      </c>
      <c r="H29" s="236" t="s">
        <v>786</v>
      </c>
      <c r="I29" s="237" t="s">
        <v>41</v>
      </c>
      <c r="J29" s="236" t="s">
        <v>64</v>
      </c>
      <c r="K29" s="236" t="s">
        <v>65</v>
      </c>
      <c r="L29" s="236" t="s">
        <v>787</v>
      </c>
      <c r="M29" s="236" t="s">
        <v>788</v>
      </c>
      <c r="N29" s="237" t="s">
        <v>789</v>
      </c>
      <c r="O29" s="238">
        <v>25</v>
      </c>
      <c r="P29" s="236" t="s">
        <v>69</v>
      </c>
      <c r="Q29" s="236" t="s">
        <v>64</v>
      </c>
      <c r="R29" s="236"/>
      <c r="S29" s="236" t="s">
        <v>784</v>
      </c>
      <c r="T29" s="237" t="s">
        <v>790</v>
      </c>
      <c r="U29" s="239" t="s">
        <v>791</v>
      </c>
    </row>
    <row r="30" spans="1:21" x14ac:dyDescent="0.2">
      <c r="A30" s="223">
        <v>26</v>
      </c>
      <c r="B30" s="235">
        <v>45686</v>
      </c>
      <c r="C30" s="236">
        <v>45656</v>
      </c>
      <c r="D30" s="236" t="s">
        <v>125</v>
      </c>
      <c r="E30" s="236" t="s">
        <v>792</v>
      </c>
      <c r="F30" s="237" t="s">
        <v>793</v>
      </c>
      <c r="G30" s="236" t="s">
        <v>334</v>
      </c>
      <c r="H30" s="236" t="s">
        <v>794</v>
      </c>
      <c r="I30" s="237" t="s">
        <v>41</v>
      </c>
      <c r="J30" s="236" t="s">
        <v>64</v>
      </c>
      <c r="K30" s="236" t="s">
        <v>65</v>
      </c>
      <c r="L30" s="236" t="s">
        <v>795</v>
      </c>
      <c r="M30" s="236" t="s">
        <v>796</v>
      </c>
      <c r="N30" s="237" t="s">
        <v>797</v>
      </c>
      <c r="O30" s="238">
        <v>29</v>
      </c>
      <c r="P30" s="236" t="s">
        <v>69</v>
      </c>
      <c r="Q30" s="236" t="s">
        <v>64</v>
      </c>
      <c r="R30" s="236"/>
      <c r="S30" s="236" t="s">
        <v>792</v>
      </c>
      <c r="T30" s="237" t="s">
        <v>798</v>
      </c>
      <c r="U30" s="239" t="s">
        <v>799</v>
      </c>
    </row>
    <row r="31" spans="1:21" x14ac:dyDescent="0.2">
      <c r="A31" s="223">
        <v>27</v>
      </c>
      <c r="B31" s="235">
        <v>45687</v>
      </c>
      <c r="C31" s="236">
        <v>45656</v>
      </c>
      <c r="D31" s="236" t="s">
        <v>190</v>
      </c>
      <c r="E31" s="236" t="s">
        <v>800</v>
      </c>
      <c r="F31" s="237" t="s">
        <v>801</v>
      </c>
      <c r="G31" s="236" t="s">
        <v>802</v>
      </c>
      <c r="H31" s="236" t="s">
        <v>803</v>
      </c>
      <c r="I31" s="237" t="s">
        <v>41</v>
      </c>
      <c r="J31" s="236" t="s">
        <v>64</v>
      </c>
      <c r="K31" s="236" t="s">
        <v>65</v>
      </c>
      <c r="L31" s="236" t="s">
        <v>804</v>
      </c>
      <c r="M31" s="236" t="s">
        <v>805</v>
      </c>
      <c r="N31" s="237" t="s">
        <v>806</v>
      </c>
      <c r="O31" s="238">
        <v>25</v>
      </c>
      <c r="P31" s="236" t="s">
        <v>69</v>
      </c>
      <c r="Q31" s="236" t="s">
        <v>64</v>
      </c>
      <c r="R31" s="236"/>
      <c r="S31" s="236" t="s">
        <v>800</v>
      </c>
      <c r="T31" s="237" t="s">
        <v>807</v>
      </c>
      <c r="U31" s="239" t="s">
        <v>808</v>
      </c>
    </row>
    <row r="32" spans="1:21" x14ac:dyDescent="0.2">
      <c r="A32" s="223">
        <v>28</v>
      </c>
      <c r="B32" s="235">
        <v>45691</v>
      </c>
      <c r="C32" s="236">
        <v>45781</v>
      </c>
      <c r="D32" s="236" t="s">
        <v>187</v>
      </c>
      <c r="E32" s="236" t="s">
        <v>620</v>
      </c>
      <c r="F32" s="237" t="s">
        <v>809</v>
      </c>
      <c r="G32" s="236" t="s">
        <v>810</v>
      </c>
      <c r="H32" s="236" t="s">
        <v>811</v>
      </c>
      <c r="I32" s="237" t="s">
        <v>41</v>
      </c>
      <c r="J32" s="236" t="s">
        <v>64</v>
      </c>
      <c r="K32" s="236" t="s">
        <v>65</v>
      </c>
      <c r="L32" s="236" t="s">
        <v>622</v>
      </c>
      <c r="M32" s="236" t="s">
        <v>812</v>
      </c>
      <c r="N32" s="237" t="s">
        <v>813</v>
      </c>
      <c r="O32" s="238">
        <v>36</v>
      </c>
      <c r="P32" s="236" t="s">
        <v>69</v>
      </c>
      <c r="Q32" s="236" t="s">
        <v>64</v>
      </c>
      <c r="R32" s="236"/>
      <c r="S32" s="236" t="s">
        <v>620</v>
      </c>
      <c r="T32" s="237" t="s">
        <v>814</v>
      </c>
      <c r="U32" s="239" t="s">
        <v>815</v>
      </c>
    </row>
    <row r="33" spans="1:21" x14ac:dyDescent="0.2">
      <c r="A33" s="223">
        <v>29</v>
      </c>
      <c r="B33" s="235">
        <v>45691</v>
      </c>
      <c r="C33" s="236">
        <v>45682</v>
      </c>
      <c r="D33" s="236" t="s">
        <v>187</v>
      </c>
      <c r="E33" s="236" t="s">
        <v>816</v>
      </c>
      <c r="F33" s="237" t="s">
        <v>817</v>
      </c>
      <c r="G33" s="236" t="s">
        <v>98</v>
      </c>
      <c r="H33" s="236" t="s">
        <v>818</v>
      </c>
      <c r="I33" s="237" t="s">
        <v>41</v>
      </c>
      <c r="J33" s="236" t="s">
        <v>64</v>
      </c>
      <c r="K33" s="236" t="s">
        <v>65</v>
      </c>
      <c r="L33" s="236" t="s">
        <v>819</v>
      </c>
      <c r="M33" s="236" t="s">
        <v>820</v>
      </c>
      <c r="N33" s="237" t="s">
        <v>821</v>
      </c>
      <c r="O33" s="238">
        <v>25</v>
      </c>
      <c r="P33" s="236" t="s">
        <v>69</v>
      </c>
      <c r="Q33" s="236" t="s">
        <v>64</v>
      </c>
      <c r="R33" s="236"/>
      <c r="S33" s="236" t="s">
        <v>816</v>
      </c>
      <c r="T33" s="237" t="s">
        <v>822</v>
      </c>
      <c r="U33" s="239" t="s">
        <v>823</v>
      </c>
    </row>
    <row r="34" spans="1:21" x14ac:dyDescent="0.2">
      <c r="A34" s="223">
        <v>30</v>
      </c>
      <c r="B34" s="235">
        <v>45692</v>
      </c>
      <c r="C34" s="236">
        <v>45654</v>
      </c>
      <c r="D34" s="236" t="s">
        <v>125</v>
      </c>
      <c r="E34" s="236" t="s">
        <v>824</v>
      </c>
      <c r="F34" s="237" t="s">
        <v>136</v>
      </c>
      <c r="G34" s="236" t="s">
        <v>137</v>
      </c>
      <c r="H34" s="236" t="s">
        <v>825</v>
      </c>
      <c r="I34" s="237" t="s">
        <v>41</v>
      </c>
      <c r="J34" s="236" t="s">
        <v>64</v>
      </c>
      <c r="K34" s="236" t="s">
        <v>65</v>
      </c>
      <c r="L34" s="236" t="s">
        <v>826</v>
      </c>
      <c r="M34" s="236" t="s">
        <v>349</v>
      </c>
      <c r="N34" s="237" t="s">
        <v>827</v>
      </c>
      <c r="O34" s="238">
        <v>25</v>
      </c>
      <c r="P34" s="236" t="s">
        <v>69</v>
      </c>
      <c r="Q34" s="236" t="s">
        <v>64</v>
      </c>
      <c r="R34" s="236"/>
      <c r="S34" s="236" t="s">
        <v>824</v>
      </c>
      <c r="T34" s="237" t="s">
        <v>828</v>
      </c>
      <c r="U34" s="239" t="s">
        <v>829</v>
      </c>
    </row>
    <row r="35" spans="1:21" x14ac:dyDescent="0.2">
      <c r="A35" s="223">
        <v>31</v>
      </c>
      <c r="B35" s="235">
        <v>45694</v>
      </c>
      <c r="C35" s="236">
        <v>45619</v>
      </c>
      <c r="D35" s="236" t="s">
        <v>187</v>
      </c>
      <c r="E35" s="236" t="s">
        <v>830</v>
      </c>
      <c r="F35" s="237" t="s">
        <v>136</v>
      </c>
      <c r="G35" s="236" t="s">
        <v>831</v>
      </c>
      <c r="H35" s="236" t="s">
        <v>832</v>
      </c>
      <c r="I35" s="237" t="s">
        <v>41</v>
      </c>
      <c r="J35" s="236" t="s">
        <v>64</v>
      </c>
      <c r="K35" s="236" t="s">
        <v>65</v>
      </c>
      <c r="L35" s="236" t="s">
        <v>622</v>
      </c>
      <c r="M35" s="236" t="s">
        <v>812</v>
      </c>
      <c r="N35" s="237" t="s">
        <v>833</v>
      </c>
      <c r="O35" s="238">
        <v>25</v>
      </c>
      <c r="P35" s="236" t="s">
        <v>69</v>
      </c>
      <c r="Q35" s="236" t="s">
        <v>64</v>
      </c>
      <c r="R35" s="236"/>
      <c r="S35" s="236" t="s">
        <v>830</v>
      </c>
      <c r="T35" s="237" t="s">
        <v>834</v>
      </c>
      <c r="U35" s="239" t="s">
        <v>835</v>
      </c>
    </row>
    <row r="36" spans="1:21" x14ac:dyDescent="0.2">
      <c r="A36" s="223">
        <v>32</v>
      </c>
      <c r="B36" s="235">
        <v>45695</v>
      </c>
      <c r="C36" s="236">
        <v>45689</v>
      </c>
      <c r="D36" s="240" t="s">
        <v>100</v>
      </c>
      <c r="E36" s="241" t="s">
        <v>836</v>
      </c>
      <c r="F36" s="242" t="s">
        <v>837</v>
      </c>
      <c r="G36" s="241" t="s">
        <v>838</v>
      </c>
      <c r="H36" s="235" t="s">
        <v>839</v>
      </c>
      <c r="I36" s="237" t="s">
        <v>41</v>
      </c>
      <c r="J36" s="236" t="s">
        <v>64</v>
      </c>
      <c r="K36" s="236" t="s">
        <v>65</v>
      </c>
      <c r="L36" s="236" t="s">
        <v>840</v>
      </c>
      <c r="M36" s="236" t="s">
        <v>533</v>
      </c>
      <c r="N36" s="237" t="s">
        <v>841</v>
      </c>
      <c r="O36" s="238">
        <v>25</v>
      </c>
      <c r="P36" s="236" t="s">
        <v>69</v>
      </c>
      <c r="Q36" s="236" t="s">
        <v>64</v>
      </c>
      <c r="R36" s="236"/>
      <c r="S36" s="236" t="s">
        <v>836</v>
      </c>
      <c r="T36" s="237" t="s">
        <v>842</v>
      </c>
      <c r="U36" s="239" t="s">
        <v>843</v>
      </c>
    </row>
    <row r="37" spans="1:21" x14ac:dyDescent="0.2">
      <c r="A37" s="223">
        <v>33</v>
      </c>
      <c r="B37" s="235">
        <v>45694</v>
      </c>
      <c r="C37" s="243">
        <v>45688</v>
      </c>
      <c r="D37" s="244" t="s">
        <v>161</v>
      </c>
      <c r="E37" s="245" t="s">
        <v>844</v>
      </c>
      <c r="F37" s="237" t="s">
        <v>845</v>
      </c>
      <c r="G37" s="236" t="s">
        <v>846</v>
      </c>
      <c r="H37" s="236" t="s">
        <v>847</v>
      </c>
      <c r="I37" s="237" t="s">
        <v>41</v>
      </c>
      <c r="J37" s="236" t="s">
        <v>64</v>
      </c>
      <c r="K37" s="236" t="s">
        <v>65</v>
      </c>
      <c r="L37" s="236" t="s">
        <v>848</v>
      </c>
      <c r="M37" s="236" t="s">
        <v>849</v>
      </c>
      <c r="N37" s="237" t="s">
        <v>850</v>
      </c>
      <c r="O37" s="238">
        <v>29</v>
      </c>
      <c r="P37" s="236" t="s">
        <v>69</v>
      </c>
      <c r="Q37" s="236" t="s">
        <v>64</v>
      </c>
      <c r="R37" s="236"/>
      <c r="S37" s="236" t="s">
        <v>844</v>
      </c>
      <c r="T37" s="237" t="s">
        <v>851</v>
      </c>
      <c r="U37" s="239" t="s">
        <v>852</v>
      </c>
    </row>
    <row r="38" spans="1:21" x14ac:dyDescent="0.2">
      <c r="A38" s="223">
        <v>34</v>
      </c>
      <c r="B38" s="235">
        <v>45694</v>
      </c>
      <c r="C38" s="246">
        <v>45691</v>
      </c>
      <c r="D38" s="247" t="s">
        <v>190</v>
      </c>
      <c r="E38" s="245" t="s">
        <v>853</v>
      </c>
      <c r="F38" s="237" t="s">
        <v>854</v>
      </c>
      <c r="G38" s="236" t="s">
        <v>855</v>
      </c>
      <c r="H38" s="236" t="s">
        <v>856</v>
      </c>
      <c r="I38" s="237" t="s">
        <v>41</v>
      </c>
      <c r="J38" s="236" t="s">
        <v>64</v>
      </c>
      <c r="K38" s="236" t="s">
        <v>65</v>
      </c>
      <c r="L38" s="236" t="s">
        <v>857</v>
      </c>
      <c r="M38" s="236" t="s">
        <v>858</v>
      </c>
      <c r="N38" s="237" t="s">
        <v>859</v>
      </c>
      <c r="O38" s="238">
        <v>15</v>
      </c>
      <c r="P38" s="236" t="s">
        <v>69</v>
      </c>
      <c r="Q38" s="236" t="s">
        <v>64</v>
      </c>
      <c r="R38" s="236"/>
      <c r="S38" s="236" t="s">
        <v>853</v>
      </c>
      <c r="T38" s="237" t="s">
        <v>860</v>
      </c>
      <c r="U38" s="239" t="s">
        <v>861</v>
      </c>
    </row>
    <row r="39" spans="1:21" x14ac:dyDescent="0.2">
      <c r="A39" s="223">
        <v>35</v>
      </c>
      <c r="B39" s="235">
        <v>45698</v>
      </c>
      <c r="C39" s="246">
        <v>45681</v>
      </c>
      <c r="D39" s="245" t="s">
        <v>862</v>
      </c>
      <c r="E39" s="248" t="s">
        <v>863</v>
      </c>
      <c r="F39" s="237" t="s">
        <v>864</v>
      </c>
      <c r="G39" s="236" t="s">
        <v>865</v>
      </c>
      <c r="H39" s="236" t="s">
        <v>866</v>
      </c>
      <c r="I39" s="237" t="s">
        <v>41</v>
      </c>
      <c r="J39" s="236" t="s">
        <v>64</v>
      </c>
      <c r="K39" s="236" t="s">
        <v>65</v>
      </c>
      <c r="L39" s="236" t="s">
        <v>867</v>
      </c>
      <c r="M39" s="236" t="s">
        <v>868</v>
      </c>
      <c r="N39" s="237" t="s">
        <v>869</v>
      </c>
      <c r="O39" s="238">
        <v>15</v>
      </c>
      <c r="P39" s="236" t="s">
        <v>69</v>
      </c>
      <c r="Q39" s="236" t="s">
        <v>64</v>
      </c>
      <c r="R39" s="236"/>
      <c r="S39" s="236" t="s">
        <v>863</v>
      </c>
      <c r="T39" s="237" t="s">
        <v>870</v>
      </c>
      <c r="U39" s="239" t="s">
        <v>871</v>
      </c>
    </row>
    <row r="40" spans="1:21" x14ac:dyDescent="0.2">
      <c r="A40" s="223">
        <v>36</v>
      </c>
      <c r="B40" s="235">
        <v>45698</v>
      </c>
      <c r="C40" s="243">
        <v>45675</v>
      </c>
      <c r="D40" s="249" t="s">
        <v>125</v>
      </c>
      <c r="E40" s="247" t="s">
        <v>872</v>
      </c>
      <c r="F40" s="237" t="s">
        <v>873</v>
      </c>
      <c r="G40" s="236" t="s">
        <v>578</v>
      </c>
      <c r="H40" s="236" t="s">
        <v>874</v>
      </c>
      <c r="I40" s="237" t="s">
        <v>41</v>
      </c>
      <c r="J40" s="236" t="s">
        <v>64</v>
      </c>
      <c r="K40" s="236" t="s">
        <v>65</v>
      </c>
      <c r="L40" s="236" t="s">
        <v>875</v>
      </c>
      <c r="M40" s="236" t="s">
        <v>876</v>
      </c>
      <c r="N40" s="237" t="s">
        <v>877</v>
      </c>
      <c r="O40" s="238">
        <v>29</v>
      </c>
      <c r="P40" s="236" t="s">
        <v>69</v>
      </c>
      <c r="Q40" s="236" t="s">
        <v>64</v>
      </c>
      <c r="R40" s="236"/>
      <c r="S40" s="236" t="s">
        <v>872</v>
      </c>
      <c r="T40" s="237" t="s">
        <v>878</v>
      </c>
      <c r="U40" s="239" t="s">
        <v>879</v>
      </c>
    </row>
    <row r="41" spans="1:21" x14ac:dyDescent="0.2">
      <c r="A41" s="223">
        <v>37</v>
      </c>
      <c r="B41" s="235">
        <v>45698</v>
      </c>
      <c r="C41" s="243">
        <v>45662</v>
      </c>
      <c r="D41" s="249" t="s">
        <v>125</v>
      </c>
      <c r="E41" s="245" t="s">
        <v>880</v>
      </c>
      <c r="F41" s="237" t="s">
        <v>881</v>
      </c>
      <c r="G41" s="236" t="s">
        <v>882</v>
      </c>
      <c r="H41" s="236" t="s">
        <v>883</v>
      </c>
      <c r="I41" s="237" t="s">
        <v>41</v>
      </c>
      <c r="J41" s="236" t="s">
        <v>64</v>
      </c>
      <c r="K41" s="236" t="s">
        <v>65</v>
      </c>
      <c r="L41" s="236" t="s">
        <v>884</v>
      </c>
      <c r="M41" s="236" t="s">
        <v>885</v>
      </c>
      <c r="N41" s="237" t="s">
        <v>886</v>
      </c>
      <c r="O41" s="238">
        <v>29</v>
      </c>
      <c r="P41" s="236" t="s">
        <v>69</v>
      </c>
      <c r="Q41" s="236" t="s">
        <v>64</v>
      </c>
      <c r="R41" s="236"/>
      <c r="S41" s="236" t="s">
        <v>880</v>
      </c>
      <c r="T41" s="237" t="s">
        <v>887</v>
      </c>
      <c r="U41" s="239" t="s">
        <v>888</v>
      </c>
    </row>
    <row r="42" spans="1:21" x14ac:dyDescent="0.2">
      <c r="A42" s="223">
        <v>38</v>
      </c>
      <c r="B42" s="235">
        <v>45698</v>
      </c>
      <c r="C42" s="243">
        <v>45690</v>
      </c>
      <c r="D42" s="249" t="s">
        <v>161</v>
      </c>
      <c r="E42" s="245" t="s">
        <v>889</v>
      </c>
      <c r="F42" s="242" t="s">
        <v>890</v>
      </c>
      <c r="G42" s="236" t="s">
        <v>891</v>
      </c>
      <c r="H42" s="237" t="s">
        <v>892</v>
      </c>
      <c r="I42" s="237" t="s">
        <v>41</v>
      </c>
      <c r="J42" s="236" t="s">
        <v>64</v>
      </c>
      <c r="K42" s="236" t="s">
        <v>65</v>
      </c>
      <c r="L42" s="236" t="s">
        <v>893</v>
      </c>
      <c r="M42" s="236" t="s">
        <v>894</v>
      </c>
      <c r="N42" s="237" t="s">
        <v>895</v>
      </c>
      <c r="O42" s="238">
        <v>29</v>
      </c>
      <c r="P42" s="236" t="s">
        <v>69</v>
      </c>
      <c r="Q42" s="236" t="s">
        <v>64</v>
      </c>
      <c r="R42" s="236"/>
      <c r="S42" s="236" t="s">
        <v>889</v>
      </c>
      <c r="T42" s="237" t="s">
        <v>896</v>
      </c>
      <c r="U42" s="239" t="s">
        <v>897</v>
      </c>
    </row>
    <row r="43" spans="1:21" x14ac:dyDescent="0.2">
      <c r="A43" s="223">
        <v>39</v>
      </c>
      <c r="B43" s="235">
        <v>45700</v>
      </c>
      <c r="C43" s="243">
        <v>45686</v>
      </c>
      <c r="D43" s="249" t="s">
        <v>125</v>
      </c>
      <c r="E43" s="245" t="s">
        <v>898</v>
      </c>
      <c r="F43" s="237" t="s">
        <v>899</v>
      </c>
      <c r="G43" s="236" t="s">
        <v>900</v>
      </c>
      <c r="H43" s="236" t="s">
        <v>901</v>
      </c>
      <c r="I43" s="237" t="s">
        <v>41</v>
      </c>
      <c r="J43" s="236" t="s">
        <v>64</v>
      </c>
      <c r="K43" s="236" t="s">
        <v>65</v>
      </c>
      <c r="L43" s="236" t="s">
        <v>902</v>
      </c>
      <c r="M43" s="236" t="s">
        <v>903</v>
      </c>
      <c r="N43" s="237" t="s">
        <v>904</v>
      </c>
      <c r="O43" s="238">
        <v>25</v>
      </c>
      <c r="P43" s="236" t="s">
        <v>69</v>
      </c>
      <c r="Q43" s="236" t="s">
        <v>64</v>
      </c>
      <c r="R43" s="236"/>
      <c r="S43" s="236" t="s">
        <v>898</v>
      </c>
      <c r="T43" s="237" t="s">
        <v>905</v>
      </c>
      <c r="U43" s="239" t="s">
        <v>906</v>
      </c>
    </row>
    <row r="44" spans="1:21" x14ac:dyDescent="0.2">
      <c r="A44" s="223">
        <v>40</v>
      </c>
      <c r="B44" s="235">
        <v>45700</v>
      </c>
      <c r="C44" s="243">
        <v>45532</v>
      </c>
      <c r="D44" s="249" t="s">
        <v>125</v>
      </c>
      <c r="E44" s="245" t="s">
        <v>907</v>
      </c>
      <c r="F44" s="237" t="s">
        <v>375</v>
      </c>
      <c r="G44" s="236" t="s">
        <v>517</v>
      </c>
      <c r="H44" s="236" t="s">
        <v>908</v>
      </c>
      <c r="I44" s="237" t="s">
        <v>41</v>
      </c>
      <c r="J44" s="236" t="s">
        <v>64</v>
      </c>
      <c r="K44" s="236" t="s">
        <v>65</v>
      </c>
      <c r="L44" s="236" t="s">
        <v>909</v>
      </c>
      <c r="M44" s="236" t="s">
        <v>910</v>
      </c>
      <c r="N44" s="237" t="s">
        <v>911</v>
      </c>
      <c r="O44" s="238">
        <v>29</v>
      </c>
      <c r="P44" s="236" t="s">
        <v>69</v>
      </c>
      <c r="Q44" s="236" t="s">
        <v>64</v>
      </c>
      <c r="R44" s="236"/>
      <c r="S44" s="236" t="s">
        <v>907</v>
      </c>
      <c r="T44" s="237" t="s">
        <v>912</v>
      </c>
      <c r="U44" s="239" t="s">
        <v>913</v>
      </c>
    </row>
    <row r="45" spans="1:21" x14ac:dyDescent="0.2">
      <c r="A45" s="223">
        <v>41</v>
      </c>
      <c r="B45" s="235">
        <v>45702</v>
      </c>
      <c r="C45" s="243">
        <v>45509</v>
      </c>
      <c r="D45" s="249" t="s">
        <v>75</v>
      </c>
      <c r="E45" s="245" t="s">
        <v>914</v>
      </c>
      <c r="F45" s="237" t="s">
        <v>136</v>
      </c>
      <c r="G45" s="236" t="s">
        <v>137</v>
      </c>
      <c r="H45" s="236" t="s">
        <v>915</v>
      </c>
      <c r="I45" s="237" t="s">
        <v>41</v>
      </c>
      <c r="J45" s="236" t="s">
        <v>64</v>
      </c>
      <c r="K45" s="236" t="s">
        <v>65</v>
      </c>
      <c r="L45" s="236" t="s">
        <v>916</v>
      </c>
      <c r="M45" s="236" t="s">
        <v>910</v>
      </c>
      <c r="N45" s="237" t="s">
        <v>917</v>
      </c>
      <c r="O45" s="238">
        <v>25</v>
      </c>
      <c r="P45" s="236" t="s">
        <v>69</v>
      </c>
      <c r="Q45" s="236" t="s">
        <v>64</v>
      </c>
      <c r="R45" s="236"/>
      <c r="S45" s="236" t="s">
        <v>914</v>
      </c>
      <c r="T45" s="237" t="s">
        <v>918</v>
      </c>
      <c r="U45" s="239" t="s">
        <v>919</v>
      </c>
    </row>
    <row r="46" spans="1:21" x14ac:dyDescent="0.2">
      <c r="A46" s="223">
        <v>42</v>
      </c>
      <c r="B46" s="235">
        <v>45703</v>
      </c>
      <c r="C46" s="243">
        <v>45696</v>
      </c>
      <c r="D46" s="249" t="s">
        <v>100</v>
      </c>
      <c r="E46" s="245" t="s">
        <v>920</v>
      </c>
      <c r="F46" s="237" t="s">
        <v>921</v>
      </c>
      <c r="G46" s="236" t="s">
        <v>922</v>
      </c>
      <c r="H46" s="236" t="s">
        <v>923</v>
      </c>
      <c r="I46" s="237" t="s">
        <v>41</v>
      </c>
      <c r="J46" s="236" t="s">
        <v>64</v>
      </c>
      <c r="K46" s="236" t="s">
        <v>65</v>
      </c>
      <c r="L46" s="236" t="s">
        <v>924</v>
      </c>
      <c r="M46" s="236" t="s">
        <v>925</v>
      </c>
      <c r="N46" s="237" t="s">
        <v>926</v>
      </c>
      <c r="O46" s="238">
        <v>15</v>
      </c>
      <c r="P46" s="236" t="s">
        <v>69</v>
      </c>
      <c r="Q46" s="236" t="s">
        <v>64</v>
      </c>
      <c r="R46" s="236"/>
      <c r="S46" s="236" t="s">
        <v>920</v>
      </c>
      <c r="T46" s="237" t="s">
        <v>927</v>
      </c>
      <c r="U46" s="239" t="s">
        <v>928</v>
      </c>
    </row>
    <row r="47" spans="1:21" x14ac:dyDescent="0.2">
      <c r="A47" s="223">
        <v>43</v>
      </c>
      <c r="B47" s="235">
        <v>45705</v>
      </c>
      <c r="C47" s="243">
        <v>45077</v>
      </c>
      <c r="D47" s="249" t="s">
        <v>125</v>
      </c>
      <c r="E47" s="245" t="s">
        <v>929</v>
      </c>
      <c r="F47" s="237" t="s">
        <v>213</v>
      </c>
      <c r="G47" s="236" t="s">
        <v>214</v>
      </c>
      <c r="H47" s="236" t="s">
        <v>930</v>
      </c>
      <c r="I47" s="237" t="s">
        <v>41</v>
      </c>
      <c r="J47" s="236" t="s">
        <v>64</v>
      </c>
      <c r="K47" s="236" t="s">
        <v>65</v>
      </c>
      <c r="L47" s="236" t="s">
        <v>931</v>
      </c>
      <c r="M47" s="236" t="s">
        <v>885</v>
      </c>
      <c r="N47" s="237" t="s">
        <v>932</v>
      </c>
      <c r="O47" s="238">
        <v>15</v>
      </c>
      <c r="P47" s="236" t="s">
        <v>69</v>
      </c>
      <c r="Q47" s="236" t="s">
        <v>64</v>
      </c>
      <c r="R47" s="236"/>
      <c r="S47" s="236" t="s">
        <v>929</v>
      </c>
      <c r="T47" s="237" t="s">
        <v>933</v>
      </c>
      <c r="U47" s="239" t="s">
        <v>934</v>
      </c>
    </row>
    <row r="48" spans="1:21" x14ac:dyDescent="0.2">
      <c r="A48" s="223">
        <v>44</v>
      </c>
      <c r="B48" s="398">
        <v>45707</v>
      </c>
      <c r="C48" s="398">
        <v>45686</v>
      </c>
      <c r="D48" s="399" t="s">
        <v>1191</v>
      </c>
      <c r="E48" s="399" t="s">
        <v>1192</v>
      </c>
      <c r="F48" s="399">
        <v>40446712</v>
      </c>
      <c r="G48" s="250" t="s">
        <v>519</v>
      </c>
      <c r="H48" s="250" t="s">
        <v>1193</v>
      </c>
      <c r="I48" s="250" t="s">
        <v>41</v>
      </c>
      <c r="J48" s="250" t="s">
        <v>64</v>
      </c>
      <c r="K48" s="250" t="s">
        <v>65</v>
      </c>
      <c r="L48" s="250" t="s">
        <v>1194</v>
      </c>
      <c r="M48" s="250" t="s">
        <v>1195</v>
      </c>
      <c r="N48" s="399">
        <v>9954655919</v>
      </c>
      <c r="O48" s="399">
        <v>15</v>
      </c>
      <c r="P48" s="250" t="s">
        <v>69</v>
      </c>
      <c r="Q48" s="250" t="s">
        <v>64</v>
      </c>
      <c r="R48" s="250"/>
      <c r="S48" s="250" t="s">
        <v>1192</v>
      </c>
      <c r="T48" s="399">
        <v>190499039</v>
      </c>
      <c r="U48" s="251" t="s">
        <v>1196</v>
      </c>
    </row>
    <row r="49" spans="1:21" x14ac:dyDescent="0.2">
      <c r="A49" s="223">
        <v>45</v>
      </c>
      <c r="B49" s="400">
        <v>45708</v>
      </c>
      <c r="C49" s="400">
        <v>45700</v>
      </c>
      <c r="D49" s="254" t="s">
        <v>125</v>
      </c>
      <c r="E49" s="254" t="s">
        <v>1197</v>
      </c>
      <c r="F49" s="254">
        <v>40782128</v>
      </c>
      <c r="G49" s="252" t="s">
        <v>1198</v>
      </c>
      <c r="H49" s="252" t="s">
        <v>1199</v>
      </c>
      <c r="I49" s="252" t="s">
        <v>41</v>
      </c>
      <c r="J49" s="252" t="s">
        <v>64</v>
      </c>
      <c r="K49" s="252" t="s">
        <v>65</v>
      </c>
      <c r="L49" s="252" t="s">
        <v>1200</v>
      </c>
      <c r="M49" s="252" t="s">
        <v>1201</v>
      </c>
      <c r="N49" s="254">
        <v>997233088</v>
      </c>
      <c r="O49" s="254">
        <v>25</v>
      </c>
      <c r="P49" s="252" t="s">
        <v>69</v>
      </c>
      <c r="Q49" s="252" t="s">
        <v>64</v>
      </c>
      <c r="R49" s="252"/>
      <c r="S49" s="252" t="s">
        <v>1197</v>
      </c>
      <c r="T49" s="254">
        <v>190389774</v>
      </c>
      <c r="U49" s="253" t="s">
        <v>1202</v>
      </c>
    </row>
    <row r="50" spans="1:21" x14ac:dyDescent="0.2">
      <c r="A50" s="223">
        <v>46</v>
      </c>
      <c r="B50" s="400">
        <v>45708</v>
      </c>
      <c r="C50" s="400">
        <v>45679</v>
      </c>
      <c r="D50" s="254" t="s">
        <v>75</v>
      </c>
      <c r="E50" s="254" t="s">
        <v>1203</v>
      </c>
      <c r="F50" s="254">
        <v>112960004</v>
      </c>
      <c r="G50" s="252" t="s">
        <v>301</v>
      </c>
      <c r="H50" s="252" t="s">
        <v>1204</v>
      </c>
      <c r="I50" s="252" t="s">
        <v>41</v>
      </c>
      <c r="J50" s="252" t="s">
        <v>64</v>
      </c>
      <c r="K50" s="252" t="s">
        <v>65</v>
      </c>
      <c r="L50" s="252" t="s">
        <v>1205</v>
      </c>
      <c r="M50" s="252" t="s">
        <v>533</v>
      </c>
      <c r="N50" s="254">
        <v>9965073255</v>
      </c>
      <c r="O50" s="254">
        <v>36</v>
      </c>
      <c r="P50" s="252" t="s">
        <v>69</v>
      </c>
      <c r="Q50" s="252" t="s">
        <v>64</v>
      </c>
      <c r="R50" s="252"/>
      <c r="S50" s="252" t="s">
        <v>1203</v>
      </c>
      <c r="T50" s="254">
        <v>102137775</v>
      </c>
      <c r="U50" s="253" t="s">
        <v>1206</v>
      </c>
    </row>
    <row r="51" spans="1:21" x14ac:dyDescent="0.2">
      <c r="A51" s="223">
        <v>47</v>
      </c>
      <c r="B51" s="400">
        <v>45709</v>
      </c>
      <c r="C51" s="400">
        <v>45694</v>
      </c>
      <c r="D51" s="254" t="s">
        <v>100</v>
      </c>
      <c r="E51" s="254" t="s">
        <v>1207</v>
      </c>
      <c r="F51" s="254">
        <v>112610068</v>
      </c>
      <c r="G51" s="252" t="s">
        <v>1208</v>
      </c>
      <c r="H51" s="252" t="s">
        <v>1209</v>
      </c>
      <c r="I51" s="252" t="s">
        <v>41</v>
      </c>
      <c r="J51" s="252" t="s">
        <v>64</v>
      </c>
      <c r="K51" s="252" t="s">
        <v>65</v>
      </c>
      <c r="L51" s="252" t="s">
        <v>1210</v>
      </c>
      <c r="M51" s="252" t="s">
        <v>1211</v>
      </c>
      <c r="N51" s="254">
        <v>984995967</v>
      </c>
      <c r="O51" s="254">
        <v>29</v>
      </c>
      <c r="P51" s="252" t="s">
        <v>69</v>
      </c>
      <c r="Q51" s="252" t="s">
        <v>64</v>
      </c>
      <c r="R51" s="252"/>
      <c r="S51" s="252" t="s">
        <v>1207</v>
      </c>
      <c r="T51" s="254">
        <v>104029103</v>
      </c>
      <c r="U51" s="253" t="s">
        <v>1212</v>
      </c>
    </row>
    <row r="52" spans="1:21" x14ac:dyDescent="0.2">
      <c r="A52" s="223">
        <v>48</v>
      </c>
      <c r="B52" s="400">
        <v>45712</v>
      </c>
      <c r="C52" s="400">
        <v>45706</v>
      </c>
      <c r="D52" s="254" t="s">
        <v>1213</v>
      </c>
      <c r="E52" s="254" t="s">
        <v>1214</v>
      </c>
      <c r="F52" s="254">
        <v>112570128</v>
      </c>
      <c r="G52" s="252" t="s">
        <v>1215</v>
      </c>
      <c r="H52" s="252" t="s">
        <v>1216</v>
      </c>
      <c r="I52" s="252" t="s">
        <v>41</v>
      </c>
      <c r="J52" s="252" t="s">
        <v>64</v>
      </c>
      <c r="K52" s="252" t="s">
        <v>65</v>
      </c>
      <c r="L52" s="252" t="s">
        <v>1217</v>
      </c>
      <c r="M52" s="252" t="s">
        <v>1218</v>
      </c>
      <c r="N52" s="254">
        <v>995985289</v>
      </c>
      <c r="O52" s="254">
        <v>29</v>
      </c>
      <c r="P52" s="252" t="s">
        <v>69</v>
      </c>
      <c r="Q52" s="252" t="s">
        <v>64</v>
      </c>
      <c r="R52" s="252"/>
      <c r="S52" s="252" t="s">
        <v>1214</v>
      </c>
      <c r="T52" s="254">
        <v>103849899</v>
      </c>
      <c r="U52" s="253" t="s">
        <v>1219</v>
      </c>
    </row>
    <row r="53" spans="1:21" x14ac:dyDescent="0.2">
      <c r="A53" s="223">
        <v>49</v>
      </c>
      <c r="B53" s="400">
        <v>45712</v>
      </c>
      <c r="C53" s="400">
        <v>45695</v>
      </c>
      <c r="D53" s="254" t="s">
        <v>100</v>
      </c>
      <c r="E53" s="254" t="s">
        <v>1220</v>
      </c>
      <c r="F53" s="254">
        <v>40461507</v>
      </c>
      <c r="G53" s="252" t="s">
        <v>1221</v>
      </c>
      <c r="H53" s="252" t="s">
        <v>1222</v>
      </c>
      <c r="I53" s="252" t="s">
        <v>41</v>
      </c>
      <c r="J53" s="252" t="s">
        <v>64</v>
      </c>
      <c r="K53" s="252" t="s">
        <v>65</v>
      </c>
      <c r="L53" s="252" t="s">
        <v>1223</v>
      </c>
      <c r="M53" s="252" t="s">
        <v>1224</v>
      </c>
      <c r="N53" s="254">
        <v>998418668</v>
      </c>
      <c r="O53" s="254">
        <v>15</v>
      </c>
      <c r="P53" s="252" t="s">
        <v>69</v>
      </c>
      <c r="Q53" s="252" t="s">
        <v>64</v>
      </c>
      <c r="R53" s="252"/>
      <c r="S53" s="252" t="s">
        <v>1220</v>
      </c>
      <c r="T53" s="254">
        <v>103015202</v>
      </c>
      <c r="U53" s="253" t="s">
        <v>1225</v>
      </c>
    </row>
    <row r="54" spans="1:21" x14ac:dyDescent="0.2">
      <c r="A54" s="223">
        <v>50</v>
      </c>
      <c r="B54" s="400">
        <v>45712</v>
      </c>
      <c r="C54" s="400">
        <v>44884</v>
      </c>
      <c r="D54" s="254" t="s">
        <v>1226</v>
      </c>
      <c r="E54" s="254" t="s">
        <v>1227</v>
      </c>
      <c r="F54" s="254">
        <v>412570124</v>
      </c>
      <c r="G54" s="252" t="s">
        <v>1228</v>
      </c>
      <c r="H54" s="252" t="s">
        <v>1229</v>
      </c>
      <c r="I54" s="252" t="s">
        <v>41</v>
      </c>
      <c r="J54" s="252" t="s">
        <v>64</v>
      </c>
      <c r="K54" s="252" t="s">
        <v>65</v>
      </c>
      <c r="L54" s="252" t="s">
        <v>1226</v>
      </c>
      <c r="M54" s="252" t="s">
        <v>1230</v>
      </c>
      <c r="N54" s="254">
        <v>988223982</v>
      </c>
      <c r="O54" s="254">
        <v>29</v>
      </c>
      <c r="P54" s="252" t="s">
        <v>69</v>
      </c>
      <c r="Q54" s="252" t="s">
        <v>64</v>
      </c>
      <c r="R54" s="252"/>
      <c r="S54" s="252" t="s">
        <v>1227</v>
      </c>
      <c r="T54" s="254">
        <v>102832555</v>
      </c>
      <c r="U54" s="253" t="s">
        <v>1231</v>
      </c>
    </row>
    <row r="55" spans="1:21" x14ac:dyDescent="0.2">
      <c r="A55" s="223">
        <v>51</v>
      </c>
      <c r="B55" s="400">
        <v>45713</v>
      </c>
      <c r="C55" s="400">
        <v>45682</v>
      </c>
      <c r="D55" s="254" t="s">
        <v>190</v>
      </c>
      <c r="E55" s="254" t="s">
        <v>1232</v>
      </c>
      <c r="F55" s="254">
        <v>41560041</v>
      </c>
      <c r="G55" s="252" t="s">
        <v>1233</v>
      </c>
      <c r="H55" s="252" t="s">
        <v>1234</v>
      </c>
      <c r="I55" s="252" t="s">
        <v>41</v>
      </c>
      <c r="J55" s="252" t="s">
        <v>64</v>
      </c>
      <c r="K55" s="252" t="s">
        <v>65</v>
      </c>
      <c r="L55" s="252" t="s">
        <v>1235</v>
      </c>
      <c r="M55" s="252" t="s">
        <v>1236</v>
      </c>
      <c r="N55" s="254">
        <v>9838814439</v>
      </c>
      <c r="O55" s="254">
        <v>25</v>
      </c>
      <c r="P55" s="252" t="s">
        <v>69</v>
      </c>
      <c r="Q55" s="252" t="s">
        <v>64</v>
      </c>
      <c r="R55" s="252"/>
      <c r="S55" s="252" t="s">
        <v>1232</v>
      </c>
      <c r="T55" s="254">
        <v>101311017</v>
      </c>
      <c r="U55" s="253" t="s">
        <v>1237</v>
      </c>
    </row>
    <row r="56" spans="1:21" x14ac:dyDescent="0.2">
      <c r="A56" s="223">
        <v>52</v>
      </c>
      <c r="B56" s="400">
        <v>45713</v>
      </c>
      <c r="C56" s="400">
        <v>45624</v>
      </c>
      <c r="D56" s="254" t="s">
        <v>187</v>
      </c>
      <c r="E56" s="254" t="s">
        <v>1238</v>
      </c>
      <c r="F56" s="254">
        <v>40297052</v>
      </c>
      <c r="G56" s="252" t="s">
        <v>1239</v>
      </c>
      <c r="H56" s="252" t="s">
        <v>1240</v>
      </c>
      <c r="I56" s="252" t="s">
        <v>41</v>
      </c>
      <c r="J56" s="252" t="s">
        <v>64</v>
      </c>
      <c r="K56" s="252" t="s">
        <v>65</v>
      </c>
      <c r="L56" s="252" t="s">
        <v>1241</v>
      </c>
      <c r="M56" s="252" t="s">
        <v>1242</v>
      </c>
      <c r="N56" s="254">
        <v>992524876</v>
      </c>
      <c r="O56" s="254">
        <v>29</v>
      </c>
      <c r="P56" s="252" t="s">
        <v>69</v>
      </c>
      <c r="Q56" s="252" t="s">
        <v>64</v>
      </c>
      <c r="R56" s="252"/>
      <c r="S56" s="252" t="s">
        <v>1238</v>
      </c>
      <c r="T56" s="254">
        <v>102517257</v>
      </c>
      <c r="U56" s="253" t="s">
        <v>1243</v>
      </c>
    </row>
    <row r="57" spans="1:21" x14ac:dyDescent="0.2">
      <c r="A57" s="223">
        <v>53</v>
      </c>
      <c r="B57" s="400">
        <v>45713</v>
      </c>
      <c r="C57" s="400">
        <v>45708</v>
      </c>
      <c r="D57" s="254" t="s">
        <v>190</v>
      </c>
      <c r="E57" s="254" t="s">
        <v>1244</v>
      </c>
      <c r="F57" s="254">
        <v>40584012</v>
      </c>
      <c r="G57" s="252" t="s">
        <v>1245</v>
      </c>
      <c r="H57" s="252" t="s">
        <v>1246</v>
      </c>
      <c r="I57" s="252" t="s">
        <v>41</v>
      </c>
      <c r="J57" s="252" t="s">
        <v>64</v>
      </c>
      <c r="K57" s="252" t="s">
        <v>65</v>
      </c>
      <c r="L57" s="252" t="s">
        <v>1247</v>
      </c>
      <c r="M57" s="252" t="s">
        <v>1248</v>
      </c>
      <c r="N57" s="254">
        <v>998876335</v>
      </c>
      <c r="O57" s="254">
        <v>25</v>
      </c>
      <c r="P57" s="252" t="s">
        <v>69</v>
      </c>
      <c r="Q57" s="252" t="s">
        <v>64</v>
      </c>
      <c r="R57" s="252"/>
      <c r="S57" s="252" t="s">
        <v>1244</v>
      </c>
      <c r="T57" s="254">
        <v>101033470</v>
      </c>
      <c r="U57" s="253" t="s">
        <v>1249</v>
      </c>
    </row>
    <row r="58" spans="1:21" x14ac:dyDescent="0.2">
      <c r="A58" s="223">
        <v>54</v>
      </c>
      <c r="B58" s="400">
        <v>45713</v>
      </c>
      <c r="C58" s="400">
        <v>45706</v>
      </c>
      <c r="D58" s="254" t="s">
        <v>100</v>
      </c>
      <c r="E58" s="254" t="s">
        <v>1250</v>
      </c>
      <c r="F58" s="254">
        <v>112580017</v>
      </c>
      <c r="G58" s="252" t="s">
        <v>228</v>
      </c>
      <c r="H58" s="252" t="s">
        <v>1251</v>
      </c>
      <c r="I58" s="252" t="s">
        <v>41</v>
      </c>
      <c r="J58" s="252" t="s">
        <v>64</v>
      </c>
      <c r="K58" s="252" t="s">
        <v>65</v>
      </c>
      <c r="L58" s="252" t="s">
        <v>1252</v>
      </c>
      <c r="M58" s="252" t="s">
        <v>1045</v>
      </c>
      <c r="N58" s="254">
        <v>999966703</v>
      </c>
      <c r="O58" s="254">
        <v>29</v>
      </c>
      <c r="P58" s="252" t="s">
        <v>69</v>
      </c>
      <c r="Q58" s="252" t="s">
        <v>64</v>
      </c>
      <c r="R58" s="252"/>
      <c r="S58" s="252" t="s">
        <v>1250</v>
      </c>
      <c r="T58" s="254">
        <v>103363800</v>
      </c>
      <c r="U58" s="253" t="s">
        <v>1253</v>
      </c>
    </row>
    <row r="59" spans="1:21" x14ac:dyDescent="0.2">
      <c r="A59" s="223">
        <v>55</v>
      </c>
      <c r="B59" s="400">
        <v>45713</v>
      </c>
      <c r="C59" s="400">
        <v>45689</v>
      </c>
      <c r="D59" s="254" t="s">
        <v>125</v>
      </c>
      <c r="E59" s="254" t="s">
        <v>1254</v>
      </c>
      <c r="F59" s="254">
        <v>112570124</v>
      </c>
      <c r="G59" s="252" t="s">
        <v>1228</v>
      </c>
      <c r="H59" s="252" t="s">
        <v>1255</v>
      </c>
      <c r="I59" s="252" t="s">
        <v>41</v>
      </c>
      <c r="J59" s="252" t="s">
        <v>64</v>
      </c>
      <c r="K59" s="252" t="s">
        <v>65</v>
      </c>
      <c r="L59" s="252" t="s">
        <v>1256</v>
      </c>
      <c r="M59" s="252" t="s">
        <v>1257</v>
      </c>
      <c r="N59" s="254">
        <v>998102982</v>
      </c>
      <c r="O59" s="254">
        <v>29</v>
      </c>
      <c r="P59" s="252" t="s">
        <v>69</v>
      </c>
      <c r="Q59" s="252" t="s">
        <v>64</v>
      </c>
      <c r="R59" s="252"/>
      <c r="S59" s="252" t="s">
        <v>1254</v>
      </c>
      <c r="T59" s="254">
        <v>1719050294</v>
      </c>
      <c r="U59" s="253" t="s">
        <v>1258</v>
      </c>
    </row>
    <row r="60" spans="1:21" x14ac:dyDescent="0.2">
      <c r="A60" s="223">
        <v>56</v>
      </c>
      <c r="B60" s="400">
        <v>45714</v>
      </c>
      <c r="C60" s="400">
        <v>45623</v>
      </c>
      <c r="D60" s="254" t="s">
        <v>187</v>
      </c>
      <c r="E60" s="254" t="s">
        <v>1259</v>
      </c>
      <c r="F60" s="254">
        <v>412580058</v>
      </c>
      <c r="G60" s="252" t="s">
        <v>334</v>
      </c>
      <c r="H60" s="252" t="s">
        <v>1260</v>
      </c>
      <c r="I60" s="252" t="s">
        <v>41</v>
      </c>
      <c r="J60" s="252" t="s">
        <v>64</v>
      </c>
      <c r="K60" s="252" t="s">
        <v>65</v>
      </c>
      <c r="L60" s="252" t="s">
        <v>1261</v>
      </c>
      <c r="M60" s="252" t="s">
        <v>1262</v>
      </c>
      <c r="N60" s="254">
        <v>995888237</v>
      </c>
      <c r="O60" s="254">
        <v>29</v>
      </c>
      <c r="P60" s="252" t="s">
        <v>69</v>
      </c>
      <c r="Q60" s="252" t="s">
        <v>64</v>
      </c>
      <c r="R60" s="252"/>
      <c r="S60" s="252" t="s">
        <v>1259</v>
      </c>
      <c r="T60" s="254">
        <v>104741343</v>
      </c>
      <c r="U60" s="253" t="s">
        <v>1263</v>
      </c>
    </row>
    <row r="61" spans="1:21" x14ac:dyDescent="0.2">
      <c r="A61" s="223">
        <v>57</v>
      </c>
      <c r="B61" s="400">
        <v>45714</v>
      </c>
      <c r="C61" s="400">
        <v>45703</v>
      </c>
      <c r="D61" s="254" t="s">
        <v>125</v>
      </c>
      <c r="E61" s="254" t="s">
        <v>1264</v>
      </c>
      <c r="F61" s="254">
        <v>112570238</v>
      </c>
      <c r="G61" s="252" t="s">
        <v>1265</v>
      </c>
      <c r="H61" s="252" t="s">
        <v>1266</v>
      </c>
      <c r="I61" s="252" t="s">
        <v>41</v>
      </c>
      <c r="J61" s="252" t="s">
        <v>64</v>
      </c>
      <c r="K61" s="252" t="s">
        <v>65</v>
      </c>
      <c r="L61" s="252" t="s">
        <v>1267</v>
      </c>
      <c r="M61" s="252" t="s">
        <v>1268</v>
      </c>
      <c r="N61" s="254">
        <v>9990736669</v>
      </c>
      <c r="O61" s="254">
        <v>29</v>
      </c>
      <c r="P61" s="252" t="s">
        <v>69</v>
      </c>
      <c r="Q61" s="252" t="s">
        <v>64</v>
      </c>
      <c r="R61" s="252"/>
      <c r="S61" s="252" t="s">
        <v>1264</v>
      </c>
      <c r="T61" s="254">
        <v>105079776</v>
      </c>
      <c r="U61" s="253" t="s">
        <v>1269</v>
      </c>
    </row>
    <row r="62" spans="1:21" x14ac:dyDescent="0.2">
      <c r="A62" s="223">
        <v>58</v>
      </c>
      <c r="B62" s="400">
        <v>45717</v>
      </c>
      <c r="C62" s="400">
        <v>44977</v>
      </c>
      <c r="D62" s="254" t="s">
        <v>125</v>
      </c>
      <c r="E62" s="254" t="s">
        <v>1270</v>
      </c>
      <c r="F62" s="254">
        <v>111940006</v>
      </c>
      <c r="G62" s="252" t="s">
        <v>1271</v>
      </c>
      <c r="H62" s="252" t="s">
        <v>1272</v>
      </c>
      <c r="I62" s="252" t="s">
        <v>41</v>
      </c>
      <c r="J62" s="252" t="s">
        <v>64</v>
      </c>
      <c r="K62" s="252" t="s">
        <v>65</v>
      </c>
      <c r="L62" s="252" t="s">
        <v>1273</v>
      </c>
      <c r="M62" s="252" t="s">
        <v>1274</v>
      </c>
      <c r="N62" s="254">
        <v>998841417</v>
      </c>
      <c r="O62" s="254">
        <v>29</v>
      </c>
      <c r="P62" s="252" t="s">
        <v>69</v>
      </c>
      <c r="Q62" s="252" t="s">
        <v>64</v>
      </c>
      <c r="R62" s="252"/>
      <c r="S62" s="252" t="s">
        <v>1270</v>
      </c>
      <c r="T62" s="254">
        <v>101679157</v>
      </c>
      <c r="U62" s="253" t="s">
        <v>1275</v>
      </c>
    </row>
    <row r="63" spans="1:21" x14ac:dyDescent="0.2">
      <c r="A63" s="223">
        <v>59</v>
      </c>
      <c r="B63" s="400">
        <v>45726</v>
      </c>
      <c r="C63" s="400">
        <v>45725</v>
      </c>
      <c r="D63" s="254" t="s">
        <v>125</v>
      </c>
      <c r="E63" s="254" t="s">
        <v>1276</v>
      </c>
      <c r="F63" s="254">
        <v>112570068</v>
      </c>
      <c r="G63" s="252" t="s">
        <v>110</v>
      </c>
      <c r="H63" s="252" t="s">
        <v>1277</v>
      </c>
      <c r="I63" s="252" t="s">
        <v>41</v>
      </c>
      <c r="J63" s="252" t="s">
        <v>64</v>
      </c>
      <c r="K63" s="252" t="s">
        <v>65</v>
      </c>
      <c r="L63" s="252" t="s">
        <v>1278</v>
      </c>
      <c r="M63" s="252" t="s">
        <v>1279</v>
      </c>
      <c r="N63" s="254">
        <v>984526818</v>
      </c>
      <c r="O63" s="254">
        <v>29</v>
      </c>
      <c r="P63" s="252" t="s">
        <v>69</v>
      </c>
      <c r="Q63" s="252" t="s">
        <v>64</v>
      </c>
      <c r="R63" s="252"/>
      <c r="S63" s="252" t="s">
        <v>1276</v>
      </c>
      <c r="T63" s="254">
        <v>301441986</v>
      </c>
      <c r="U63" s="253" t="s">
        <v>1280</v>
      </c>
    </row>
    <row r="64" spans="1:21" x14ac:dyDescent="0.2">
      <c r="A64" s="223">
        <v>60</v>
      </c>
      <c r="B64" s="400">
        <v>45726</v>
      </c>
      <c r="C64" s="400">
        <v>45713</v>
      </c>
      <c r="D64" s="254" t="s">
        <v>1281</v>
      </c>
      <c r="E64" s="254" t="s">
        <v>1282</v>
      </c>
      <c r="F64" s="254">
        <v>40466111</v>
      </c>
      <c r="G64" s="252" t="s">
        <v>1017</v>
      </c>
      <c r="H64" s="252" t="s">
        <v>1283</v>
      </c>
      <c r="I64" s="252" t="s">
        <v>41</v>
      </c>
      <c r="J64" s="252" t="s">
        <v>64</v>
      </c>
      <c r="K64" s="252" t="s">
        <v>65</v>
      </c>
      <c r="L64" s="252" t="s">
        <v>1284</v>
      </c>
      <c r="M64" s="252" t="s">
        <v>903</v>
      </c>
      <c r="N64" s="254">
        <v>991126880</v>
      </c>
      <c r="O64" s="254">
        <v>15</v>
      </c>
      <c r="P64" s="252" t="s">
        <v>69</v>
      </c>
      <c r="Q64" s="252" t="s">
        <v>64</v>
      </c>
      <c r="R64" s="252"/>
      <c r="S64" s="252" t="s">
        <v>1282</v>
      </c>
      <c r="T64" s="254">
        <v>1011589970</v>
      </c>
      <c r="U64" s="253" t="s">
        <v>1285</v>
      </c>
    </row>
    <row r="65" spans="1:21" x14ac:dyDescent="0.2">
      <c r="A65" s="223">
        <v>61</v>
      </c>
      <c r="B65" s="400">
        <v>45727</v>
      </c>
      <c r="C65" s="400">
        <v>45723</v>
      </c>
      <c r="D65" s="254" t="s">
        <v>125</v>
      </c>
      <c r="E65" s="254" t="s">
        <v>1286</v>
      </c>
      <c r="F65" s="254">
        <v>40467320</v>
      </c>
      <c r="G65" s="252" t="s">
        <v>855</v>
      </c>
      <c r="H65" s="252" t="s">
        <v>1287</v>
      </c>
      <c r="I65" s="252" t="s">
        <v>41</v>
      </c>
      <c r="J65" s="252" t="s">
        <v>64</v>
      </c>
      <c r="K65" s="252" t="s">
        <v>65</v>
      </c>
      <c r="L65" s="252" t="s">
        <v>1288</v>
      </c>
      <c r="M65" s="252" t="s">
        <v>1289</v>
      </c>
      <c r="N65" s="254">
        <v>993074693</v>
      </c>
      <c r="O65" s="254">
        <v>15</v>
      </c>
      <c r="P65" s="252" t="s">
        <v>69</v>
      </c>
      <c r="Q65" s="252" t="s">
        <v>64</v>
      </c>
      <c r="R65" s="252"/>
      <c r="S65" s="252" t="s">
        <v>1286</v>
      </c>
      <c r="T65" s="254">
        <v>300326097</v>
      </c>
      <c r="U65" s="253" t="s">
        <v>1290</v>
      </c>
    </row>
    <row r="66" spans="1:21" x14ac:dyDescent="0.2">
      <c r="A66" s="223">
        <v>62</v>
      </c>
      <c r="B66" s="400">
        <v>45727</v>
      </c>
      <c r="C66" s="400">
        <v>45694</v>
      </c>
      <c r="D66" s="254" t="s">
        <v>1291</v>
      </c>
      <c r="E66" s="254" t="s">
        <v>1292</v>
      </c>
      <c r="F66" s="254">
        <v>40467320</v>
      </c>
      <c r="G66" s="252" t="s">
        <v>855</v>
      </c>
      <c r="H66" s="252" t="s">
        <v>1293</v>
      </c>
      <c r="I66" s="252" t="s">
        <v>41</v>
      </c>
      <c r="J66" s="252" t="s">
        <v>64</v>
      </c>
      <c r="K66" s="252" t="s">
        <v>65</v>
      </c>
      <c r="L66" s="252" t="s">
        <v>1294</v>
      </c>
      <c r="M66" s="252" t="s">
        <v>1295</v>
      </c>
      <c r="N66" s="254">
        <v>995508207</v>
      </c>
      <c r="O66" s="254">
        <v>15</v>
      </c>
      <c r="P66" s="252" t="s">
        <v>69</v>
      </c>
      <c r="Q66" s="252" t="s">
        <v>64</v>
      </c>
      <c r="R66" s="252"/>
      <c r="S66" s="252" t="s">
        <v>1292</v>
      </c>
      <c r="T66" s="254">
        <v>100954957</v>
      </c>
      <c r="U66" s="253" t="s">
        <v>1296</v>
      </c>
    </row>
    <row r="67" spans="1:21" x14ac:dyDescent="0.2">
      <c r="A67" s="223">
        <v>63</v>
      </c>
      <c r="B67" s="400">
        <v>45728</v>
      </c>
      <c r="C67" s="400">
        <v>45682</v>
      </c>
      <c r="D67" s="254" t="s">
        <v>100</v>
      </c>
      <c r="E67" s="254" t="s">
        <v>1297</v>
      </c>
      <c r="F67" s="254">
        <v>111000051</v>
      </c>
      <c r="G67" s="252" t="s">
        <v>137</v>
      </c>
      <c r="H67" s="252" t="s">
        <v>1298</v>
      </c>
      <c r="I67" s="252" t="s">
        <v>41</v>
      </c>
      <c r="J67" s="252" t="s">
        <v>64</v>
      </c>
      <c r="K67" s="252" t="s">
        <v>65</v>
      </c>
      <c r="L67" s="252" t="s">
        <v>1299</v>
      </c>
      <c r="M67" s="252" t="s">
        <v>1300</v>
      </c>
      <c r="N67" s="254">
        <v>987345800</v>
      </c>
      <c r="O67" s="254">
        <v>25</v>
      </c>
      <c r="P67" s="252" t="s">
        <v>69</v>
      </c>
      <c r="Q67" s="252" t="s">
        <v>64</v>
      </c>
      <c r="R67" s="252"/>
      <c r="S67" s="252" t="s">
        <v>1297</v>
      </c>
      <c r="T67" s="254">
        <v>301532701</v>
      </c>
      <c r="U67" s="253" t="s">
        <v>1301</v>
      </c>
    </row>
    <row r="68" spans="1:21" x14ac:dyDescent="0.2">
      <c r="A68" s="223">
        <v>64</v>
      </c>
      <c r="B68" s="400">
        <v>45729</v>
      </c>
      <c r="C68" s="400">
        <v>45722</v>
      </c>
      <c r="D68" s="254" t="s">
        <v>125</v>
      </c>
      <c r="E68" s="254" t="s">
        <v>1302</v>
      </c>
      <c r="F68" s="254">
        <v>40467320</v>
      </c>
      <c r="G68" s="252" t="s">
        <v>855</v>
      </c>
      <c r="H68" s="252" t="s">
        <v>1303</v>
      </c>
      <c r="I68" s="252" t="s">
        <v>41</v>
      </c>
      <c r="J68" s="252" t="s">
        <v>64</v>
      </c>
      <c r="K68" s="252" t="s">
        <v>65</v>
      </c>
      <c r="L68" s="252" t="s">
        <v>1304</v>
      </c>
      <c r="M68" s="252" t="s">
        <v>1305</v>
      </c>
      <c r="N68" s="254">
        <v>993738358</v>
      </c>
      <c r="O68" s="254">
        <v>15</v>
      </c>
      <c r="P68" s="252" t="s">
        <v>69</v>
      </c>
      <c r="Q68" s="252" t="s">
        <v>64</v>
      </c>
      <c r="R68" s="252"/>
      <c r="S68" s="252" t="s">
        <v>1302</v>
      </c>
      <c r="T68" s="254">
        <v>101805638</v>
      </c>
      <c r="U68" s="253" t="s">
        <v>1306</v>
      </c>
    </row>
    <row r="69" spans="1:21" x14ac:dyDescent="0.2">
      <c r="A69" s="223">
        <v>65</v>
      </c>
      <c r="B69" s="400">
        <v>45729</v>
      </c>
      <c r="C69" s="400">
        <v>45698</v>
      </c>
      <c r="D69" s="254" t="s">
        <v>125</v>
      </c>
      <c r="E69" s="254" t="s">
        <v>1307</v>
      </c>
      <c r="F69" s="254">
        <v>112580058</v>
      </c>
      <c r="G69" s="252" t="s">
        <v>334</v>
      </c>
      <c r="H69" s="254" t="s">
        <v>1308</v>
      </c>
      <c r="I69" s="252" t="s">
        <v>41</v>
      </c>
      <c r="J69" s="252" t="s">
        <v>64</v>
      </c>
      <c r="K69" s="252" t="s">
        <v>65</v>
      </c>
      <c r="L69" s="252" t="s">
        <v>1309</v>
      </c>
      <c r="M69" s="252" t="s">
        <v>1310</v>
      </c>
      <c r="N69" s="254">
        <v>987175784</v>
      </c>
      <c r="O69" s="254">
        <v>29</v>
      </c>
      <c r="P69" s="252" t="s">
        <v>69</v>
      </c>
      <c r="Q69" s="252" t="s">
        <v>64</v>
      </c>
      <c r="R69" s="252"/>
      <c r="S69" s="252" t="s">
        <v>1307</v>
      </c>
      <c r="T69" s="254">
        <v>701965493</v>
      </c>
      <c r="U69" s="253" t="s">
        <v>1311</v>
      </c>
    </row>
    <row r="70" spans="1:21" x14ac:dyDescent="0.2">
      <c r="A70" s="223">
        <v>66</v>
      </c>
      <c r="B70" s="400">
        <v>45730</v>
      </c>
      <c r="C70" s="400">
        <v>45730</v>
      </c>
      <c r="D70" s="254" t="s">
        <v>100</v>
      </c>
      <c r="E70" s="254" t="s">
        <v>1312</v>
      </c>
      <c r="F70" s="254">
        <v>41560124</v>
      </c>
      <c r="G70" s="252" t="s">
        <v>1313</v>
      </c>
      <c r="H70" s="252" t="s">
        <v>1314</v>
      </c>
      <c r="I70" s="252" t="s">
        <v>41</v>
      </c>
      <c r="J70" s="252" t="s">
        <v>64</v>
      </c>
      <c r="K70" s="252" t="s">
        <v>65</v>
      </c>
      <c r="L70" s="252" t="s">
        <v>1315</v>
      </c>
      <c r="M70" s="252" t="s">
        <v>1316</v>
      </c>
      <c r="N70" s="254">
        <v>997893479</v>
      </c>
      <c r="O70" s="254">
        <v>25</v>
      </c>
      <c r="P70" s="252" t="s">
        <v>69</v>
      </c>
      <c r="Q70" s="252" t="s">
        <v>64</v>
      </c>
      <c r="R70" s="252"/>
      <c r="S70" s="252" t="s">
        <v>1312</v>
      </c>
      <c r="T70" s="254">
        <v>1044288198</v>
      </c>
      <c r="U70" s="253" t="s">
        <v>1317</v>
      </c>
    </row>
    <row r="71" spans="1:21" x14ac:dyDescent="0.2">
      <c r="A71" s="223">
        <v>67</v>
      </c>
      <c r="B71" s="400">
        <v>45730</v>
      </c>
      <c r="C71" s="400">
        <v>45713</v>
      </c>
      <c r="D71" s="254" t="s">
        <v>125</v>
      </c>
      <c r="E71" s="254" t="s">
        <v>1318</v>
      </c>
      <c r="F71" s="254">
        <v>1700369950</v>
      </c>
      <c r="G71" s="252" t="s">
        <v>517</v>
      </c>
      <c r="H71" s="252" t="s">
        <v>1319</v>
      </c>
      <c r="I71" s="252" t="s">
        <v>41</v>
      </c>
      <c r="J71" s="252" t="s">
        <v>64</v>
      </c>
      <c r="K71" s="252" t="s">
        <v>65</v>
      </c>
      <c r="L71" s="252" t="s">
        <v>1320</v>
      </c>
      <c r="M71" s="252" t="s">
        <v>1321</v>
      </c>
      <c r="N71" s="254">
        <v>969273036</v>
      </c>
      <c r="O71" s="254">
        <v>29</v>
      </c>
      <c r="P71" s="252" t="s">
        <v>69</v>
      </c>
      <c r="Q71" s="252" t="s">
        <v>64</v>
      </c>
      <c r="R71" s="252"/>
      <c r="S71" s="252" t="s">
        <v>1318</v>
      </c>
      <c r="T71" s="254">
        <v>1700369950</v>
      </c>
      <c r="U71" s="253" t="s">
        <v>1322</v>
      </c>
    </row>
    <row r="72" spans="1:21" x14ac:dyDescent="0.2">
      <c r="A72" s="223">
        <v>68</v>
      </c>
      <c r="B72" s="255">
        <v>45733</v>
      </c>
      <c r="C72" s="255">
        <v>45717</v>
      </c>
      <c r="D72" s="255" t="s">
        <v>125</v>
      </c>
      <c r="E72" s="255" t="s">
        <v>1861</v>
      </c>
      <c r="F72" s="256" t="s">
        <v>793</v>
      </c>
      <c r="G72" s="255" t="s">
        <v>334</v>
      </c>
      <c r="H72" s="257" t="s">
        <v>1862</v>
      </c>
      <c r="I72" s="256" t="s">
        <v>41</v>
      </c>
      <c r="J72" s="255" t="s">
        <v>64</v>
      </c>
      <c r="K72" s="255" t="s">
        <v>65</v>
      </c>
      <c r="L72" s="255" t="s">
        <v>1863</v>
      </c>
      <c r="M72" s="255" t="s">
        <v>1236</v>
      </c>
      <c r="N72" s="256" t="s">
        <v>1864</v>
      </c>
      <c r="O72" s="258">
        <v>29</v>
      </c>
      <c r="P72" s="255" t="s">
        <v>69</v>
      </c>
      <c r="Q72" s="255" t="s">
        <v>64</v>
      </c>
      <c r="R72" s="255"/>
      <c r="S72" s="255" t="str">
        <f>E72</f>
        <v>016-907-000241302</v>
      </c>
      <c r="T72" s="259" t="s">
        <v>1865</v>
      </c>
      <c r="U72" s="260" t="s">
        <v>1866</v>
      </c>
    </row>
    <row r="73" spans="1:21" x14ac:dyDescent="0.2">
      <c r="A73" s="223">
        <v>69</v>
      </c>
      <c r="B73" s="255">
        <v>45734</v>
      </c>
      <c r="C73" s="255">
        <v>45684</v>
      </c>
      <c r="D73" s="255" t="s">
        <v>1867</v>
      </c>
      <c r="E73" s="255" t="s">
        <v>1868</v>
      </c>
      <c r="F73" s="256" t="s">
        <v>293</v>
      </c>
      <c r="G73" s="255" t="s">
        <v>1869</v>
      </c>
      <c r="H73" s="256" t="s">
        <v>1870</v>
      </c>
      <c r="I73" s="256" t="s">
        <v>41</v>
      </c>
      <c r="J73" s="255" t="s">
        <v>64</v>
      </c>
      <c r="K73" s="255" t="s">
        <v>65</v>
      </c>
      <c r="L73" s="255" t="s">
        <v>1871</v>
      </c>
      <c r="M73" s="255" t="s">
        <v>1872</v>
      </c>
      <c r="N73" s="256" t="s">
        <v>1873</v>
      </c>
      <c r="O73" s="258">
        <v>30</v>
      </c>
      <c r="P73" s="255" t="s">
        <v>69</v>
      </c>
      <c r="Q73" s="255" t="s">
        <v>64</v>
      </c>
      <c r="R73" s="255"/>
      <c r="S73" s="255" t="str">
        <f t="shared" ref="S73:S100" si="0">E73</f>
        <v>001-502-000000108</v>
      </c>
      <c r="T73" s="259" t="s">
        <v>1874</v>
      </c>
      <c r="U73" s="260" t="s">
        <v>1875</v>
      </c>
    </row>
    <row r="74" spans="1:21" x14ac:dyDescent="0.2">
      <c r="A74" s="223">
        <v>70</v>
      </c>
      <c r="B74" s="255">
        <v>45734</v>
      </c>
      <c r="C74" s="255">
        <v>45730</v>
      </c>
      <c r="D74" s="255" t="s">
        <v>75</v>
      </c>
      <c r="E74" s="255" t="s">
        <v>1876</v>
      </c>
      <c r="F74" s="256" t="s">
        <v>1877</v>
      </c>
      <c r="G74" s="255" t="s">
        <v>1233</v>
      </c>
      <c r="H74" s="257" t="s">
        <v>1878</v>
      </c>
      <c r="I74" s="256" t="s">
        <v>41</v>
      </c>
      <c r="J74" s="255" t="s">
        <v>64</v>
      </c>
      <c r="K74" s="255" t="s">
        <v>65</v>
      </c>
      <c r="L74" s="255" t="s">
        <v>1879</v>
      </c>
      <c r="M74" s="255" t="s">
        <v>1880</v>
      </c>
      <c r="N74" s="256" t="s">
        <v>1881</v>
      </c>
      <c r="O74" s="258">
        <v>25</v>
      </c>
      <c r="P74" s="255" t="s">
        <v>69</v>
      </c>
      <c r="Q74" s="255" t="s">
        <v>64</v>
      </c>
      <c r="R74" s="255"/>
      <c r="S74" s="255" t="str">
        <f t="shared" si="0"/>
        <v>001-001-000000684</v>
      </c>
      <c r="T74" s="259" t="s">
        <v>1882</v>
      </c>
      <c r="U74" s="260" t="s">
        <v>1883</v>
      </c>
    </row>
    <row r="75" spans="1:21" x14ac:dyDescent="0.2">
      <c r="A75" s="223">
        <v>71</v>
      </c>
      <c r="B75" s="255">
        <v>45735</v>
      </c>
      <c r="C75" s="255">
        <v>45675</v>
      </c>
      <c r="D75" s="255" t="s">
        <v>1884</v>
      </c>
      <c r="E75" s="255" t="s">
        <v>1885</v>
      </c>
      <c r="F75" s="256" t="s">
        <v>136</v>
      </c>
      <c r="G75" s="255" t="s">
        <v>137</v>
      </c>
      <c r="H75" s="257" t="s">
        <v>1886</v>
      </c>
      <c r="I75" s="256" t="s">
        <v>41</v>
      </c>
      <c r="J75" s="255" t="s">
        <v>64</v>
      </c>
      <c r="K75" s="255" t="s">
        <v>65</v>
      </c>
      <c r="L75" s="255" t="s">
        <v>1884</v>
      </c>
      <c r="M75" s="255" t="s">
        <v>1887</v>
      </c>
      <c r="N75" s="256" t="s">
        <v>1888</v>
      </c>
      <c r="O75" s="258">
        <v>25</v>
      </c>
      <c r="P75" s="255" t="s">
        <v>69</v>
      </c>
      <c r="Q75" s="255" t="s">
        <v>64</v>
      </c>
      <c r="R75" s="255"/>
      <c r="S75" s="255" t="str">
        <f t="shared" si="0"/>
        <v>001-500-000070206</v>
      </c>
      <c r="T75" s="259" t="s">
        <v>1889</v>
      </c>
      <c r="U75" s="260" t="s">
        <v>1890</v>
      </c>
    </row>
    <row r="76" spans="1:21" x14ac:dyDescent="0.2">
      <c r="A76" s="223">
        <v>72</v>
      </c>
      <c r="B76" s="255">
        <v>45735</v>
      </c>
      <c r="C76" s="255">
        <v>45714</v>
      </c>
      <c r="D76" s="255" t="s">
        <v>190</v>
      </c>
      <c r="E76" s="255" t="s">
        <v>1891</v>
      </c>
      <c r="F76" s="256" t="s">
        <v>1892</v>
      </c>
      <c r="G76" s="255" t="s">
        <v>1893</v>
      </c>
      <c r="H76" s="257" t="s">
        <v>1894</v>
      </c>
      <c r="I76" s="256" t="s">
        <v>41</v>
      </c>
      <c r="J76" s="255" t="s">
        <v>64</v>
      </c>
      <c r="K76" s="255" t="s">
        <v>65</v>
      </c>
      <c r="L76" s="255" t="s">
        <v>1895</v>
      </c>
      <c r="M76" s="255" t="s">
        <v>1896</v>
      </c>
      <c r="N76" s="256" t="s">
        <v>1897</v>
      </c>
      <c r="O76" s="258">
        <v>29</v>
      </c>
      <c r="P76" s="255" t="s">
        <v>69</v>
      </c>
      <c r="Q76" s="255" t="s">
        <v>64</v>
      </c>
      <c r="R76" s="255"/>
      <c r="S76" s="255" t="str">
        <f t="shared" si="0"/>
        <v>018-002-001152078</v>
      </c>
      <c r="T76" s="259" t="s">
        <v>1898</v>
      </c>
      <c r="U76" s="260" t="s">
        <v>1899</v>
      </c>
    </row>
    <row r="77" spans="1:21" x14ac:dyDescent="0.2">
      <c r="A77" s="223">
        <v>73</v>
      </c>
      <c r="B77" s="255">
        <v>45740</v>
      </c>
      <c r="C77" s="255">
        <v>45734</v>
      </c>
      <c r="D77" s="255" t="s">
        <v>125</v>
      </c>
      <c r="E77" s="255" t="s">
        <v>1900</v>
      </c>
      <c r="F77" s="256" t="s">
        <v>1901</v>
      </c>
      <c r="G77" s="255" t="s">
        <v>198</v>
      </c>
      <c r="H77" s="257" t="s">
        <v>1902</v>
      </c>
      <c r="I77" s="256" t="s">
        <v>41</v>
      </c>
      <c r="J77" s="255" t="s">
        <v>64</v>
      </c>
      <c r="K77" s="255" t="s">
        <v>65</v>
      </c>
      <c r="L77" s="255" t="s">
        <v>1903</v>
      </c>
      <c r="M77" s="255" t="s">
        <v>1904</v>
      </c>
      <c r="N77" s="256" t="s">
        <v>1905</v>
      </c>
      <c r="O77" s="258">
        <v>25</v>
      </c>
      <c r="P77" s="255" t="s">
        <v>69</v>
      </c>
      <c r="Q77" s="255" t="s">
        <v>64</v>
      </c>
      <c r="R77" s="255"/>
      <c r="S77" s="255" t="str">
        <f t="shared" si="0"/>
        <v>043-903-000063578</v>
      </c>
      <c r="T77" s="259" t="s">
        <v>1905</v>
      </c>
      <c r="U77" s="260" t="s">
        <v>1906</v>
      </c>
    </row>
    <row r="78" spans="1:21" s="397" customFormat="1" x14ac:dyDescent="0.2">
      <c r="A78" s="223">
        <v>74</v>
      </c>
      <c r="B78" s="255">
        <v>45741</v>
      </c>
      <c r="C78" s="255">
        <v>45709</v>
      </c>
      <c r="D78" s="255" t="s">
        <v>1867</v>
      </c>
      <c r="E78" s="255" t="s">
        <v>1907</v>
      </c>
      <c r="F78" s="256" t="s">
        <v>1908</v>
      </c>
      <c r="G78" s="255" t="s">
        <v>1909</v>
      </c>
      <c r="H78" s="257" t="s">
        <v>1910</v>
      </c>
      <c r="I78" s="256" t="s">
        <v>41</v>
      </c>
      <c r="J78" s="255" t="s">
        <v>64</v>
      </c>
      <c r="K78" s="255" t="s">
        <v>65</v>
      </c>
      <c r="L78" s="255" t="s">
        <v>1911</v>
      </c>
      <c r="M78" s="255" t="s">
        <v>1912</v>
      </c>
      <c r="N78" s="256" t="s">
        <v>1913</v>
      </c>
      <c r="O78" s="258">
        <v>36</v>
      </c>
      <c r="P78" s="255" t="s">
        <v>69</v>
      </c>
      <c r="Q78" s="255" t="s">
        <v>64</v>
      </c>
      <c r="R78" s="255"/>
      <c r="S78" s="255" t="str">
        <f t="shared" si="0"/>
        <v>001-500-000071132</v>
      </c>
      <c r="T78" s="259" t="s">
        <v>1914</v>
      </c>
      <c r="U78" s="260" t="s">
        <v>1915</v>
      </c>
    </row>
    <row r="79" spans="1:21" s="397" customFormat="1" x14ac:dyDescent="0.2">
      <c r="A79" s="223">
        <v>75</v>
      </c>
      <c r="B79" s="255">
        <v>45743</v>
      </c>
      <c r="C79" s="255">
        <v>45739</v>
      </c>
      <c r="D79" s="255" t="s">
        <v>426</v>
      </c>
      <c r="E79" s="255" t="s">
        <v>1916</v>
      </c>
      <c r="F79" s="256" t="s">
        <v>1917</v>
      </c>
      <c r="G79" s="255" t="s">
        <v>1918</v>
      </c>
      <c r="H79" s="257" t="s">
        <v>1919</v>
      </c>
      <c r="I79" s="256" t="s">
        <v>41</v>
      </c>
      <c r="J79" s="255" t="s">
        <v>64</v>
      </c>
      <c r="K79" s="255" t="s">
        <v>65</v>
      </c>
      <c r="L79" s="255" t="s">
        <v>1920</v>
      </c>
      <c r="M79" s="255" t="s">
        <v>1921</v>
      </c>
      <c r="N79" s="256" t="s">
        <v>1922</v>
      </c>
      <c r="O79" s="258">
        <v>25</v>
      </c>
      <c r="P79" s="255" t="s">
        <v>69</v>
      </c>
      <c r="Q79" s="255" t="s">
        <v>64</v>
      </c>
      <c r="R79" s="255"/>
      <c r="S79" s="255" t="str">
        <f t="shared" si="0"/>
        <v>008-501-000009097</v>
      </c>
      <c r="T79" s="259" t="s">
        <v>1923</v>
      </c>
      <c r="U79" s="260" t="s">
        <v>1924</v>
      </c>
    </row>
    <row r="80" spans="1:21" s="397" customFormat="1" x14ac:dyDescent="0.2">
      <c r="A80" s="223">
        <v>76</v>
      </c>
      <c r="B80" s="255">
        <v>45744</v>
      </c>
      <c r="C80" s="255">
        <v>45716</v>
      </c>
      <c r="D80" s="255" t="s">
        <v>1867</v>
      </c>
      <c r="E80" s="255" t="s">
        <v>1925</v>
      </c>
      <c r="F80" s="256" t="s">
        <v>1926</v>
      </c>
      <c r="G80" s="255" t="s">
        <v>110</v>
      </c>
      <c r="H80" s="257" t="s">
        <v>1927</v>
      </c>
      <c r="I80" s="256" t="s">
        <v>41</v>
      </c>
      <c r="J80" s="255" t="s">
        <v>64</v>
      </c>
      <c r="K80" s="255" t="s">
        <v>65</v>
      </c>
      <c r="L80" s="255" t="s">
        <v>1928</v>
      </c>
      <c r="M80" s="255" t="s">
        <v>1071</v>
      </c>
      <c r="N80" s="256" t="s">
        <v>1929</v>
      </c>
      <c r="O80" s="258">
        <v>29</v>
      </c>
      <c r="P80" s="255" t="s">
        <v>69</v>
      </c>
      <c r="Q80" s="255" t="s">
        <v>64</v>
      </c>
      <c r="R80" s="255"/>
      <c r="S80" s="255" t="str">
        <f t="shared" si="0"/>
        <v>001-500-000071300</v>
      </c>
      <c r="T80" s="259" t="s">
        <v>1930</v>
      </c>
      <c r="U80" s="260" t="s">
        <v>1931</v>
      </c>
    </row>
    <row r="81" spans="1:21" s="397" customFormat="1" x14ac:dyDescent="0.2">
      <c r="A81" s="223">
        <v>77</v>
      </c>
      <c r="B81" s="255">
        <v>45744</v>
      </c>
      <c r="C81" s="255">
        <v>45741</v>
      </c>
      <c r="D81" s="255" t="s">
        <v>1867</v>
      </c>
      <c r="E81" s="255" t="s">
        <v>1932</v>
      </c>
      <c r="F81" s="256" t="s">
        <v>744</v>
      </c>
      <c r="G81" s="255" t="s">
        <v>1031</v>
      </c>
      <c r="H81" s="257" t="s">
        <v>1933</v>
      </c>
      <c r="I81" s="256" t="s">
        <v>41</v>
      </c>
      <c r="J81" s="255" t="s">
        <v>64</v>
      </c>
      <c r="K81" s="255" t="s">
        <v>65</v>
      </c>
      <c r="L81" s="255" t="s">
        <v>1934</v>
      </c>
      <c r="M81" s="255" t="s">
        <v>1935</v>
      </c>
      <c r="N81" s="256" t="s">
        <v>1936</v>
      </c>
      <c r="O81" s="258">
        <v>25</v>
      </c>
      <c r="P81" s="255" t="s">
        <v>69</v>
      </c>
      <c r="Q81" s="255" t="s">
        <v>64</v>
      </c>
      <c r="R81" s="255"/>
      <c r="S81" s="255" t="str">
        <f t="shared" si="0"/>
        <v>001-500-000071895</v>
      </c>
      <c r="T81" s="259" t="s">
        <v>1937</v>
      </c>
      <c r="U81" s="260" t="s">
        <v>1938</v>
      </c>
    </row>
    <row r="82" spans="1:21" s="397" customFormat="1" x14ac:dyDescent="0.2">
      <c r="A82" s="223">
        <v>78</v>
      </c>
      <c r="B82" s="255">
        <v>45747</v>
      </c>
      <c r="C82" s="255">
        <v>45694</v>
      </c>
      <c r="D82" s="255" t="s">
        <v>125</v>
      </c>
      <c r="E82" s="255" t="s">
        <v>1939</v>
      </c>
      <c r="F82" s="256" t="s">
        <v>260</v>
      </c>
      <c r="G82" s="255" t="s">
        <v>1271</v>
      </c>
      <c r="H82" s="257" t="s">
        <v>1940</v>
      </c>
      <c r="I82" s="256" t="s">
        <v>41</v>
      </c>
      <c r="J82" s="255" t="s">
        <v>64</v>
      </c>
      <c r="K82" s="255" t="s">
        <v>65</v>
      </c>
      <c r="L82" s="255" t="s">
        <v>1941</v>
      </c>
      <c r="M82" s="255" t="s">
        <v>1942</v>
      </c>
      <c r="N82" s="256" t="s">
        <v>1943</v>
      </c>
      <c r="O82" s="258">
        <v>29</v>
      </c>
      <c r="P82" s="255" t="s">
        <v>69</v>
      </c>
      <c r="Q82" s="255" t="s">
        <v>64</v>
      </c>
      <c r="R82" s="255"/>
      <c r="S82" s="255" t="str">
        <f t="shared" si="0"/>
        <v>043-911-000001384</v>
      </c>
      <c r="T82" s="259" t="s">
        <v>1944</v>
      </c>
      <c r="U82" s="260" t="s">
        <v>1945</v>
      </c>
    </row>
    <row r="83" spans="1:21" s="397" customFormat="1" x14ac:dyDescent="0.2">
      <c r="A83" s="223">
        <v>79</v>
      </c>
      <c r="B83" s="255">
        <v>45749</v>
      </c>
      <c r="C83" s="255">
        <v>45744</v>
      </c>
      <c r="D83" s="255" t="s">
        <v>125</v>
      </c>
      <c r="E83" s="255" t="s">
        <v>1946</v>
      </c>
      <c r="F83" s="256" t="s">
        <v>213</v>
      </c>
      <c r="G83" s="255" t="s">
        <v>214</v>
      </c>
      <c r="H83" s="257" t="s">
        <v>1947</v>
      </c>
      <c r="I83" s="256" t="s">
        <v>41</v>
      </c>
      <c r="J83" s="255" t="s">
        <v>64</v>
      </c>
      <c r="K83" s="255" t="s">
        <v>65</v>
      </c>
      <c r="L83" s="255" t="s">
        <v>1948</v>
      </c>
      <c r="M83" s="255" t="s">
        <v>885</v>
      </c>
      <c r="N83" s="256" t="s">
        <v>1949</v>
      </c>
      <c r="O83" s="258">
        <v>15</v>
      </c>
      <c r="P83" s="255" t="s">
        <v>69</v>
      </c>
      <c r="Q83" s="255" t="s">
        <v>64</v>
      </c>
      <c r="R83" s="255"/>
      <c r="S83" s="255" t="str">
        <f t="shared" si="0"/>
        <v>016-907-000245989</v>
      </c>
      <c r="T83" s="259" t="s">
        <v>1950</v>
      </c>
      <c r="U83" s="260" t="s">
        <v>1951</v>
      </c>
    </row>
    <row r="84" spans="1:21" s="397" customFormat="1" x14ac:dyDescent="0.2">
      <c r="A84" s="223">
        <v>80</v>
      </c>
      <c r="B84" s="255">
        <v>45749</v>
      </c>
      <c r="C84" s="255">
        <v>45716</v>
      </c>
      <c r="D84" s="255" t="s">
        <v>1867</v>
      </c>
      <c r="E84" s="255" t="s">
        <v>1952</v>
      </c>
      <c r="F84" s="256" t="s">
        <v>793</v>
      </c>
      <c r="G84" s="255" t="s">
        <v>334</v>
      </c>
      <c r="H84" s="257" t="s">
        <v>1953</v>
      </c>
      <c r="I84" s="256" t="s">
        <v>41</v>
      </c>
      <c r="J84" s="255" t="s">
        <v>64</v>
      </c>
      <c r="K84" s="255" t="s">
        <v>65</v>
      </c>
      <c r="L84" s="255" t="s">
        <v>1954</v>
      </c>
      <c r="M84" s="255" t="s">
        <v>1955</v>
      </c>
      <c r="N84" s="256" t="s">
        <v>1956</v>
      </c>
      <c r="O84" s="258">
        <v>29</v>
      </c>
      <c r="P84" s="255" t="s">
        <v>69</v>
      </c>
      <c r="Q84" s="255" t="s">
        <v>64</v>
      </c>
      <c r="R84" s="255"/>
      <c r="S84" s="255" t="str">
        <f t="shared" si="0"/>
        <v>001-502-000000167</v>
      </c>
      <c r="T84" s="259" t="s">
        <v>1957</v>
      </c>
      <c r="U84" s="260" t="s">
        <v>1958</v>
      </c>
    </row>
    <row r="85" spans="1:21" s="397" customFormat="1" x14ac:dyDescent="0.2">
      <c r="A85" s="223">
        <v>81</v>
      </c>
      <c r="B85" s="255">
        <v>45749</v>
      </c>
      <c r="C85" s="255">
        <v>45745</v>
      </c>
      <c r="D85" s="255" t="s">
        <v>733</v>
      </c>
      <c r="E85" s="255" t="s">
        <v>1959</v>
      </c>
      <c r="F85" s="256" t="s">
        <v>1960</v>
      </c>
      <c r="G85" s="255" t="s">
        <v>996</v>
      </c>
      <c r="H85" s="257" t="s">
        <v>1961</v>
      </c>
      <c r="I85" s="256" t="s">
        <v>41</v>
      </c>
      <c r="J85" s="255" t="s">
        <v>64</v>
      </c>
      <c r="K85" s="255" t="s">
        <v>65</v>
      </c>
      <c r="L85" s="255" t="s">
        <v>1962</v>
      </c>
      <c r="M85" s="255" t="s">
        <v>1963</v>
      </c>
      <c r="N85" s="256" t="s">
        <v>1964</v>
      </c>
      <c r="O85" s="258">
        <v>25</v>
      </c>
      <c r="P85" s="255" t="s">
        <v>69</v>
      </c>
      <c r="Q85" s="255" t="s">
        <v>64</v>
      </c>
      <c r="R85" s="255"/>
      <c r="S85" s="255" t="str">
        <f t="shared" si="0"/>
        <v>002-201-00007908</v>
      </c>
      <c r="T85" s="259" t="s">
        <v>1965</v>
      </c>
      <c r="U85" s="260" t="s">
        <v>1966</v>
      </c>
    </row>
    <row r="86" spans="1:21" s="397" customFormat="1" x14ac:dyDescent="0.2">
      <c r="A86" s="223">
        <v>82</v>
      </c>
      <c r="B86" s="255">
        <v>45749</v>
      </c>
      <c r="C86" s="255">
        <v>45705</v>
      </c>
      <c r="D86" s="255" t="s">
        <v>125</v>
      </c>
      <c r="E86" s="255" t="s">
        <v>1967</v>
      </c>
      <c r="F86" s="256" t="s">
        <v>793</v>
      </c>
      <c r="G86" s="255" t="s">
        <v>334</v>
      </c>
      <c r="H86" s="257" t="s">
        <v>1968</v>
      </c>
      <c r="I86" s="256" t="s">
        <v>41</v>
      </c>
      <c r="J86" s="255" t="s">
        <v>64</v>
      </c>
      <c r="K86" s="255" t="s">
        <v>65</v>
      </c>
      <c r="L86" s="255" t="s">
        <v>1969</v>
      </c>
      <c r="M86" s="255" t="s">
        <v>1236</v>
      </c>
      <c r="N86" s="256" t="s">
        <v>1970</v>
      </c>
      <c r="O86" s="258">
        <v>29</v>
      </c>
      <c r="P86" s="255" t="s">
        <v>69</v>
      </c>
      <c r="Q86" s="255" t="s">
        <v>64</v>
      </c>
      <c r="R86" s="255"/>
      <c r="S86" s="255" t="str">
        <f t="shared" si="0"/>
        <v>016-902-000498249</v>
      </c>
      <c r="T86" s="259" t="s">
        <v>1971</v>
      </c>
      <c r="U86" s="260" t="s">
        <v>1972</v>
      </c>
    </row>
    <row r="87" spans="1:21" s="397" customFormat="1" x14ac:dyDescent="0.2">
      <c r="A87" s="223">
        <v>83</v>
      </c>
      <c r="B87" s="255">
        <v>45750</v>
      </c>
      <c r="C87" s="255">
        <v>45669</v>
      </c>
      <c r="D87" s="255" t="s">
        <v>125</v>
      </c>
      <c r="E87" s="255" t="s">
        <v>1973</v>
      </c>
      <c r="F87" s="256" t="s">
        <v>854</v>
      </c>
      <c r="G87" s="255" t="s">
        <v>855</v>
      </c>
      <c r="H87" s="257" t="s">
        <v>1974</v>
      </c>
      <c r="I87" s="256" t="s">
        <v>41</v>
      </c>
      <c r="J87" s="255" t="s">
        <v>64</v>
      </c>
      <c r="K87" s="255" t="s">
        <v>65</v>
      </c>
      <c r="L87" s="255" t="s">
        <v>1975</v>
      </c>
      <c r="M87" s="255" t="s">
        <v>148</v>
      </c>
      <c r="N87" s="256" t="s">
        <v>1976</v>
      </c>
      <c r="O87" s="258">
        <v>15</v>
      </c>
      <c r="P87" s="255" t="s">
        <v>69</v>
      </c>
      <c r="Q87" s="255" t="s">
        <v>64</v>
      </c>
      <c r="R87" s="255"/>
      <c r="S87" s="255" t="str">
        <f t="shared" si="0"/>
        <v>043-905-000053080</v>
      </c>
      <c r="T87" s="259" t="s">
        <v>1977</v>
      </c>
      <c r="U87" s="260" t="s">
        <v>1978</v>
      </c>
    </row>
    <row r="88" spans="1:21" s="397" customFormat="1" x14ac:dyDescent="0.2">
      <c r="A88" s="223">
        <v>84</v>
      </c>
      <c r="B88" s="255">
        <v>45751</v>
      </c>
      <c r="C88" s="255">
        <v>45748</v>
      </c>
      <c r="D88" s="255" t="s">
        <v>1867</v>
      </c>
      <c r="E88" s="255" t="s">
        <v>1979</v>
      </c>
      <c r="F88" s="256" t="s">
        <v>1908</v>
      </c>
      <c r="G88" s="255" t="s">
        <v>1909</v>
      </c>
      <c r="H88" s="257" t="s">
        <v>1980</v>
      </c>
      <c r="I88" s="256" t="s">
        <v>41</v>
      </c>
      <c r="J88" s="255" t="s">
        <v>64</v>
      </c>
      <c r="K88" s="255" t="s">
        <v>65</v>
      </c>
      <c r="L88" s="255" t="s">
        <v>1981</v>
      </c>
      <c r="M88" s="255" t="s">
        <v>1982</v>
      </c>
      <c r="N88" s="256" t="s">
        <v>1983</v>
      </c>
      <c r="O88" s="258">
        <v>30</v>
      </c>
      <c r="P88" s="255" t="s">
        <v>69</v>
      </c>
      <c r="Q88" s="255" t="s">
        <v>64</v>
      </c>
      <c r="R88" s="255"/>
      <c r="S88" s="255" t="str">
        <f t="shared" si="0"/>
        <v>001-500-000072067</v>
      </c>
      <c r="T88" s="259" t="s">
        <v>1984</v>
      </c>
      <c r="U88" s="260" t="s">
        <v>1985</v>
      </c>
    </row>
    <row r="89" spans="1:21" x14ac:dyDescent="0.2">
      <c r="A89" s="223">
        <v>85</v>
      </c>
      <c r="B89" s="255">
        <v>45751</v>
      </c>
      <c r="C89" s="255">
        <v>45749</v>
      </c>
      <c r="D89" s="255" t="s">
        <v>1867</v>
      </c>
      <c r="E89" s="255" t="s">
        <v>1986</v>
      </c>
      <c r="F89" s="256" t="s">
        <v>213</v>
      </c>
      <c r="G89" s="255" t="s">
        <v>214</v>
      </c>
      <c r="H89" s="257" t="s">
        <v>1987</v>
      </c>
      <c r="I89" s="256" t="s">
        <v>41</v>
      </c>
      <c r="J89" s="255" t="s">
        <v>64</v>
      </c>
      <c r="K89" s="255" t="s">
        <v>65</v>
      </c>
      <c r="L89" s="255" t="s">
        <v>1988</v>
      </c>
      <c r="M89" s="255" t="s">
        <v>1989</v>
      </c>
      <c r="N89" s="256" t="s">
        <v>1990</v>
      </c>
      <c r="O89" s="258">
        <v>15</v>
      </c>
      <c r="P89" s="255" t="s">
        <v>69</v>
      </c>
      <c r="Q89" s="255" t="s">
        <v>64</v>
      </c>
      <c r="R89" s="255"/>
      <c r="S89" s="255" t="str">
        <f t="shared" si="0"/>
        <v>001-500-000072080</v>
      </c>
      <c r="T89" s="259" t="s">
        <v>1991</v>
      </c>
      <c r="U89" s="260" t="s">
        <v>1992</v>
      </c>
    </row>
    <row r="90" spans="1:21" x14ac:dyDescent="0.2">
      <c r="A90" s="223">
        <v>86</v>
      </c>
      <c r="B90" s="255">
        <v>45751</v>
      </c>
      <c r="C90" s="255">
        <v>45496</v>
      </c>
      <c r="D90" s="255" t="s">
        <v>187</v>
      </c>
      <c r="E90" s="255" t="s">
        <v>1993</v>
      </c>
      <c r="F90" s="256" t="s">
        <v>1994</v>
      </c>
      <c r="G90" s="255" t="s">
        <v>1995</v>
      </c>
      <c r="H90" s="257" t="s">
        <v>1996</v>
      </c>
      <c r="I90" s="256" t="s">
        <v>41</v>
      </c>
      <c r="J90" s="255" t="s">
        <v>64</v>
      </c>
      <c r="K90" s="255" t="s">
        <v>65</v>
      </c>
      <c r="L90" s="255" t="s">
        <v>1997</v>
      </c>
      <c r="M90" s="255" t="s">
        <v>1998</v>
      </c>
      <c r="N90" s="256" t="s">
        <v>1999</v>
      </c>
      <c r="O90" s="258">
        <v>29</v>
      </c>
      <c r="P90" s="255" t="s">
        <v>69</v>
      </c>
      <c r="Q90" s="255" t="s">
        <v>64</v>
      </c>
      <c r="R90" s="255"/>
      <c r="S90" s="255" t="str">
        <f t="shared" si="0"/>
        <v>090-105-000001649</v>
      </c>
      <c r="T90" s="259" t="s">
        <v>2000</v>
      </c>
      <c r="U90" s="260" t="s">
        <v>2001</v>
      </c>
    </row>
    <row r="91" spans="1:21" x14ac:dyDescent="0.2">
      <c r="A91" s="223">
        <v>87</v>
      </c>
      <c r="B91" s="255">
        <v>45751</v>
      </c>
      <c r="C91" s="255">
        <v>45805</v>
      </c>
      <c r="D91" s="255" t="s">
        <v>2002</v>
      </c>
      <c r="E91" s="255" t="s">
        <v>2003</v>
      </c>
      <c r="F91" s="256" t="s">
        <v>2004</v>
      </c>
      <c r="G91" s="255" t="s">
        <v>1358</v>
      </c>
      <c r="H91" s="257" t="s">
        <v>2005</v>
      </c>
      <c r="I91" s="256" t="s">
        <v>41</v>
      </c>
      <c r="J91" s="255" t="s">
        <v>64</v>
      </c>
      <c r="K91" s="255" t="s">
        <v>65</v>
      </c>
      <c r="L91" s="255" t="s">
        <v>2006</v>
      </c>
      <c r="M91" s="255" t="s">
        <v>349</v>
      </c>
      <c r="N91" s="256" t="s">
        <v>2007</v>
      </c>
      <c r="O91" s="258">
        <v>29</v>
      </c>
      <c r="P91" s="255" t="s">
        <v>69</v>
      </c>
      <c r="Q91" s="255" t="s">
        <v>64</v>
      </c>
      <c r="R91" s="255"/>
      <c r="S91" s="255" t="str">
        <f t="shared" si="0"/>
        <v>006-000157790</v>
      </c>
      <c r="T91" s="259" t="s">
        <v>2008</v>
      </c>
      <c r="U91" s="260" t="s">
        <v>2009</v>
      </c>
    </row>
    <row r="92" spans="1:21" x14ac:dyDescent="0.2">
      <c r="A92" s="223">
        <v>88</v>
      </c>
      <c r="B92" s="255">
        <v>45754</v>
      </c>
      <c r="C92" s="255">
        <v>45751</v>
      </c>
      <c r="D92" s="255" t="s">
        <v>125</v>
      </c>
      <c r="E92" s="255" t="s">
        <v>2010</v>
      </c>
      <c r="F92" s="256" t="s">
        <v>793</v>
      </c>
      <c r="G92" s="255" t="s">
        <v>334</v>
      </c>
      <c r="H92" s="257" t="s">
        <v>2011</v>
      </c>
      <c r="I92" s="256" t="s">
        <v>41</v>
      </c>
      <c r="J92" s="255" t="s">
        <v>64</v>
      </c>
      <c r="K92" s="255" t="s">
        <v>65</v>
      </c>
      <c r="L92" s="255" t="s">
        <v>2012</v>
      </c>
      <c r="M92" s="255" t="s">
        <v>1045</v>
      </c>
      <c r="N92" s="256" t="s">
        <v>2013</v>
      </c>
      <c r="O92" s="258">
        <v>29</v>
      </c>
      <c r="P92" s="255" t="s">
        <v>69</v>
      </c>
      <c r="Q92" s="255" t="s">
        <v>64</v>
      </c>
      <c r="R92" s="255"/>
      <c r="S92" s="255" t="str">
        <f t="shared" si="0"/>
        <v>043-985-000066908</v>
      </c>
      <c r="T92" s="259" t="s">
        <v>2014</v>
      </c>
      <c r="U92" s="260" t="s">
        <v>2015</v>
      </c>
    </row>
    <row r="93" spans="1:21" x14ac:dyDescent="0.2">
      <c r="A93" s="223">
        <v>89</v>
      </c>
      <c r="B93" s="255">
        <v>45756</v>
      </c>
      <c r="C93" s="255">
        <v>45754</v>
      </c>
      <c r="D93" s="255" t="s">
        <v>1213</v>
      </c>
      <c r="E93" s="255" t="s">
        <v>2016</v>
      </c>
      <c r="F93" s="256" t="s">
        <v>2017</v>
      </c>
      <c r="G93" s="255" t="s">
        <v>110</v>
      </c>
      <c r="H93" s="257" t="s">
        <v>2018</v>
      </c>
      <c r="I93" s="256" t="s">
        <v>41</v>
      </c>
      <c r="J93" s="255" t="s">
        <v>64</v>
      </c>
      <c r="K93" s="255" t="s">
        <v>65</v>
      </c>
      <c r="L93" s="255" t="s">
        <v>2019</v>
      </c>
      <c r="M93" s="255" t="s">
        <v>533</v>
      </c>
      <c r="N93" s="256" t="s">
        <v>2020</v>
      </c>
      <c r="O93" s="258">
        <v>29</v>
      </c>
      <c r="P93" s="255" t="s">
        <v>69</v>
      </c>
      <c r="Q93" s="255" t="s">
        <v>64</v>
      </c>
      <c r="R93" s="255"/>
      <c r="S93" s="255" t="str">
        <f t="shared" si="0"/>
        <v>007-006-000136872</v>
      </c>
      <c r="T93" s="259" t="s">
        <v>2021</v>
      </c>
      <c r="U93" s="260" t="s">
        <v>2022</v>
      </c>
    </row>
    <row r="94" spans="1:21" x14ac:dyDescent="0.2">
      <c r="A94" s="223">
        <v>90</v>
      </c>
      <c r="B94" s="255">
        <v>45757</v>
      </c>
      <c r="C94" s="255">
        <v>45724</v>
      </c>
      <c r="D94" s="255" t="s">
        <v>1213</v>
      </c>
      <c r="E94" s="255" t="s">
        <v>2023</v>
      </c>
      <c r="F94" s="256" t="s">
        <v>2024</v>
      </c>
      <c r="G94" s="255" t="s">
        <v>91</v>
      </c>
      <c r="H94" s="257" t="s">
        <v>2025</v>
      </c>
      <c r="I94" s="256" t="s">
        <v>41</v>
      </c>
      <c r="J94" s="255" t="s">
        <v>64</v>
      </c>
      <c r="K94" s="255" t="s">
        <v>65</v>
      </c>
      <c r="L94" s="255" t="s">
        <v>2026</v>
      </c>
      <c r="M94" s="255" t="s">
        <v>2027</v>
      </c>
      <c r="N94" s="256" t="s">
        <v>2028</v>
      </c>
      <c r="O94" s="258">
        <v>25</v>
      </c>
      <c r="P94" s="255" t="s">
        <v>69</v>
      </c>
      <c r="Q94" s="255" t="s">
        <v>64</v>
      </c>
      <c r="R94" s="255"/>
      <c r="S94" s="255" t="str">
        <f t="shared" si="0"/>
        <v>017-003-000054224</v>
      </c>
      <c r="T94" s="259" t="s">
        <v>2029</v>
      </c>
      <c r="U94" s="260" t="s">
        <v>2030</v>
      </c>
    </row>
    <row r="95" spans="1:21" x14ac:dyDescent="0.2">
      <c r="A95" s="223">
        <v>91</v>
      </c>
      <c r="B95" s="255">
        <v>45757</v>
      </c>
      <c r="C95" s="255">
        <v>45755</v>
      </c>
      <c r="D95" s="255" t="s">
        <v>1867</v>
      </c>
      <c r="E95" s="255" t="s">
        <v>2031</v>
      </c>
      <c r="F95" s="256" t="s">
        <v>375</v>
      </c>
      <c r="G95" s="255" t="s">
        <v>517</v>
      </c>
      <c r="H95" s="257" t="s">
        <v>2032</v>
      </c>
      <c r="I95" s="256" t="s">
        <v>41</v>
      </c>
      <c r="J95" s="255" t="s">
        <v>64</v>
      </c>
      <c r="K95" s="255" t="s">
        <v>65</v>
      </c>
      <c r="L95" s="255" t="s">
        <v>2033</v>
      </c>
      <c r="M95" s="255" t="s">
        <v>2034</v>
      </c>
      <c r="N95" s="256" t="s">
        <v>2035</v>
      </c>
      <c r="O95" s="258">
        <v>29</v>
      </c>
      <c r="P95" s="255" t="s">
        <v>69</v>
      </c>
      <c r="Q95" s="255" t="s">
        <v>64</v>
      </c>
      <c r="R95" s="255"/>
      <c r="S95" s="255" t="str">
        <f t="shared" si="0"/>
        <v>001-500-000072224</v>
      </c>
      <c r="T95" s="259" t="s">
        <v>2036</v>
      </c>
      <c r="U95" s="260" t="s">
        <v>2037</v>
      </c>
    </row>
    <row r="96" spans="1:21" x14ac:dyDescent="0.2">
      <c r="A96" s="223">
        <v>92</v>
      </c>
      <c r="B96" s="255">
        <v>45758</v>
      </c>
      <c r="C96" s="255">
        <v>45730</v>
      </c>
      <c r="D96" s="255" t="s">
        <v>75</v>
      </c>
      <c r="E96" s="255" t="s">
        <v>2038</v>
      </c>
      <c r="F96" s="256" t="s">
        <v>2039</v>
      </c>
      <c r="G96" s="255" t="s">
        <v>1215</v>
      </c>
      <c r="H96" s="257" t="s">
        <v>2040</v>
      </c>
      <c r="I96" s="256" t="s">
        <v>41</v>
      </c>
      <c r="J96" s="255" t="s">
        <v>64</v>
      </c>
      <c r="K96" s="255" t="s">
        <v>65</v>
      </c>
      <c r="L96" s="255" t="s">
        <v>1205</v>
      </c>
      <c r="M96" s="255" t="s">
        <v>2041</v>
      </c>
      <c r="N96" s="256" t="s">
        <v>2042</v>
      </c>
      <c r="O96" s="258">
        <v>29</v>
      </c>
      <c r="P96" s="255" t="s">
        <v>69</v>
      </c>
      <c r="Q96" s="255" t="s">
        <v>64</v>
      </c>
      <c r="R96" s="255"/>
      <c r="S96" s="255" t="str">
        <f t="shared" si="0"/>
        <v>001-001-000000680</v>
      </c>
      <c r="T96" s="259" t="s">
        <v>2043</v>
      </c>
      <c r="U96" s="260" t="s">
        <v>2044</v>
      </c>
    </row>
    <row r="97" spans="1:21" x14ac:dyDescent="0.2">
      <c r="A97" s="223">
        <v>93</v>
      </c>
      <c r="B97" s="255">
        <v>45762</v>
      </c>
      <c r="C97" s="255">
        <v>45756</v>
      </c>
      <c r="D97" s="255" t="s">
        <v>125</v>
      </c>
      <c r="E97" s="255" t="s">
        <v>2045</v>
      </c>
      <c r="F97" s="256" t="s">
        <v>921</v>
      </c>
      <c r="G97" s="255" t="s">
        <v>128</v>
      </c>
      <c r="H97" s="257" t="s">
        <v>2046</v>
      </c>
      <c r="I97" s="256" t="s">
        <v>41</v>
      </c>
      <c r="J97" s="255" t="s">
        <v>64</v>
      </c>
      <c r="K97" s="255" t="s">
        <v>65</v>
      </c>
      <c r="L97" s="255" t="s">
        <v>2047</v>
      </c>
      <c r="M97" s="255" t="s">
        <v>2048</v>
      </c>
      <c r="N97" s="256" t="s">
        <v>2049</v>
      </c>
      <c r="O97" s="258">
        <v>15</v>
      </c>
      <c r="P97" s="255" t="s">
        <v>69</v>
      </c>
      <c r="Q97" s="255" t="s">
        <v>64</v>
      </c>
      <c r="R97" s="255"/>
      <c r="S97" s="255" t="str">
        <f t="shared" si="0"/>
        <v>016-902-000504808</v>
      </c>
      <c r="T97" s="259" t="s">
        <v>2050</v>
      </c>
      <c r="U97" s="260" t="s">
        <v>2051</v>
      </c>
    </row>
    <row r="98" spans="1:21" x14ac:dyDescent="0.2">
      <c r="A98" s="223">
        <v>94</v>
      </c>
      <c r="B98" s="255">
        <v>45762</v>
      </c>
      <c r="C98" s="255">
        <v>45757</v>
      </c>
      <c r="D98" s="255" t="s">
        <v>1867</v>
      </c>
      <c r="E98" s="255" t="s">
        <v>2052</v>
      </c>
      <c r="F98" s="256" t="s">
        <v>817</v>
      </c>
      <c r="G98" s="255" t="s">
        <v>2053</v>
      </c>
      <c r="H98" s="257" t="s">
        <v>2054</v>
      </c>
      <c r="I98" s="256" t="s">
        <v>41</v>
      </c>
      <c r="J98" s="255" t="s">
        <v>64</v>
      </c>
      <c r="K98" s="255" t="s">
        <v>65</v>
      </c>
      <c r="L98" s="255" t="s">
        <v>2055</v>
      </c>
      <c r="M98" s="255" t="s">
        <v>2056</v>
      </c>
      <c r="N98" s="256" t="s">
        <v>2057</v>
      </c>
      <c r="O98" s="258">
        <v>25</v>
      </c>
      <c r="P98" s="255" t="s">
        <v>69</v>
      </c>
      <c r="Q98" s="255" t="s">
        <v>64</v>
      </c>
      <c r="R98" s="255"/>
      <c r="S98" s="255" t="str">
        <f t="shared" si="0"/>
        <v>001-500-000072270</v>
      </c>
      <c r="T98" s="259" t="s">
        <v>2058</v>
      </c>
      <c r="U98" s="260" t="s">
        <v>2059</v>
      </c>
    </row>
    <row r="99" spans="1:21" x14ac:dyDescent="0.2">
      <c r="A99" s="223">
        <v>95</v>
      </c>
      <c r="B99" s="255">
        <v>45763</v>
      </c>
      <c r="C99" s="255">
        <v>45724</v>
      </c>
      <c r="D99" s="255" t="s">
        <v>125</v>
      </c>
      <c r="E99" s="255" t="s">
        <v>2060</v>
      </c>
      <c r="F99" s="256" t="s">
        <v>2061</v>
      </c>
      <c r="G99" s="255" t="s">
        <v>2062</v>
      </c>
      <c r="H99" s="257" t="s">
        <v>2063</v>
      </c>
      <c r="I99" s="256" t="s">
        <v>41</v>
      </c>
      <c r="J99" s="255" t="s">
        <v>64</v>
      </c>
      <c r="K99" s="255" t="s">
        <v>65</v>
      </c>
      <c r="L99" s="255" t="s">
        <v>2064</v>
      </c>
      <c r="M99" s="255" t="s">
        <v>2065</v>
      </c>
      <c r="N99" s="256" t="s">
        <v>2066</v>
      </c>
      <c r="O99" s="258">
        <v>29</v>
      </c>
      <c r="P99" s="255" t="s">
        <v>69</v>
      </c>
      <c r="Q99" s="255" t="s">
        <v>64</v>
      </c>
      <c r="R99" s="255"/>
      <c r="S99" s="255" t="str">
        <f t="shared" si="0"/>
        <v>043-908-000061462</v>
      </c>
      <c r="T99" s="259" t="s">
        <v>2067</v>
      </c>
      <c r="U99" s="260" t="s">
        <v>2068</v>
      </c>
    </row>
    <row r="100" spans="1:21" x14ac:dyDescent="0.2">
      <c r="A100" s="223">
        <v>96</v>
      </c>
      <c r="B100" s="255">
        <v>45763</v>
      </c>
      <c r="C100" s="255">
        <v>45756</v>
      </c>
      <c r="D100" s="255" t="s">
        <v>202</v>
      </c>
      <c r="E100" s="255" t="s">
        <v>2069</v>
      </c>
      <c r="F100" s="256" t="s">
        <v>777</v>
      </c>
      <c r="G100" s="255" t="s">
        <v>519</v>
      </c>
      <c r="H100" s="257" t="s">
        <v>2070</v>
      </c>
      <c r="I100" s="256" t="s">
        <v>41</v>
      </c>
      <c r="J100" s="255" t="s">
        <v>64</v>
      </c>
      <c r="K100" s="255" t="s">
        <v>65</v>
      </c>
      <c r="L100" s="255" t="s">
        <v>2071</v>
      </c>
      <c r="M100" s="255" t="s">
        <v>720</v>
      </c>
      <c r="N100" s="256" t="s">
        <v>781</v>
      </c>
      <c r="O100" s="258">
        <v>15</v>
      </c>
      <c r="P100" s="255" t="s">
        <v>69</v>
      </c>
      <c r="Q100" s="255" t="s">
        <v>64</v>
      </c>
      <c r="R100" s="255"/>
      <c r="S100" s="255" t="str">
        <f t="shared" si="0"/>
        <v>007-007-000032994</v>
      </c>
      <c r="T100" s="259" t="s">
        <v>2072</v>
      </c>
      <c r="U100" s="260" t="s">
        <v>2073</v>
      </c>
    </row>
    <row r="101" spans="1:21" x14ac:dyDescent="0.2">
      <c r="A101" s="223">
        <v>97</v>
      </c>
      <c r="B101" s="255">
        <v>45765</v>
      </c>
      <c r="C101" s="255">
        <v>45759</v>
      </c>
      <c r="D101" s="255" t="s">
        <v>125</v>
      </c>
      <c r="E101" s="255" t="s">
        <v>2331</v>
      </c>
      <c r="F101" s="256" t="s">
        <v>854</v>
      </c>
      <c r="G101" s="255" t="s">
        <v>855</v>
      </c>
      <c r="H101" s="255" t="s">
        <v>2332</v>
      </c>
      <c r="I101" s="256" t="s">
        <v>41</v>
      </c>
      <c r="J101" s="255" t="s">
        <v>64</v>
      </c>
      <c r="K101" s="255" t="s">
        <v>65</v>
      </c>
      <c r="L101" s="255" t="s">
        <v>2333</v>
      </c>
      <c r="M101" s="255" t="s">
        <v>2334</v>
      </c>
      <c r="N101" s="257">
        <v>986597235</v>
      </c>
      <c r="O101" s="258">
        <v>15</v>
      </c>
      <c r="P101" s="255" t="s">
        <v>69</v>
      </c>
      <c r="Q101" s="255" t="s">
        <v>64</v>
      </c>
      <c r="R101" s="255"/>
      <c r="S101" s="255" t="str">
        <f>E101</f>
        <v>043-906-000049003</v>
      </c>
      <c r="T101" s="261">
        <v>1400054391</v>
      </c>
      <c r="U101" s="260" t="s">
        <v>2335</v>
      </c>
    </row>
    <row r="102" spans="1:21" x14ac:dyDescent="0.2">
      <c r="A102" s="223">
        <v>98</v>
      </c>
      <c r="B102" s="255">
        <v>45765</v>
      </c>
      <c r="C102" s="255">
        <v>45762</v>
      </c>
      <c r="D102" s="255" t="s">
        <v>125</v>
      </c>
      <c r="E102" s="255" t="s">
        <v>2336</v>
      </c>
      <c r="F102" s="256" t="s">
        <v>2337</v>
      </c>
      <c r="G102" s="255" t="s">
        <v>538</v>
      </c>
      <c r="H102" s="255" t="s">
        <v>2338</v>
      </c>
      <c r="I102" s="256" t="s">
        <v>41</v>
      </c>
      <c r="J102" s="255" t="s">
        <v>64</v>
      </c>
      <c r="K102" s="255" t="s">
        <v>65</v>
      </c>
      <c r="L102" s="255" t="s">
        <v>2339</v>
      </c>
      <c r="M102" s="255" t="s">
        <v>2340</v>
      </c>
      <c r="N102" s="257">
        <v>999766993</v>
      </c>
      <c r="O102" s="258">
        <v>15</v>
      </c>
      <c r="P102" s="255" t="s">
        <v>69</v>
      </c>
      <c r="Q102" s="255" t="s">
        <v>64</v>
      </c>
      <c r="R102" s="255"/>
      <c r="S102" s="255" t="str">
        <f t="shared" ref="S102:S128" si="1">E102</f>
        <v>043-905-000068934</v>
      </c>
      <c r="T102" s="261">
        <v>102180908</v>
      </c>
      <c r="U102" s="260" t="s">
        <v>2341</v>
      </c>
    </row>
    <row r="103" spans="1:21" x14ac:dyDescent="0.2">
      <c r="A103" s="223">
        <v>99</v>
      </c>
      <c r="B103" s="255">
        <v>45765</v>
      </c>
      <c r="C103" s="255">
        <v>45758</v>
      </c>
      <c r="D103" s="255" t="s">
        <v>125</v>
      </c>
      <c r="E103" s="255" t="s">
        <v>2342</v>
      </c>
      <c r="F103" s="256" t="s">
        <v>921</v>
      </c>
      <c r="G103" s="255" t="s">
        <v>128</v>
      </c>
      <c r="H103" s="255" t="s">
        <v>2343</v>
      </c>
      <c r="I103" s="256" t="s">
        <v>41</v>
      </c>
      <c r="J103" s="255" t="s">
        <v>64</v>
      </c>
      <c r="K103" s="255" t="s">
        <v>65</v>
      </c>
      <c r="L103" s="255" t="s">
        <v>2344</v>
      </c>
      <c r="M103" s="255" t="s">
        <v>378</v>
      </c>
      <c r="N103" s="257">
        <v>983917463</v>
      </c>
      <c r="O103" s="258">
        <v>15</v>
      </c>
      <c r="P103" s="255" t="s">
        <v>69</v>
      </c>
      <c r="Q103" s="255" t="s">
        <v>64</v>
      </c>
      <c r="R103" s="255"/>
      <c r="S103" s="255" t="str">
        <f t="shared" si="1"/>
        <v>043-903-000067081</v>
      </c>
      <c r="T103" s="261">
        <v>103873634</v>
      </c>
      <c r="U103" s="260" t="s">
        <v>2345</v>
      </c>
    </row>
    <row r="104" spans="1:21" x14ac:dyDescent="0.2">
      <c r="A104" s="223">
        <v>100</v>
      </c>
      <c r="B104" s="255">
        <v>45765</v>
      </c>
      <c r="C104" s="255">
        <v>45763</v>
      </c>
      <c r="D104" s="255" t="s">
        <v>100</v>
      </c>
      <c r="E104" s="255" t="s">
        <v>2346</v>
      </c>
      <c r="F104" s="256" t="s">
        <v>921</v>
      </c>
      <c r="G104" s="255" t="s">
        <v>128</v>
      </c>
      <c r="H104" s="255" t="s">
        <v>2347</v>
      </c>
      <c r="I104" s="256" t="s">
        <v>41</v>
      </c>
      <c r="J104" s="255" t="s">
        <v>64</v>
      </c>
      <c r="K104" s="255" t="s">
        <v>65</v>
      </c>
      <c r="L104" s="255" t="s">
        <v>2348</v>
      </c>
      <c r="M104" s="255" t="s">
        <v>2349</v>
      </c>
      <c r="N104" s="257">
        <v>9959229447</v>
      </c>
      <c r="O104" s="258">
        <v>15</v>
      </c>
      <c r="P104" s="255" t="s">
        <v>69</v>
      </c>
      <c r="Q104" s="255" t="s">
        <v>64</v>
      </c>
      <c r="R104" s="255"/>
      <c r="S104" s="255" t="str">
        <f t="shared" si="1"/>
        <v>001-500-000072461</v>
      </c>
      <c r="T104" s="261">
        <v>1059776658</v>
      </c>
      <c r="U104" s="260" t="s">
        <v>2350</v>
      </c>
    </row>
    <row r="105" spans="1:21" x14ac:dyDescent="0.2">
      <c r="A105" s="223">
        <v>101</v>
      </c>
      <c r="B105" s="255" t="s">
        <v>2351</v>
      </c>
      <c r="C105" s="255">
        <v>45749</v>
      </c>
      <c r="D105" s="255" t="s">
        <v>2352</v>
      </c>
      <c r="E105" s="255" t="s">
        <v>2353</v>
      </c>
      <c r="F105" s="256" t="s">
        <v>127</v>
      </c>
      <c r="G105" s="255" t="s">
        <v>128</v>
      </c>
      <c r="H105" s="255" t="s">
        <v>2354</v>
      </c>
      <c r="I105" s="256" t="s">
        <v>41</v>
      </c>
      <c r="J105" s="255" t="s">
        <v>64</v>
      </c>
      <c r="K105" s="255" t="s">
        <v>65</v>
      </c>
      <c r="L105" s="255" t="s">
        <v>2355</v>
      </c>
      <c r="M105" s="255" t="s">
        <v>533</v>
      </c>
      <c r="N105" s="257">
        <v>994894523</v>
      </c>
      <c r="O105" s="258">
        <v>15</v>
      </c>
      <c r="P105" s="255" t="s">
        <v>69</v>
      </c>
      <c r="Q105" s="255" t="s">
        <v>64</v>
      </c>
      <c r="R105" s="255"/>
      <c r="S105" s="255" t="str">
        <f t="shared" si="1"/>
        <v>002-201-000007579</v>
      </c>
      <c r="T105" s="261">
        <v>101206878</v>
      </c>
      <c r="U105" s="260" t="s">
        <v>2356</v>
      </c>
    </row>
    <row r="106" spans="1:21" x14ac:dyDescent="0.2">
      <c r="A106" s="223">
        <v>102</v>
      </c>
      <c r="B106" s="255">
        <v>45769</v>
      </c>
      <c r="C106" s="255">
        <v>45612</v>
      </c>
      <c r="D106" s="255" t="s">
        <v>100</v>
      </c>
      <c r="E106" s="255" t="s">
        <v>2357</v>
      </c>
      <c r="F106" s="256" t="s">
        <v>375</v>
      </c>
      <c r="G106" s="255" t="s">
        <v>517</v>
      </c>
      <c r="H106" s="255" t="s">
        <v>2358</v>
      </c>
      <c r="I106" s="256" t="s">
        <v>41</v>
      </c>
      <c r="J106" s="255" t="s">
        <v>64</v>
      </c>
      <c r="K106" s="255" t="s">
        <v>65</v>
      </c>
      <c r="L106" s="255" t="s">
        <v>2359</v>
      </c>
      <c r="M106" s="255" t="s">
        <v>1110</v>
      </c>
      <c r="N106" s="257">
        <v>992645579</v>
      </c>
      <c r="O106" s="258">
        <v>29</v>
      </c>
      <c r="P106" s="255" t="s">
        <v>69</v>
      </c>
      <c r="Q106" s="255" t="s">
        <v>64</v>
      </c>
      <c r="R106" s="255"/>
      <c r="S106" s="255" t="str">
        <f t="shared" si="1"/>
        <v>001-500-000067912</v>
      </c>
      <c r="T106" s="261">
        <v>106583487</v>
      </c>
      <c r="U106" s="260" t="s">
        <v>2360</v>
      </c>
    </row>
    <row r="107" spans="1:21" x14ac:dyDescent="0.2">
      <c r="A107" s="223">
        <v>103</v>
      </c>
      <c r="B107" s="255">
        <v>45770</v>
      </c>
      <c r="C107" s="255">
        <v>45758</v>
      </c>
      <c r="D107" s="255" t="s">
        <v>125</v>
      </c>
      <c r="E107" s="255" t="s">
        <v>2361</v>
      </c>
      <c r="F107" s="256" t="s">
        <v>793</v>
      </c>
      <c r="G107" s="255" t="s">
        <v>334</v>
      </c>
      <c r="H107" s="255" t="s">
        <v>2362</v>
      </c>
      <c r="I107" s="256" t="s">
        <v>41</v>
      </c>
      <c r="J107" s="255" t="s">
        <v>64</v>
      </c>
      <c r="K107" s="255" t="s">
        <v>65</v>
      </c>
      <c r="L107" s="255" t="s">
        <v>2363</v>
      </c>
      <c r="M107" s="255" t="s">
        <v>2364</v>
      </c>
      <c r="N107" s="257">
        <v>990728688</v>
      </c>
      <c r="O107" s="258">
        <v>29</v>
      </c>
      <c r="P107" s="255" t="s">
        <v>69</v>
      </c>
      <c r="Q107" s="255" t="s">
        <v>64</v>
      </c>
      <c r="R107" s="255"/>
      <c r="S107" s="255" t="str">
        <f t="shared" si="1"/>
        <v>043-902-000046015</v>
      </c>
      <c r="T107" s="261">
        <v>102205275</v>
      </c>
      <c r="U107" s="260" t="s">
        <v>2365</v>
      </c>
    </row>
    <row r="108" spans="1:21" x14ac:dyDescent="0.2">
      <c r="A108" s="223">
        <v>104</v>
      </c>
      <c r="B108" s="255">
        <v>45770</v>
      </c>
      <c r="C108" s="255">
        <v>45724</v>
      </c>
      <c r="D108" s="255" t="s">
        <v>202</v>
      </c>
      <c r="E108" s="255" t="s">
        <v>2366</v>
      </c>
      <c r="F108" s="256" t="s">
        <v>2024</v>
      </c>
      <c r="G108" s="255" t="s">
        <v>91</v>
      </c>
      <c r="H108" s="255" t="s">
        <v>2367</v>
      </c>
      <c r="I108" s="256" t="s">
        <v>41</v>
      </c>
      <c r="J108" s="255" t="s">
        <v>64</v>
      </c>
      <c r="K108" s="255" t="s">
        <v>65</v>
      </c>
      <c r="L108" s="255" t="s">
        <v>2026</v>
      </c>
      <c r="M108" s="255" t="s">
        <v>2368</v>
      </c>
      <c r="N108" s="257">
        <v>995141013</v>
      </c>
      <c r="O108" s="258">
        <v>20</v>
      </c>
      <c r="P108" s="255" t="s">
        <v>69</v>
      </c>
      <c r="Q108" s="255" t="s">
        <v>64</v>
      </c>
      <c r="R108" s="255"/>
      <c r="S108" s="255" t="str">
        <f t="shared" si="1"/>
        <v>017-003-000054229</v>
      </c>
      <c r="T108" s="261">
        <v>101950863</v>
      </c>
      <c r="U108" s="260" t="s">
        <v>2030</v>
      </c>
    </row>
    <row r="109" spans="1:21" x14ac:dyDescent="0.2">
      <c r="A109" s="223">
        <v>105</v>
      </c>
      <c r="B109" s="255">
        <v>45771</v>
      </c>
      <c r="C109" s="255">
        <v>45644</v>
      </c>
      <c r="D109" s="255" t="s">
        <v>100</v>
      </c>
      <c r="E109" s="255" t="s">
        <v>2369</v>
      </c>
      <c r="F109" s="256" t="s">
        <v>2370</v>
      </c>
      <c r="G109" s="255" t="s">
        <v>2371</v>
      </c>
      <c r="H109" s="255" t="s">
        <v>2372</v>
      </c>
      <c r="I109" s="256" t="s">
        <v>41</v>
      </c>
      <c r="J109" s="255" t="s">
        <v>64</v>
      </c>
      <c r="K109" s="255" t="s">
        <v>65</v>
      </c>
      <c r="L109" s="255" t="s">
        <v>2373</v>
      </c>
      <c r="M109" s="255" t="s">
        <v>2125</v>
      </c>
      <c r="N109" s="257">
        <v>999474536</v>
      </c>
      <c r="O109" s="258">
        <v>29</v>
      </c>
      <c r="P109" s="255" t="s">
        <v>69</v>
      </c>
      <c r="Q109" s="255" t="s">
        <v>64</v>
      </c>
      <c r="R109" s="255"/>
      <c r="S109" s="255" t="str">
        <f t="shared" si="1"/>
        <v>001-500-000009213</v>
      </c>
      <c r="T109" s="261">
        <v>104591052</v>
      </c>
      <c r="U109" s="260" t="s">
        <v>2374</v>
      </c>
    </row>
    <row r="110" spans="1:21" x14ac:dyDescent="0.2">
      <c r="A110" s="223">
        <v>106</v>
      </c>
      <c r="B110" s="255">
        <v>45771</v>
      </c>
      <c r="C110" s="255">
        <v>45761</v>
      </c>
      <c r="D110" s="255" t="s">
        <v>125</v>
      </c>
      <c r="E110" s="255" t="s">
        <v>2375</v>
      </c>
      <c r="F110" s="256" t="s">
        <v>213</v>
      </c>
      <c r="G110" s="255" t="s">
        <v>214</v>
      </c>
      <c r="H110" s="255" t="s">
        <v>2376</v>
      </c>
      <c r="I110" s="256" t="s">
        <v>41</v>
      </c>
      <c r="J110" s="255" t="s">
        <v>64</v>
      </c>
      <c r="K110" s="255" t="s">
        <v>65</v>
      </c>
      <c r="L110" s="255" t="s">
        <v>2377</v>
      </c>
      <c r="M110" s="255" t="s">
        <v>2378</v>
      </c>
      <c r="N110" s="257">
        <v>992294996</v>
      </c>
      <c r="O110" s="258">
        <v>15</v>
      </c>
      <c r="P110" s="255" t="s">
        <v>69</v>
      </c>
      <c r="Q110" s="255" t="s">
        <v>64</v>
      </c>
      <c r="R110" s="255"/>
      <c r="S110" s="255" t="str">
        <f t="shared" si="1"/>
        <v>043-905-000068842</v>
      </c>
      <c r="T110" s="261">
        <v>101798569</v>
      </c>
      <c r="U110" s="260" t="s">
        <v>2379</v>
      </c>
    </row>
    <row r="111" spans="1:21" x14ac:dyDescent="0.2">
      <c r="A111" s="223">
        <v>107</v>
      </c>
      <c r="B111" s="255">
        <v>45773</v>
      </c>
      <c r="C111" s="255">
        <v>45772</v>
      </c>
      <c r="D111" s="255" t="s">
        <v>125</v>
      </c>
      <c r="E111" s="255" t="s">
        <v>2380</v>
      </c>
      <c r="F111" s="256" t="s">
        <v>793</v>
      </c>
      <c r="G111" s="255" t="s">
        <v>334</v>
      </c>
      <c r="H111" s="255" t="s">
        <v>2381</v>
      </c>
      <c r="I111" s="256" t="s">
        <v>41</v>
      </c>
      <c r="J111" s="255" t="s">
        <v>64</v>
      </c>
      <c r="K111" s="255" t="s">
        <v>65</v>
      </c>
      <c r="L111" s="255" t="s">
        <v>2382</v>
      </c>
      <c r="M111" s="255" t="s">
        <v>2383</v>
      </c>
      <c r="N111" s="257">
        <v>997352515</v>
      </c>
      <c r="O111" s="258">
        <v>29</v>
      </c>
      <c r="P111" s="255" t="s">
        <v>69</v>
      </c>
      <c r="Q111" s="255" t="s">
        <v>64</v>
      </c>
      <c r="R111" s="255"/>
      <c r="S111" s="255" t="str">
        <f t="shared" si="1"/>
        <v>043-906-000041809</v>
      </c>
      <c r="T111" s="261">
        <v>103590139</v>
      </c>
      <c r="U111" s="260" t="s">
        <v>2384</v>
      </c>
    </row>
    <row r="112" spans="1:21" x14ac:dyDescent="0.2">
      <c r="A112" s="223">
        <v>108</v>
      </c>
      <c r="B112" s="255">
        <v>45775</v>
      </c>
      <c r="C112" s="255">
        <v>45764</v>
      </c>
      <c r="D112" s="255" t="s">
        <v>125</v>
      </c>
      <c r="E112" s="255" t="s">
        <v>2385</v>
      </c>
      <c r="F112" s="256" t="s">
        <v>213</v>
      </c>
      <c r="G112" s="255" t="s">
        <v>2386</v>
      </c>
      <c r="H112" s="255" t="s">
        <v>2387</v>
      </c>
      <c r="I112" s="256" t="s">
        <v>41</v>
      </c>
      <c r="J112" s="255" t="s">
        <v>64</v>
      </c>
      <c r="K112" s="255" t="s">
        <v>65</v>
      </c>
      <c r="L112" s="255" t="s">
        <v>2388</v>
      </c>
      <c r="M112" s="255" t="s">
        <v>720</v>
      </c>
      <c r="N112" s="257">
        <v>985847251</v>
      </c>
      <c r="O112" s="258">
        <v>15</v>
      </c>
      <c r="P112" s="255" t="s">
        <v>69</v>
      </c>
      <c r="Q112" s="255" t="s">
        <v>64</v>
      </c>
      <c r="R112" s="255"/>
      <c r="S112" s="255" t="str">
        <f t="shared" si="1"/>
        <v>016-902-000506147</v>
      </c>
      <c r="T112" s="261">
        <v>1204486803</v>
      </c>
      <c r="U112" s="260" t="s">
        <v>2389</v>
      </c>
    </row>
    <row r="113" spans="1:21" x14ac:dyDescent="0.2">
      <c r="A113" s="223">
        <v>109</v>
      </c>
      <c r="B113" s="255">
        <v>45775</v>
      </c>
      <c r="C113" s="255">
        <v>45759</v>
      </c>
      <c r="D113" s="255" t="s">
        <v>125</v>
      </c>
      <c r="E113" s="255" t="s">
        <v>2390</v>
      </c>
      <c r="F113" s="256" t="s">
        <v>213</v>
      </c>
      <c r="G113" s="255" t="s">
        <v>2386</v>
      </c>
      <c r="H113" s="255" t="s">
        <v>2391</v>
      </c>
      <c r="I113" s="256" t="s">
        <v>41</v>
      </c>
      <c r="J113" s="255" t="s">
        <v>64</v>
      </c>
      <c r="K113" s="255" t="s">
        <v>65</v>
      </c>
      <c r="L113" s="255" t="s">
        <v>2392</v>
      </c>
      <c r="M113" s="255" t="s">
        <v>2393</v>
      </c>
      <c r="N113" s="257">
        <v>984833143</v>
      </c>
      <c r="O113" s="258">
        <v>15</v>
      </c>
      <c r="P113" s="255" t="s">
        <v>69</v>
      </c>
      <c r="Q113" s="255" t="s">
        <v>64</v>
      </c>
      <c r="R113" s="255"/>
      <c r="S113" s="255" t="str">
        <f t="shared" si="1"/>
        <v>016-907-000247915</v>
      </c>
      <c r="T113" s="261">
        <v>100100775</v>
      </c>
      <c r="U113" s="260" t="s">
        <v>2394</v>
      </c>
    </row>
    <row r="114" spans="1:21" x14ac:dyDescent="0.2">
      <c r="A114" s="223">
        <v>110</v>
      </c>
      <c r="B114" s="255">
        <v>45775</v>
      </c>
      <c r="C114" s="255">
        <v>45762</v>
      </c>
      <c r="D114" s="255" t="s">
        <v>2395</v>
      </c>
      <c r="E114" s="255" t="s">
        <v>2396</v>
      </c>
      <c r="F114" s="256" t="s">
        <v>854</v>
      </c>
      <c r="G114" s="255" t="s">
        <v>2397</v>
      </c>
      <c r="H114" s="255" t="s">
        <v>2398</v>
      </c>
      <c r="I114" s="256" t="s">
        <v>41</v>
      </c>
      <c r="J114" s="255" t="s">
        <v>64</v>
      </c>
      <c r="K114" s="255" t="s">
        <v>65</v>
      </c>
      <c r="L114" s="255" t="s">
        <v>2399</v>
      </c>
      <c r="M114" s="255" t="s">
        <v>2400</v>
      </c>
      <c r="N114" s="257">
        <v>904021371</v>
      </c>
      <c r="O114" s="258">
        <v>15</v>
      </c>
      <c r="P114" s="255" t="s">
        <v>69</v>
      </c>
      <c r="Q114" s="255" t="s">
        <v>64</v>
      </c>
      <c r="R114" s="255"/>
      <c r="S114" s="255" t="str">
        <f t="shared" si="1"/>
        <v>001-001-000001286</v>
      </c>
      <c r="T114" s="261">
        <v>190499332</v>
      </c>
      <c r="U114" s="260" t="s">
        <v>1528</v>
      </c>
    </row>
    <row r="115" spans="1:21" x14ac:dyDescent="0.2">
      <c r="A115" s="223">
        <v>111</v>
      </c>
      <c r="B115" s="255">
        <v>45776</v>
      </c>
      <c r="C115" s="255">
        <v>45773</v>
      </c>
      <c r="D115" s="255" t="s">
        <v>83</v>
      </c>
      <c r="E115" s="255" t="s">
        <v>2401</v>
      </c>
      <c r="F115" s="256" t="s">
        <v>854</v>
      </c>
      <c r="G115" s="255" t="s">
        <v>2397</v>
      </c>
      <c r="H115" s="255" t="s">
        <v>2402</v>
      </c>
      <c r="I115" s="256" t="s">
        <v>41</v>
      </c>
      <c r="J115" s="255" t="s">
        <v>64</v>
      </c>
      <c r="K115" s="255" t="s">
        <v>65</v>
      </c>
      <c r="L115" s="255" t="s">
        <v>2403</v>
      </c>
      <c r="M115" s="255" t="s">
        <v>2404</v>
      </c>
      <c r="N115" s="257">
        <v>9995833841</v>
      </c>
      <c r="O115" s="258">
        <v>15</v>
      </c>
      <c r="P115" s="255" t="s">
        <v>69</v>
      </c>
      <c r="Q115" s="255" t="s">
        <v>64</v>
      </c>
      <c r="R115" s="255"/>
      <c r="S115" s="255" t="str">
        <f t="shared" si="1"/>
        <v>043-905-000070672</v>
      </c>
      <c r="T115" s="261">
        <v>10286144</v>
      </c>
      <c r="U115" s="260" t="s">
        <v>2405</v>
      </c>
    </row>
    <row r="116" spans="1:21" x14ac:dyDescent="0.2">
      <c r="A116" s="223">
        <v>112</v>
      </c>
      <c r="B116" s="255">
        <v>45778</v>
      </c>
      <c r="C116" s="255">
        <v>45542</v>
      </c>
      <c r="D116" s="255" t="s">
        <v>100</v>
      </c>
      <c r="E116" s="255" t="s">
        <v>2406</v>
      </c>
      <c r="F116" s="256" t="s">
        <v>375</v>
      </c>
      <c r="G116" s="255" t="s">
        <v>517</v>
      </c>
      <c r="H116" s="255" t="s">
        <v>2407</v>
      </c>
      <c r="I116" s="256" t="s">
        <v>41</v>
      </c>
      <c r="J116" s="255" t="s">
        <v>64</v>
      </c>
      <c r="K116" s="255" t="s">
        <v>65</v>
      </c>
      <c r="L116" s="255" t="s">
        <v>2408</v>
      </c>
      <c r="M116" s="255" t="s">
        <v>2409</v>
      </c>
      <c r="N116" s="257">
        <v>995554725</v>
      </c>
      <c r="O116" s="258">
        <v>29</v>
      </c>
      <c r="P116" s="255" t="s">
        <v>69</v>
      </c>
      <c r="Q116" s="255" t="s">
        <v>64</v>
      </c>
      <c r="R116" s="255"/>
      <c r="S116" s="255" t="str">
        <f t="shared" si="1"/>
        <v>001-500-000066218</v>
      </c>
      <c r="T116" s="261">
        <v>106419948</v>
      </c>
      <c r="U116" s="260" t="s">
        <v>2410</v>
      </c>
    </row>
    <row r="117" spans="1:21" x14ac:dyDescent="0.2">
      <c r="A117" s="223">
        <v>113</v>
      </c>
      <c r="B117" s="255">
        <v>45778</v>
      </c>
      <c r="C117" s="255">
        <v>45915</v>
      </c>
      <c r="D117" s="255" t="s">
        <v>187</v>
      </c>
      <c r="E117" s="255" t="s">
        <v>2411</v>
      </c>
      <c r="F117" s="256" t="s">
        <v>136</v>
      </c>
      <c r="G117" s="255" t="s">
        <v>137</v>
      </c>
      <c r="H117" s="255" t="s">
        <v>2412</v>
      </c>
      <c r="I117" s="256" t="s">
        <v>41</v>
      </c>
      <c r="J117" s="255" t="s">
        <v>64</v>
      </c>
      <c r="K117" s="255" t="s">
        <v>65</v>
      </c>
      <c r="L117" s="255" t="s">
        <v>2413</v>
      </c>
      <c r="M117" s="255" t="s">
        <v>2414</v>
      </c>
      <c r="N117" s="257">
        <v>995576385</v>
      </c>
      <c r="O117" s="258">
        <v>25</v>
      </c>
      <c r="P117" s="255" t="s">
        <v>69</v>
      </c>
      <c r="Q117" s="255" t="s">
        <v>64</v>
      </c>
      <c r="R117" s="255"/>
      <c r="S117" s="255" t="str">
        <f t="shared" si="1"/>
        <v>040-103-000012968</v>
      </c>
      <c r="T117" s="261">
        <v>104808449</v>
      </c>
      <c r="U117" s="260" t="s">
        <v>2415</v>
      </c>
    </row>
    <row r="118" spans="1:21" x14ac:dyDescent="0.2">
      <c r="A118" s="223">
        <v>114</v>
      </c>
      <c r="B118" s="255">
        <v>45779</v>
      </c>
      <c r="C118" s="255">
        <v>45778</v>
      </c>
      <c r="D118" s="255" t="s">
        <v>100</v>
      </c>
      <c r="E118" s="255" t="s">
        <v>2416</v>
      </c>
      <c r="F118" s="256" t="s">
        <v>2024</v>
      </c>
      <c r="G118" s="255" t="s">
        <v>91</v>
      </c>
      <c r="H118" s="255" t="s">
        <v>2417</v>
      </c>
      <c r="I118" s="256" t="s">
        <v>41</v>
      </c>
      <c r="J118" s="255" t="s">
        <v>64</v>
      </c>
      <c r="K118" s="255" t="s">
        <v>65</v>
      </c>
      <c r="L118" s="255" t="s">
        <v>2418</v>
      </c>
      <c r="M118" s="255" t="s">
        <v>2419</v>
      </c>
      <c r="N118" s="257">
        <v>986124142</v>
      </c>
      <c r="O118" s="258">
        <v>25</v>
      </c>
      <c r="P118" s="255" t="s">
        <v>69</v>
      </c>
      <c r="Q118" s="255" t="s">
        <v>64</v>
      </c>
      <c r="R118" s="255"/>
      <c r="S118" s="255" t="str">
        <f t="shared" si="1"/>
        <v>001-500-000072452</v>
      </c>
      <c r="T118" s="261">
        <v>102680428</v>
      </c>
      <c r="U118" s="260" t="s">
        <v>2420</v>
      </c>
    </row>
    <row r="119" spans="1:21" x14ac:dyDescent="0.2">
      <c r="A119" s="223">
        <v>115</v>
      </c>
      <c r="B119" s="255">
        <v>45783</v>
      </c>
      <c r="C119" s="255">
        <v>45763</v>
      </c>
      <c r="D119" s="255" t="s">
        <v>100</v>
      </c>
      <c r="E119" s="255" t="s">
        <v>2421</v>
      </c>
      <c r="F119" s="256" t="s">
        <v>793</v>
      </c>
      <c r="G119" s="255" t="s">
        <v>334</v>
      </c>
      <c r="H119" s="255" t="s">
        <v>2422</v>
      </c>
      <c r="I119" s="256" t="s">
        <v>41</v>
      </c>
      <c r="J119" s="255" t="s">
        <v>64</v>
      </c>
      <c r="K119" s="255" t="s">
        <v>65</v>
      </c>
      <c r="L119" s="255" t="s">
        <v>2423</v>
      </c>
      <c r="M119" s="255" t="s">
        <v>2424</v>
      </c>
      <c r="N119" s="257">
        <v>992574350</v>
      </c>
      <c r="O119" s="258">
        <v>29</v>
      </c>
      <c r="P119" s="255" t="s">
        <v>69</v>
      </c>
      <c r="Q119" s="255" t="s">
        <v>64</v>
      </c>
      <c r="R119" s="255"/>
      <c r="S119" s="255" t="str">
        <f t="shared" si="1"/>
        <v>001-500-000072449</v>
      </c>
      <c r="T119" s="261">
        <v>101162592</v>
      </c>
      <c r="U119" s="260" t="s">
        <v>2425</v>
      </c>
    </row>
    <row r="120" spans="1:21" x14ac:dyDescent="0.2">
      <c r="A120" s="223">
        <v>116</v>
      </c>
      <c r="B120" s="255">
        <v>45783</v>
      </c>
      <c r="C120" s="255">
        <v>45778</v>
      </c>
      <c r="D120" s="255" t="s">
        <v>125</v>
      </c>
      <c r="E120" s="255" t="s">
        <v>2426</v>
      </c>
      <c r="F120" s="256" t="s">
        <v>2427</v>
      </c>
      <c r="G120" s="255" t="s">
        <v>855</v>
      </c>
      <c r="H120" s="255" t="s">
        <v>2428</v>
      </c>
      <c r="I120" s="256" t="s">
        <v>41</v>
      </c>
      <c r="J120" s="255" t="s">
        <v>64</v>
      </c>
      <c r="K120" s="255" t="s">
        <v>65</v>
      </c>
      <c r="L120" s="255" t="s">
        <v>2429</v>
      </c>
      <c r="M120" s="255" t="s">
        <v>2430</v>
      </c>
      <c r="N120" s="257">
        <v>969051073</v>
      </c>
      <c r="O120" s="258">
        <v>15</v>
      </c>
      <c r="P120" s="255" t="s">
        <v>69</v>
      </c>
      <c r="Q120" s="255" t="s">
        <v>64</v>
      </c>
      <c r="R120" s="255"/>
      <c r="S120" s="255" t="str">
        <f t="shared" si="1"/>
        <v>016-907-000251351</v>
      </c>
      <c r="T120" s="261">
        <v>104964283</v>
      </c>
      <c r="U120" s="260" t="s">
        <v>2431</v>
      </c>
    </row>
    <row r="121" spans="1:21" x14ac:dyDescent="0.2">
      <c r="A121" s="223">
        <v>117</v>
      </c>
      <c r="B121" s="255">
        <v>45784</v>
      </c>
      <c r="C121" s="255">
        <v>45770</v>
      </c>
      <c r="D121" s="255" t="s">
        <v>125</v>
      </c>
      <c r="E121" s="255" t="s">
        <v>2432</v>
      </c>
      <c r="F121" s="256" t="s">
        <v>213</v>
      </c>
      <c r="G121" s="255" t="s">
        <v>214</v>
      </c>
      <c r="H121" s="255" t="s">
        <v>2433</v>
      </c>
      <c r="I121" s="256" t="s">
        <v>41</v>
      </c>
      <c r="J121" s="255" t="s">
        <v>64</v>
      </c>
      <c r="K121" s="255" t="s">
        <v>65</v>
      </c>
      <c r="L121" s="255" t="s">
        <v>2434</v>
      </c>
      <c r="M121" s="255" t="s">
        <v>2435</v>
      </c>
      <c r="N121" s="257">
        <v>981451483</v>
      </c>
      <c r="O121" s="258">
        <v>15</v>
      </c>
      <c r="P121" s="255" t="s">
        <v>69</v>
      </c>
      <c r="Q121" s="255" t="s">
        <v>64</v>
      </c>
      <c r="R121" s="255"/>
      <c r="S121" s="255" t="str">
        <f t="shared" si="1"/>
        <v>016-907-000249571</v>
      </c>
      <c r="T121" s="261">
        <v>105956502</v>
      </c>
      <c r="U121" s="260" t="s">
        <v>2436</v>
      </c>
    </row>
    <row r="122" spans="1:21" x14ac:dyDescent="0.2">
      <c r="A122" s="223">
        <v>118</v>
      </c>
      <c r="B122" s="255">
        <v>45784</v>
      </c>
      <c r="C122" s="255">
        <v>45777</v>
      </c>
      <c r="D122" s="255" t="s">
        <v>125</v>
      </c>
      <c r="E122" s="255" t="s">
        <v>2437</v>
      </c>
      <c r="F122" s="256" t="s">
        <v>854</v>
      </c>
      <c r="G122" s="255" t="s">
        <v>855</v>
      </c>
      <c r="H122" s="255" t="s">
        <v>2438</v>
      </c>
      <c r="I122" s="256" t="s">
        <v>41</v>
      </c>
      <c r="J122" s="255" t="s">
        <v>64</v>
      </c>
      <c r="K122" s="255" t="s">
        <v>65</v>
      </c>
      <c r="L122" s="255" t="s">
        <v>2439</v>
      </c>
      <c r="M122" s="255" t="s">
        <v>2440</v>
      </c>
      <c r="N122" s="257">
        <v>984973095</v>
      </c>
      <c r="O122" s="258">
        <v>15</v>
      </c>
      <c r="P122" s="255" t="s">
        <v>69</v>
      </c>
      <c r="Q122" s="255" t="s">
        <v>64</v>
      </c>
      <c r="R122" s="255"/>
      <c r="S122" s="255" t="str">
        <f t="shared" si="1"/>
        <v>043-903-000070453</v>
      </c>
      <c r="T122" s="261">
        <v>10248888</v>
      </c>
      <c r="U122" s="260" t="s">
        <v>2441</v>
      </c>
    </row>
    <row r="123" spans="1:21" x14ac:dyDescent="0.2">
      <c r="A123" s="223">
        <v>119</v>
      </c>
      <c r="B123" s="255">
        <v>45789</v>
      </c>
      <c r="C123" s="255">
        <v>45780</v>
      </c>
      <c r="D123" s="255" t="s">
        <v>125</v>
      </c>
      <c r="E123" s="255" t="s">
        <v>2442</v>
      </c>
      <c r="F123" s="256" t="s">
        <v>2443</v>
      </c>
      <c r="G123" s="255" t="s">
        <v>2444</v>
      </c>
      <c r="H123" s="255" t="s">
        <v>2445</v>
      </c>
      <c r="I123" s="256" t="s">
        <v>41</v>
      </c>
      <c r="J123" s="255" t="s">
        <v>64</v>
      </c>
      <c r="K123" s="255" t="s">
        <v>65</v>
      </c>
      <c r="L123" s="255" t="s">
        <v>2446</v>
      </c>
      <c r="M123" s="255" t="s">
        <v>2447</v>
      </c>
      <c r="N123" s="257">
        <v>987948334</v>
      </c>
      <c r="O123" s="258">
        <v>36</v>
      </c>
      <c r="P123" s="255" t="s">
        <v>69</v>
      </c>
      <c r="Q123" s="255" t="s">
        <v>64</v>
      </c>
      <c r="R123" s="255"/>
      <c r="S123" s="255" t="str">
        <f t="shared" si="1"/>
        <v>043-902-000048777</v>
      </c>
      <c r="T123" s="261">
        <v>602764581</v>
      </c>
      <c r="U123" s="260" t="s">
        <v>2448</v>
      </c>
    </row>
    <row r="124" spans="1:21" x14ac:dyDescent="0.2">
      <c r="A124" s="223">
        <v>120</v>
      </c>
      <c r="B124" s="255">
        <v>45790</v>
      </c>
      <c r="C124" s="255">
        <v>45684</v>
      </c>
      <c r="D124" s="255" t="s">
        <v>733</v>
      </c>
      <c r="E124" s="255" t="s">
        <v>2449</v>
      </c>
      <c r="F124" s="256" t="s">
        <v>881</v>
      </c>
      <c r="G124" s="255" t="s">
        <v>1422</v>
      </c>
      <c r="H124" s="255" t="s">
        <v>2450</v>
      </c>
      <c r="I124" s="256" t="s">
        <v>41</v>
      </c>
      <c r="J124" s="255" t="s">
        <v>64</v>
      </c>
      <c r="K124" s="255" t="s">
        <v>65</v>
      </c>
      <c r="L124" s="255" t="s">
        <v>2451</v>
      </c>
      <c r="M124" s="255" t="s">
        <v>2452</v>
      </c>
      <c r="N124" s="257">
        <v>995803623</v>
      </c>
      <c r="O124" s="258">
        <v>29</v>
      </c>
      <c r="P124" s="255" t="s">
        <v>69</v>
      </c>
      <c r="Q124" s="255" t="s">
        <v>64</v>
      </c>
      <c r="R124" s="255"/>
      <c r="S124" s="255" t="str">
        <f t="shared" si="1"/>
        <v>002-201-00004480</v>
      </c>
      <c r="T124" s="261">
        <v>104152160</v>
      </c>
      <c r="U124" s="260" t="s">
        <v>2453</v>
      </c>
    </row>
    <row r="125" spans="1:21" x14ac:dyDescent="0.2">
      <c r="A125" s="223">
        <v>121</v>
      </c>
      <c r="B125" s="255">
        <v>45790</v>
      </c>
      <c r="C125" s="255">
        <v>45785</v>
      </c>
      <c r="D125" s="255" t="s">
        <v>100</v>
      </c>
      <c r="E125" s="255" t="s">
        <v>2454</v>
      </c>
      <c r="F125" s="256" t="s">
        <v>921</v>
      </c>
      <c r="G125" s="255" t="s">
        <v>922</v>
      </c>
      <c r="H125" s="255" t="s">
        <v>2455</v>
      </c>
      <c r="I125" s="256" t="s">
        <v>41</v>
      </c>
      <c r="J125" s="255" t="s">
        <v>64</v>
      </c>
      <c r="K125" s="255" t="s">
        <v>65</v>
      </c>
      <c r="L125" s="255" t="s">
        <v>2456</v>
      </c>
      <c r="M125" s="255" t="s">
        <v>2457</v>
      </c>
      <c r="N125" s="257">
        <v>996981509</v>
      </c>
      <c r="O125" s="258">
        <v>15</v>
      </c>
      <c r="P125" s="255" t="s">
        <v>69</v>
      </c>
      <c r="Q125" s="255" t="s">
        <v>64</v>
      </c>
      <c r="R125" s="255"/>
      <c r="S125" s="255" t="str">
        <f t="shared" si="1"/>
        <v>001-500-000078171</v>
      </c>
      <c r="T125" s="261">
        <v>104064837</v>
      </c>
      <c r="U125" s="260" t="s">
        <v>2458</v>
      </c>
    </row>
    <row r="126" spans="1:21" x14ac:dyDescent="0.2">
      <c r="A126" s="223">
        <v>122</v>
      </c>
      <c r="B126" s="255">
        <v>45790</v>
      </c>
      <c r="C126" s="255">
        <v>45506</v>
      </c>
      <c r="D126" s="255" t="s">
        <v>100</v>
      </c>
      <c r="E126" s="255" t="s">
        <v>2459</v>
      </c>
      <c r="F126" s="256" t="s">
        <v>306</v>
      </c>
      <c r="G126" s="255" t="s">
        <v>2460</v>
      </c>
      <c r="H126" s="255" t="s">
        <v>2461</v>
      </c>
      <c r="I126" s="256" t="s">
        <v>41</v>
      </c>
      <c r="J126" s="255" t="s">
        <v>64</v>
      </c>
      <c r="K126" s="255" t="s">
        <v>65</v>
      </c>
      <c r="L126" s="255" t="s">
        <v>2462</v>
      </c>
      <c r="M126" s="255" t="s">
        <v>183</v>
      </c>
      <c r="N126" s="257">
        <v>995290004</v>
      </c>
      <c r="O126" s="258">
        <v>36</v>
      </c>
      <c r="P126" s="255" t="s">
        <v>69</v>
      </c>
      <c r="Q126" s="255" t="s">
        <v>64</v>
      </c>
      <c r="R126" s="255"/>
      <c r="S126" s="255" t="str">
        <f t="shared" si="1"/>
        <v>001-500-000065232</v>
      </c>
      <c r="T126" s="261">
        <v>112950019</v>
      </c>
      <c r="U126" s="260" t="s">
        <v>2463</v>
      </c>
    </row>
    <row r="127" spans="1:21" x14ac:dyDescent="0.2">
      <c r="A127" s="223">
        <v>123</v>
      </c>
      <c r="B127" s="255">
        <v>45791</v>
      </c>
      <c r="C127" s="255">
        <v>46284</v>
      </c>
      <c r="D127" s="255" t="s">
        <v>125</v>
      </c>
      <c r="E127" s="255" t="s">
        <v>2464</v>
      </c>
      <c r="F127" s="256" t="s">
        <v>881</v>
      </c>
      <c r="G127" s="255" t="s">
        <v>1422</v>
      </c>
      <c r="H127" s="255" t="s">
        <v>2465</v>
      </c>
      <c r="I127" s="256" t="s">
        <v>41</v>
      </c>
      <c r="J127" s="255" t="s">
        <v>64</v>
      </c>
      <c r="K127" s="255" t="s">
        <v>65</v>
      </c>
      <c r="L127" s="255" t="s">
        <v>2466</v>
      </c>
      <c r="M127" s="255" t="s">
        <v>1224</v>
      </c>
      <c r="N127" s="257">
        <v>967514331</v>
      </c>
      <c r="O127" s="258">
        <v>29</v>
      </c>
      <c r="P127" s="255" t="s">
        <v>69</v>
      </c>
      <c r="Q127" s="255" t="s">
        <v>64</v>
      </c>
      <c r="R127" s="255"/>
      <c r="S127" s="255" t="str">
        <f t="shared" si="1"/>
        <v>016-901-000220257</v>
      </c>
      <c r="T127" s="261">
        <v>112570126</v>
      </c>
      <c r="U127" s="260" t="s">
        <v>2467</v>
      </c>
    </row>
    <row r="128" spans="1:21" x14ac:dyDescent="0.2">
      <c r="A128" s="223">
        <v>124</v>
      </c>
      <c r="B128" s="255">
        <v>45792</v>
      </c>
      <c r="C128" s="255">
        <v>45787</v>
      </c>
      <c r="D128" s="255" t="s">
        <v>125</v>
      </c>
      <c r="E128" s="255" t="s">
        <v>2468</v>
      </c>
      <c r="F128" s="256" t="s">
        <v>768</v>
      </c>
      <c r="G128" s="255" t="s">
        <v>522</v>
      </c>
      <c r="H128" s="255" t="s">
        <v>2469</v>
      </c>
      <c r="I128" s="256" t="s">
        <v>41</v>
      </c>
      <c r="J128" s="255" t="s">
        <v>64</v>
      </c>
      <c r="K128" s="255" t="s">
        <v>65</v>
      </c>
      <c r="L128" s="255" t="s">
        <v>2470</v>
      </c>
      <c r="M128" s="255" t="s">
        <v>2471</v>
      </c>
      <c r="N128" s="257">
        <v>999000600</v>
      </c>
      <c r="O128" s="258">
        <v>36</v>
      </c>
      <c r="P128" s="255" t="s">
        <v>69</v>
      </c>
      <c r="Q128" s="255" t="s">
        <v>64</v>
      </c>
      <c r="R128" s="255"/>
      <c r="S128" s="255" t="str">
        <f t="shared" si="1"/>
        <v>016-902-000508580</v>
      </c>
      <c r="T128" s="261">
        <v>1104818933</v>
      </c>
      <c r="U128" s="260" t="s">
        <v>2472</v>
      </c>
    </row>
    <row r="129" spans="1:21" x14ac:dyDescent="0.2">
      <c r="A129" s="223">
        <v>125</v>
      </c>
      <c r="B129" s="255">
        <v>45796</v>
      </c>
      <c r="C129" s="255">
        <v>45729</v>
      </c>
      <c r="D129" s="255" t="s">
        <v>125</v>
      </c>
      <c r="E129" s="255" t="s">
        <v>2827</v>
      </c>
      <c r="F129" s="256" t="s">
        <v>213</v>
      </c>
      <c r="G129" s="255" t="s">
        <v>214</v>
      </c>
      <c r="H129" s="255" t="s">
        <v>2828</v>
      </c>
      <c r="I129" s="256" t="s">
        <v>41</v>
      </c>
      <c r="J129" s="255" t="s">
        <v>64</v>
      </c>
      <c r="K129" s="255" t="s">
        <v>65</v>
      </c>
      <c r="L129" s="255" t="s">
        <v>2829</v>
      </c>
      <c r="M129" s="255" t="s">
        <v>2830</v>
      </c>
      <c r="N129" s="257">
        <v>4088635</v>
      </c>
      <c r="O129" s="258">
        <v>15</v>
      </c>
      <c r="P129" s="255" t="s">
        <v>69</v>
      </c>
      <c r="Q129" s="255" t="s">
        <v>64</v>
      </c>
      <c r="R129" s="255"/>
      <c r="S129" s="255" t="str">
        <f>E129</f>
        <v>016-907-000253314</v>
      </c>
      <c r="T129" s="261">
        <v>103001095</v>
      </c>
      <c r="U129" s="260" t="s">
        <v>2831</v>
      </c>
    </row>
    <row r="130" spans="1:21" x14ac:dyDescent="0.2">
      <c r="A130" s="223">
        <v>126</v>
      </c>
      <c r="B130" s="255">
        <v>45798</v>
      </c>
      <c r="C130" s="255">
        <v>45792</v>
      </c>
      <c r="D130" s="255" t="s">
        <v>125</v>
      </c>
      <c r="E130" s="255"/>
      <c r="F130" s="256" t="s">
        <v>735</v>
      </c>
      <c r="G130" s="255" t="s">
        <v>736</v>
      </c>
      <c r="H130" s="255" t="s">
        <v>2832</v>
      </c>
      <c r="I130" s="256" t="s">
        <v>41</v>
      </c>
      <c r="J130" s="255" t="s">
        <v>64</v>
      </c>
      <c r="K130" s="255" t="s">
        <v>65</v>
      </c>
      <c r="L130" s="255" t="s">
        <v>2833</v>
      </c>
      <c r="M130" s="255" t="s">
        <v>2834</v>
      </c>
      <c r="N130" s="257">
        <v>997505782</v>
      </c>
      <c r="O130" s="258">
        <v>36</v>
      </c>
      <c r="P130" s="255" t="s">
        <v>69</v>
      </c>
      <c r="Q130" s="255" t="s">
        <v>64</v>
      </c>
      <c r="R130" s="255"/>
      <c r="S130" s="255">
        <f t="shared" ref="S130:S162" si="2">E130</f>
        <v>0</v>
      </c>
      <c r="T130" s="261">
        <v>703980789</v>
      </c>
      <c r="U130" s="260" t="s">
        <v>2835</v>
      </c>
    </row>
    <row r="131" spans="1:21" x14ac:dyDescent="0.2">
      <c r="A131" s="223">
        <v>127</v>
      </c>
      <c r="B131" s="255">
        <v>45798</v>
      </c>
      <c r="C131" s="255">
        <v>45795</v>
      </c>
      <c r="D131" s="255" t="s">
        <v>187</v>
      </c>
      <c r="E131" s="255" t="s">
        <v>2836</v>
      </c>
      <c r="F131" s="256" t="s">
        <v>2837</v>
      </c>
      <c r="G131" s="255" t="s">
        <v>2838</v>
      </c>
      <c r="H131" s="255" t="s">
        <v>2839</v>
      </c>
      <c r="I131" s="256" t="s">
        <v>41</v>
      </c>
      <c r="J131" s="255" t="s">
        <v>64</v>
      </c>
      <c r="K131" s="255" t="s">
        <v>65</v>
      </c>
      <c r="L131" s="255" t="s">
        <v>2840</v>
      </c>
      <c r="M131" s="255" t="s">
        <v>2841</v>
      </c>
      <c r="N131" s="257">
        <v>969874886</v>
      </c>
      <c r="O131" s="258">
        <v>36</v>
      </c>
      <c r="P131" s="255" t="s">
        <v>69</v>
      </c>
      <c r="Q131" s="255" t="s">
        <v>64</v>
      </c>
      <c r="R131" s="255"/>
      <c r="S131" s="255" t="str">
        <f t="shared" si="2"/>
        <v>040-103-000013631</v>
      </c>
      <c r="T131" s="261">
        <v>104642152</v>
      </c>
      <c r="U131" s="260" t="s">
        <v>2842</v>
      </c>
    </row>
    <row r="132" spans="1:21" x14ac:dyDescent="0.2">
      <c r="A132" s="223">
        <v>128</v>
      </c>
      <c r="B132" s="255">
        <v>45798</v>
      </c>
      <c r="C132" s="255">
        <v>45796</v>
      </c>
      <c r="D132" s="255" t="s">
        <v>125</v>
      </c>
      <c r="E132" s="255" t="s">
        <v>2843</v>
      </c>
      <c r="F132" s="256" t="s">
        <v>213</v>
      </c>
      <c r="G132" s="255" t="s">
        <v>214</v>
      </c>
      <c r="H132" s="255" t="s">
        <v>2844</v>
      </c>
      <c r="I132" s="256" t="s">
        <v>41</v>
      </c>
      <c r="J132" s="255" t="s">
        <v>64</v>
      </c>
      <c r="K132" s="255" t="s">
        <v>65</v>
      </c>
      <c r="L132" s="255" t="s">
        <v>2845</v>
      </c>
      <c r="M132" s="255" t="s">
        <v>2846</v>
      </c>
      <c r="N132" s="257">
        <v>969808121</v>
      </c>
      <c r="O132" s="258">
        <v>15</v>
      </c>
      <c r="P132" s="255" t="s">
        <v>69</v>
      </c>
      <c r="Q132" s="255" t="s">
        <v>64</v>
      </c>
      <c r="R132" s="255"/>
      <c r="S132" s="255" t="str">
        <f t="shared" si="2"/>
        <v>016-902-0000509872</v>
      </c>
      <c r="T132" s="261">
        <v>927797787</v>
      </c>
      <c r="U132" s="260" t="s">
        <v>2847</v>
      </c>
    </row>
    <row r="133" spans="1:21" x14ac:dyDescent="0.2">
      <c r="A133" s="223">
        <v>129</v>
      </c>
      <c r="B133" s="255">
        <v>45799</v>
      </c>
      <c r="C133" s="255">
        <v>45765</v>
      </c>
      <c r="D133" s="255" t="s">
        <v>187</v>
      </c>
      <c r="E133" s="255" t="s">
        <v>2848</v>
      </c>
      <c r="F133" s="256" t="s">
        <v>1901</v>
      </c>
      <c r="G133" s="255" t="s">
        <v>198</v>
      </c>
      <c r="H133" s="255" t="s">
        <v>2849</v>
      </c>
      <c r="I133" s="256" t="s">
        <v>41</v>
      </c>
      <c r="J133" s="255" t="s">
        <v>64</v>
      </c>
      <c r="K133" s="255" t="s">
        <v>65</v>
      </c>
      <c r="L133" s="255" t="s">
        <v>2850</v>
      </c>
      <c r="M133" s="255" t="s">
        <v>910</v>
      </c>
      <c r="N133" s="257">
        <v>984202032</v>
      </c>
      <c r="O133" s="258">
        <v>29</v>
      </c>
      <c r="P133" s="255" t="s">
        <v>69</v>
      </c>
      <c r="Q133" s="255" t="s">
        <v>64</v>
      </c>
      <c r="R133" s="255"/>
      <c r="S133" s="255" t="str">
        <f t="shared" si="2"/>
        <v>040-104-000010201</v>
      </c>
      <c r="T133" s="261">
        <v>984202032</v>
      </c>
      <c r="U133" s="260" t="s">
        <v>2851</v>
      </c>
    </row>
    <row r="134" spans="1:21" x14ac:dyDescent="0.2">
      <c r="A134" s="223">
        <v>130</v>
      </c>
      <c r="B134" s="255">
        <v>45799</v>
      </c>
      <c r="C134" s="255">
        <v>45781</v>
      </c>
      <c r="D134" s="255" t="s">
        <v>125</v>
      </c>
      <c r="E134" s="255" t="s">
        <v>2852</v>
      </c>
      <c r="F134" s="256" t="s">
        <v>768</v>
      </c>
      <c r="G134" s="255" t="s">
        <v>2853</v>
      </c>
      <c r="H134" s="255" t="s">
        <v>2854</v>
      </c>
      <c r="I134" s="256" t="s">
        <v>41</v>
      </c>
      <c r="J134" s="255" t="s">
        <v>64</v>
      </c>
      <c r="K134" s="255" t="s">
        <v>65</v>
      </c>
      <c r="L134" s="255" t="s">
        <v>2855</v>
      </c>
      <c r="M134" s="255" t="s">
        <v>378</v>
      </c>
      <c r="N134" s="257">
        <v>995470894</v>
      </c>
      <c r="O134" s="258">
        <v>36</v>
      </c>
      <c r="P134" s="255" t="s">
        <v>69</v>
      </c>
      <c r="Q134" s="255" t="s">
        <v>64</v>
      </c>
      <c r="R134" s="255"/>
      <c r="S134" s="255" t="str">
        <f t="shared" si="2"/>
        <v>016-903-000579278</v>
      </c>
      <c r="T134" s="261">
        <v>995470844</v>
      </c>
      <c r="U134" s="260" t="s">
        <v>2856</v>
      </c>
    </row>
    <row r="135" spans="1:21" x14ac:dyDescent="0.2">
      <c r="A135" s="223">
        <v>131</v>
      </c>
      <c r="B135" s="255">
        <v>45803</v>
      </c>
      <c r="C135" s="255">
        <v>45796</v>
      </c>
      <c r="D135" s="255" t="s">
        <v>125</v>
      </c>
      <c r="E135" s="255" t="s">
        <v>2857</v>
      </c>
      <c r="F135" s="256" t="s">
        <v>213</v>
      </c>
      <c r="G135" s="255" t="s">
        <v>214</v>
      </c>
      <c r="H135" s="255" t="s">
        <v>2858</v>
      </c>
      <c r="I135" s="256" t="s">
        <v>41</v>
      </c>
      <c r="J135" s="255" t="s">
        <v>64</v>
      </c>
      <c r="K135" s="255" t="s">
        <v>65</v>
      </c>
      <c r="L135" s="255" t="s">
        <v>2859</v>
      </c>
      <c r="M135" s="255" t="s">
        <v>2860</v>
      </c>
      <c r="N135" s="257">
        <v>9852735574</v>
      </c>
      <c r="O135" s="258">
        <v>15</v>
      </c>
      <c r="P135" s="255" t="s">
        <v>69</v>
      </c>
      <c r="Q135" s="255" t="s">
        <v>64</v>
      </c>
      <c r="R135" s="255"/>
      <c r="S135" s="255" t="str">
        <f t="shared" si="2"/>
        <v>016-902-000509658</v>
      </c>
      <c r="T135" s="261">
        <v>701318735</v>
      </c>
      <c r="U135" s="260" t="s">
        <v>2861</v>
      </c>
    </row>
    <row r="136" spans="1:21" x14ac:dyDescent="0.2">
      <c r="A136" s="223">
        <v>132</v>
      </c>
      <c r="B136" s="255">
        <v>45804</v>
      </c>
      <c r="C136" s="255">
        <v>45796</v>
      </c>
      <c r="D136" s="255" t="s">
        <v>190</v>
      </c>
      <c r="E136" s="255" t="s">
        <v>2862</v>
      </c>
      <c r="F136" s="256" t="s">
        <v>2863</v>
      </c>
      <c r="G136" s="255" t="s">
        <v>942</v>
      </c>
      <c r="H136" s="255" t="s">
        <v>2864</v>
      </c>
      <c r="I136" s="256" t="s">
        <v>41</v>
      </c>
      <c r="J136" s="255" t="s">
        <v>64</v>
      </c>
      <c r="K136" s="255" t="s">
        <v>65</v>
      </c>
      <c r="L136" s="255" t="s">
        <v>2865</v>
      </c>
      <c r="M136" s="255" t="s">
        <v>2866</v>
      </c>
      <c r="N136" s="257">
        <v>994988959</v>
      </c>
      <c r="O136" s="258">
        <v>25</v>
      </c>
      <c r="P136" s="255" t="s">
        <v>69</v>
      </c>
      <c r="Q136" s="255" t="s">
        <v>64</v>
      </c>
      <c r="R136" s="255"/>
      <c r="S136" s="255" t="str">
        <f t="shared" si="2"/>
        <v>006-002-000157995</v>
      </c>
      <c r="T136" s="261">
        <v>101204493</v>
      </c>
      <c r="U136" s="260" t="s">
        <v>2867</v>
      </c>
    </row>
    <row r="137" spans="1:21" x14ac:dyDescent="0.2">
      <c r="A137" s="223">
        <v>133</v>
      </c>
      <c r="B137" s="255">
        <v>45805</v>
      </c>
      <c r="C137" s="255">
        <v>45801</v>
      </c>
      <c r="D137" s="255" t="s">
        <v>190</v>
      </c>
      <c r="E137" s="255" t="s">
        <v>2868</v>
      </c>
      <c r="F137" s="256" t="s">
        <v>2869</v>
      </c>
      <c r="G137" s="255" t="s">
        <v>2870</v>
      </c>
      <c r="H137" s="255" t="s">
        <v>2871</v>
      </c>
      <c r="I137" s="256" t="s">
        <v>41</v>
      </c>
      <c r="J137" s="255" t="s">
        <v>64</v>
      </c>
      <c r="K137" s="255" t="s">
        <v>65</v>
      </c>
      <c r="L137" s="255" t="s">
        <v>2872</v>
      </c>
      <c r="M137" s="255" t="s">
        <v>2873</v>
      </c>
      <c r="N137" s="257">
        <v>983515824</v>
      </c>
      <c r="O137" s="258">
        <v>29</v>
      </c>
      <c r="P137" s="255" t="s">
        <v>69</v>
      </c>
      <c r="Q137" s="255" t="s">
        <v>64</v>
      </c>
      <c r="R137" s="255"/>
      <c r="S137" s="255" t="str">
        <f t="shared" si="2"/>
        <v>006-000138009</v>
      </c>
      <c r="T137" s="261">
        <v>104171004</v>
      </c>
      <c r="U137" s="260" t="s">
        <v>2874</v>
      </c>
    </row>
    <row r="138" spans="1:21" x14ac:dyDescent="0.2">
      <c r="A138" s="223">
        <v>134</v>
      </c>
      <c r="B138" s="255">
        <v>45806</v>
      </c>
      <c r="C138" s="255">
        <v>45800</v>
      </c>
      <c r="D138" s="255" t="s">
        <v>1867</v>
      </c>
      <c r="E138" s="255" t="s">
        <v>2875</v>
      </c>
      <c r="F138" s="256" t="s">
        <v>213</v>
      </c>
      <c r="G138" s="255" t="s">
        <v>2876</v>
      </c>
      <c r="H138" s="255" t="s">
        <v>2877</v>
      </c>
      <c r="I138" s="256" t="s">
        <v>41</v>
      </c>
      <c r="J138" s="255" t="s">
        <v>64</v>
      </c>
      <c r="K138" s="255" t="s">
        <v>65</v>
      </c>
      <c r="L138" s="255" t="s">
        <v>2878</v>
      </c>
      <c r="M138" s="255" t="s">
        <v>2879</v>
      </c>
      <c r="N138" s="257">
        <v>72827641</v>
      </c>
      <c r="O138" s="258">
        <v>15</v>
      </c>
      <c r="P138" s="255" t="s">
        <v>69</v>
      </c>
      <c r="Q138" s="255" t="s">
        <v>64</v>
      </c>
      <c r="R138" s="255"/>
      <c r="S138" s="255" t="str">
        <f t="shared" si="2"/>
        <v>001-500-000073707</v>
      </c>
      <c r="T138" s="261">
        <v>100718717</v>
      </c>
      <c r="U138" s="260" t="s">
        <v>2880</v>
      </c>
    </row>
    <row r="139" spans="1:21" x14ac:dyDescent="0.2">
      <c r="A139" s="223">
        <v>135</v>
      </c>
      <c r="B139" s="255">
        <v>45807</v>
      </c>
      <c r="C139" s="255">
        <v>45801</v>
      </c>
      <c r="D139" s="255" t="s">
        <v>1867</v>
      </c>
      <c r="E139" s="255" t="s">
        <v>2881</v>
      </c>
      <c r="F139" s="256" t="s">
        <v>2882</v>
      </c>
      <c r="G139" s="255" t="s">
        <v>1186</v>
      </c>
      <c r="H139" s="255" t="s">
        <v>2883</v>
      </c>
      <c r="I139" s="256" t="s">
        <v>41</v>
      </c>
      <c r="J139" s="255" t="s">
        <v>64</v>
      </c>
      <c r="K139" s="255" t="s">
        <v>65</v>
      </c>
      <c r="L139" s="255" t="s">
        <v>2884</v>
      </c>
      <c r="M139" s="255" t="s">
        <v>720</v>
      </c>
      <c r="N139" s="257">
        <v>989072203</v>
      </c>
      <c r="O139" s="258">
        <v>36</v>
      </c>
      <c r="P139" s="255" t="s">
        <v>69</v>
      </c>
      <c r="Q139" s="255" t="s">
        <v>64</v>
      </c>
      <c r="R139" s="255"/>
      <c r="S139" s="255" t="str">
        <f t="shared" si="2"/>
        <v>001-500-000072702</v>
      </c>
      <c r="T139" s="261">
        <v>112450020</v>
      </c>
      <c r="U139" s="260" t="s">
        <v>2885</v>
      </c>
    </row>
    <row r="140" spans="1:21" x14ac:dyDescent="0.2">
      <c r="A140" s="223">
        <v>136</v>
      </c>
      <c r="B140" s="255">
        <v>45807</v>
      </c>
      <c r="C140" s="255">
        <v>45804</v>
      </c>
      <c r="D140" s="255" t="s">
        <v>125</v>
      </c>
      <c r="E140" s="255" t="s">
        <v>2886</v>
      </c>
      <c r="F140" s="256" t="s">
        <v>2887</v>
      </c>
      <c r="G140" s="255" t="s">
        <v>2888</v>
      </c>
      <c r="H140" s="255" t="s">
        <v>2889</v>
      </c>
      <c r="I140" s="256" t="s">
        <v>41</v>
      </c>
      <c r="J140" s="255" t="s">
        <v>64</v>
      </c>
      <c r="K140" s="255" t="s">
        <v>65</v>
      </c>
      <c r="L140" s="255" t="s">
        <v>2890</v>
      </c>
      <c r="M140" s="255" t="s">
        <v>2891</v>
      </c>
      <c r="N140" s="257">
        <v>990559662</v>
      </c>
      <c r="O140" s="258">
        <v>36</v>
      </c>
      <c r="P140" s="255" t="s">
        <v>69</v>
      </c>
      <c r="Q140" s="255" t="s">
        <v>64</v>
      </c>
      <c r="R140" s="255"/>
      <c r="S140" s="255" t="str">
        <f t="shared" si="2"/>
        <v>016-907-000265658</v>
      </c>
      <c r="T140" s="261">
        <v>104382841</v>
      </c>
      <c r="U140" s="260" t="s">
        <v>2892</v>
      </c>
    </row>
    <row r="141" spans="1:21" x14ac:dyDescent="0.2">
      <c r="A141" s="223">
        <v>137</v>
      </c>
      <c r="B141" s="255">
        <v>45808</v>
      </c>
      <c r="C141" s="255">
        <v>45796</v>
      </c>
      <c r="D141" s="255" t="s">
        <v>75</v>
      </c>
      <c r="E141" s="255" t="s">
        <v>2893</v>
      </c>
      <c r="F141" s="256" t="s">
        <v>2894</v>
      </c>
      <c r="G141" s="255" t="s">
        <v>2895</v>
      </c>
      <c r="H141" s="255" t="s">
        <v>2896</v>
      </c>
      <c r="I141" s="256" t="s">
        <v>41</v>
      </c>
      <c r="J141" s="255" t="s">
        <v>64</v>
      </c>
      <c r="K141" s="255" t="s">
        <v>65</v>
      </c>
      <c r="L141" s="255" t="s">
        <v>2897</v>
      </c>
      <c r="M141" s="255" t="s">
        <v>1581</v>
      </c>
      <c r="N141" s="257">
        <v>9390836684</v>
      </c>
      <c r="O141" s="258">
        <v>25</v>
      </c>
      <c r="P141" s="255" t="s">
        <v>69</v>
      </c>
      <c r="Q141" s="255" t="s">
        <v>64</v>
      </c>
      <c r="R141" s="255"/>
      <c r="S141" s="255" t="str">
        <f t="shared" si="2"/>
        <v>001-001-000000917</v>
      </c>
      <c r="T141" s="261">
        <v>104640966</v>
      </c>
      <c r="U141" s="260" t="s">
        <v>2898</v>
      </c>
    </row>
    <row r="142" spans="1:21" x14ac:dyDescent="0.2">
      <c r="A142" s="223">
        <v>138</v>
      </c>
      <c r="B142" s="255">
        <v>45811</v>
      </c>
      <c r="C142" s="255">
        <v>45805</v>
      </c>
      <c r="D142" s="255" t="s">
        <v>125</v>
      </c>
      <c r="E142" s="255" t="s">
        <v>2899</v>
      </c>
      <c r="F142" s="256" t="s">
        <v>2900</v>
      </c>
      <c r="G142" s="255" t="s">
        <v>517</v>
      </c>
      <c r="H142" s="255" t="s">
        <v>2901</v>
      </c>
      <c r="I142" s="256" t="s">
        <v>41</v>
      </c>
      <c r="J142" s="255" t="s">
        <v>64</v>
      </c>
      <c r="K142" s="255" t="s">
        <v>65</v>
      </c>
      <c r="L142" s="255" t="s">
        <v>2902</v>
      </c>
      <c r="M142" s="255" t="s">
        <v>2903</v>
      </c>
      <c r="N142" s="257">
        <v>98711654</v>
      </c>
      <c r="O142" s="258">
        <v>29</v>
      </c>
      <c r="P142" s="255" t="s">
        <v>69</v>
      </c>
      <c r="Q142" s="255" t="s">
        <v>64</v>
      </c>
      <c r="R142" s="255"/>
      <c r="S142" s="255" t="str">
        <f t="shared" si="2"/>
        <v>043-903-00075623</v>
      </c>
      <c r="T142" s="261">
        <v>102351145</v>
      </c>
      <c r="U142" s="260" t="s">
        <v>2904</v>
      </c>
    </row>
    <row r="143" spans="1:21" x14ac:dyDescent="0.2">
      <c r="A143" s="223">
        <v>139</v>
      </c>
      <c r="B143" s="255">
        <v>45812</v>
      </c>
      <c r="C143" s="255" t="s">
        <v>2905</v>
      </c>
      <c r="D143" s="255" t="s">
        <v>1867</v>
      </c>
      <c r="E143" s="255" t="s">
        <v>2906</v>
      </c>
      <c r="F143" s="256" t="s">
        <v>375</v>
      </c>
      <c r="G143" s="255" t="s">
        <v>517</v>
      </c>
      <c r="H143" s="255" t="s">
        <v>2907</v>
      </c>
      <c r="I143" s="256" t="s">
        <v>41</v>
      </c>
      <c r="J143" s="255" t="s">
        <v>64</v>
      </c>
      <c r="K143" s="255" t="s">
        <v>65</v>
      </c>
      <c r="L143" s="255" t="s">
        <v>2908</v>
      </c>
      <c r="M143" s="255" t="s">
        <v>2909</v>
      </c>
      <c r="N143" s="257">
        <v>995035362</v>
      </c>
      <c r="O143" s="258">
        <v>29</v>
      </c>
      <c r="P143" s="255" t="s">
        <v>69</v>
      </c>
      <c r="Q143" s="255" t="s">
        <v>64</v>
      </c>
      <c r="R143" s="255"/>
      <c r="S143" s="255" t="str">
        <f t="shared" si="2"/>
        <v>001-502-000000303</v>
      </c>
      <c r="T143" s="261">
        <v>300823564</v>
      </c>
      <c r="U143" s="260" t="s">
        <v>2910</v>
      </c>
    </row>
    <row r="144" spans="1:21" x14ac:dyDescent="0.2">
      <c r="A144" s="223">
        <v>140</v>
      </c>
      <c r="B144" s="255">
        <v>45812</v>
      </c>
      <c r="C144" s="255">
        <v>45787</v>
      </c>
      <c r="D144" s="255" t="s">
        <v>187</v>
      </c>
      <c r="E144" s="255" t="s">
        <v>2911</v>
      </c>
      <c r="F144" s="256" t="s">
        <v>354</v>
      </c>
      <c r="G144" s="255" t="s">
        <v>2912</v>
      </c>
      <c r="H144" s="255" t="s">
        <v>2913</v>
      </c>
      <c r="I144" s="256" t="s">
        <v>41</v>
      </c>
      <c r="J144" s="255" t="s">
        <v>64</v>
      </c>
      <c r="K144" s="255" t="s">
        <v>65</v>
      </c>
      <c r="L144" s="255" t="s">
        <v>2914</v>
      </c>
      <c r="M144" s="255" t="s">
        <v>2915</v>
      </c>
      <c r="N144" s="257">
        <v>998423152</v>
      </c>
      <c r="O144" s="258">
        <v>30</v>
      </c>
      <c r="P144" s="255" t="s">
        <v>69</v>
      </c>
      <c r="Q144" s="255" t="s">
        <v>64</v>
      </c>
      <c r="R144" s="255"/>
      <c r="S144" s="255" t="str">
        <f t="shared" si="2"/>
        <v>040-104-000011309</v>
      </c>
      <c r="T144" s="261">
        <v>101408375</v>
      </c>
      <c r="U144" s="260" t="s">
        <v>2916</v>
      </c>
    </row>
    <row r="145" spans="1:21" x14ac:dyDescent="0.2">
      <c r="A145" s="223">
        <v>141</v>
      </c>
      <c r="B145" s="255">
        <v>45812</v>
      </c>
      <c r="C145" s="255">
        <v>45626</v>
      </c>
      <c r="D145" s="255" t="s">
        <v>1867</v>
      </c>
      <c r="E145" s="255" t="s">
        <v>2917</v>
      </c>
      <c r="F145" s="256" t="s">
        <v>2918</v>
      </c>
      <c r="G145" s="255" t="s">
        <v>996</v>
      </c>
      <c r="H145" s="255" t="s">
        <v>2919</v>
      </c>
      <c r="I145" s="256" t="s">
        <v>41</v>
      </c>
      <c r="J145" s="255" t="s">
        <v>64</v>
      </c>
      <c r="K145" s="255" t="s">
        <v>65</v>
      </c>
      <c r="L145" s="255" t="s">
        <v>2920</v>
      </c>
      <c r="M145" s="255" t="s">
        <v>903</v>
      </c>
      <c r="N145" s="257">
        <v>983088242</v>
      </c>
      <c r="O145" s="258">
        <v>25</v>
      </c>
      <c r="P145" s="255" t="s">
        <v>69</v>
      </c>
      <c r="Q145" s="255" t="s">
        <v>64</v>
      </c>
      <c r="R145" s="255"/>
      <c r="S145" s="255" t="str">
        <f t="shared" si="2"/>
        <v>001-500-000068534</v>
      </c>
      <c r="T145" s="261">
        <v>103809232</v>
      </c>
      <c r="U145" s="260" t="s">
        <v>2921</v>
      </c>
    </row>
    <row r="146" spans="1:21" x14ac:dyDescent="0.2">
      <c r="A146" s="223">
        <v>142</v>
      </c>
      <c r="B146" s="255">
        <v>45813</v>
      </c>
      <c r="C146" s="255">
        <v>45787</v>
      </c>
      <c r="D146" s="255" t="s">
        <v>125</v>
      </c>
      <c r="E146" s="255" t="s">
        <v>2922</v>
      </c>
      <c r="F146" s="256" t="s">
        <v>2923</v>
      </c>
      <c r="G146" s="255" t="s">
        <v>1678</v>
      </c>
      <c r="H146" s="255" t="s">
        <v>2924</v>
      </c>
      <c r="I146" s="256" t="s">
        <v>41</v>
      </c>
      <c r="J146" s="255" t="s">
        <v>64</v>
      </c>
      <c r="K146" s="255" t="s">
        <v>65</v>
      </c>
      <c r="L146" s="255" t="s">
        <v>2925</v>
      </c>
      <c r="M146" s="255" t="s">
        <v>2926</v>
      </c>
      <c r="N146" s="257">
        <v>987779231</v>
      </c>
      <c r="O146" s="258">
        <v>46</v>
      </c>
      <c r="P146" s="255" t="s">
        <v>69</v>
      </c>
      <c r="Q146" s="255" t="s">
        <v>64</v>
      </c>
      <c r="R146" s="255"/>
      <c r="S146" s="255" t="str">
        <f t="shared" si="2"/>
        <v>016-902-000508628</v>
      </c>
      <c r="T146" s="261">
        <v>104536404</v>
      </c>
      <c r="U146" s="260" t="s">
        <v>2927</v>
      </c>
    </row>
    <row r="147" spans="1:21" x14ac:dyDescent="0.2">
      <c r="A147" s="223">
        <v>143</v>
      </c>
      <c r="B147" s="255">
        <v>45813</v>
      </c>
      <c r="C147" s="255">
        <v>45726</v>
      </c>
      <c r="D147" s="255" t="s">
        <v>125</v>
      </c>
      <c r="E147" s="255" t="s">
        <v>2928</v>
      </c>
      <c r="F147" s="256" t="s">
        <v>2929</v>
      </c>
      <c r="G147" s="255" t="s">
        <v>2930</v>
      </c>
      <c r="H147" s="255" t="s">
        <v>2931</v>
      </c>
      <c r="I147" s="256" t="s">
        <v>41</v>
      </c>
      <c r="J147" s="255" t="s">
        <v>64</v>
      </c>
      <c r="K147" s="255" t="s">
        <v>65</v>
      </c>
      <c r="L147" s="255" t="s">
        <v>2223</v>
      </c>
      <c r="M147" s="255" t="s">
        <v>2932</v>
      </c>
      <c r="N147" s="257">
        <v>984381241</v>
      </c>
      <c r="O147" s="258">
        <v>29</v>
      </c>
      <c r="P147" s="255" t="s">
        <v>69</v>
      </c>
      <c r="Q147" s="255" t="s">
        <v>64</v>
      </c>
      <c r="R147" s="255"/>
      <c r="S147" s="255" t="str">
        <f t="shared" si="2"/>
        <v>043-904-000065151</v>
      </c>
      <c r="T147" s="261">
        <v>2047733</v>
      </c>
      <c r="U147" s="260" t="s">
        <v>2933</v>
      </c>
    </row>
    <row r="148" spans="1:21" x14ac:dyDescent="0.2">
      <c r="A148" s="223">
        <v>144</v>
      </c>
      <c r="B148" s="255">
        <v>46147</v>
      </c>
      <c r="C148" s="255">
        <v>45799</v>
      </c>
      <c r="D148" s="255" t="s">
        <v>446</v>
      </c>
      <c r="E148" s="255" t="s">
        <v>2934</v>
      </c>
      <c r="F148" s="256" t="s">
        <v>213</v>
      </c>
      <c r="G148" s="255" t="s">
        <v>214</v>
      </c>
      <c r="H148" s="255" t="s">
        <v>2935</v>
      </c>
      <c r="I148" s="256" t="s">
        <v>41</v>
      </c>
      <c r="J148" s="255" t="s">
        <v>64</v>
      </c>
      <c r="K148" s="255" t="s">
        <v>65</v>
      </c>
      <c r="L148" s="255" t="s">
        <v>2936</v>
      </c>
      <c r="M148" s="255" t="s">
        <v>2937</v>
      </c>
      <c r="N148" s="257">
        <v>987699160</v>
      </c>
      <c r="O148" s="258">
        <v>15</v>
      </c>
      <c r="P148" s="255" t="s">
        <v>69</v>
      </c>
      <c r="Q148" s="255" t="s">
        <v>64</v>
      </c>
      <c r="R148" s="255"/>
      <c r="S148" s="255" t="str">
        <f t="shared" si="2"/>
        <v>040-103-0000153710</v>
      </c>
      <c r="T148" s="261">
        <v>102621588</v>
      </c>
      <c r="U148" s="260" t="s">
        <v>2938</v>
      </c>
    </row>
    <row r="149" spans="1:21" x14ac:dyDescent="0.2">
      <c r="A149" s="223">
        <v>145</v>
      </c>
      <c r="B149" s="255">
        <v>45814</v>
      </c>
      <c r="C149" s="255">
        <v>45799</v>
      </c>
      <c r="D149" s="255" t="s">
        <v>1867</v>
      </c>
      <c r="E149" s="255" t="s">
        <v>2939</v>
      </c>
      <c r="F149" s="256" t="s">
        <v>136</v>
      </c>
      <c r="G149" s="255" t="s">
        <v>137</v>
      </c>
      <c r="H149" s="255" t="s">
        <v>2940</v>
      </c>
      <c r="I149" s="256" t="s">
        <v>41</v>
      </c>
      <c r="J149" s="255" t="s">
        <v>64</v>
      </c>
      <c r="K149" s="255" t="s">
        <v>65</v>
      </c>
      <c r="L149" s="255" t="s">
        <v>2941</v>
      </c>
      <c r="M149" s="255" t="s">
        <v>2942</v>
      </c>
      <c r="N149" s="257">
        <v>997796423</v>
      </c>
      <c r="O149" s="258">
        <v>25</v>
      </c>
      <c r="P149" s="255" t="s">
        <v>69</v>
      </c>
      <c r="Q149" s="255" t="s">
        <v>64</v>
      </c>
      <c r="R149" s="255"/>
      <c r="S149" s="255" t="str">
        <f t="shared" si="2"/>
        <v>001-500-000073682</v>
      </c>
      <c r="T149" s="261">
        <v>104291216</v>
      </c>
      <c r="U149" s="260" t="s">
        <v>2943</v>
      </c>
    </row>
    <row r="150" spans="1:21" x14ac:dyDescent="0.2">
      <c r="A150" s="223">
        <v>146</v>
      </c>
      <c r="B150" s="255">
        <v>45814</v>
      </c>
      <c r="C150" s="255">
        <v>45805</v>
      </c>
      <c r="D150" s="255" t="s">
        <v>187</v>
      </c>
      <c r="E150" s="255" t="s">
        <v>2944</v>
      </c>
      <c r="F150" s="256" t="s">
        <v>2945</v>
      </c>
      <c r="G150" s="255" t="s">
        <v>2946</v>
      </c>
      <c r="H150" s="255" t="s">
        <v>2947</v>
      </c>
      <c r="I150" s="256" t="s">
        <v>41</v>
      </c>
      <c r="J150" s="255" t="s">
        <v>64</v>
      </c>
      <c r="K150" s="255" t="s">
        <v>65</v>
      </c>
      <c r="L150" s="255" t="s">
        <v>2948</v>
      </c>
      <c r="M150" s="255" t="s">
        <v>2949</v>
      </c>
      <c r="N150" s="257">
        <v>990543737</v>
      </c>
      <c r="O150" s="258">
        <v>25</v>
      </c>
      <c r="P150" s="255" t="s">
        <v>69</v>
      </c>
      <c r="Q150" s="255" t="s">
        <v>64</v>
      </c>
      <c r="R150" s="255"/>
      <c r="S150" s="255" t="str">
        <f t="shared" si="2"/>
        <v>040-104-000011579</v>
      </c>
      <c r="T150" s="261">
        <v>104729447</v>
      </c>
      <c r="U150" s="260" t="s">
        <v>2950</v>
      </c>
    </row>
    <row r="151" spans="1:21" x14ac:dyDescent="0.2">
      <c r="A151" s="223">
        <v>147</v>
      </c>
      <c r="B151" s="255">
        <v>45814</v>
      </c>
      <c r="C151" s="255">
        <v>45805</v>
      </c>
      <c r="D151" s="255" t="s">
        <v>161</v>
      </c>
      <c r="E151" s="255" t="s">
        <v>2951</v>
      </c>
      <c r="F151" s="256" t="s">
        <v>136</v>
      </c>
      <c r="G151" s="255" t="s">
        <v>2952</v>
      </c>
      <c r="H151" s="255" t="s">
        <v>2953</v>
      </c>
      <c r="I151" s="256" t="s">
        <v>41</v>
      </c>
      <c r="J151" s="255" t="s">
        <v>64</v>
      </c>
      <c r="K151" s="255" t="s">
        <v>65</v>
      </c>
      <c r="L151" s="255" t="s">
        <v>2954</v>
      </c>
      <c r="M151" s="255" t="s">
        <v>2955</v>
      </c>
      <c r="N151" s="257">
        <v>72816343</v>
      </c>
      <c r="O151" s="258">
        <v>25</v>
      </c>
      <c r="P151" s="255" t="s">
        <v>69</v>
      </c>
      <c r="Q151" s="255" t="s">
        <v>64</v>
      </c>
      <c r="R151" s="255"/>
      <c r="S151" s="255" t="str">
        <f t="shared" si="2"/>
        <v>040-109-000013007</v>
      </c>
      <c r="T151" s="261">
        <v>103578595</v>
      </c>
      <c r="U151" s="260" t="s">
        <v>2956</v>
      </c>
    </row>
    <row r="152" spans="1:21" x14ac:dyDescent="0.2">
      <c r="A152" s="223">
        <v>148</v>
      </c>
      <c r="B152" s="255">
        <v>45814</v>
      </c>
      <c r="C152" s="255">
        <v>45793</v>
      </c>
      <c r="D152" s="255" t="s">
        <v>1867</v>
      </c>
      <c r="E152" s="255" t="s">
        <v>2957</v>
      </c>
      <c r="F152" s="256" t="s">
        <v>136</v>
      </c>
      <c r="G152" s="255" t="s">
        <v>137</v>
      </c>
      <c r="H152" s="255" t="s">
        <v>2958</v>
      </c>
      <c r="I152" s="256" t="s">
        <v>41</v>
      </c>
      <c r="J152" s="255" t="s">
        <v>64</v>
      </c>
      <c r="K152" s="255" t="s">
        <v>65</v>
      </c>
      <c r="L152" s="255" t="s">
        <v>2959</v>
      </c>
      <c r="M152" s="255" t="s">
        <v>2960</v>
      </c>
      <c r="N152" s="257">
        <v>72845025</v>
      </c>
      <c r="O152" s="258">
        <v>25</v>
      </c>
      <c r="P152" s="255" t="s">
        <v>69</v>
      </c>
      <c r="Q152" s="255" t="s">
        <v>64</v>
      </c>
      <c r="R152" s="255"/>
      <c r="S152" s="255" t="str">
        <f t="shared" si="2"/>
        <v>001-500-000073489</v>
      </c>
      <c r="T152" s="261">
        <v>10392626</v>
      </c>
      <c r="U152" s="260" t="s">
        <v>2961</v>
      </c>
    </row>
    <row r="153" spans="1:21" x14ac:dyDescent="0.2">
      <c r="A153" s="223">
        <v>149</v>
      </c>
      <c r="B153" s="255">
        <v>45817</v>
      </c>
      <c r="C153" s="255">
        <v>45808</v>
      </c>
      <c r="D153" s="255" t="s">
        <v>2962</v>
      </c>
      <c r="E153" s="255" t="s">
        <v>2963</v>
      </c>
      <c r="F153" s="256" t="s">
        <v>251</v>
      </c>
      <c r="G153" s="255" t="s">
        <v>1017</v>
      </c>
      <c r="H153" s="255" t="s">
        <v>2964</v>
      </c>
      <c r="I153" s="256" t="s">
        <v>41</v>
      </c>
      <c r="J153" s="255" t="s">
        <v>64</v>
      </c>
      <c r="K153" s="255" t="s">
        <v>65</v>
      </c>
      <c r="L153" s="255" t="s">
        <v>2965</v>
      </c>
      <c r="M153" s="255" t="s">
        <v>533</v>
      </c>
      <c r="N153" s="257">
        <v>984014275</v>
      </c>
      <c r="O153" s="258">
        <v>15</v>
      </c>
      <c r="P153" s="255" t="s">
        <v>69</v>
      </c>
      <c r="Q153" s="255" t="s">
        <v>64</v>
      </c>
      <c r="R153" s="255"/>
      <c r="S153" s="255" t="str">
        <f t="shared" si="2"/>
        <v>001-500-000073893</v>
      </c>
      <c r="T153" s="261">
        <v>105254163</v>
      </c>
      <c r="U153" s="260" t="s">
        <v>2966</v>
      </c>
    </row>
    <row r="154" spans="1:21" x14ac:dyDescent="0.2">
      <c r="A154" s="223">
        <v>150</v>
      </c>
      <c r="B154" s="255">
        <v>45818</v>
      </c>
      <c r="C154" s="255">
        <v>45799</v>
      </c>
      <c r="D154" s="255" t="s">
        <v>125</v>
      </c>
      <c r="E154" s="255" t="s">
        <v>2967</v>
      </c>
      <c r="F154" s="256" t="s">
        <v>921</v>
      </c>
      <c r="G154" s="255" t="s">
        <v>922</v>
      </c>
      <c r="H154" s="255" t="s">
        <v>2968</v>
      </c>
      <c r="I154" s="256" t="s">
        <v>41</v>
      </c>
      <c r="J154" s="255" t="s">
        <v>64</v>
      </c>
      <c r="K154" s="255" t="s">
        <v>65</v>
      </c>
      <c r="L154" s="255" t="s">
        <v>2969</v>
      </c>
      <c r="M154" s="255" t="s">
        <v>533</v>
      </c>
      <c r="N154" s="257">
        <v>704075004</v>
      </c>
      <c r="O154" s="258">
        <v>15</v>
      </c>
      <c r="P154" s="255" t="s">
        <v>69</v>
      </c>
      <c r="Q154" s="255" t="s">
        <v>64</v>
      </c>
      <c r="R154" s="255"/>
      <c r="S154" s="255" t="str">
        <f t="shared" si="2"/>
        <v>016-902-000510323</v>
      </c>
      <c r="T154" s="261">
        <v>157400372</v>
      </c>
      <c r="U154" s="260" t="s">
        <v>2970</v>
      </c>
    </row>
    <row r="155" spans="1:21" x14ac:dyDescent="0.2">
      <c r="A155" s="223">
        <v>151</v>
      </c>
      <c r="B155" s="255">
        <v>45819</v>
      </c>
      <c r="C155" s="255">
        <v>45818</v>
      </c>
      <c r="D155" s="255" t="s">
        <v>1867</v>
      </c>
      <c r="E155" s="255" t="s">
        <v>2971</v>
      </c>
      <c r="F155" s="256" t="s">
        <v>2929</v>
      </c>
      <c r="G155" s="255" t="s">
        <v>2930</v>
      </c>
      <c r="H155" s="255" t="s">
        <v>2972</v>
      </c>
      <c r="I155" s="256" t="s">
        <v>41</v>
      </c>
      <c r="J155" s="255" t="s">
        <v>64</v>
      </c>
      <c r="K155" s="255" t="s">
        <v>65</v>
      </c>
      <c r="L155" s="255" t="s">
        <v>2973</v>
      </c>
      <c r="M155" s="255" t="s">
        <v>2974</v>
      </c>
      <c r="N155" s="257">
        <v>997688257</v>
      </c>
      <c r="O155" s="258">
        <v>29</v>
      </c>
      <c r="P155" s="255" t="s">
        <v>69</v>
      </c>
      <c r="Q155" s="255" t="s">
        <v>64</v>
      </c>
      <c r="R155" s="255"/>
      <c r="S155" s="255" t="str">
        <f t="shared" si="2"/>
        <v>001-500-000074138</v>
      </c>
      <c r="T155" s="261">
        <v>101598175</v>
      </c>
      <c r="U155" s="260" t="s">
        <v>2975</v>
      </c>
    </row>
    <row r="156" spans="1:21" x14ac:dyDescent="0.2">
      <c r="A156" s="223">
        <v>152</v>
      </c>
      <c r="B156" s="255">
        <v>45821</v>
      </c>
      <c r="C156" s="255">
        <v>45748</v>
      </c>
      <c r="D156" s="255" t="s">
        <v>125</v>
      </c>
      <c r="E156" s="255" t="s">
        <v>2976</v>
      </c>
      <c r="F156" s="256" t="s">
        <v>2977</v>
      </c>
      <c r="G156" s="255" t="s">
        <v>2978</v>
      </c>
      <c r="H156" s="255" t="s">
        <v>2979</v>
      </c>
      <c r="I156" s="256" t="s">
        <v>41</v>
      </c>
      <c r="J156" s="255" t="s">
        <v>64</v>
      </c>
      <c r="K156" s="255" t="s">
        <v>65</v>
      </c>
      <c r="L156" s="255" t="s">
        <v>2980</v>
      </c>
      <c r="M156" s="255" t="s">
        <v>2981</v>
      </c>
      <c r="N156" s="257">
        <v>72834165</v>
      </c>
      <c r="O156" s="258">
        <v>29</v>
      </c>
      <c r="P156" s="255" t="s">
        <v>69</v>
      </c>
      <c r="Q156" s="255" t="s">
        <v>64</v>
      </c>
      <c r="R156" s="255"/>
      <c r="S156" s="255" t="str">
        <f t="shared" si="2"/>
        <v>016-907-000246124</v>
      </c>
      <c r="T156" s="259" t="s">
        <v>2982</v>
      </c>
      <c r="U156" s="260" t="s">
        <v>2983</v>
      </c>
    </row>
    <row r="157" spans="1:21" x14ac:dyDescent="0.2">
      <c r="A157" s="223">
        <v>153</v>
      </c>
      <c r="B157" s="255">
        <v>45821</v>
      </c>
      <c r="C157" s="255">
        <v>45820</v>
      </c>
      <c r="D157" s="255" t="s">
        <v>125</v>
      </c>
      <c r="E157" s="255" t="s">
        <v>2984</v>
      </c>
      <c r="F157" s="256" t="s">
        <v>2985</v>
      </c>
      <c r="G157" s="255" t="s">
        <v>517</v>
      </c>
      <c r="H157" s="255" t="s">
        <v>2986</v>
      </c>
      <c r="I157" s="256" t="s">
        <v>41</v>
      </c>
      <c r="J157" s="255" t="s">
        <v>64</v>
      </c>
      <c r="K157" s="255" t="s">
        <v>65</v>
      </c>
      <c r="L157" s="255" t="s">
        <v>2987</v>
      </c>
      <c r="M157" s="255" t="s">
        <v>533</v>
      </c>
      <c r="N157" s="257">
        <v>994129517</v>
      </c>
      <c r="O157" s="258">
        <v>29</v>
      </c>
      <c r="P157" s="255" t="s">
        <v>69</v>
      </c>
      <c r="Q157" s="255" t="s">
        <v>64</v>
      </c>
      <c r="R157" s="255"/>
      <c r="S157" s="255" t="str">
        <f t="shared" si="2"/>
        <v>016-907-000257755</v>
      </c>
      <c r="T157" s="259" t="s">
        <v>2988</v>
      </c>
      <c r="U157" s="260" t="s">
        <v>2989</v>
      </c>
    </row>
    <row r="158" spans="1:21" x14ac:dyDescent="0.2">
      <c r="A158" s="223">
        <v>154</v>
      </c>
      <c r="B158" s="255">
        <v>45821</v>
      </c>
      <c r="C158" s="255">
        <v>45809</v>
      </c>
      <c r="D158" s="255" t="s">
        <v>125</v>
      </c>
      <c r="E158" s="255" t="s">
        <v>2990</v>
      </c>
      <c r="F158" s="256" t="s">
        <v>136</v>
      </c>
      <c r="G158" s="255" t="s">
        <v>2952</v>
      </c>
      <c r="H158" s="255" t="s">
        <v>2684</v>
      </c>
      <c r="I158" s="256" t="s">
        <v>41</v>
      </c>
      <c r="J158" s="255" t="s">
        <v>64</v>
      </c>
      <c r="K158" s="255" t="s">
        <v>65</v>
      </c>
      <c r="L158" s="255" t="s">
        <v>2991</v>
      </c>
      <c r="M158" s="255" t="s">
        <v>2992</v>
      </c>
      <c r="N158" s="257">
        <v>995805576</v>
      </c>
      <c r="O158" s="258">
        <v>29</v>
      </c>
      <c r="P158" s="255" t="s">
        <v>69</v>
      </c>
      <c r="Q158" s="255" t="s">
        <v>64</v>
      </c>
      <c r="R158" s="255"/>
      <c r="S158" s="255" t="str">
        <f t="shared" si="2"/>
        <v>043-903-000077932</v>
      </c>
      <c r="T158" s="259" t="s">
        <v>2993</v>
      </c>
      <c r="U158" s="260" t="s">
        <v>2994</v>
      </c>
    </row>
    <row r="159" spans="1:21" x14ac:dyDescent="0.2">
      <c r="A159" s="223">
        <v>155</v>
      </c>
      <c r="B159" s="255">
        <v>45824</v>
      </c>
      <c r="C159" s="255">
        <v>45822</v>
      </c>
      <c r="D159" s="255" t="s">
        <v>125</v>
      </c>
      <c r="E159" s="255" t="s">
        <v>2995</v>
      </c>
      <c r="F159" s="256" t="s">
        <v>2024</v>
      </c>
      <c r="G159" s="255" t="s">
        <v>1519</v>
      </c>
      <c r="H159" s="255" t="s">
        <v>2996</v>
      </c>
      <c r="I159" s="256" t="s">
        <v>41</v>
      </c>
      <c r="J159" s="255" t="s">
        <v>64</v>
      </c>
      <c r="K159" s="255" t="s">
        <v>65</v>
      </c>
      <c r="L159" s="255" t="s">
        <v>2987</v>
      </c>
      <c r="M159" s="255" t="s">
        <v>533</v>
      </c>
      <c r="N159" s="257">
        <v>994129517</v>
      </c>
      <c r="O159" s="258">
        <v>25</v>
      </c>
      <c r="P159" s="255" t="s">
        <v>69</v>
      </c>
      <c r="Q159" s="255" t="s">
        <v>64</v>
      </c>
      <c r="R159" s="255"/>
      <c r="S159" s="255" t="str">
        <f t="shared" si="2"/>
        <v>016-907-000257694</v>
      </c>
      <c r="T159" s="259" t="s">
        <v>2988</v>
      </c>
      <c r="U159" s="260" t="s">
        <v>2989</v>
      </c>
    </row>
    <row r="160" spans="1:21" x14ac:dyDescent="0.2">
      <c r="A160" s="223">
        <v>156</v>
      </c>
      <c r="B160" s="255">
        <v>45825</v>
      </c>
      <c r="C160" s="255">
        <v>45694</v>
      </c>
      <c r="D160" s="255" t="s">
        <v>125</v>
      </c>
      <c r="E160" s="255" t="s">
        <v>2997</v>
      </c>
      <c r="F160" s="256" t="s">
        <v>260</v>
      </c>
      <c r="G160" s="255" t="s">
        <v>2998</v>
      </c>
      <c r="H160" s="255" t="s">
        <v>2999</v>
      </c>
      <c r="I160" s="256" t="s">
        <v>41</v>
      </c>
      <c r="J160" s="255" t="s">
        <v>64</v>
      </c>
      <c r="K160" s="255" t="s">
        <v>65</v>
      </c>
      <c r="L160" s="255" t="s">
        <v>1941</v>
      </c>
      <c r="M160" s="255" t="s">
        <v>3000</v>
      </c>
      <c r="N160" s="257">
        <v>995102591</v>
      </c>
      <c r="O160" s="258">
        <v>25</v>
      </c>
      <c r="P160" s="255" t="s">
        <v>69</v>
      </c>
      <c r="Q160" s="255" t="s">
        <v>64</v>
      </c>
      <c r="R160" s="255"/>
      <c r="S160" s="255" t="str">
        <f t="shared" si="2"/>
        <v>043-102-000038932</v>
      </c>
      <c r="T160" s="259" t="s">
        <v>3001</v>
      </c>
      <c r="U160" s="260" t="s">
        <v>3002</v>
      </c>
    </row>
    <row r="161" spans="1:21" x14ac:dyDescent="0.2">
      <c r="A161" s="223">
        <v>157</v>
      </c>
      <c r="B161" s="255">
        <v>45825</v>
      </c>
      <c r="C161" s="255">
        <v>45789</v>
      </c>
      <c r="D161" s="255" t="s">
        <v>1867</v>
      </c>
      <c r="E161" s="255" t="s">
        <v>3003</v>
      </c>
      <c r="F161" s="256" t="s">
        <v>3004</v>
      </c>
      <c r="G161" s="255" t="s">
        <v>3005</v>
      </c>
      <c r="H161" s="255" t="s">
        <v>3006</v>
      </c>
      <c r="I161" s="256" t="s">
        <v>41</v>
      </c>
      <c r="J161" s="255" t="s">
        <v>64</v>
      </c>
      <c r="K161" s="255" t="s">
        <v>65</v>
      </c>
      <c r="L161" s="255" t="s">
        <v>3007</v>
      </c>
      <c r="M161" s="255" t="s">
        <v>3008</v>
      </c>
      <c r="N161" s="257">
        <v>997304787</v>
      </c>
      <c r="O161" s="258">
        <v>29</v>
      </c>
      <c r="P161" s="255" t="s">
        <v>69</v>
      </c>
      <c r="Q161" s="255" t="s">
        <v>64</v>
      </c>
      <c r="R161" s="255"/>
      <c r="S161" s="255" t="str">
        <f t="shared" si="2"/>
        <v>001-500-000073371</v>
      </c>
      <c r="T161" s="259" t="s">
        <v>3009</v>
      </c>
      <c r="U161" s="260" t="s">
        <v>3010</v>
      </c>
    </row>
    <row r="162" spans="1:21" x14ac:dyDescent="0.2">
      <c r="A162" s="223">
        <v>158</v>
      </c>
      <c r="B162" s="255">
        <v>45826</v>
      </c>
      <c r="C162" s="255">
        <v>45772</v>
      </c>
      <c r="D162" s="255" t="s">
        <v>75</v>
      </c>
      <c r="E162" s="255" t="s">
        <v>3011</v>
      </c>
      <c r="F162" s="256" t="s">
        <v>899</v>
      </c>
      <c r="G162" s="255" t="s">
        <v>655</v>
      </c>
      <c r="H162" s="255" t="s">
        <v>3012</v>
      </c>
      <c r="I162" s="256" t="s">
        <v>41</v>
      </c>
      <c r="J162" s="255" t="s">
        <v>64</v>
      </c>
      <c r="K162" s="255" t="s">
        <v>65</v>
      </c>
      <c r="L162" s="255" t="s">
        <v>3013</v>
      </c>
      <c r="M162" s="255" t="s">
        <v>3014</v>
      </c>
      <c r="N162" s="257">
        <v>983549145</v>
      </c>
      <c r="O162" s="258">
        <v>25</v>
      </c>
      <c r="P162" s="255" t="s">
        <v>69</v>
      </c>
      <c r="Q162" s="255" t="s">
        <v>64</v>
      </c>
      <c r="R162" s="255"/>
      <c r="S162" s="255" t="str">
        <f t="shared" si="2"/>
        <v>001-101-000003343</v>
      </c>
      <c r="T162" s="259" t="s">
        <v>3015</v>
      </c>
      <c r="U162" s="260" t="s">
        <v>3016</v>
      </c>
    </row>
    <row r="163" spans="1:21" x14ac:dyDescent="0.2">
      <c r="A163" s="223">
        <v>159</v>
      </c>
      <c r="B163" s="255">
        <v>45823</v>
      </c>
      <c r="C163" s="255">
        <v>45827</v>
      </c>
      <c r="D163" s="255" t="s">
        <v>75</v>
      </c>
      <c r="E163" s="255" t="s">
        <v>3297</v>
      </c>
      <c r="F163" s="209">
        <v>40466111</v>
      </c>
      <c r="G163" s="255" t="s">
        <v>1017</v>
      </c>
      <c r="H163" s="255" t="s">
        <v>3298</v>
      </c>
      <c r="I163" s="256" t="s">
        <v>41</v>
      </c>
      <c r="J163" s="255" t="s">
        <v>64</v>
      </c>
      <c r="K163" s="255" t="s">
        <v>65</v>
      </c>
      <c r="L163" s="255" t="s">
        <v>3299</v>
      </c>
      <c r="M163" s="255" t="s">
        <v>3300</v>
      </c>
      <c r="N163" s="257">
        <v>980157531</v>
      </c>
      <c r="O163" s="258">
        <v>15</v>
      </c>
      <c r="P163" s="255" t="s">
        <v>69</v>
      </c>
      <c r="Q163" s="255" t="s">
        <v>64</v>
      </c>
      <c r="R163" s="255"/>
      <c r="S163" s="255" t="str">
        <f>E163</f>
        <v>001-001-000001009</v>
      </c>
      <c r="T163" s="259" t="s">
        <v>3301</v>
      </c>
      <c r="U163" s="260" t="s">
        <v>3302</v>
      </c>
    </row>
    <row r="164" spans="1:21" x14ac:dyDescent="0.2">
      <c r="A164" s="223">
        <v>160</v>
      </c>
      <c r="B164" s="255">
        <v>45817</v>
      </c>
      <c r="C164" s="255">
        <v>46192</v>
      </c>
      <c r="D164" s="255" t="s">
        <v>1867</v>
      </c>
      <c r="E164" s="255" t="s">
        <v>3303</v>
      </c>
      <c r="F164" s="209">
        <v>111000051</v>
      </c>
      <c r="G164" s="255" t="s">
        <v>137</v>
      </c>
      <c r="H164" s="255" t="s">
        <v>3304</v>
      </c>
      <c r="I164" s="256" t="s">
        <v>41</v>
      </c>
      <c r="J164" s="255" t="s">
        <v>64</v>
      </c>
      <c r="K164" s="255" t="s">
        <v>65</v>
      </c>
      <c r="L164" s="255" t="s">
        <v>3305</v>
      </c>
      <c r="M164" s="255" t="s">
        <v>3306</v>
      </c>
      <c r="N164" s="257">
        <v>996747976</v>
      </c>
      <c r="O164" s="258">
        <v>25</v>
      </c>
      <c r="P164" s="255" t="s">
        <v>69</v>
      </c>
      <c r="Q164" s="255" t="s">
        <v>64</v>
      </c>
      <c r="R164" s="255"/>
      <c r="S164" s="255" t="str">
        <f>E164</f>
        <v>001-500-000074126</v>
      </c>
      <c r="T164" s="259" t="s">
        <v>3307</v>
      </c>
      <c r="U164" s="260" t="s">
        <v>3308</v>
      </c>
    </row>
    <row r="165" spans="1:21" x14ac:dyDescent="0.2">
      <c r="A165" s="223">
        <v>161</v>
      </c>
      <c r="B165" s="255">
        <v>45824</v>
      </c>
      <c r="C165" s="255">
        <v>45827</v>
      </c>
      <c r="D165" s="255" t="s">
        <v>187</v>
      </c>
      <c r="E165" s="255" t="s">
        <v>3309</v>
      </c>
      <c r="F165" s="209">
        <v>40297051</v>
      </c>
      <c r="G165" s="255" t="s">
        <v>3310</v>
      </c>
      <c r="H165" s="256" t="s">
        <v>3311</v>
      </c>
      <c r="I165" s="256" t="s">
        <v>41</v>
      </c>
      <c r="J165" s="255" t="s">
        <v>64</v>
      </c>
      <c r="K165" s="255" t="s">
        <v>65</v>
      </c>
      <c r="L165" s="255" t="s">
        <v>3312</v>
      </c>
      <c r="M165" s="255" t="s">
        <v>3313</v>
      </c>
      <c r="N165" s="257">
        <v>984341604</v>
      </c>
      <c r="O165" s="258">
        <v>29</v>
      </c>
      <c r="P165" s="255" t="s">
        <v>69</v>
      </c>
      <c r="Q165" s="255" t="s">
        <v>64</v>
      </c>
      <c r="R165" s="255"/>
      <c r="S165" s="255" t="str">
        <f>E165</f>
        <v>040-103-000014150</v>
      </c>
      <c r="T165" s="259" t="s">
        <v>3314</v>
      </c>
      <c r="U165" s="260" t="s">
        <v>3315</v>
      </c>
    </row>
    <row r="166" spans="1:21" x14ac:dyDescent="0.2">
      <c r="A166" s="223">
        <v>162</v>
      </c>
      <c r="B166" s="255">
        <v>45824</v>
      </c>
      <c r="C166" s="255">
        <v>45828</v>
      </c>
      <c r="D166" s="255" t="s">
        <v>1867</v>
      </c>
      <c r="E166" s="255" t="s">
        <v>3316</v>
      </c>
      <c r="F166" s="209">
        <v>111000051</v>
      </c>
      <c r="G166" s="255" t="s">
        <v>137</v>
      </c>
      <c r="H166" s="255" t="s">
        <v>3317</v>
      </c>
      <c r="I166" s="256" t="s">
        <v>41</v>
      </c>
      <c r="J166" s="255" t="s">
        <v>64</v>
      </c>
      <c r="K166" s="255" t="s">
        <v>65</v>
      </c>
      <c r="L166" s="255" t="s">
        <v>3318</v>
      </c>
      <c r="M166" s="255" t="s">
        <v>720</v>
      </c>
      <c r="N166" s="257">
        <v>998133816</v>
      </c>
      <c r="O166" s="258">
        <v>25</v>
      </c>
      <c r="P166" s="255" t="s">
        <v>69</v>
      </c>
      <c r="Q166" s="255" t="s">
        <v>64</v>
      </c>
      <c r="R166" s="255"/>
      <c r="S166" s="255" t="str">
        <f>E166</f>
        <v>001-500-000079289</v>
      </c>
      <c r="T166" s="259" t="s">
        <v>3319</v>
      </c>
      <c r="U166" s="260" t="s">
        <v>3320</v>
      </c>
    </row>
    <row r="167" spans="1:21" x14ac:dyDescent="0.2">
      <c r="A167" s="223">
        <v>163</v>
      </c>
      <c r="B167" s="255">
        <v>45826</v>
      </c>
      <c r="C167" s="255">
        <v>45828</v>
      </c>
      <c r="D167" s="255" t="s">
        <v>710</v>
      </c>
      <c r="E167" s="255" t="s">
        <v>3321</v>
      </c>
      <c r="F167" s="209">
        <v>115890043</v>
      </c>
      <c r="G167" s="255" t="s">
        <v>3322</v>
      </c>
      <c r="H167" s="255" t="s">
        <v>3323</v>
      </c>
      <c r="I167" s="256" t="s">
        <v>41</v>
      </c>
      <c r="J167" s="255" t="s">
        <v>64</v>
      </c>
      <c r="K167" s="255" t="s">
        <v>65</v>
      </c>
      <c r="L167" s="255" t="s">
        <v>3324</v>
      </c>
      <c r="M167" s="255" t="s">
        <v>3325</v>
      </c>
      <c r="N167" s="257">
        <v>980719356</v>
      </c>
      <c r="O167" s="258">
        <v>15</v>
      </c>
      <c r="P167" s="255" t="s">
        <v>69</v>
      </c>
      <c r="Q167" s="255" t="s">
        <v>64</v>
      </c>
      <c r="R167" s="255"/>
      <c r="S167" s="255" t="str">
        <f>E167</f>
        <v>043-903-000078603</v>
      </c>
      <c r="T167" s="259" t="s">
        <v>3326</v>
      </c>
      <c r="U167" s="260" t="s">
        <v>3327</v>
      </c>
    </row>
    <row r="168" spans="1:21" x14ac:dyDescent="0.2">
      <c r="A168" s="223">
        <v>164</v>
      </c>
      <c r="B168" s="255">
        <v>45815</v>
      </c>
      <c r="C168" s="255">
        <v>45828</v>
      </c>
      <c r="D168" s="255" t="s">
        <v>125</v>
      </c>
      <c r="E168" s="255" t="s">
        <v>3328</v>
      </c>
      <c r="F168" s="209">
        <v>111010040</v>
      </c>
      <c r="G168" s="255" t="s">
        <v>1482</v>
      </c>
      <c r="H168" s="255" t="s">
        <v>3329</v>
      </c>
      <c r="I168" s="256" t="s">
        <v>41</v>
      </c>
      <c r="J168" s="255" t="s">
        <v>64</v>
      </c>
      <c r="K168" s="255" t="s">
        <v>65</v>
      </c>
      <c r="L168" s="255" t="s">
        <v>747</v>
      </c>
      <c r="M168" s="255" t="s">
        <v>748</v>
      </c>
      <c r="N168" s="257">
        <v>995422469</v>
      </c>
      <c r="O168" s="258">
        <v>25</v>
      </c>
      <c r="P168" s="255" t="s">
        <v>69</v>
      </c>
      <c r="Q168" s="255" t="s">
        <v>64</v>
      </c>
      <c r="R168" s="255"/>
      <c r="S168" s="255" t="str">
        <f>E168</f>
        <v>043-902-000052192</v>
      </c>
      <c r="T168" s="259" t="s">
        <v>3330</v>
      </c>
      <c r="U168" s="260" t="s">
        <v>3331</v>
      </c>
    </row>
    <row r="169" spans="1:21" x14ac:dyDescent="0.2">
      <c r="A169" s="223">
        <v>165</v>
      </c>
      <c r="B169" s="255">
        <v>45819</v>
      </c>
      <c r="C169" s="255">
        <v>45829</v>
      </c>
      <c r="D169" s="255" t="s">
        <v>125</v>
      </c>
      <c r="E169" s="255" t="s">
        <v>3332</v>
      </c>
      <c r="F169" s="209">
        <v>112570126</v>
      </c>
      <c r="G169" s="255" t="s">
        <v>882</v>
      </c>
      <c r="H169" s="255" t="s">
        <v>3333</v>
      </c>
      <c r="I169" s="256" t="s">
        <v>41</v>
      </c>
      <c r="J169" s="255" t="s">
        <v>64</v>
      </c>
      <c r="K169" s="255" t="s">
        <v>65</v>
      </c>
      <c r="L169" s="255" t="s">
        <v>3334</v>
      </c>
      <c r="M169" s="255" t="s">
        <v>3335</v>
      </c>
      <c r="N169" s="257">
        <v>993192807</v>
      </c>
      <c r="O169" s="258">
        <v>29</v>
      </c>
      <c r="P169" s="255" t="s">
        <v>69</v>
      </c>
      <c r="Q169" s="255" t="s">
        <v>64</v>
      </c>
      <c r="R169" s="255"/>
      <c r="S169" s="255" t="str">
        <f>E169</f>
        <v>043-901-000008111</v>
      </c>
      <c r="T169" s="259" t="s">
        <v>3336</v>
      </c>
      <c r="U169" s="260" t="s">
        <v>3337</v>
      </c>
    </row>
    <row r="170" spans="1:21" x14ac:dyDescent="0.2">
      <c r="A170" s="223">
        <v>166</v>
      </c>
      <c r="B170" s="255">
        <v>45827</v>
      </c>
      <c r="C170" s="255">
        <v>45829</v>
      </c>
      <c r="D170" s="255" t="s">
        <v>125</v>
      </c>
      <c r="E170" s="255" t="s">
        <v>3338</v>
      </c>
      <c r="F170" s="209">
        <v>40466241</v>
      </c>
      <c r="G170" s="255" t="s">
        <v>214</v>
      </c>
      <c r="H170" s="255" t="s">
        <v>3339</v>
      </c>
      <c r="I170" s="256" t="s">
        <v>41</v>
      </c>
      <c r="J170" s="255" t="s">
        <v>64</v>
      </c>
      <c r="K170" s="255" t="s">
        <v>65</v>
      </c>
      <c r="L170" s="255" t="s">
        <v>3340</v>
      </c>
      <c r="M170" s="255" t="s">
        <v>378</v>
      </c>
      <c r="N170" s="257">
        <v>968139215</v>
      </c>
      <c r="O170" s="258">
        <v>15</v>
      </c>
      <c r="P170" s="255" t="s">
        <v>69</v>
      </c>
      <c r="Q170" s="255" t="s">
        <v>64</v>
      </c>
      <c r="R170" s="255"/>
      <c r="S170" s="255" t="str">
        <f>E170</f>
        <v>016-902-000513966</v>
      </c>
      <c r="T170" s="259" t="s">
        <v>3341</v>
      </c>
      <c r="U170" s="260" t="s">
        <v>3342</v>
      </c>
    </row>
    <row r="171" spans="1:21" x14ac:dyDescent="0.2">
      <c r="A171" s="223">
        <v>167</v>
      </c>
      <c r="B171" s="255">
        <v>45784</v>
      </c>
      <c r="C171" s="255">
        <v>45831</v>
      </c>
      <c r="D171" s="255" t="s">
        <v>161</v>
      </c>
      <c r="E171" s="255" t="s">
        <v>3343</v>
      </c>
      <c r="F171" s="209">
        <v>407822127</v>
      </c>
      <c r="G171" s="255" t="s">
        <v>3344</v>
      </c>
      <c r="H171" s="255" t="s">
        <v>3345</v>
      </c>
      <c r="I171" s="256" t="s">
        <v>41</v>
      </c>
      <c r="J171" s="255" t="s">
        <v>64</v>
      </c>
      <c r="K171" s="255" t="s">
        <v>65</v>
      </c>
      <c r="L171" s="255" t="s">
        <v>3346</v>
      </c>
      <c r="M171" s="255" t="s">
        <v>3347</v>
      </c>
      <c r="N171" s="257">
        <v>959466093</v>
      </c>
      <c r="O171" s="258">
        <v>25</v>
      </c>
      <c r="P171" s="255" t="s">
        <v>69</v>
      </c>
      <c r="Q171" s="255" t="s">
        <v>64</v>
      </c>
      <c r="R171" s="255"/>
      <c r="S171" s="255" t="str">
        <f>E171</f>
        <v>040-103-000313410</v>
      </c>
      <c r="T171" s="259" t="s">
        <v>3348</v>
      </c>
      <c r="U171" s="260" t="s">
        <v>3349</v>
      </c>
    </row>
    <row r="172" spans="1:21" x14ac:dyDescent="0.2">
      <c r="A172" s="223">
        <v>168</v>
      </c>
      <c r="B172" s="255">
        <v>45834</v>
      </c>
      <c r="C172" s="255">
        <v>45835</v>
      </c>
      <c r="D172" s="255" t="s">
        <v>3165</v>
      </c>
      <c r="E172" s="255" t="s">
        <v>3350</v>
      </c>
      <c r="F172" s="209">
        <v>40446712</v>
      </c>
      <c r="G172" s="255" t="s">
        <v>468</v>
      </c>
      <c r="H172" s="255" t="s">
        <v>3351</v>
      </c>
      <c r="I172" s="256" t="s">
        <v>41</v>
      </c>
      <c r="J172" s="255" t="s">
        <v>64</v>
      </c>
      <c r="K172" s="255" t="s">
        <v>65</v>
      </c>
      <c r="L172" s="255" t="s">
        <v>3352</v>
      </c>
      <c r="M172" s="255" t="s">
        <v>3353</v>
      </c>
      <c r="N172" s="257">
        <v>995465919</v>
      </c>
      <c r="O172" s="258">
        <v>15</v>
      </c>
      <c r="P172" s="255" t="s">
        <v>69</v>
      </c>
      <c r="Q172" s="255" t="s">
        <v>64</v>
      </c>
      <c r="R172" s="255"/>
      <c r="S172" s="255" t="str">
        <f>E172</f>
        <v>001-101-0000003663</v>
      </c>
      <c r="T172" s="259" t="s">
        <v>3354</v>
      </c>
      <c r="U172" s="260" t="s">
        <v>3355</v>
      </c>
    </row>
    <row r="173" spans="1:21" x14ac:dyDescent="0.2">
      <c r="A173" s="223">
        <v>169</v>
      </c>
      <c r="B173" s="255">
        <v>45834</v>
      </c>
      <c r="C173" s="255">
        <v>45836</v>
      </c>
      <c r="D173" s="255" t="s">
        <v>190</v>
      </c>
      <c r="E173" s="255" t="s">
        <v>3356</v>
      </c>
      <c r="F173" s="209">
        <v>112500049</v>
      </c>
      <c r="G173" s="255" t="s">
        <v>3357</v>
      </c>
      <c r="H173" s="255" t="s">
        <v>3358</v>
      </c>
      <c r="I173" s="256" t="s">
        <v>41</v>
      </c>
      <c r="J173" s="255" t="s">
        <v>64</v>
      </c>
      <c r="K173" s="255" t="s">
        <v>65</v>
      </c>
      <c r="L173" s="255" t="s">
        <v>3359</v>
      </c>
      <c r="M173" s="255" t="s">
        <v>3360</v>
      </c>
      <c r="N173" s="257">
        <v>999516651</v>
      </c>
      <c r="O173" s="258">
        <v>25</v>
      </c>
      <c r="P173" s="255" t="s">
        <v>69</v>
      </c>
      <c r="Q173" s="255" t="s">
        <v>64</v>
      </c>
      <c r="R173" s="255"/>
      <c r="S173" s="255" t="str">
        <f>E173</f>
        <v>006-002-000158219</v>
      </c>
      <c r="T173" s="259" t="s">
        <v>3361</v>
      </c>
      <c r="U173" s="260" t="s">
        <v>3362</v>
      </c>
    </row>
    <row r="174" spans="1:21" x14ac:dyDescent="0.2">
      <c r="A174" s="223">
        <v>170</v>
      </c>
      <c r="B174" s="255">
        <v>45829</v>
      </c>
      <c r="C174" s="255">
        <v>45839</v>
      </c>
      <c r="D174" s="255" t="s">
        <v>125</v>
      </c>
      <c r="E174" s="255" t="s">
        <v>3363</v>
      </c>
      <c r="F174" s="209">
        <v>111000051</v>
      </c>
      <c r="G174" s="255" t="s">
        <v>137</v>
      </c>
      <c r="H174" s="255" t="s">
        <v>3364</v>
      </c>
      <c r="I174" s="256" t="s">
        <v>41</v>
      </c>
      <c r="J174" s="255" t="s">
        <v>64</v>
      </c>
      <c r="K174" s="255" t="s">
        <v>65</v>
      </c>
      <c r="L174" s="255" t="s">
        <v>3365</v>
      </c>
      <c r="M174" s="255" t="s">
        <v>378</v>
      </c>
      <c r="N174" s="257">
        <v>995509326</v>
      </c>
      <c r="O174" s="258">
        <v>25</v>
      </c>
      <c r="P174" s="255" t="s">
        <v>69</v>
      </c>
      <c r="Q174" s="255" t="s">
        <v>64</v>
      </c>
      <c r="R174" s="255"/>
      <c r="S174" s="255" t="str">
        <f>E174</f>
        <v>043-903-000079297</v>
      </c>
      <c r="T174" s="259" t="s">
        <v>3366</v>
      </c>
      <c r="U174" s="260" t="s">
        <v>3367</v>
      </c>
    </row>
    <row r="175" spans="1:21" x14ac:dyDescent="0.2">
      <c r="A175" s="223">
        <v>171</v>
      </c>
      <c r="B175" s="255">
        <v>45832</v>
      </c>
      <c r="C175" s="255">
        <v>45839</v>
      </c>
      <c r="D175" s="255" t="s">
        <v>125</v>
      </c>
      <c r="E175" s="255" t="s">
        <v>3368</v>
      </c>
      <c r="F175" s="209">
        <v>40584202</v>
      </c>
      <c r="G175" s="255" t="s">
        <v>398</v>
      </c>
      <c r="H175" s="255" t="s">
        <v>3369</v>
      </c>
      <c r="I175" s="256" t="s">
        <v>41</v>
      </c>
      <c r="J175" s="255" t="s">
        <v>64</v>
      </c>
      <c r="K175" s="255" t="s">
        <v>65</v>
      </c>
      <c r="L175" s="255" t="s">
        <v>3370</v>
      </c>
      <c r="M175" s="255" t="s">
        <v>3371</v>
      </c>
      <c r="N175" s="257">
        <v>992819130</v>
      </c>
      <c r="O175" s="258">
        <v>25</v>
      </c>
      <c r="P175" s="255" t="s">
        <v>69</v>
      </c>
      <c r="Q175" s="255" t="s">
        <v>64</v>
      </c>
      <c r="R175" s="255"/>
      <c r="S175" s="255" t="str">
        <f>E175</f>
        <v>093-905-000080505</v>
      </c>
      <c r="T175" s="259" t="s">
        <v>3372</v>
      </c>
      <c r="U175" s="260" t="s">
        <v>3373</v>
      </c>
    </row>
    <row r="176" spans="1:21" x14ac:dyDescent="0.2">
      <c r="A176" s="223">
        <v>172</v>
      </c>
      <c r="B176" s="255">
        <v>45775</v>
      </c>
      <c r="C176" s="255">
        <v>45839</v>
      </c>
      <c r="D176" s="255" t="s">
        <v>1867</v>
      </c>
      <c r="E176" s="255" t="s">
        <v>3374</v>
      </c>
      <c r="F176" s="209">
        <v>40446712</v>
      </c>
      <c r="G176" s="255" t="s">
        <v>519</v>
      </c>
      <c r="H176" s="255" t="s">
        <v>3375</v>
      </c>
      <c r="I176" s="256" t="s">
        <v>41</v>
      </c>
      <c r="J176" s="255" t="s">
        <v>64</v>
      </c>
      <c r="K176" s="255" t="s">
        <v>65</v>
      </c>
      <c r="L176" s="255" t="s">
        <v>3376</v>
      </c>
      <c r="M176" s="255" t="s">
        <v>3377</v>
      </c>
      <c r="N176" s="257">
        <v>984487440</v>
      </c>
      <c r="O176" s="258">
        <v>15</v>
      </c>
      <c r="P176" s="255" t="s">
        <v>69</v>
      </c>
      <c r="Q176" s="255" t="s">
        <v>64</v>
      </c>
      <c r="R176" s="255"/>
      <c r="S176" s="255" t="str">
        <f>E176</f>
        <v>001-500-000072835</v>
      </c>
      <c r="T176" s="259" t="s">
        <v>3378</v>
      </c>
      <c r="U176" s="260" t="s">
        <v>3379</v>
      </c>
    </row>
    <row r="177" spans="1:21" x14ac:dyDescent="0.2">
      <c r="A177" s="223">
        <v>173</v>
      </c>
      <c r="B177" s="255">
        <v>45837</v>
      </c>
      <c r="C177" s="255">
        <v>45840</v>
      </c>
      <c r="D177" s="255" t="s">
        <v>125</v>
      </c>
      <c r="E177" s="255" t="s">
        <v>3380</v>
      </c>
      <c r="F177" s="209">
        <v>40467305</v>
      </c>
      <c r="G177" s="255" t="s">
        <v>922</v>
      </c>
      <c r="H177" s="255" t="s">
        <v>3381</v>
      </c>
      <c r="I177" s="256" t="s">
        <v>41</v>
      </c>
      <c r="J177" s="255" t="s">
        <v>64</v>
      </c>
      <c r="K177" s="255" t="s">
        <v>65</v>
      </c>
      <c r="L177" s="255" t="s">
        <v>3382</v>
      </c>
      <c r="M177" s="255" t="s">
        <v>3113</v>
      </c>
      <c r="N177" s="257">
        <v>998527264</v>
      </c>
      <c r="O177" s="258">
        <v>15</v>
      </c>
      <c r="P177" s="255" t="s">
        <v>69</v>
      </c>
      <c r="Q177" s="255" t="s">
        <v>64</v>
      </c>
      <c r="R177" s="255"/>
      <c r="S177" s="255" t="str">
        <f>E177</f>
        <v>016-907-000289717</v>
      </c>
      <c r="T177" s="259" t="s">
        <v>3383</v>
      </c>
      <c r="U177" s="260" t="s">
        <v>3384</v>
      </c>
    </row>
    <row r="178" spans="1:21" x14ac:dyDescent="0.2">
      <c r="A178" s="223">
        <v>174</v>
      </c>
      <c r="B178" s="255">
        <v>45828</v>
      </c>
      <c r="C178" s="255">
        <v>45845</v>
      </c>
      <c r="D178" s="255" t="s">
        <v>187</v>
      </c>
      <c r="E178" s="255" t="s">
        <v>3385</v>
      </c>
      <c r="F178" s="209">
        <v>40297052</v>
      </c>
      <c r="G178" s="255" t="s">
        <v>3386</v>
      </c>
      <c r="H178" s="256">
        <v>325001730</v>
      </c>
      <c r="I178" s="256" t="s">
        <v>41</v>
      </c>
      <c r="J178" s="255" t="s">
        <v>64</v>
      </c>
      <c r="K178" s="255" t="s">
        <v>65</v>
      </c>
      <c r="L178" s="255" t="s">
        <v>3387</v>
      </c>
      <c r="M178" s="255" t="s">
        <v>584</v>
      </c>
      <c r="N178" s="257">
        <v>98277368</v>
      </c>
      <c r="O178" s="258">
        <v>29</v>
      </c>
      <c r="P178" s="255" t="s">
        <v>69</v>
      </c>
      <c r="Q178" s="255" t="s">
        <v>64</v>
      </c>
      <c r="R178" s="255"/>
      <c r="S178" s="255" t="str">
        <f>E178</f>
        <v>044-013-000021254</v>
      </c>
      <c r="T178" s="259" t="s">
        <v>3388</v>
      </c>
      <c r="U178" s="260" t="s">
        <v>3389</v>
      </c>
    </row>
    <row r="179" spans="1:21" x14ac:dyDescent="0.2">
      <c r="A179" s="223">
        <v>175</v>
      </c>
      <c r="B179" s="255">
        <v>45843</v>
      </c>
      <c r="C179" s="255">
        <v>45845</v>
      </c>
      <c r="D179" s="255" t="s">
        <v>1867</v>
      </c>
      <c r="E179" s="255" t="s">
        <v>3390</v>
      </c>
      <c r="F179" s="209">
        <v>40466241</v>
      </c>
      <c r="G179" s="255" t="s">
        <v>2386</v>
      </c>
      <c r="H179" s="255" t="s">
        <v>3391</v>
      </c>
      <c r="I179" s="256" t="s">
        <v>41</v>
      </c>
      <c r="J179" s="255" t="s">
        <v>64</v>
      </c>
      <c r="K179" s="255" t="s">
        <v>65</v>
      </c>
      <c r="L179" s="255" t="s">
        <v>3392</v>
      </c>
      <c r="M179" s="255" t="s">
        <v>3393</v>
      </c>
      <c r="N179" s="257">
        <v>984107021</v>
      </c>
      <c r="O179" s="258">
        <v>15</v>
      </c>
      <c r="P179" s="255" t="s">
        <v>69</v>
      </c>
      <c r="Q179" s="255" t="s">
        <v>64</v>
      </c>
      <c r="R179" s="255"/>
      <c r="S179" s="255" t="str">
        <f>E179</f>
        <v>001-500-000074780</v>
      </c>
      <c r="T179" s="259" t="s">
        <v>3394</v>
      </c>
      <c r="U179" s="260" t="s">
        <v>3395</v>
      </c>
    </row>
    <row r="180" spans="1:21" x14ac:dyDescent="0.2">
      <c r="A180" s="223">
        <v>176</v>
      </c>
      <c r="B180" s="262">
        <v>45860</v>
      </c>
      <c r="C180" s="262">
        <v>45859</v>
      </c>
      <c r="D180" s="262" t="s">
        <v>187</v>
      </c>
      <c r="E180" s="262" t="s">
        <v>3784</v>
      </c>
      <c r="F180" s="263">
        <v>112930047</v>
      </c>
      <c r="G180" s="264" t="str">
        <f t="shared" ref="G180:G214" si="3">VLOOKUP(F180,PROD,2,FALSE)</f>
        <v>DVT 98660 TRL BK</v>
      </c>
      <c r="H180" s="265" t="s">
        <v>3785</v>
      </c>
      <c r="I180" s="266" t="s">
        <v>41</v>
      </c>
      <c r="J180" s="262" t="s">
        <v>64</v>
      </c>
      <c r="K180" s="262" t="s">
        <v>65</v>
      </c>
      <c r="L180" s="262" t="s">
        <v>3786</v>
      </c>
      <c r="M180" s="262" t="s">
        <v>3787</v>
      </c>
      <c r="N180" s="267">
        <v>984803493</v>
      </c>
      <c r="O180" s="268">
        <v>36</v>
      </c>
      <c r="P180" s="262" t="s">
        <v>69</v>
      </c>
      <c r="Q180" s="262" t="s">
        <v>64</v>
      </c>
      <c r="R180" s="262"/>
      <c r="S180" s="262" t="str">
        <f>E180</f>
        <v>040-103-000014436</v>
      </c>
      <c r="T180" s="269" t="s">
        <v>3788</v>
      </c>
      <c r="U180" s="270" t="s">
        <v>3789</v>
      </c>
    </row>
    <row r="181" spans="1:21" x14ac:dyDescent="0.2">
      <c r="A181" s="223">
        <v>177</v>
      </c>
      <c r="B181" s="262">
        <v>45853</v>
      </c>
      <c r="C181" s="262">
        <v>45859</v>
      </c>
      <c r="D181" s="262" t="s">
        <v>100</v>
      </c>
      <c r="E181" s="262" t="s">
        <v>3790</v>
      </c>
      <c r="F181" s="263">
        <v>112570128</v>
      </c>
      <c r="G181" s="264" t="str">
        <f t="shared" si="3"/>
        <v>JZC 96342 BBB BK (LAT) COCINA MIXTA GAS - INDUCCION</v>
      </c>
      <c r="H181" s="265" t="s">
        <v>3791</v>
      </c>
      <c r="I181" s="266" t="s">
        <v>41</v>
      </c>
      <c r="J181" s="262" t="s">
        <v>64</v>
      </c>
      <c r="K181" s="262" t="s">
        <v>65</v>
      </c>
      <c r="L181" s="262" t="s">
        <v>3792</v>
      </c>
      <c r="M181" s="262" t="s">
        <v>3793</v>
      </c>
      <c r="N181" s="267">
        <v>74112308</v>
      </c>
      <c r="O181" s="268">
        <v>29</v>
      </c>
      <c r="P181" s="262" t="s">
        <v>69</v>
      </c>
      <c r="Q181" s="262" t="s">
        <v>64</v>
      </c>
      <c r="R181" s="262"/>
      <c r="S181" s="262" t="str">
        <f>E181</f>
        <v>001-500-000075033</v>
      </c>
      <c r="T181" s="269" t="s">
        <v>3794</v>
      </c>
      <c r="U181" s="270" t="s">
        <v>3795</v>
      </c>
    </row>
    <row r="182" spans="1:21" x14ac:dyDescent="0.2">
      <c r="A182" s="223">
        <v>178</v>
      </c>
      <c r="B182" s="262">
        <v>45622</v>
      </c>
      <c r="C182" s="262">
        <v>45859</v>
      </c>
      <c r="D182" s="262" t="s">
        <v>187</v>
      </c>
      <c r="E182" s="262" t="s">
        <v>3796</v>
      </c>
      <c r="F182" s="263">
        <v>40782128</v>
      </c>
      <c r="G182" s="264" t="str">
        <f t="shared" si="3"/>
        <v>DW8 57 FIM-D LAVAVAJILLAS</v>
      </c>
      <c r="H182" s="271" t="s">
        <v>3797</v>
      </c>
      <c r="I182" s="266" t="s">
        <v>41</v>
      </c>
      <c r="J182" s="262" t="s">
        <v>64</v>
      </c>
      <c r="K182" s="262" t="s">
        <v>65</v>
      </c>
      <c r="L182" s="262" t="s">
        <v>3798</v>
      </c>
      <c r="M182" s="262" t="s">
        <v>1224</v>
      </c>
      <c r="N182" s="267">
        <v>992161609</v>
      </c>
      <c r="O182" s="268">
        <v>25</v>
      </c>
      <c r="P182" s="262" t="s">
        <v>69</v>
      </c>
      <c r="Q182" s="262" t="s">
        <v>64</v>
      </c>
      <c r="R182" s="262"/>
      <c r="S182" s="262" t="str">
        <f>E182</f>
        <v>040-103-000009750</v>
      </c>
      <c r="T182" s="269" t="s">
        <v>3799</v>
      </c>
      <c r="U182" s="270" t="s">
        <v>3800</v>
      </c>
    </row>
    <row r="183" spans="1:21" x14ac:dyDescent="0.2">
      <c r="A183" s="223">
        <v>179</v>
      </c>
      <c r="B183" s="262">
        <v>45853</v>
      </c>
      <c r="C183" s="262">
        <v>45859</v>
      </c>
      <c r="D183" s="262" t="s">
        <v>125</v>
      </c>
      <c r="E183" s="262" t="s">
        <v>3801</v>
      </c>
      <c r="F183" s="263">
        <v>112610069</v>
      </c>
      <c r="G183" s="264" t="str">
        <f t="shared" si="3"/>
        <v>GSC 75330 XBA IX (LAT) COCINA INOX</v>
      </c>
      <c r="H183" s="265" t="s">
        <v>3802</v>
      </c>
      <c r="I183" s="266" t="s">
        <v>41</v>
      </c>
      <c r="J183" s="262" t="s">
        <v>64</v>
      </c>
      <c r="K183" s="262" t="s">
        <v>65</v>
      </c>
      <c r="L183" s="262" t="s">
        <v>3803</v>
      </c>
      <c r="M183" s="262" t="s">
        <v>1071</v>
      </c>
      <c r="N183" s="267">
        <v>984179773</v>
      </c>
      <c r="O183" s="268">
        <v>29</v>
      </c>
      <c r="P183" s="262" t="s">
        <v>69</v>
      </c>
      <c r="Q183" s="262" t="s">
        <v>64</v>
      </c>
      <c r="R183" s="262"/>
      <c r="S183" s="262" t="str">
        <f>E183</f>
        <v>616-902-000517576</v>
      </c>
      <c r="T183" s="269" t="s">
        <v>3804</v>
      </c>
      <c r="U183" s="270" t="s">
        <v>3805</v>
      </c>
    </row>
    <row r="184" spans="1:21" x14ac:dyDescent="0.2">
      <c r="A184" s="223">
        <v>180</v>
      </c>
      <c r="B184" s="262">
        <v>45853</v>
      </c>
      <c r="C184" s="262">
        <v>45861</v>
      </c>
      <c r="D184" s="262" t="s">
        <v>202</v>
      </c>
      <c r="E184" s="262" t="s">
        <v>3806</v>
      </c>
      <c r="F184" s="263">
        <v>114270008</v>
      </c>
      <c r="G184" s="264" t="str">
        <f t="shared" si="3"/>
        <v>LAVAVAJILLAS DFI 46900 120 60 WH</v>
      </c>
      <c r="H184" s="265" t="s">
        <v>3807</v>
      </c>
      <c r="I184" s="266" t="s">
        <v>41</v>
      </c>
      <c r="J184" s="262" t="s">
        <v>64</v>
      </c>
      <c r="K184" s="262" t="s">
        <v>65</v>
      </c>
      <c r="L184" s="262" t="s">
        <v>3808</v>
      </c>
      <c r="M184" s="262" t="s">
        <v>533</v>
      </c>
      <c r="N184" s="267">
        <v>983258999</v>
      </c>
      <c r="O184" s="268">
        <v>25</v>
      </c>
      <c r="P184" s="262" t="s">
        <v>69</v>
      </c>
      <c r="Q184" s="262" t="s">
        <v>64</v>
      </c>
      <c r="R184" s="262"/>
      <c r="S184" s="262" t="str">
        <f>E184</f>
        <v>007-006-000152603</v>
      </c>
      <c r="T184" s="269" t="s">
        <v>3809</v>
      </c>
      <c r="U184" s="270" t="s">
        <v>3810</v>
      </c>
    </row>
    <row r="185" spans="1:21" x14ac:dyDescent="0.2">
      <c r="A185" s="223">
        <v>181</v>
      </c>
      <c r="B185" s="262" t="s">
        <v>3811</v>
      </c>
      <c r="C185" s="262">
        <v>45862</v>
      </c>
      <c r="D185" s="262" t="s">
        <v>125</v>
      </c>
      <c r="E185" s="262" t="s">
        <v>3812</v>
      </c>
      <c r="F185" s="263">
        <v>40467320</v>
      </c>
      <c r="G185" s="264" t="str">
        <f t="shared" si="3"/>
        <v>C 7310 INOX CAMPANA (110V-60HZ) C/KIT</v>
      </c>
      <c r="H185" s="265" t="s">
        <v>3813</v>
      </c>
      <c r="I185" s="266" t="s">
        <v>41</v>
      </c>
      <c r="J185" s="262" t="s">
        <v>64</v>
      </c>
      <c r="K185" s="262" t="s">
        <v>65</v>
      </c>
      <c r="L185" s="262" t="s">
        <v>3814</v>
      </c>
      <c r="M185" s="262" t="s">
        <v>3815</v>
      </c>
      <c r="N185" s="267" t="s">
        <v>3816</v>
      </c>
      <c r="O185" s="268">
        <v>15</v>
      </c>
      <c r="P185" s="262" t="s">
        <v>69</v>
      </c>
      <c r="Q185" s="262" t="s">
        <v>64</v>
      </c>
      <c r="R185" s="262"/>
      <c r="S185" s="262" t="str">
        <f>E185</f>
        <v>016-909-000582260</v>
      </c>
      <c r="T185" s="269" t="s">
        <v>3817</v>
      </c>
      <c r="U185" s="270" t="s">
        <v>3818</v>
      </c>
    </row>
    <row r="186" spans="1:21" x14ac:dyDescent="0.2">
      <c r="A186" s="223">
        <v>182</v>
      </c>
      <c r="B186" s="262">
        <v>45827</v>
      </c>
      <c r="C186" s="262">
        <v>45863</v>
      </c>
      <c r="D186" s="262" t="s">
        <v>190</v>
      </c>
      <c r="E186" s="262" t="s">
        <v>3431</v>
      </c>
      <c r="F186" s="263">
        <v>112570128</v>
      </c>
      <c r="G186" s="264" t="str">
        <f t="shared" si="3"/>
        <v>JZC 96342 BBB BK (LAT) COCINA MIXTA GAS - INDUCCION</v>
      </c>
      <c r="H186" s="265"/>
      <c r="I186" s="266" t="s">
        <v>41</v>
      </c>
      <c r="J186" s="262" t="s">
        <v>64</v>
      </c>
      <c r="K186" s="262" t="s">
        <v>65</v>
      </c>
      <c r="L186" s="262" t="s">
        <v>3427</v>
      </c>
      <c r="M186" s="262" t="s">
        <v>3819</v>
      </c>
      <c r="N186" s="267">
        <v>963162005</v>
      </c>
      <c r="O186" s="268">
        <v>29</v>
      </c>
      <c r="P186" s="262" t="s">
        <v>69</v>
      </c>
      <c r="Q186" s="262" t="s">
        <v>64</v>
      </c>
      <c r="R186" s="262"/>
      <c r="S186" s="262" t="str">
        <f>E186</f>
        <v>006-000158172</v>
      </c>
      <c r="T186" s="269" t="s">
        <v>3820</v>
      </c>
      <c r="U186" s="270" t="s">
        <v>3821</v>
      </c>
    </row>
    <row r="187" spans="1:21" x14ac:dyDescent="0.2">
      <c r="A187" s="223">
        <v>183</v>
      </c>
      <c r="B187" s="262">
        <v>45563</v>
      </c>
      <c r="C187" s="262">
        <v>45863</v>
      </c>
      <c r="D187" s="262" t="s">
        <v>161</v>
      </c>
      <c r="E187" s="262" t="s">
        <v>3822</v>
      </c>
      <c r="F187" s="263">
        <v>112500048</v>
      </c>
      <c r="G187" s="264" t="str">
        <f t="shared" si="3"/>
        <v>IZS 97630 MST COCINA INDUCCION</v>
      </c>
      <c r="H187" s="265" t="s">
        <v>3823</v>
      </c>
      <c r="I187" s="266" t="s">
        <v>41</v>
      </c>
      <c r="J187" s="262" t="s">
        <v>64</v>
      </c>
      <c r="K187" s="262" t="s">
        <v>65</v>
      </c>
      <c r="L187" s="262" t="s">
        <v>3824</v>
      </c>
      <c r="M187" s="262" t="s">
        <v>3653</v>
      </c>
      <c r="N187" s="267">
        <v>980841484</v>
      </c>
      <c r="O187" s="268">
        <v>25</v>
      </c>
      <c r="P187" s="262" t="s">
        <v>69</v>
      </c>
      <c r="Q187" s="262" t="s">
        <v>64</v>
      </c>
      <c r="R187" s="262"/>
      <c r="S187" s="262" t="str">
        <f>E187</f>
        <v>040-103-000008425</v>
      </c>
      <c r="T187" s="269" t="s">
        <v>3825</v>
      </c>
      <c r="U187" s="270" t="s">
        <v>3826</v>
      </c>
    </row>
    <row r="188" spans="1:21" x14ac:dyDescent="0.2">
      <c r="A188" s="223">
        <v>184</v>
      </c>
      <c r="B188" s="262">
        <v>45849</v>
      </c>
      <c r="C188" s="262">
        <v>45866</v>
      </c>
      <c r="D188" s="262" t="s">
        <v>125</v>
      </c>
      <c r="E188" s="262" t="s">
        <v>3827</v>
      </c>
      <c r="F188" s="263">
        <v>40466111</v>
      </c>
      <c r="G188" s="264" t="str">
        <f t="shared" si="3"/>
        <v>C 910 NEGRA CAMPANA (110V-60HZ) C/KIT</v>
      </c>
      <c r="H188" s="265" t="s">
        <v>3828</v>
      </c>
      <c r="I188" s="266" t="s">
        <v>41</v>
      </c>
      <c r="J188" s="262" t="s">
        <v>64</v>
      </c>
      <c r="K188" s="262" t="s">
        <v>65</v>
      </c>
      <c r="L188" s="262" t="s">
        <v>3829</v>
      </c>
      <c r="M188" s="262" t="s">
        <v>3830</v>
      </c>
      <c r="N188" s="267">
        <v>968163216</v>
      </c>
      <c r="O188" s="268">
        <v>15</v>
      </c>
      <c r="P188" s="262" t="s">
        <v>69</v>
      </c>
      <c r="Q188" s="262" t="s">
        <v>64</v>
      </c>
      <c r="R188" s="262"/>
      <c r="S188" s="262" t="str">
        <f>E188</f>
        <v>016-907-000161275</v>
      </c>
      <c r="T188" s="269" t="s">
        <v>3831</v>
      </c>
      <c r="U188" s="270" t="s">
        <v>3832</v>
      </c>
    </row>
    <row r="189" spans="1:21" x14ac:dyDescent="0.2">
      <c r="A189" s="223">
        <v>185</v>
      </c>
      <c r="B189" s="262">
        <v>45746</v>
      </c>
      <c r="C189" s="262">
        <v>45866</v>
      </c>
      <c r="D189" s="262" t="s">
        <v>125</v>
      </c>
      <c r="E189" s="262" t="s">
        <v>3833</v>
      </c>
      <c r="F189" s="263">
        <v>40467320</v>
      </c>
      <c r="G189" s="264" t="str">
        <f t="shared" ref="G189" si="4">VLOOKUP(F189,PROD,2,FALSE)</f>
        <v>C 7310 INOX CAMPANA (110V-60HZ) C/KIT</v>
      </c>
      <c r="H189" s="265" t="s">
        <v>3834</v>
      </c>
      <c r="I189" s="266" t="s">
        <v>41</v>
      </c>
      <c r="J189" s="262" t="s">
        <v>64</v>
      </c>
      <c r="K189" s="262" t="s">
        <v>65</v>
      </c>
      <c r="L189" s="262" t="s">
        <v>3835</v>
      </c>
      <c r="M189" s="262" t="s">
        <v>2125</v>
      </c>
      <c r="N189" s="267">
        <v>990335586</v>
      </c>
      <c r="O189" s="268">
        <v>15</v>
      </c>
      <c r="P189" s="262" t="s">
        <v>69</v>
      </c>
      <c r="Q189" s="262" t="s">
        <v>64</v>
      </c>
      <c r="R189" s="262"/>
      <c r="S189" s="262" t="str">
        <f>E189</f>
        <v>043-903-000060538</v>
      </c>
      <c r="T189" s="269" t="s">
        <v>3836</v>
      </c>
      <c r="U189" s="270" t="s">
        <v>3837</v>
      </c>
    </row>
    <row r="190" spans="1:21" x14ac:dyDescent="0.2">
      <c r="A190" s="223">
        <v>186</v>
      </c>
      <c r="B190" s="262">
        <v>45866</v>
      </c>
      <c r="C190" s="262">
        <v>45868</v>
      </c>
      <c r="D190" s="262" t="s">
        <v>161</v>
      </c>
      <c r="E190" s="262" t="s">
        <v>3838</v>
      </c>
      <c r="F190" s="263">
        <v>112510036</v>
      </c>
      <c r="G190" s="264" t="str">
        <f t="shared" si="3"/>
        <v>IZC 32310 MSP BK COCINA MODULAR INDUCCION</v>
      </c>
      <c r="H190" s="265" t="s">
        <v>3839</v>
      </c>
      <c r="I190" s="266" t="s">
        <v>41</v>
      </c>
      <c r="J190" s="262" t="s">
        <v>64</v>
      </c>
      <c r="K190" s="262" t="s">
        <v>65</v>
      </c>
      <c r="L190" s="262" t="s">
        <v>3840</v>
      </c>
      <c r="M190" s="262" t="s">
        <v>378</v>
      </c>
      <c r="N190" s="267">
        <v>996110466</v>
      </c>
      <c r="O190" s="268">
        <v>25</v>
      </c>
      <c r="P190" s="262" t="s">
        <v>69</v>
      </c>
      <c r="Q190" s="262" t="s">
        <v>64</v>
      </c>
      <c r="R190" s="262"/>
      <c r="S190" s="262" t="str">
        <f>E190</f>
        <v>040-103-000005052</v>
      </c>
      <c r="T190" s="269" t="s">
        <v>3841</v>
      </c>
      <c r="U190" s="270" t="s">
        <v>3842</v>
      </c>
    </row>
    <row r="191" spans="1:21" x14ac:dyDescent="0.2">
      <c r="A191" s="223">
        <v>187</v>
      </c>
      <c r="B191" s="262">
        <v>45831</v>
      </c>
      <c r="C191" s="262">
        <v>45869</v>
      </c>
      <c r="D191" s="262" t="s">
        <v>202</v>
      </c>
      <c r="E191" s="262" t="s">
        <v>3843</v>
      </c>
      <c r="F191" s="263">
        <v>112570128</v>
      </c>
      <c r="G191" s="264" t="str">
        <f t="shared" si="3"/>
        <v>JZC 96342 BBB BK (LAT) COCINA MIXTA GAS - INDUCCION</v>
      </c>
      <c r="H191" s="265"/>
      <c r="I191" s="266" t="s">
        <v>41</v>
      </c>
      <c r="J191" s="262" t="s">
        <v>64</v>
      </c>
      <c r="K191" s="262" t="s">
        <v>65</v>
      </c>
      <c r="L191" s="262" t="s">
        <v>3844</v>
      </c>
      <c r="M191" s="262" t="s">
        <v>3845</v>
      </c>
      <c r="N191" s="267">
        <v>989234501</v>
      </c>
      <c r="O191" s="268">
        <v>29</v>
      </c>
      <c r="P191" s="262" t="s">
        <v>69</v>
      </c>
      <c r="Q191" s="262" t="s">
        <v>64</v>
      </c>
      <c r="R191" s="262"/>
      <c r="S191" s="262" t="str">
        <f>E191</f>
        <v>007-006-000138259</v>
      </c>
      <c r="T191" s="269" t="s">
        <v>3846</v>
      </c>
      <c r="U191" s="270" t="s">
        <v>3847</v>
      </c>
    </row>
    <row r="192" spans="1:21" x14ac:dyDescent="0.2">
      <c r="A192" s="223">
        <v>188</v>
      </c>
      <c r="B192" s="262">
        <v>45855</v>
      </c>
      <c r="C192" s="262">
        <v>45869</v>
      </c>
      <c r="D192" s="262" t="s">
        <v>125</v>
      </c>
      <c r="E192" s="262" t="s">
        <v>3848</v>
      </c>
      <c r="F192" s="263">
        <v>40446712</v>
      </c>
      <c r="G192" s="264" t="str">
        <f t="shared" si="3"/>
        <v>GFH 73 INOX CAMPANA (110V-60HZ) C/KIT</v>
      </c>
      <c r="H192" s="265" t="s">
        <v>3849</v>
      </c>
      <c r="I192" s="266" t="s">
        <v>41</v>
      </c>
      <c r="J192" s="262" t="s">
        <v>64</v>
      </c>
      <c r="K192" s="262" t="s">
        <v>65</v>
      </c>
      <c r="L192" s="262" t="s">
        <v>3850</v>
      </c>
      <c r="M192" s="262" t="s">
        <v>3851</v>
      </c>
      <c r="N192" s="267">
        <v>99772584</v>
      </c>
      <c r="O192" s="268">
        <v>15</v>
      </c>
      <c r="P192" s="262" t="s">
        <v>69</v>
      </c>
      <c r="Q192" s="262" t="s">
        <v>64</v>
      </c>
      <c r="R192" s="262"/>
      <c r="S192" s="262" t="str">
        <f>E192</f>
        <v>043-905-000083155</v>
      </c>
      <c r="T192" s="269" t="s">
        <v>3852</v>
      </c>
      <c r="U192" s="270" t="s">
        <v>3853</v>
      </c>
    </row>
    <row r="193" spans="1:21" x14ac:dyDescent="0.2">
      <c r="A193" s="223">
        <v>189</v>
      </c>
      <c r="B193" s="262">
        <v>45850</v>
      </c>
      <c r="C193" s="262">
        <v>45869</v>
      </c>
      <c r="D193" s="262" t="s">
        <v>100</v>
      </c>
      <c r="E193" s="262" t="s">
        <v>3854</v>
      </c>
      <c r="F193" s="263">
        <v>112580027</v>
      </c>
      <c r="G193" s="264" t="str">
        <f t="shared" si="3"/>
        <v>GBC 75030 KBB CRISTAL COCINA GAS</v>
      </c>
      <c r="H193" s="265" t="s">
        <v>3855</v>
      </c>
      <c r="I193" s="266" t="s">
        <v>41</v>
      </c>
      <c r="J193" s="262" t="s">
        <v>64</v>
      </c>
      <c r="K193" s="262" t="s">
        <v>65</v>
      </c>
      <c r="L193" s="262" t="s">
        <v>3856</v>
      </c>
      <c r="M193" s="262" t="s">
        <v>3857</v>
      </c>
      <c r="N193" s="267">
        <v>997257901</v>
      </c>
      <c r="O193" s="268">
        <v>29</v>
      </c>
      <c r="P193" s="262" t="s">
        <v>69</v>
      </c>
      <c r="Q193" s="262" t="s">
        <v>64</v>
      </c>
      <c r="R193" s="262"/>
      <c r="S193" s="262" t="str">
        <f>E193</f>
        <v>001-500-000074956</v>
      </c>
      <c r="T193" s="269" t="s">
        <v>3858</v>
      </c>
      <c r="U193" s="270" t="s">
        <v>3859</v>
      </c>
    </row>
    <row r="194" spans="1:21" x14ac:dyDescent="0.2">
      <c r="A194" s="223">
        <v>190</v>
      </c>
      <c r="B194" s="262">
        <v>45504</v>
      </c>
      <c r="C194" s="262">
        <v>45870</v>
      </c>
      <c r="D194" s="262" t="s">
        <v>190</v>
      </c>
      <c r="E194" s="262" t="s">
        <v>3860</v>
      </c>
      <c r="F194" s="263">
        <v>112570128</v>
      </c>
      <c r="G194" s="264" t="str">
        <f t="shared" si="3"/>
        <v>JZC 96342 BBB BK (LAT) COCINA MIXTA GAS - INDUCCION</v>
      </c>
      <c r="H194" s="265"/>
      <c r="I194" s="266" t="s">
        <v>41</v>
      </c>
      <c r="J194" s="262" t="s">
        <v>64</v>
      </c>
      <c r="K194" s="262" t="s">
        <v>65</v>
      </c>
      <c r="L194" s="262" t="s">
        <v>3861</v>
      </c>
      <c r="M194" s="262" t="s">
        <v>1020</v>
      </c>
      <c r="N194" s="267">
        <v>990447215</v>
      </c>
      <c r="O194" s="268">
        <v>25</v>
      </c>
      <c r="P194" s="262" t="s">
        <v>69</v>
      </c>
      <c r="Q194" s="262" t="s">
        <v>64</v>
      </c>
      <c r="R194" s="262"/>
      <c r="S194" s="262" t="str">
        <f>E194</f>
        <v>006-000156922</v>
      </c>
      <c r="T194" s="269" t="s">
        <v>3862</v>
      </c>
      <c r="U194" s="270" t="s">
        <v>3863</v>
      </c>
    </row>
    <row r="195" spans="1:21" x14ac:dyDescent="0.2">
      <c r="A195" s="223">
        <v>191</v>
      </c>
      <c r="B195" s="262">
        <v>45846</v>
      </c>
      <c r="C195" s="262">
        <v>45874</v>
      </c>
      <c r="D195" s="262" t="s">
        <v>100</v>
      </c>
      <c r="E195" s="262" t="s">
        <v>3864</v>
      </c>
      <c r="F195" s="263">
        <v>112580027</v>
      </c>
      <c r="G195" s="264" t="str">
        <f t="shared" si="3"/>
        <v>GBC 75030 KBB CRISTAL COCINA GAS</v>
      </c>
      <c r="H195" s="265" t="s">
        <v>3865</v>
      </c>
      <c r="I195" s="266" t="s">
        <v>41</v>
      </c>
      <c r="J195" s="262" t="s">
        <v>64</v>
      </c>
      <c r="K195" s="262" t="s">
        <v>65</v>
      </c>
      <c r="L195" s="262" t="s">
        <v>3866</v>
      </c>
      <c r="M195" s="262" t="s">
        <v>3867</v>
      </c>
      <c r="N195" s="267">
        <v>949051056</v>
      </c>
      <c r="O195" s="268">
        <v>29</v>
      </c>
      <c r="P195" s="262" t="s">
        <v>69</v>
      </c>
      <c r="Q195" s="262" t="s">
        <v>64</v>
      </c>
      <c r="R195" s="262"/>
      <c r="S195" s="262" t="str">
        <f>E195</f>
        <v>001-500-0000574833</v>
      </c>
      <c r="T195" s="269" t="s">
        <v>3868</v>
      </c>
      <c r="U195" s="270" t="s">
        <v>3869</v>
      </c>
    </row>
    <row r="196" spans="1:21" x14ac:dyDescent="0.2">
      <c r="A196" s="223">
        <v>192</v>
      </c>
      <c r="B196" s="272">
        <v>45864</v>
      </c>
      <c r="C196" s="272">
        <v>45874</v>
      </c>
      <c r="D196" s="273" t="s">
        <v>187</v>
      </c>
      <c r="E196" s="273" t="s">
        <v>3870</v>
      </c>
      <c r="F196" s="263">
        <v>40297052</v>
      </c>
      <c r="G196" s="264" t="str">
        <f t="shared" si="3"/>
        <v>COCINA A GAS FS3RL966GGX</v>
      </c>
      <c r="H196" s="263" t="s">
        <v>3871</v>
      </c>
      <c r="I196" s="266" t="s">
        <v>41</v>
      </c>
      <c r="J196" s="262" t="s">
        <v>64</v>
      </c>
      <c r="K196" s="262" t="s">
        <v>65</v>
      </c>
      <c r="L196" s="273" t="s">
        <v>3872</v>
      </c>
      <c r="M196" s="273" t="s">
        <v>3873</v>
      </c>
      <c r="N196" s="263">
        <v>994477957</v>
      </c>
      <c r="O196" s="274">
        <v>29</v>
      </c>
      <c r="P196" s="262" t="s">
        <v>69</v>
      </c>
      <c r="Q196" s="262" t="s">
        <v>64</v>
      </c>
      <c r="R196" s="262"/>
      <c r="S196" s="262" t="str">
        <f>E196</f>
        <v>040-105-00001984</v>
      </c>
      <c r="T196" s="269" t="s">
        <v>3874</v>
      </c>
      <c r="U196" s="275" t="s">
        <v>3875</v>
      </c>
    </row>
    <row r="197" spans="1:21" x14ac:dyDescent="0.2">
      <c r="A197" s="223">
        <v>193</v>
      </c>
      <c r="B197" s="262">
        <v>45870</v>
      </c>
      <c r="C197" s="262">
        <v>45874</v>
      </c>
      <c r="D197" s="262" t="s">
        <v>100</v>
      </c>
      <c r="E197" s="262" t="s">
        <v>3876</v>
      </c>
      <c r="F197" s="263">
        <v>40446712</v>
      </c>
      <c r="G197" s="264" t="str">
        <f t="shared" ref="G197" si="5">VLOOKUP(F197,PROD,2,FALSE)</f>
        <v>GFH 73 INOX CAMPANA (110V-60HZ) C/KIT</v>
      </c>
      <c r="H197" s="271" t="s">
        <v>3877</v>
      </c>
      <c r="I197" s="266" t="s">
        <v>41</v>
      </c>
      <c r="J197" s="262" t="s">
        <v>64</v>
      </c>
      <c r="K197" s="262" t="s">
        <v>65</v>
      </c>
      <c r="L197" s="262" t="s">
        <v>3878</v>
      </c>
      <c r="M197" s="262" t="s">
        <v>3879</v>
      </c>
      <c r="N197" s="267">
        <v>990248801</v>
      </c>
      <c r="O197" s="268">
        <v>15</v>
      </c>
      <c r="P197" s="262" t="s">
        <v>69</v>
      </c>
      <c r="Q197" s="262" t="s">
        <v>64</v>
      </c>
      <c r="R197" s="262"/>
      <c r="S197" s="262" t="str">
        <f>E197</f>
        <v>001-500-000075588</v>
      </c>
      <c r="T197" s="269" t="s">
        <v>3880</v>
      </c>
      <c r="U197" s="270" t="s">
        <v>3881</v>
      </c>
    </row>
    <row r="198" spans="1:21" x14ac:dyDescent="0.2">
      <c r="A198" s="223">
        <v>194</v>
      </c>
      <c r="B198" s="272">
        <v>45049</v>
      </c>
      <c r="C198" s="272">
        <v>45875</v>
      </c>
      <c r="D198" s="273" t="s">
        <v>3882</v>
      </c>
      <c r="E198" s="273" t="s">
        <v>3883</v>
      </c>
      <c r="F198" s="263">
        <v>111000050</v>
      </c>
      <c r="G198" s="264" t="str">
        <f t="shared" si="3"/>
        <v>HLB 8510 P "MAESTRO PIZZA"</v>
      </c>
      <c r="H198" s="263" t="s">
        <v>3884</v>
      </c>
      <c r="I198" s="266" t="s">
        <v>41</v>
      </c>
      <c r="J198" s="262" t="s">
        <v>64</v>
      </c>
      <c r="K198" s="262" t="s">
        <v>65</v>
      </c>
      <c r="L198" s="273" t="s">
        <v>3885</v>
      </c>
      <c r="M198" s="273" t="s">
        <v>3886</v>
      </c>
      <c r="N198" s="263">
        <v>999529515</v>
      </c>
      <c r="O198" s="274">
        <v>25</v>
      </c>
      <c r="P198" s="262" t="s">
        <v>69</v>
      </c>
      <c r="Q198" s="262" t="s">
        <v>64</v>
      </c>
      <c r="R198" s="262"/>
      <c r="S198" s="262" t="str">
        <f>E198</f>
        <v>001-019-000014906</v>
      </c>
      <c r="T198" s="269" t="s">
        <v>3887</v>
      </c>
      <c r="U198" s="275" t="s">
        <v>3888</v>
      </c>
    </row>
    <row r="199" spans="1:21" x14ac:dyDescent="0.2">
      <c r="A199" s="223">
        <v>195</v>
      </c>
      <c r="B199" s="272">
        <v>45875</v>
      </c>
      <c r="C199" s="272">
        <v>45876</v>
      </c>
      <c r="D199" s="273" t="s">
        <v>161</v>
      </c>
      <c r="E199" s="273" t="s">
        <v>3889</v>
      </c>
      <c r="F199" s="263">
        <v>112510035</v>
      </c>
      <c r="G199" s="264" t="str">
        <f t="shared" si="3"/>
        <v>IZF 64440 MSP BK COCINA INDUCCION</v>
      </c>
      <c r="H199" s="263" t="s">
        <v>3890</v>
      </c>
      <c r="I199" s="266" t="s">
        <v>41</v>
      </c>
      <c r="J199" s="262" t="s">
        <v>64</v>
      </c>
      <c r="K199" s="262" t="s">
        <v>65</v>
      </c>
      <c r="L199" s="273" t="s">
        <v>3891</v>
      </c>
      <c r="M199" s="273" t="s">
        <v>3892</v>
      </c>
      <c r="N199" s="263">
        <v>990022750</v>
      </c>
      <c r="O199" s="274">
        <v>25</v>
      </c>
      <c r="P199" s="262" t="s">
        <v>69</v>
      </c>
      <c r="Q199" s="262" t="s">
        <v>64</v>
      </c>
      <c r="R199" s="262"/>
      <c r="S199" s="262" t="str">
        <f>E199</f>
        <v>040-103-000015247</v>
      </c>
      <c r="T199" s="269" t="s">
        <v>3893</v>
      </c>
      <c r="U199" s="275" t="s">
        <v>3894</v>
      </c>
    </row>
    <row r="200" spans="1:21" x14ac:dyDescent="0.2">
      <c r="A200" s="223">
        <v>196</v>
      </c>
      <c r="B200" s="272">
        <v>45869</v>
      </c>
      <c r="C200" s="272">
        <v>45877</v>
      </c>
      <c r="D200" s="273" t="s">
        <v>100</v>
      </c>
      <c r="E200" s="273" t="s">
        <v>3895</v>
      </c>
      <c r="F200" s="263">
        <v>111040006</v>
      </c>
      <c r="G200" s="264" t="str">
        <f t="shared" si="3"/>
        <v>HSB 750 G SS HORNO A GAS</v>
      </c>
      <c r="H200" s="263" t="s">
        <v>3896</v>
      </c>
      <c r="I200" s="266" t="s">
        <v>41</v>
      </c>
      <c r="J200" s="262" t="s">
        <v>64</v>
      </c>
      <c r="K200" s="262" t="s">
        <v>65</v>
      </c>
      <c r="L200" s="273" t="s">
        <v>3897</v>
      </c>
      <c r="M200" s="273" t="s">
        <v>2504</v>
      </c>
      <c r="N200" s="263">
        <v>989381058</v>
      </c>
      <c r="O200" s="274">
        <v>25</v>
      </c>
      <c r="P200" s="262" t="s">
        <v>69</v>
      </c>
      <c r="Q200" s="262" t="s">
        <v>64</v>
      </c>
      <c r="R200" s="262"/>
      <c r="S200" s="262" t="str">
        <f>E200</f>
        <v>001-500-000075565</v>
      </c>
      <c r="T200" s="269" t="s">
        <v>3898</v>
      </c>
      <c r="U200" s="275" t="s">
        <v>3899</v>
      </c>
    </row>
    <row r="201" spans="1:21" x14ac:dyDescent="0.2">
      <c r="A201" s="223">
        <v>197</v>
      </c>
      <c r="B201" s="272">
        <v>45881</v>
      </c>
      <c r="C201" s="272">
        <v>45882</v>
      </c>
      <c r="D201" s="273" t="s">
        <v>161</v>
      </c>
      <c r="E201" s="273" t="s">
        <v>3900</v>
      </c>
      <c r="F201" s="263">
        <v>112570073</v>
      </c>
      <c r="G201" s="264" t="str">
        <f t="shared" si="3"/>
        <v>GZC 96310 XBB CRISTAL COCINA GAS</v>
      </c>
      <c r="H201" s="263" t="s">
        <v>3901</v>
      </c>
      <c r="I201" s="266" t="s">
        <v>41</v>
      </c>
      <c r="J201" s="262" t="s">
        <v>64</v>
      </c>
      <c r="K201" s="262" t="s">
        <v>65</v>
      </c>
      <c r="L201" s="273" t="s">
        <v>3902</v>
      </c>
      <c r="M201" s="273" t="s">
        <v>3903</v>
      </c>
      <c r="N201" s="263">
        <v>939249770</v>
      </c>
      <c r="O201" s="274">
        <v>29</v>
      </c>
      <c r="P201" s="262" t="s">
        <v>69</v>
      </c>
      <c r="Q201" s="262" t="s">
        <v>64</v>
      </c>
      <c r="R201" s="262"/>
      <c r="S201" s="262" t="str">
        <f>E201</f>
        <v>040-103-000015370</v>
      </c>
      <c r="T201" s="269" t="s">
        <v>3904</v>
      </c>
      <c r="U201" s="275" t="s">
        <v>3905</v>
      </c>
    </row>
    <row r="202" spans="1:21" x14ac:dyDescent="0.2">
      <c r="A202" s="223">
        <v>198</v>
      </c>
      <c r="B202" s="272">
        <v>45849</v>
      </c>
      <c r="C202" s="272">
        <v>45882</v>
      </c>
      <c r="D202" s="273" t="s">
        <v>100</v>
      </c>
      <c r="E202" s="273" t="s">
        <v>3906</v>
      </c>
      <c r="F202" s="263">
        <v>114270008</v>
      </c>
      <c r="G202" s="264" t="str">
        <f t="shared" si="3"/>
        <v>LAVAVAJILLAS DFI 46900 120 60 WH</v>
      </c>
      <c r="H202" s="263" t="s">
        <v>3907</v>
      </c>
      <c r="I202" s="266" t="s">
        <v>41</v>
      </c>
      <c r="J202" s="262" t="s">
        <v>64</v>
      </c>
      <c r="K202" s="262" t="s">
        <v>65</v>
      </c>
      <c r="L202" s="273" t="s">
        <v>3908</v>
      </c>
      <c r="M202" s="273" t="s">
        <v>3909</v>
      </c>
      <c r="N202" s="263">
        <v>999745995</v>
      </c>
      <c r="O202" s="274">
        <v>25</v>
      </c>
      <c r="P202" s="262" t="s">
        <v>69</v>
      </c>
      <c r="Q202" s="262" t="s">
        <v>64</v>
      </c>
      <c r="R202" s="262"/>
      <c r="S202" s="262" t="str">
        <f>E202</f>
        <v>001-500-000074939</v>
      </c>
      <c r="T202" s="269" t="s">
        <v>3910</v>
      </c>
      <c r="U202" s="275" t="s">
        <v>3911</v>
      </c>
    </row>
    <row r="203" spans="1:21" x14ac:dyDescent="0.2">
      <c r="A203" s="223">
        <v>199</v>
      </c>
      <c r="B203" s="272">
        <v>45881</v>
      </c>
      <c r="C203" s="272">
        <v>45882</v>
      </c>
      <c r="D203" s="273" t="s">
        <v>100</v>
      </c>
      <c r="E203" s="273" t="s">
        <v>3912</v>
      </c>
      <c r="F203" s="263">
        <v>40466111</v>
      </c>
      <c r="G203" s="264" t="str">
        <f t="shared" si="3"/>
        <v>C 910 NEGRA CAMPANA (110V-60HZ) C/KIT</v>
      </c>
      <c r="H203" s="263" t="s">
        <v>3913</v>
      </c>
      <c r="I203" s="266" t="s">
        <v>41</v>
      </c>
      <c r="J203" s="262" t="s">
        <v>64</v>
      </c>
      <c r="K203" s="262" t="s">
        <v>65</v>
      </c>
      <c r="L203" s="273" t="s">
        <v>3914</v>
      </c>
      <c r="M203" s="273" t="s">
        <v>3915</v>
      </c>
      <c r="N203" s="263">
        <v>997334521</v>
      </c>
      <c r="O203" s="274">
        <v>15</v>
      </c>
      <c r="P203" s="262" t="s">
        <v>69</v>
      </c>
      <c r="Q203" s="262" t="s">
        <v>64</v>
      </c>
      <c r="R203" s="262"/>
      <c r="S203" s="262" t="str">
        <f>E203</f>
        <v>001-500-000075922</v>
      </c>
      <c r="T203" s="269" t="s">
        <v>3916</v>
      </c>
      <c r="U203" s="276" t="s">
        <v>3917</v>
      </c>
    </row>
    <row r="204" spans="1:21" x14ac:dyDescent="0.2">
      <c r="A204" s="223">
        <v>200</v>
      </c>
      <c r="B204" s="272">
        <v>45878</v>
      </c>
      <c r="C204" s="272">
        <v>45882</v>
      </c>
      <c r="D204" s="273" t="s">
        <v>125</v>
      </c>
      <c r="E204" s="273" t="s">
        <v>3918</v>
      </c>
      <c r="F204" s="263">
        <v>40466111</v>
      </c>
      <c r="G204" s="264" t="str">
        <f t="shared" si="3"/>
        <v>C 910 NEGRA CAMPANA (110V-60HZ) C/KIT</v>
      </c>
      <c r="H204" s="263" t="s">
        <v>3919</v>
      </c>
      <c r="I204" s="266" t="s">
        <v>41</v>
      </c>
      <c r="J204" s="262" t="s">
        <v>64</v>
      </c>
      <c r="K204" s="262" t="s">
        <v>65</v>
      </c>
      <c r="L204" s="273" t="s">
        <v>3920</v>
      </c>
      <c r="M204" s="273" t="s">
        <v>3921</v>
      </c>
      <c r="N204" s="263">
        <v>982588031</v>
      </c>
      <c r="O204" s="274">
        <v>15</v>
      </c>
      <c r="P204" s="262" t="s">
        <v>69</v>
      </c>
      <c r="Q204" s="262" t="s">
        <v>64</v>
      </c>
      <c r="R204" s="262"/>
      <c r="S204" s="262" t="str">
        <f>E204</f>
        <v>043-904-000080510</v>
      </c>
      <c r="T204" s="269" t="s">
        <v>3922</v>
      </c>
      <c r="U204" s="275" t="s">
        <v>3923</v>
      </c>
    </row>
    <row r="205" spans="1:21" x14ac:dyDescent="0.2">
      <c r="A205" s="223">
        <v>201</v>
      </c>
      <c r="B205" s="272">
        <v>45879</v>
      </c>
      <c r="C205" s="272">
        <v>45882</v>
      </c>
      <c r="D205" s="273" t="s">
        <v>125</v>
      </c>
      <c r="E205" s="273" t="s">
        <v>3924</v>
      </c>
      <c r="F205" s="263">
        <v>40466111</v>
      </c>
      <c r="G205" s="264" t="str">
        <f t="shared" si="3"/>
        <v>C 910 NEGRA CAMPANA (110V-60HZ) C/KIT</v>
      </c>
      <c r="H205" s="263" t="s">
        <v>3925</v>
      </c>
      <c r="I205" s="266" t="s">
        <v>41</v>
      </c>
      <c r="J205" s="262" t="s">
        <v>64</v>
      </c>
      <c r="K205" s="262" t="s">
        <v>65</v>
      </c>
      <c r="L205" s="273" t="s">
        <v>3926</v>
      </c>
      <c r="M205" s="273" t="s">
        <v>3927</v>
      </c>
      <c r="N205" s="263">
        <v>960851881</v>
      </c>
      <c r="O205" s="274">
        <v>15</v>
      </c>
      <c r="P205" s="262" t="s">
        <v>69</v>
      </c>
      <c r="Q205" s="262" t="s">
        <v>64</v>
      </c>
      <c r="R205" s="262"/>
      <c r="S205" s="262" t="str">
        <f>E205</f>
        <v>043-903-000087761</v>
      </c>
      <c r="T205" s="269" t="s">
        <v>3928</v>
      </c>
      <c r="U205" s="275" t="s">
        <v>3929</v>
      </c>
    </row>
    <row r="206" spans="1:21" x14ac:dyDescent="0.2">
      <c r="A206" s="223">
        <v>202</v>
      </c>
      <c r="B206" s="272">
        <v>45882</v>
      </c>
      <c r="C206" s="272">
        <v>45884</v>
      </c>
      <c r="D206" s="273" t="s">
        <v>100</v>
      </c>
      <c r="E206" s="273" t="s">
        <v>3930</v>
      </c>
      <c r="F206" s="263">
        <v>40446712</v>
      </c>
      <c r="G206" s="264" t="str">
        <f t="shared" si="3"/>
        <v>GFH 73 INOX CAMPANA (110V-60HZ) C/KIT</v>
      </c>
      <c r="H206" s="263" t="s">
        <v>3931</v>
      </c>
      <c r="I206" s="266" t="s">
        <v>41</v>
      </c>
      <c r="J206" s="262" t="s">
        <v>64</v>
      </c>
      <c r="K206" s="262" t="s">
        <v>65</v>
      </c>
      <c r="L206" s="273" t="s">
        <v>3932</v>
      </c>
      <c r="M206" s="273" t="s">
        <v>1020</v>
      </c>
      <c r="N206" s="263">
        <v>984974851</v>
      </c>
      <c r="O206" s="274">
        <v>15</v>
      </c>
      <c r="P206" s="262" t="s">
        <v>69</v>
      </c>
      <c r="Q206" s="262" t="s">
        <v>64</v>
      </c>
      <c r="R206" s="262"/>
      <c r="S206" s="262" t="str">
        <f>E206</f>
        <v>001-500-000075983</v>
      </c>
      <c r="T206" s="269" t="s">
        <v>3933</v>
      </c>
      <c r="U206" s="275" t="s">
        <v>3934</v>
      </c>
    </row>
    <row r="207" spans="1:21" s="38" customFormat="1" x14ac:dyDescent="0.2">
      <c r="A207" s="223">
        <v>203</v>
      </c>
      <c r="B207" s="272">
        <v>45883</v>
      </c>
      <c r="C207" s="272">
        <v>45884</v>
      </c>
      <c r="D207" s="277" t="s">
        <v>100</v>
      </c>
      <c r="E207" s="277" t="s">
        <v>3935</v>
      </c>
      <c r="F207" s="263">
        <v>112580058</v>
      </c>
      <c r="G207" s="278" t="str">
        <f t="shared" si="3"/>
        <v>GBC 95030 KBB BK COCINA GAS</v>
      </c>
      <c r="H207" s="263" t="s">
        <v>3936</v>
      </c>
      <c r="I207" s="266" t="s">
        <v>41</v>
      </c>
      <c r="J207" s="262" t="s">
        <v>64</v>
      </c>
      <c r="K207" s="262" t="s">
        <v>65</v>
      </c>
      <c r="L207" s="277" t="s">
        <v>3937</v>
      </c>
      <c r="M207" s="277" t="s">
        <v>3873</v>
      </c>
      <c r="N207" s="263">
        <v>987215757</v>
      </c>
      <c r="O207" s="274">
        <v>25</v>
      </c>
      <c r="P207" s="262" t="s">
        <v>69</v>
      </c>
      <c r="Q207" s="262" t="s">
        <v>64</v>
      </c>
      <c r="R207" s="262"/>
      <c r="S207" s="262" t="str">
        <f>E207</f>
        <v>001-500-000075989</v>
      </c>
      <c r="T207" s="269" t="s">
        <v>3938</v>
      </c>
      <c r="U207" s="279" t="s">
        <v>3939</v>
      </c>
    </row>
    <row r="208" spans="1:21" s="38" customFormat="1" x14ac:dyDescent="0.2">
      <c r="A208" s="223">
        <v>204</v>
      </c>
      <c r="B208" s="272">
        <v>45707</v>
      </c>
      <c r="C208" s="272">
        <v>45884</v>
      </c>
      <c r="D208" s="277" t="s">
        <v>100</v>
      </c>
      <c r="E208" s="277" t="s">
        <v>3940</v>
      </c>
      <c r="F208" s="263">
        <v>112570238</v>
      </c>
      <c r="G208" s="278" t="str">
        <f t="shared" si="3"/>
        <v>GBC 95-G1 GBA BM COCINA GAS</v>
      </c>
      <c r="H208" s="263" t="s">
        <v>3941</v>
      </c>
      <c r="I208" s="266" t="s">
        <v>41</v>
      </c>
      <c r="J208" s="262" t="s">
        <v>64</v>
      </c>
      <c r="K208" s="262" t="s">
        <v>65</v>
      </c>
      <c r="L208" s="277" t="s">
        <v>3942</v>
      </c>
      <c r="M208" s="277" t="s">
        <v>1236</v>
      </c>
      <c r="N208" s="263">
        <v>999565709</v>
      </c>
      <c r="O208" s="274">
        <v>29</v>
      </c>
      <c r="P208" s="262" t="s">
        <v>69</v>
      </c>
      <c r="Q208" s="262" t="s">
        <v>64</v>
      </c>
      <c r="R208" s="262"/>
      <c r="S208" s="262" t="str">
        <f>E208</f>
        <v>001-500-000071744</v>
      </c>
      <c r="T208" s="269" t="s">
        <v>3943</v>
      </c>
      <c r="U208" s="279" t="s">
        <v>3944</v>
      </c>
    </row>
    <row r="209" spans="1:21" x14ac:dyDescent="0.2">
      <c r="A209" s="223">
        <v>205</v>
      </c>
      <c r="B209" s="272">
        <v>45832</v>
      </c>
      <c r="C209" s="272">
        <v>45885</v>
      </c>
      <c r="D209" s="273" t="s">
        <v>100</v>
      </c>
      <c r="E209" s="273" t="s">
        <v>3945</v>
      </c>
      <c r="F209" s="263">
        <v>111000051</v>
      </c>
      <c r="G209" s="264" t="str">
        <f t="shared" ref="G209" si="6">VLOOKUP(F209,PROD,2,FALSE)</f>
        <v>HLB 8416 "AIR FRY" - HORNO ELEC</v>
      </c>
      <c r="H209" s="263" t="s">
        <v>3946</v>
      </c>
      <c r="I209" s="266" t="s">
        <v>41</v>
      </c>
      <c r="J209" s="262" t="s">
        <v>64</v>
      </c>
      <c r="K209" s="262" t="s">
        <v>65</v>
      </c>
      <c r="L209" s="273" t="s">
        <v>3947</v>
      </c>
      <c r="M209" s="273" t="s">
        <v>3948</v>
      </c>
      <c r="N209" s="263">
        <v>979786282</v>
      </c>
      <c r="O209" s="274">
        <v>29</v>
      </c>
      <c r="P209" s="262" t="s">
        <v>69</v>
      </c>
      <c r="Q209" s="262" t="s">
        <v>64</v>
      </c>
      <c r="R209" s="262"/>
      <c r="S209" s="262" t="str">
        <f>E209</f>
        <v>001-500-000074478</v>
      </c>
      <c r="T209" s="269" t="s">
        <v>3949</v>
      </c>
      <c r="U209" s="275" t="s">
        <v>3950</v>
      </c>
    </row>
    <row r="210" spans="1:21" s="38" customFormat="1" x14ac:dyDescent="0.2">
      <c r="A210" s="223">
        <v>206</v>
      </c>
      <c r="B210" s="280">
        <v>45877</v>
      </c>
      <c r="C210" s="280">
        <v>45887</v>
      </c>
      <c r="D210" s="38" t="s">
        <v>100</v>
      </c>
      <c r="E210" s="38" t="s">
        <v>3951</v>
      </c>
      <c r="F210" s="42">
        <v>111000051</v>
      </c>
      <c r="G210" s="278" t="str">
        <f t="shared" si="3"/>
        <v>HLB 8416 "AIR FRY" - HORNO ELEC</v>
      </c>
      <c r="H210" s="42" t="s">
        <v>3952</v>
      </c>
      <c r="I210" s="266" t="s">
        <v>41</v>
      </c>
      <c r="J210" s="262" t="s">
        <v>64</v>
      </c>
      <c r="K210" s="262" t="s">
        <v>65</v>
      </c>
      <c r="L210" s="38" t="s">
        <v>3953</v>
      </c>
      <c r="M210" s="38" t="s">
        <v>3954</v>
      </c>
      <c r="N210" s="42">
        <v>72854801</v>
      </c>
      <c r="O210" s="281">
        <v>25</v>
      </c>
      <c r="P210" s="262" t="s">
        <v>69</v>
      </c>
      <c r="Q210" s="262" t="s">
        <v>64</v>
      </c>
      <c r="S210" s="38" t="str">
        <f>E210</f>
        <v>001-500-000075819</v>
      </c>
      <c r="T210" s="38">
        <v>103130290</v>
      </c>
      <c r="U210" s="282" t="s">
        <v>3955</v>
      </c>
    </row>
    <row r="211" spans="1:21" s="38" customFormat="1" x14ac:dyDescent="0.2">
      <c r="A211" s="223">
        <v>207</v>
      </c>
      <c r="B211" s="280">
        <v>45853</v>
      </c>
      <c r="C211" s="280">
        <v>45887</v>
      </c>
      <c r="D211" s="38" t="s">
        <v>190</v>
      </c>
      <c r="E211" s="38" t="s">
        <v>3956</v>
      </c>
      <c r="F211" s="42">
        <v>112580027</v>
      </c>
      <c r="G211" s="278" t="str">
        <f t="shared" si="3"/>
        <v>GBC 75030 KBB CRISTAL COCINA GAS</v>
      </c>
      <c r="H211" s="42" t="s">
        <v>3957</v>
      </c>
      <c r="I211" s="266" t="s">
        <v>41</v>
      </c>
      <c r="J211" s="262" t="s">
        <v>64</v>
      </c>
      <c r="K211" s="262" t="s">
        <v>65</v>
      </c>
      <c r="L211" s="38" t="s">
        <v>3958</v>
      </c>
      <c r="M211" s="38" t="s">
        <v>3959</v>
      </c>
      <c r="N211" s="42">
        <v>987985650</v>
      </c>
      <c r="O211" s="281">
        <v>29</v>
      </c>
      <c r="P211" s="262" t="s">
        <v>69</v>
      </c>
      <c r="Q211" s="262" t="s">
        <v>64</v>
      </c>
      <c r="S211" s="38" t="str">
        <f>E211</f>
        <v>006-002-000158293</v>
      </c>
      <c r="T211" s="38">
        <v>102037975</v>
      </c>
      <c r="U211" s="282" t="s">
        <v>3960</v>
      </c>
    </row>
    <row r="212" spans="1:21" s="38" customFormat="1" x14ac:dyDescent="0.2">
      <c r="A212" s="223">
        <v>208</v>
      </c>
      <c r="B212" s="280">
        <v>45881</v>
      </c>
      <c r="C212" s="280">
        <v>45888</v>
      </c>
      <c r="D212" s="38" t="s">
        <v>202</v>
      </c>
      <c r="E212" s="38" t="s">
        <v>3961</v>
      </c>
      <c r="F212" s="42">
        <v>112520025</v>
      </c>
      <c r="G212" s="278" t="str">
        <f t="shared" si="3"/>
        <v>IZC 64010 MSS COCINA INDUCCION</v>
      </c>
      <c r="H212" s="42" t="s">
        <v>3962</v>
      </c>
      <c r="I212" s="266" t="s">
        <v>41</v>
      </c>
      <c r="J212" s="262" t="s">
        <v>64</v>
      </c>
      <c r="K212" s="262" t="s">
        <v>65</v>
      </c>
      <c r="L212" s="38" t="s">
        <v>3963</v>
      </c>
      <c r="M212" s="38" t="s">
        <v>1020</v>
      </c>
      <c r="N212" s="42">
        <v>984377746</v>
      </c>
      <c r="O212" s="281">
        <v>29</v>
      </c>
      <c r="P212" s="262" t="s">
        <v>69</v>
      </c>
      <c r="Q212" s="262" t="s">
        <v>64</v>
      </c>
      <c r="S212" s="38" t="str">
        <f>E212</f>
        <v>007-006-000139214</v>
      </c>
      <c r="T212" s="38">
        <v>104583877</v>
      </c>
      <c r="U212" s="282" t="s">
        <v>3964</v>
      </c>
    </row>
    <row r="213" spans="1:21" s="38" customFormat="1" x14ac:dyDescent="0.2">
      <c r="A213" s="223">
        <v>209</v>
      </c>
      <c r="B213" s="280">
        <v>45468</v>
      </c>
      <c r="C213" s="280">
        <v>45888</v>
      </c>
      <c r="D213" s="38" t="s">
        <v>190</v>
      </c>
      <c r="E213" s="38" t="s">
        <v>3965</v>
      </c>
      <c r="F213" s="42">
        <v>40467320</v>
      </c>
      <c r="G213" s="278" t="str">
        <f t="shared" si="3"/>
        <v>C 7310 INOX CAMPANA (110V-60HZ) C/KIT</v>
      </c>
      <c r="H213" s="42" t="s">
        <v>3966</v>
      </c>
      <c r="I213" s="266" t="s">
        <v>41</v>
      </c>
      <c r="J213" s="262" t="s">
        <v>64</v>
      </c>
      <c r="K213" s="262" t="s">
        <v>65</v>
      </c>
      <c r="L213" s="38" t="s">
        <v>3967</v>
      </c>
      <c r="M213" s="38" t="s">
        <v>3968</v>
      </c>
      <c r="N213" s="42">
        <v>991688171</v>
      </c>
      <c r="O213" s="281">
        <v>15</v>
      </c>
      <c r="P213" s="262" t="s">
        <v>69</v>
      </c>
      <c r="Q213" s="262" t="s">
        <v>64</v>
      </c>
      <c r="S213" s="38" t="s">
        <v>3965</v>
      </c>
      <c r="T213" s="38">
        <v>1103466742</v>
      </c>
      <c r="U213" s="282" t="s">
        <v>3969</v>
      </c>
    </row>
    <row r="214" spans="1:21" s="38" customFormat="1" x14ac:dyDescent="0.2">
      <c r="A214" s="223">
        <v>210</v>
      </c>
      <c r="B214" s="280">
        <v>45713</v>
      </c>
      <c r="C214" s="280">
        <v>45888</v>
      </c>
      <c r="D214" s="38" t="s">
        <v>100</v>
      </c>
      <c r="E214" s="38" t="s">
        <v>3970</v>
      </c>
      <c r="F214" s="42">
        <v>40467320</v>
      </c>
      <c r="G214" s="278" t="str">
        <f t="shared" si="3"/>
        <v>C 7310 INOX CAMPANA (110V-60HZ) C/KIT</v>
      </c>
      <c r="H214" s="42" t="s">
        <v>3971</v>
      </c>
      <c r="I214" s="266" t="s">
        <v>41</v>
      </c>
      <c r="J214" s="262" t="s">
        <v>64</v>
      </c>
      <c r="K214" s="262" t="s">
        <v>65</v>
      </c>
      <c r="L214" s="38" t="s">
        <v>3972</v>
      </c>
      <c r="M214" s="38" t="s">
        <v>3973</v>
      </c>
      <c r="N214" s="42">
        <v>941818198</v>
      </c>
      <c r="O214" s="281">
        <v>15</v>
      </c>
      <c r="P214" s="262" t="s">
        <v>69</v>
      </c>
      <c r="Q214" s="262" t="s">
        <v>64</v>
      </c>
      <c r="S214" s="38" t="s">
        <v>3970</v>
      </c>
      <c r="T214" s="38">
        <v>105956924</v>
      </c>
      <c r="U214" s="282" t="s">
        <v>3974</v>
      </c>
    </row>
    <row r="215" spans="1:21" x14ac:dyDescent="0.2">
      <c r="A215" s="223">
        <v>211</v>
      </c>
      <c r="B215" s="283">
        <v>45875</v>
      </c>
      <c r="C215" s="284">
        <v>45890</v>
      </c>
      <c r="D215" s="284" t="s">
        <v>125</v>
      </c>
      <c r="E215" s="284" t="s">
        <v>4338</v>
      </c>
      <c r="F215" s="285">
        <v>112520025</v>
      </c>
      <c r="G215" s="286" t="s">
        <v>4339</v>
      </c>
      <c r="H215" s="287" t="s">
        <v>4340</v>
      </c>
      <c r="I215" s="288" t="s">
        <v>41</v>
      </c>
      <c r="J215" s="284" t="s">
        <v>64</v>
      </c>
      <c r="K215" s="284" t="s">
        <v>65</v>
      </c>
      <c r="L215" s="284" t="s">
        <v>4341</v>
      </c>
      <c r="M215" s="284" t="s">
        <v>4342</v>
      </c>
      <c r="N215" s="289">
        <v>984820269</v>
      </c>
      <c r="O215" s="290">
        <v>25</v>
      </c>
      <c r="P215" s="284" t="s">
        <v>69</v>
      </c>
      <c r="Q215" s="284" t="s">
        <v>64</v>
      </c>
      <c r="R215" s="284"/>
      <c r="S215" s="284" t="s">
        <v>4338</v>
      </c>
      <c r="T215" s="288" t="s">
        <v>4343</v>
      </c>
      <c r="U215" s="291" t="s">
        <v>4344</v>
      </c>
    </row>
    <row r="216" spans="1:21" x14ac:dyDescent="0.2">
      <c r="A216" s="223">
        <v>212</v>
      </c>
      <c r="B216" s="292">
        <v>45827</v>
      </c>
      <c r="C216" s="293">
        <v>45890</v>
      </c>
      <c r="D216" s="293" t="s">
        <v>161</v>
      </c>
      <c r="E216" s="293" t="s">
        <v>4345</v>
      </c>
      <c r="F216" s="294">
        <v>112580027</v>
      </c>
      <c r="G216" s="295" t="s">
        <v>4346</v>
      </c>
      <c r="H216" s="296" t="s">
        <v>4347</v>
      </c>
      <c r="I216" s="297" t="s">
        <v>41</v>
      </c>
      <c r="J216" s="293" t="s">
        <v>64</v>
      </c>
      <c r="K216" s="293" t="s">
        <v>65</v>
      </c>
      <c r="L216" s="293" t="s">
        <v>4348</v>
      </c>
      <c r="M216" s="293" t="s">
        <v>616</v>
      </c>
      <c r="N216" s="298">
        <v>978198535</v>
      </c>
      <c r="O216" s="299">
        <v>29</v>
      </c>
      <c r="P216" s="293" t="s">
        <v>69</v>
      </c>
      <c r="Q216" s="293" t="s">
        <v>64</v>
      </c>
      <c r="R216" s="293"/>
      <c r="S216" s="293" t="s">
        <v>4345</v>
      </c>
      <c r="T216" s="297" t="s">
        <v>4349</v>
      </c>
      <c r="U216" s="300" t="s">
        <v>4350</v>
      </c>
    </row>
    <row r="217" spans="1:21" x14ac:dyDescent="0.2">
      <c r="A217" s="223">
        <v>213</v>
      </c>
      <c r="B217" s="292">
        <v>45889</v>
      </c>
      <c r="C217" s="293">
        <v>45890</v>
      </c>
      <c r="D217" s="293" t="s">
        <v>125</v>
      </c>
      <c r="E217" s="293" t="s">
        <v>4351</v>
      </c>
      <c r="F217" s="294">
        <v>40467320</v>
      </c>
      <c r="G217" s="295" t="s">
        <v>4352</v>
      </c>
      <c r="H217" s="301" t="s">
        <v>4353</v>
      </c>
      <c r="I217" s="297" t="s">
        <v>41</v>
      </c>
      <c r="J217" s="293" t="s">
        <v>64</v>
      </c>
      <c r="K217" s="293" t="s">
        <v>65</v>
      </c>
      <c r="L217" s="293" t="s">
        <v>4354</v>
      </c>
      <c r="M217" s="293" t="s">
        <v>4355</v>
      </c>
      <c r="N217" s="298">
        <v>992440918</v>
      </c>
      <c r="O217" s="299">
        <v>15</v>
      </c>
      <c r="P217" s="293" t="s">
        <v>69</v>
      </c>
      <c r="Q217" s="293" t="s">
        <v>64</v>
      </c>
      <c r="R217" s="293"/>
      <c r="S217" s="293" t="s">
        <v>4351</v>
      </c>
      <c r="T217" s="297" t="s">
        <v>4356</v>
      </c>
      <c r="U217" s="300" t="s">
        <v>4357</v>
      </c>
    </row>
    <row r="218" spans="1:21" x14ac:dyDescent="0.2">
      <c r="A218" s="223">
        <v>214</v>
      </c>
      <c r="B218" s="292">
        <v>45744</v>
      </c>
      <c r="C218" s="293">
        <v>45890</v>
      </c>
      <c r="D218" s="293" t="s">
        <v>100</v>
      </c>
      <c r="E218" s="293" t="s">
        <v>4246</v>
      </c>
      <c r="F218" s="294">
        <v>40197255</v>
      </c>
      <c r="G218" s="295" t="s">
        <v>4241</v>
      </c>
      <c r="H218" s="296" t="s">
        <v>4242</v>
      </c>
      <c r="I218" s="297" t="s">
        <v>41</v>
      </c>
      <c r="J218" s="293" t="s">
        <v>64</v>
      </c>
      <c r="K218" s="293" t="s">
        <v>65</v>
      </c>
      <c r="L218" s="293" t="s">
        <v>4358</v>
      </c>
      <c r="M218" s="293" t="s">
        <v>1414</v>
      </c>
      <c r="N218" s="298">
        <v>984459007</v>
      </c>
      <c r="O218" s="299">
        <v>15</v>
      </c>
      <c r="P218" s="293" t="s">
        <v>69</v>
      </c>
      <c r="Q218" s="293" t="s">
        <v>64</v>
      </c>
      <c r="R218" s="293"/>
      <c r="S218" s="293" t="s">
        <v>4246</v>
      </c>
      <c r="T218" s="297" t="s">
        <v>4359</v>
      </c>
      <c r="U218" s="300" t="s">
        <v>4360</v>
      </c>
    </row>
    <row r="219" spans="1:21" x14ac:dyDescent="0.2">
      <c r="A219" s="223">
        <v>215</v>
      </c>
      <c r="B219" s="292">
        <v>45893</v>
      </c>
      <c r="C219" s="293">
        <v>45893</v>
      </c>
      <c r="D219" s="293" t="s">
        <v>125</v>
      </c>
      <c r="E219" s="293" t="s">
        <v>4361</v>
      </c>
      <c r="F219" s="294">
        <v>40446712</v>
      </c>
      <c r="G219" s="295" t="s">
        <v>4362</v>
      </c>
      <c r="H219" s="296" t="s">
        <v>4302</v>
      </c>
      <c r="I219" s="297" t="s">
        <v>41</v>
      </c>
      <c r="J219" s="293" t="s">
        <v>64</v>
      </c>
      <c r="K219" s="293" t="s">
        <v>65</v>
      </c>
      <c r="L219" s="293" t="s">
        <v>4363</v>
      </c>
      <c r="M219" s="293" t="s">
        <v>4364</v>
      </c>
      <c r="N219" s="298">
        <v>994654432</v>
      </c>
      <c r="O219" s="299">
        <v>15</v>
      </c>
      <c r="P219" s="293" t="s">
        <v>69</v>
      </c>
      <c r="Q219" s="293" t="s">
        <v>64</v>
      </c>
      <c r="R219" s="293"/>
      <c r="S219" s="293" t="s">
        <v>4361</v>
      </c>
      <c r="T219" s="297" t="s">
        <v>4365</v>
      </c>
      <c r="U219" s="300" t="s">
        <v>4366</v>
      </c>
    </row>
    <row r="220" spans="1:21" x14ac:dyDescent="0.2">
      <c r="A220" s="223">
        <v>216</v>
      </c>
      <c r="B220" s="292">
        <v>45891</v>
      </c>
      <c r="C220" s="293">
        <v>45895</v>
      </c>
      <c r="D220" s="293" t="s">
        <v>100</v>
      </c>
      <c r="E220" s="293" t="s">
        <v>4367</v>
      </c>
      <c r="F220" s="294">
        <v>40466241</v>
      </c>
      <c r="G220" s="295" t="s">
        <v>4368</v>
      </c>
      <c r="H220" s="296" t="s">
        <v>4369</v>
      </c>
      <c r="I220" s="297" t="s">
        <v>41</v>
      </c>
      <c r="J220" s="293" t="s">
        <v>64</v>
      </c>
      <c r="K220" s="293" t="s">
        <v>65</v>
      </c>
      <c r="L220" s="293" t="s">
        <v>4370</v>
      </c>
      <c r="M220" s="293" t="s">
        <v>4371</v>
      </c>
      <c r="N220" s="298">
        <v>984182299</v>
      </c>
      <c r="O220" s="299">
        <v>15</v>
      </c>
      <c r="P220" s="293" t="s">
        <v>69</v>
      </c>
      <c r="Q220" s="293" t="s">
        <v>64</v>
      </c>
      <c r="R220" s="293"/>
      <c r="S220" s="293" t="s">
        <v>4367</v>
      </c>
      <c r="T220" s="297" t="s">
        <v>4372</v>
      </c>
      <c r="U220" s="300" t="s">
        <v>4373</v>
      </c>
    </row>
    <row r="221" spans="1:21" x14ac:dyDescent="0.2">
      <c r="A221" s="223">
        <v>217</v>
      </c>
      <c r="B221" s="292">
        <v>45856</v>
      </c>
      <c r="C221" s="293">
        <v>45896</v>
      </c>
      <c r="D221" s="293" t="s">
        <v>125</v>
      </c>
      <c r="E221" s="293" t="s">
        <v>4374</v>
      </c>
      <c r="F221" s="294">
        <v>112570124</v>
      </c>
      <c r="G221" s="295" t="s">
        <v>4269</v>
      </c>
      <c r="H221" s="296" t="s">
        <v>4375</v>
      </c>
      <c r="I221" s="297" t="s">
        <v>41</v>
      </c>
      <c r="J221" s="293" t="s">
        <v>64</v>
      </c>
      <c r="K221" s="293" t="s">
        <v>65</v>
      </c>
      <c r="L221" s="293" t="s">
        <v>4376</v>
      </c>
      <c r="M221" s="293" t="s">
        <v>1110</v>
      </c>
      <c r="N221" s="298">
        <v>980125803</v>
      </c>
      <c r="O221" s="299">
        <v>25</v>
      </c>
      <c r="P221" s="293" t="s">
        <v>69</v>
      </c>
      <c r="Q221" s="293" t="s">
        <v>64</v>
      </c>
      <c r="R221" s="293"/>
      <c r="S221" s="293" t="s">
        <v>4374</v>
      </c>
      <c r="T221" s="297" t="s">
        <v>4377</v>
      </c>
      <c r="U221" s="300" t="s">
        <v>4378</v>
      </c>
    </row>
    <row r="222" spans="1:21" x14ac:dyDescent="0.2">
      <c r="A222" s="223">
        <v>218</v>
      </c>
      <c r="B222" s="292">
        <v>45894</v>
      </c>
      <c r="C222" s="293">
        <v>45897</v>
      </c>
      <c r="D222" s="293" t="s">
        <v>100</v>
      </c>
      <c r="E222" s="293" t="s">
        <v>4379</v>
      </c>
      <c r="F222" s="294">
        <v>111000078</v>
      </c>
      <c r="G222" s="295" t="s">
        <v>4380</v>
      </c>
      <c r="H222" s="296" t="s">
        <v>4381</v>
      </c>
      <c r="I222" s="297" t="s">
        <v>41</v>
      </c>
      <c r="J222" s="293" t="s">
        <v>64</v>
      </c>
      <c r="K222" s="293" t="s">
        <v>65</v>
      </c>
      <c r="L222" s="293" t="s">
        <v>4382</v>
      </c>
      <c r="M222" s="293" t="s">
        <v>3653</v>
      </c>
      <c r="N222" s="298" t="s">
        <v>4383</v>
      </c>
      <c r="O222" s="299">
        <v>29</v>
      </c>
      <c r="P222" s="293" t="s">
        <v>69</v>
      </c>
      <c r="Q222" s="293" t="s">
        <v>64</v>
      </c>
      <c r="R222" s="293"/>
      <c r="S222" s="293" t="s">
        <v>4379</v>
      </c>
      <c r="T222" s="297" t="s">
        <v>4384</v>
      </c>
      <c r="U222" s="300" t="s">
        <v>4385</v>
      </c>
    </row>
    <row r="223" spans="1:21" x14ac:dyDescent="0.2">
      <c r="A223" s="223">
        <v>219</v>
      </c>
      <c r="B223" s="292">
        <v>45897</v>
      </c>
      <c r="C223" s="293">
        <v>45897</v>
      </c>
      <c r="D223" s="293" t="s">
        <v>161</v>
      </c>
      <c r="E223" s="293" t="s">
        <v>4386</v>
      </c>
      <c r="F223" s="294">
        <v>112570068</v>
      </c>
      <c r="G223" s="295" t="s">
        <v>4387</v>
      </c>
      <c r="H223" s="296" t="s">
        <v>4388</v>
      </c>
      <c r="I223" s="297" t="s">
        <v>41</v>
      </c>
      <c r="J223" s="293" t="s">
        <v>64</v>
      </c>
      <c r="K223" s="293" t="s">
        <v>65</v>
      </c>
      <c r="L223" s="293" t="s">
        <v>4389</v>
      </c>
      <c r="M223" s="293" t="s">
        <v>4390</v>
      </c>
      <c r="N223" s="298">
        <v>990234053</v>
      </c>
      <c r="O223" s="299">
        <v>29</v>
      </c>
      <c r="P223" s="293" t="s">
        <v>69</v>
      </c>
      <c r="Q223" s="293" t="s">
        <v>64</v>
      </c>
      <c r="R223" s="293"/>
      <c r="S223" s="293" t="s">
        <v>4386</v>
      </c>
      <c r="T223" s="297" t="s">
        <v>4391</v>
      </c>
      <c r="U223" s="300" t="s">
        <v>4392</v>
      </c>
    </row>
    <row r="224" spans="1:21" x14ac:dyDescent="0.2">
      <c r="A224" s="223">
        <v>220</v>
      </c>
      <c r="B224" s="292">
        <v>45622</v>
      </c>
      <c r="C224" s="293">
        <v>45898</v>
      </c>
      <c r="D224" s="293" t="s">
        <v>161</v>
      </c>
      <c r="E224" s="293" t="s">
        <v>4393</v>
      </c>
      <c r="F224" s="294">
        <v>112570126</v>
      </c>
      <c r="G224" s="295" t="s">
        <v>4394</v>
      </c>
      <c r="H224" s="296" t="s">
        <v>4395</v>
      </c>
      <c r="I224" s="297" t="s">
        <v>41</v>
      </c>
      <c r="J224" s="293" t="s">
        <v>64</v>
      </c>
      <c r="K224" s="293" t="s">
        <v>65</v>
      </c>
      <c r="L224" s="293" t="s">
        <v>4396</v>
      </c>
      <c r="M224" s="293" t="s">
        <v>4069</v>
      </c>
      <c r="N224" s="298">
        <v>984670770</v>
      </c>
      <c r="O224" s="299">
        <v>25</v>
      </c>
      <c r="P224" s="293" t="s">
        <v>69</v>
      </c>
      <c r="Q224" s="293" t="s">
        <v>64</v>
      </c>
      <c r="R224" s="293"/>
      <c r="S224" s="293" t="s">
        <v>4393</v>
      </c>
      <c r="T224" s="297" t="s">
        <v>881</v>
      </c>
      <c r="U224" s="300" t="s">
        <v>4070</v>
      </c>
    </row>
    <row r="225" spans="1:21" x14ac:dyDescent="0.2">
      <c r="A225" s="223">
        <v>221</v>
      </c>
      <c r="B225" s="292">
        <v>45897</v>
      </c>
      <c r="C225" s="293">
        <v>45898</v>
      </c>
      <c r="D225" s="293" t="s">
        <v>125</v>
      </c>
      <c r="E225" s="293" t="s">
        <v>4397</v>
      </c>
      <c r="F225" s="294">
        <v>40212014</v>
      </c>
      <c r="G225" s="295" t="s">
        <v>4398</v>
      </c>
      <c r="H225" s="296" t="s">
        <v>4399</v>
      </c>
      <c r="I225" s="297" t="s">
        <v>41</v>
      </c>
      <c r="J225" s="293" t="s">
        <v>64</v>
      </c>
      <c r="K225" s="293" t="s">
        <v>65</v>
      </c>
      <c r="L225" s="293" t="s">
        <v>4400</v>
      </c>
      <c r="M225" s="293" t="s">
        <v>4401</v>
      </c>
      <c r="N225" s="298">
        <v>923466874</v>
      </c>
      <c r="O225" s="299">
        <v>29</v>
      </c>
      <c r="P225" s="293" t="s">
        <v>69</v>
      </c>
      <c r="Q225" s="293" t="s">
        <v>64</v>
      </c>
      <c r="R225" s="293"/>
      <c r="S225" s="293" t="s">
        <v>4397</v>
      </c>
      <c r="T225" s="297" t="s">
        <v>4402</v>
      </c>
      <c r="U225" s="300" t="s">
        <v>4403</v>
      </c>
    </row>
    <row r="226" spans="1:21" x14ac:dyDescent="0.2">
      <c r="A226" s="223">
        <v>222</v>
      </c>
      <c r="B226" s="292">
        <v>45890</v>
      </c>
      <c r="C226" s="293">
        <v>45898</v>
      </c>
      <c r="D226" s="293" t="s">
        <v>187</v>
      </c>
      <c r="E226" s="293" t="s">
        <v>4404</v>
      </c>
      <c r="F226" s="294">
        <v>112500047</v>
      </c>
      <c r="G226" s="295" t="s">
        <v>4283</v>
      </c>
      <c r="H226" s="296" t="s">
        <v>4405</v>
      </c>
      <c r="I226" s="297" t="s">
        <v>41</v>
      </c>
      <c r="J226" s="293" t="s">
        <v>64</v>
      </c>
      <c r="K226" s="293" t="s">
        <v>65</v>
      </c>
      <c r="L226" s="293" t="s">
        <v>4406</v>
      </c>
      <c r="M226" s="293" t="s">
        <v>4407</v>
      </c>
      <c r="N226" s="298">
        <v>993350149</v>
      </c>
      <c r="O226" s="299">
        <v>25</v>
      </c>
      <c r="P226" s="293" t="s">
        <v>69</v>
      </c>
      <c r="Q226" s="293" t="s">
        <v>64</v>
      </c>
      <c r="R226" s="293"/>
      <c r="S226" s="293" t="s">
        <v>4404</v>
      </c>
      <c r="T226" s="297" t="s">
        <v>4408</v>
      </c>
      <c r="U226" s="300" t="s">
        <v>4409</v>
      </c>
    </row>
    <row r="227" spans="1:21" x14ac:dyDescent="0.2">
      <c r="A227" s="223">
        <v>223</v>
      </c>
      <c r="B227" s="292">
        <v>45894</v>
      </c>
      <c r="C227" s="293">
        <v>45898</v>
      </c>
      <c r="D227" s="293" t="s">
        <v>125</v>
      </c>
      <c r="E227" s="293" t="s">
        <v>4410</v>
      </c>
      <c r="F227" s="294">
        <v>40466241</v>
      </c>
      <c r="G227" s="295" t="s">
        <v>4368</v>
      </c>
      <c r="H227" s="296" t="s">
        <v>4411</v>
      </c>
      <c r="I227" s="297" t="s">
        <v>41</v>
      </c>
      <c r="J227" s="293" t="s">
        <v>64</v>
      </c>
      <c r="K227" s="293" t="s">
        <v>65</v>
      </c>
      <c r="L227" s="293" t="s">
        <v>4412</v>
      </c>
      <c r="M227" s="293" t="s">
        <v>358</v>
      </c>
      <c r="N227" s="298">
        <v>982211396</v>
      </c>
      <c r="O227" s="299">
        <v>15</v>
      </c>
      <c r="P227" s="293" t="s">
        <v>69</v>
      </c>
      <c r="Q227" s="293" t="s">
        <v>64</v>
      </c>
      <c r="R227" s="293"/>
      <c r="S227" s="293" t="s">
        <v>4410</v>
      </c>
      <c r="T227" s="297" t="s">
        <v>4413</v>
      </c>
      <c r="U227" s="300" t="s">
        <v>4414</v>
      </c>
    </row>
    <row r="228" spans="1:21" x14ac:dyDescent="0.2">
      <c r="A228" s="223">
        <v>224</v>
      </c>
      <c r="B228" s="292">
        <v>45897</v>
      </c>
      <c r="C228" s="293">
        <v>45898</v>
      </c>
      <c r="D228" s="293" t="s">
        <v>202</v>
      </c>
      <c r="E228" s="293" t="s">
        <v>4415</v>
      </c>
      <c r="F228" s="294">
        <v>40297052</v>
      </c>
      <c r="G228" s="295" t="s">
        <v>4416</v>
      </c>
      <c r="H228" s="296" t="s">
        <v>4417</v>
      </c>
      <c r="I228" s="297" t="s">
        <v>41</v>
      </c>
      <c r="J228" s="293" t="s">
        <v>64</v>
      </c>
      <c r="K228" s="293" t="s">
        <v>65</v>
      </c>
      <c r="L228" s="293" t="s">
        <v>4418</v>
      </c>
      <c r="M228" s="293" t="s">
        <v>1071</v>
      </c>
      <c r="N228" s="298">
        <v>997067264</v>
      </c>
      <c r="O228" s="299">
        <v>29</v>
      </c>
      <c r="P228" s="293" t="s">
        <v>69</v>
      </c>
      <c r="Q228" s="293" t="s">
        <v>64</v>
      </c>
      <c r="R228" s="293"/>
      <c r="S228" s="293" t="s">
        <v>4415</v>
      </c>
      <c r="T228" s="297" t="s">
        <v>4419</v>
      </c>
      <c r="U228" s="300" t="s">
        <v>4420</v>
      </c>
    </row>
    <row r="229" spans="1:21" x14ac:dyDescent="0.2">
      <c r="A229" s="223">
        <v>225</v>
      </c>
      <c r="B229" s="292">
        <v>45887</v>
      </c>
      <c r="C229" s="293">
        <v>45901</v>
      </c>
      <c r="D229" s="293" t="s">
        <v>100</v>
      </c>
      <c r="E229" s="293" t="s">
        <v>4421</v>
      </c>
      <c r="F229" s="294">
        <v>112950019</v>
      </c>
      <c r="G229" s="295" t="s">
        <v>4422</v>
      </c>
      <c r="H229" s="296" t="s">
        <v>4423</v>
      </c>
      <c r="I229" s="297" t="s">
        <v>41</v>
      </c>
      <c r="J229" s="293" t="s">
        <v>64</v>
      </c>
      <c r="K229" s="293" t="s">
        <v>65</v>
      </c>
      <c r="L229" s="293" t="s">
        <v>4424</v>
      </c>
      <c r="M229" s="293" t="s">
        <v>4425</v>
      </c>
      <c r="N229" s="298">
        <v>987216968</v>
      </c>
      <c r="O229" s="299">
        <v>36</v>
      </c>
      <c r="P229" s="293" t="s">
        <v>69</v>
      </c>
      <c r="Q229" s="293" t="s">
        <v>64</v>
      </c>
      <c r="R229" s="293"/>
      <c r="S229" s="293" t="s">
        <v>4421</v>
      </c>
      <c r="T229" s="297" t="s">
        <v>4426</v>
      </c>
      <c r="U229" s="300" t="s">
        <v>4427</v>
      </c>
    </row>
    <row r="230" spans="1:21" x14ac:dyDescent="0.2">
      <c r="A230" s="223">
        <v>226</v>
      </c>
      <c r="B230" s="292">
        <v>45886</v>
      </c>
      <c r="C230" s="293">
        <v>45901</v>
      </c>
      <c r="D230" s="293" t="s">
        <v>125</v>
      </c>
      <c r="E230" s="293" t="s">
        <v>4428</v>
      </c>
      <c r="F230" s="294">
        <v>40466241</v>
      </c>
      <c r="G230" s="295" t="s">
        <v>4368</v>
      </c>
      <c r="H230" s="296" t="s">
        <v>4429</v>
      </c>
      <c r="I230" s="297" t="s">
        <v>41</v>
      </c>
      <c r="J230" s="293" t="s">
        <v>64</v>
      </c>
      <c r="K230" s="293" t="s">
        <v>65</v>
      </c>
      <c r="L230" s="293" t="s">
        <v>4430</v>
      </c>
      <c r="M230" s="293" t="s">
        <v>4431</v>
      </c>
      <c r="N230" s="298">
        <v>990273271</v>
      </c>
      <c r="O230" s="299">
        <v>15</v>
      </c>
      <c r="P230" s="293" t="s">
        <v>69</v>
      </c>
      <c r="Q230" s="293" t="s">
        <v>64</v>
      </c>
      <c r="R230" s="293"/>
      <c r="S230" s="293" t="s">
        <v>4428</v>
      </c>
      <c r="T230" s="297" t="s">
        <v>4432</v>
      </c>
      <c r="U230" s="300" t="s">
        <v>4433</v>
      </c>
    </row>
    <row r="231" spans="1:21" x14ac:dyDescent="0.2">
      <c r="A231" s="223">
        <v>227</v>
      </c>
      <c r="B231" s="302">
        <v>45900</v>
      </c>
      <c r="C231" s="304">
        <v>45902</v>
      </c>
      <c r="D231" s="303" t="s">
        <v>125</v>
      </c>
      <c r="E231" s="303" t="s">
        <v>4434</v>
      </c>
      <c r="F231" s="294">
        <v>40590830</v>
      </c>
      <c r="G231" s="295" t="s">
        <v>4435</v>
      </c>
      <c r="H231" s="294" t="s">
        <v>4436</v>
      </c>
      <c r="I231" s="297" t="s">
        <v>41</v>
      </c>
      <c r="J231" s="293" t="s">
        <v>64</v>
      </c>
      <c r="K231" s="293" t="s">
        <v>65</v>
      </c>
      <c r="L231" s="303" t="s">
        <v>4437</v>
      </c>
      <c r="M231" s="303" t="s">
        <v>4438</v>
      </c>
      <c r="N231" s="294">
        <v>987166171</v>
      </c>
      <c r="O231" s="305">
        <v>25</v>
      </c>
      <c r="P231" s="293" t="s">
        <v>69</v>
      </c>
      <c r="Q231" s="293" t="s">
        <v>64</v>
      </c>
      <c r="R231" s="293"/>
      <c r="S231" s="293" t="s">
        <v>4434</v>
      </c>
      <c r="T231" s="297" t="s">
        <v>4439</v>
      </c>
      <c r="U231" s="306" t="s">
        <v>4440</v>
      </c>
    </row>
    <row r="232" spans="1:21" x14ac:dyDescent="0.2">
      <c r="A232" s="223">
        <v>228</v>
      </c>
      <c r="B232" s="292">
        <v>45873</v>
      </c>
      <c r="C232" s="293">
        <v>45902</v>
      </c>
      <c r="D232" s="293" t="s">
        <v>190</v>
      </c>
      <c r="E232" s="293" t="s">
        <v>4441</v>
      </c>
      <c r="F232" s="294">
        <v>41560074</v>
      </c>
      <c r="G232" s="295" t="s">
        <v>4442</v>
      </c>
      <c r="H232" s="301" t="s">
        <v>4443</v>
      </c>
      <c r="I232" s="297" t="s">
        <v>41</v>
      </c>
      <c r="J232" s="293" t="s">
        <v>64</v>
      </c>
      <c r="K232" s="293" t="s">
        <v>65</v>
      </c>
      <c r="L232" s="293" t="s">
        <v>4444</v>
      </c>
      <c r="M232" s="293" t="s">
        <v>4022</v>
      </c>
      <c r="N232" s="298">
        <v>994748668</v>
      </c>
      <c r="O232" s="299">
        <v>25</v>
      </c>
      <c r="P232" s="293" t="s">
        <v>69</v>
      </c>
      <c r="Q232" s="293" t="s">
        <v>64</v>
      </c>
      <c r="R232" s="293"/>
      <c r="S232" s="293" t="s">
        <v>4441</v>
      </c>
      <c r="T232" s="297" t="s">
        <v>4445</v>
      </c>
      <c r="U232" s="300" t="s">
        <v>4446</v>
      </c>
    </row>
    <row r="233" spans="1:21" x14ac:dyDescent="0.2">
      <c r="A233" s="223">
        <v>229</v>
      </c>
      <c r="B233" s="302">
        <v>45902</v>
      </c>
      <c r="C233" s="304">
        <v>45903</v>
      </c>
      <c r="D233" s="303" t="s">
        <v>125</v>
      </c>
      <c r="E233" s="303" t="s">
        <v>4447</v>
      </c>
      <c r="F233" s="294">
        <v>40467320</v>
      </c>
      <c r="G233" s="295" t="s">
        <v>4352</v>
      </c>
      <c r="H233" s="294" t="s">
        <v>2824</v>
      </c>
      <c r="I233" s="297" t="s">
        <v>41</v>
      </c>
      <c r="J233" s="293" t="s">
        <v>64</v>
      </c>
      <c r="K233" s="293" t="s">
        <v>65</v>
      </c>
      <c r="L233" s="303" t="s">
        <v>4448</v>
      </c>
      <c r="M233" s="303" t="s">
        <v>4449</v>
      </c>
      <c r="N233" s="294">
        <v>984373282</v>
      </c>
      <c r="O233" s="305">
        <v>15</v>
      </c>
      <c r="P233" s="293" t="s">
        <v>69</v>
      </c>
      <c r="Q233" s="293" t="s">
        <v>64</v>
      </c>
      <c r="R233" s="293"/>
      <c r="S233" s="293" t="s">
        <v>4447</v>
      </c>
      <c r="T233" s="297" t="s">
        <v>4450</v>
      </c>
      <c r="U233" s="307" t="s">
        <v>4451</v>
      </c>
    </row>
    <row r="234" spans="1:21" x14ac:dyDescent="0.2">
      <c r="A234" s="223">
        <v>230</v>
      </c>
      <c r="B234" s="302">
        <v>45900</v>
      </c>
      <c r="C234" s="304">
        <v>45903</v>
      </c>
      <c r="D234" s="303" t="s">
        <v>4452</v>
      </c>
      <c r="E234" s="303" t="s">
        <v>4453</v>
      </c>
      <c r="F234" s="294">
        <v>113430018</v>
      </c>
      <c r="G234" s="295" t="s">
        <v>4454</v>
      </c>
      <c r="H234" s="294" t="s">
        <v>4455</v>
      </c>
      <c r="I234" s="297" t="s">
        <v>41</v>
      </c>
      <c r="J234" s="293" t="s">
        <v>64</v>
      </c>
      <c r="K234" s="293" t="s">
        <v>65</v>
      </c>
      <c r="L234" s="303" t="s">
        <v>4456</v>
      </c>
      <c r="M234" s="303" t="s">
        <v>349</v>
      </c>
      <c r="N234" s="294">
        <v>995139439</v>
      </c>
      <c r="O234" s="305">
        <v>30</v>
      </c>
      <c r="P234" s="293" t="s">
        <v>69</v>
      </c>
      <c r="Q234" s="293" t="s">
        <v>64</v>
      </c>
      <c r="R234" s="293"/>
      <c r="S234" s="293" t="s">
        <v>4453</v>
      </c>
      <c r="T234" s="297" t="s">
        <v>4457</v>
      </c>
      <c r="U234" s="306" t="s">
        <v>4458</v>
      </c>
    </row>
    <row r="235" spans="1:21" x14ac:dyDescent="0.2">
      <c r="A235" s="223">
        <v>231</v>
      </c>
      <c r="B235" s="302">
        <v>45901</v>
      </c>
      <c r="C235" s="304">
        <v>45903</v>
      </c>
      <c r="D235" s="303" t="s">
        <v>4459</v>
      </c>
      <c r="E235" s="303" t="s">
        <v>4460</v>
      </c>
      <c r="F235" s="294">
        <v>112610068</v>
      </c>
      <c r="G235" s="295" t="s">
        <v>4461</v>
      </c>
      <c r="H235" s="294" t="s">
        <v>4462</v>
      </c>
      <c r="I235" s="297" t="s">
        <v>41</v>
      </c>
      <c r="J235" s="293" t="s">
        <v>64</v>
      </c>
      <c r="K235" s="293" t="s">
        <v>65</v>
      </c>
      <c r="L235" s="303" t="s">
        <v>4463</v>
      </c>
      <c r="M235" s="303" t="s">
        <v>349</v>
      </c>
      <c r="N235" s="294">
        <v>999855619</v>
      </c>
      <c r="O235" s="305">
        <v>25</v>
      </c>
      <c r="P235" s="293" t="s">
        <v>69</v>
      </c>
      <c r="Q235" s="293" t="s">
        <v>64</v>
      </c>
      <c r="R235" s="293"/>
      <c r="S235" s="293" t="s">
        <v>4460</v>
      </c>
      <c r="T235" s="297" t="s">
        <v>4464</v>
      </c>
      <c r="U235" s="306" t="s">
        <v>4465</v>
      </c>
    </row>
    <row r="236" spans="1:21" x14ac:dyDescent="0.2">
      <c r="A236" s="223">
        <v>232</v>
      </c>
      <c r="B236" s="302">
        <v>45220</v>
      </c>
      <c r="C236" s="304">
        <v>45903</v>
      </c>
      <c r="D236" s="303" t="s">
        <v>125</v>
      </c>
      <c r="E236" s="303" t="s">
        <v>4466</v>
      </c>
      <c r="F236" s="294">
        <v>112570041</v>
      </c>
      <c r="G236" s="295" t="s">
        <v>4467</v>
      </c>
      <c r="H236" s="294" t="s">
        <v>4468</v>
      </c>
      <c r="I236" s="297" t="s">
        <v>41</v>
      </c>
      <c r="J236" s="293" t="s">
        <v>64</v>
      </c>
      <c r="K236" s="293" t="s">
        <v>65</v>
      </c>
      <c r="L236" s="303" t="s">
        <v>4469</v>
      </c>
      <c r="M236" s="303" t="s">
        <v>4470</v>
      </c>
      <c r="N236" s="294">
        <v>987094737</v>
      </c>
      <c r="O236" s="305">
        <v>25</v>
      </c>
      <c r="P236" s="293" t="s">
        <v>69</v>
      </c>
      <c r="Q236" s="293" t="s">
        <v>64</v>
      </c>
      <c r="R236" s="293"/>
      <c r="S236" s="293" t="s">
        <v>4466</v>
      </c>
      <c r="T236" s="297" t="s">
        <v>4471</v>
      </c>
      <c r="U236" s="307" t="s">
        <v>3917</v>
      </c>
    </row>
    <row r="237" spans="1:21" x14ac:dyDescent="0.2">
      <c r="A237" s="223">
        <v>233</v>
      </c>
      <c r="B237" s="302">
        <v>45824</v>
      </c>
      <c r="C237" s="304">
        <v>45904</v>
      </c>
      <c r="D237" s="303" t="s">
        <v>125</v>
      </c>
      <c r="E237" s="303" t="s">
        <v>4472</v>
      </c>
      <c r="F237" s="294">
        <v>113430073</v>
      </c>
      <c r="G237" s="295" t="s">
        <v>4473</v>
      </c>
      <c r="H237" s="294" t="s">
        <v>4474</v>
      </c>
      <c r="I237" s="297" t="s">
        <v>41</v>
      </c>
      <c r="J237" s="293" t="s">
        <v>64</v>
      </c>
      <c r="K237" s="293" t="s">
        <v>65</v>
      </c>
      <c r="L237" s="303" t="s">
        <v>4475</v>
      </c>
      <c r="M237" s="303" t="s">
        <v>4476</v>
      </c>
      <c r="N237" s="294">
        <v>992911505</v>
      </c>
      <c r="O237" s="305">
        <v>30</v>
      </c>
      <c r="P237" s="293" t="s">
        <v>69</v>
      </c>
      <c r="Q237" s="293" t="s">
        <v>64</v>
      </c>
      <c r="R237" s="293"/>
      <c r="S237" s="293" t="s">
        <v>4472</v>
      </c>
      <c r="T237" s="297" t="s">
        <v>4477</v>
      </c>
      <c r="U237" s="306" t="s">
        <v>4478</v>
      </c>
    </row>
    <row r="238" spans="1:21" x14ac:dyDescent="0.2">
      <c r="A238" s="223">
        <v>234</v>
      </c>
      <c r="B238" s="302">
        <v>45901</v>
      </c>
      <c r="C238" s="304">
        <v>45904</v>
      </c>
      <c r="D238" s="303" t="s">
        <v>125</v>
      </c>
      <c r="E238" s="303" t="s">
        <v>4479</v>
      </c>
      <c r="F238" s="294">
        <v>112570073</v>
      </c>
      <c r="G238" s="295" t="s">
        <v>4480</v>
      </c>
      <c r="H238" s="294" t="s">
        <v>4481</v>
      </c>
      <c r="I238" s="297" t="s">
        <v>41</v>
      </c>
      <c r="J238" s="293" t="s">
        <v>64</v>
      </c>
      <c r="K238" s="293" t="s">
        <v>65</v>
      </c>
      <c r="L238" s="303" t="s">
        <v>4482</v>
      </c>
      <c r="M238" s="303" t="s">
        <v>4483</v>
      </c>
      <c r="N238" s="294">
        <v>981590060</v>
      </c>
      <c r="O238" s="305">
        <v>29</v>
      </c>
      <c r="P238" s="293" t="s">
        <v>69</v>
      </c>
      <c r="Q238" s="293" t="s">
        <v>64</v>
      </c>
      <c r="R238" s="293"/>
      <c r="S238" s="293" t="s">
        <v>4479</v>
      </c>
      <c r="T238" s="297" t="s">
        <v>4484</v>
      </c>
      <c r="U238" s="306" t="s">
        <v>4485</v>
      </c>
    </row>
    <row r="239" spans="1:21" x14ac:dyDescent="0.2">
      <c r="A239" s="223">
        <v>235</v>
      </c>
      <c r="B239" s="302">
        <v>45903</v>
      </c>
      <c r="C239" s="304">
        <v>45905</v>
      </c>
      <c r="D239" s="303" t="s">
        <v>125</v>
      </c>
      <c r="E239" s="303" t="s">
        <v>4486</v>
      </c>
      <c r="F239" s="294">
        <v>40466241</v>
      </c>
      <c r="G239" s="295" t="s">
        <v>4368</v>
      </c>
      <c r="H239" s="294" t="s">
        <v>4487</v>
      </c>
      <c r="I239" s="297" t="s">
        <v>41</v>
      </c>
      <c r="J239" s="293" t="s">
        <v>64</v>
      </c>
      <c r="K239" s="293" t="s">
        <v>65</v>
      </c>
      <c r="L239" s="303" t="s">
        <v>4488</v>
      </c>
      <c r="M239" s="303" t="s">
        <v>4489</v>
      </c>
      <c r="N239" s="294">
        <v>987187169</v>
      </c>
      <c r="O239" s="305">
        <v>15</v>
      </c>
      <c r="P239" s="293" t="s">
        <v>69</v>
      </c>
      <c r="Q239" s="293" t="s">
        <v>64</v>
      </c>
      <c r="R239" s="293"/>
      <c r="S239" s="293" t="s">
        <v>4486</v>
      </c>
      <c r="T239" s="297" t="s">
        <v>4490</v>
      </c>
      <c r="U239" s="306" t="s">
        <v>4491</v>
      </c>
    </row>
    <row r="240" spans="1:21" x14ac:dyDescent="0.2">
      <c r="A240" s="223">
        <v>236</v>
      </c>
      <c r="B240" s="302">
        <v>45902</v>
      </c>
      <c r="C240" s="304">
        <v>45905</v>
      </c>
      <c r="D240" s="303" t="s">
        <v>100</v>
      </c>
      <c r="E240" s="303" t="s">
        <v>4492</v>
      </c>
      <c r="F240" s="294">
        <v>113430051</v>
      </c>
      <c r="G240" s="295" t="s">
        <v>4493</v>
      </c>
      <c r="H240" s="294" t="s">
        <v>4494</v>
      </c>
      <c r="I240" s="297" t="s">
        <v>41</v>
      </c>
      <c r="J240" s="293" t="s">
        <v>64</v>
      </c>
      <c r="K240" s="293" t="s">
        <v>65</v>
      </c>
      <c r="L240" s="303" t="s">
        <v>3609</v>
      </c>
      <c r="M240" s="303" t="s">
        <v>1020</v>
      </c>
      <c r="N240" s="294">
        <v>982759252</v>
      </c>
      <c r="O240" s="305">
        <v>30</v>
      </c>
      <c r="P240" s="293" t="s">
        <v>69</v>
      </c>
      <c r="Q240" s="293" t="s">
        <v>64</v>
      </c>
      <c r="R240" s="293"/>
      <c r="S240" s="293" t="s">
        <v>4492</v>
      </c>
      <c r="T240" s="297" t="s">
        <v>4495</v>
      </c>
      <c r="U240" s="306" t="s">
        <v>4496</v>
      </c>
    </row>
    <row r="241" spans="1:21" x14ac:dyDescent="0.2">
      <c r="A241" s="223">
        <v>237</v>
      </c>
      <c r="B241" s="302">
        <v>45905</v>
      </c>
      <c r="C241" s="304">
        <v>45909</v>
      </c>
      <c r="D241" s="303" t="s">
        <v>125</v>
      </c>
      <c r="E241" s="303" t="s">
        <v>4497</v>
      </c>
      <c r="F241" s="294">
        <v>40461543</v>
      </c>
      <c r="G241" s="295" t="s">
        <v>4498</v>
      </c>
      <c r="H241" s="294" t="s">
        <v>4499</v>
      </c>
      <c r="I241" s="297" t="s">
        <v>41</v>
      </c>
      <c r="J241" s="293" t="s">
        <v>64</v>
      </c>
      <c r="K241" s="293" t="s">
        <v>65</v>
      </c>
      <c r="L241" s="303" t="s">
        <v>4500</v>
      </c>
      <c r="M241" s="303" t="s">
        <v>378</v>
      </c>
      <c r="N241" s="294">
        <v>997666978</v>
      </c>
      <c r="O241" s="305">
        <v>15</v>
      </c>
      <c r="P241" s="293" t="s">
        <v>69</v>
      </c>
      <c r="Q241" s="293" t="s">
        <v>64</v>
      </c>
      <c r="R241" s="293"/>
      <c r="S241" s="293" t="s">
        <v>4497</v>
      </c>
      <c r="T241" s="297" t="s">
        <v>4501</v>
      </c>
      <c r="U241" s="307" t="s">
        <v>3917</v>
      </c>
    </row>
    <row r="242" spans="1:21" x14ac:dyDescent="0.2">
      <c r="A242" s="223">
        <v>238</v>
      </c>
      <c r="B242" s="302">
        <v>45902</v>
      </c>
      <c r="C242" s="304">
        <v>45911</v>
      </c>
      <c r="D242" s="308" t="s">
        <v>202</v>
      </c>
      <c r="E242" s="308" t="s">
        <v>4502</v>
      </c>
      <c r="F242" s="294">
        <v>40446712</v>
      </c>
      <c r="G242" s="309" t="s">
        <v>4362</v>
      </c>
      <c r="H242" s="294" t="s">
        <v>4503</v>
      </c>
      <c r="I242" s="297" t="s">
        <v>41</v>
      </c>
      <c r="J242" s="293" t="s">
        <v>64</v>
      </c>
      <c r="K242" s="293" t="s">
        <v>65</v>
      </c>
      <c r="L242" s="308" t="s">
        <v>1194</v>
      </c>
      <c r="M242" s="308" t="s">
        <v>4504</v>
      </c>
      <c r="N242" s="294">
        <v>40446712</v>
      </c>
      <c r="O242" s="305">
        <v>15</v>
      </c>
      <c r="P242" s="293" t="s">
        <v>69</v>
      </c>
      <c r="Q242" s="293" t="s">
        <v>64</v>
      </c>
      <c r="R242" s="293"/>
      <c r="S242" s="293" t="s">
        <v>4502</v>
      </c>
      <c r="T242" s="297" t="s">
        <v>4505</v>
      </c>
      <c r="U242" s="310" t="s">
        <v>4506</v>
      </c>
    </row>
    <row r="243" spans="1:21" x14ac:dyDescent="0.2">
      <c r="A243" s="223">
        <v>239</v>
      </c>
      <c r="B243" s="302">
        <v>45925</v>
      </c>
      <c r="C243" s="304">
        <v>45910</v>
      </c>
      <c r="D243" s="308" t="s">
        <v>100</v>
      </c>
      <c r="E243" s="308" t="s">
        <v>4507</v>
      </c>
      <c r="F243" s="294">
        <v>40467305</v>
      </c>
      <c r="G243" s="309" t="s">
        <v>4508</v>
      </c>
      <c r="H243" s="294" t="s">
        <v>4509</v>
      </c>
      <c r="I243" s="297" t="s">
        <v>41</v>
      </c>
      <c r="J243" s="293" t="s">
        <v>64</v>
      </c>
      <c r="K243" s="293" t="s">
        <v>65</v>
      </c>
      <c r="L243" s="308" t="s">
        <v>4510</v>
      </c>
      <c r="M243" s="308" t="s">
        <v>1224</v>
      </c>
      <c r="N243" s="294">
        <v>997492234</v>
      </c>
      <c r="O243" s="305">
        <v>15</v>
      </c>
      <c r="P243" s="293" t="s">
        <v>69</v>
      </c>
      <c r="Q243" s="293" t="s">
        <v>64</v>
      </c>
      <c r="R243" s="293"/>
      <c r="S243" s="293" t="s">
        <v>4507</v>
      </c>
      <c r="T243" s="297" t="s">
        <v>4511</v>
      </c>
      <c r="U243" s="310" t="s">
        <v>4512</v>
      </c>
    </row>
    <row r="244" spans="1:21" x14ac:dyDescent="0.2">
      <c r="A244" s="223">
        <v>240</v>
      </c>
      <c r="B244" s="302">
        <v>45906</v>
      </c>
      <c r="C244" s="304">
        <v>45910</v>
      </c>
      <c r="D244" s="303" t="s">
        <v>100</v>
      </c>
      <c r="E244" s="303" t="s">
        <v>4513</v>
      </c>
      <c r="F244" s="294">
        <v>111000078</v>
      </c>
      <c r="G244" s="309" t="s">
        <v>4380</v>
      </c>
      <c r="H244" s="294" t="s">
        <v>4514</v>
      </c>
      <c r="I244" s="297" t="s">
        <v>41</v>
      </c>
      <c r="J244" s="293" t="s">
        <v>64</v>
      </c>
      <c r="K244" s="293" t="s">
        <v>65</v>
      </c>
      <c r="L244" s="303" t="s">
        <v>4515</v>
      </c>
      <c r="M244" s="303" t="s">
        <v>349</v>
      </c>
      <c r="N244" s="294">
        <v>992303061</v>
      </c>
      <c r="O244" s="305">
        <v>29</v>
      </c>
      <c r="P244" s="293" t="s">
        <v>69</v>
      </c>
      <c r="Q244" s="293" t="s">
        <v>64</v>
      </c>
      <c r="R244" s="293"/>
      <c r="S244" s="293" t="s">
        <v>4513</v>
      </c>
      <c r="T244" s="297" t="s">
        <v>4516</v>
      </c>
      <c r="U244" s="306" t="s">
        <v>4517</v>
      </c>
    </row>
    <row r="245" spans="1:21" x14ac:dyDescent="0.2">
      <c r="A245" s="223">
        <v>241</v>
      </c>
      <c r="B245" s="311">
        <v>45885</v>
      </c>
      <c r="C245" s="311">
        <v>45911</v>
      </c>
      <c r="D245" s="312" t="s">
        <v>75</v>
      </c>
      <c r="E245" s="312" t="s">
        <v>4518</v>
      </c>
      <c r="F245" s="313">
        <v>111020071</v>
      </c>
      <c r="G245" s="314" t="s">
        <v>4519</v>
      </c>
      <c r="H245" s="313" t="s">
        <v>4520</v>
      </c>
      <c r="I245" s="315" t="s">
        <v>41</v>
      </c>
      <c r="J245" s="293" t="s">
        <v>64</v>
      </c>
      <c r="K245" s="293" t="s">
        <v>65</v>
      </c>
      <c r="L245" s="312" t="s">
        <v>4521</v>
      </c>
      <c r="M245" s="312" t="s">
        <v>4522</v>
      </c>
      <c r="N245" s="313">
        <v>991307808</v>
      </c>
      <c r="O245" s="316">
        <v>25</v>
      </c>
      <c r="P245" s="292" t="s">
        <v>69</v>
      </c>
      <c r="Q245" s="293" t="s">
        <v>64</v>
      </c>
      <c r="R245" s="312"/>
      <c r="S245" s="292" t="s">
        <v>4518</v>
      </c>
      <c r="T245" s="312">
        <v>101021657</v>
      </c>
      <c r="U245" s="282" t="s">
        <v>4523</v>
      </c>
    </row>
    <row r="246" spans="1:21" x14ac:dyDescent="0.2">
      <c r="A246" s="223">
        <v>242</v>
      </c>
      <c r="B246" s="311">
        <v>45930</v>
      </c>
      <c r="C246" s="311">
        <v>45911</v>
      </c>
      <c r="D246" s="312" t="s">
        <v>100</v>
      </c>
      <c r="E246" s="312" t="s">
        <v>4524</v>
      </c>
      <c r="F246" s="313">
        <v>111010040</v>
      </c>
      <c r="G246" s="314" t="s">
        <v>4525</v>
      </c>
      <c r="H246" s="313" t="s">
        <v>4526</v>
      </c>
      <c r="I246" s="315" t="s">
        <v>41</v>
      </c>
      <c r="J246" s="293" t="s">
        <v>64</v>
      </c>
      <c r="K246" s="293" t="s">
        <v>65</v>
      </c>
      <c r="L246" s="312" t="s">
        <v>4527</v>
      </c>
      <c r="M246" s="312" t="s">
        <v>4528</v>
      </c>
      <c r="N246" s="313">
        <v>999979686</v>
      </c>
      <c r="O246" s="316">
        <v>25</v>
      </c>
      <c r="P246" s="292" t="s">
        <v>69</v>
      </c>
      <c r="Q246" s="293" t="s">
        <v>64</v>
      </c>
      <c r="R246" s="312"/>
      <c r="S246" s="292" t="s">
        <v>4524</v>
      </c>
      <c r="T246" s="312">
        <v>105057996</v>
      </c>
      <c r="U246" s="282" t="s">
        <v>4529</v>
      </c>
    </row>
    <row r="247" spans="1:21" x14ac:dyDescent="0.2">
      <c r="A247" s="223">
        <v>243</v>
      </c>
      <c r="B247" s="317">
        <v>45902</v>
      </c>
      <c r="C247" s="317">
        <v>45912</v>
      </c>
      <c r="D247" s="318" t="s">
        <v>202</v>
      </c>
      <c r="E247" s="318" t="s">
        <v>4502</v>
      </c>
      <c r="F247" s="319">
        <v>112570124</v>
      </c>
      <c r="G247" s="320" t="s">
        <v>4269</v>
      </c>
      <c r="H247" s="319" t="s">
        <v>4530</v>
      </c>
      <c r="I247" s="315" t="s">
        <v>41</v>
      </c>
      <c r="J247" s="293" t="s">
        <v>64</v>
      </c>
      <c r="K247" s="293" t="s">
        <v>65</v>
      </c>
      <c r="L247" s="318" t="s">
        <v>4531</v>
      </c>
      <c r="M247" s="318" t="s">
        <v>4532</v>
      </c>
      <c r="N247" s="319">
        <v>958620101</v>
      </c>
      <c r="O247" s="321">
        <v>29</v>
      </c>
      <c r="P247" s="292" t="s">
        <v>69</v>
      </c>
      <c r="Q247" s="293" t="s">
        <v>64</v>
      </c>
      <c r="R247" s="318"/>
      <c r="S247" s="292" t="s">
        <v>4502</v>
      </c>
      <c r="T247" s="322" t="s">
        <v>4533</v>
      </c>
      <c r="U247" s="323" t="s">
        <v>4534</v>
      </c>
    </row>
    <row r="248" spans="1:21" x14ac:dyDescent="0.2">
      <c r="A248" s="223">
        <v>244</v>
      </c>
      <c r="B248" s="311">
        <v>45906</v>
      </c>
      <c r="C248" s="311">
        <v>45912</v>
      </c>
      <c r="D248" s="312" t="s">
        <v>100</v>
      </c>
      <c r="E248" s="312" t="s">
        <v>4535</v>
      </c>
      <c r="F248" s="313">
        <v>112570093</v>
      </c>
      <c r="G248" s="314" t="s">
        <v>4536</v>
      </c>
      <c r="H248" s="313" t="s">
        <v>4537</v>
      </c>
      <c r="I248" s="315" t="s">
        <v>41</v>
      </c>
      <c r="J248" s="293" t="s">
        <v>64</v>
      </c>
      <c r="K248" s="293" t="s">
        <v>65</v>
      </c>
      <c r="L248" s="312" t="s">
        <v>4538</v>
      </c>
      <c r="M248" s="312" t="s">
        <v>4539</v>
      </c>
      <c r="N248" s="313">
        <v>999977748</v>
      </c>
      <c r="O248" s="316">
        <v>29</v>
      </c>
      <c r="P248" s="292" t="s">
        <v>69</v>
      </c>
      <c r="Q248" s="293" t="s">
        <v>64</v>
      </c>
      <c r="R248" s="312"/>
      <c r="S248" s="292" t="s">
        <v>4535</v>
      </c>
      <c r="T248" s="214" t="s">
        <v>4540</v>
      </c>
      <c r="U248" s="324" t="s">
        <v>4541</v>
      </c>
    </row>
    <row r="249" spans="1:21" x14ac:dyDescent="0.2">
      <c r="A249" s="223">
        <v>245</v>
      </c>
      <c r="B249" s="311">
        <v>45236</v>
      </c>
      <c r="C249" s="311">
        <v>45915</v>
      </c>
      <c r="D249" s="312" t="s">
        <v>100</v>
      </c>
      <c r="E249" s="312" t="s">
        <v>4542</v>
      </c>
      <c r="F249" s="313">
        <v>112510035</v>
      </c>
      <c r="G249" s="314" t="s">
        <v>4262</v>
      </c>
      <c r="H249" s="313" t="s">
        <v>4543</v>
      </c>
      <c r="I249" s="315" t="s">
        <v>41</v>
      </c>
      <c r="J249" s="293" t="s">
        <v>64</v>
      </c>
      <c r="K249" s="293" t="s">
        <v>65</v>
      </c>
      <c r="L249" s="312" t="s">
        <v>4544</v>
      </c>
      <c r="M249" s="312" t="s">
        <v>4545</v>
      </c>
      <c r="N249" s="313">
        <v>9984745385</v>
      </c>
      <c r="O249" s="316">
        <v>29</v>
      </c>
      <c r="P249" s="292" t="s">
        <v>69</v>
      </c>
      <c r="Q249" s="293" t="s">
        <v>64</v>
      </c>
      <c r="R249" s="312"/>
      <c r="S249" s="292" t="s">
        <v>4542</v>
      </c>
      <c r="T249" s="214" t="s">
        <v>4546</v>
      </c>
      <c r="U249" s="324" t="s">
        <v>3917</v>
      </c>
    </row>
    <row r="250" spans="1:21" x14ac:dyDescent="0.2">
      <c r="A250" s="223">
        <v>246</v>
      </c>
      <c r="B250" s="311">
        <v>45908</v>
      </c>
      <c r="C250" s="311">
        <v>45915</v>
      </c>
      <c r="D250" s="312" t="s">
        <v>125</v>
      </c>
      <c r="E250" s="312" t="s">
        <v>4547</v>
      </c>
      <c r="F250" s="313">
        <v>40466241</v>
      </c>
      <c r="G250" s="314" t="s">
        <v>4368</v>
      </c>
      <c r="H250" s="313" t="s">
        <v>4548</v>
      </c>
      <c r="I250" s="315" t="s">
        <v>41</v>
      </c>
      <c r="J250" s="293" t="s">
        <v>64</v>
      </c>
      <c r="K250" s="293" t="s">
        <v>65</v>
      </c>
      <c r="L250" s="312" t="s">
        <v>4549</v>
      </c>
      <c r="M250" s="312" t="s">
        <v>4550</v>
      </c>
      <c r="N250" s="313">
        <v>102929418</v>
      </c>
      <c r="O250" s="316">
        <v>15</v>
      </c>
      <c r="P250" s="292" t="s">
        <v>69</v>
      </c>
      <c r="Q250" s="293" t="s">
        <v>64</v>
      </c>
      <c r="R250" s="312"/>
      <c r="S250" s="292" t="s">
        <v>4547</v>
      </c>
      <c r="T250" s="214" t="s">
        <v>4551</v>
      </c>
      <c r="U250" s="282" t="s">
        <v>4552</v>
      </c>
    </row>
    <row r="251" spans="1:21" x14ac:dyDescent="0.2">
      <c r="A251" s="223">
        <v>247</v>
      </c>
      <c r="B251" s="311">
        <v>45835</v>
      </c>
      <c r="C251" s="311">
        <v>45916</v>
      </c>
      <c r="D251" s="312" t="s">
        <v>100</v>
      </c>
      <c r="E251" s="312" t="s">
        <v>4553</v>
      </c>
      <c r="F251" s="313">
        <v>112950021</v>
      </c>
      <c r="G251" s="314" t="s">
        <v>4554</v>
      </c>
      <c r="H251" s="313" t="s">
        <v>4555</v>
      </c>
      <c r="I251" s="315" t="s">
        <v>41</v>
      </c>
      <c r="J251" s="293" t="s">
        <v>64</v>
      </c>
      <c r="K251" s="293" t="s">
        <v>65</v>
      </c>
      <c r="L251" s="312" t="s">
        <v>4556</v>
      </c>
      <c r="M251" s="312" t="s">
        <v>4557</v>
      </c>
      <c r="N251" s="313">
        <v>102185345</v>
      </c>
      <c r="O251" s="316">
        <v>36</v>
      </c>
      <c r="P251" s="292" t="s">
        <v>69</v>
      </c>
      <c r="Q251" s="293" t="s">
        <v>64</v>
      </c>
      <c r="R251" s="312"/>
      <c r="S251" s="292" t="s">
        <v>4553</v>
      </c>
      <c r="T251" s="214" t="s">
        <v>4558</v>
      </c>
      <c r="U251" s="282" t="s">
        <v>4559</v>
      </c>
    </row>
    <row r="252" spans="1:21" x14ac:dyDescent="0.2">
      <c r="A252" s="223">
        <v>248</v>
      </c>
      <c r="B252" s="311">
        <v>45912</v>
      </c>
      <c r="C252" s="311">
        <v>45916</v>
      </c>
      <c r="D252" s="312" t="s">
        <v>100</v>
      </c>
      <c r="E252" s="312" t="s">
        <v>4560</v>
      </c>
      <c r="F252" s="313">
        <v>40466111</v>
      </c>
      <c r="G252" s="314" t="s">
        <v>4561</v>
      </c>
      <c r="H252" s="313" t="s">
        <v>4562</v>
      </c>
      <c r="I252" s="315" t="s">
        <v>41</v>
      </c>
      <c r="J252" s="293" t="s">
        <v>64</v>
      </c>
      <c r="K252" s="293" t="s">
        <v>65</v>
      </c>
      <c r="L252" s="312" t="s">
        <v>4563</v>
      </c>
      <c r="M252" s="312" t="s">
        <v>378</v>
      </c>
      <c r="N252" s="313">
        <v>101008829</v>
      </c>
      <c r="O252" s="316">
        <v>15</v>
      </c>
      <c r="P252" s="292" t="s">
        <v>69</v>
      </c>
      <c r="Q252" s="293" t="s">
        <v>64</v>
      </c>
      <c r="R252" s="312"/>
      <c r="S252" s="292" t="s">
        <v>4560</v>
      </c>
      <c r="T252" s="214" t="s">
        <v>4564</v>
      </c>
      <c r="U252" s="282" t="s">
        <v>4565</v>
      </c>
    </row>
    <row r="253" spans="1:21" x14ac:dyDescent="0.2">
      <c r="A253" s="223">
        <v>249</v>
      </c>
      <c r="B253" s="311">
        <v>45916</v>
      </c>
      <c r="C253" s="311">
        <v>45916</v>
      </c>
      <c r="D253" s="312" t="s">
        <v>710</v>
      </c>
      <c r="E253" s="312" t="s">
        <v>4566</v>
      </c>
      <c r="F253" s="313">
        <v>40197255</v>
      </c>
      <c r="G253" s="314" t="s">
        <v>4241</v>
      </c>
      <c r="H253" s="313" t="s">
        <v>4567</v>
      </c>
      <c r="I253" s="315" t="s">
        <v>41</v>
      </c>
      <c r="J253" s="293" t="s">
        <v>64</v>
      </c>
      <c r="K253" s="293" t="s">
        <v>65</v>
      </c>
      <c r="L253" s="312" t="s">
        <v>4568</v>
      </c>
      <c r="M253" s="312" t="s">
        <v>4569</v>
      </c>
      <c r="N253" s="313">
        <v>100031095</v>
      </c>
      <c r="O253" s="316">
        <v>15</v>
      </c>
      <c r="P253" s="292" t="s">
        <v>69</v>
      </c>
      <c r="Q253" s="293" t="s">
        <v>64</v>
      </c>
      <c r="R253" s="312"/>
      <c r="S253" s="292" t="s">
        <v>4566</v>
      </c>
      <c r="T253" s="214" t="s">
        <v>4570</v>
      </c>
      <c r="U253" s="282" t="s">
        <v>4571</v>
      </c>
    </row>
    <row r="254" spans="1:21" x14ac:dyDescent="0.2">
      <c r="A254" s="223">
        <v>250</v>
      </c>
      <c r="B254" s="311">
        <v>45910</v>
      </c>
      <c r="C254" s="311">
        <v>45916</v>
      </c>
      <c r="D254" s="312" t="s">
        <v>125</v>
      </c>
      <c r="E254" s="312" t="s">
        <v>4572</v>
      </c>
      <c r="F254" s="313">
        <v>40466241</v>
      </c>
      <c r="G254" s="314" t="s">
        <v>4368</v>
      </c>
      <c r="H254" s="313" t="s">
        <v>4573</v>
      </c>
      <c r="I254" s="315" t="s">
        <v>41</v>
      </c>
      <c r="J254" s="293" t="s">
        <v>64</v>
      </c>
      <c r="K254" s="293" t="s">
        <v>65</v>
      </c>
      <c r="L254" s="312" t="s">
        <v>3590</v>
      </c>
      <c r="M254" s="312" t="s">
        <v>4574</v>
      </c>
      <c r="N254" s="313">
        <v>703744532</v>
      </c>
      <c r="O254" s="316">
        <v>15</v>
      </c>
      <c r="P254" s="292" t="s">
        <v>69</v>
      </c>
      <c r="Q254" s="293" t="s">
        <v>64</v>
      </c>
      <c r="R254" s="312"/>
      <c r="S254" s="292" t="s">
        <v>4572</v>
      </c>
      <c r="T254" s="214" t="s">
        <v>4575</v>
      </c>
      <c r="U254" s="282" t="s">
        <v>4576</v>
      </c>
    </row>
    <row r="255" spans="1:21" x14ac:dyDescent="0.2">
      <c r="A255" s="223">
        <v>251</v>
      </c>
      <c r="B255" s="311">
        <v>45896</v>
      </c>
      <c r="C255" s="311">
        <v>45917</v>
      </c>
      <c r="D255" s="312" t="s">
        <v>125</v>
      </c>
      <c r="E255" s="312" t="s">
        <v>4577</v>
      </c>
      <c r="F255" s="313">
        <v>112580017</v>
      </c>
      <c r="G255" s="314" t="s">
        <v>4578</v>
      </c>
      <c r="H255" s="313" t="s">
        <v>4579</v>
      </c>
      <c r="I255" s="315" t="s">
        <v>41</v>
      </c>
      <c r="J255" s="293" t="s">
        <v>64</v>
      </c>
      <c r="K255" s="293" t="s">
        <v>65</v>
      </c>
      <c r="L255" s="312" t="s">
        <v>4580</v>
      </c>
      <c r="M255" s="312" t="s">
        <v>4581</v>
      </c>
      <c r="N255" s="313">
        <v>105762637</v>
      </c>
      <c r="O255" s="316">
        <v>29</v>
      </c>
      <c r="P255" s="292" t="s">
        <v>69</v>
      </c>
      <c r="Q255" s="293" t="s">
        <v>64</v>
      </c>
      <c r="R255" s="312"/>
      <c r="S255" s="292" t="s">
        <v>4577</v>
      </c>
      <c r="T255" s="214" t="s">
        <v>4582</v>
      </c>
      <c r="U255" s="282" t="s">
        <v>4583</v>
      </c>
    </row>
    <row r="256" spans="1:21" x14ac:dyDescent="0.2">
      <c r="A256" s="223">
        <v>252</v>
      </c>
      <c r="B256" s="311">
        <v>45914</v>
      </c>
      <c r="C256" s="311">
        <v>45918</v>
      </c>
      <c r="D256" s="312" t="s">
        <v>125</v>
      </c>
      <c r="E256" s="312" t="s">
        <v>4584</v>
      </c>
      <c r="F256" s="313">
        <v>112610068</v>
      </c>
      <c r="G256" s="314" t="s">
        <v>4461</v>
      </c>
      <c r="H256" s="313" t="s">
        <v>4585</v>
      </c>
      <c r="I256" s="315" t="s">
        <v>41</v>
      </c>
      <c r="J256" s="293" t="s">
        <v>64</v>
      </c>
      <c r="K256" s="293" t="s">
        <v>65</v>
      </c>
      <c r="L256" s="312" t="s">
        <v>4586</v>
      </c>
      <c r="M256" s="312" t="s">
        <v>720</v>
      </c>
      <c r="N256" s="313">
        <v>1104479645</v>
      </c>
      <c r="O256" s="316">
        <v>29</v>
      </c>
      <c r="P256" s="292" t="s">
        <v>69</v>
      </c>
      <c r="Q256" s="293" t="s">
        <v>64</v>
      </c>
      <c r="R256" s="312"/>
      <c r="S256" s="292" t="s">
        <v>4584</v>
      </c>
      <c r="T256" s="214" t="s">
        <v>4587</v>
      </c>
      <c r="U256" s="282" t="s">
        <v>4588</v>
      </c>
    </row>
    <row r="257" spans="1:21" x14ac:dyDescent="0.2">
      <c r="A257" s="223">
        <v>253</v>
      </c>
      <c r="B257" s="311">
        <v>45884</v>
      </c>
      <c r="C257" s="311">
        <v>45918</v>
      </c>
      <c r="D257" s="312" t="s">
        <v>125</v>
      </c>
      <c r="E257" s="312" t="s">
        <v>4589</v>
      </c>
      <c r="F257" s="313">
        <v>112580017</v>
      </c>
      <c r="G257" s="314" t="s">
        <v>4578</v>
      </c>
      <c r="H257" s="313" t="s">
        <v>4590</v>
      </c>
      <c r="I257" s="315" t="s">
        <v>41</v>
      </c>
      <c r="J257" s="293" t="s">
        <v>64</v>
      </c>
      <c r="K257" s="293" t="s">
        <v>65</v>
      </c>
      <c r="L257" s="312" t="s">
        <v>4591</v>
      </c>
      <c r="M257" s="312" t="s">
        <v>4592</v>
      </c>
      <c r="N257" s="313">
        <v>112580017</v>
      </c>
      <c r="O257" s="316">
        <v>29</v>
      </c>
      <c r="P257" s="292" t="s">
        <v>69</v>
      </c>
      <c r="Q257" s="293" t="s">
        <v>64</v>
      </c>
      <c r="R257" s="312"/>
      <c r="S257" s="292" t="s">
        <v>4589</v>
      </c>
      <c r="T257" s="214" t="s">
        <v>4587</v>
      </c>
      <c r="U257" s="282" t="s">
        <v>4588</v>
      </c>
    </row>
    <row r="258" spans="1:21" x14ac:dyDescent="0.2">
      <c r="A258" s="223">
        <v>254</v>
      </c>
      <c r="B258" s="325" t="s">
        <v>5003</v>
      </c>
      <c r="C258" s="325" t="s">
        <v>5006</v>
      </c>
      <c r="D258" s="325" t="s">
        <v>125</v>
      </c>
      <c r="E258" s="325" t="s">
        <v>5004</v>
      </c>
      <c r="F258" s="326">
        <v>40466111</v>
      </c>
      <c r="G258" s="327" t="str">
        <f t="shared" ref="G258:G292" si="7">VLOOKUP(F258,PROD,2,FALSE)</f>
        <v>C 910 NEGRA CAMPANA (110V-60HZ) C/KIT</v>
      </c>
      <c r="H258" s="328" t="s">
        <v>5005</v>
      </c>
      <c r="I258" s="329" t="s">
        <v>41</v>
      </c>
      <c r="J258" s="325" t="s">
        <v>64</v>
      </c>
      <c r="K258" s="325" t="s">
        <v>65</v>
      </c>
      <c r="L258" s="325" t="s">
        <v>5007</v>
      </c>
      <c r="M258" s="325" t="s">
        <v>5008</v>
      </c>
      <c r="N258" s="330">
        <v>995926119</v>
      </c>
      <c r="O258" s="331">
        <v>15</v>
      </c>
      <c r="P258" s="325" t="s">
        <v>69</v>
      </c>
      <c r="Q258" s="325" t="s">
        <v>64</v>
      </c>
      <c r="R258" s="325"/>
      <c r="S258" s="325" t="str">
        <f>E258</f>
        <v>043-907-000025310</v>
      </c>
      <c r="T258" s="332" t="s">
        <v>5009</v>
      </c>
      <c r="U258" s="333" t="s">
        <v>5010</v>
      </c>
    </row>
    <row r="259" spans="1:21" x14ac:dyDescent="0.2">
      <c r="A259" s="223">
        <v>255</v>
      </c>
      <c r="B259" s="325" t="s">
        <v>4718</v>
      </c>
      <c r="C259" s="325" t="s">
        <v>5006</v>
      </c>
      <c r="D259" s="325" t="s">
        <v>75</v>
      </c>
      <c r="E259" s="325" t="s">
        <v>5011</v>
      </c>
      <c r="F259" s="326">
        <v>111020071</v>
      </c>
      <c r="G259" s="327" t="str">
        <f t="shared" si="7"/>
        <v>HBB 510 BK 220-240  50/60 HORNO ELEC</v>
      </c>
      <c r="H259" s="328" t="s">
        <v>5012</v>
      </c>
      <c r="I259" s="329" t="s">
        <v>41</v>
      </c>
      <c r="J259" s="325" t="s">
        <v>64</v>
      </c>
      <c r="K259" s="325" t="s">
        <v>65</v>
      </c>
      <c r="L259" s="325" t="s">
        <v>5013</v>
      </c>
      <c r="M259" s="325" t="s">
        <v>5014</v>
      </c>
      <c r="N259" s="330" t="s">
        <v>5015</v>
      </c>
      <c r="O259" s="331">
        <v>25</v>
      </c>
      <c r="P259" s="325" t="s">
        <v>69</v>
      </c>
      <c r="Q259" s="325" t="s">
        <v>64</v>
      </c>
      <c r="R259" s="325"/>
      <c r="S259" s="325" t="str">
        <f>E259</f>
        <v>001-001-000001317</v>
      </c>
      <c r="T259" s="332" t="s">
        <v>5016</v>
      </c>
      <c r="U259" s="333" t="s">
        <v>5017</v>
      </c>
    </row>
    <row r="260" spans="1:21" x14ac:dyDescent="0.2">
      <c r="A260" s="223">
        <v>256</v>
      </c>
      <c r="B260" s="325" t="s">
        <v>4706</v>
      </c>
      <c r="C260" s="325" t="s">
        <v>4706</v>
      </c>
      <c r="D260" s="325" t="s">
        <v>125</v>
      </c>
      <c r="E260" s="325" t="s">
        <v>5018</v>
      </c>
      <c r="F260" s="326">
        <v>112580027</v>
      </c>
      <c r="G260" s="327" t="str">
        <f t="shared" si="7"/>
        <v>GBC 75030 KBB CRISTAL COCINA GAS</v>
      </c>
      <c r="H260" s="334" t="s">
        <v>5019</v>
      </c>
      <c r="I260" s="329" t="s">
        <v>41</v>
      </c>
      <c r="J260" s="325" t="s">
        <v>64</v>
      </c>
      <c r="K260" s="325" t="s">
        <v>65</v>
      </c>
      <c r="L260" s="325" t="s">
        <v>5020</v>
      </c>
      <c r="M260" s="325" t="s">
        <v>3054</v>
      </c>
      <c r="N260" s="330">
        <v>967496793</v>
      </c>
      <c r="O260" s="331">
        <v>29</v>
      </c>
      <c r="P260" s="325" t="s">
        <v>69</v>
      </c>
      <c r="Q260" s="325" t="s">
        <v>64</v>
      </c>
      <c r="R260" s="325"/>
      <c r="S260" s="325" t="str">
        <f>E260</f>
        <v>043-902-000059823</v>
      </c>
      <c r="T260" s="332" t="s">
        <v>5021</v>
      </c>
      <c r="U260" s="333" t="s">
        <v>5022</v>
      </c>
    </row>
    <row r="261" spans="1:21" x14ac:dyDescent="0.2">
      <c r="A261" s="223">
        <v>257</v>
      </c>
      <c r="B261" s="325" t="s">
        <v>4711</v>
      </c>
      <c r="C261" s="325" t="s">
        <v>4706</v>
      </c>
      <c r="D261" s="325" t="s">
        <v>125</v>
      </c>
      <c r="E261" s="325" t="s">
        <v>5023</v>
      </c>
      <c r="F261" s="326">
        <v>40197255</v>
      </c>
      <c r="G261" s="327" t="str">
        <f t="shared" si="7"/>
        <v>TR 710.1 TRITURADOR</v>
      </c>
      <c r="H261" s="328" t="s">
        <v>5024</v>
      </c>
      <c r="I261" s="329" t="s">
        <v>41</v>
      </c>
      <c r="J261" s="325" t="s">
        <v>64</v>
      </c>
      <c r="K261" s="325" t="s">
        <v>65</v>
      </c>
      <c r="L261" s="325" t="s">
        <v>5025</v>
      </c>
      <c r="M261" s="325" t="s">
        <v>5026</v>
      </c>
      <c r="N261" s="330">
        <v>997489571</v>
      </c>
      <c r="O261" s="331">
        <v>15</v>
      </c>
      <c r="P261" s="325" t="s">
        <v>69</v>
      </c>
      <c r="Q261" s="325" t="s">
        <v>64</v>
      </c>
      <c r="R261" s="325"/>
      <c r="S261" s="325" t="str">
        <f>E261</f>
        <v>043-902-000061892</v>
      </c>
      <c r="T261" s="332" t="s">
        <v>5027</v>
      </c>
      <c r="U261" s="333" t="s">
        <v>5028</v>
      </c>
    </row>
    <row r="262" spans="1:21" x14ac:dyDescent="0.2">
      <c r="A262" s="223">
        <v>258</v>
      </c>
      <c r="B262" s="325">
        <v>45922</v>
      </c>
      <c r="C262" s="325">
        <v>45924</v>
      </c>
      <c r="D262" s="325" t="s">
        <v>187</v>
      </c>
      <c r="E262" s="325" t="s">
        <v>5029</v>
      </c>
      <c r="F262" s="326">
        <v>111030002</v>
      </c>
      <c r="G262" s="327" t="str">
        <f t="shared" si="7"/>
        <v>HLB 760 G SS HORNO A GAS</v>
      </c>
      <c r="H262" s="328" t="s">
        <v>5030</v>
      </c>
      <c r="I262" s="329" t="s">
        <v>41</v>
      </c>
      <c r="J262" s="325" t="s">
        <v>64</v>
      </c>
      <c r="K262" s="325" t="s">
        <v>65</v>
      </c>
      <c r="L262" s="325" t="s">
        <v>5031</v>
      </c>
      <c r="M262" s="325" t="s">
        <v>5032</v>
      </c>
      <c r="N262" s="330">
        <v>983182817</v>
      </c>
      <c r="O262" s="331">
        <v>29</v>
      </c>
      <c r="P262" s="325" t="s">
        <v>69</v>
      </c>
      <c r="Q262" s="325" t="s">
        <v>64</v>
      </c>
      <c r="R262" s="325"/>
      <c r="S262" s="325" t="str">
        <f>E262</f>
        <v>040-103-000016273</v>
      </c>
      <c r="T262" s="332" t="s">
        <v>5033</v>
      </c>
      <c r="U262" s="333" t="s">
        <v>5034</v>
      </c>
    </row>
    <row r="263" spans="1:21" x14ac:dyDescent="0.2">
      <c r="A263" s="223">
        <v>259</v>
      </c>
      <c r="B263" s="325">
        <v>45922</v>
      </c>
      <c r="C263" s="325">
        <v>45924</v>
      </c>
      <c r="D263" s="325" t="s">
        <v>125</v>
      </c>
      <c r="E263" s="325" t="s">
        <v>5035</v>
      </c>
      <c r="F263" s="326">
        <v>111000051</v>
      </c>
      <c r="G263" s="327" t="str">
        <f t="shared" si="7"/>
        <v>HLB 8416 "AIR FRY" - HORNO ELEC</v>
      </c>
      <c r="H263" s="328" t="s">
        <v>5036</v>
      </c>
      <c r="I263" s="329" t="s">
        <v>41</v>
      </c>
      <c r="J263" s="325" t="s">
        <v>64</v>
      </c>
      <c r="K263" s="325" t="s">
        <v>65</v>
      </c>
      <c r="L263" s="325" t="s">
        <v>5037</v>
      </c>
      <c r="M263" s="325" t="s">
        <v>533</v>
      </c>
      <c r="N263" s="330">
        <v>992230723</v>
      </c>
      <c r="O263" s="331">
        <v>25</v>
      </c>
      <c r="P263" s="325" t="s">
        <v>69</v>
      </c>
      <c r="Q263" s="325" t="s">
        <v>64</v>
      </c>
      <c r="R263" s="325"/>
      <c r="S263" s="325" t="str">
        <f>E263</f>
        <v>043-905-000045074</v>
      </c>
      <c r="T263" s="332" t="s">
        <v>5038</v>
      </c>
      <c r="U263" s="333" t="s">
        <v>5039</v>
      </c>
    </row>
    <row r="264" spans="1:21" x14ac:dyDescent="0.2">
      <c r="A264" s="223">
        <v>260</v>
      </c>
      <c r="B264" s="325">
        <v>45923</v>
      </c>
      <c r="C264" s="325">
        <v>45925</v>
      </c>
      <c r="D264" s="325" t="s">
        <v>125</v>
      </c>
      <c r="E264" s="325" t="s">
        <v>5040</v>
      </c>
      <c r="F264" s="326">
        <v>40460430</v>
      </c>
      <c r="G264" s="327" t="str">
        <f t="shared" si="7"/>
        <v>DBB 70 INOX CAMPANA (110V-60HZ) C/KIT</v>
      </c>
      <c r="H264" s="328" t="s">
        <v>5041</v>
      </c>
      <c r="I264" s="329" t="s">
        <v>41</v>
      </c>
      <c r="J264" s="325" t="s">
        <v>64</v>
      </c>
      <c r="K264" s="325" t="s">
        <v>65</v>
      </c>
      <c r="L264" s="325" t="s">
        <v>5042</v>
      </c>
      <c r="M264" s="325" t="s">
        <v>5043</v>
      </c>
      <c r="N264" s="330">
        <v>74075691</v>
      </c>
      <c r="O264" s="331">
        <v>36</v>
      </c>
      <c r="P264" s="325" t="s">
        <v>69</v>
      </c>
      <c r="Q264" s="325" t="s">
        <v>64</v>
      </c>
      <c r="R264" s="325"/>
      <c r="S264" s="325" t="str">
        <f>E264</f>
        <v>016-902-000534409</v>
      </c>
      <c r="T264" s="332" t="s">
        <v>5044</v>
      </c>
      <c r="U264" s="333" t="s">
        <v>5045</v>
      </c>
    </row>
    <row r="265" spans="1:21" x14ac:dyDescent="0.2">
      <c r="A265" s="223">
        <v>261</v>
      </c>
      <c r="B265" s="325">
        <v>45925</v>
      </c>
      <c r="C265" s="325">
        <v>45925</v>
      </c>
      <c r="D265" s="325" t="s">
        <v>187</v>
      </c>
      <c r="E265" s="325" t="s">
        <v>5046</v>
      </c>
      <c r="F265" s="326">
        <v>40446702</v>
      </c>
      <c r="G265" s="327" t="str">
        <f t="shared" si="7"/>
        <v>GFH 55 INOX CAMPANA (110V-60HZ) C/KIT</v>
      </c>
      <c r="H265" s="328" t="s">
        <v>5047</v>
      </c>
      <c r="I265" s="329" t="s">
        <v>41</v>
      </c>
      <c r="J265" s="325" t="s">
        <v>64</v>
      </c>
      <c r="K265" s="325" t="s">
        <v>65</v>
      </c>
      <c r="L265" s="325" t="s">
        <v>5048</v>
      </c>
      <c r="M265" s="325" t="s">
        <v>5049</v>
      </c>
      <c r="N265" s="330">
        <v>995332743</v>
      </c>
      <c r="O265" s="331">
        <v>15</v>
      </c>
      <c r="P265" s="325" t="s">
        <v>69</v>
      </c>
      <c r="Q265" s="325" t="s">
        <v>64</v>
      </c>
      <c r="R265" s="325"/>
      <c r="S265" s="325" t="str">
        <f>E265</f>
        <v>044-013-000026738</v>
      </c>
      <c r="T265" s="332" t="s">
        <v>5050</v>
      </c>
      <c r="U265" s="333" t="s">
        <v>5051</v>
      </c>
    </row>
    <row r="266" spans="1:21" x14ac:dyDescent="0.2">
      <c r="A266" s="223">
        <v>262</v>
      </c>
      <c r="B266" s="325">
        <v>45656</v>
      </c>
      <c r="C266" s="325">
        <v>45925</v>
      </c>
      <c r="D266" s="325" t="s">
        <v>100</v>
      </c>
      <c r="E266" s="325" t="s">
        <v>5052</v>
      </c>
      <c r="F266" s="326">
        <v>112570124</v>
      </c>
      <c r="G266" s="327" t="str">
        <f t="shared" si="7"/>
        <v>JZC 64322 ABB BK (LAT) COCINA MIXTA GAS - INDUCCION</v>
      </c>
      <c r="H266" s="328" t="s">
        <v>5053</v>
      </c>
      <c r="I266" s="329" t="s">
        <v>41</v>
      </c>
      <c r="J266" s="325" t="s">
        <v>64</v>
      </c>
      <c r="K266" s="325" t="s">
        <v>65</v>
      </c>
      <c r="L266" s="325" t="s">
        <v>4191</v>
      </c>
      <c r="M266" s="325" t="s">
        <v>4192</v>
      </c>
      <c r="N266" s="330">
        <v>987434558</v>
      </c>
      <c r="O266" s="331">
        <v>29</v>
      </c>
      <c r="P266" s="325" t="s">
        <v>69</v>
      </c>
      <c r="Q266" s="325" t="s">
        <v>64</v>
      </c>
      <c r="R266" s="325"/>
      <c r="S266" s="325" t="str">
        <f>E266</f>
        <v>001-500-000069685</v>
      </c>
      <c r="T266" s="332" t="s">
        <v>5054</v>
      </c>
      <c r="U266" s="333" t="s">
        <v>5055</v>
      </c>
    </row>
    <row r="267" spans="1:21" x14ac:dyDescent="0.2">
      <c r="A267" s="223">
        <v>263</v>
      </c>
      <c r="B267" s="325">
        <v>45910</v>
      </c>
      <c r="C267" s="325">
        <v>45926</v>
      </c>
      <c r="D267" s="325" t="s">
        <v>100</v>
      </c>
      <c r="E267" s="325" t="s">
        <v>5056</v>
      </c>
      <c r="F267" s="326">
        <v>112580027</v>
      </c>
      <c r="G267" s="327" t="str">
        <f t="shared" ref="G267" si="8">VLOOKUP(F267,PROD,2,FALSE)</f>
        <v>GBC 75030 KBB CRISTAL COCINA GAS</v>
      </c>
      <c r="H267" s="328" t="s">
        <v>5057</v>
      </c>
      <c r="I267" s="329" t="s">
        <v>41</v>
      </c>
      <c r="J267" s="325" t="s">
        <v>64</v>
      </c>
      <c r="K267" s="325" t="s">
        <v>65</v>
      </c>
      <c r="L267" s="325" t="s">
        <v>5058</v>
      </c>
      <c r="M267" s="325" t="s">
        <v>3353</v>
      </c>
      <c r="N267" s="330">
        <v>983266871</v>
      </c>
      <c r="O267" s="331">
        <v>29</v>
      </c>
      <c r="P267" s="325" t="s">
        <v>69</v>
      </c>
      <c r="Q267" s="325" t="s">
        <v>64</v>
      </c>
      <c r="R267" s="325"/>
      <c r="S267" s="325" t="str">
        <f>E267</f>
        <v>001-500-000007827</v>
      </c>
      <c r="T267" s="332" t="s">
        <v>5059</v>
      </c>
      <c r="U267" s="333" t="s">
        <v>5060</v>
      </c>
    </row>
    <row r="268" spans="1:21" x14ac:dyDescent="0.2">
      <c r="A268" s="223">
        <v>264</v>
      </c>
      <c r="B268" s="325">
        <v>45920</v>
      </c>
      <c r="C268" s="325">
        <v>45926</v>
      </c>
      <c r="D268" s="325" t="s">
        <v>187</v>
      </c>
      <c r="E268" s="325" t="s">
        <v>5061</v>
      </c>
      <c r="F268" s="326">
        <v>111000051</v>
      </c>
      <c r="G268" s="327" t="str">
        <f t="shared" si="7"/>
        <v>HLB 8416 "AIR FRY" - HORNO ELEC</v>
      </c>
      <c r="H268" s="328" t="s">
        <v>5062</v>
      </c>
      <c r="I268" s="329" t="s">
        <v>41</v>
      </c>
      <c r="J268" s="325" t="s">
        <v>64</v>
      </c>
      <c r="K268" s="325" t="s">
        <v>65</v>
      </c>
      <c r="L268" s="325" t="s">
        <v>5063</v>
      </c>
      <c r="M268" s="325" t="s">
        <v>5064</v>
      </c>
      <c r="N268" s="330">
        <v>998898108</v>
      </c>
      <c r="O268" s="331">
        <v>29</v>
      </c>
      <c r="P268" s="325" t="s">
        <v>69</v>
      </c>
      <c r="Q268" s="325" t="s">
        <v>64</v>
      </c>
      <c r="R268" s="325"/>
      <c r="S268" s="325" t="str">
        <f>E268</f>
        <v>040-105-000002073</v>
      </c>
      <c r="T268" s="332" t="s">
        <v>5065</v>
      </c>
      <c r="U268" s="333" t="s">
        <v>5066</v>
      </c>
    </row>
    <row r="269" spans="1:21" x14ac:dyDescent="0.2">
      <c r="A269" s="223">
        <v>265</v>
      </c>
      <c r="B269" s="325">
        <v>45925</v>
      </c>
      <c r="C269" s="325">
        <v>45926</v>
      </c>
      <c r="D269" s="325" t="s">
        <v>125</v>
      </c>
      <c r="E269" s="325" t="s">
        <v>5067</v>
      </c>
      <c r="F269" s="326">
        <v>40584305</v>
      </c>
      <c r="G269" s="327" t="str">
        <f t="shared" si="7"/>
        <v>ML 822 BIS - MICROONDAS (112030008)</v>
      </c>
      <c r="H269" s="328" t="s">
        <v>5068</v>
      </c>
      <c r="I269" s="329" t="s">
        <v>41</v>
      </c>
      <c r="J269" s="325" t="s">
        <v>64</v>
      </c>
      <c r="K269" s="325" t="s">
        <v>65</v>
      </c>
      <c r="L269" s="325" t="s">
        <v>5069</v>
      </c>
      <c r="M269" s="325" t="s">
        <v>4055</v>
      </c>
      <c r="N269" s="330">
        <v>984233395</v>
      </c>
      <c r="O269" s="331">
        <v>25</v>
      </c>
      <c r="P269" s="325" t="s">
        <v>69</v>
      </c>
      <c r="Q269" s="325" t="s">
        <v>64</v>
      </c>
      <c r="R269" s="325"/>
      <c r="S269" s="325" t="str">
        <f>E269</f>
        <v>043-901-000031412</v>
      </c>
      <c r="T269" s="332" t="s">
        <v>4613</v>
      </c>
      <c r="U269" s="333" t="s">
        <v>4614</v>
      </c>
    </row>
    <row r="270" spans="1:21" x14ac:dyDescent="0.2">
      <c r="A270" s="223">
        <v>266</v>
      </c>
      <c r="B270" s="325">
        <v>45921</v>
      </c>
      <c r="C270" s="325">
        <v>45926</v>
      </c>
      <c r="D270" s="325" t="s">
        <v>125</v>
      </c>
      <c r="E270" s="325" t="s">
        <v>5070</v>
      </c>
      <c r="F270" s="326">
        <v>41560041</v>
      </c>
      <c r="G270" s="327" t="str">
        <f t="shared" si="7"/>
        <v>HBB 535 INOX HORNO ELEC</v>
      </c>
      <c r="H270" s="328" t="s">
        <v>5071</v>
      </c>
      <c r="I270" s="329" t="s">
        <v>41</v>
      </c>
      <c r="J270" s="325" t="s">
        <v>64</v>
      </c>
      <c r="K270" s="325" t="s">
        <v>65</v>
      </c>
      <c r="L270" s="325" t="s">
        <v>5072</v>
      </c>
      <c r="M270" s="325" t="s">
        <v>4557</v>
      </c>
      <c r="N270" s="330">
        <v>983218523</v>
      </c>
      <c r="O270" s="331">
        <v>25</v>
      </c>
      <c r="P270" s="325" t="s">
        <v>69</v>
      </c>
      <c r="Q270" s="325" t="s">
        <v>64</v>
      </c>
      <c r="R270" s="325"/>
      <c r="S270" s="325" t="str">
        <f>E270</f>
        <v>016-902-000553792</v>
      </c>
      <c r="T270" s="332" t="s">
        <v>5073</v>
      </c>
      <c r="U270" s="333" t="s">
        <v>5074</v>
      </c>
    </row>
    <row r="271" spans="1:21" x14ac:dyDescent="0.2">
      <c r="A271" s="223">
        <v>267</v>
      </c>
      <c r="B271" s="325">
        <v>45925</v>
      </c>
      <c r="C271" s="325">
        <v>45927</v>
      </c>
      <c r="D271" s="325" t="s">
        <v>75</v>
      </c>
      <c r="E271" s="325" t="s">
        <v>5075</v>
      </c>
      <c r="F271" s="326">
        <v>112610067</v>
      </c>
      <c r="G271" s="327" t="str">
        <f t="shared" si="7"/>
        <v>GSC 96320 XBA IX (LAT) COCINA INOX</v>
      </c>
      <c r="H271" s="328" t="s">
        <v>5076</v>
      </c>
      <c r="I271" s="329" t="s">
        <v>41</v>
      </c>
      <c r="J271" s="325" t="s">
        <v>64</v>
      </c>
      <c r="K271" s="325" t="s">
        <v>65</v>
      </c>
      <c r="L271" s="325" t="s">
        <v>5077</v>
      </c>
      <c r="M271" s="325" t="s">
        <v>3653</v>
      </c>
      <c r="N271" s="330">
        <v>999485055</v>
      </c>
      <c r="O271" s="331">
        <v>29</v>
      </c>
      <c r="P271" s="325" t="s">
        <v>69</v>
      </c>
      <c r="Q271" s="325" t="s">
        <v>64</v>
      </c>
      <c r="R271" s="325"/>
      <c r="S271" s="325" t="str">
        <f>E271</f>
        <v>001-001-000001336</v>
      </c>
      <c r="T271" s="332" t="s">
        <v>5078</v>
      </c>
      <c r="U271" s="333" t="s">
        <v>5079</v>
      </c>
    </row>
    <row r="272" spans="1:21" x14ac:dyDescent="0.2">
      <c r="A272" s="223">
        <v>268</v>
      </c>
      <c r="B272" s="325">
        <v>45674</v>
      </c>
      <c r="C272" s="325">
        <v>45929</v>
      </c>
      <c r="D272" s="325" t="s">
        <v>100</v>
      </c>
      <c r="E272" s="325" t="s">
        <v>5080</v>
      </c>
      <c r="F272" s="326">
        <v>112610067</v>
      </c>
      <c r="G272" s="327" t="str">
        <f t="shared" si="7"/>
        <v>GSC 96320 XBA IX (LAT) COCINA INOX</v>
      </c>
      <c r="H272" s="328" t="s">
        <v>596</v>
      </c>
      <c r="I272" s="329" t="s">
        <v>41</v>
      </c>
      <c r="J272" s="325" t="s">
        <v>64</v>
      </c>
      <c r="K272" s="325" t="s">
        <v>65</v>
      </c>
      <c r="L272" s="325" t="s">
        <v>597</v>
      </c>
      <c r="M272" s="325" t="s">
        <v>5081</v>
      </c>
      <c r="N272" s="330">
        <v>98882491</v>
      </c>
      <c r="O272" s="331">
        <v>29</v>
      </c>
      <c r="P272" s="325" t="s">
        <v>69</v>
      </c>
      <c r="Q272" s="325" t="s">
        <v>64</v>
      </c>
      <c r="R272" s="325"/>
      <c r="S272" s="325" t="str">
        <f>E272</f>
        <v>001-500-00007989</v>
      </c>
      <c r="T272" s="332" t="s">
        <v>599</v>
      </c>
      <c r="U272" s="333" t="s">
        <v>5082</v>
      </c>
    </row>
    <row r="273" spans="1:21" x14ac:dyDescent="0.2">
      <c r="A273" s="223">
        <v>269</v>
      </c>
      <c r="B273" s="325" t="s">
        <v>5083</v>
      </c>
      <c r="C273" s="325">
        <v>45929</v>
      </c>
      <c r="D273" s="325" t="s">
        <v>125</v>
      </c>
      <c r="E273" s="325" t="s">
        <v>5084</v>
      </c>
      <c r="F273" s="326">
        <v>111010040</v>
      </c>
      <c r="G273" s="327" t="str">
        <f t="shared" si="7"/>
        <v>HSB 610 NEGRO HORNO ELEC</v>
      </c>
      <c r="H273" s="328" t="s">
        <v>5085</v>
      </c>
      <c r="I273" s="329" t="s">
        <v>41</v>
      </c>
      <c r="J273" s="325" t="s">
        <v>64</v>
      </c>
      <c r="K273" s="325" t="s">
        <v>65</v>
      </c>
      <c r="L273" s="325" t="s">
        <v>5086</v>
      </c>
      <c r="M273" s="325" t="s">
        <v>5087</v>
      </c>
      <c r="N273" s="330">
        <v>987623989</v>
      </c>
      <c r="O273" s="331">
        <v>25</v>
      </c>
      <c r="P273" s="325" t="s">
        <v>69</v>
      </c>
      <c r="Q273" s="325" t="s">
        <v>64</v>
      </c>
      <c r="R273" s="325"/>
      <c r="S273" s="325" t="str">
        <f>E273</f>
        <v>038-904-00220220</v>
      </c>
      <c r="T273" s="332" t="s">
        <v>5088</v>
      </c>
      <c r="U273" s="333" t="s">
        <v>5089</v>
      </c>
    </row>
    <row r="274" spans="1:21" x14ac:dyDescent="0.2">
      <c r="A274" s="223">
        <v>270</v>
      </c>
      <c r="B274" s="335">
        <v>46000</v>
      </c>
      <c r="C274" s="335">
        <v>45929</v>
      </c>
      <c r="D274" s="336" t="s">
        <v>125</v>
      </c>
      <c r="E274" s="336" t="s">
        <v>5090</v>
      </c>
      <c r="F274" s="326">
        <v>112520025</v>
      </c>
      <c r="G274" s="327" t="str">
        <f t="shared" si="7"/>
        <v>IZC 64010 MSS COCINA INDUCCION</v>
      </c>
      <c r="H274" s="326" t="s">
        <v>5091</v>
      </c>
      <c r="I274" s="329" t="s">
        <v>41</v>
      </c>
      <c r="J274" s="325" t="s">
        <v>64</v>
      </c>
      <c r="K274" s="325" t="s">
        <v>65</v>
      </c>
      <c r="L274" s="336" t="s">
        <v>5092</v>
      </c>
      <c r="M274" s="336" t="s">
        <v>5093</v>
      </c>
      <c r="N274" s="326">
        <v>985600820</v>
      </c>
      <c r="O274" s="337">
        <v>25</v>
      </c>
      <c r="P274" s="325" t="s">
        <v>69</v>
      </c>
      <c r="Q274" s="325" t="s">
        <v>64</v>
      </c>
      <c r="R274" s="325"/>
      <c r="S274" s="325" t="str">
        <f>E274</f>
        <v>043-903-000095538</v>
      </c>
      <c r="T274" s="332" t="s">
        <v>5094</v>
      </c>
      <c r="U274" s="338" t="s">
        <v>5095</v>
      </c>
    </row>
    <row r="275" spans="1:21" x14ac:dyDescent="0.2">
      <c r="A275" s="223">
        <v>271</v>
      </c>
      <c r="B275" s="325">
        <v>45777</v>
      </c>
      <c r="C275" s="325">
        <v>45929</v>
      </c>
      <c r="D275" s="325" t="s">
        <v>100</v>
      </c>
      <c r="E275" s="325" t="s">
        <v>5096</v>
      </c>
      <c r="F275" s="326">
        <v>112950021</v>
      </c>
      <c r="G275" s="327" t="str">
        <f t="shared" ref="G275" si="9">VLOOKUP(F275,PROD,2,FALSE)</f>
        <v>DVN 94030 TCL BK CAMPANA (110V-60HZ) C/KIT</v>
      </c>
      <c r="H275" s="334" t="s">
        <v>5097</v>
      </c>
      <c r="I275" s="329" t="s">
        <v>41</v>
      </c>
      <c r="J275" s="325" t="s">
        <v>64</v>
      </c>
      <c r="K275" s="325" t="s">
        <v>65</v>
      </c>
      <c r="L275" s="325" t="s">
        <v>5098</v>
      </c>
      <c r="M275" s="325" t="s">
        <v>5099</v>
      </c>
      <c r="N275" s="330">
        <v>999268896</v>
      </c>
      <c r="O275" s="331">
        <v>36</v>
      </c>
      <c r="P275" s="325" t="s">
        <v>69</v>
      </c>
      <c r="Q275" s="325" t="s">
        <v>64</v>
      </c>
      <c r="R275" s="325"/>
      <c r="S275" s="325" t="str">
        <f>E275</f>
        <v>001-500-000072902</v>
      </c>
      <c r="T275" s="332" t="s">
        <v>5100</v>
      </c>
      <c r="U275" s="333" t="s">
        <v>5101</v>
      </c>
    </row>
    <row r="276" spans="1:21" x14ac:dyDescent="0.2">
      <c r="A276" s="223">
        <v>272</v>
      </c>
      <c r="B276" s="335">
        <v>45930</v>
      </c>
      <c r="C276" s="335">
        <v>45930</v>
      </c>
      <c r="D276" s="336" t="s">
        <v>125</v>
      </c>
      <c r="E276" s="336" t="s">
        <v>5102</v>
      </c>
      <c r="F276" s="326">
        <v>112610067</v>
      </c>
      <c r="G276" s="327" t="str">
        <f t="shared" si="7"/>
        <v>GSC 96320 XBA IX (LAT) COCINA INOX</v>
      </c>
      <c r="H276" s="326" t="s">
        <v>5103</v>
      </c>
      <c r="I276" s="329" t="s">
        <v>41</v>
      </c>
      <c r="J276" s="325" t="s">
        <v>64</v>
      </c>
      <c r="K276" s="325" t="s">
        <v>65</v>
      </c>
      <c r="L276" s="336" t="s">
        <v>5104</v>
      </c>
      <c r="M276" s="336" t="s">
        <v>3646</v>
      </c>
      <c r="N276" s="326">
        <v>987366268</v>
      </c>
      <c r="O276" s="337">
        <v>29</v>
      </c>
      <c r="P276" s="325" t="s">
        <v>69</v>
      </c>
      <c r="Q276" s="325" t="s">
        <v>64</v>
      </c>
      <c r="R276" s="325"/>
      <c r="S276" s="325" t="str">
        <f>E276</f>
        <v>016-907-000273605</v>
      </c>
      <c r="T276" s="332" t="s">
        <v>5105</v>
      </c>
      <c r="U276" s="338" t="s">
        <v>5106</v>
      </c>
    </row>
    <row r="277" spans="1:21" x14ac:dyDescent="0.2">
      <c r="A277" s="223">
        <v>273</v>
      </c>
      <c r="B277" s="335">
        <v>45932</v>
      </c>
      <c r="C277" s="335">
        <v>45932</v>
      </c>
      <c r="D277" s="336" t="s">
        <v>100</v>
      </c>
      <c r="E277" s="336" t="s">
        <v>5107</v>
      </c>
      <c r="F277" s="326">
        <v>112580058</v>
      </c>
      <c r="G277" s="327" t="str">
        <f t="shared" si="7"/>
        <v>GBC 95030 KBB BK COCINA GAS</v>
      </c>
      <c r="H277" s="326" t="s">
        <v>5108</v>
      </c>
      <c r="I277" s="329" t="s">
        <v>41</v>
      </c>
      <c r="J277" s="325" t="s">
        <v>64</v>
      </c>
      <c r="K277" s="325" t="s">
        <v>65</v>
      </c>
      <c r="L277" s="336" t="s">
        <v>5109</v>
      </c>
      <c r="M277" s="336" t="s">
        <v>1982</v>
      </c>
      <c r="N277" s="326">
        <v>988948257</v>
      </c>
      <c r="O277" s="337">
        <v>29</v>
      </c>
      <c r="P277" s="325" t="s">
        <v>69</v>
      </c>
      <c r="Q277" s="325" t="s">
        <v>64</v>
      </c>
      <c r="R277" s="325"/>
      <c r="S277" s="325" t="str">
        <f>E277</f>
        <v>001-500-000076032</v>
      </c>
      <c r="T277" s="332" t="s">
        <v>5110</v>
      </c>
      <c r="U277" s="338" t="s">
        <v>5111</v>
      </c>
    </row>
    <row r="278" spans="1:21" x14ac:dyDescent="0.2">
      <c r="A278" s="223">
        <v>274</v>
      </c>
      <c r="B278" s="335">
        <v>45932</v>
      </c>
      <c r="C278" s="335">
        <v>45933</v>
      </c>
      <c r="D278" s="336" t="s">
        <v>125</v>
      </c>
      <c r="E278" s="336" t="s">
        <v>5112</v>
      </c>
      <c r="F278" s="326">
        <v>40197255</v>
      </c>
      <c r="G278" s="327" t="str">
        <f t="shared" si="7"/>
        <v>TR 710.1 TRITURADOR</v>
      </c>
      <c r="H278" s="326" t="s">
        <v>5113</v>
      </c>
      <c r="I278" s="329" t="s">
        <v>41</v>
      </c>
      <c r="J278" s="325" t="s">
        <v>64</v>
      </c>
      <c r="K278" s="325" t="s">
        <v>65</v>
      </c>
      <c r="L278" s="336" t="s">
        <v>5114</v>
      </c>
      <c r="M278" s="336" t="s">
        <v>5115</v>
      </c>
      <c r="N278" s="326">
        <v>983086234</v>
      </c>
      <c r="O278" s="337">
        <v>15</v>
      </c>
      <c r="P278" s="325" t="s">
        <v>69</v>
      </c>
      <c r="Q278" s="325" t="s">
        <v>64</v>
      </c>
      <c r="R278" s="325"/>
      <c r="S278" s="325" t="str">
        <f>E278</f>
        <v>016-902-0000536599</v>
      </c>
      <c r="T278" s="332" t="s">
        <v>5116</v>
      </c>
      <c r="U278" s="338" t="s">
        <v>5117</v>
      </c>
    </row>
    <row r="279" spans="1:21" x14ac:dyDescent="0.2">
      <c r="A279" s="223">
        <v>275</v>
      </c>
      <c r="B279" s="335">
        <v>45929</v>
      </c>
      <c r="C279" s="335">
        <v>45933</v>
      </c>
      <c r="D279" s="336" t="s">
        <v>161</v>
      </c>
      <c r="E279" s="336" t="s">
        <v>5118</v>
      </c>
      <c r="F279" s="326">
        <v>112030010</v>
      </c>
      <c r="G279" s="327" t="str">
        <f t="shared" si="7"/>
        <v>ML 82-G1 BIS L BM - MICROONDAS 220V/60HZ</v>
      </c>
      <c r="H279" s="326" t="s">
        <v>5119</v>
      </c>
      <c r="I279" s="329" t="s">
        <v>41</v>
      </c>
      <c r="J279" s="325" t="s">
        <v>64</v>
      </c>
      <c r="K279" s="325" t="s">
        <v>65</v>
      </c>
      <c r="L279" s="336" t="s">
        <v>4611</v>
      </c>
      <c r="M279" s="336" t="s">
        <v>4055</v>
      </c>
      <c r="N279" s="326">
        <v>989233395</v>
      </c>
      <c r="O279" s="337">
        <v>25</v>
      </c>
      <c r="P279" s="325" t="s">
        <v>69</v>
      </c>
      <c r="Q279" s="325" t="s">
        <v>64</v>
      </c>
      <c r="R279" s="325"/>
      <c r="S279" s="325" t="str">
        <f>E279</f>
        <v>040-103-000016415</v>
      </c>
      <c r="T279" s="332" t="s">
        <v>4613</v>
      </c>
      <c r="U279" s="338" t="s">
        <v>4614</v>
      </c>
    </row>
    <row r="280" spans="1:21" x14ac:dyDescent="0.2">
      <c r="A280" s="223">
        <v>276</v>
      </c>
      <c r="B280" s="335">
        <v>45883</v>
      </c>
      <c r="C280" s="335">
        <v>45933</v>
      </c>
      <c r="D280" s="336" t="s">
        <v>100</v>
      </c>
      <c r="E280" s="336" t="s">
        <v>5120</v>
      </c>
      <c r="F280" s="326">
        <v>40466241</v>
      </c>
      <c r="G280" s="327" t="str">
        <f t="shared" si="7"/>
        <v>C 9310 INOX CAMPANA (110V-60HZ) C/KIT</v>
      </c>
      <c r="H280" s="326" t="s">
        <v>5121</v>
      </c>
      <c r="I280" s="329" t="s">
        <v>41</v>
      </c>
      <c r="J280" s="325" t="s">
        <v>64</v>
      </c>
      <c r="K280" s="325" t="s">
        <v>65</v>
      </c>
      <c r="L280" s="336" t="s">
        <v>5122</v>
      </c>
      <c r="M280" s="336" t="s">
        <v>5123</v>
      </c>
      <c r="N280" s="326">
        <v>967260184</v>
      </c>
      <c r="O280" s="337">
        <v>15</v>
      </c>
      <c r="P280" s="325" t="s">
        <v>69</v>
      </c>
      <c r="Q280" s="325" t="s">
        <v>64</v>
      </c>
      <c r="R280" s="325"/>
      <c r="S280" s="325" t="str">
        <f>E280</f>
        <v>001-500-000075996</v>
      </c>
      <c r="T280" s="332" t="s">
        <v>5124</v>
      </c>
      <c r="U280" s="338" t="s">
        <v>5125</v>
      </c>
    </row>
    <row r="281" spans="1:21" x14ac:dyDescent="0.2">
      <c r="A281" s="223">
        <v>277</v>
      </c>
      <c r="B281" s="335">
        <v>45842</v>
      </c>
      <c r="C281" s="335">
        <v>45937</v>
      </c>
      <c r="D281" s="336" t="s">
        <v>125</v>
      </c>
      <c r="E281" s="336" t="s">
        <v>5126</v>
      </c>
      <c r="F281" s="326">
        <v>111010040</v>
      </c>
      <c r="G281" s="327" t="str">
        <f t="shared" si="7"/>
        <v>HSB 610 NEGRO HORNO ELEC</v>
      </c>
      <c r="H281" s="326" t="s">
        <v>5127</v>
      </c>
      <c r="I281" s="329" t="s">
        <v>41</v>
      </c>
      <c r="J281" s="325" t="s">
        <v>64</v>
      </c>
      <c r="K281" s="325" t="s">
        <v>65</v>
      </c>
      <c r="L281" s="336" t="s">
        <v>5128</v>
      </c>
      <c r="M281" s="336" t="s">
        <v>5129</v>
      </c>
      <c r="N281" s="326">
        <v>999448554</v>
      </c>
      <c r="O281" s="337">
        <v>29</v>
      </c>
      <c r="P281" s="325" t="s">
        <v>69</v>
      </c>
      <c r="Q281" s="325" t="s">
        <v>64</v>
      </c>
      <c r="R281" s="325"/>
      <c r="S281" s="325" t="str">
        <f>E281</f>
        <v>043-902-000055139</v>
      </c>
      <c r="T281" s="332" t="s">
        <v>5130</v>
      </c>
      <c r="U281" s="338" t="s">
        <v>5131</v>
      </c>
    </row>
    <row r="282" spans="1:21" x14ac:dyDescent="0.2">
      <c r="A282" s="223">
        <v>278</v>
      </c>
      <c r="B282" s="335">
        <v>45876</v>
      </c>
      <c r="C282" s="335">
        <v>45937</v>
      </c>
      <c r="D282" s="336" t="s">
        <v>100</v>
      </c>
      <c r="E282" s="336" t="s">
        <v>5132</v>
      </c>
      <c r="F282" s="326">
        <v>40467305</v>
      </c>
      <c r="G282" s="327" t="str">
        <f t="shared" si="7"/>
        <v>C 710 NEGRA CAMPANA (110V-60HZ) C/KIT</v>
      </c>
      <c r="H282" s="326" t="s">
        <v>5133</v>
      </c>
      <c r="I282" s="329" t="s">
        <v>41</v>
      </c>
      <c r="J282" s="325" t="s">
        <v>64</v>
      </c>
      <c r="K282" s="325" t="s">
        <v>65</v>
      </c>
      <c r="L282" s="336" t="s">
        <v>5134</v>
      </c>
      <c r="M282" s="336" t="s">
        <v>349</v>
      </c>
      <c r="N282" s="326">
        <v>980472562</v>
      </c>
      <c r="O282" s="337">
        <v>15</v>
      </c>
      <c r="P282" s="325" t="s">
        <v>69</v>
      </c>
      <c r="Q282" s="325" t="s">
        <v>64</v>
      </c>
      <c r="R282" s="325"/>
      <c r="S282" s="325" t="str">
        <f>E282</f>
        <v>001-500-000075975</v>
      </c>
      <c r="T282" s="332" t="s">
        <v>5135</v>
      </c>
      <c r="U282" s="338" t="s">
        <v>5136</v>
      </c>
    </row>
    <row r="283" spans="1:21" x14ac:dyDescent="0.2">
      <c r="A283" s="223">
        <v>279</v>
      </c>
      <c r="B283" s="335">
        <v>45937</v>
      </c>
      <c r="C283" s="335">
        <v>45938</v>
      </c>
      <c r="D283" s="336" t="s">
        <v>125</v>
      </c>
      <c r="E283" s="336" t="s">
        <v>5137</v>
      </c>
      <c r="F283" s="326">
        <v>112610068</v>
      </c>
      <c r="G283" s="327" t="str">
        <f t="shared" si="7"/>
        <v>GSC 95330 XBA IX (LAT) COCINA INOX</v>
      </c>
      <c r="H283" s="326" t="s">
        <v>5138</v>
      </c>
      <c r="I283" s="329" t="s">
        <v>41</v>
      </c>
      <c r="J283" s="325" t="s">
        <v>64</v>
      </c>
      <c r="K283" s="325" t="s">
        <v>65</v>
      </c>
      <c r="L283" s="336" t="s">
        <v>5139</v>
      </c>
      <c r="M283" s="336" t="s">
        <v>584</v>
      </c>
      <c r="N283" s="326">
        <v>998250515</v>
      </c>
      <c r="O283" s="337">
        <v>29</v>
      </c>
      <c r="P283" s="325" t="s">
        <v>69</v>
      </c>
      <c r="Q283" s="325" t="s">
        <v>64</v>
      </c>
      <c r="R283" s="325"/>
      <c r="S283" s="325" t="str">
        <f>E283</f>
        <v>016-901-00001567</v>
      </c>
      <c r="T283" s="332" t="s">
        <v>5140</v>
      </c>
      <c r="U283" s="338" t="s">
        <v>5141</v>
      </c>
    </row>
    <row r="284" spans="1:21" x14ac:dyDescent="0.2">
      <c r="A284" s="223">
        <v>280</v>
      </c>
      <c r="B284" s="335">
        <v>45903</v>
      </c>
      <c r="C284" s="335">
        <v>45938</v>
      </c>
      <c r="D284" s="336" t="s">
        <v>100</v>
      </c>
      <c r="E284" s="336" t="s">
        <v>5142</v>
      </c>
      <c r="F284" s="326">
        <v>112570123</v>
      </c>
      <c r="G284" s="327" t="str">
        <f t="shared" si="7"/>
        <v>JZC 63312 ABB BK (LAT) COCINA MIXTA GAS - INDUCCION (40213012)</v>
      </c>
      <c r="H284" s="326" t="s">
        <v>5143</v>
      </c>
      <c r="I284" s="329" t="s">
        <v>41</v>
      </c>
      <c r="J284" s="325" t="s">
        <v>64</v>
      </c>
      <c r="K284" s="325" t="s">
        <v>65</v>
      </c>
      <c r="L284" s="336" t="s">
        <v>5144</v>
      </c>
      <c r="M284" s="336" t="s">
        <v>5145</v>
      </c>
      <c r="N284" s="326">
        <v>993709910</v>
      </c>
      <c r="O284" s="337">
        <v>29</v>
      </c>
      <c r="P284" s="325" t="s">
        <v>69</v>
      </c>
      <c r="Q284" s="325" t="s">
        <v>64</v>
      </c>
      <c r="R284" s="325"/>
      <c r="S284" s="325" t="str">
        <f>E284</f>
        <v>001-502-000000450</v>
      </c>
      <c r="T284" s="332" t="s">
        <v>5146</v>
      </c>
      <c r="U284" s="338" t="s">
        <v>5147</v>
      </c>
    </row>
    <row r="285" spans="1:21" s="38" customFormat="1" x14ac:dyDescent="0.2">
      <c r="A285" s="223">
        <v>281</v>
      </c>
      <c r="B285" s="335">
        <v>45943</v>
      </c>
      <c r="C285" s="335">
        <v>45914</v>
      </c>
      <c r="D285" s="339" t="s">
        <v>125</v>
      </c>
      <c r="E285" s="339" t="s">
        <v>5148</v>
      </c>
      <c r="F285" s="326">
        <v>41592306</v>
      </c>
      <c r="G285" s="340" t="str">
        <f t="shared" si="7"/>
        <v>HLF 840 INOX HORNO ELEC</v>
      </c>
      <c r="H285" s="326" t="s">
        <v>5149</v>
      </c>
      <c r="I285" s="329" t="s">
        <v>41</v>
      </c>
      <c r="J285" s="325" t="s">
        <v>64</v>
      </c>
      <c r="K285" s="325" t="s">
        <v>65</v>
      </c>
      <c r="L285" s="339" t="s">
        <v>5150</v>
      </c>
      <c r="M285" s="339" t="s">
        <v>3088</v>
      </c>
      <c r="N285" s="326">
        <v>989413392</v>
      </c>
      <c r="O285" s="337">
        <v>25</v>
      </c>
      <c r="P285" s="325" t="s">
        <v>69</v>
      </c>
      <c r="Q285" s="325" t="s">
        <v>64</v>
      </c>
      <c r="R285" s="325"/>
      <c r="S285" s="325" t="str">
        <f>E285</f>
        <v>043-903-000099735</v>
      </c>
      <c r="T285" s="332" t="s">
        <v>5151</v>
      </c>
      <c r="U285" s="341" t="s">
        <v>5152</v>
      </c>
    </row>
    <row r="286" spans="1:21" s="38" customFormat="1" x14ac:dyDescent="0.2">
      <c r="A286" s="223">
        <v>282</v>
      </c>
      <c r="B286" s="335">
        <v>45865</v>
      </c>
      <c r="C286" s="335">
        <v>45944</v>
      </c>
      <c r="D286" s="339" t="s">
        <v>125</v>
      </c>
      <c r="E286" s="339" t="s">
        <v>5153</v>
      </c>
      <c r="F286" s="326">
        <v>112610071</v>
      </c>
      <c r="G286" s="340" t="str">
        <f t="shared" si="7"/>
        <v>GSC 64320 XBA IX (LAT) COCINA INOX</v>
      </c>
      <c r="H286" s="326" t="s">
        <v>5154</v>
      </c>
      <c r="I286" s="329" t="s">
        <v>41</v>
      </c>
      <c r="J286" s="325" t="s">
        <v>64</v>
      </c>
      <c r="K286" s="325" t="s">
        <v>65</v>
      </c>
      <c r="L286" s="339" t="s">
        <v>5155</v>
      </c>
      <c r="M286" s="339" t="s">
        <v>5156</v>
      </c>
      <c r="N286" s="326">
        <v>987739889</v>
      </c>
      <c r="O286" s="337">
        <v>29</v>
      </c>
      <c r="P286" s="325" t="s">
        <v>69</v>
      </c>
      <c r="Q286" s="325" t="s">
        <v>64</v>
      </c>
      <c r="R286" s="325"/>
      <c r="S286" s="325" t="str">
        <f>E286</f>
        <v>016-903-000588980</v>
      </c>
      <c r="T286" s="332" t="s">
        <v>5157</v>
      </c>
      <c r="U286" s="341" t="s">
        <v>5158</v>
      </c>
    </row>
    <row r="287" spans="1:21" x14ac:dyDescent="0.2">
      <c r="A287" s="223">
        <v>283</v>
      </c>
      <c r="B287" s="335">
        <v>45906</v>
      </c>
      <c r="C287" s="335">
        <v>45945</v>
      </c>
      <c r="D287" s="336" t="s">
        <v>100</v>
      </c>
      <c r="E287" s="336" t="s">
        <v>5159</v>
      </c>
      <c r="F287" s="326">
        <v>112570126</v>
      </c>
      <c r="G287" s="340" t="str">
        <f t="shared" ref="G287" si="10">VLOOKUP(F287,PROD,2,FALSE)</f>
        <v>JZC 96324 ABB BK (LAT) COCINA MIXTA GAS - INDUCCION (40213042)</v>
      </c>
      <c r="H287" s="326" t="s">
        <v>5160</v>
      </c>
      <c r="I287" s="329" t="s">
        <v>41</v>
      </c>
      <c r="J287" s="325" t="s">
        <v>64</v>
      </c>
      <c r="K287" s="325" t="s">
        <v>65</v>
      </c>
      <c r="L287" s="336" t="s">
        <v>5161</v>
      </c>
      <c r="M287" s="336" t="s">
        <v>5162</v>
      </c>
      <c r="N287" s="326">
        <v>984885086</v>
      </c>
      <c r="O287" s="337">
        <v>29</v>
      </c>
      <c r="P287" s="325" t="s">
        <v>69</v>
      </c>
      <c r="Q287" s="325" t="s">
        <v>64</v>
      </c>
      <c r="R287" s="325"/>
      <c r="S287" s="325" t="str">
        <f>E287</f>
        <v>001-500-000076630</v>
      </c>
      <c r="T287" s="332" t="s">
        <v>5163</v>
      </c>
      <c r="U287" s="338" t="s">
        <v>5164</v>
      </c>
    </row>
    <row r="288" spans="1:21" s="38" customFormat="1" x14ac:dyDescent="0.2">
      <c r="A288" s="223">
        <v>284</v>
      </c>
      <c r="B288" s="335">
        <v>45940</v>
      </c>
      <c r="C288" s="335">
        <v>45945</v>
      </c>
      <c r="D288" s="339" t="s">
        <v>161</v>
      </c>
      <c r="E288" s="339" t="s">
        <v>5165</v>
      </c>
      <c r="F288" s="326">
        <v>111000050</v>
      </c>
      <c r="G288" s="340" t="str">
        <f t="shared" si="7"/>
        <v>HLB 8510 P "MAESTRO PIZZA"</v>
      </c>
      <c r="H288" s="326" t="s">
        <v>5166</v>
      </c>
      <c r="I288" s="329" t="s">
        <v>41</v>
      </c>
      <c r="J288" s="325" t="s">
        <v>64</v>
      </c>
      <c r="K288" s="325" t="s">
        <v>65</v>
      </c>
      <c r="L288" s="339" t="s">
        <v>5167</v>
      </c>
      <c r="M288" s="339" t="s">
        <v>5168</v>
      </c>
      <c r="N288" s="326">
        <v>2890719</v>
      </c>
      <c r="O288" s="337">
        <v>25</v>
      </c>
      <c r="P288" s="325" t="s">
        <v>69</v>
      </c>
      <c r="Q288" s="325" t="s">
        <v>64</v>
      </c>
      <c r="R288" s="339"/>
      <c r="S288" s="325" t="str">
        <f>E288</f>
        <v>040-104-000013957</v>
      </c>
      <c r="T288" s="339">
        <v>152751053</v>
      </c>
      <c r="U288" s="341" t="s">
        <v>5169</v>
      </c>
    </row>
    <row r="289" spans="1:21" s="38" customFormat="1" x14ac:dyDescent="0.2">
      <c r="A289" s="223">
        <v>285</v>
      </c>
      <c r="B289" s="335">
        <v>45944</v>
      </c>
      <c r="C289" s="335">
        <v>45946</v>
      </c>
      <c r="D289" s="339" t="s">
        <v>100</v>
      </c>
      <c r="E289" s="339" t="s">
        <v>5170</v>
      </c>
      <c r="F289" s="326">
        <v>112500046</v>
      </c>
      <c r="G289" s="340" t="str">
        <f t="shared" si="7"/>
        <v>IZF 88700 MST COCINA INDUCCION</v>
      </c>
      <c r="H289" s="326" t="s">
        <v>5171</v>
      </c>
      <c r="I289" s="329" t="s">
        <v>41</v>
      </c>
      <c r="J289" s="325" t="s">
        <v>64</v>
      </c>
      <c r="K289" s="325" t="s">
        <v>65</v>
      </c>
      <c r="L289" s="339" t="s">
        <v>5172</v>
      </c>
      <c r="M289" s="339" t="s">
        <v>1071</v>
      </c>
      <c r="N289" s="326">
        <v>992828556</v>
      </c>
      <c r="O289" s="337">
        <v>29</v>
      </c>
      <c r="P289" s="325" t="s">
        <v>69</v>
      </c>
      <c r="Q289" s="325" t="s">
        <v>64</v>
      </c>
      <c r="R289" s="339"/>
      <c r="S289" s="325" t="str">
        <f>E289</f>
        <v>001-500-0000778205</v>
      </c>
      <c r="T289" s="339">
        <v>104414347</v>
      </c>
      <c r="U289" s="341" t="s">
        <v>5173</v>
      </c>
    </row>
    <row r="290" spans="1:21" s="349" customFormat="1" x14ac:dyDescent="0.2">
      <c r="A290" s="223">
        <v>286</v>
      </c>
      <c r="B290" s="342">
        <v>45945</v>
      </c>
      <c r="C290" s="342">
        <v>45946</v>
      </c>
      <c r="D290" s="343" t="s">
        <v>75</v>
      </c>
      <c r="E290" s="343" t="s">
        <v>5174</v>
      </c>
      <c r="F290" s="344">
        <v>40197255</v>
      </c>
      <c r="G290" s="345" t="str">
        <f t="shared" si="7"/>
        <v>TR 710.1 TRITURADOR</v>
      </c>
      <c r="H290" s="344" t="s">
        <v>5175</v>
      </c>
      <c r="I290" s="329" t="s">
        <v>41</v>
      </c>
      <c r="J290" s="325" t="s">
        <v>64</v>
      </c>
      <c r="K290" s="325" t="s">
        <v>65</v>
      </c>
      <c r="L290" s="343" t="s">
        <v>5176</v>
      </c>
      <c r="M290" s="343" t="s">
        <v>4814</v>
      </c>
      <c r="N290" s="344">
        <v>998266906</v>
      </c>
      <c r="O290" s="346">
        <v>15</v>
      </c>
      <c r="P290" s="325" t="s">
        <v>69</v>
      </c>
      <c r="Q290" s="325" t="s">
        <v>64</v>
      </c>
      <c r="R290" s="343"/>
      <c r="S290" s="325" t="str">
        <f>E290</f>
        <v>001-001-000001404</v>
      </c>
      <c r="T290" s="347" t="s">
        <v>5177</v>
      </c>
      <c r="U290" s="348" t="s">
        <v>5178</v>
      </c>
    </row>
    <row r="291" spans="1:21" s="38" customFormat="1" x14ac:dyDescent="0.2">
      <c r="A291" s="223">
        <v>287</v>
      </c>
      <c r="B291" s="335">
        <v>45919</v>
      </c>
      <c r="C291" s="335">
        <v>45946</v>
      </c>
      <c r="D291" s="339" t="s">
        <v>100</v>
      </c>
      <c r="E291" s="339" t="s">
        <v>5179</v>
      </c>
      <c r="F291" s="326">
        <v>112580027</v>
      </c>
      <c r="G291" s="340" t="str">
        <f t="shared" si="7"/>
        <v>GBC 75030 KBB CRISTAL COCINA GAS</v>
      </c>
      <c r="H291" s="326" t="s">
        <v>5180</v>
      </c>
      <c r="I291" s="329" t="s">
        <v>41</v>
      </c>
      <c r="J291" s="325" t="s">
        <v>64</v>
      </c>
      <c r="K291" s="325" t="s">
        <v>65</v>
      </c>
      <c r="L291" s="339" t="s">
        <v>5181</v>
      </c>
      <c r="M291" s="339" t="s">
        <v>5182</v>
      </c>
      <c r="N291" s="326">
        <v>987452609</v>
      </c>
      <c r="O291" s="337">
        <v>29</v>
      </c>
      <c r="P291" s="325" t="s">
        <v>69</v>
      </c>
      <c r="Q291" s="325" t="s">
        <v>64</v>
      </c>
      <c r="R291" s="339"/>
      <c r="S291" s="325" t="str">
        <f>E291</f>
        <v>001-500-000077046</v>
      </c>
      <c r="T291" s="350" t="s">
        <v>5183</v>
      </c>
      <c r="U291" s="341" t="s">
        <v>5178</v>
      </c>
    </row>
    <row r="292" spans="1:21" s="38" customFormat="1" x14ac:dyDescent="0.2">
      <c r="A292" s="223">
        <v>288</v>
      </c>
      <c r="B292" s="335">
        <v>45898</v>
      </c>
      <c r="C292" s="335">
        <v>45947</v>
      </c>
      <c r="D292" s="339" t="s">
        <v>100</v>
      </c>
      <c r="E292" s="339" t="s">
        <v>5184</v>
      </c>
      <c r="F292" s="326">
        <v>112580017</v>
      </c>
      <c r="G292" s="340" t="str">
        <f t="shared" si="7"/>
        <v>GBC 64000 KBB CRISTAL COCINA GAS</v>
      </c>
      <c r="H292" s="326" t="s">
        <v>5185</v>
      </c>
      <c r="I292" s="329" t="s">
        <v>41</v>
      </c>
      <c r="J292" s="325" t="s">
        <v>64</v>
      </c>
      <c r="K292" s="325" t="s">
        <v>65</v>
      </c>
      <c r="L292" s="339" t="s">
        <v>5186</v>
      </c>
      <c r="M292" s="339" t="s">
        <v>4089</v>
      </c>
      <c r="N292" s="326">
        <v>984178183</v>
      </c>
      <c r="O292" s="337">
        <v>29</v>
      </c>
      <c r="P292" s="325" t="s">
        <v>69</v>
      </c>
      <c r="Q292" s="325" t="s">
        <v>64</v>
      </c>
      <c r="R292" s="339"/>
      <c r="S292" s="325" t="str">
        <f>E292</f>
        <v>001-500-000076452</v>
      </c>
      <c r="T292" s="350" t="s">
        <v>5187</v>
      </c>
      <c r="U292" s="341" t="s">
        <v>5188</v>
      </c>
    </row>
    <row r="293" spans="1:21" s="38" customFormat="1" x14ac:dyDescent="0.2">
      <c r="A293" s="223">
        <v>289</v>
      </c>
      <c r="B293" s="335">
        <v>45769</v>
      </c>
      <c r="C293" s="335">
        <v>45947</v>
      </c>
      <c r="D293" s="339" t="s">
        <v>125</v>
      </c>
      <c r="E293" s="339" t="s">
        <v>5189</v>
      </c>
      <c r="F293" s="326">
        <v>112580058</v>
      </c>
      <c r="G293" s="340" t="str">
        <f t="shared" ref="G293" si="11">VLOOKUP(F293,PROD,2,FALSE)</f>
        <v>GBC 95030 KBB BK COCINA GAS</v>
      </c>
      <c r="H293" s="326" t="s">
        <v>5190</v>
      </c>
      <c r="I293" s="329" t="s">
        <v>41</v>
      </c>
      <c r="J293" s="325" t="s">
        <v>64</v>
      </c>
      <c r="K293" s="325" t="s">
        <v>65</v>
      </c>
      <c r="L293" s="339" t="s">
        <v>5191</v>
      </c>
      <c r="M293" s="339" t="s">
        <v>525</v>
      </c>
      <c r="N293" s="326">
        <v>984729803</v>
      </c>
      <c r="O293" s="337">
        <v>29</v>
      </c>
      <c r="P293" s="325" t="s">
        <v>69</v>
      </c>
      <c r="Q293" s="325" t="s">
        <v>64</v>
      </c>
      <c r="R293" s="339"/>
      <c r="S293" s="325" t="str">
        <f>E293</f>
        <v>016-902-000506790</v>
      </c>
      <c r="T293" s="350" t="s">
        <v>5192</v>
      </c>
      <c r="U293" s="341" t="s">
        <v>5193</v>
      </c>
    </row>
    <row r="294" spans="1:21" x14ac:dyDescent="0.2">
      <c r="A294" s="223">
        <v>290</v>
      </c>
      <c r="B294" s="351">
        <v>45899</v>
      </c>
      <c r="C294" s="352">
        <v>45950</v>
      </c>
      <c r="D294" s="352" t="s">
        <v>187</v>
      </c>
      <c r="E294" s="352" t="s">
        <v>5660</v>
      </c>
      <c r="F294" s="353">
        <v>40782128</v>
      </c>
      <c r="G294" s="354" t="s">
        <v>5661</v>
      </c>
      <c r="H294" s="355" t="s">
        <v>5662</v>
      </c>
      <c r="I294" s="356" t="s">
        <v>41</v>
      </c>
      <c r="J294" s="352" t="s">
        <v>64</v>
      </c>
      <c r="K294" s="352" t="s">
        <v>65</v>
      </c>
      <c r="L294" s="352" t="s">
        <v>5663</v>
      </c>
      <c r="M294" s="352" t="s">
        <v>5664</v>
      </c>
      <c r="N294" s="357">
        <v>991406660</v>
      </c>
      <c r="O294" s="358">
        <v>25</v>
      </c>
      <c r="P294" s="352" t="s">
        <v>69</v>
      </c>
      <c r="Q294" s="352" t="s">
        <v>64</v>
      </c>
      <c r="R294" s="352"/>
      <c r="S294" s="352" t="s">
        <v>5660</v>
      </c>
      <c r="T294" s="356" t="s">
        <v>5665</v>
      </c>
      <c r="U294" s="359" t="s">
        <v>5666</v>
      </c>
    </row>
    <row r="295" spans="1:21" x14ac:dyDescent="0.2">
      <c r="A295" s="223">
        <v>291</v>
      </c>
      <c r="B295" s="360">
        <v>45931</v>
      </c>
      <c r="C295" s="361">
        <v>45950</v>
      </c>
      <c r="D295" s="361" t="s">
        <v>125</v>
      </c>
      <c r="E295" s="361" t="s">
        <v>5667</v>
      </c>
      <c r="F295" s="362">
        <v>40484204</v>
      </c>
      <c r="G295" s="363" t="s">
        <v>5668</v>
      </c>
      <c r="H295" s="364" t="s">
        <v>5669</v>
      </c>
      <c r="I295" s="365" t="s">
        <v>41</v>
      </c>
      <c r="J295" s="361" t="s">
        <v>64</v>
      </c>
      <c r="K295" s="361" t="s">
        <v>65</v>
      </c>
      <c r="L295" s="361" t="s">
        <v>5670</v>
      </c>
      <c r="M295" s="361" t="s">
        <v>5671</v>
      </c>
      <c r="N295" s="366">
        <v>74090000</v>
      </c>
      <c r="O295" s="367">
        <v>36</v>
      </c>
      <c r="P295" s="361" t="s">
        <v>69</v>
      </c>
      <c r="Q295" s="361" t="s">
        <v>64</v>
      </c>
      <c r="R295" s="361"/>
      <c r="S295" s="361" t="s">
        <v>5667</v>
      </c>
      <c r="T295" s="365" t="s">
        <v>5672</v>
      </c>
      <c r="U295" s="368" t="s">
        <v>5673</v>
      </c>
    </row>
    <row r="296" spans="1:21" x14ac:dyDescent="0.2">
      <c r="A296" s="223">
        <v>292</v>
      </c>
      <c r="B296" s="360">
        <v>45919</v>
      </c>
      <c r="C296" s="361">
        <v>45950</v>
      </c>
      <c r="D296" s="361" t="s">
        <v>4072</v>
      </c>
      <c r="E296" s="361" t="s">
        <v>5674</v>
      </c>
      <c r="F296" s="362">
        <v>40584202</v>
      </c>
      <c r="G296" s="363" t="s">
        <v>5675</v>
      </c>
      <c r="H296" s="364" t="s">
        <v>5676</v>
      </c>
      <c r="I296" s="365" t="s">
        <v>41</v>
      </c>
      <c r="J296" s="361" t="s">
        <v>64</v>
      </c>
      <c r="K296" s="361" t="s">
        <v>65</v>
      </c>
      <c r="L296" s="361" t="s">
        <v>4921</v>
      </c>
      <c r="M296" s="361" t="s">
        <v>5677</v>
      </c>
      <c r="N296" s="366">
        <v>996123320</v>
      </c>
      <c r="O296" s="367">
        <v>25</v>
      </c>
      <c r="P296" s="361" t="s">
        <v>69</v>
      </c>
      <c r="Q296" s="361" t="s">
        <v>64</v>
      </c>
      <c r="R296" s="361"/>
      <c r="S296" s="361" t="s">
        <v>5674</v>
      </c>
      <c r="T296" s="365" t="s">
        <v>5678</v>
      </c>
      <c r="U296" s="368" t="s">
        <v>5679</v>
      </c>
    </row>
    <row r="297" spans="1:21" x14ac:dyDescent="0.2">
      <c r="A297" s="223">
        <v>293</v>
      </c>
      <c r="B297" s="360">
        <v>45872</v>
      </c>
      <c r="C297" s="361">
        <v>45951</v>
      </c>
      <c r="D297" s="361" t="s">
        <v>187</v>
      </c>
      <c r="E297" s="361" t="s">
        <v>5680</v>
      </c>
      <c r="F297" s="362">
        <v>114270008</v>
      </c>
      <c r="G297" s="363" t="s">
        <v>5681</v>
      </c>
      <c r="H297" s="364" t="s">
        <v>5682</v>
      </c>
      <c r="I297" s="365" t="s">
        <v>41</v>
      </c>
      <c r="J297" s="361" t="s">
        <v>64</v>
      </c>
      <c r="K297" s="361" t="s">
        <v>65</v>
      </c>
      <c r="L297" s="361" t="s">
        <v>5683</v>
      </c>
      <c r="M297" s="361" t="s">
        <v>5684</v>
      </c>
      <c r="N297" s="366">
        <v>984124946</v>
      </c>
      <c r="O297" s="367">
        <v>25</v>
      </c>
      <c r="P297" s="361" t="s">
        <v>69</v>
      </c>
      <c r="Q297" s="361" t="s">
        <v>64</v>
      </c>
      <c r="R297" s="361"/>
      <c r="S297" s="361" t="s">
        <v>5680</v>
      </c>
      <c r="T297" s="365" t="s">
        <v>5685</v>
      </c>
      <c r="U297" s="368" t="s">
        <v>5686</v>
      </c>
    </row>
    <row r="298" spans="1:21" x14ac:dyDescent="0.2">
      <c r="A298" s="223">
        <v>294</v>
      </c>
      <c r="B298" s="360">
        <v>45919</v>
      </c>
      <c r="C298" s="361">
        <v>45951</v>
      </c>
      <c r="D298" s="361" t="s">
        <v>125</v>
      </c>
      <c r="E298" s="361" t="s">
        <v>5233</v>
      </c>
      <c r="F298" s="362">
        <v>114270008</v>
      </c>
      <c r="G298" s="363" t="s">
        <v>5681</v>
      </c>
      <c r="H298" s="364" t="s">
        <v>5228</v>
      </c>
      <c r="I298" s="365" t="s">
        <v>41</v>
      </c>
      <c r="J298" s="361" t="s">
        <v>64</v>
      </c>
      <c r="K298" s="361" t="s">
        <v>65</v>
      </c>
      <c r="L298" s="361" t="s">
        <v>5229</v>
      </c>
      <c r="M298" s="361" t="s">
        <v>533</v>
      </c>
      <c r="N298" s="366">
        <v>997439434</v>
      </c>
      <c r="O298" s="367">
        <v>25</v>
      </c>
      <c r="P298" s="361" t="s">
        <v>69</v>
      </c>
      <c r="Q298" s="361" t="s">
        <v>64</v>
      </c>
      <c r="R298" s="361"/>
      <c r="S298" s="361" t="s">
        <v>5233</v>
      </c>
      <c r="T298" s="365" t="s">
        <v>5231</v>
      </c>
      <c r="U298" s="368" t="s">
        <v>5687</v>
      </c>
    </row>
    <row r="299" spans="1:21" x14ac:dyDescent="0.2">
      <c r="A299" s="223">
        <v>295</v>
      </c>
      <c r="B299" s="360">
        <v>45472</v>
      </c>
      <c r="C299" s="361">
        <v>45952</v>
      </c>
      <c r="D299" s="361" t="s">
        <v>125</v>
      </c>
      <c r="E299" s="361" t="s">
        <v>5688</v>
      </c>
      <c r="F299" s="362">
        <v>111000051</v>
      </c>
      <c r="G299" s="363" t="s">
        <v>5689</v>
      </c>
      <c r="H299" s="364" t="s">
        <v>5690</v>
      </c>
      <c r="I299" s="365" t="s">
        <v>41</v>
      </c>
      <c r="J299" s="361" t="s">
        <v>64</v>
      </c>
      <c r="K299" s="361" t="s">
        <v>65</v>
      </c>
      <c r="L299" s="361" t="s">
        <v>5691</v>
      </c>
      <c r="M299" s="361" t="s">
        <v>5692</v>
      </c>
      <c r="N299" s="366">
        <v>994509861</v>
      </c>
      <c r="O299" s="367">
        <v>25</v>
      </c>
      <c r="P299" s="361" t="s">
        <v>69</v>
      </c>
      <c r="Q299" s="361" t="s">
        <v>64</v>
      </c>
      <c r="R299" s="361"/>
      <c r="S299" s="361" t="s">
        <v>5688</v>
      </c>
      <c r="T299" s="365" t="s">
        <v>5693</v>
      </c>
      <c r="U299" s="368" t="s">
        <v>5694</v>
      </c>
    </row>
    <row r="300" spans="1:21" x14ac:dyDescent="0.2">
      <c r="A300" s="223">
        <v>296</v>
      </c>
      <c r="B300" s="360">
        <v>45919</v>
      </c>
      <c r="C300" s="361">
        <v>45953</v>
      </c>
      <c r="D300" s="361" t="s">
        <v>125</v>
      </c>
      <c r="E300" s="361" t="s">
        <v>5695</v>
      </c>
      <c r="F300" s="362">
        <v>112600001</v>
      </c>
      <c r="G300" s="363" t="s">
        <v>5696</v>
      </c>
      <c r="H300" s="364" t="s">
        <v>5697</v>
      </c>
      <c r="I300" s="365" t="s">
        <v>41</v>
      </c>
      <c r="J300" s="361" t="s">
        <v>64</v>
      </c>
      <c r="K300" s="361" t="s">
        <v>65</v>
      </c>
      <c r="L300" s="361" t="s">
        <v>5698</v>
      </c>
      <c r="M300" s="361" t="s">
        <v>5699</v>
      </c>
      <c r="N300" s="366">
        <v>998658651</v>
      </c>
      <c r="O300" s="367">
        <v>29</v>
      </c>
      <c r="P300" s="361" t="s">
        <v>69</v>
      </c>
      <c r="Q300" s="361" t="s">
        <v>64</v>
      </c>
      <c r="R300" s="361"/>
      <c r="S300" s="361" t="s">
        <v>5695</v>
      </c>
      <c r="T300" s="365" t="s">
        <v>5700</v>
      </c>
      <c r="U300" s="368" t="s">
        <v>5701</v>
      </c>
    </row>
    <row r="301" spans="1:21" x14ac:dyDescent="0.2">
      <c r="A301" s="223">
        <v>297</v>
      </c>
      <c r="B301" s="369">
        <v>45941</v>
      </c>
      <c r="C301" s="371">
        <v>45954</v>
      </c>
      <c r="D301" s="361" t="s">
        <v>125</v>
      </c>
      <c r="E301" s="370" t="s">
        <v>5702</v>
      </c>
      <c r="F301" s="362">
        <v>40461507</v>
      </c>
      <c r="G301" s="363" t="s">
        <v>5703</v>
      </c>
      <c r="H301" s="362" t="s">
        <v>5704</v>
      </c>
      <c r="I301" s="365" t="s">
        <v>41</v>
      </c>
      <c r="J301" s="361" t="s">
        <v>64</v>
      </c>
      <c r="K301" s="361" t="s">
        <v>65</v>
      </c>
      <c r="L301" s="370" t="s">
        <v>5705</v>
      </c>
      <c r="M301" s="370" t="s">
        <v>3054</v>
      </c>
      <c r="N301" s="362">
        <v>981570096</v>
      </c>
      <c r="O301" s="372">
        <v>15</v>
      </c>
      <c r="P301" s="361" t="s">
        <v>69</v>
      </c>
      <c r="Q301" s="361" t="s">
        <v>64</v>
      </c>
      <c r="R301" s="361"/>
      <c r="S301" s="361" t="s">
        <v>5702</v>
      </c>
      <c r="T301" s="365" t="s">
        <v>5706</v>
      </c>
      <c r="U301" s="373" t="s">
        <v>5707</v>
      </c>
    </row>
    <row r="302" spans="1:21" x14ac:dyDescent="0.2">
      <c r="A302" s="223">
        <v>298</v>
      </c>
      <c r="B302" s="360" t="s">
        <v>5708</v>
      </c>
      <c r="C302" s="361">
        <v>45954</v>
      </c>
      <c r="D302" s="361" t="s">
        <v>125</v>
      </c>
      <c r="E302" s="361" t="s">
        <v>5233</v>
      </c>
      <c r="F302" s="362">
        <v>114270008</v>
      </c>
      <c r="G302" s="363" t="s">
        <v>5681</v>
      </c>
      <c r="H302" s="374" t="s">
        <v>5228</v>
      </c>
      <c r="I302" s="365" t="s">
        <v>41</v>
      </c>
      <c r="J302" s="361" t="s">
        <v>64</v>
      </c>
      <c r="K302" s="361" t="s">
        <v>65</v>
      </c>
      <c r="L302" s="361" t="s">
        <v>5229</v>
      </c>
      <c r="M302" s="361" t="s">
        <v>533</v>
      </c>
      <c r="N302" s="366">
        <v>997439434</v>
      </c>
      <c r="O302" s="367">
        <v>25</v>
      </c>
      <c r="P302" s="361" t="s">
        <v>69</v>
      </c>
      <c r="Q302" s="361" t="s">
        <v>64</v>
      </c>
      <c r="R302" s="361"/>
      <c r="S302" s="361" t="s">
        <v>5233</v>
      </c>
      <c r="T302" s="365" t="s">
        <v>5231</v>
      </c>
      <c r="U302" s="368" t="s">
        <v>5232</v>
      </c>
    </row>
    <row r="303" spans="1:21" x14ac:dyDescent="0.2">
      <c r="A303" s="223">
        <v>299</v>
      </c>
      <c r="B303" s="369">
        <v>45951</v>
      </c>
      <c r="C303" s="371">
        <v>45954</v>
      </c>
      <c r="D303" s="370" t="s">
        <v>125</v>
      </c>
      <c r="E303" s="370" t="s">
        <v>5709</v>
      </c>
      <c r="F303" s="362">
        <v>111010028</v>
      </c>
      <c r="G303" s="363" t="s">
        <v>5710</v>
      </c>
      <c r="H303" s="362" t="s">
        <v>5711</v>
      </c>
      <c r="I303" s="365" t="s">
        <v>41</v>
      </c>
      <c r="J303" s="361" t="s">
        <v>64</v>
      </c>
      <c r="K303" s="361" t="s">
        <v>65</v>
      </c>
      <c r="L303" s="370" t="s">
        <v>5712</v>
      </c>
      <c r="M303" s="370" t="s">
        <v>5713</v>
      </c>
      <c r="N303" s="362">
        <v>99738798</v>
      </c>
      <c r="O303" s="372">
        <v>25</v>
      </c>
      <c r="P303" s="361" t="s">
        <v>69</v>
      </c>
      <c r="Q303" s="361" t="s">
        <v>64</v>
      </c>
      <c r="R303" s="361"/>
      <c r="S303" s="361" t="s">
        <v>5709</v>
      </c>
      <c r="T303" s="365" t="s">
        <v>5714</v>
      </c>
      <c r="U303" s="373" t="s">
        <v>5715</v>
      </c>
    </row>
    <row r="304" spans="1:21" x14ac:dyDescent="0.2">
      <c r="A304" s="223">
        <v>300</v>
      </c>
      <c r="B304" s="369">
        <v>45953</v>
      </c>
      <c r="C304" s="371">
        <v>45954</v>
      </c>
      <c r="D304" s="370" t="s">
        <v>100</v>
      </c>
      <c r="E304" s="370" t="s">
        <v>5716</v>
      </c>
      <c r="F304" s="362">
        <v>40584012</v>
      </c>
      <c r="G304" s="363" t="s">
        <v>5717</v>
      </c>
      <c r="H304" s="362" t="s">
        <v>5718</v>
      </c>
      <c r="I304" s="365" t="s">
        <v>41</v>
      </c>
      <c r="J304" s="361" t="s">
        <v>64</v>
      </c>
      <c r="K304" s="361" t="s">
        <v>65</v>
      </c>
      <c r="L304" s="370" t="s">
        <v>5719</v>
      </c>
      <c r="M304" s="370" t="s">
        <v>358</v>
      </c>
      <c r="N304" s="362">
        <v>995790823</v>
      </c>
      <c r="O304" s="372">
        <v>25</v>
      </c>
      <c r="P304" s="361" t="s">
        <v>69</v>
      </c>
      <c r="Q304" s="361" t="s">
        <v>64</v>
      </c>
      <c r="R304" s="361"/>
      <c r="S304" s="361" t="s">
        <v>5716</v>
      </c>
      <c r="T304" s="365" t="s">
        <v>5720</v>
      </c>
      <c r="U304" s="373" t="s">
        <v>5721</v>
      </c>
    </row>
    <row r="305" spans="1:21" x14ac:dyDescent="0.2">
      <c r="A305" s="223">
        <v>301</v>
      </c>
      <c r="B305" s="369">
        <v>45955</v>
      </c>
      <c r="C305" s="371">
        <v>45957</v>
      </c>
      <c r="D305" s="370" t="s">
        <v>125</v>
      </c>
      <c r="E305" s="370" t="s">
        <v>5722</v>
      </c>
      <c r="F305" s="362">
        <v>40467320</v>
      </c>
      <c r="G305" s="363" t="s">
        <v>4352</v>
      </c>
      <c r="H305" s="362" t="s">
        <v>5723</v>
      </c>
      <c r="I305" s="365" t="s">
        <v>41</v>
      </c>
      <c r="J305" s="361" t="s">
        <v>64</v>
      </c>
      <c r="K305" s="361" t="s">
        <v>65</v>
      </c>
      <c r="L305" s="370" t="s">
        <v>5724</v>
      </c>
      <c r="M305" s="370" t="s">
        <v>5725</v>
      </c>
      <c r="N305" s="362">
        <v>962859179</v>
      </c>
      <c r="O305" s="372">
        <v>15</v>
      </c>
      <c r="P305" s="361" t="s">
        <v>69</v>
      </c>
      <c r="Q305" s="361" t="s">
        <v>64</v>
      </c>
      <c r="R305" s="361"/>
      <c r="S305" s="361" t="s">
        <v>5722</v>
      </c>
      <c r="T305" s="365" t="s">
        <v>5726</v>
      </c>
      <c r="U305" s="373" t="s">
        <v>5727</v>
      </c>
    </row>
    <row r="306" spans="1:21" x14ac:dyDescent="0.2">
      <c r="A306" s="223">
        <v>302</v>
      </c>
      <c r="B306" s="369">
        <v>45916</v>
      </c>
      <c r="C306" s="371">
        <v>45957</v>
      </c>
      <c r="D306" s="370" t="s">
        <v>100</v>
      </c>
      <c r="E306" s="370" t="s">
        <v>5728</v>
      </c>
      <c r="F306" s="362">
        <v>112570126</v>
      </c>
      <c r="G306" s="363" t="s">
        <v>4394</v>
      </c>
      <c r="H306" s="362" t="s">
        <v>5729</v>
      </c>
      <c r="I306" s="365" t="s">
        <v>41</v>
      </c>
      <c r="J306" s="361" t="s">
        <v>64</v>
      </c>
      <c r="K306" s="361" t="s">
        <v>65</v>
      </c>
      <c r="L306" s="370" t="s">
        <v>5730</v>
      </c>
      <c r="M306" s="370" t="s">
        <v>4922</v>
      </c>
      <c r="N306" s="362">
        <v>999259503</v>
      </c>
      <c r="O306" s="372">
        <v>29</v>
      </c>
      <c r="P306" s="361" t="s">
        <v>69</v>
      </c>
      <c r="Q306" s="361" t="s">
        <v>64</v>
      </c>
      <c r="R306" s="361"/>
      <c r="S306" s="361" t="s">
        <v>5728</v>
      </c>
      <c r="T306" s="365" t="s">
        <v>5731</v>
      </c>
      <c r="U306" s="373" t="s">
        <v>5732</v>
      </c>
    </row>
    <row r="307" spans="1:21" x14ac:dyDescent="0.2">
      <c r="A307" s="223">
        <v>303</v>
      </c>
      <c r="B307" s="369">
        <v>45954</v>
      </c>
      <c r="C307" s="371">
        <v>45958</v>
      </c>
      <c r="D307" s="370" t="s">
        <v>187</v>
      </c>
      <c r="E307" s="370" t="s">
        <v>5733</v>
      </c>
      <c r="F307" s="362">
        <v>112580058</v>
      </c>
      <c r="G307" s="363" t="s">
        <v>5734</v>
      </c>
      <c r="H307" s="362" t="s">
        <v>5735</v>
      </c>
      <c r="I307" s="365" t="s">
        <v>41</v>
      </c>
      <c r="J307" s="361" t="s">
        <v>64</v>
      </c>
      <c r="K307" s="361" t="s">
        <v>65</v>
      </c>
      <c r="L307" s="370" t="s">
        <v>5736</v>
      </c>
      <c r="M307" s="370" t="s">
        <v>5737</v>
      </c>
      <c r="N307" s="362">
        <v>992622640</v>
      </c>
      <c r="O307" s="372">
        <v>29</v>
      </c>
      <c r="P307" s="361" t="s">
        <v>69</v>
      </c>
      <c r="Q307" s="361" t="s">
        <v>64</v>
      </c>
      <c r="R307" s="361"/>
      <c r="S307" s="361" t="s">
        <v>5733</v>
      </c>
      <c r="T307" s="365" t="s">
        <v>5738</v>
      </c>
      <c r="U307" s="373" t="s">
        <v>5739</v>
      </c>
    </row>
    <row r="308" spans="1:21" x14ac:dyDescent="0.2">
      <c r="A308" s="223">
        <v>304</v>
      </c>
      <c r="B308" s="369">
        <v>45933</v>
      </c>
      <c r="C308" s="371">
        <v>45958</v>
      </c>
      <c r="D308" s="370" t="s">
        <v>100</v>
      </c>
      <c r="E308" s="370" t="s">
        <v>4859</v>
      </c>
      <c r="F308" s="362">
        <v>112030019</v>
      </c>
      <c r="G308" s="363" t="s">
        <v>5740</v>
      </c>
      <c r="H308" s="362" t="s">
        <v>5741</v>
      </c>
      <c r="I308" s="365" t="s">
        <v>41</v>
      </c>
      <c r="J308" s="361" t="s">
        <v>64</v>
      </c>
      <c r="K308" s="361" t="s">
        <v>65</v>
      </c>
      <c r="L308" s="370" t="s">
        <v>5742</v>
      </c>
      <c r="M308" s="370" t="s">
        <v>5743</v>
      </c>
      <c r="N308" s="362">
        <v>995720411</v>
      </c>
      <c r="O308" s="372">
        <v>25</v>
      </c>
      <c r="P308" s="361" t="s">
        <v>69</v>
      </c>
      <c r="Q308" s="361" t="s">
        <v>64</v>
      </c>
      <c r="R308" s="361"/>
      <c r="S308" s="361" t="s">
        <v>4859</v>
      </c>
      <c r="T308" s="365" t="s">
        <v>5206</v>
      </c>
      <c r="U308" s="373" t="s">
        <v>5744</v>
      </c>
    </row>
    <row r="309" spans="1:21" x14ac:dyDescent="0.2">
      <c r="A309" s="223">
        <v>305</v>
      </c>
      <c r="B309" s="369">
        <v>45926</v>
      </c>
      <c r="C309" s="371">
        <v>45961</v>
      </c>
      <c r="D309" s="370" t="s">
        <v>190</v>
      </c>
      <c r="E309" s="370" t="s">
        <v>5745</v>
      </c>
      <c r="F309" s="362">
        <v>40782128</v>
      </c>
      <c r="G309" s="363" t="s">
        <v>5661</v>
      </c>
      <c r="H309" s="362" t="s">
        <v>5746</v>
      </c>
      <c r="I309" s="365" t="s">
        <v>41</v>
      </c>
      <c r="J309" s="361" t="s">
        <v>64</v>
      </c>
      <c r="K309" s="361" t="s">
        <v>65</v>
      </c>
      <c r="L309" s="370" t="s">
        <v>5747</v>
      </c>
      <c r="M309" s="370" t="s">
        <v>533</v>
      </c>
      <c r="N309" s="362">
        <v>995834108</v>
      </c>
      <c r="O309" s="372">
        <v>25</v>
      </c>
      <c r="P309" s="361" t="s">
        <v>69</v>
      </c>
      <c r="Q309" s="361" t="s">
        <v>64</v>
      </c>
      <c r="R309" s="361"/>
      <c r="S309" s="361" t="s">
        <v>5745</v>
      </c>
      <c r="T309" s="365" t="s">
        <v>5748</v>
      </c>
      <c r="U309" s="373" t="s">
        <v>5749</v>
      </c>
    </row>
    <row r="310" spans="1:21" x14ac:dyDescent="0.2">
      <c r="A310" s="223">
        <v>306</v>
      </c>
      <c r="B310" s="369">
        <v>45957</v>
      </c>
      <c r="C310" s="371">
        <v>45961</v>
      </c>
      <c r="D310" s="370" t="s">
        <v>161</v>
      </c>
      <c r="E310" s="370" t="s">
        <v>5750</v>
      </c>
      <c r="F310" s="362">
        <v>112580058</v>
      </c>
      <c r="G310" s="363" t="s">
        <v>5734</v>
      </c>
      <c r="H310" s="362" t="s">
        <v>5751</v>
      </c>
      <c r="I310" s="365" t="s">
        <v>41</v>
      </c>
      <c r="J310" s="361" t="s">
        <v>64</v>
      </c>
      <c r="K310" s="361" t="s">
        <v>65</v>
      </c>
      <c r="L310" s="370" t="s">
        <v>5752</v>
      </c>
      <c r="M310" s="370" t="s">
        <v>148</v>
      </c>
      <c r="N310" s="362">
        <v>968697049</v>
      </c>
      <c r="O310" s="372">
        <v>29</v>
      </c>
      <c r="P310" s="361" t="s">
        <v>69</v>
      </c>
      <c r="Q310" s="361" t="s">
        <v>64</v>
      </c>
      <c r="R310" s="361"/>
      <c r="S310" s="361" t="s">
        <v>5750</v>
      </c>
      <c r="T310" s="365" t="s">
        <v>5753</v>
      </c>
      <c r="U310" s="375" t="s">
        <v>5754</v>
      </c>
    </row>
    <row r="311" spans="1:21" x14ac:dyDescent="0.2">
      <c r="A311" s="223">
        <v>307</v>
      </c>
      <c r="B311" s="369">
        <v>45939</v>
      </c>
      <c r="C311" s="371">
        <v>45961</v>
      </c>
      <c r="D311" s="370" t="s">
        <v>100</v>
      </c>
      <c r="E311" s="370" t="s">
        <v>5755</v>
      </c>
      <c r="F311" s="362">
        <v>112580058</v>
      </c>
      <c r="G311" s="363" t="s">
        <v>5734</v>
      </c>
      <c r="H311" s="362" t="s">
        <v>5756</v>
      </c>
      <c r="I311" s="365" t="s">
        <v>41</v>
      </c>
      <c r="J311" s="361" t="s">
        <v>64</v>
      </c>
      <c r="K311" s="361" t="s">
        <v>65</v>
      </c>
      <c r="L311" s="370" t="s">
        <v>5757</v>
      </c>
      <c r="M311" s="370" t="s">
        <v>1045</v>
      </c>
      <c r="N311" s="362">
        <v>968897796</v>
      </c>
      <c r="O311" s="372">
        <v>29</v>
      </c>
      <c r="P311" s="361" t="s">
        <v>69</v>
      </c>
      <c r="Q311" s="361" t="s">
        <v>64</v>
      </c>
      <c r="R311" s="361"/>
      <c r="S311" s="361" t="s">
        <v>5755</v>
      </c>
      <c r="T311" s="365" t="s">
        <v>5758</v>
      </c>
      <c r="U311" s="373" t="s">
        <v>5759</v>
      </c>
    </row>
    <row r="312" spans="1:21" x14ac:dyDescent="0.2">
      <c r="A312" s="223">
        <v>308</v>
      </c>
      <c r="B312" s="369">
        <v>45925</v>
      </c>
      <c r="C312" s="371">
        <v>45961</v>
      </c>
      <c r="D312" s="376" t="s">
        <v>75</v>
      </c>
      <c r="E312" s="376" t="s">
        <v>5075</v>
      </c>
      <c r="F312" s="362">
        <v>113120010</v>
      </c>
      <c r="G312" s="377" t="s">
        <v>5760</v>
      </c>
      <c r="H312" s="362" t="s">
        <v>5761</v>
      </c>
      <c r="I312" s="365" t="s">
        <v>41</v>
      </c>
      <c r="J312" s="361" t="s">
        <v>64</v>
      </c>
      <c r="K312" s="361" t="s">
        <v>65</v>
      </c>
      <c r="L312" s="376" t="s">
        <v>5077</v>
      </c>
      <c r="M312" s="376" t="s">
        <v>5762</v>
      </c>
      <c r="N312" s="362">
        <v>994485055</v>
      </c>
      <c r="O312" s="372">
        <v>36</v>
      </c>
      <c r="P312" s="361" t="s">
        <v>69</v>
      </c>
      <c r="Q312" s="361" t="s">
        <v>64</v>
      </c>
      <c r="R312" s="361"/>
      <c r="S312" s="361" t="s">
        <v>5075</v>
      </c>
      <c r="T312" s="365" t="s">
        <v>5249</v>
      </c>
      <c r="U312" s="378" t="s">
        <v>5763</v>
      </c>
    </row>
    <row r="313" spans="1:21" x14ac:dyDescent="0.2">
      <c r="A313" s="223">
        <v>309</v>
      </c>
      <c r="B313" s="369">
        <v>45921</v>
      </c>
      <c r="C313" s="379">
        <v>45967</v>
      </c>
      <c r="D313" s="376" t="s">
        <v>100</v>
      </c>
      <c r="E313" s="376" t="s">
        <v>5764</v>
      </c>
      <c r="F313" s="362">
        <v>112580058</v>
      </c>
      <c r="G313" s="377" t="s">
        <v>5734</v>
      </c>
      <c r="H313" s="362" t="s">
        <v>5765</v>
      </c>
      <c r="I313" s="365" t="s">
        <v>41</v>
      </c>
      <c r="J313" s="361" t="s">
        <v>64</v>
      </c>
      <c r="K313" s="361" t="s">
        <v>65</v>
      </c>
      <c r="L313" s="376" t="s">
        <v>5766</v>
      </c>
      <c r="M313" s="376" t="s">
        <v>5293</v>
      </c>
      <c r="N313" s="362">
        <v>999188245</v>
      </c>
      <c r="O313" s="380">
        <v>29</v>
      </c>
      <c r="P313" s="360" t="s">
        <v>69</v>
      </c>
      <c r="Q313" s="361" t="s">
        <v>64</v>
      </c>
      <c r="R313" s="361"/>
      <c r="S313" s="381" t="s">
        <v>5764</v>
      </c>
      <c r="T313" s="382" t="s">
        <v>5767</v>
      </c>
      <c r="U313" s="383" t="s">
        <v>5768</v>
      </c>
    </row>
    <row r="314" spans="1:21" x14ac:dyDescent="0.2">
      <c r="A314" s="223">
        <v>310</v>
      </c>
      <c r="B314" s="369">
        <v>45961</v>
      </c>
      <c r="C314" s="371">
        <v>45967</v>
      </c>
      <c r="D314" s="376" t="s">
        <v>100</v>
      </c>
      <c r="E314" s="376" t="s">
        <v>5769</v>
      </c>
      <c r="F314" s="362">
        <v>113430051</v>
      </c>
      <c r="G314" s="377" t="s">
        <v>4493</v>
      </c>
      <c r="H314" s="362" t="s">
        <v>5770</v>
      </c>
      <c r="I314" s="365" t="s">
        <v>41</v>
      </c>
      <c r="J314" s="361" t="s">
        <v>64</v>
      </c>
      <c r="K314" s="361" t="s">
        <v>65</v>
      </c>
      <c r="L314" s="370" t="s">
        <v>5771</v>
      </c>
      <c r="M314" s="370" t="s">
        <v>5772</v>
      </c>
      <c r="N314" s="362">
        <v>992727517</v>
      </c>
      <c r="O314" s="384">
        <v>30</v>
      </c>
      <c r="P314" s="361" t="s">
        <v>69</v>
      </c>
      <c r="Q314" s="361" t="s">
        <v>64</v>
      </c>
      <c r="R314" s="361"/>
      <c r="S314" s="352" t="s">
        <v>5769</v>
      </c>
      <c r="T314" s="356" t="s">
        <v>5773</v>
      </c>
      <c r="U314" s="385" t="s">
        <v>5774</v>
      </c>
    </row>
    <row r="315" spans="1:21" x14ac:dyDescent="0.2">
      <c r="A315" s="223">
        <v>311</v>
      </c>
      <c r="B315" s="369">
        <v>45964</v>
      </c>
      <c r="C315" s="371">
        <v>45967</v>
      </c>
      <c r="D315" s="376" t="s">
        <v>202</v>
      </c>
      <c r="E315" s="376" t="s">
        <v>5775</v>
      </c>
      <c r="F315" s="362">
        <v>115890043</v>
      </c>
      <c r="G315" s="377" t="s">
        <v>3322</v>
      </c>
      <c r="H315" s="386">
        <v>8434780000000</v>
      </c>
      <c r="I315" s="365" t="s">
        <v>41</v>
      </c>
      <c r="J315" s="361" t="s">
        <v>64</v>
      </c>
      <c r="K315" s="361" t="s">
        <v>65</v>
      </c>
      <c r="L315" s="376" t="s">
        <v>5776</v>
      </c>
      <c r="M315" s="376" t="s">
        <v>3653</v>
      </c>
      <c r="N315" s="362">
        <v>5726891</v>
      </c>
      <c r="O315" s="372">
        <v>15</v>
      </c>
      <c r="P315" s="361" t="s">
        <v>69</v>
      </c>
      <c r="Q315" s="361" t="s">
        <v>64</v>
      </c>
      <c r="R315" s="376"/>
      <c r="S315" s="361" t="s">
        <v>5775</v>
      </c>
      <c r="T315" s="376">
        <v>909708646</v>
      </c>
      <c r="U315" s="387" t="s">
        <v>3917</v>
      </c>
    </row>
    <row r="316" spans="1:21" x14ac:dyDescent="0.2">
      <c r="A316" s="223">
        <v>312</v>
      </c>
      <c r="B316" s="369">
        <v>45961</v>
      </c>
      <c r="C316" s="371">
        <v>45968</v>
      </c>
      <c r="D316" s="376" t="s">
        <v>100</v>
      </c>
      <c r="E316" s="376" t="s">
        <v>5624</v>
      </c>
      <c r="F316" s="362">
        <v>111030002</v>
      </c>
      <c r="G316" s="377" t="s">
        <v>5777</v>
      </c>
      <c r="H316" s="362" t="s">
        <v>5778</v>
      </c>
      <c r="I316" s="365" t="s">
        <v>41</v>
      </c>
      <c r="J316" s="361" t="s">
        <v>64</v>
      </c>
      <c r="K316" s="361" t="s">
        <v>65</v>
      </c>
      <c r="L316" s="376" t="s">
        <v>5626</v>
      </c>
      <c r="M316" s="376" t="s">
        <v>5627</v>
      </c>
      <c r="N316" s="362">
        <v>980244514</v>
      </c>
      <c r="O316" s="372">
        <v>25</v>
      </c>
      <c r="P316" s="361" t="s">
        <v>69</v>
      </c>
      <c r="Q316" s="361" t="s">
        <v>64</v>
      </c>
      <c r="R316" s="376"/>
      <c r="S316" s="361" t="s">
        <v>5624</v>
      </c>
      <c r="T316" s="376">
        <v>150307247</v>
      </c>
      <c r="U316" s="378" t="s">
        <v>5630</v>
      </c>
    </row>
    <row r="317" spans="1:21" x14ac:dyDescent="0.2">
      <c r="A317" s="223">
        <v>313</v>
      </c>
      <c r="B317" s="388">
        <v>45960</v>
      </c>
      <c r="C317" s="392">
        <v>45968</v>
      </c>
      <c r="D317" s="389" t="s">
        <v>125</v>
      </c>
      <c r="E317" s="389" t="s">
        <v>5779</v>
      </c>
      <c r="F317" s="390">
        <v>40461506</v>
      </c>
      <c r="G317" s="391" t="s">
        <v>5780</v>
      </c>
      <c r="H317" s="390" t="s">
        <v>5781</v>
      </c>
      <c r="I317" s="365" t="s">
        <v>41</v>
      </c>
      <c r="J317" s="361" t="s">
        <v>64</v>
      </c>
      <c r="K317" s="361" t="s">
        <v>65</v>
      </c>
      <c r="L317" s="389" t="s">
        <v>5782</v>
      </c>
      <c r="M317" s="389" t="s">
        <v>5783</v>
      </c>
      <c r="N317" s="390">
        <v>984464515</v>
      </c>
      <c r="O317" s="393">
        <v>15</v>
      </c>
      <c r="P317" s="361" t="s">
        <v>69</v>
      </c>
      <c r="Q317" s="361" t="s">
        <v>64</v>
      </c>
      <c r="R317" s="389"/>
      <c r="S317" s="361" t="s">
        <v>5779</v>
      </c>
      <c r="T317" s="394" t="s">
        <v>5784</v>
      </c>
      <c r="U317" s="395" t="s">
        <v>5785</v>
      </c>
    </row>
    <row r="318" spans="1:21" x14ac:dyDescent="0.2">
      <c r="A318" s="223">
        <v>314</v>
      </c>
      <c r="B318" s="369">
        <v>45969</v>
      </c>
      <c r="C318" s="371">
        <v>45971</v>
      </c>
      <c r="D318" s="376" t="s">
        <v>100</v>
      </c>
      <c r="E318" s="376" t="s">
        <v>5786</v>
      </c>
      <c r="F318" s="362">
        <v>112580058</v>
      </c>
      <c r="G318" s="377" t="s">
        <v>5734</v>
      </c>
      <c r="H318" s="362" t="s">
        <v>5787</v>
      </c>
      <c r="I318" s="365" t="s">
        <v>41</v>
      </c>
      <c r="J318" s="361" t="s">
        <v>64</v>
      </c>
      <c r="K318" s="361" t="s">
        <v>65</v>
      </c>
      <c r="L318" s="376" t="s">
        <v>5788</v>
      </c>
      <c r="M318" s="376" t="s">
        <v>5789</v>
      </c>
      <c r="N318" s="362">
        <v>992149174</v>
      </c>
      <c r="O318" s="372">
        <v>29</v>
      </c>
      <c r="P318" s="361" t="s">
        <v>69</v>
      </c>
      <c r="Q318" s="361" t="s">
        <v>64</v>
      </c>
      <c r="R318" s="376"/>
      <c r="S318" s="361" t="s">
        <v>5786</v>
      </c>
      <c r="T318" s="396" t="s">
        <v>5790</v>
      </c>
      <c r="U318" s="378" t="s">
        <v>5791</v>
      </c>
    </row>
    <row r="319" spans="1:21" x14ac:dyDescent="0.2">
      <c r="A319" s="223">
        <v>315</v>
      </c>
      <c r="B319" s="369">
        <v>45919</v>
      </c>
      <c r="C319" s="371">
        <v>45971</v>
      </c>
      <c r="D319" s="376" t="s">
        <v>125</v>
      </c>
      <c r="E319" s="376" t="s">
        <v>5792</v>
      </c>
      <c r="F319" s="362">
        <v>112610067</v>
      </c>
      <c r="G319" s="377" t="s">
        <v>4292</v>
      </c>
      <c r="H319" s="362" t="s">
        <v>5793</v>
      </c>
      <c r="I319" s="365" t="s">
        <v>41</v>
      </c>
      <c r="J319" s="361" t="s">
        <v>64</v>
      </c>
      <c r="K319" s="361" t="s">
        <v>65</v>
      </c>
      <c r="L319" s="376" t="s">
        <v>5794</v>
      </c>
      <c r="M319" s="376" t="s">
        <v>1071</v>
      </c>
      <c r="N319" s="362">
        <v>999083269</v>
      </c>
      <c r="O319" s="372">
        <v>29</v>
      </c>
      <c r="P319" s="361" t="s">
        <v>69</v>
      </c>
      <c r="Q319" s="361" t="s">
        <v>64</v>
      </c>
      <c r="R319" s="376"/>
      <c r="S319" s="361" t="s">
        <v>5792</v>
      </c>
      <c r="T319" s="396" t="s">
        <v>5795</v>
      </c>
      <c r="U319" s="378" t="s">
        <v>5796</v>
      </c>
    </row>
    <row r="320" spans="1:21" x14ac:dyDescent="0.2">
      <c r="A320" s="223">
        <v>316</v>
      </c>
      <c r="B320" s="369">
        <v>45932</v>
      </c>
      <c r="C320" s="371">
        <v>45971</v>
      </c>
      <c r="D320" s="376" t="s">
        <v>125</v>
      </c>
      <c r="E320" s="376" t="s">
        <v>5797</v>
      </c>
      <c r="F320" s="362">
        <v>112580058</v>
      </c>
      <c r="G320" s="377" t="s">
        <v>5734</v>
      </c>
      <c r="H320" s="362" t="s">
        <v>5798</v>
      </c>
      <c r="I320" s="365" t="s">
        <v>41</v>
      </c>
      <c r="J320" s="361" t="s">
        <v>64</v>
      </c>
      <c r="K320" s="361" t="s">
        <v>65</v>
      </c>
      <c r="L320" s="376" t="s">
        <v>5799</v>
      </c>
      <c r="M320" s="376" t="s">
        <v>1071</v>
      </c>
      <c r="N320" s="362">
        <v>99889251</v>
      </c>
      <c r="O320" s="372">
        <v>29</v>
      </c>
      <c r="P320" s="361" t="s">
        <v>69</v>
      </c>
      <c r="Q320" s="361" t="s">
        <v>64</v>
      </c>
      <c r="R320" s="376"/>
      <c r="S320" s="361" t="s">
        <v>5797</v>
      </c>
      <c r="T320" s="396" t="s">
        <v>5800</v>
      </c>
      <c r="U320" s="378" t="s">
        <v>5801</v>
      </c>
    </row>
    <row r="321" spans="1:21" x14ac:dyDescent="0.2">
      <c r="A321" s="223">
        <v>317</v>
      </c>
      <c r="B321" s="369">
        <v>45968</v>
      </c>
      <c r="C321" s="371">
        <v>45972</v>
      </c>
      <c r="D321" s="376" t="s">
        <v>125</v>
      </c>
      <c r="E321" s="376" t="s">
        <v>5802</v>
      </c>
      <c r="F321" s="362">
        <v>111000051</v>
      </c>
      <c r="G321" s="377" t="s">
        <v>5689</v>
      </c>
      <c r="H321" s="362" t="s">
        <v>5803</v>
      </c>
      <c r="I321" s="365" t="s">
        <v>41</v>
      </c>
      <c r="J321" s="361" t="s">
        <v>64</v>
      </c>
      <c r="K321" s="361" t="s">
        <v>65</v>
      </c>
      <c r="L321" s="376" t="s">
        <v>5804</v>
      </c>
      <c r="M321" s="376" t="s">
        <v>5093</v>
      </c>
      <c r="N321" s="362">
        <v>999325975</v>
      </c>
      <c r="O321" s="372">
        <v>25</v>
      </c>
      <c r="P321" s="361" t="s">
        <v>69</v>
      </c>
      <c r="Q321" s="361" t="s">
        <v>64</v>
      </c>
      <c r="R321" s="376"/>
      <c r="S321" s="361" t="s">
        <v>5802</v>
      </c>
      <c r="T321" s="396" t="s">
        <v>5805</v>
      </c>
      <c r="U321" s="378" t="s">
        <v>5806</v>
      </c>
    </row>
    <row r="322" spans="1:21" x14ac:dyDescent="0.2">
      <c r="A322" s="223">
        <v>318</v>
      </c>
      <c r="B322" s="369">
        <v>45969</v>
      </c>
      <c r="C322" s="371">
        <v>45974</v>
      </c>
      <c r="D322" s="376" t="s">
        <v>100</v>
      </c>
      <c r="E322" s="376" t="s">
        <v>5807</v>
      </c>
      <c r="F322" s="362">
        <v>112950021</v>
      </c>
      <c r="G322" s="377" t="s">
        <v>4554</v>
      </c>
      <c r="H322" s="362" t="s">
        <v>5808</v>
      </c>
      <c r="I322" s="365" t="s">
        <v>41</v>
      </c>
      <c r="J322" s="361" t="s">
        <v>64</v>
      </c>
      <c r="K322" s="361" t="s">
        <v>65</v>
      </c>
      <c r="L322" s="376" t="s">
        <v>5809</v>
      </c>
      <c r="M322" s="376" t="s">
        <v>2504</v>
      </c>
      <c r="N322" s="362">
        <v>983370632</v>
      </c>
      <c r="O322" s="372">
        <v>36</v>
      </c>
      <c r="P322" s="361" t="s">
        <v>69</v>
      </c>
      <c r="Q322" s="361" t="s">
        <v>64</v>
      </c>
      <c r="R322" s="376"/>
      <c r="S322" s="361" t="s">
        <v>5807</v>
      </c>
      <c r="T322" s="396" t="s">
        <v>5810</v>
      </c>
      <c r="U322" s="378" t="s">
        <v>5811</v>
      </c>
    </row>
    <row r="323" spans="1:21" x14ac:dyDescent="0.2">
      <c r="A323" s="223">
        <v>319</v>
      </c>
      <c r="B323" s="369">
        <v>45968</v>
      </c>
      <c r="C323" s="371">
        <v>45974</v>
      </c>
      <c r="D323" s="376" t="s">
        <v>125</v>
      </c>
      <c r="E323" s="376" t="s">
        <v>5812</v>
      </c>
      <c r="F323" s="362">
        <v>41560061</v>
      </c>
      <c r="G323" s="377" t="s">
        <v>5813</v>
      </c>
      <c r="H323" s="362" t="s">
        <v>5814</v>
      </c>
      <c r="I323" s="365" t="s">
        <v>41</v>
      </c>
      <c r="J323" s="361" t="s">
        <v>64</v>
      </c>
      <c r="K323" s="361" t="s">
        <v>65</v>
      </c>
      <c r="L323" s="376" t="s">
        <v>5815</v>
      </c>
      <c r="M323" s="376" t="s">
        <v>5816</v>
      </c>
      <c r="N323" s="362">
        <v>996647251</v>
      </c>
      <c r="O323" s="372">
        <v>25</v>
      </c>
      <c r="P323" s="361" t="s">
        <v>69</v>
      </c>
      <c r="Q323" s="361" t="s">
        <v>64</v>
      </c>
      <c r="R323" s="376"/>
      <c r="S323" s="361" t="s">
        <v>5812</v>
      </c>
      <c r="T323" s="396" t="s">
        <v>5817</v>
      </c>
      <c r="U323" s="378" t="s">
        <v>5818</v>
      </c>
    </row>
    <row r="324" spans="1:21" x14ac:dyDescent="0.2">
      <c r="A324" s="223">
        <v>320</v>
      </c>
      <c r="B324" s="369">
        <v>45969</v>
      </c>
      <c r="C324" s="371">
        <v>45975</v>
      </c>
      <c r="D324" s="376" t="s">
        <v>125</v>
      </c>
      <c r="E324" s="376" t="s">
        <v>5819</v>
      </c>
      <c r="F324" s="362">
        <v>40466241</v>
      </c>
      <c r="G324" s="377" t="s">
        <v>4368</v>
      </c>
      <c r="H324" s="362" t="s">
        <v>5820</v>
      </c>
      <c r="I324" s="365" t="s">
        <v>41</v>
      </c>
      <c r="J324" s="361" t="s">
        <v>64</v>
      </c>
      <c r="K324" s="361" t="s">
        <v>65</v>
      </c>
      <c r="L324" s="376" t="s">
        <v>5821</v>
      </c>
      <c r="M324" s="376" t="s">
        <v>720</v>
      </c>
      <c r="N324" s="362">
        <v>985320347</v>
      </c>
      <c r="O324" s="372">
        <v>15</v>
      </c>
      <c r="P324" s="361" t="s">
        <v>69</v>
      </c>
      <c r="Q324" s="361" t="s">
        <v>64</v>
      </c>
      <c r="R324" s="376"/>
      <c r="S324" s="361" t="s">
        <v>5819</v>
      </c>
      <c r="T324" s="396" t="s">
        <v>5822</v>
      </c>
      <c r="U324" s="378" t="s">
        <v>5823</v>
      </c>
    </row>
    <row r="325" spans="1:21" x14ac:dyDescent="0.2">
      <c r="A325" s="223">
        <v>321</v>
      </c>
      <c r="B325" s="369">
        <v>45972</v>
      </c>
      <c r="C325" s="371">
        <v>46343</v>
      </c>
      <c r="D325" s="376" t="s">
        <v>187</v>
      </c>
      <c r="E325" s="376" t="s">
        <v>5824</v>
      </c>
      <c r="F325" s="362">
        <v>111000078</v>
      </c>
      <c r="G325" s="377" t="s">
        <v>4380</v>
      </c>
      <c r="H325" s="362" t="s">
        <v>5825</v>
      </c>
      <c r="I325" s="365" t="s">
        <v>41</v>
      </c>
      <c r="J325" s="361" t="s">
        <v>64</v>
      </c>
      <c r="K325" s="361" t="s">
        <v>65</v>
      </c>
      <c r="L325" s="376" t="s">
        <v>5826</v>
      </c>
      <c r="M325" s="376" t="s">
        <v>5827</v>
      </c>
      <c r="N325" s="362">
        <v>99255414</v>
      </c>
      <c r="O325" s="372">
        <v>25</v>
      </c>
      <c r="P325" s="361" t="s">
        <v>69</v>
      </c>
      <c r="Q325" s="361" t="s">
        <v>64</v>
      </c>
      <c r="R325" s="376"/>
      <c r="S325" s="361" t="s">
        <v>5824</v>
      </c>
      <c r="T325" s="396" t="s">
        <v>5828</v>
      </c>
      <c r="U325" s="378" t="s">
        <v>5829</v>
      </c>
    </row>
    <row r="326" spans="1:21" x14ac:dyDescent="0.2">
      <c r="A326" s="223">
        <v>322</v>
      </c>
      <c r="B326" s="369">
        <v>45971</v>
      </c>
      <c r="C326" s="371">
        <v>45978</v>
      </c>
      <c r="D326" s="376" t="s">
        <v>75</v>
      </c>
      <c r="E326" s="376" t="s">
        <v>5830</v>
      </c>
      <c r="F326" s="362">
        <v>114270004</v>
      </c>
      <c r="G326" s="377" t="s">
        <v>5831</v>
      </c>
      <c r="H326" s="362" t="s">
        <v>5832</v>
      </c>
      <c r="I326" s="365" t="s">
        <v>41</v>
      </c>
      <c r="J326" s="361" t="s">
        <v>64</v>
      </c>
      <c r="K326" s="361" t="s">
        <v>65</v>
      </c>
      <c r="L326" s="376" t="s">
        <v>5833</v>
      </c>
      <c r="M326" s="376" t="s">
        <v>1369</v>
      </c>
      <c r="N326" s="362">
        <v>999963945</v>
      </c>
      <c r="O326" s="372">
        <v>25</v>
      </c>
      <c r="P326" s="361" t="s">
        <v>69</v>
      </c>
      <c r="Q326" s="361" t="s">
        <v>64</v>
      </c>
      <c r="R326" s="376"/>
      <c r="S326" s="361" t="s">
        <v>5830</v>
      </c>
      <c r="T326" s="396" t="s">
        <v>5834</v>
      </c>
      <c r="U326" s="378" t="s">
        <v>5835</v>
      </c>
    </row>
  </sheetData>
  <phoneticPr fontId="24" type="noConversion"/>
  <hyperlinks>
    <hyperlink ref="U5" r:id="rId1" xr:uid="{08EC105E-FCAA-D44A-8B5D-FC8DF8B99D8F}"/>
    <hyperlink ref="U6" r:id="rId2" xr:uid="{647D77EA-D1DC-FA43-B650-8A8DB3BF053B}"/>
    <hyperlink ref="U7" r:id="rId3" xr:uid="{2F640DCF-7B40-A747-B14E-CD7987075113}"/>
    <hyperlink ref="U8" r:id="rId4" xr:uid="{509D92C8-8456-DC42-93F8-2CE5F1697E0C}"/>
    <hyperlink ref="U9" r:id="rId5" xr:uid="{D903FA1B-BDF1-CC45-A7DA-79A5B8B5AEE4}"/>
    <hyperlink ref="U10" r:id="rId6" xr:uid="{FD95CCCF-9202-0143-A996-58184E0F5BE5}"/>
    <hyperlink ref="U11" r:id="rId7" xr:uid="{18CF4C55-397F-2542-BB87-D39D87589712}"/>
    <hyperlink ref="U12" r:id="rId8" xr:uid="{594D35D8-4C68-4A4E-9CAA-E0E7849D2D8C}"/>
    <hyperlink ref="U13" r:id="rId9" xr:uid="{D62041C4-ABA8-4645-9C16-CDEE20000C6A}"/>
    <hyperlink ref="U14" r:id="rId10" xr:uid="{51E0EF9F-05CC-C347-9F4E-69FBDFAED2AC}"/>
    <hyperlink ref="U15" r:id="rId11" xr:uid="{B4419DAF-02B1-EF4C-9E0A-93B3AFB54527}"/>
    <hyperlink ref="U16" r:id="rId12" xr:uid="{74C5187A-7416-304A-B5A7-FE8176B6523F}"/>
    <hyperlink ref="U17" r:id="rId13" xr:uid="{2664A2AD-4101-114B-8372-96AA45C4F228}"/>
    <hyperlink ref="U18" r:id="rId14" xr:uid="{7AB949F0-948D-6641-A683-5705CDFD8037}"/>
    <hyperlink ref="U19" r:id="rId15" xr:uid="{9560CD83-9392-8B4F-A62C-B01ADDE13BF9}"/>
    <hyperlink ref="U20" r:id="rId16" xr:uid="{D965085E-1E40-B842-A6B8-C1A91A59AD94}"/>
    <hyperlink ref="U21" r:id="rId17" display="mailto:gustavobautista1988@hotmail.com" xr:uid="{AD40D3B1-8DDF-2F47-92DA-E718070B7F74}"/>
    <hyperlink ref="U22" r:id="rId18" display="mailto:oswaldo1958@yahoo.com" xr:uid="{F0D75E78-E1AC-4D48-9D78-C6EE5700D2BC}"/>
    <hyperlink ref="U23" r:id="rId19" display="mailto:a.azuayas@gmail.com" xr:uid="{81A8762B-51C0-9648-956F-D4743C916A15}"/>
    <hyperlink ref="U24" r:id="rId20" display="mailto:mauroulloa90@hotmail.com" xr:uid="{F6D5687C-094D-3342-818E-82FD4C2338C2}"/>
    <hyperlink ref="U25" r:id="rId21" display="mailto:gata_serrano@hotmail.com" xr:uid="{46A2EFC9-1A27-9A4B-8799-43057E001EB6}"/>
    <hyperlink ref="U26" r:id="rId22" display="mailto:patoarizaga13@gmail.com" xr:uid="{98130BAD-4607-DC4E-BE8A-1570B9FA5E2A}"/>
    <hyperlink ref="U27" r:id="rId23" display="mailto:mabel2.morocho@gmail.com" xr:uid="{0E8F0553-7F13-5242-AC00-8B78F2A9F8C8}"/>
    <hyperlink ref="U28" r:id="rId24" display="mailto:orellanaconstructores@hotmail.com" xr:uid="{DE29A95F-FCD1-F54E-9845-2BF8EB3ED966}"/>
    <hyperlink ref="U29" r:id="rId25" display="mailto:anicecyalba1957@gmail.com" xr:uid="{AAD3E4EF-C92D-CD45-BEB4-1ADA39B460AB}"/>
    <hyperlink ref="U30" r:id="rId26" display="mailto:jhonnathanmr@gmail.com" xr:uid="{C230FC68-81D4-8141-B176-FFE6926E20F1}"/>
    <hyperlink ref="U31" r:id="rId27" display="mailto:boodoko25@yahoo.com" xr:uid="{04641F30-B1BA-B243-8220-63CD90D9CBFD}"/>
    <hyperlink ref="U32" r:id="rId28" display="mailto:martinamiotto@gmail.com" xr:uid="{7544E470-78D6-7A44-ABEA-5BF662E73D1E}"/>
    <hyperlink ref="U33" r:id="rId29" display="mailto:veronica.ordo%C3%B1ez.a@gmail.com" xr:uid="{A1EE8D37-A2C8-B14B-82E0-13D0813F8DA2}"/>
    <hyperlink ref="U34" r:id="rId30" display="mailto:jonnathansba1200@gmail.com" xr:uid="{9CE75E53-E06E-7844-8C87-76CDFEAFF705}"/>
    <hyperlink ref="U35" r:id="rId31" display="mailto:distagrg@hotmail.com" xr:uid="{353CB85D-1755-E549-98E1-7F098C38F1CC}"/>
    <hyperlink ref="U36" r:id="rId32" display="mailto:mbarzallo65@hotmail.com" xr:uid="{FC5C9073-FF16-2E4E-B41C-0CB52B834F7E}"/>
    <hyperlink ref="U37" r:id="rId33" display="mailto:mriverol@hotmail.com" xr:uid="{4DE5D127-446F-D64F-923C-5BF7E4CC8603}"/>
    <hyperlink ref="U38" r:id="rId34" display="mailto:adrianaastudillo@hotmail.com" xr:uid="{FFE00394-3BC6-134C-BDE3-9BEF2A1824E2}"/>
    <hyperlink ref="U39" r:id="rId35" display="mailto:urgilescu@gmail.com" xr:uid="{7471C407-3303-F24D-9B9C-B6A4F0433498}"/>
    <hyperlink ref="U40" r:id="rId36" display="mailto:ronald.msg@outlook.com" xr:uid="{BB622A62-3F1B-6F4C-A4E6-B55AA1FC76AE}"/>
    <hyperlink ref="U41" r:id="rId37" display="mailto:kathisamis@gmail.com" xr:uid="{D5981EF7-A391-0440-AB2D-E6825972B5A3}"/>
    <hyperlink ref="U42" r:id="rId38" display="mailto:robertoburton@gmail.com" xr:uid="{FE57AA2F-2F3F-4842-8E0D-696BB7022AD8}"/>
    <hyperlink ref="U43" r:id="rId39" display="mailto:gabolr94@gmail.com" xr:uid="{76B2B134-7ECF-0741-9081-CBB051ACAFF1}"/>
    <hyperlink ref="U44" r:id="rId40" display="mailto:maferhidalgo73@hotmail.com" xr:uid="{BFB01D97-C0B7-0C47-87CD-28F5C4B96D33}"/>
    <hyperlink ref="U45" r:id="rId41" display="mailto:fabiancrespo16@gmail.com" xr:uid="{4823380C-5CBE-934D-9136-4BEDEBC9B711}"/>
    <hyperlink ref="U46" r:id="rId42" display="mailto:bayu1582@gmail.com" xr:uid="{F7559EC7-E31E-244B-B306-995E43C75637}"/>
    <hyperlink ref="U47" r:id="rId43" display="mailto:churostiti@hotmail.com" xr:uid="{2088EB72-36C4-5643-8C2B-6CD59B584891}"/>
    <hyperlink ref="U48" r:id="rId44" display="mailto:constructoraorellanaoficina@gmail.com" xr:uid="{B319951F-DCA8-E04E-ABB9-F70381EFD383}"/>
    <hyperlink ref="U49" r:id="rId45" display="mailto:juanpabloordonezf@gmail.com" xr:uid="{5E1ECD36-804F-1248-96C8-179180500690}"/>
    <hyperlink ref="U50" r:id="rId46" display="mailto:gracevelastestegui@yahoo.com" xr:uid="{A3F12C1C-C308-D342-B4F0-CB467434E101}"/>
    <hyperlink ref="U51" r:id="rId47" display="mailto:gynobs.sinai627@gmail.com" xr:uid="{30768738-ABE8-D44A-8549-72AB2DD6A060}"/>
    <hyperlink ref="U52" r:id="rId48" display="mailto:pablopacheco@gmail.com" xr:uid="{47EE1E2E-223A-E045-945C-22C33B074B14}"/>
    <hyperlink ref="U53" r:id="rId49" display="mailto:juandiegomora01@hotmail.com" xr:uid="{A2970A9D-26A0-6149-9D55-41428730141E}"/>
    <hyperlink ref="U54" r:id="rId50" display="mailto:sandrauyaguarit@gmail.com" xr:uid="{65086AB4-3814-5649-9A10-AE4D887BD01B}"/>
    <hyperlink ref="U55" r:id="rId51" display="mailto:max.bernal@ucuenca.edu.ec" xr:uid="{E9DA66EF-45D1-F340-8A10-A069FD380238}"/>
    <hyperlink ref="U56" r:id="rId52" display="mailto:gerencia@ecuatablet.com" xr:uid="{E698322E-37C1-1041-AF77-72A49DB47D3E}"/>
    <hyperlink ref="U57" r:id="rId53" display="mailto:maluti@hotmail.com" xr:uid="{B6961EB7-914F-2849-BC49-983845546F51}"/>
    <hyperlink ref="U58" r:id="rId54" display="mailto:soluciona@etapa.net.net" xr:uid="{31893C1C-F51D-9049-87C3-506C6C668C8D}"/>
    <hyperlink ref="U59" r:id="rId55" display="mailto:arrietasebastian@gmail.com" xr:uid="{F6F9EC6E-9450-2643-8C15-37CF93DC1BA8}"/>
    <hyperlink ref="U60" r:id="rId56" display="mailto:carlospozo85@hotmail.com" xr:uid="{FEE14B2D-FBC7-BB46-AE8E-CD8DEBD0D343}"/>
    <hyperlink ref="U61" r:id="rId57" display="mailto:panchofajardo@hotmail.com" xr:uid="{6C83C441-43C5-124D-8895-7979AFE885A7}"/>
    <hyperlink ref="U62" r:id="rId58" display="mailto:loresanche1970@outlook.com" xr:uid="{4BD626F4-E701-4440-AAE2-A8DAB77F9587}"/>
    <hyperlink ref="U63" r:id="rId59" display="mailto:sebastianmendietar@gmail.com" xr:uid="{0BF72A6B-BE59-4D44-A847-FF5F26FAED7A}"/>
    <hyperlink ref="U64" r:id="rId60" display="mailto:ligiacriollo112014@gmail.com" xr:uid="{03CDD1D7-4974-F649-9657-C42230F86A68}"/>
    <hyperlink ref="U65" r:id="rId61" display="mailto:julietajaramilloa@hotmail.com" xr:uid="{A1F45DA9-ED27-FA44-A798-A2219653CE6F}"/>
    <hyperlink ref="U66" r:id="rId62" display="mailto:cmaluna2018@gmail.com" xr:uid="{785AC809-815A-AB43-871F-A4BFE5B3B9E8}"/>
    <hyperlink ref="U67" r:id="rId63" display="mailto:americorodast@gmail.com" xr:uid="{9411C532-253A-9049-B4B9-9CB16D55478B}"/>
    <hyperlink ref="U68" r:id="rId64" display="mailto:josedavid.otavalo@gmail.com" xr:uid="{0814AB86-31A9-7B44-8F23-95EC115D61C9}"/>
    <hyperlink ref="U69" r:id="rId65" display="mailto:rrcb2009@hotmail.com" xr:uid="{D2868D17-1D1F-A64C-955C-B9A9A53B5DE9}"/>
    <hyperlink ref="U70" r:id="rId66" display="mailto:caroseadem@gmail.com" xr:uid="{39595E4E-AC41-6B47-9E98-D6C251503608}"/>
    <hyperlink ref="U71" r:id="rId67" display="mailto:blsura.83@gmail.com" xr:uid="{5036E285-EBBD-9B41-8F92-27F9EF077999}"/>
    <hyperlink ref="U72" r:id="rId68" xr:uid="{055B2044-4713-1347-9DA0-BFB4BA83BFEF}"/>
    <hyperlink ref="U73" r:id="rId69" xr:uid="{ADED28C2-3A37-7745-A6BD-C1A4128FBA71}"/>
    <hyperlink ref="U74" r:id="rId70" xr:uid="{39BBEE3F-32B1-9746-9BB5-D91072E73EAE}"/>
    <hyperlink ref="U75" r:id="rId71" xr:uid="{9AD98AE2-0D01-8B4A-93E8-B7AE4B85D947}"/>
    <hyperlink ref="U76" r:id="rId72" xr:uid="{D68B04F9-170F-5B4C-A704-3194F8FFD16B}"/>
    <hyperlink ref="U77" r:id="rId73" xr:uid="{8591B7AD-6D80-494E-9A29-F637890A0E0F}"/>
    <hyperlink ref="U78" r:id="rId74" xr:uid="{B129EBC5-6C1D-5B40-B250-BC947254AF3D}"/>
    <hyperlink ref="U79" r:id="rId75" xr:uid="{CC60909C-ADB3-F342-A9C8-91918A439478}"/>
    <hyperlink ref="U80" r:id="rId76" xr:uid="{13A3FE30-050C-BD49-B6EF-581DDC556CC4}"/>
    <hyperlink ref="U81" r:id="rId77" xr:uid="{D2D5C08A-1D4F-8F48-81F6-5B9462C4A551}"/>
    <hyperlink ref="U82" r:id="rId78" xr:uid="{9D718672-2505-7643-ABD7-4AFC3C840B19}"/>
    <hyperlink ref="U83" r:id="rId79" xr:uid="{5F5FA356-B21A-7C43-970F-BDD3ED285B13}"/>
    <hyperlink ref="U84" r:id="rId80" xr:uid="{53494BBD-12B3-F549-AEB0-92BC93431CF8}"/>
    <hyperlink ref="U85" r:id="rId81" xr:uid="{4A34F0AD-9351-9F4E-BFAD-78CA5F53F7B5}"/>
    <hyperlink ref="U86" r:id="rId82" xr:uid="{217495E0-F06A-D447-BB57-D46915DB1C01}"/>
    <hyperlink ref="U87" r:id="rId83" xr:uid="{AB949B93-E586-C944-BEEC-A69174E7A99A}"/>
    <hyperlink ref="U88" r:id="rId84" xr:uid="{826F4A52-68EA-9740-A663-91D961A12162}"/>
    <hyperlink ref="U89" r:id="rId85" xr:uid="{32F2E64F-930D-A543-902A-422CD92308A1}"/>
    <hyperlink ref="U90" r:id="rId86" xr:uid="{B0C924DB-1BE8-E548-B29D-97529A3DB46C}"/>
    <hyperlink ref="U91" r:id="rId87" xr:uid="{0085479A-AF73-C744-B44F-EFEA21BB5352}"/>
    <hyperlink ref="U92" r:id="rId88" xr:uid="{57EA037A-FDE5-1B45-935F-574864C7FFDD}"/>
    <hyperlink ref="U93" r:id="rId89" xr:uid="{DE5CCFB1-0AF4-E24D-83F7-728949F3C172}"/>
    <hyperlink ref="U94" r:id="rId90" xr:uid="{D961EE85-6AFF-5A4A-B520-728B25F7308A}"/>
    <hyperlink ref="U95" r:id="rId91" xr:uid="{88D66581-5F1D-4546-820D-0589044BF57E}"/>
    <hyperlink ref="U96" r:id="rId92" xr:uid="{8A6A8670-BFFF-DB49-AA0E-7C51EC042A30}"/>
    <hyperlink ref="U97" r:id="rId93" xr:uid="{77256615-9AE8-A744-A513-AC52F643AD4F}"/>
    <hyperlink ref="U98" r:id="rId94" xr:uid="{1824EB6A-C6E9-814E-AB25-7AEF02DC5113}"/>
    <hyperlink ref="U100" r:id="rId95" xr:uid="{6DA21537-9477-264B-B397-E90058662934}"/>
    <hyperlink ref="U99" r:id="rId96" xr:uid="{10678826-6866-B440-876B-944141602D6D}"/>
    <hyperlink ref="U101" r:id="rId97" xr:uid="{1FC70E69-2924-3A4B-9A16-0FF002E4F83E}"/>
    <hyperlink ref="U102" r:id="rId98" xr:uid="{290C2DD4-C125-4445-A002-E1FE1D627427}"/>
    <hyperlink ref="U103" r:id="rId99" xr:uid="{4744AE43-8ABF-F642-934E-B8DDB54A9FB2}"/>
    <hyperlink ref="U104" r:id="rId100" xr:uid="{DAADDAB5-6675-0147-B08A-775D6E3E5CCB}"/>
    <hyperlink ref="U105" r:id="rId101" xr:uid="{39076D25-8F9C-1B4F-AD62-48F89CAD2B16}"/>
    <hyperlink ref="U106" r:id="rId102" xr:uid="{D0C5A230-1A75-764D-ADE7-9DBA563AB603}"/>
    <hyperlink ref="U107" r:id="rId103" xr:uid="{131E1A2D-D821-8545-A08D-7A53107800F6}"/>
    <hyperlink ref="U108" r:id="rId104" xr:uid="{90806518-BC92-6B49-8AF8-D959A086762F}"/>
    <hyperlink ref="U109" r:id="rId105" xr:uid="{4D62F3EF-EA6B-B54C-BE8E-00DE62E4FC9A}"/>
    <hyperlink ref="U110" r:id="rId106" xr:uid="{BB54708A-022E-5544-B186-560B6DE493F6}"/>
    <hyperlink ref="U111" r:id="rId107" xr:uid="{F07E23D6-7DCB-A141-8375-50FB3DE0FC43}"/>
    <hyperlink ref="U112" r:id="rId108" xr:uid="{A03229A6-9E03-3A4D-A302-C28B2CA37AD7}"/>
    <hyperlink ref="U113" r:id="rId109" xr:uid="{D127F48C-8AFE-6949-B4A9-C030C7511160}"/>
    <hyperlink ref="U114" r:id="rId110" xr:uid="{EF1A3CA5-2AC8-0144-804A-F801F61A50EC}"/>
    <hyperlink ref="U115" r:id="rId111" xr:uid="{23F78AAB-18D4-D245-B7D1-BC43DB242FE1}"/>
    <hyperlink ref="U116" r:id="rId112" xr:uid="{9F2DAFEF-6260-3E4A-A06A-D8110E7D55D6}"/>
    <hyperlink ref="U117" r:id="rId113" xr:uid="{FB0CAEC5-3E75-FB48-843E-0B1DC2947BB8}"/>
    <hyperlink ref="U118" r:id="rId114" xr:uid="{3170C872-920D-4647-A793-6A4F0AC0E3D8}"/>
    <hyperlink ref="U120" r:id="rId115" xr:uid="{A0C23693-13B4-4B41-A0F8-071D0729009E}"/>
    <hyperlink ref="U121" r:id="rId116" xr:uid="{B80D2A5D-DA59-044A-A9F8-2C1ECF6D2293}"/>
    <hyperlink ref="U122" r:id="rId117" xr:uid="{04BE5C1B-AB65-6E44-AA82-CAD4E3568CF2}"/>
    <hyperlink ref="U123" r:id="rId118" xr:uid="{D7D062F8-23F4-714D-A6E4-378C1B282B2F}"/>
    <hyperlink ref="U124" r:id="rId119" xr:uid="{99A94061-5A9C-EB4C-A0E0-82B380E3814F}"/>
    <hyperlink ref="U125" r:id="rId120" xr:uid="{242BE442-BAF4-6C43-884B-2EB04F3A0D20}"/>
    <hyperlink ref="U126" r:id="rId121" xr:uid="{9AAE0200-7B4D-0947-B8F8-4E17670477EF}"/>
    <hyperlink ref="U127" r:id="rId122" xr:uid="{C39AF7BC-4F6B-C846-AB76-BE5DB29A1039}"/>
    <hyperlink ref="U128" r:id="rId123" xr:uid="{6E74BB4D-9C91-CA4B-A54B-A98B83144984}"/>
    <hyperlink ref="U129" r:id="rId124" xr:uid="{9DABE74B-A081-214F-B50C-F9AE4763C6FB}"/>
    <hyperlink ref="U130" r:id="rId125" xr:uid="{999D0AEE-0CEE-8E46-90F1-0A6AB0B86D38}"/>
    <hyperlink ref="U131" r:id="rId126" xr:uid="{7DFC9B6E-F1F3-2D4B-BA37-D737FD5881A8}"/>
    <hyperlink ref="U132" r:id="rId127" xr:uid="{A367A0CC-5AB3-7343-B40E-2978A4E259B2}"/>
    <hyperlink ref="U133" r:id="rId128" xr:uid="{42F23267-9C3F-A543-89FD-F40FF0E4B983}"/>
    <hyperlink ref="U135" r:id="rId129" xr:uid="{9C32C668-D412-F44D-86C7-7D34CB05C61B}"/>
    <hyperlink ref="U134" r:id="rId130" xr:uid="{2B99032D-2D8E-684B-BF63-FFEE7A01DBE5}"/>
    <hyperlink ref="U136" r:id="rId131" xr:uid="{4020EAEC-04CD-DD42-AF85-3714F23045D7}"/>
    <hyperlink ref="U137" r:id="rId132" xr:uid="{0282D469-805B-0247-A4FA-753511C32E06}"/>
    <hyperlink ref="U138" r:id="rId133" xr:uid="{711660D6-9E35-4B42-A002-098785A8AB05}"/>
    <hyperlink ref="U139" r:id="rId134" xr:uid="{370A4E24-0DDC-B948-BE23-09A5289E8EDC}"/>
    <hyperlink ref="U140" r:id="rId135" xr:uid="{A56E4C0A-CC98-3C49-955F-BDECA36C000B}"/>
    <hyperlink ref="U141" r:id="rId136" xr:uid="{3CB4F3F2-2230-5341-971F-28B3CC345315}"/>
    <hyperlink ref="U142" r:id="rId137" xr:uid="{580DBB12-9216-1A4F-9B2C-0CE36970DD1E}"/>
    <hyperlink ref="U143" r:id="rId138" xr:uid="{AD055BA4-E944-694B-80D7-3E80ADCFF300}"/>
    <hyperlink ref="U144" r:id="rId139" xr:uid="{2EA2837A-87D8-9D44-957A-E6F11C5A4AF7}"/>
    <hyperlink ref="U145" r:id="rId140" xr:uid="{D5871654-7F86-5F42-94F4-1ECF82642E93}"/>
    <hyperlink ref="U146" r:id="rId141" xr:uid="{8C59F57E-4F92-0744-901F-92682D56A79A}"/>
    <hyperlink ref="U147" r:id="rId142" xr:uid="{2859F9DF-5174-BF47-A9C9-9C5765DAD3C8}"/>
    <hyperlink ref="U148" r:id="rId143" xr:uid="{7F7C6D3D-0B9F-224B-9E62-57906916920F}"/>
    <hyperlink ref="U149" r:id="rId144" xr:uid="{16A23612-DFEA-A64C-8FF3-E9EB927C5132}"/>
    <hyperlink ref="U150" r:id="rId145" xr:uid="{6DBFFD7F-22B3-5649-8CBE-150450B58272}"/>
    <hyperlink ref="U151" r:id="rId146" xr:uid="{77580D31-DD95-CC41-9EA8-4049771A2812}"/>
    <hyperlink ref="U152" r:id="rId147" xr:uid="{44F81680-CA4E-D94D-BB1B-3E5539B78B4D}"/>
    <hyperlink ref="U153" r:id="rId148" xr:uid="{10A8ADC6-9618-8F42-9845-0EFD361103F7}"/>
    <hyperlink ref="U154" r:id="rId149" xr:uid="{70EC3EAA-17B6-374E-8228-A3B363653900}"/>
    <hyperlink ref="U155" r:id="rId150" xr:uid="{D29D688F-50A4-7C4A-93D1-12E6638C317E}"/>
    <hyperlink ref="U156" r:id="rId151" xr:uid="{896C3536-534E-954A-8FED-60C07F243EBA}"/>
    <hyperlink ref="U157" r:id="rId152" xr:uid="{89FDF52B-B1A1-0148-BA7A-72F27B94BE27}"/>
    <hyperlink ref="U158" r:id="rId153" xr:uid="{A75343EA-B78A-9647-9221-E358CC07079E}"/>
    <hyperlink ref="U159" r:id="rId154" xr:uid="{B8A5BF4E-F3E7-DF42-979D-0D9723A3BC7A}"/>
    <hyperlink ref="U160" r:id="rId155" xr:uid="{28354C8D-92BB-8E45-AA30-FEE6E291AF75}"/>
    <hyperlink ref="U161" r:id="rId156" xr:uid="{1EB63C85-3BDB-7E4C-B28E-22AE53BB3A7B}"/>
    <hyperlink ref="U162" r:id="rId157" xr:uid="{9317F49E-6A41-3440-A81E-635DB9F52ED2}"/>
    <hyperlink ref="U167" r:id="rId158" xr:uid="{ED639AB8-6BBA-4044-83B6-FF6EEE1477C3}"/>
    <hyperlink ref="U163" r:id="rId159" xr:uid="{BFF519B1-9ABB-A640-9E03-2C7CDDC3A719}"/>
    <hyperlink ref="U164" r:id="rId160" xr:uid="{A04DD5B9-6981-7A42-A9AD-3C51D927E161}"/>
    <hyperlink ref="U165" r:id="rId161" xr:uid="{F865E0DE-23A4-654F-9A6C-E913A01D8415}"/>
    <hyperlink ref="U166" r:id="rId162" xr:uid="{E86BC35F-E1EB-214C-AC1E-61F62F8ABF3D}"/>
    <hyperlink ref="U168" r:id="rId163" xr:uid="{EBC305CA-4C0B-754C-8899-40D63E8757B0}"/>
    <hyperlink ref="U169" r:id="rId164" xr:uid="{A71710C7-B54D-ED4A-A7E7-9A4E21FB8F0F}"/>
    <hyperlink ref="U170" r:id="rId165" xr:uid="{4ED89382-41CB-9E48-ADBC-144EAFD747A6}"/>
    <hyperlink ref="U171" r:id="rId166" xr:uid="{B96C4918-55CD-B146-857F-CE9EE957ED3A}"/>
    <hyperlink ref="U172" r:id="rId167" xr:uid="{F53842C1-EEC9-5D4D-BF3E-DAA59945C876}"/>
    <hyperlink ref="U173" r:id="rId168" xr:uid="{934E75F7-FAD0-6D49-BF19-1728393FEF51}"/>
    <hyperlink ref="U174" r:id="rId169" xr:uid="{42E68D3F-4FA6-1B49-AE93-124953613A9C}"/>
    <hyperlink ref="U175" r:id="rId170" xr:uid="{42E23015-68D2-9845-B4B2-2C44D8BA3F96}"/>
    <hyperlink ref="U176" r:id="rId171" xr:uid="{C5E9CF6B-EF85-0744-B36C-84F131E3E0D3}"/>
    <hyperlink ref="U177" r:id="rId172" xr:uid="{F11CB83D-37F9-A14A-BFE9-F03BE8FC5919}"/>
    <hyperlink ref="U178" r:id="rId173" xr:uid="{845A38C2-BFC7-1349-8FFB-2D08156EC436}"/>
    <hyperlink ref="U179" r:id="rId174" xr:uid="{093E33F3-EBC5-6F43-8154-9077C3E53C7E}"/>
    <hyperlink ref="U180" r:id="rId175" xr:uid="{85CE1A25-B4E9-744D-947E-1363400D6732}"/>
    <hyperlink ref="U181" r:id="rId176" xr:uid="{8F862539-A64D-5A4F-A343-516E65E95F8F}"/>
    <hyperlink ref="U182" r:id="rId177" xr:uid="{37D93A0F-0AC3-FA4E-AB92-B11641FC7C78}"/>
    <hyperlink ref="U183" r:id="rId178" xr:uid="{2AAFB215-9A04-2548-BB14-FAFAC379E3AC}"/>
    <hyperlink ref="U184" r:id="rId179" xr:uid="{D68A3472-F840-B347-B41D-B27B50E2A486}"/>
    <hyperlink ref="U185" r:id="rId180" xr:uid="{B223F8B2-3DF1-904C-9C9B-9692E6F056E5}"/>
    <hyperlink ref="U186" r:id="rId181" xr:uid="{74F26509-43B3-134A-B688-DA38628E6FB9}"/>
    <hyperlink ref="U187" r:id="rId182" xr:uid="{31FCE6E8-CC2D-3D41-AD5A-1A08A6B588B4}"/>
    <hyperlink ref="U188" r:id="rId183" xr:uid="{D3239078-4B73-BC43-8382-73538CA3EF5F}"/>
    <hyperlink ref="U189" r:id="rId184" xr:uid="{A03DEC08-EA02-1F41-A376-8863B8F91FAB}"/>
    <hyperlink ref="U190" r:id="rId185" xr:uid="{AE138A3D-8BDD-6F43-B3F2-489754B5C3F8}"/>
    <hyperlink ref="U191" r:id="rId186" xr:uid="{575230A7-90C3-CA47-89CA-C1E08C6F283F}"/>
    <hyperlink ref="U192" r:id="rId187" xr:uid="{AC2FD31A-4B6F-3841-AB0A-FBA0E3251704}"/>
    <hyperlink ref="U193" r:id="rId188" xr:uid="{6347A9C7-C1C4-5341-A8BF-C5D9CDA71828}"/>
    <hyperlink ref="U194" r:id="rId189" xr:uid="{1FE51EE9-E86C-5B4B-860A-358C2FA9CE9D}"/>
    <hyperlink ref="U195" r:id="rId190" xr:uid="{94F1144C-C9E9-8440-9C54-DDE9D71B9671}"/>
    <hyperlink ref="U196" r:id="rId191" xr:uid="{D5B8C6AE-11AA-FA47-884F-D13AB8199773}"/>
    <hyperlink ref="U197" r:id="rId192" xr:uid="{0E9BF0C9-C95E-DB43-B91A-409FAFB3BA7F}"/>
    <hyperlink ref="U198" r:id="rId193" xr:uid="{4FB97AF9-42C4-B945-A118-1D6CA782FEFF}"/>
    <hyperlink ref="U199" r:id="rId194" xr:uid="{E159F1C1-9DCF-4D47-A3F2-911D30001CDE}"/>
    <hyperlink ref="U200" r:id="rId195" xr:uid="{2A00B1F3-581A-954E-8C91-5E52FD54DC55}"/>
    <hyperlink ref="U201" r:id="rId196" xr:uid="{D1093431-B8EA-9943-A32D-4EE85CF9B6A9}"/>
    <hyperlink ref="U202" r:id="rId197" xr:uid="{8590B6C2-E2B9-0145-A73C-F8F21CA611CD}"/>
    <hyperlink ref="U204" r:id="rId198" xr:uid="{C1E8B1D4-6A18-2242-8FB9-F22011E58F9A}"/>
    <hyperlink ref="U205" r:id="rId199" xr:uid="{4CAF72A5-830F-AD45-88A1-8E189906AC98}"/>
    <hyperlink ref="U206" r:id="rId200" xr:uid="{C8BE91A9-0FEF-C546-91C3-177DA5FF7DBB}"/>
    <hyperlink ref="U207" r:id="rId201" xr:uid="{05E95077-584B-F142-84FD-FBAE6C172FE1}"/>
    <hyperlink ref="U208" r:id="rId202" xr:uid="{6714B1AC-1114-A84A-9846-90B42C6CA3B8}"/>
    <hyperlink ref="U210" r:id="rId203" xr:uid="{CDF2953E-88EB-CE46-8C20-1E7C02FA9F56}"/>
    <hyperlink ref="U211" r:id="rId204" xr:uid="{90FF349C-9F54-C946-B156-582AD4FC535A}"/>
    <hyperlink ref="U212" r:id="rId205" xr:uid="{67D51E7E-6B79-094F-B94E-7B0A8DAD9A16}"/>
    <hyperlink ref="U213" r:id="rId206" xr:uid="{DA64FD27-8EED-1F42-AE86-EA08CD43E957}"/>
    <hyperlink ref="U214" r:id="rId207" xr:uid="{E961D0CB-445D-3740-A4B7-7BF1F827E3F3}"/>
    <hyperlink ref="U209" r:id="rId208" xr:uid="{E035716A-560D-1E44-B7F0-D001263B669F}"/>
    <hyperlink ref="U215" r:id="rId209" display="mailto:CRISMORALES@GMAIL.COM" xr:uid="{E7BE9AB7-E263-DF46-8B40-E28D556C073C}"/>
    <hyperlink ref="U216" r:id="rId210" display="mailto:FELIZBRITO660@GMAIL.COM" xr:uid="{A73CD620-9980-4E43-AAB2-20B6A6244D7B}"/>
    <hyperlink ref="U217" r:id="rId211" display="mailto:TAMY252930@HOTMAIL.COM" xr:uid="{3F811582-C0F3-ED48-A68F-B0075539B622}"/>
    <hyperlink ref="U218" r:id="rId212" display="mailto:PAZREYESCORDERO@HOTMAIL.COM" xr:uid="{83FBF66E-AD8D-F04B-9084-52306E4A2CEF}"/>
    <hyperlink ref="U219" r:id="rId213" display="mailto:SEBESTIANCALVACHE98@GMAIL.COM" xr:uid="{8363889D-25E7-DC41-BA2C-CBC827C9E227}"/>
    <hyperlink ref="U220" r:id="rId214" display="mailto:SUSANAURENA20@GMAIL.COM" xr:uid="{835814DE-88E1-9A45-A144-02BE89B574BA}"/>
    <hyperlink ref="U221" r:id="rId215" display="mailto:MONICACALLEJ.CPA@GMAIL.COM" xr:uid="{CEAB9408-9323-3D44-915F-E3B2DFED6C7B}"/>
    <hyperlink ref="U222" r:id="rId216" display="mailto:DAVICHO0115@GMAIL.COM" xr:uid="{93D21307-F178-1E4C-A072-7B4DDE2F3552}"/>
    <hyperlink ref="U223" r:id="rId217" display="mailto:SOLESOCT58@GMAIL.COM" xr:uid="{8DE1F18D-2B13-7044-880B-581DF1F9A02E}"/>
    <hyperlink ref="U224" r:id="rId218" display="mailto:VERITOPURUNCAJAS@HOTMAIL.COM" xr:uid="{D43E7EF9-0F7B-0243-8F36-4723A30BB8DA}"/>
    <hyperlink ref="U225" r:id="rId219" display="mailto:LADY_TAPIA@HOTMAIL.COM" xr:uid="{80F60FD2-39F8-B744-BBB7-3552754ADB32}"/>
    <hyperlink ref="U226" r:id="rId220" display="mailto:NAYIALCALA@GMAIL.COM" xr:uid="{4D0506E4-48B7-D344-A719-6EE17AD45015}"/>
    <hyperlink ref="U227" r:id="rId221" display="mailto:TJTORRES.TJ7@GMAIL.COM" xr:uid="{1E067D85-FEFA-C34A-BDCA-49F0AF1F07C8}"/>
    <hyperlink ref="U228" r:id="rId222" display="mailto:FERNANDODELGADO54@YAHOO.COM" xr:uid="{E9183CA7-F874-1F47-878D-3BFE83B906B3}"/>
    <hyperlink ref="U229" r:id="rId223" display="mailto:XSERPENTEGUI@GMAIL.COM" xr:uid="{53191696-F68D-8B45-9D52-AD7E090602DF}"/>
    <hyperlink ref="U230" r:id="rId224" display="mailto:GLADYSLORENA32@GMAIL.COM" xr:uid="{833864D0-DE6C-C648-B49C-0009380BD347}"/>
    <hyperlink ref="U231" r:id="rId225" display="mailto:ROUSZAMBRANO@HOTMAIL.COM" xr:uid="{127D2194-EE8B-7743-BDEF-C8CC66BDB5F7}"/>
    <hyperlink ref="U232" r:id="rId226" display="mailto:VEROARPI@HOTMAIL.COM" xr:uid="{42EF6868-CB36-E446-B268-0C84A449AE90}"/>
    <hyperlink ref="U234" r:id="rId227" display="mailto:GCORDEROP.28@HOTMAIL.COM" xr:uid="{9A521F4D-1925-1B43-97D2-F5701FA86E0A}"/>
    <hyperlink ref="U235" r:id="rId228" display="mailto:MINIHANGQV@HOTMAIL.COM" xr:uid="{36064DDC-4357-6B45-ACBB-00F9A9B8EE37}"/>
    <hyperlink ref="U237" r:id="rId229" display="mailto:DIEGO.CG78@HOTMAIL.COM" xr:uid="{1F4EA47E-33ED-0744-9976-138660BEAD36}"/>
    <hyperlink ref="U238" r:id="rId230" display="mailto:GABYLOJA@HOTMAIL.COM" xr:uid="{99FC831E-459C-B24F-A1B2-9A2664B11062}"/>
    <hyperlink ref="U239" r:id="rId231" display="mailto:SEBASAUQUILLA@GMAIL.COM" xr:uid="{ECC26358-18C7-DF4A-BD79-BE3E46878833}"/>
    <hyperlink ref="U240" r:id="rId232" display="mailto:ptorrest@hotmail.com" xr:uid="{00811C40-9F49-7C48-81A7-A0C24AE96213}"/>
    <hyperlink ref="U242" r:id="rId233" display="mailto:ORELLANACONSTRUCTORES@HOTMAIL.COM" xr:uid="{4D01540D-38C1-9041-A718-FEC7030B806B}"/>
    <hyperlink ref="U243" r:id="rId234" display="mailto:MARYPAOLA55@HOTMAIL.COM," xr:uid="{73DC2A9F-B59F-D545-BE0A-E7E4C824E1D4}"/>
    <hyperlink ref="U244" r:id="rId235" display="mailto:MARTHAMONTENEGRO14@HOTMAIL.COM" xr:uid="{68383A21-0C34-C34D-955C-B5056EFB88C5}"/>
    <hyperlink ref="U245" r:id="rId236" display="mailto:FIDELIAANOS25@YAHOO.ES" xr:uid="{79596829-07FC-084B-87C8-D6EEE16D2483}"/>
    <hyperlink ref="U246" r:id="rId237" display="mailto:JUBSTSYE@GMAIL.COM" xr:uid="{34E0D6C6-D231-AB48-A953-06633AFE59D0}"/>
    <hyperlink ref="U247" r:id="rId238" display="mailto:XLULIAN33@GMAIL.COM" xr:uid="{2EF5E49F-6589-0446-8DD2-809C12335541}"/>
    <hyperlink ref="U250" r:id="rId239" display="mailto:0102929418@GMAIL.COM" xr:uid="{05F31B60-0581-2D47-A75E-D2A4F61409C9}"/>
    <hyperlink ref="U251" r:id="rId240" display="mailto:JUANPPINTADO@GMAIL.COM" xr:uid="{DACFAEDD-75FE-1442-B97B-C59C615CAC8B}"/>
    <hyperlink ref="U252" r:id="rId241" display="mailto:CLAUDIO2564@HOTMAIL.COM" xr:uid="{C3723645-3B72-6C40-9492-9271FAB8CD72}"/>
    <hyperlink ref="U253" r:id="rId242" display="mailto:BARROS.ARIZAGA@GMAIL.COM" xr:uid="{11811142-E2B4-B341-A9D1-40B73AD40EEE}"/>
    <hyperlink ref="U254" r:id="rId243" display="mailto:NACHIREYES@ICLOUD.COM" xr:uid="{76A45344-ED06-AA48-97EF-61E286F61937}"/>
    <hyperlink ref="U255" r:id="rId244" display="mailto:FD8964@GMAIL.COM" xr:uid="{43CA7B2E-82D1-1E46-BA13-A4694FE1CB14}"/>
    <hyperlink ref="U256" r:id="rId245" display="mailto:PEM_FLACK15@HOTMAIL.COM" xr:uid="{964F894C-E4AB-6047-8A92-CB8CF439928B}"/>
    <hyperlink ref="U257" r:id="rId246" display="mailto:PEM_FLACK15@HOTMAIL.COM" xr:uid="{1475BE8D-67FC-414D-B9E9-655B6FFA74FB}"/>
    <hyperlink ref="U258" r:id="rId247" xr:uid="{7D6F53AE-F125-2F48-8009-401B7EC9C3C1}"/>
    <hyperlink ref="U259" r:id="rId248" xr:uid="{A17A9036-714C-1144-9DC5-CFCC09B7651C}"/>
    <hyperlink ref="U260" r:id="rId249" xr:uid="{9387AB6D-0542-2748-A1F9-F31B3A8A433E}"/>
    <hyperlink ref="U261" r:id="rId250" xr:uid="{ADE4DF11-8B64-494C-A851-1AB8D81519A9}"/>
    <hyperlink ref="U262" r:id="rId251" xr:uid="{E942EF1A-EF46-1741-88C9-ABAF81390D99}"/>
    <hyperlink ref="U263" r:id="rId252" xr:uid="{F1FEE600-7B5F-6344-9993-97E66408419B}"/>
    <hyperlink ref="U264" r:id="rId253" xr:uid="{68DB88A6-1B0C-244F-82CC-E034CB191D78}"/>
    <hyperlink ref="U265" r:id="rId254" xr:uid="{514A5D59-89AA-AD4B-BC9D-E86171920AA1}"/>
    <hyperlink ref="U266" r:id="rId255" xr:uid="{9A69E36B-DEEF-9441-B2D7-766CB17A2C66}"/>
    <hyperlink ref="U267" r:id="rId256" xr:uid="{88291FA4-74DF-F740-B86F-0703EB0E1D17}"/>
    <hyperlink ref="U268" r:id="rId257" xr:uid="{6D5B1E7E-A285-6043-AE5D-6DE23C228BD5}"/>
    <hyperlink ref="U269" r:id="rId258" xr:uid="{18069BBB-38D0-5B4B-B58A-FD6DEDAE9E5F}"/>
    <hyperlink ref="U270" r:id="rId259" xr:uid="{C0B7A7DD-9592-6244-A70C-47F24CAE01BD}"/>
    <hyperlink ref="U271" r:id="rId260" xr:uid="{37F28438-E3F5-1B4C-A944-CC846F6D2A34}"/>
    <hyperlink ref="U272" r:id="rId261" xr:uid="{0E702912-7432-B141-B2CA-54FAEA9560DD}"/>
    <hyperlink ref="U273" r:id="rId262" xr:uid="{B147DAE6-C5C2-744F-A0E9-630844CB73B6}"/>
    <hyperlink ref="U274" r:id="rId263" xr:uid="{DF1E3971-76D1-9944-BDAC-3A632F0A46EB}"/>
    <hyperlink ref="U275" r:id="rId264" xr:uid="{8C02DA8C-31AF-FD4D-A949-AAC98B18A50E}"/>
    <hyperlink ref="U276" r:id="rId265" xr:uid="{7650BF7C-A0CA-FD4D-8D1E-3055AC722614}"/>
    <hyperlink ref="U277" r:id="rId266" xr:uid="{C6AF0DC9-6A26-D54C-A89F-840C3BDD9DF5}"/>
    <hyperlink ref="U278" r:id="rId267" xr:uid="{2442345A-CE1C-0C46-BBFD-E5F334A88AD7}"/>
    <hyperlink ref="U279" r:id="rId268" xr:uid="{2AB1D7FE-CF0E-6B45-B18B-8AEEA7BBAF36}"/>
    <hyperlink ref="U280" r:id="rId269" xr:uid="{7F205F95-FA21-F440-9F17-B804114EF111}"/>
    <hyperlink ref="U281" r:id="rId270" xr:uid="{A8E1BF2C-FC07-7F44-8FBC-B21CE909C5E9}"/>
    <hyperlink ref="U282" r:id="rId271" xr:uid="{450CE4BF-40BF-0644-8824-ED8025137C7C}"/>
    <hyperlink ref="U283" r:id="rId272" xr:uid="{64ACC850-C498-A848-AD22-D1828093086B}"/>
    <hyperlink ref="U284" r:id="rId273" xr:uid="{9DB07CF2-31F6-2B4E-B99A-15968A57D4BD}"/>
    <hyperlink ref="U285" r:id="rId274" xr:uid="{F7C4458F-052B-A54E-8250-3B2EF34C44EC}"/>
    <hyperlink ref="U286" r:id="rId275" xr:uid="{2355E5A8-9B09-0447-9207-7E4586143FEC}"/>
    <hyperlink ref="U287" r:id="rId276" xr:uid="{38082D1D-95C5-A448-AB0E-D5169C13DA63}"/>
    <hyperlink ref="U288" r:id="rId277" xr:uid="{BC294812-DC3A-F24B-A7D6-CBF5A9A5ECE1}"/>
    <hyperlink ref="U289" r:id="rId278" xr:uid="{C5D7011C-7585-9E40-AC38-A71912B2E225}"/>
    <hyperlink ref="U290" r:id="rId279" xr:uid="{A4B40313-BB50-D945-9DA9-983266D690BB}"/>
    <hyperlink ref="U291" r:id="rId280" xr:uid="{5CB6E846-66C9-3441-93B1-A8E97F94F343}"/>
    <hyperlink ref="U292" r:id="rId281" xr:uid="{D38EF00E-60CE-1648-84EC-EC256B2ED278}"/>
    <hyperlink ref="U293" r:id="rId282" xr:uid="{A2788AF1-DF69-8D40-B674-D2DDDEB99E60}"/>
    <hyperlink ref="U294" r:id="rId283" display="mailto:VICTOR.PALACIOS@OUTLLOK.COM" xr:uid="{05C9F0CB-3A78-2045-93DE-02887A4BFA12}"/>
    <hyperlink ref="U295" r:id="rId284" display="mailto:MCASTRO@HOTELOROVERDE.COM" xr:uid="{897C2132-EE68-3A49-88B8-615DB97F18E9}"/>
    <hyperlink ref="U296" r:id="rId285" display="mailto:MARCETORLA@YAHOO.COM" xr:uid="{27FEFA90-9BD2-AA42-A5D1-120F8086DA39}"/>
    <hyperlink ref="U297" r:id="rId286" display="mailto:FERALVARADOP@HOTMAIL.COM" xr:uid="{9C7E1967-2BBD-0148-B01E-30C958ED5A63}"/>
    <hyperlink ref="U298" r:id="rId287" display="mailto:PATTYCAZORLA@HOTMAIL.COM" xr:uid="{2E8332AD-6984-5B4A-80A6-665536A6D082}"/>
    <hyperlink ref="U299" r:id="rId288" display="mailto:FMARCHANG-30@HOTMAIL.COM" xr:uid="{98669A34-9957-E444-88B4-E01D4D30FCBE}"/>
    <hyperlink ref="U300" r:id="rId289" display="mailto:DIEGOALCO@YAHOO.COM" xr:uid="{681BD2A6-7400-254B-A081-95ABBEE824A6}"/>
    <hyperlink ref="U301" r:id="rId290" display="mailto:SSEGARRA@ETAPA.NET.EC" xr:uid="{E4588482-0438-1041-9E20-00D19CECBA51}"/>
    <hyperlink ref="U302" r:id="rId291" display="mailto:PCAZORLACH@GMAIL.COM" xr:uid="{F8632303-86FC-224D-AC6E-6BFA9CC5DE5F}"/>
    <hyperlink ref="U303" r:id="rId292" display="mailto:PEZVACAB@HOTMAIL.COM" xr:uid="{5EF73633-BEB7-664D-B926-A8E8A66C15FF}"/>
    <hyperlink ref="U304" r:id="rId293" display="mailto:CECERESBAIXERAS@GMAIL.COM" xr:uid="{31EAEF51-7FCE-234A-8B05-7C779CF2AA39}"/>
    <hyperlink ref="U305" r:id="rId294" display="mailto:MIALTO53@HOTMAIL.COM" xr:uid="{884BC247-1B6F-9D41-AC47-95F85868DC88}"/>
    <hyperlink ref="U306" r:id="rId295" display="mailto:BERNICR@HOTMAIL.COM" xr:uid="{047489FA-F0AE-D140-86C3-31B68EB817E6}"/>
    <hyperlink ref="U307" r:id="rId296" display="mailto:FABRICIOTENESACA@PACAJEAN.COM" xr:uid="{9116285A-88A8-1244-9ABB-76E9C27985D7}"/>
    <hyperlink ref="U308" r:id="rId297" display="mailto:ALIV.SOS@HOTMAIL.COM" xr:uid="{6AD1CCB6-AE68-A949-89D9-2DE573ABFD00}"/>
    <hyperlink ref="U309" r:id="rId298" display="mailto:HERNANDEZISMAEL28@HOTMAIL.COM" xr:uid="{5DB27158-8587-B04D-B03A-BBEBF9E9A418}"/>
    <hyperlink ref="U311" r:id="rId299" display="mailto:VERONICAORDEN@GMAIL.COM" xr:uid="{F527C7C8-7E6D-744B-AA3A-C77730BB6DFE}"/>
    <hyperlink ref="U312" r:id="rId300" display="mailto:LORENA.ANDRADEGI@GMAIL.COM" xr:uid="{E3F74F4A-92A9-7046-84CC-26A6A084E8CD}"/>
    <hyperlink ref="U313" r:id="rId301" display="mailto:PAULESJILA@GMAIL.COM" xr:uid="{F4F48929-9A0F-8547-B16C-6F08E89E8063}"/>
    <hyperlink ref="U314" r:id="rId302" display="mailto:NELITORRES273@GMAIL.COM" xr:uid="{DFEF441F-CEEE-214F-85B5-3CBE55230FBF}"/>
    <hyperlink ref="U316" r:id="rId303" display="mailto:TAFANYVIDAL11@GMAIL.COM" xr:uid="{BFD3D732-D793-B148-B8C9-74F3EB55C124}"/>
    <hyperlink ref="U317" r:id="rId304" display="mailto:MONICAJUELA@GMAIL.COM" xr:uid="{7113540D-ABC2-3642-9774-1577721330CC}"/>
    <hyperlink ref="U318" r:id="rId305" display="mailto:PATRICIAAGUIRRE87@HOTMAIL.COM" xr:uid="{162DC151-F7DC-5241-83E1-3B08814C0AB2}"/>
    <hyperlink ref="U319" r:id="rId306" display="mailto:CRISLIT77@GMAIL.COM" xr:uid="{FF56CBDA-2CAD-1142-9197-9311F3578D03}"/>
    <hyperlink ref="U320" r:id="rId307" display="mailto:PANCHOCALLE01@GMAIL.COM" xr:uid="{439DED63-C15F-C741-9075-4F4CCBEA736F}"/>
    <hyperlink ref="U321" r:id="rId308" display="mailto:MATIASFRANCISGUETTI@GMAIL.COM" xr:uid="{2072BE35-9681-B248-957A-529B3F435A4D}"/>
    <hyperlink ref="U322" r:id="rId309" display="mailto:ONCOCHOP196@GMAIL.COM" xr:uid="{C5D09E35-990D-1749-B473-BBA9EE44F1B5}"/>
    <hyperlink ref="U323" r:id="rId310" display="mailto:CNSCOSMORA96@GMAIL.COM" xr:uid="{77238AD8-B82C-DE48-A107-6040F41D471F}"/>
    <hyperlink ref="U324" r:id="rId311" display="mailto:NUBEJIMENEZ93@HOTMAIL.COM" xr:uid="{26A80618-D1DD-5F43-B602-96046C49CD3C}"/>
    <hyperlink ref="U325" r:id="rId312" display="mailto:OJONA1959@GMAIL.COM" xr:uid="{22C829EB-739F-2746-B7FC-64C1C2AEC267}"/>
    <hyperlink ref="U326" r:id="rId313" display="mailto:MANESSERRANO@HOTMAIL.COM" xr:uid="{BDFCE569-5732-D248-AC45-BABC48615A48}"/>
  </hyperlinks>
  <pageMargins left="0.7" right="0.7" top="0.75" bottom="0.75" header="0.3" footer="0.3"/>
  <pageSetup paperSize="9" orientation="portrait" horizontalDpi="0" verticalDpi="0" r:id="rId3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PROMOCION</vt:lpstr>
      <vt:lpstr>GARANTIA</vt:lpstr>
      <vt:lpstr>BBQ</vt:lpstr>
      <vt:lpstr>ALMACENES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2025-11-28T21:53:50Z</dcterms:modified>
</cp:coreProperties>
</file>