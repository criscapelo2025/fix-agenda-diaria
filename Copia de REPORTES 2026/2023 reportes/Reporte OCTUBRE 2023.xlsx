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activeTab="5"/>
  </bookViews>
  <sheets>
    <sheet name="ALMACEN" sheetId="1" r:id="rId1"/>
    <sheet name="BBQ" sheetId="2" r:id="rId2"/>
    <sheet name="1 PRODUCTO" sheetId="3" r:id="rId3"/>
    <sheet name="PROMOCION" sheetId="4" r:id="rId4"/>
    <sheet name="GARANTIAS" sheetId="5" r:id="rId5"/>
    <sheet name="CONSOLIDADO" sheetId="6" r:id="rId6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5" l="1"/>
  <c r="J25" i="5"/>
  <c r="O50" i="4"/>
  <c r="J20" i="5" l="1"/>
  <c r="O7" i="1"/>
</calcChain>
</file>

<file path=xl/sharedStrings.xml><?xml version="1.0" encoding="utf-8"?>
<sst xmlns="http://schemas.openxmlformats.org/spreadsheetml/2006/main" count="1633" uniqueCount="437">
  <si>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</si>
  <si>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</si>
  <si>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</si>
  <si>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</si>
  <si>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</si>
  <si>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</si>
  <si>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</si>
  <si>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</si>
  <si>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</si>
  <si>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</si>
  <si>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</si>
  <si>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</si>
  <si>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</si>
  <si>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</si>
  <si>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</si>
  <si>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</si>
  <si>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</si>
  <si>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</si>
  <si>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</si>
  <si>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</si>
  <si>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</si>
  <si>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</si>
  <si>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Excibicion</t>
  </si>
  <si>
    <t>Correo</t>
  </si>
  <si>
    <t>Capelo</t>
  </si>
  <si>
    <t>SAP</t>
  </si>
  <si>
    <t>BBQ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</si>
  <si>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</si>
  <si>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</si>
  <si>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</si>
  <si>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</si>
  <si>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</si>
  <si>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</si>
  <si>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</si>
  <si>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</si>
  <si>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</si>
  <si>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</si>
  <si>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</si>
  <si>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</si>
  <si>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</si>
  <si>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</si>
  <si>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</si>
  <si>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</si>
  <si>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</si>
  <si>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</si>
  <si>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PROMOCION</t>
  </si>
  <si>
    <t>Cliente final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</si>
  <si>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</si>
  <si>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</si>
  <si>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</si>
  <si>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</si>
  <si>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</si>
  <si>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</si>
  <si>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</si>
  <si>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</si>
  <si>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</si>
  <si>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</si>
  <si>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</si>
  <si>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</si>
  <si>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</si>
  <si>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</si>
  <si>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</si>
  <si>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telefono del cliente</t>
  </si>
  <si>
    <t xml:space="preserve">Clientes Visitados </t>
  </si>
  <si>
    <t xml:space="preserve">FECHA </t>
  </si>
  <si>
    <t>LUGAR</t>
  </si>
  <si>
    <t>CÓDIGO</t>
  </si>
  <si>
    <t xml:space="preserve"> NUMERO </t>
  </si>
  <si>
    <t xml:space="preserve">CLIENTE </t>
  </si>
  <si>
    <t>DIRECCIÓN</t>
  </si>
  <si>
    <t>TELÉFONO</t>
  </si>
  <si>
    <t xml:space="preserve">ASUNTO </t>
  </si>
  <si>
    <t>ESTADO</t>
  </si>
  <si>
    <t xml:space="preserve">DE </t>
  </si>
  <si>
    <t>DE</t>
  </si>
  <si>
    <t>GARANTÍA</t>
  </si>
  <si>
    <t>SERIE</t>
  </si>
  <si>
    <t>Vr.</t>
  </si>
  <si>
    <t>CORREO</t>
  </si>
  <si>
    <t>CEDULA</t>
  </si>
  <si>
    <t>OBSERVACIONES</t>
  </si>
  <si>
    <t>COMPRA</t>
  </si>
  <si>
    <t>ADHESIVO</t>
  </si>
  <si>
    <t>LLAMADA</t>
  </si>
  <si>
    <t>Instalado</t>
  </si>
  <si>
    <t>CUENCA</t>
  </si>
  <si>
    <t>TEKA</t>
  </si>
  <si>
    <t>Cocinas</t>
  </si>
  <si>
    <t>Microondas</t>
  </si>
  <si>
    <t>Llamada Almacen</t>
  </si>
  <si>
    <t>SEPTIEMBRE 2023</t>
  </si>
  <si>
    <t>Técnico:  Cristian Capelo</t>
  </si>
  <si>
    <t>kywi</t>
  </si>
  <si>
    <t>Kywi</t>
  </si>
  <si>
    <t>Av Gil Ramirez Davalos</t>
  </si>
  <si>
    <t>De Christian Capelo</t>
  </si>
  <si>
    <t>SC196T01023</t>
  </si>
  <si>
    <t>Nancy Chumbay</t>
  </si>
  <si>
    <t>Campana DVF 97670 TBL BK</t>
  </si>
  <si>
    <t>FB13500131</t>
  </si>
  <si>
    <t>Octubre</t>
  </si>
  <si>
    <t>CAPELO OCTUBRE  2023</t>
  </si>
  <si>
    <t>CAPELO - OCTUBRE 2023</t>
  </si>
  <si>
    <t>Al 20 de Octubre del 2023</t>
  </si>
  <si>
    <t>CAPELO Octubre 2023</t>
  </si>
  <si>
    <t>Cedula</t>
  </si>
  <si>
    <t xml:space="preserve">TBBQ 4100 </t>
  </si>
  <si>
    <t>CO225R00579</t>
  </si>
  <si>
    <t>CO225R00790</t>
  </si>
  <si>
    <t>001-500-000055776</t>
  </si>
  <si>
    <t>Cocina GBC 95030 KBB</t>
  </si>
  <si>
    <t>ZP235800079</t>
  </si>
  <si>
    <t>Beatriz Solis</t>
  </si>
  <si>
    <t>Jardines de la sierra</t>
  </si>
  <si>
    <t>0301061180</t>
  </si>
  <si>
    <t>fannyalbuja67@gmail.com</t>
  </si>
  <si>
    <t>Campana DVT 98600TRLBK</t>
  </si>
  <si>
    <t>PX21BS00094</t>
  </si>
  <si>
    <t>Novum</t>
  </si>
  <si>
    <t>001-100-000023551</t>
  </si>
  <si>
    <t>Campana C 710</t>
  </si>
  <si>
    <t>TP232N04059</t>
  </si>
  <si>
    <t>Isabel Vivar</t>
  </si>
  <si>
    <t>San Miguel de Putushi</t>
  </si>
  <si>
    <t>0103195863</t>
  </si>
  <si>
    <t>chabevivar@yahoo.com</t>
  </si>
  <si>
    <t>Boyaca</t>
  </si>
  <si>
    <t>014-004-000052024</t>
  </si>
  <si>
    <t>Horno HLB 840 WH</t>
  </si>
  <si>
    <t>TZ17BM02606</t>
  </si>
  <si>
    <t>001-500-000055429</t>
  </si>
  <si>
    <t>Cocina IZC 64010 MSS BK</t>
  </si>
  <si>
    <t>ZP234E00470</t>
  </si>
  <si>
    <t>Fernando Muñoz</t>
  </si>
  <si>
    <t>San Joaquin</t>
  </si>
  <si>
    <t>0102165446</t>
  </si>
  <si>
    <t>muñozalvarez@hotmail.com</t>
  </si>
  <si>
    <t>Horno HBB 535 SS</t>
  </si>
  <si>
    <t>TZ229M21287</t>
  </si>
  <si>
    <t>Sukasa</t>
  </si>
  <si>
    <t>034-107-000016225</t>
  </si>
  <si>
    <t>Microondas MS 622BIS L</t>
  </si>
  <si>
    <t>Campana DVT 68660 TRL BK</t>
  </si>
  <si>
    <t>TP214S00114</t>
  </si>
  <si>
    <t>PX216900034</t>
  </si>
  <si>
    <t>Monica Andrade</t>
  </si>
  <si>
    <t>Edf. Carrara</t>
  </si>
  <si>
    <t>1203653611</t>
  </si>
  <si>
    <t>034-101-000003727</t>
  </si>
  <si>
    <t>Horno HLB 830 SS</t>
  </si>
  <si>
    <t>Cocina IZF 64440 MPS BK</t>
  </si>
  <si>
    <t>TZ22CM16688</t>
  </si>
  <si>
    <t>ZP234M00342</t>
  </si>
  <si>
    <t>Alm. España</t>
  </si>
  <si>
    <t>009-501-000023270</t>
  </si>
  <si>
    <t>Horno HSB 615 SS</t>
  </si>
  <si>
    <t>TZ223R30599</t>
  </si>
  <si>
    <t>Geir Sayira</t>
  </si>
  <si>
    <t>Gran Colombia y Miguel Heredia</t>
  </si>
  <si>
    <t>sayira0808@gmail.com</t>
  </si>
  <si>
    <t>009-501-000023077</t>
  </si>
  <si>
    <t>Campana C9310</t>
  </si>
  <si>
    <t>TP231WO2408</t>
  </si>
  <si>
    <t>Luna Pazmiño</t>
  </si>
  <si>
    <t>002-101-000088452</t>
  </si>
  <si>
    <t>Campana C7310</t>
  </si>
  <si>
    <t>TP22BJ07995</t>
  </si>
  <si>
    <t>Luis Antonio Suquilanda</t>
  </si>
  <si>
    <t>Cumbe</t>
  </si>
  <si>
    <t>1105811374</t>
  </si>
  <si>
    <t>pinedawidi@gmail.com</t>
  </si>
  <si>
    <t>Cocina GBC 75030 KBB</t>
  </si>
  <si>
    <t>ZP226Q00039</t>
  </si>
  <si>
    <t>001-500-000037361</t>
  </si>
  <si>
    <t>Campana C 9310</t>
  </si>
  <si>
    <t>TP218507417</t>
  </si>
  <si>
    <t>Magdalena Lojano</t>
  </si>
  <si>
    <t>Sucre 16-20</t>
  </si>
  <si>
    <t>0101195923</t>
  </si>
  <si>
    <t>magui-lojano@hotmail.com</t>
  </si>
  <si>
    <t>Cocina EX 90.1 56 AIDRCI BUT</t>
  </si>
  <si>
    <t>ZP209500012</t>
  </si>
  <si>
    <t>007-007-000024588</t>
  </si>
  <si>
    <t>Horno HLB 840 SS</t>
  </si>
  <si>
    <t>TZ233E12971</t>
  </si>
  <si>
    <t>Azogues</t>
  </si>
  <si>
    <t>0300364353</t>
  </si>
  <si>
    <t>luis.quishpiv@hotmail.com</t>
  </si>
  <si>
    <t>Luis Quishpi</t>
  </si>
  <si>
    <t>Cocina GSC 75 330 SBAIX</t>
  </si>
  <si>
    <t>ZP236M00287</t>
  </si>
  <si>
    <t>TP236F06667</t>
  </si>
  <si>
    <t>001-500-000041560</t>
  </si>
  <si>
    <t>Lavavajillas LP8 850 M</t>
  </si>
  <si>
    <t>MD219L01867</t>
  </si>
  <si>
    <t>Priscila Cando</t>
  </si>
  <si>
    <t>0102373412</t>
  </si>
  <si>
    <t>sufarmacia_cuenca@outlook.com</t>
  </si>
  <si>
    <t>Cocina GZC 96310 XBB</t>
  </si>
  <si>
    <t>ZP21A400004</t>
  </si>
  <si>
    <t>001-501-000049345</t>
  </si>
  <si>
    <t>TP22BN03690</t>
  </si>
  <si>
    <t>Ruth Wilches</t>
  </si>
  <si>
    <t>Edf. Atlantida</t>
  </si>
  <si>
    <t>0700593304</t>
  </si>
  <si>
    <t>ruthwilchesalvear@gmail.com</t>
  </si>
  <si>
    <t>Cocina EX 90 5G AIAPC</t>
  </si>
  <si>
    <t>ZP152200075</t>
  </si>
  <si>
    <t>001-500-000055191</t>
  </si>
  <si>
    <t>Microondas ML 820 BIS</t>
  </si>
  <si>
    <t>TP232N02409</t>
  </si>
  <si>
    <t>Monica Alvarez</t>
  </si>
  <si>
    <t>Camino Viejo a Baños</t>
  </si>
  <si>
    <t>0102131559</t>
  </si>
  <si>
    <t>monavaco@gmail.com</t>
  </si>
  <si>
    <t>Horno HLB 8416 BK</t>
  </si>
  <si>
    <t>TP233A10146</t>
  </si>
  <si>
    <t>ZP23K100456</t>
  </si>
  <si>
    <t>001-500-000054494</t>
  </si>
  <si>
    <t>001-500-000056312</t>
  </si>
  <si>
    <t>TP236L03301</t>
  </si>
  <si>
    <t>Monica Ortega</t>
  </si>
  <si>
    <t>Altiplano y Atahualpa</t>
  </si>
  <si>
    <t>1206564112</t>
  </si>
  <si>
    <t>mariajoserebolledo00@gmail.com</t>
  </si>
  <si>
    <t>Campana C710</t>
  </si>
  <si>
    <t>TP237T04951</t>
  </si>
  <si>
    <t>001-500-000056308</t>
  </si>
  <si>
    <t>Campana C6310</t>
  </si>
  <si>
    <t>TP225A03649</t>
  </si>
  <si>
    <t>Cecilia Marquez</t>
  </si>
  <si>
    <t>Bartolome Serrano y Tomas Rendon</t>
  </si>
  <si>
    <t>0103583688</t>
  </si>
  <si>
    <t>callejan14@gmail.com</t>
  </si>
  <si>
    <t>Campana C910</t>
  </si>
  <si>
    <t>PP225902226</t>
  </si>
  <si>
    <t>TP237402433</t>
  </si>
  <si>
    <t>TP232N04014</t>
  </si>
  <si>
    <t>Encoder ML 822 Bis L *2</t>
  </si>
  <si>
    <t>Microondas ML 822 BIS L</t>
  </si>
  <si>
    <t>TP217S00164</t>
  </si>
  <si>
    <t>Dayana Chica</t>
  </si>
  <si>
    <t>Cambio de Repuesto</t>
  </si>
  <si>
    <t>dayanachica@hotmail.com</t>
  </si>
  <si>
    <t>Conjunto Modulo Induccion 4i Teka go Senso</t>
  </si>
  <si>
    <t xml:space="preserve">Cocina IB 6415 EC </t>
  </si>
  <si>
    <t>SC206F00136</t>
  </si>
  <si>
    <t>Ana Gonzalez</t>
  </si>
  <si>
    <t>gonzaavic@gmail.com</t>
  </si>
  <si>
    <t>TP236F06676</t>
  </si>
  <si>
    <t>Silvana Guallpa</t>
  </si>
  <si>
    <t>Boquilla desconectada</t>
  </si>
  <si>
    <t>Luz no enciende</t>
  </si>
  <si>
    <t>xrzroman621@gmail.com</t>
  </si>
  <si>
    <t>Quemador no enciende</t>
  </si>
  <si>
    <t>ZP216P00023</t>
  </si>
  <si>
    <t>Viviana Rodas</t>
  </si>
  <si>
    <t>Terminal Bujia Falso Contacto</t>
  </si>
  <si>
    <t>vishuri@hotmail.com</t>
  </si>
  <si>
    <t>Ventilador Trangencial FGA 820 SS 110V</t>
  </si>
  <si>
    <t>Horno HGS 750 R</t>
  </si>
  <si>
    <t>Cambio Repuesto</t>
  </si>
  <si>
    <t>Junta Embocadura H900 S10 HGE 930</t>
  </si>
  <si>
    <t>Horno HLF 924G</t>
  </si>
  <si>
    <t>TZ211L41819</t>
  </si>
  <si>
    <t>Miriam Orellana</t>
  </si>
  <si>
    <t>Se retira para Nota de Credito</t>
  </si>
  <si>
    <t>Cocina FS6G86605 RX</t>
  </si>
  <si>
    <t>K0215R00044</t>
  </si>
  <si>
    <t>Elizabeth Carrion</t>
  </si>
  <si>
    <t>Nota de Credito</t>
  </si>
  <si>
    <t>carrione1985@gmail.com</t>
  </si>
  <si>
    <t>Cocina se apaga</t>
  </si>
  <si>
    <t>Cocina JZC 96324 ABB</t>
  </si>
  <si>
    <t>ZP236700489</t>
  </si>
  <si>
    <t>Clara Palacios</t>
  </si>
  <si>
    <t>Asistencia sobre manejo, se sobrecaliente se va ha hacer seguimiento</t>
  </si>
  <si>
    <t>Cocina EX 90.1 5G AIDRCI</t>
  </si>
  <si>
    <t>ZP215M00024</t>
  </si>
  <si>
    <t>Cristina Ortiz</t>
  </si>
  <si>
    <t>Totoracocha</t>
  </si>
  <si>
    <t>0102833621</t>
  </si>
  <si>
    <t>Horno HSB 635</t>
  </si>
  <si>
    <t>TZ223P27036</t>
  </si>
  <si>
    <t>TP22A301347</t>
  </si>
  <si>
    <t>Hornos Gas</t>
  </si>
  <si>
    <t>Campana</t>
  </si>
  <si>
    <t>SUKASA</t>
  </si>
  <si>
    <t>002-107-000015722</t>
  </si>
  <si>
    <t>CO225R00078</t>
  </si>
  <si>
    <t>Tomas Youman</t>
  </si>
  <si>
    <t>Padre Aguirre</t>
  </si>
  <si>
    <t>Llamada Cliente</t>
  </si>
  <si>
    <t>Cocina GZC 64320 XBB</t>
  </si>
  <si>
    <t>ZP226Q00019</t>
  </si>
  <si>
    <t>Cristina Almache</t>
  </si>
  <si>
    <t>Misicata</t>
  </si>
  <si>
    <t>crisalma77@hotmail.com</t>
  </si>
  <si>
    <t>Home Vega</t>
  </si>
  <si>
    <t>006-0002-000154031</t>
  </si>
  <si>
    <t>Cocina GZC 95320</t>
  </si>
  <si>
    <t>ZP235W00429</t>
  </si>
  <si>
    <t>Klever Vanegas</t>
  </si>
  <si>
    <t>Rocafuerte y Jose Joaquin de Olmedo</t>
  </si>
  <si>
    <t>importoobra@asbaterianet</t>
  </si>
  <si>
    <t>TP236F06674</t>
  </si>
  <si>
    <t>Clara Donoso</t>
  </si>
  <si>
    <t>Agustin Cueva</t>
  </si>
  <si>
    <t>claradonoso@yahoo.com</t>
  </si>
  <si>
    <t>Chaullabamaba</t>
  </si>
  <si>
    <t>Lavavajillas DF 46900120 60</t>
  </si>
  <si>
    <t>AW233800235</t>
  </si>
  <si>
    <t>Luis Jimenez</t>
  </si>
  <si>
    <t>Los Sauces y de la Grevilla</t>
  </si>
  <si>
    <t>LJIMENEZSA.LJ@GMAIL.COM</t>
  </si>
  <si>
    <t>001-500-000056147</t>
  </si>
  <si>
    <t>Triturador TR 710-1</t>
  </si>
  <si>
    <t>230710AF1801</t>
  </si>
  <si>
    <t>Xavier Carvallo</t>
  </si>
  <si>
    <t>gerencia@hotmailcarvallo.com.ec</t>
  </si>
  <si>
    <t>ZP236700457</t>
  </si>
  <si>
    <t>Paul Andrade</t>
  </si>
  <si>
    <t>Bartolome de las casas</t>
  </si>
  <si>
    <t>andrade.paul@hotmail.com</t>
  </si>
  <si>
    <t>ZP235B00115</t>
  </si>
  <si>
    <t>Xavier Zurita</t>
  </si>
  <si>
    <t>Pumapungo</t>
  </si>
  <si>
    <t>zurita83@hotmail.com</t>
  </si>
  <si>
    <t>TP233M03402</t>
  </si>
  <si>
    <t xml:space="preserve">Jhoana Santana </t>
  </si>
  <si>
    <t>San Miguel de Achoyaco</t>
  </si>
  <si>
    <t>joha_santanap@hotmail.com</t>
  </si>
  <si>
    <t>101-500-000056253</t>
  </si>
  <si>
    <t>TP237402428</t>
  </si>
  <si>
    <t>Jose Samaniego</t>
  </si>
  <si>
    <t>Cdla Jacaranda</t>
  </si>
  <si>
    <t>jorgedu1005@hotmail.com</t>
  </si>
  <si>
    <t>ZP236700483</t>
  </si>
  <si>
    <t>Marcela Peralta</t>
  </si>
  <si>
    <t>joaquincoellocg@gmail.com</t>
  </si>
  <si>
    <t>Cocina JZC 96324ABB</t>
  </si>
  <si>
    <t>Puertas del Sol</t>
  </si>
  <si>
    <t>clarapalacios58@hotmail.com</t>
  </si>
  <si>
    <t>Mercard</t>
  </si>
  <si>
    <t>001-101-000002278</t>
  </si>
  <si>
    <t>Horno HSB 645</t>
  </si>
  <si>
    <t>TZ232Q21333</t>
  </si>
  <si>
    <t>Rio Palora</t>
  </si>
  <si>
    <t>monica.dagaro@gmail.com</t>
  </si>
  <si>
    <t>Sensor termopar fuera de posicion</t>
  </si>
  <si>
    <t xml:space="preserve">Cocina  GZC 75330 XBB </t>
  </si>
  <si>
    <t>ZP20CJ00002</t>
  </si>
  <si>
    <t>Xavier Gonzalez</t>
  </si>
  <si>
    <t xml:space="preserve">Sensor termopar fuera de posicion </t>
  </si>
  <si>
    <t>vicheinz@hotmail.com</t>
  </si>
  <si>
    <t>002-101-000077554</t>
  </si>
  <si>
    <t>002-101-000076468</t>
  </si>
  <si>
    <t>ZP215M00027</t>
  </si>
  <si>
    <t>TP22A301366</t>
  </si>
  <si>
    <t>TZ223P27037</t>
  </si>
  <si>
    <t>CRISORT2010X@GMAIL.COM</t>
  </si>
  <si>
    <t>001-500-000054252</t>
  </si>
  <si>
    <t>Vinera RVF 10032</t>
  </si>
  <si>
    <t>YH21CL00448</t>
  </si>
  <si>
    <t>Campana DHT 97670 ROS WM</t>
  </si>
  <si>
    <t>EY233W00049</t>
  </si>
  <si>
    <t>001-500-000056100</t>
  </si>
  <si>
    <t>Maria Jose Villa</t>
  </si>
  <si>
    <t>Eucaliptos</t>
  </si>
  <si>
    <t>0106558653</t>
  </si>
  <si>
    <t>ma_216@hotmail.com</t>
  </si>
  <si>
    <t>001-500-000055853</t>
  </si>
  <si>
    <t>002-111-000021885</t>
  </si>
  <si>
    <t>002-109-000026191</t>
  </si>
  <si>
    <t>002-109-000026268</t>
  </si>
  <si>
    <t>001-500-000056151</t>
  </si>
  <si>
    <t>001-500-000054105</t>
  </si>
  <si>
    <t>Mega Metales</t>
  </si>
  <si>
    <t>012-100-000135928</t>
  </si>
  <si>
    <t>Promocion</t>
  </si>
  <si>
    <t>1 Producto</t>
  </si>
  <si>
    <t>27-09-2023/2023</t>
  </si>
  <si>
    <t>Armado BBQ</t>
  </si>
  <si>
    <t>Marisca Lamar</t>
  </si>
  <si>
    <t>Exhibicion Almacen</t>
  </si>
  <si>
    <t>Garantia</t>
  </si>
  <si>
    <t>Tarqui</t>
  </si>
  <si>
    <t>Reparado</t>
  </si>
  <si>
    <t>0103790416</t>
  </si>
  <si>
    <t>Urb. Los Cerezos</t>
  </si>
  <si>
    <t>Abelardo J Andrade</t>
  </si>
  <si>
    <t>Gapal</t>
  </si>
  <si>
    <t>Alm. Chordeleg</t>
  </si>
  <si>
    <t>Esteves de Toral</t>
  </si>
  <si>
    <t>Barrio el Rosario</t>
  </si>
  <si>
    <t>Eloy Abad y Ramona Cordero</t>
  </si>
  <si>
    <t>Cumanda y Gonzalez Suarez</t>
  </si>
  <si>
    <t>VICHENZ@HOTMAIL.COM</t>
  </si>
  <si>
    <t>0106503071</t>
  </si>
  <si>
    <t>007-007-000024114</t>
  </si>
  <si>
    <t>Cocina GZC 95320XBB</t>
  </si>
  <si>
    <t>Campana Isla DPL ISLA 1180</t>
  </si>
  <si>
    <t>Vinera RVF 1003 GBK</t>
  </si>
  <si>
    <t>TP234D04237</t>
  </si>
  <si>
    <t>ZP235W00440</t>
  </si>
  <si>
    <t>PX233300021</t>
  </si>
  <si>
    <t>YH233L00091</t>
  </si>
  <si>
    <t>William Velez</t>
  </si>
  <si>
    <t>Ricaurte</t>
  </si>
  <si>
    <t>1400734891</t>
  </si>
  <si>
    <t>wva.creativedesing@gmail.com</t>
  </si>
  <si>
    <t>MONICA.DAGARO@GMAIL.COM</t>
  </si>
  <si>
    <t>CO225R00076</t>
  </si>
  <si>
    <t>006-000154573</t>
  </si>
  <si>
    <t>TP237402412</t>
  </si>
  <si>
    <t>Patricio Chablay</t>
  </si>
  <si>
    <t>Sinicay</t>
  </si>
  <si>
    <t>chablayroberto@gmail.com</t>
  </si>
  <si>
    <t>Patricio Chamblay</t>
  </si>
  <si>
    <t xml:space="preserve">Sinicay </t>
  </si>
  <si>
    <t>Gonzalo Arevalo</t>
  </si>
  <si>
    <t>Paseo 3 de Noviembre</t>
  </si>
  <si>
    <t>Post Garantia</t>
  </si>
  <si>
    <t>ZP211V00048</t>
  </si>
  <si>
    <t>gonzare11@hotmail.com</t>
  </si>
  <si>
    <t>010046796</t>
  </si>
  <si>
    <t>Cambio de Fregadero</t>
  </si>
  <si>
    <t>Fregadero RC1540.+ICC915</t>
  </si>
  <si>
    <t>TK229128982</t>
  </si>
  <si>
    <t>LISLOP</t>
  </si>
  <si>
    <t>Cambio Fregadero</t>
  </si>
  <si>
    <t>Cocina EX 90.1 GAIDRCIBUT</t>
  </si>
  <si>
    <t>Fregadero</t>
  </si>
  <si>
    <t>002-101-000092741</t>
  </si>
  <si>
    <t>Av. Paucarbamba</t>
  </si>
  <si>
    <t>Cambio Producto</t>
  </si>
  <si>
    <t>Lislop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</si>
</sst>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_ * #,##0.00_ ;_ * \-#,##0.00_ ;_ * &quot;-&quot;??_ ;_ @_ "/>
    <numFmt numFmtId="171" formatCode="00"/>
    <numFmt numFmtId="172" formatCode="d/m/yy;@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u/>
      <sz val="12.65"/>
      <color theme="10"/>
      <name val="Calibri"/>
      <family val="2"/>
    </font>
    <font>
      <sz val="11"/>
      <color theme="9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Arial Black"/>
      <family val="2"/>
    </font>
    <font>
      <sz val="10"/>
      <color theme="4"/>
      <name val="Arial Unicode MS"/>
      <family val="2"/>
    </font>
    <font>
      <u/>
      <sz val="10"/>
      <color theme="4"/>
      <name val="Arial Unicode MS"/>
      <family val="2"/>
    </font>
    <font>
      <u/>
      <sz val="11"/>
      <color theme="4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CECEC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rgb="FFECECEC"/>
      </patternFill>
    </fill>
    <fill>
      <patternFill patternType="solid">
        <fgColor theme="7"/>
        <bgColor rgb="FFECECEC"/>
      </patternFill>
    </fill>
    <fill>
      <patternFill patternType="solid">
        <fgColor theme="4"/>
        <bgColor rgb="FFECECEC"/>
      </patternFill>
    </fill>
    <fill>
      <patternFill patternType="solid">
        <fgColor theme="3"/>
        <bgColor rgb="FFECECEC"/>
      </patternFill>
    </fill>
    <fill>
      <patternFill patternType="solid">
        <fgColor theme="9" tint="0.59999389629810485"/>
        <bgColor rgb="FFECECEC"/>
      </patternFill>
    </fill>
    <fill>
      <patternFill patternType="solid">
        <fgColor theme="9"/>
        <bgColor rgb="FFECECEC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0" fontId="3" fillId="4" borderId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170" fontId="47" fillId="0" borderId="0" applyFont="0" applyFill="0" applyBorder="0" applyAlignment="0" applyProtection="0"/>
    <xf numFmtId="0" fontId="47" fillId="0" borderId="0"/>
    <xf numFmtId="0" fontId="58" fillId="0" borderId="0" applyNumberFormat="0" applyFill="0" applyBorder="0" applyAlignment="0" applyProtection="0">
      <alignment vertical="top"/>
      <protection locked="0"/>
    </xf>
  </cellStyleXfs>
  <cellXfs count="267">
    <xf numFmtId="0" fontId="0" fillId="0" borderId="0" xfId="0"/>
    <xf numFmtId="0" fontId="3" fillId="0" borderId="0" xfId="2" applyAlignment="1">
      <alignment horizontal="left"/>
    </xf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1" xfId="2" applyFont="1" applyBorder="1" applyAlignment="1">
      <alignment vertical="center"/>
    </xf>
    <xf numFmtId="0" fontId="7" fillId="0" borderId="0" xfId="2" applyFont="1" applyAlignment="1">
      <alignment horizontal="left"/>
    </xf>
    <xf numFmtId="0" fontId="3" fillId="0" borderId="0" xfId="2"/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10" fillId="0" borderId="0" xfId="0" applyFont="1"/>
    <xf numFmtId="164" fontId="10" fillId="3" borderId="5" xfId="0" applyNumberFormat="1" applyFont="1" applyFill="1" applyBorder="1" applyAlignment="1">
      <alignment horizontal="left" wrapText="1"/>
    </xf>
    <xf numFmtId="165" fontId="10" fillId="3" borderId="5" xfId="0" applyNumberFormat="1" applyFont="1" applyFill="1" applyBorder="1" applyAlignment="1">
      <alignment wrapText="1"/>
    </xf>
    <xf numFmtId="3" fontId="10" fillId="3" borderId="5" xfId="0" applyNumberFormat="1" applyFont="1" applyFill="1" applyBorder="1"/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4" fontId="11" fillId="3" borderId="5" xfId="0" applyNumberFormat="1" applyFont="1" applyFill="1" applyBorder="1" applyAlignment="1">
      <alignment horizontal="right" wrapText="1"/>
    </xf>
    <xf numFmtId="49" fontId="10" fillId="3" borderId="5" xfId="0" applyNumberFormat="1" applyFont="1" applyFill="1" applyBorder="1" applyAlignment="1">
      <alignment wrapText="1"/>
    </xf>
    <xf numFmtId="0" fontId="10" fillId="0" borderId="5" xfId="0" applyFont="1" applyBorder="1"/>
    <xf numFmtId="49" fontId="10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 applyProtection="1"/>
    <xf numFmtId="4" fontId="0" fillId="0" borderId="0" xfId="0" applyNumberFormat="1"/>
    <xf numFmtId="166" fontId="14" fillId="0" borderId="0" xfId="3" applyNumberFormat="1" applyFont="1"/>
    <xf numFmtId="167" fontId="3" fillId="4" borderId="0" xfId="4" applyNumberFormat="1">
      <alignment horizontal="left"/>
    </xf>
    <xf numFmtId="0" fontId="3" fillId="4" borderId="0" xfId="4">
      <alignment horizontal="left"/>
    </xf>
    <xf numFmtId="14" fontId="3" fillId="4" borderId="0" xfId="4" applyNumberFormat="1">
      <alignment horizontal="left"/>
    </xf>
    <xf numFmtId="2" fontId="3" fillId="4" borderId="0" xfId="4" applyNumberFormat="1">
      <alignment horizontal="left"/>
    </xf>
    <xf numFmtId="0" fontId="15" fillId="4" borderId="0" xfId="4" applyFont="1" applyAlignment="1">
      <alignment vertical="center"/>
    </xf>
    <xf numFmtId="0" fontId="16" fillId="4" borderId="0" xfId="4" applyFont="1" applyAlignment="1"/>
    <xf numFmtId="14" fontId="16" fillId="4" borderId="0" xfId="4" applyNumberFormat="1" applyFont="1">
      <alignment horizontal="left"/>
    </xf>
    <xf numFmtId="2" fontId="16" fillId="4" borderId="0" xfId="4" applyNumberFormat="1" applyFont="1">
      <alignment horizontal="left"/>
    </xf>
    <xf numFmtId="167" fontId="16" fillId="4" borderId="0" xfId="4" applyNumberFormat="1" applyFont="1">
      <alignment horizontal="left"/>
    </xf>
    <xf numFmtId="0" fontId="17" fillId="4" borderId="0" xfId="4" applyFont="1" applyAlignment="1">
      <alignment vertical="center"/>
    </xf>
    <xf numFmtId="0" fontId="3" fillId="4" borderId="0" xfId="4" applyAlignment="1"/>
    <xf numFmtId="0" fontId="18" fillId="4" borderId="0" xfId="4" applyFont="1" applyAlignment="1"/>
    <xf numFmtId="0" fontId="19" fillId="4" borderId="0" xfId="4" applyFont="1">
      <alignment horizontal="left"/>
    </xf>
    <xf numFmtId="167" fontId="20" fillId="5" borderId="8" xfId="4" applyNumberFormat="1" applyFont="1" applyFill="1" applyBorder="1" applyAlignment="1">
      <alignment horizontal="left" vertical="center" wrapText="1"/>
    </xf>
    <xf numFmtId="0" fontId="20" fillId="5" borderId="8" xfId="4" applyFont="1" applyFill="1" applyBorder="1" applyAlignment="1">
      <alignment horizontal="left" vertical="center" wrapText="1"/>
    </xf>
    <xf numFmtId="0" fontId="21" fillId="5" borderId="8" xfId="4" applyFont="1" applyFill="1" applyBorder="1" applyAlignment="1">
      <alignment horizontal="left" vertical="center" wrapText="1"/>
    </xf>
    <xf numFmtId="2" fontId="21" fillId="5" borderId="8" xfId="4" applyNumberFormat="1" applyFont="1" applyFill="1" applyBorder="1" applyAlignment="1">
      <alignment horizontal="left" vertical="center" wrapText="1"/>
    </xf>
    <xf numFmtId="0" fontId="22" fillId="0" borderId="0" xfId="2" applyFont="1"/>
    <xf numFmtId="0" fontId="22" fillId="0" borderId="5" xfId="2" applyFont="1" applyBorder="1" applyAlignment="1">
      <alignment horizontal="left"/>
    </xf>
    <xf numFmtId="0" fontId="24" fillId="0" borderId="0" xfId="2" applyFont="1"/>
    <xf numFmtId="0" fontId="25" fillId="0" borderId="0" xfId="0" applyFont="1" applyAlignment="1">
      <alignment horizontal="left"/>
    </xf>
    <xf numFmtId="4" fontId="26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2" fontId="25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" fontId="25" fillId="0" borderId="0" xfId="0" applyNumberFormat="1" applyFont="1"/>
    <xf numFmtId="2" fontId="30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4" fontId="3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49" fontId="25" fillId="0" borderId="0" xfId="0" applyNumberFormat="1" applyFont="1"/>
    <xf numFmtId="0" fontId="32" fillId="0" borderId="0" xfId="0" applyFont="1" applyAlignment="1">
      <alignment horizontal="left"/>
    </xf>
    <xf numFmtId="17" fontId="30" fillId="0" borderId="0" xfId="0" applyNumberFormat="1" applyFont="1" applyAlignment="1">
      <alignment horizontal="left"/>
    </xf>
    <xf numFmtId="0" fontId="33" fillId="6" borderId="9" xfId="0" applyFont="1" applyFill="1" applyBorder="1" applyAlignment="1">
      <alignment horizontal="left" vertical="center" wrapText="1"/>
    </xf>
    <xf numFmtId="1" fontId="33" fillId="6" borderId="9" xfId="0" applyNumberFormat="1" applyFont="1" applyFill="1" applyBorder="1" applyAlignment="1">
      <alignment horizontal="left" vertical="center" wrapText="1"/>
    </xf>
    <xf numFmtId="2" fontId="33" fillId="6" borderId="9" xfId="0" applyNumberFormat="1" applyFont="1" applyFill="1" applyBorder="1" applyAlignment="1">
      <alignment horizontal="left" vertical="center" wrapText="1"/>
    </xf>
    <xf numFmtId="0" fontId="33" fillId="6" borderId="10" xfId="0" applyFont="1" applyFill="1" applyBorder="1" applyAlignment="1">
      <alignment horizontal="left" vertical="center" wrapText="1"/>
    </xf>
    <xf numFmtId="0" fontId="33" fillId="6" borderId="11" xfId="0" applyFont="1" applyFill="1" applyBorder="1" applyAlignment="1">
      <alignment horizontal="left" vertical="center" wrapText="1"/>
    </xf>
    <xf numFmtId="0" fontId="34" fillId="0" borderId="0" xfId="0" applyFont="1"/>
    <xf numFmtId="49" fontId="35" fillId="7" borderId="5" xfId="0" applyNumberFormat="1" applyFont="1" applyFill="1" applyBorder="1" applyAlignment="1">
      <alignment horizontal="center" vertical="center"/>
    </xf>
    <xf numFmtId="14" fontId="35" fillId="7" borderId="12" xfId="0" applyNumberFormat="1" applyFont="1" applyFill="1" applyBorder="1" applyAlignment="1">
      <alignment horizontal="center" vertical="center"/>
    </xf>
    <xf numFmtId="14" fontId="35" fillId="7" borderId="12" xfId="0" applyNumberFormat="1" applyFont="1" applyFill="1" applyBorder="1" applyAlignment="1">
      <alignment horizontal="left" vertical="center"/>
    </xf>
    <xf numFmtId="0" fontId="35" fillId="7" borderId="12" xfId="0" applyFont="1" applyFill="1" applyBorder="1" applyAlignment="1">
      <alignment horizontal="left" vertical="center"/>
    </xf>
    <xf numFmtId="0" fontId="35" fillId="7" borderId="12" xfId="0" quotePrefix="1" applyFont="1" applyFill="1" applyBorder="1" applyAlignment="1">
      <alignment horizontal="left" vertical="center"/>
    </xf>
    <xf numFmtId="0" fontId="35" fillId="8" borderId="12" xfId="0" applyFont="1" applyFill="1" applyBorder="1" applyAlignment="1">
      <alignment horizontal="left" vertical="center"/>
    </xf>
    <xf numFmtId="49" fontId="35" fillId="7" borderId="12" xfId="0" applyNumberFormat="1" applyFont="1" applyFill="1" applyBorder="1" applyAlignment="1">
      <alignment horizontal="left" vertical="center"/>
    </xf>
    <xf numFmtId="1" fontId="35" fillId="7" borderId="12" xfId="0" applyNumberFormat="1" applyFont="1" applyFill="1" applyBorder="1" applyAlignment="1">
      <alignment horizontal="left" vertical="center"/>
    </xf>
    <xf numFmtId="0" fontId="35" fillId="7" borderId="12" xfId="0" applyFont="1" applyFill="1" applyBorder="1" applyAlignment="1">
      <alignment horizontal="center" vertical="center"/>
    </xf>
    <xf numFmtId="2" fontId="35" fillId="7" borderId="12" xfId="0" applyNumberFormat="1" applyFont="1" applyFill="1" applyBorder="1" applyAlignment="1">
      <alignment horizontal="center" vertical="center"/>
    </xf>
    <xf numFmtId="49" fontId="35" fillId="7" borderId="6" xfId="0" applyNumberFormat="1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5" fillId="9" borderId="12" xfId="0" applyFont="1" applyFill="1" applyBorder="1" applyAlignment="1">
      <alignment horizontal="center" vertical="center"/>
    </xf>
    <xf numFmtId="0" fontId="2" fillId="3" borderId="12" xfId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6" fillId="0" borderId="0" xfId="0" applyFont="1" applyAlignment="1">
      <alignment horizontal="right"/>
    </xf>
    <xf numFmtId="4" fontId="37" fillId="0" borderId="0" xfId="0" applyNumberFormat="1" applyFont="1"/>
    <xf numFmtId="0" fontId="3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49" fontId="39" fillId="0" borderId="0" xfId="0" applyNumberFormat="1" applyFont="1" applyAlignment="1">
      <alignment horizontal="left"/>
    </xf>
    <xf numFmtId="1" fontId="0" fillId="0" borderId="0" xfId="0" applyNumberFormat="1"/>
    <xf numFmtId="2" fontId="40" fillId="0" borderId="0" xfId="0" applyNumberFormat="1" applyFont="1" applyAlignment="1">
      <alignment horizontal="right" indent="1"/>
    </xf>
    <xf numFmtId="4" fontId="41" fillId="0" borderId="0" xfId="0" applyNumberFormat="1" applyFont="1" applyAlignment="1">
      <alignment horizontal="left" vertical="center"/>
    </xf>
    <xf numFmtId="0" fontId="42" fillId="0" borderId="0" xfId="5" applyFont="1"/>
    <xf numFmtId="0" fontId="24" fillId="4" borderId="0" xfId="4" applyFont="1" applyAlignment="1">
      <alignment horizontal="center" vertical="center"/>
    </xf>
    <xf numFmtId="1" fontId="24" fillId="4" borderId="0" xfId="4" applyNumberFormat="1" applyFont="1" applyAlignment="1">
      <alignment horizontal="right" vertical="center"/>
    </xf>
    <xf numFmtId="1" fontId="24" fillId="4" borderId="0" xfId="4" applyNumberFormat="1" applyFont="1" applyAlignment="1">
      <alignment horizontal="center" vertical="center"/>
    </xf>
    <xf numFmtId="2" fontId="24" fillId="4" borderId="0" xfId="4" applyNumberFormat="1" applyFont="1" applyAlignment="1">
      <alignment vertical="center"/>
    </xf>
    <xf numFmtId="49" fontId="0" fillId="0" borderId="0" xfId="0" quotePrefix="1" applyNumberFormat="1"/>
    <xf numFmtId="17" fontId="40" fillId="0" borderId="0" xfId="0" quotePrefix="1" applyNumberFormat="1" applyFont="1" applyAlignment="1">
      <alignment horizontal="left"/>
    </xf>
    <xf numFmtId="0" fontId="40" fillId="0" borderId="0" xfId="0" applyFont="1" applyAlignment="1">
      <alignment horizontal="right"/>
    </xf>
    <xf numFmtId="0" fontId="43" fillId="10" borderId="14" xfId="0" applyFont="1" applyFill="1" applyBorder="1" applyAlignment="1">
      <alignment horizontal="center" vertical="center" wrapText="1"/>
    </xf>
    <xf numFmtId="0" fontId="43" fillId="10" borderId="14" xfId="0" applyFont="1" applyFill="1" applyBorder="1" applyAlignment="1">
      <alignment vertical="center" wrapText="1"/>
    </xf>
    <xf numFmtId="0" fontId="43" fillId="10" borderId="14" xfId="0" applyFont="1" applyFill="1" applyBorder="1" applyAlignment="1">
      <alignment horizontal="left" vertical="center" wrapText="1"/>
    </xf>
    <xf numFmtId="1" fontId="43" fillId="10" borderId="14" xfId="0" applyNumberFormat="1" applyFont="1" applyFill="1" applyBorder="1" applyAlignment="1">
      <alignment vertical="center" wrapText="1"/>
    </xf>
    <xf numFmtId="2" fontId="43" fillId="10" borderId="14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22" fillId="0" borderId="0" xfId="0" applyFont="1" applyAlignment="1">
      <alignment horizontal="right"/>
    </xf>
    <xf numFmtId="164" fontId="22" fillId="11" borderId="5" xfId="0" applyNumberFormat="1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left"/>
    </xf>
    <xf numFmtId="49" fontId="22" fillId="11" borderId="5" xfId="0" applyNumberFormat="1" applyFont="1" applyFill="1" applyBorder="1" applyAlignment="1">
      <alignment horizontal="center"/>
    </xf>
    <xf numFmtId="1" fontId="22" fillId="11" borderId="5" xfId="0" applyNumberFormat="1" applyFont="1" applyFill="1" applyBorder="1" applyAlignment="1">
      <alignment horizontal="left"/>
    </xf>
    <xf numFmtId="2" fontId="22" fillId="11" borderId="5" xfId="0" applyNumberFormat="1" applyFont="1" applyFill="1" applyBorder="1"/>
    <xf numFmtId="168" fontId="22" fillId="11" borderId="5" xfId="0" applyNumberFormat="1" applyFont="1" applyFill="1" applyBorder="1" applyAlignment="1">
      <alignment horizontal="center"/>
    </xf>
    <xf numFmtId="49" fontId="28" fillId="3" borderId="0" xfId="0" applyNumberFormat="1" applyFont="1" applyFill="1" applyAlignment="1">
      <alignment horizontal="left" wrapText="1"/>
    </xf>
    <xf numFmtId="49" fontId="2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1" fillId="0" borderId="0" xfId="6" applyNumberFormat="1" applyFont="1" applyAlignment="1">
      <alignment horizontal="left"/>
    </xf>
    <xf numFmtId="0" fontId="45" fillId="0" borderId="0" xfId="6" applyFont="1" applyAlignment="1">
      <alignment horizontal="center"/>
    </xf>
    <xf numFmtId="0" fontId="46" fillId="0" borderId="0" xfId="6" applyFont="1" applyAlignment="1">
      <alignment vertical="center"/>
    </xf>
    <xf numFmtId="0" fontId="45" fillId="0" borderId="0" xfId="6" applyFont="1"/>
    <xf numFmtId="2" fontId="47" fillId="0" borderId="0" xfId="6" applyNumberFormat="1" applyFont="1" applyAlignment="1">
      <alignment horizontal="left"/>
    </xf>
    <xf numFmtId="0" fontId="48" fillId="0" borderId="0" xfId="0" applyFont="1"/>
    <xf numFmtId="4" fontId="41" fillId="0" borderId="0" xfId="6" applyNumberFormat="1" applyFont="1" applyAlignment="1">
      <alignment horizontal="left" vertical="center"/>
    </xf>
    <xf numFmtId="0" fontId="47" fillId="0" borderId="0" xfId="6" applyFont="1" applyAlignment="1">
      <alignment horizontal="center"/>
    </xf>
    <xf numFmtId="0" fontId="47" fillId="0" borderId="0" xfId="6" applyFont="1"/>
    <xf numFmtId="169" fontId="48" fillId="0" borderId="15" xfId="7" applyNumberFormat="1" applyFont="1" applyBorder="1" applyAlignment="1">
      <alignment horizontal="left"/>
    </xf>
    <xf numFmtId="0" fontId="48" fillId="0" borderId="16" xfId="7" applyFont="1" applyBorder="1" applyAlignment="1">
      <alignment horizontal="left"/>
    </xf>
    <xf numFmtId="0" fontId="49" fillId="0" borderId="16" xfId="7" applyFont="1" applyBorder="1" applyAlignment="1">
      <alignment horizontal="left"/>
    </xf>
    <xf numFmtId="0" fontId="50" fillId="0" borderId="16" xfId="7" applyFont="1" applyBorder="1" applyAlignment="1">
      <alignment horizontal="left" readingOrder="1"/>
    </xf>
    <xf numFmtId="0" fontId="51" fillId="0" borderId="16" xfId="7" applyFont="1" applyBorder="1" applyAlignment="1">
      <alignment horizontal="left"/>
    </xf>
    <xf numFmtId="17" fontId="52" fillId="0" borderId="16" xfId="7" applyNumberFormat="1" applyFont="1" applyBorder="1" applyAlignment="1">
      <alignment horizontal="left"/>
    </xf>
    <xf numFmtId="0" fontId="47" fillId="0" borderId="16" xfId="7" applyFont="1" applyBorder="1" applyAlignment="1">
      <alignment horizontal="left"/>
    </xf>
    <xf numFmtId="49" fontId="45" fillId="0" borderId="17" xfId="7" applyNumberFormat="1" applyFont="1" applyBorder="1" applyAlignment="1">
      <alignment horizontal="left"/>
    </xf>
    <xf numFmtId="169" fontId="48" fillId="0" borderId="18" xfId="7" applyNumberFormat="1" applyFont="1" applyBorder="1" applyAlignment="1">
      <alignment horizontal="left"/>
    </xf>
    <xf numFmtId="0" fontId="48" fillId="0" borderId="0" xfId="7" applyFont="1" applyAlignment="1">
      <alignment horizontal="left"/>
    </xf>
    <xf numFmtId="0" fontId="48" fillId="0" borderId="19" xfId="7" applyFont="1" applyBorder="1" applyAlignment="1">
      <alignment horizontal="left"/>
    </xf>
    <xf numFmtId="169" fontId="48" fillId="0" borderId="20" xfId="7" applyNumberFormat="1" applyFont="1" applyBorder="1" applyAlignment="1">
      <alignment horizontal="left"/>
    </xf>
    <xf numFmtId="0" fontId="48" fillId="0" borderId="21" xfId="7" applyFont="1" applyBorder="1" applyAlignment="1">
      <alignment horizontal="left"/>
    </xf>
    <xf numFmtId="0" fontId="48" fillId="0" borderId="22" xfId="7" applyFont="1" applyBorder="1" applyAlignment="1">
      <alignment horizontal="left"/>
    </xf>
    <xf numFmtId="0" fontId="53" fillId="12" borderId="8" xfId="8" applyFont="1" applyFill="1" applyBorder="1" applyAlignment="1">
      <alignment horizontal="center" wrapText="1"/>
    </xf>
    <xf numFmtId="0" fontId="11" fillId="0" borderId="0" xfId="8" applyFont="1" applyAlignment="1">
      <alignment horizontal="right" vertical="top"/>
    </xf>
    <xf numFmtId="14" fontId="11" fillId="0" borderId="5" xfId="8" applyNumberFormat="1" applyFont="1" applyBorder="1" applyAlignment="1">
      <alignment horizontal="left" vertical="top"/>
    </xf>
    <xf numFmtId="0" fontId="11" fillId="0" borderId="5" xfId="8" applyFont="1" applyBorder="1" applyAlignment="1">
      <alignment horizontal="center" vertical="top"/>
    </xf>
    <xf numFmtId="0" fontId="11" fillId="0" borderId="5" xfId="8" applyFont="1" applyBorder="1" applyAlignment="1">
      <alignment horizontal="left" vertical="top"/>
    </xf>
    <xf numFmtId="0" fontId="11" fillId="0" borderId="5" xfId="8" applyFont="1" applyBorder="1" applyAlignment="1">
      <alignment vertical="top"/>
    </xf>
    <xf numFmtId="0" fontId="11" fillId="0" borderId="5" xfId="8" quotePrefix="1" applyFont="1" applyBorder="1" applyAlignment="1">
      <alignment horizontal="left" vertical="top"/>
    </xf>
    <xf numFmtId="14" fontId="11" fillId="0" borderId="6" xfId="8" applyNumberFormat="1" applyFont="1" applyBorder="1" applyAlignment="1">
      <alignment horizontal="left" vertical="top"/>
    </xf>
    <xf numFmtId="0" fontId="11" fillId="0" borderId="6" xfId="8" applyFont="1" applyBorder="1" applyAlignment="1">
      <alignment horizontal="center" vertical="top"/>
    </xf>
    <xf numFmtId="0" fontId="11" fillId="0" borderId="6" xfId="8" applyFont="1" applyBorder="1" applyAlignment="1">
      <alignment horizontal="left" vertical="top"/>
    </xf>
    <xf numFmtId="0" fontId="11" fillId="0" borderId="6" xfId="8" applyFont="1" applyBorder="1" applyAlignment="1">
      <alignment vertical="top"/>
    </xf>
    <xf numFmtId="0" fontId="11" fillId="0" borderId="6" xfId="8" quotePrefix="1" applyFont="1" applyBorder="1" applyAlignment="1">
      <alignment horizontal="left" vertical="top"/>
    </xf>
    <xf numFmtId="14" fontId="11" fillId="0" borderId="7" xfId="8" applyNumberFormat="1" applyFont="1" applyBorder="1" applyAlignment="1">
      <alignment horizontal="left" vertical="top"/>
    </xf>
    <xf numFmtId="0" fontId="11" fillId="0" borderId="7" xfId="8" applyFont="1" applyBorder="1" applyAlignment="1">
      <alignment horizontal="center" vertical="top"/>
    </xf>
    <xf numFmtId="0" fontId="11" fillId="0" borderId="7" xfId="8" applyFont="1" applyBorder="1" applyAlignment="1">
      <alignment horizontal="left" vertical="top"/>
    </xf>
    <xf numFmtId="0" fontId="11" fillId="0" borderId="7" xfId="8" applyFont="1" applyBorder="1" applyAlignment="1">
      <alignment vertical="top"/>
    </xf>
    <xf numFmtId="0" fontId="11" fillId="0" borderId="7" xfId="8" quotePrefix="1" applyFont="1" applyBorder="1" applyAlignment="1">
      <alignment horizontal="left" vertical="top"/>
    </xf>
    <xf numFmtId="0" fontId="11" fillId="0" borderId="0" xfId="8" applyFont="1" applyAlignment="1">
      <alignment horizontal="center" vertical="top"/>
    </xf>
    <xf numFmtId="0" fontId="11" fillId="0" borderId="0" xfId="8" applyFont="1" applyAlignment="1">
      <alignment horizontal="left" vertical="top"/>
    </xf>
    <xf numFmtId="0" fontId="39" fillId="0" borderId="0" xfId="0" applyFont="1" applyAlignment="1">
      <alignment horizontal="right"/>
    </xf>
    <xf numFmtId="0" fontId="54" fillId="0" borderId="0" xfId="0" applyFont="1" applyAlignment="1">
      <alignment wrapText="1"/>
    </xf>
    <xf numFmtId="164" fontId="45" fillId="0" borderId="0" xfId="10" applyNumberFormat="1" applyFont="1" applyAlignment="1">
      <alignment horizontal="left"/>
    </xf>
    <xf numFmtId="0" fontId="45" fillId="0" borderId="0" xfId="10" applyFont="1" applyAlignment="1">
      <alignment horizontal="left" wrapText="1"/>
    </xf>
    <xf numFmtId="49" fontId="45" fillId="0" borderId="0" xfId="10" applyNumberFormat="1" applyFont="1" applyAlignment="1">
      <alignment horizontal="left" wrapText="1"/>
    </xf>
    <xf numFmtId="0" fontId="47" fillId="0" borderId="0" xfId="10" applyAlignment="1">
      <alignment horizontal="left" wrapText="1"/>
    </xf>
    <xf numFmtId="0" fontId="47" fillId="0" borderId="0" xfId="10" applyAlignment="1">
      <alignment wrapText="1"/>
    </xf>
    <xf numFmtId="164" fontId="47" fillId="0" borderId="0" xfId="10" applyNumberFormat="1" applyAlignment="1">
      <alignment horizontal="left" wrapText="1"/>
    </xf>
    <xf numFmtId="0" fontId="47" fillId="0" borderId="0" xfId="10" applyAlignment="1">
      <alignment horizontal="center" wrapText="1"/>
    </xf>
    <xf numFmtId="49" fontId="47" fillId="0" borderId="0" xfId="10" applyNumberFormat="1" applyAlignment="1">
      <alignment horizontal="left" wrapText="1"/>
    </xf>
    <xf numFmtId="171" fontId="54" fillId="0" borderId="0" xfId="0" applyNumberFormat="1" applyFont="1" applyAlignment="1">
      <alignment horizontal="left" wrapText="1"/>
    </xf>
    <xf numFmtId="171" fontId="47" fillId="0" borderId="0" xfId="10" applyNumberFormat="1" applyAlignment="1">
      <alignment horizontal="left" wrapText="1"/>
    </xf>
    <xf numFmtId="164" fontId="55" fillId="12" borderId="14" xfId="10" applyNumberFormat="1" applyFont="1" applyFill="1" applyBorder="1" applyAlignment="1">
      <alignment horizontal="left" wrapText="1"/>
    </xf>
    <xf numFmtId="0" fontId="55" fillId="12" borderId="14" xfId="10" applyFont="1" applyFill="1" applyBorder="1" applyAlignment="1">
      <alignment horizontal="left" wrapText="1"/>
    </xf>
    <xf numFmtId="49" fontId="55" fillId="12" borderId="15" xfId="10" applyNumberFormat="1" applyFont="1" applyFill="1" applyBorder="1" applyAlignment="1">
      <alignment horizontal="left" wrapText="1"/>
    </xf>
    <xf numFmtId="0" fontId="56" fillId="12" borderId="14" xfId="10" applyFont="1" applyFill="1" applyBorder="1" applyAlignment="1">
      <alignment horizontal="center" wrapText="1"/>
    </xf>
    <xf numFmtId="0" fontId="55" fillId="12" borderId="17" xfId="10" applyFont="1" applyFill="1" applyBorder="1" applyAlignment="1">
      <alignment wrapText="1"/>
    </xf>
    <xf numFmtId="0" fontId="55" fillId="12" borderId="15" xfId="10" applyFont="1" applyFill="1" applyBorder="1" applyAlignment="1">
      <alignment horizontal="center" wrapText="1"/>
    </xf>
    <xf numFmtId="164" fontId="55" fillId="12" borderId="14" xfId="10" applyNumberFormat="1" applyFont="1" applyFill="1" applyBorder="1" applyAlignment="1">
      <alignment horizontal="center" wrapText="1"/>
    </xf>
    <xf numFmtId="49" fontId="55" fillId="12" borderId="17" xfId="10" applyNumberFormat="1" applyFont="1" applyFill="1" applyBorder="1" applyAlignment="1">
      <alignment horizontal="center" wrapText="1"/>
    </xf>
    <xf numFmtId="49" fontId="55" fillId="12" borderId="14" xfId="10" applyNumberFormat="1" applyFont="1" applyFill="1" applyBorder="1" applyAlignment="1">
      <alignment horizontal="left" wrapText="1"/>
    </xf>
    <xf numFmtId="171" fontId="55" fillId="12" borderId="17" xfId="10" applyNumberFormat="1" applyFont="1" applyFill="1" applyBorder="1" applyAlignment="1" applyProtection="1">
      <alignment horizontal="left" wrapText="1"/>
      <protection locked="0"/>
    </xf>
    <xf numFmtId="0" fontId="57" fillId="13" borderId="14" xfId="0" applyFont="1" applyFill="1" applyBorder="1" applyAlignment="1">
      <alignment wrapText="1"/>
    </xf>
    <xf numFmtId="0" fontId="55" fillId="12" borderId="17" xfId="10" applyFont="1" applyFill="1" applyBorder="1" applyAlignment="1">
      <alignment horizontal="center" wrapText="1"/>
    </xf>
    <xf numFmtId="164" fontId="55" fillId="12" borderId="13" xfId="10" applyNumberFormat="1" applyFont="1" applyFill="1" applyBorder="1" applyAlignment="1">
      <alignment horizontal="left" wrapText="1"/>
    </xf>
    <xf numFmtId="0" fontId="55" fillId="12" borderId="13" xfId="10" applyFont="1" applyFill="1" applyBorder="1" applyAlignment="1">
      <alignment horizontal="left" wrapText="1"/>
    </xf>
    <xf numFmtId="49" fontId="55" fillId="12" borderId="18" xfId="10" applyNumberFormat="1" applyFont="1" applyFill="1" applyBorder="1" applyAlignment="1">
      <alignment horizontal="left" wrapText="1"/>
    </xf>
    <xf numFmtId="0" fontId="55" fillId="12" borderId="13" xfId="10" applyFont="1" applyFill="1" applyBorder="1" applyAlignment="1">
      <alignment horizontal="center" wrapText="1"/>
    </xf>
    <xf numFmtId="0" fontId="55" fillId="12" borderId="19" xfId="10" applyFont="1" applyFill="1" applyBorder="1" applyAlignment="1">
      <alignment wrapText="1"/>
    </xf>
    <xf numFmtId="0" fontId="55" fillId="12" borderId="18" xfId="10" applyFont="1" applyFill="1" applyBorder="1" applyAlignment="1">
      <alignment horizontal="center" wrapText="1"/>
    </xf>
    <xf numFmtId="164" fontId="55" fillId="12" borderId="13" xfId="10" applyNumberFormat="1" applyFont="1" applyFill="1" applyBorder="1" applyAlignment="1">
      <alignment horizontal="center" wrapText="1"/>
    </xf>
    <xf numFmtId="49" fontId="55" fillId="12" borderId="19" xfId="10" applyNumberFormat="1" applyFont="1" applyFill="1" applyBorder="1" applyAlignment="1">
      <alignment horizontal="center" wrapText="1"/>
    </xf>
    <xf numFmtId="49" fontId="55" fillId="12" borderId="13" xfId="10" applyNumberFormat="1" applyFont="1" applyFill="1" applyBorder="1" applyAlignment="1">
      <alignment horizontal="left" wrapText="1"/>
    </xf>
    <xf numFmtId="171" fontId="55" fillId="12" borderId="19" xfId="10" applyNumberFormat="1" applyFont="1" applyFill="1" applyBorder="1" applyAlignment="1" applyProtection="1">
      <alignment horizontal="left" wrapText="1"/>
      <protection locked="0"/>
    </xf>
    <xf numFmtId="0" fontId="55" fillId="13" borderId="13" xfId="0" applyFont="1" applyFill="1" applyBorder="1" applyAlignment="1">
      <alignment wrapText="1"/>
    </xf>
    <xf numFmtId="0" fontId="55" fillId="12" borderId="19" xfId="10" applyFont="1" applyFill="1" applyBorder="1" applyAlignment="1">
      <alignment horizontal="center" wrapText="1"/>
    </xf>
    <xf numFmtId="164" fontId="55" fillId="12" borderId="23" xfId="10" applyNumberFormat="1" applyFont="1" applyFill="1" applyBorder="1" applyAlignment="1">
      <alignment horizontal="left" wrapText="1"/>
    </xf>
    <xf numFmtId="0" fontId="55" fillId="12" borderId="23" xfId="10" applyFont="1" applyFill="1" applyBorder="1" applyAlignment="1">
      <alignment horizontal="left" wrapText="1"/>
    </xf>
    <xf numFmtId="49" fontId="55" fillId="12" borderId="20" xfId="10" applyNumberFormat="1" applyFont="1" applyFill="1" applyBorder="1" applyAlignment="1">
      <alignment horizontal="left" wrapText="1"/>
    </xf>
    <xf numFmtId="0" fontId="56" fillId="12" borderId="23" xfId="10" applyFont="1" applyFill="1" applyBorder="1" applyAlignment="1">
      <alignment horizontal="center" wrapText="1"/>
    </xf>
    <xf numFmtId="0" fontId="55" fillId="12" borderId="22" xfId="10" applyFont="1" applyFill="1" applyBorder="1" applyAlignment="1">
      <alignment wrapText="1"/>
    </xf>
    <xf numFmtId="0" fontId="55" fillId="12" borderId="20" xfId="10" applyFont="1" applyFill="1" applyBorder="1" applyAlignment="1">
      <alignment horizontal="center" wrapText="1"/>
    </xf>
    <xf numFmtId="164" fontId="55" fillId="12" borderId="23" xfId="10" applyNumberFormat="1" applyFont="1" applyFill="1" applyBorder="1" applyAlignment="1">
      <alignment horizontal="center" wrapText="1"/>
    </xf>
    <xf numFmtId="49" fontId="55" fillId="12" borderId="22" xfId="10" applyNumberFormat="1" applyFont="1" applyFill="1" applyBorder="1" applyAlignment="1">
      <alignment horizontal="center" wrapText="1"/>
    </xf>
    <xf numFmtId="49" fontId="55" fillId="12" borderId="23" xfId="10" applyNumberFormat="1" applyFont="1" applyFill="1" applyBorder="1" applyAlignment="1">
      <alignment horizontal="left" wrapText="1"/>
    </xf>
    <xf numFmtId="171" fontId="55" fillId="12" borderId="22" xfId="10" applyNumberFormat="1" applyFont="1" applyFill="1" applyBorder="1" applyAlignment="1" applyProtection="1">
      <alignment horizontal="left" wrapText="1"/>
      <protection locked="0"/>
    </xf>
    <xf numFmtId="0" fontId="57" fillId="13" borderId="23" xfId="0" applyFont="1" applyFill="1" applyBorder="1" applyAlignment="1">
      <alignment wrapText="1"/>
    </xf>
    <xf numFmtId="0" fontId="55" fillId="12" borderId="22" xfId="10" applyFont="1" applyFill="1" applyBorder="1" applyAlignment="1">
      <alignment horizontal="center" wrapText="1"/>
    </xf>
    <xf numFmtId="0" fontId="9" fillId="2" borderId="0" xfId="2" applyFont="1" applyFill="1" applyBorder="1" applyAlignment="1">
      <alignment vertical="center" wrapText="1"/>
    </xf>
    <xf numFmtId="49" fontId="22" fillId="11" borderId="5" xfId="0" applyNumberFormat="1" applyFont="1" applyFill="1" applyBorder="1" applyAlignment="1">
      <alignment horizontal="left"/>
    </xf>
    <xf numFmtId="49" fontId="2" fillId="11" borderId="5" xfId="1" applyNumberFormat="1" applyFill="1" applyBorder="1" applyAlignment="1">
      <alignment horizontal="center"/>
    </xf>
    <xf numFmtId="0" fontId="2" fillId="0" borderId="5" xfId="1" applyBorder="1" applyAlignment="1">
      <alignment horizontal="left" vertical="top"/>
    </xf>
    <xf numFmtId="0" fontId="2" fillId="0" borderId="6" xfId="1" applyBorder="1" applyAlignment="1">
      <alignment horizontal="left" vertical="top"/>
    </xf>
    <xf numFmtId="0" fontId="59" fillId="0" borderId="0" xfId="0" applyFont="1"/>
    <xf numFmtId="0" fontId="11" fillId="0" borderId="0" xfId="8" applyFont="1" applyFill="1" applyBorder="1" applyAlignment="1">
      <alignment horizontal="left" vertical="top"/>
    </xf>
    <xf numFmtId="0" fontId="2" fillId="0" borderId="7" xfId="1" applyBorder="1" applyAlignment="1">
      <alignment horizontal="left" vertical="top"/>
    </xf>
    <xf numFmtId="167" fontId="22" fillId="0" borderId="12" xfId="2" applyNumberFormat="1" applyFont="1" applyBorder="1" applyAlignment="1">
      <alignment horizontal="left"/>
    </xf>
    <xf numFmtId="0" fontId="22" fillId="0" borderId="12" xfId="2" applyFont="1" applyBorder="1" applyAlignment="1">
      <alignment horizontal="left"/>
    </xf>
    <xf numFmtId="0" fontId="23" fillId="0" borderId="12" xfId="2" applyFont="1" applyBorder="1" applyAlignment="1">
      <alignment horizontal="left"/>
    </xf>
    <xf numFmtId="0" fontId="23" fillId="3" borderId="12" xfId="2" applyFont="1" applyFill="1" applyBorder="1" applyAlignment="1">
      <alignment horizontal="left"/>
    </xf>
    <xf numFmtId="2" fontId="22" fillId="0" borderId="12" xfId="2" applyNumberFormat="1" applyFont="1" applyBorder="1" applyAlignment="1">
      <alignment horizontal="left"/>
    </xf>
    <xf numFmtId="0" fontId="60" fillId="0" borderId="0" xfId="0" applyFont="1"/>
    <xf numFmtId="14" fontId="11" fillId="3" borderId="6" xfId="8" applyNumberFormat="1" applyFont="1" applyFill="1" applyBorder="1" applyAlignment="1">
      <alignment horizontal="left" vertical="top"/>
    </xf>
    <xf numFmtId="0" fontId="11" fillId="3" borderId="7" xfId="8" applyFont="1" applyFill="1" applyBorder="1" applyAlignment="1">
      <alignment horizontal="left" vertical="top"/>
    </xf>
    <xf numFmtId="14" fontId="2" fillId="7" borderId="12" xfId="1" applyNumberFormat="1" applyFill="1" applyBorder="1" applyAlignment="1">
      <alignment horizontal="center" vertical="center"/>
    </xf>
    <xf numFmtId="0" fontId="61" fillId="7" borderId="8" xfId="0" applyFont="1" applyFill="1" applyBorder="1" applyAlignment="1">
      <alignment horizontal="left" vertical="center"/>
    </xf>
    <xf numFmtId="1" fontId="61" fillId="7" borderId="8" xfId="0" applyNumberFormat="1" applyFont="1" applyFill="1" applyBorder="1" applyAlignment="1">
      <alignment horizontal="left" vertical="center"/>
    </xf>
    <xf numFmtId="14" fontId="61" fillId="7" borderId="8" xfId="0" applyNumberFormat="1" applyFont="1" applyFill="1" applyBorder="1" applyAlignment="1">
      <alignment horizontal="left" vertical="center"/>
    </xf>
    <xf numFmtId="49" fontId="61" fillId="7" borderId="8" xfId="0" applyNumberFormat="1" applyFont="1" applyFill="1" applyBorder="1" applyAlignment="1">
      <alignment horizontal="left" vertical="center"/>
    </xf>
    <xf numFmtId="164" fontId="61" fillId="3" borderId="8" xfId="0" applyNumberFormat="1" applyFont="1" applyFill="1" applyBorder="1" applyAlignment="1">
      <alignment horizontal="left" wrapText="1"/>
    </xf>
    <xf numFmtId="0" fontId="61" fillId="9" borderId="8" xfId="0" applyFont="1" applyFill="1" applyBorder="1" applyAlignment="1">
      <alignment horizontal="left" vertical="center"/>
    </xf>
    <xf numFmtId="0" fontId="61" fillId="3" borderId="8" xfId="0" applyFont="1" applyFill="1" applyBorder="1" applyAlignment="1">
      <alignment horizontal="left" wrapText="1"/>
    </xf>
    <xf numFmtId="14" fontId="61" fillId="3" borderId="8" xfId="0" applyNumberFormat="1" applyFont="1" applyFill="1" applyBorder="1" applyAlignment="1">
      <alignment horizontal="left"/>
    </xf>
    <xf numFmtId="0" fontId="61" fillId="3" borderId="8" xfId="0" applyFont="1" applyFill="1" applyBorder="1" applyAlignment="1">
      <alignment horizontal="left"/>
    </xf>
    <xf numFmtId="164" fontId="61" fillId="3" borderId="8" xfId="0" applyNumberFormat="1" applyFont="1" applyFill="1" applyBorder="1" applyAlignment="1">
      <alignment horizontal="left"/>
    </xf>
    <xf numFmtId="1" fontId="61" fillId="3" borderId="8" xfId="0" applyNumberFormat="1" applyFont="1" applyFill="1" applyBorder="1" applyAlignment="1">
      <alignment horizontal="left"/>
    </xf>
    <xf numFmtId="0" fontId="61" fillId="7" borderId="8" xfId="0" quotePrefix="1" applyFont="1" applyFill="1" applyBorder="1" applyAlignment="1">
      <alignment horizontal="left" vertical="center"/>
    </xf>
    <xf numFmtId="49" fontId="61" fillId="3" borderId="8" xfId="0" applyNumberFormat="1" applyFont="1" applyFill="1" applyBorder="1" applyAlignment="1">
      <alignment horizontal="left"/>
    </xf>
    <xf numFmtId="0" fontId="61" fillId="3" borderId="8" xfId="0" quotePrefix="1" applyFont="1" applyFill="1" applyBorder="1" applyAlignment="1">
      <alignment horizontal="left" wrapText="1"/>
    </xf>
    <xf numFmtId="14" fontId="61" fillId="3" borderId="8" xfId="8" applyNumberFormat="1" applyFont="1" applyFill="1" applyBorder="1" applyAlignment="1">
      <alignment horizontal="left" vertical="top"/>
    </xf>
    <xf numFmtId="0" fontId="61" fillId="3" borderId="8" xfId="8" applyFont="1" applyFill="1" applyBorder="1" applyAlignment="1">
      <alignment horizontal="left" vertical="top"/>
    </xf>
    <xf numFmtId="14" fontId="61" fillId="3" borderId="8" xfId="2" applyNumberFormat="1" applyFont="1" applyFill="1" applyBorder="1" applyAlignment="1">
      <alignment horizontal="left"/>
    </xf>
    <xf numFmtId="0" fontId="61" fillId="3" borderId="8" xfId="2" applyFont="1" applyFill="1" applyBorder="1" applyAlignment="1">
      <alignment horizontal="left"/>
    </xf>
    <xf numFmtId="0" fontId="62" fillId="0" borderId="0" xfId="0" applyFont="1" applyAlignment="1">
      <alignment wrapText="1"/>
    </xf>
    <xf numFmtId="0" fontId="61" fillId="14" borderId="8" xfId="0" applyFont="1" applyFill="1" applyBorder="1" applyAlignment="1">
      <alignment horizontal="left" vertical="center"/>
    </xf>
    <xf numFmtId="0" fontId="61" fillId="15" borderId="8" xfId="0" applyFont="1" applyFill="1" applyBorder="1" applyAlignment="1">
      <alignment horizontal="left" vertical="center"/>
    </xf>
    <xf numFmtId="0" fontId="61" fillId="16" borderId="8" xfId="0" applyFont="1" applyFill="1" applyBorder="1" applyAlignment="1">
      <alignment horizontal="left" vertical="center"/>
    </xf>
    <xf numFmtId="0" fontId="61" fillId="17" borderId="8" xfId="0" applyFont="1" applyFill="1" applyBorder="1" applyAlignment="1">
      <alignment horizontal="left" vertical="center"/>
    </xf>
    <xf numFmtId="0" fontId="61" fillId="18" borderId="8" xfId="0" applyFont="1" applyFill="1" applyBorder="1" applyAlignment="1">
      <alignment horizontal="left" vertical="center"/>
    </xf>
    <xf numFmtId="0" fontId="61" fillId="19" borderId="8" xfId="0" applyFont="1" applyFill="1" applyBorder="1" applyAlignment="1">
      <alignment horizontal="left" vertical="center"/>
    </xf>
    <xf numFmtId="49" fontId="64" fillId="3" borderId="8" xfId="1" applyNumberFormat="1" applyFont="1" applyFill="1" applyBorder="1" applyAlignment="1">
      <alignment horizontal="left"/>
    </xf>
    <xf numFmtId="0" fontId="64" fillId="3" borderId="8" xfId="1" applyFont="1" applyFill="1" applyBorder="1" applyAlignment="1">
      <alignment horizontal="left" vertical="top"/>
    </xf>
    <xf numFmtId="14" fontId="64" fillId="7" borderId="8" xfId="1" applyNumberFormat="1" applyFont="1" applyFill="1" applyBorder="1" applyAlignment="1">
      <alignment horizontal="left" vertical="center"/>
    </xf>
    <xf numFmtId="0" fontId="64" fillId="3" borderId="8" xfId="1" applyFont="1" applyFill="1" applyBorder="1" applyAlignment="1">
      <alignment horizontal="left" vertical="center"/>
    </xf>
    <xf numFmtId="172" fontId="63" fillId="3" borderId="8" xfId="0" applyNumberFormat="1" applyFont="1" applyFill="1" applyBorder="1" applyAlignment="1">
      <alignment horizontal="left" wrapText="1"/>
    </xf>
    <xf numFmtId="172" fontId="64" fillId="3" borderId="8" xfId="1" applyNumberFormat="1" applyFont="1" applyFill="1" applyBorder="1" applyAlignment="1">
      <alignment horizontal="left" wrapText="1"/>
    </xf>
    <xf numFmtId="49" fontId="65" fillId="3" borderId="8" xfId="1" applyNumberFormat="1" applyFont="1" applyFill="1" applyBorder="1" applyAlignment="1">
      <alignment horizontal="left"/>
    </xf>
    <xf numFmtId="0" fontId="64" fillId="3" borderId="8" xfId="1" applyFont="1" applyFill="1" applyBorder="1" applyAlignment="1">
      <alignment horizontal="left"/>
    </xf>
    <xf numFmtId="170" fontId="11" fillId="0" borderId="0" xfId="9" applyFont="1" applyBorder="1" applyAlignment="1">
      <alignment horizontal="left" vertical="top"/>
    </xf>
    <xf numFmtId="14" fontId="11" fillId="3" borderId="5" xfId="8" applyNumberFormat="1" applyFont="1" applyFill="1" applyBorder="1" applyAlignment="1">
      <alignment horizontal="left" vertical="top"/>
    </xf>
    <xf numFmtId="14" fontId="11" fillId="3" borderId="7" xfId="8" applyNumberFormat="1" applyFont="1" applyFill="1" applyBorder="1" applyAlignment="1">
      <alignment horizontal="left" vertical="top"/>
    </xf>
    <xf numFmtId="0" fontId="11" fillId="0" borderId="0" xfId="8" applyFont="1" applyFill="1" applyAlignment="1">
      <alignment horizontal="center" vertical="top"/>
    </xf>
    <xf numFmtId="164" fontId="22" fillId="3" borderId="5" xfId="0" applyNumberFormat="1" applyFont="1" applyFill="1" applyBorder="1" applyAlignment="1">
      <alignment horizontal="center"/>
    </xf>
    <xf numFmtId="14" fontId="22" fillId="3" borderId="5" xfId="2" applyNumberFormat="1" applyFont="1" applyFill="1" applyBorder="1" applyAlignment="1">
      <alignment horizontal="left"/>
    </xf>
  </cellXfs>
  <cellStyles count="12">
    <cellStyle name="Hipervínculo" xfId="1" builtinId="8"/>
    <cellStyle name="Hipervínculo 3" xfId="11"/>
    <cellStyle name="Millares 10 15" xfId="9"/>
    <cellStyle name="Normal" xfId="0" builtinId="0"/>
    <cellStyle name="Normal 104" xfId="7"/>
    <cellStyle name="Normal 104 5" xfId="2"/>
    <cellStyle name="Normal 2 2 2" xfId="10"/>
    <cellStyle name="Normal 2 2 2 2" xfId="3"/>
    <cellStyle name="Normal 34 5 8" xfId="8"/>
    <cellStyle name="Normal 34 5 8 5" xfId="5"/>
    <cellStyle name="Normal 38 4 7" xfId="6"/>
    <cellStyle name="Normal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="" xmlns:a16="http://schemas.microsoft.com/office/drawing/2014/main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="" xmlns:a16="http://schemas.microsoft.com/office/drawing/2014/main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="" xmlns:a16="http://schemas.microsoft.com/office/drawing/2014/main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109408</xdr:colOff>
      <xdr:row>0</xdr:row>
      <xdr:rowOff>173767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8" y="3703551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oha_santanap@hotmail.com" TargetMode="External"/><Relationship Id="rId13" Type="http://schemas.openxmlformats.org/officeDocument/2006/relationships/hyperlink" Target="mailto:chablayroberto@gmail.com" TargetMode="External"/><Relationship Id="rId3" Type="http://schemas.openxmlformats.org/officeDocument/2006/relationships/hyperlink" Target="mailto:claradonoso@yahoo.com" TargetMode="External"/><Relationship Id="rId7" Type="http://schemas.openxmlformats.org/officeDocument/2006/relationships/hyperlink" Target="mailto:zurita83@hotmail.com" TargetMode="External"/><Relationship Id="rId12" Type="http://schemas.openxmlformats.org/officeDocument/2006/relationships/hyperlink" Target="mailto:monica.dagaro@gmail.com" TargetMode="External"/><Relationship Id="rId2" Type="http://schemas.openxmlformats.org/officeDocument/2006/relationships/hyperlink" Target="mailto:importoobra@asbaterianet" TargetMode="External"/><Relationship Id="rId1" Type="http://schemas.openxmlformats.org/officeDocument/2006/relationships/hyperlink" Target="mailto:crisalma77@hotmail.com" TargetMode="External"/><Relationship Id="rId6" Type="http://schemas.openxmlformats.org/officeDocument/2006/relationships/hyperlink" Target="mailto:andrade.paul@hotmail.com" TargetMode="External"/><Relationship Id="rId11" Type="http://schemas.openxmlformats.org/officeDocument/2006/relationships/hyperlink" Target="mailto:clarapalacios58@hotmail.com" TargetMode="External"/><Relationship Id="rId5" Type="http://schemas.openxmlformats.org/officeDocument/2006/relationships/hyperlink" Target="mailto:gerencia@hotmailcarvallo.com.ec" TargetMode="External"/><Relationship Id="rId10" Type="http://schemas.openxmlformats.org/officeDocument/2006/relationships/hyperlink" Target="mailto:joaquincoellocg@gmail.com" TargetMode="External"/><Relationship Id="rId4" Type="http://schemas.openxmlformats.org/officeDocument/2006/relationships/hyperlink" Target="mailto:LJIMENEZSA.LJ@GMAIL.COM" TargetMode="External"/><Relationship Id="rId9" Type="http://schemas.openxmlformats.org/officeDocument/2006/relationships/hyperlink" Target="mailto:jorgedu1005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yira0808@gmail.com" TargetMode="External"/><Relationship Id="rId13" Type="http://schemas.openxmlformats.org/officeDocument/2006/relationships/hyperlink" Target="mailto:luis.quishpiv@hotmail.com" TargetMode="External"/><Relationship Id="rId18" Type="http://schemas.openxmlformats.org/officeDocument/2006/relationships/hyperlink" Target="mailto:ruthwilchesalvear@gmail.com" TargetMode="External"/><Relationship Id="rId26" Type="http://schemas.openxmlformats.org/officeDocument/2006/relationships/hyperlink" Target="mailto:callejan14@gmail.com" TargetMode="External"/><Relationship Id="rId39" Type="http://schemas.openxmlformats.org/officeDocument/2006/relationships/hyperlink" Target="mailto:wva.creativedesing@gmail.com" TargetMode="External"/><Relationship Id="rId3" Type="http://schemas.openxmlformats.org/officeDocument/2006/relationships/hyperlink" Target="mailto:chabevivar@yahoo.com" TargetMode="External"/><Relationship Id="rId21" Type="http://schemas.openxmlformats.org/officeDocument/2006/relationships/hyperlink" Target="mailto:monavaco@gmail.com" TargetMode="External"/><Relationship Id="rId34" Type="http://schemas.openxmlformats.org/officeDocument/2006/relationships/hyperlink" Target="mailto:CRISORT2010X@GMAIL.COM" TargetMode="External"/><Relationship Id="rId42" Type="http://schemas.openxmlformats.org/officeDocument/2006/relationships/drawing" Target="../drawings/drawing3.xml"/><Relationship Id="rId7" Type="http://schemas.openxmlformats.org/officeDocument/2006/relationships/hyperlink" Target="mailto:sayira0808@gmail.com" TargetMode="External"/><Relationship Id="rId12" Type="http://schemas.openxmlformats.org/officeDocument/2006/relationships/hyperlink" Target="mailto:magui-lojano@hotmail.com" TargetMode="External"/><Relationship Id="rId17" Type="http://schemas.openxmlformats.org/officeDocument/2006/relationships/hyperlink" Target="mailto:sufarmacia_cuenca@outlook.com" TargetMode="External"/><Relationship Id="rId25" Type="http://schemas.openxmlformats.org/officeDocument/2006/relationships/hyperlink" Target="mailto:callejan14@gmail.com" TargetMode="External"/><Relationship Id="rId33" Type="http://schemas.openxmlformats.org/officeDocument/2006/relationships/hyperlink" Target="mailto:CRISORT2010X@GMAIL.COM" TargetMode="External"/><Relationship Id="rId38" Type="http://schemas.openxmlformats.org/officeDocument/2006/relationships/hyperlink" Target="mailto:wva.creativedesing@gmail.com" TargetMode="External"/><Relationship Id="rId2" Type="http://schemas.openxmlformats.org/officeDocument/2006/relationships/hyperlink" Target="mailto:fannyalbuja67@gmail.com" TargetMode="External"/><Relationship Id="rId16" Type="http://schemas.openxmlformats.org/officeDocument/2006/relationships/hyperlink" Target="mailto:sufarmacia_cuenca@outlook.com" TargetMode="External"/><Relationship Id="rId20" Type="http://schemas.openxmlformats.org/officeDocument/2006/relationships/hyperlink" Target="mailto:monavaco@gmail.com" TargetMode="External"/><Relationship Id="rId29" Type="http://schemas.openxmlformats.org/officeDocument/2006/relationships/hyperlink" Target="mailto:CRISORT2010X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fannyalbuja67@gmail.com" TargetMode="External"/><Relationship Id="rId6" Type="http://schemas.openxmlformats.org/officeDocument/2006/relationships/hyperlink" Target="mailto:mu&#241;ozalvarez@hotmail.com" TargetMode="External"/><Relationship Id="rId11" Type="http://schemas.openxmlformats.org/officeDocument/2006/relationships/hyperlink" Target="mailto:magui-lojano@hotmail.com" TargetMode="External"/><Relationship Id="rId24" Type="http://schemas.openxmlformats.org/officeDocument/2006/relationships/hyperlink" Target="mailto:mariajoserebolledo00@gmail.com" TargetMode="External"/><Relationship Id="rId32" Type="http://schemas.openxmlformats.org/officeDocument/2006/relationships/hyperlink" Target="mailto:CRISORT2010X@GMAIL.COM" TargetMode="External"/><Relationship Id="rId37" Type="http://schemas.openxmlformats.org/officeDocument/2006/relationships/hyperlink" Target="mailto:wva.creativedesing@gmail.com" TargetMode="External"/><Relationship Id="rId40" Type="http://schemas.openxmlformats.org/officeDocument/2006/relationships/hyperlink" Target="mailto:wva.creativedesing@gmail.com" TargetMode="External"/><Relationship Id="rId5" Type="http://schemas.openxmlformats.org/officeDocument/2006/relationships/hyperlink" Target="mailto:mu&#241;ozalvarez@hotmail.com" TargetMode="External"/><Relationship Id="rId15" Type="http://schemas.openxmlformats.org/officeDocument/2006/relationships/hyperlink" Target="mailto:luis.quishpiv@hotmail.com" TargetMode="External"/><Relationship Id="rId23" Type="http://schemas.openxmlformats.org/officeDocument/2006/relationships/hyperlink" Target="mailto:mariajoserebolledo00@gmail.com" TargetMode="External"/><Relationship Id="rId28" Type="http://schemas.openxmlformats.org/officeDocument/2006/relationships/hyperlink" Target="mailto:callejan14@gmail.com" TargetMode="External"/><Relationship Id="rId36" Type="http://schemas.openxmlformats.org/officeDocument/2006/relationships/hyperlink" Target="mailto:ma_216@hotmail.com" TargetMode="External"/><Relationship Id="rId10" Type="http://schemas.openxmlformats.org/officeDocument/2006/relationships/hyperlink" Target="mailto:pinedawidi@gmail.com" TargetMode="External"/><Relationship Id="rId19" Type="http://schemas.openxmlformats.org/officeDocument/2006/relationships/hyperlink" Target="mailto:ruthwilchesalvear@gmail.com" TargetMode="External"/><Relationship Id="rId31" Type="http://schemas.openxmlformats.org/officeDocument/2006/relationships/hyperlink" Target="mailto:CRISORT2010X@GMAIL.COM" TargetMode="External"/><Relationship Id="rId4" Type="http://schemas.openxmlformats.org/officeDocument/2006/relationships/hyperlink" Target="mailto:chabevivar@yahoo.com" TargetMode="External"/><Relationship Id="rId9" Type="http://schemas.openxmlformats.org/officeDocument/2006/relationships/hyperlink" Target="mailto:pinedawidi@gmail.com" TargetMode="External"/><Relationship Id="rId14" Type="http://schemas.openxmlformats.org/officeDocument/2006/relationships/hyperlink" Target="mailto:luis.quishpiv@hotmail.com" TargetMode="External"/><Relationship Id="rId22" Type="http://schemas.openxmlformats.org/officeDocument/2006/relationships/hyperlink" Target="mailto:monavaco@gmail.com" TargetMode="External"/><Relationship Id="rId27" Type="http://schemas.openxmlformats.org/officeDocument/2006/relationships/hyperlink" Target="mailto:callejan14@gmail.com" TargetMode="External"/><Relationship Id="rId30" Type="http://schemas.openxmlformats.org/officeDocument/2006/relationships/hyperlink" Target="mailto:CRISORT2010X@GMAIL.COM" TargetMode="External"/><Relationship Id="rId35" Type="http://schemas.openxmlformats.org/officeDocument/2006/relationships/hyperlink" Target="mailto:ma_216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xrzroman621@gmail.com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mailto:gonzaavic@gmail.com" TargetMode="External"/><Relationship Id="rId1" Type="http://schemas.openxmlformats.org/officeDocument/2006/relationships/hyperlink" Target="mailto:dayanachica@hotmail.com" TargetMode="External"/><Relationship Id="rId6" Type="http://schemas.openxmlformats.org/officeDocument/2006/relationships/hyperlink" Target="mailto:vicheinz@hotmail.com" TargetMode="External"/><Relationship Id="rId5" Type="http://schemas.openxmlformats.org/officeDocument/2006/relationships/hyperlink" Target="mailto:carrione1985@gmail.com" TargetMode="External"/><Relationship Id="rId4" Type="http://schemas.openxmlformats.org/officeDocument/2006/relationships/hyperlink" Target="mailto:vishuri@hot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pinedawidi@gmail.com" TargetMode="External"/><Relationship Id="rId18" Type="http://schemas.openxmlformats.org/officeDocument/2006/relationships/hyperlink" Target="mailto:vishuri@hotmail.com" TargetMode="External"/><Relationship Id="rId26" Type="http://schemas.openxmlformats.org/officeDocument/2006/relationships/hyperlink" Target="mailto:luis.quishpiv@hotmail.com" TargetMode="External"/><Relationship Id="rId39" Type="http://schemas.openxmlformats.org/officeDocument/2006/relationships/hyperlink" Target="mailto:mariajoserebolledo00@gmail.com" TargetMode="External"/><Relationship Id="rId21" Type="http://schemas.openxmlformats.org/officeDocument/2006/relationships/hyperlink" Target="mailto:andrade.paul@hotmail.com" TargetMode="External"/><Relationship Id="rId34" Type="http://schemas.openxmlformats.org/officeDocument/2006/relationships/hyperlink" Target="mailto:ruthwilchesalvear@gmail.com" TargetMode="External"/><Relationship Id="rId42" Type="http://schemas.openxmlformats.org/officeDocument/2006/relationships/hyperlink" Target="mailto:callejan14@gmail.com" TargetMode="External"/><Relationship Id="rId47" Type="http://schemas.openxmlformats.org/officeDocument/2006/relationships/hyperlink" Target="mailto:CRISORT2010X@GMAIL.COM" TargetMode="External"/><Relationship Id="rId50" Type="http://schemas.openxmlformats.org/officeDocument/2006/relationships/hyperlink" Target="mailto:CRISORT2010X@GMAIL.COM" TargetMode="External"/><Relationship Id="rId55" Type="http://schemas.openxmlformats.org/officeDocument/2006/relationships/hyperlink" Target="mailto:wva.creativedesing@gmail.com" TargetMode="External"/><Relationship Id="rId7" Type="http://schemas.openxmlformats.org/officeDocument/2006/relationships/hyperlink" Target="mailto:fannyalbuja67@gmail.com" TargetMode="External"/><Relationship Id="rId2" Type="http://schemas.openxmlformats.org/officeDocument/2006/relationships/hyperlink" Target="mailto:chabevivar@yahoo.com" TargetMode="External"/><Relationship Id="rId16" Type="http://schemas.openxmlformats.org/officeDocument/2006/relationships/hyperlink" Target="mailto:gonzaavic@gmail.com" TargetMode="External"/><Relationship Id="rId20" Type="http://schemas.openxmlformats.org/officeDocument/2006/relationships/hyperlink" Target="mailto:zurita83@hotmail.com" TargetMode="External"/><Relationship Id="rId29" Type="http://schemas.openxmlformats.org/officeDocument/2006/relationships/hyperlink" Target="mailto:joha_santanap@hotmail.com" TargetMode="External"/><Relationship Id="rId41" Type="http://schemas.openxmlformats.org/officeDocument/2006/relationships/hyperlink" Target="mailto:callejan14@gmail.com" TargetMode="External"/><Relationship Id="rId54" Type="http://schemas.openxmlformats.org/officeDocument/2006/relationships/hyperlink" Target="mailto:wva.creativedesing@gmail.com" TargetMode="External"/><Relationship Id="rId1" Type="http://schemas.openxmlformats.org/officeDocument/2006/relationships/hyperlink" Target="mailto:chabevivar@yahoo.com" TargetMode="External"/><Relationship Id="rId6" Type="http://schemas.openxmlformats.org/officeDocument/2006/relationships/hyperlink" Target="mailto:claradonoso@yahoo.com" TargetMode="External"/><Relationship Id="rId11" Type="http://schemas.openxmlformats.org/officeDocument/2006/relationships/hyperlink" Target="mailto:sayira0808@gmail.com" TargetMode="External"/><Relationship Id="rId24" Type="http://schemas.openxmlformats.org/officeDocument/2006/relationships/hyperlink" Target="mailto:magui-lojano@hotmail.com" TargetMode="External"/><Relationship Id="rId32" Type="http://schemas.openxmlformats.org/officeDocument/2006/relationships/hyperlink" Target="mailto:VICHENZ@HOTMAIL.COM" TargetMode="External"/><Relationship Id="rId37" Type="http://schemas.openxmlformats.org/officeDocument/2006/relationships/hyperlink" Target="mailto:monavaco@gmail.com" TargetMode="External"/><Relationship Id="rId40" Type="http://schemas.openxmlformats.org/officeDocument/2006/relationships/hyperlink" Target="mailto:callejan14@gmail.com" TargetMode="External"/><Relationship Id="rId45" Type="http://schemas.openxmlformats.org/officeDocument/2006/relationships/hyperlink" Target="mailto:CRISORT2010X@GMAIL.COM" TargetMode="External"/><Relationship Id="rId53" Type="http://schemas.openxmlformats.org/officeDocument/2006/relationships/hyperlink" Target="mailto:wva.creativedesing@gmail.com" TargetMode="External"/><Relationship Id="rId58" Type="http://schemas.openxmlformats.org/officeDocument/2006/relationships/hyperlink" Target="mailto:gonzare11@hotmail.com" TargetMode="External"/><Relationship Id="rId5" Type="http://schemas.openxmlformats.org/officeDocument/2006/relationships/hyperlink" Target="mailto:importoobra@asbaterianet" TargetMode="External"/><Relationship Id="rId15" Type="http://schemas.openxmlformats.org/officeDocument/2006/relationships/hyperlink" Target="mailto:dayanachica@hotmail.com" TargetMode="External"/><Relationship Id="rId23" Type="http://schemas.openxmlformats.org/officeDocument/2006/relationships/hyperlink" Target="mailto:magui-lojano@hotmail.com" TargetMode="External"/><Relationship Id="rId28" Type="http://schemas.openxmlformats.org/officeDocument/2006/relationships/hyperlink" Target="mailto:jorgedu1005@hotmail.com" TargetMode="External"/><Relationship Id="rId36" Type="http://schemas.openxmlformats.org/officeDocument/2006/relationships/hyperlink" Target="mailto:monavaco@gmail.com" TargetMode="External"/><Relationship Id="rId49" Type="http://schemas.openxmlformats.org/officeDocument/2006/relationships/hyperlink" Target="mailto:CRISORT2010X@GMAIL.COM" TargetMode="External"/><Relationship Id="rId57" Type="http://schemas.openxmlformats.org/officeDocument/2006/relationships/hyperlink" Target="mailto:chablayroberto@gmail.com" TargetMode="External"/><Relationship Id="rId61" Type="http://schemas.openxmlformats.org/officeDocument/2006/relationships/printerSettings" Target="../printerSettings/printerSettings2.bin"/><Relationship Id="rId10" Type="http://schemas.openxmlformats.org/officeDocument/2006/relationships/hyperlink" Target="mailto:sayira0808@gmail.com" TargetMode="External"/><Relationship Id="rId19" Type="http://schemas.openxmlformats.org/officeDocument/2006/relationships/hyperlink" Target="mailto:gerencia@hotmailcarvallo.com.ec" TargetMode="External"/><Relationship Id="rId31" Type="http://schemas.openxmlformats.org/officeDocument/2006/relationships/hyperlink" Target="mailto:clarapalacios58@hotmail.com" TargetMode="External"/><Relationship Id="rId44" Type="http://schemas.openxmlformats.org/officeDocument/2006/relationships/hyperlink" Target="mailto:MONICA.DAGARO@GMAIL.COM" TargetMode="External"/><Relationship Id="rId52" Type="http://schemas.openxmlformats.org/officeDocument/2006/relationships/hyperlink" Target="mailto:ma_216@hotmail.com" TargetMode="External"/><Relationship Id="rId60" Type="http://schemas.openxmlformats.org/officeDocument/2006/relationships/hyperlink" Target="mailto:sufarmacia_cuenca@outlook.com" TargetMode="External"/><Relationship Id="rId4" Type="http://schemas.openxmlformats.org/officeDocument/2006/relationships/hyperlink" Target="mailto:mu&#241;ozalvarez@hotmail.com" TargetMode="External"/><Relationship Id="rId9" Type="http://schemas.openxmlformats.org/officeDocument/2006/relationships/hyperlink" Target="mailto:LJIMENEZSA.LJ@GMAIL.COM" TargetMode="External"/><Relationship Id="rId14" Type="http://schemas.openxmlformats.org/officeDocument/2006/relationships/hyperlink" Target="mailto:pinedawidi@gmail.com" TargetMode="External"/><Relationship Id="rId22" Type="http://schemas.openxmlformats.org/officeDocument/2006/relationships/hyperlink" Target="mailto:carrione1985@gmail.com" TargetMode="External"/><Relationship Id="rId27" Type="http://schemas.openxmlformats.org/officeDocument/2006/relationships/hyperlink" Target="mailto:luis.quishpiv@hotmail.com" TargetMode="External"/><Relationship Id="rId30" Type="http://schemas.openxmlformats.org/officeDocument/2006/relationships/hyperlink" Target="mailto:joaquincoellocg@gmail.com" TargetMode="External"/><Relationship Id="rId35" Type="http://schemas.openxmlformats.org/officeDocument/2006/relationships/hyperlink" Target="mailto:monavaco@gmail.com" TargetMode="External"/><Relationship Id="rId43" Type="http://schemas.openxmlformats.org/officeDocument/2006/relationships/hyperlink" Target="mailto:callejan14@gmail.com" TargetMode="External"/><Relationship Id="rId48" Type="http://schemas.openxmlformats.org/officeDocument/2006/relationships/hyperlink" Target="mailto:CRISORT2010X@GMAIL.COM" TargetMode="External"/><Relationship Id="rId56" Type="http://schemas.openxmlformats.org/officeDocument/2006/relationships/hyperlink" Target="mailto:wva.creativedesing@gmail.com" TargetMode="External"/><Relationship Id="rId8" Type="http://schemas.openxmlformats.org/officeDocument/2006/relationships/hyperlink" Target="mailto:fannyalbuja67@gmail.com" TargetMode="External"/><Relationship Id="rId51" Type="http://schemas.openxmlformats.org/officeDocument/2006/relationships/hyperlink" Target="mailto:ma_216@hotmail.com" TargetMode="External"/><Relationship Id="rId3" Type="http://schemas.openxmlformats.org/officeDocument/2006/relationships/hyperlink" Target="mailto:mu&#241;ozalvarez@hotmail.com" TargetMode="External"/><Relationship Id="rId12" Type="http://schemas.openxmlformats.org/officeDocument/2006/relationships/hyperlink" Target="mailto:crisalma77@hotmail.com" TargetMode="External"/><Relationship Id="rId17" Type="http://schemas.openxmlformats.org/officeDocument/2006/relationships/hyperlink" Target="mailto:xrzroman621@gmail.com" TargetMode="External"/><Relationship Id="rId25" Type="http://schemas.openxmlformats.org/officeDocument/2006/relationships/hyperlink" Target="mailto:luis.quishpiv@hotmail.com" TargetMode="External"/><Relationship Id="rId33" Type="http://schemas.openxmlformats.org/officeDocument/2006/relationships/hyperlink" Target="mailto:ruthwilchesalvear@gmail.com" TargetMode="External"/><Relationship Id="rId38" Type="http://schemas.openxmlformats.org/officeDocument/2006/relationships/hyperlink" Target="mailto:mariajoserebolledo00@gmail.com" TargetMode="External"/><Relationship Id="rId46" Type="http://schemas.openxmlformats.org/officeDocument/2006/relationships/hyperlink" Target="mailto:CRISORT2010X@GMAIL.COM" TargetMode="External"/><Relationship Id="rId59" Type="http://schemas.openxmlformats.org/officeDocument/2006/relationships/hyperlink" Target="mailto:sufarmacia_cuenc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"/>
  <sheetViews>
    <sheetView workbookViewId="0">
      <selection activeCell="O15" sqref="O15"/>
    </sheetView>
  </sheetViews>
  <sheetFormatPr baseColWidth="10" defaultRowHeight="15"/>
  <sheetData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22" ht="15.75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5" t="s">
        <v>100</v>
      </c>
      <c r="M4" s="6"/>
      <c r="N4" s="6"/>
      <c r="O4" s="6"/>
      <c r="P4" s="1"/>
    </row>
    <row r="5" spans="1:22" ht="33.75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211"/>
      <c r="T5" s="211" t="s">
        <v>78</v>
      </c>
    </row>
    <row r="6" spans="1:22" ht="47.25">
      <c r="A6" s="11">
        <v>1</v>
      </c>
      <c r="B6" s="12" t="s">
        <v>86</v>
      </c>
      <c r="C6" s="13"/>
      <c r="D6" s="14" t="s">
        <v>86</v>
      </c>
      <c r="E6" s="15">
        <v>112930023</v>
      </c>
      <c r="F6" s="16" t="s">
        <v>98</v>
      </c>
      <c r="G6" s="15" t="s">
        <v>99</v>
      </c>
      <c r="H6" s="17" t="s">
        <v>25</v>
      </c>
      <c r="I6" s="17" t="s">
        <v>20</v>
      </c>
      <c r="J6" s="18" t="s">
        <v>21</v>
      </c>
      <c r="K6" s="12">
        <v>45198</v>
      </c>
      <c r="L6" s="16" t="s">
        <v>19</v>
      </c>
      <c r="M6" s="16" t="s">
        <v>22</v>
      </c>
      <c r="N6" s="45">
        <v>991172261</v>
      </c>
      <c r="O6" s="20">
        <v>15</v>
      </c>
      <c r="P6" s="19" t="s">
        <v>23</v>
      </c>
      <c r="Q6" s="21" t="s">
        <v>24</v>
      </c>
      <c r="R6" s="22"/>
      <c r="S6" s="23"/>
      <c r="T6" s="24"/>
      <c r="U6" s="11"/>
      <c r="V6" s="11"/>
    </row>
    <row r="7" spans="1:22">
      <c r="O7" s="25">
        <f>SUM(O6:O6)</f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"/>
  <sheetViews>
    <sheetView topLeftCell="D1" workbookViewId="0">
      <selection activeCell="L19" sqref="L19"/>
    </sheetView>
  </sheetViews>
  <sheetFormatPr baseColWidth="10" defaultRowHeight="15"/>
  <cols>
    <col min="3" max="3" width="18.5703125" customWidth="1"/>
    <col min="7" max="7" width="14.85546875" customWidth="1"/>
    <col min="11" max="11" width="11.85546875" bestFit="1" customWidth="1"/>
    <col min="16" max="16" width="17.85546875" customWidth="1"/>
  </cols>
  <sheetData>
    <row r="2" spans="1:16">
      <c r="A2" s="26"/>
      <c r="B2" s="27"/>
      <c r="C2" s="28"/>
      <c r="D2" s="28"/>
      <c r="E2" s="28"/>
      <c r="F2" s="28"/>
      <c r="G2" s="28"/>
      <c r="H2" s="28"/>
      <c r="I2" s="28"/>
      <c r="J2" s="28"/>
      <c r="K2" s="29"/>
      <c r="L2" s="28"/>
      <c r="M2" s="28"/>
      <c r="N2" s="28"/>
      <c r="O2" s="30"/>
      <c r="P2" s="28"/>
    </row>
    <row r="3" spans="1:16">
      <c r="A3" s="28"/>
      <c r="B3" s="27"/>
      <c r="C3" s="31" t="s">
        <v>0</v>
      </c>
      <c r="D3" s="32"/>
      <c r="E3" s="32"/>
      <c r="F3" s="28"/>
      <c r="G3" s="32"/>
      <c r="H3" s="32"/>
      <c r="I3" s="32"/>
      <c r="J3" s="32"/>
      <c r="K3" s="33"/>
      <c r="L3" s="32"/>
      <c r="M3" s="32"/>
      <c r="N3" s="32"/>
      <c r="O3" s="34"/>
      <c r="P3" s="28"/>
    </row>
    <row r="4" spans="1:16" ht="15.75">
      <c r="A4" s="28"/>
      <c r="B4" s="35"/>
      <c r="C4" s="36" t="s">
        <v>1</v>
      </c>
      <c r="D4" s="36"/>
      <c r="E4" s="36"/>
      <c r="F4" s="28"/>
      <c r="G4" s="28"/>
      <c r="H4" s="37"/>
      <c r="I4" s="38" t="s">
        <v>26</v>
      </c>
      <c r="J4" s="37"/>
      <c r="K4" s="29"/>
      <c r="L4" s="39" t="s">
        <v>101</v>
      </c>
      <c r="M4" s="37"/>
      <c r="N4" s="37"/>
      <c r="O4" s="30"/>
      <c r="P4" s="28"/>
    </row>
    <row r="5" spans="1:16" ht="33.75">
      <c r="A5" s="28"/>
      <c r="B5" s="40" t="s">
        <v>4</v>
      </c>
      <c r="C5" s="41" t="s">
        <v>5</v>
      </c>
      <c r="D5" s="41" t="s">
        <v>6</v>
      </c>
      <c r="E5" s="41" t="s">
        <v>7</v>
      </c>
      <c r="F5" s="41" t="s">
        <v>8</v>
      </c>
      <c r="G5" s="41" t="s">
        <v>9</v>
      </c>
      <c r="H5" s="41" t="s">
        <v>10</v>
      </c>
      <c r="I5" s="41" t="s">
        <v>11</v>
      </c>
      <c r="J5" s="41" t="s">
        <v>12</v>
      </c>
      <c r="K5" s="42" t="s">
        <v>13</v>
      </c>
      <c r="L5" s="42" t="s">
        <v>14</v>
      </c>
      <c r="M5" s="42" t="s">
        <v>15</v>
      </c>
      <c r="N5" s="42" t="s">
        <v>16</v>
      </c>
      <c r="O5" s="43" t="s">
        <v>17</v>
      </c>
      <c r="P5" s="42" t="s">
        <v>18</v>
      </c>
    </row>
    <row r="6" spans="1:16" ht="15.75">
      <c r="A6" s="44">
        <v>2</v>
      </c>
      <c r="B6" s="219"/>
      <c r="C6" s="220" t="s">
        <v>92</v>
      </c>
      <c r="D6" s="220"/>
      <c r="E6" s="220">
        <v>111570003</v>
      </c>
      <c r="F6" s="221" t="s">
        <v>106</v>
      </c>
      <c r="G6" s="222" t="s">
        <v>108</v>
      </c>
      <c r="H6" s="220" t="s">
        <v>25</v>
      </c>
      <c r="I6" s="45" t="s">
        <v>3</v>
      </c>
      <c r="J6" s="45" t="s">
        <v>85</v>
      </c>
      <c r="K6" s="266" t="s">
        <v>381</v>
      </c>
      <c r="L6" s="45" t="s">
        <v>93</v>
      </c>
      <c r="M6" s="45" t="s">
        <v>94</v>
      </c>
      <c r="N6" s="45">
        <v>958639951</v>
      </c>
      <c r="O6" s="223">
        <v>29</v>
      </c>
      <c r="P6" s="45" t="s">
        <v>89</v>
      </c>
    </row>
    <row r="7" spans="1:16" ht="15.75">
      <c r="A7" s="44">
        <v>3</v>
      </c>
      <c r="B7" s="219"/>
      <c r="C7" s="220" t="s">
        <v>92</v>
      </c>
      <c r="D7" s="220"/>
      <c r="E7" s="220">
        <v>111570003</v>
      </c>
      <c r="F7" s="221" t="s">
        <v>106</v>
      </c>
      <c r="G7" s="222" t="s">
        <v>107</v>
      </c>
      <c r="H7" s="220" t="s">
        <v>25</v>
      </c>
      <c r="I7" s="45" t="s">
        <v>3</v>
      </c>
      <c r="J7" s="45" t="s">
        <v>85</v>
      </c>
      <c r="K7" s="266" t="s">
        <v>381</v>
      </c>
      <c r="L7" s="45" t="s">
        <v>93</v>
      </c>
      <c r="M7" s="45" t="s">
        <v>94</v>
      </c>
      <c r="N7" s="45">
        <v>958639951</v>
      </c>
      <c r="O7" s="223">
        <v>29</v>
      </c>
      <c r="P7" s="45" t="s">
        <v>89</v>
      </c>
    </row>
    <row r="8" spans="1:16" ht="15.75">
      <c r="A8" s="44">
        <v>4</v>
      </c>
      <c r="B8" s="219">
        <v>45193</v>
      </c>
      <c r="C8" s="220" t="s">
        <v>287</v>
      </c>
      <c r="D8" s="220" t="s">
        <v>288</v>
      </c>
      <c r="E8" s="220">
        <v>111570003</v>
      </c>
      <c r="F8" s="221" t="s">
        <v>106</v>
      </c>
      <c r="G8" s="222" t="s">
        <v>289</v>
      </c>
      <c r="H8" s="220" t="s">
        <v>25</v>
      </c>
      <c r="I8" s="45" t="s">
        <v>3</v>
      </c>
      <c r="J8" s="45" t="s">
        <v>85</v>
      </c>
      <c r="K8" s="266">
        <v>45217</v>
      </c>
      <c r="L8" s="45" t="s">
        <v>290</v>
      </c>
      <c r="M8" s="45" t="s">
        <v>291</v>
      </c>
      <c r="N8" s="45">
        <v>74048786</v>
      </c>
      <c r="O8" s="223">
        <v>29</v>
      </c>
      <c r="P8" s="45" t="s">
        <v>292</v>
      </c>
    </row>
    <row r="11" spans="1:16" ht="15.75">
      <c r="G11">
        <v>3</v>
      </c>
      <c r="H11" s="46">
        <v>29</v>
      </c>
      <c r="I11">
        <v>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workbookViewId="0">
      <selection activeCell="E15" sqref="E15:E16"/>
    </sheetView>
  </sheetViews>
  <sheetFormatPr baseColWidth="10" defaultRowHeight="15"/>
  <cols>
    <col min="6" max="6" width="16.85546875" customWidth="1"/>
    <col min="7" max="7" width="18.7109375" customWidth="1"/>
    <col min="9" max="9" width="8.42578125" customWidth="1"/>
    <col min="14" max="14" width="15.85546875" customWidth="1"/>
    <col min="18" max="18" width="9.42578125" customWidth="1"/>
    <col min="19" max="19" width="17.140625" customWidth="1"/>
  </cols>
  <sheetData>
    <row r="2" spans="1:21">
      <c r="B2" s="47"/>
      <c r="C2" s="48" t="s">
        <v>27</v>
      </c>
      <c r="F2" s="49"/>
      <c r="G2" s="50"/>
      <c r="H2" s="51"/>
      <c r="I2" s="52"/>
      <c r="J2" s="53"/>
      <c r="K2" s="54"/>
      <c r="L2" s="55"/>
      <c r="M2" s="55"/>
      <c r="N2" s="47"/>
      <c r="O2" s="56"/>
      <c r="T2" s="57"/>
    </row>
    <row r="3" spans="1:21">
      <c r="B3" s="47"/>
      <c r="C3" s="58" t="s">
        <v>1</v>
      </c>
      <c r="F3" s="59"/>
      <c r="G3" s="50"/>
      <c r="H3" s="51"/>
      <c r="I3" s="52"/>
      <c r="J3" s="53" t="s">
        <v>28</v>
      </c>
      <c r="K3" s="54"/>
      <c r="L3" s="55"/>
      <c r="M3" s="60"/>
      <c r="N3" s="61" t="s">
        <v>102</v>
      </c>
      <c r="O3" s="56"/>
      <c r="P3" s="62"/>
      <c r="T3" s="57"/>
    </row>
    <row r="4" spans="1:21" ht="24.75">
      <c r="B4" s="63" t="s">
        <v>29</v>
      </c>
      <c r="C4" s="63" t="s">
        <v>30</v>
      </c>
      <c r="D4" s="63" t="s">
        <v>31</v>
      </c>
      <c r="E4" s="63" t="s">
        <v>6</v>
      </c>
      <c r="F4" s="63" t="s">
        <v>32</v>
      </c>
      <c r="G4" s="63" t="s">
        <v>33</v>
      </c>
      <c r="H4" s="63" t="s">
        <v>34</v>
      </c>
      <c r="I4" s="63" t="s">
        <v>10</v>
      </c>
      <c r="J4" s="63" t="s">
        <v>35</v>
      </c>
      <c r="K4" s="63" t="s">
        <v>36</v>
      </c>
      <c r="L4" s="64" t="s">
        <v>14</v>
      </c>
      <c r="M4" s="64" t="s">
        <v>37</v>
      </c>
      <c r="N4" s="63" t="s">
        <v>16</v>
      </c>
      <c r="O4" s="65" t="s">
        <v>17</v>
      </c>
      <c r="P4" s="63" t="s">
        <v>38</v>
      </c>
      <c r="Q4" s="63" t="s">
        <v>39</v>
      </c>
      <c r="R4" s="66" t="s">
        <v>40</v>
      </c>
      <c r="S4" s="63" t="s">
        <v>41</v>
      </c>
      <c r="T4" s="63" t="s">
        <v>42</v>
      </c>
      <c r="U4" s="67" t="s">
        <v>43</v>
      </c>
    </row>
    <row r="5" spans="1:21">
      <c r="A5" s="68">
        <v>1</v>
      </c>
      <c r="B5" s="70">
        <v>45189</v>
      </c>
      <c r="C5" s="70">
        <v>45134</v>
      </c>
      <c r="D5" s="70" t="s">
        <v>298</v>
      </c>
      <c r="E5" s="70" t="s">
        <v>299</v>
      </c>
      <c r="F5" s="73">
        <v>112570068</v>
      </c>
      <c r="G5" s="70" t="s">
        <v>300</v>
      </c>
      <c r="H5" s="70" t="s">
        <v>301</v>
      </c>
      <c r="I5" s="70" t="s">
        <v>25</v>
      </c>
      <c r="J5" s="70" t="s">
        <v>3</v>
      </c>
      <c r="K5" s="70" t="s">
        <v>85</v>
      </c>
      <c r="L5" s="70" t="s">
        <v>302</v>
      </c>
      <c r="M5" s="70" t="s">
        <v>303</v>
      </c>
      <c r="N5" s="77">
        <v>2802111</v>
      </c>
      <c r="O5" s="78">
        <v>29</v>
      </c>
      <c r="P5" s="70" t="s">
        <v>44</v>
      </c>
      <c r="Q5" s="70" t="s">
        <v>3</v>
      </c>
      <c r="R5" s="70"/>
      <c r="S5" s="70" t="s">
        <v>299</v>
      </c>
      <c r="T5" s="81">
        <v>102403474</v>
      </c>
      <c r="U5" s="227" t="s">
        <v>304</v>
      </c>
    </row>
    <row r="6" spans="1:21">
      <c r="A6" s="68">
        <v>2</v>
      </c>
      <c r="B6" s="70">
        <v>45189</v>
      </c>
      <c r="C6" s="70">
        <v>45185</v>
      </c>
      <c r="D6" s="70" t="s">
        <v>19</v>
      </c>
      <c r="E6" s="70" t="s">
        <v>371</v>
      </c>
      <c r="F6" s="73">
        <v>40466241</v>
      </c>
      <c r="G6" s="70" t="s">
        <v>161</v>
      </c>
      <c r="H6" s="70" t="s">
        <v>305</v>
      </c>
      <c r="I6" s="73">
        <v>403542</v>
      </c>
      <c r="J6" s="70" t="s">
        <v>3</v>
      </c>
      <c r="K6" s="70" t="s">
        <v>85</v>
      </c>
      <c r="L6" s="70" t="s">
        <v>306</v>
      </c>
      <c r="M6" s="70" t="s">
        <v>307</v>
      </c>
      <c r="N6" s="77">
        <v>98414355</v>
      </c>
      <c r="O6" s="78">
        <v>15</v>
      </c>
      <c r="P6" s="70" t="s">
        <v>44</v>
      </c>
      <c r="Q6" s="70" t="s">
        <v>3</v>
      </c>
      <c r="R6" s="70"/>
      <c r="S6" s="70" t="s">
        <v>371</v>
      </c>
      <c r="T6" s="81">
        <v>102797495</v>
      </c>
      <c r="U6" s="227" t="s">
        <v>308</v>
      </c>
    </row>
    <row r="7" spans="1:21">
      <c r="A7" s="68">
        <v>3</v>
      </c>
      <c r="B7" s="70">
        <v>45194</v>
      </c>
      <c r="C7" s="71">
        <v>45178</v>
      </c>
      <c r="D7" s="72" t="s">
        <v>139</v>
      </c>
      <c r="E7" s="72" t="s">
        <v>372</v>
      </c>
      <c r="F7" s="73">
        <v>112570041</v>
      </c>
      <c r="G7" s="74" t="s">
        <v>293</v>
      </c>
      <c r="H7" s="75" t="s">
        <v>294</v>
      </c>
      <c r="I7" s="73">
        <v>383487</v>
      </c>
      <c r="J7" s="70" t="s">
        <v>3</v>
      </c>
      <c r="K7" s="70" t="s">
        <v>85</v>
      </c>
      <c r="L7" s="72" t="s">
        <v>295</v>
      </c>
      <c r="M7" s="76" t="s">
        <v>296</v>
      </c>
      <c r="N7" s="77">
        <v>984884740</v>
      </c>
      <c r="O7" s="78">
        <v>29</v>
      </c>
      <c r="P7" s="79" t="s">
        <v>44</v>
      </c>
      <c r="Q7" s="69" t="s">
        <v>3</v>
      </c>
      <c r="R7" s="80"/>
      <c r="S7" s="72" t="s">
        <v>372</v>
      </c>
      <c r="T7" s="81">
        <v>100674001</v>
      </c>
      <c r="U7" s="82" t="s">
        <v>297</v>
      </c>
    </row>
    <row r="8" spans="1:21">
      <c r="A8" s="68">
        <v>4</v>
      </c>
      <c r="B8" s="70">
        <v>45191</v>
      </c>
      <c r="C8" s="70">
        <v>45179</v>
      </c>
      <c r="D8" s="70" t="s">
        <v>139</v>
      </c>
      <c r="E8" s="70" t="s">
        <v>373</v>
      </c>
      <c r="F8" s="73">
        <v>114270008</v>
      </c>
      <c r="G8" s="70" t="s">
        <v>310</v>
      </c>
      <c r="H8" s="70" t="s">
        <v>311</v>
      </c>
      <c r="I8" s="73" t="s">
        <v>25</v>
      </c>
      <c r="J8" s="70" t="s">
        <v>3</v>
      </c>
      <c r="K8" s="70" t="s">
        <v>85</v>
      </c>
      <c r="L8" s="70" t="s">
        <v>312</v>
      </c>
      <c r="M8" s="70" t="s">
        <v>313</v>
      </c>
      <c r="N8" s="77">
        <v>968419502</v>
      </c>
      <c r="O8" s="78">
        <v>25</v>
      </c>
      <c r="P8" s="70" t="s">
        <v>44</v>
      </c>
      <c r="Q8" s="70" t="s">
        <v>3</v>
      </c>
      <c r="R8" s="70"/>
      <c r="S8" s="70" t="s">
        <v>373</v>
      </c>
      <c r="T8" s="81">
        <v>701844797</v>
      </c>
      <c r="U8" s="227" t="s">
        <v>314</v>
      </c>
    </row>
    <row r="9" spans="1:21">
      <c r="A9" s="68">
        <v>5</v>
      </c>
      <c r="B9" s="70">
        <v>45201</v>
      </c>
      <c r="C9" s="70">
        <v>45198</v>
      </c>
      <c r="D9" s="70" t="s">
        <v>19</v>
      </c>
      <c r="E9" s="70" t="s">
        <v>315</v>
      </c>
      <c r="F9" s="73">
        <v>40197255</v>
      </c>
      <c r="G9" s="70" t="s">
        <v>316</v>
      </c>
      <c r="H9" s="70" t="s">
        <v>317</v>
      </c>
      <c r="I9" s="73">
        <v>406397</v>
      </c>
      <c r="J9" s="70" t="s">
        <v>3</v>
      </c>
      <c r="K9" s="70" t="s">
        <v>85</v>
      </c>
      <c r="L9" s="70" t="s">
        <v>318</v>
      </c>
      <c r="M9" s="70" t="s">
        <v>309</v>
      </c>
      <c r="N9" s="77">
        <v>4109705</v>
      </c>
      <c r="O9" s="78">
        <v>15</v>
      </c>
      <c r="P9" s="70" t="s">
        <v>44</v>
      </c>
      <c r="Q9" s="70" t="s">
        <v>3</v>
      </c>
      <c r="R9" s="70"/>
      <c r="S9" s="70" t="s">
        <v>315</v>
      </c>
      <c r="T9" s="81">
        <v>102447877</v>
      </c>
      <c r="U9" s="227" t="s">
        <v>319</v>
      </c>
    </row>
    <row r="10" spans="1:21">
      <c r="A10" s="68">
        <v>6</v>
      </c>
      <c r="B10" s="70">
        <v>45202</v>
      </c>
      <c r="C10" s="70">
        <v>45198</v>
      </c>
      <c r="D10" s="70" t="s">
        <v>139</v>
      </c>
      <c r="E10" s="70" t="s">
        <v>374</v>
      </c>
      <c r="F10" s="73">
        <v>112570126</v>
      </c>
      <c r="G10" s="70" t="s">
        <v>273</v>
      </c>
      <c r="H10" s="70" t="s">
        <v>320</v>
      </c>
      <c r="I10" s="73">
        <v>404649</v>
      </c>
      <c r="J10" s="70" t="s">
        <v>3</v>
      </c>
      <c r="K10" s="70" t="s">
        <v>85</v>
      </c>
      <c r="L10" s="70" t="s">
        <v>321</v>
      </c>
      <c r="M10" s="70" t="s">
        <v>322</v>
      </c>
      <c r="N10" s="77">
        <v>985338545</v>
      </c>
      <c r="O10" s="78">
        <v>29</v>
      </c>
      <c r="P10" s="70" t="s">
        <v>44</v>
      </c>
      <c r="Q10" s="70" t="s">
        <v>3</v>
      </c>
      <c r="R10" s="70"/>
      <c r="S10" s="70" t="s">
        <v>374</v>
      </c>
      <c r="T10" s="81">
        <v>104427521</v>
      </c>
      <c r="U10" s="227" t="s">
        <v>323</v>
      </c>
    </row>
    <row r="11" spans="1:21">
      <c r="A11" s="68">
        <v>7</v>
      </c>
      <c r="B11" s="70">
        <v>45202</v>
      </c>
      <c r="C11" s="70">
        <v>45198</v>
      </c>
      <c r="D11" s="70" t="s">
        <v>19</v>
      </c>
      <c r="E11" s="70" t="s">
        <v>375</v>
      </c>
      <c r="F11" s="73">
        <v>112580027</v>
      </c>
      <c r="G11" s="70" t="s">
        <v>171</v>
      </c>
      <c r="H11" s="70" t="s">
        <v>324</v>
      </c>
      <c r="I11" s="73">
        <v>404395</v>
      </c>
      <c r="J11" s="70" t="s">
        <v>3</v>
      </c>
      <c r="K11" s="70" t="s">
        <v>85</v>
      </c>
      <c r="L11" s="70" t="s">
        <v>325</v>
      </c>
      <c r="M11" s="70" t="s">
        <v>326</v>
      </c>
      <c r="N11" s="77">
        <v>996877442</v>
      </c>
      <c r="O11" s="78">
        <v>29</v>
      </c>
      <c r="P11" s="70" t="s">
        <v>44</v>
      </c>
      <c r="Q11" s="70" t="s">
        <v>3</v>
      </c>
      <c r="R11" s="70"/>
      <c r="S11" s="70" t="s">
        <v>375</v>
      </c>
      <c r="T11" s="81">
        <v>502750521</v>
      </c>
      <c r="U11" s="227" t="s">
        <v>327</v>
      </c>
    </row>
    <row r="12" spans="1:21">
      <c r="A12" s="68">
        <v>8</v>
      </c>
      <c r="B12" s="70">
        <v>45203</v>
      </c>
      <c r="C12" s="70">
        <v>45202</v>
      </c>
      <c r="D12" s="70" t="s">
        <v>19</v>
      </c>
      <c r="E12" s="70" t="s">
        <v>332</v>
      </c>
      <c r="F12" s="73">
        <v>40466241</v>
      </c>
      <c r="G12" s="70" t="s">
        <v>161</v>
      </c>
      <c r="H12" s="70" t="s">
        <v>333</v>
      </c>
      <c r="I12" s="73">
        <v>405845</v>
      </c>
      <c r="J12" s="70" t="s">
        <v>3</v>
      </c>
      <c r="K12" s="70" t="s">
        <v>85</v>
      </c>
      <c r="L12" s="70" t="s">
        <v>334</v>
      </c>
      <c r="M12" s="70" t="s">
        <v>335</v>
      </c>
      <c r="N12" s="77">
        <v>985897942</v>
      </c>
      <c r="O12" s="78">
        <v>15</v>
      </c>
      <c r="P12" s="70" t="s">
        <v>44</v>
      </c>
      <c r="Q12" s="70" t="s">
        <v>3</v>
      </c>
      <c r="R12" s="70"/>
      <c r="S12" s="70" t="s">
        <v>332</v>
      </c>
      <c r="T12" s="81">
        <v>101331114</v>
      </c>
      <c r="U12" s="227" t="s">
        <v>336</v>
      </c>
    </row>
    <row r="13" spans="1:21">
      <c r="A13" s="68">
        <v>9</v>
      </c>
      <c r="B13" s="70">
        <v>45205</v>
      </c>
      <c r="C13" s="70">
        <v>45122</v>
      </c>
      <c r="D13" s="70" t="s">
        <v>19</v>
      </c>
      <c r="E13" s="70" t="s">
        <v>376</v>
      </c>
      <c r="F13" s="73">
        <v>40466111</v>
      </c>
      <c r="G13" s="70" t="s">
        <v>234</v>
      </c>
      <c r="H13" s="70" t="s">
        <v>328</v>
      </c>
      <c r="I13" s="73" t="s">
        <v>25</v>
      </c>
      <c r="J13" s="70" t="s">
        <v>3</v>
      </c>
      <c r="K13" s="70" t="s">
        <v>85</v>
      </c>
      <c r="L13" s="70" t="s">
        <v>329</v>
      </c>
      <c r="M13" s="70" t="s">
        <v>330</v>
      </c>
      <c r="N13" s="77">
        <v>987150300</v>
      </c>
      <c r="O13" s="78">
        <v>15</v>
      </c>
      <c r="P13" s="70" t="s">
        <v>44</v>
      </c>
      <c r="Q13" s="70" t="s">
        <v>3</v>
      </c>
      <c r="R13" s="70"/>
      <c r="S13" s="70" t="s">
        <v>376</v>
      </c>
      <c r="T13" s="81">
        <v>102974193</v>
      </c>
      <c r="U13" s="227" t="s">
        <v>331</v>
      </c>
    </row>
    <row r="14" spans="1:21">
      <c r="A14" s="68">
        <v>10</v>
      </c>
      <c r="B14" s="70">
        <v>45205</v>
      </c>
      <c r="C14" s="70">
        <v>44451</v>
      </c>
      <c r="D14" s="70" t="s">
        <v>377</v>
      </c>
      <c r="E14" s="70" t="s">
        <v>378</v>
      </c>
      <c r="F14" s="73">
        <v>112570126</v>
      </c>
      <c r="G14" s="70" t="s">
        <v>273</v>
      </c>
      <c r="H14" s="70" t="s">
        <v>337</v>
      </c>
      <c r="I14" s="73" t="s">
        <v>25</v>
      </c>
      <c r="J14" s="70" t="s">
        <v>3</v>
      </c>
      <c r="K14" s="70" t="s">
        <v>85</v>
      </c>
      <c r="L14" s="70" t="s">
        <v>338</v>
      </c>
      <c r="M14" s="70" t="s">
        <v>134</v>
      </c>
      <c r="N14" s="77">
        <v>961547459</v>
      </c>
      <c r="O14" s="78">
        <v>29</v>
      </c>
      <c r="P14" s="70" t="s">
        <v>44</v>
      </c>
      <c r="Q14" s="70" t="s">
        <v>3</v>
      </c>
      <c r="R14" s="70"/>
      <c r="S14" s="70" t="s">
        <v>378</v>
      </c>
      <c r="T14" s="81">
        <v>107128712</v>
      </c>
      <c r="U14" s="227" t="s">
        <v>339</v>
      </c>
    </row>
    <row r="15" spans="1:21">
      <c r="A15" s="68">
        <v>11</v>
      </c>
      <c r="B15" s="70">
        <v>45207</v>
      </c>
      <c r="C15" s="70">
        <v>45197</v>
      </c>
      <c r="D15" s="70" t="s">
        <v>163</v>
      </c>
      <c r="E15" s="70" t="s">
        <v>433</v>
      </c>
      <c r="F15" s="73">
        <v>112570126</v>
      </c>
      <c r="G15" s="70" t="s">
        <v>340</v>
      </c>
      <c r="H15" s="70" t="s">
        <v>274</v>
      </c>
      <c r="I15" s="73" t="s">
        <v>25</v>
      </c>
      <c r="J15" s="70" t="s">
        <v>3</v>
      </c>
      <c r="K15" s="70" t="s">
        <v>85</v>
      </c>
      <c r="L15" s="70" t="s">
        <v>275</v>
      </c>
      <c r="M15" s="70" t="s">
        <v>341</v>
      </c>
      <c r="N15" s="77">
        <v>988964316</v>
      </c>
      <c r="O15" s="78">
        <v>29</v>
      </c>
      <c r="P15" s="70" t="s">
        <v>44</v>
      </c>
      <c r="Q15" s="70" t="s">
        <v>3</v>
      </c>
      <c r="R15" s="70"/>
      <c r="S15" s="70" t="s">
        <v>433</v>
      </c>
      <c r="T15" s="81">
        <v>106503071</v>
      </c>
      <c r="U15" s="227" t="s">
        <v>342</v>
      </c>
    </row>
    <row r="16" spans="1:21">
      <c r="A16" s="68">
        <v>12</v>
      </c>
      <c r="B16" s="70">
        <v>45216</v>
      </c>
      <c r="C16" s="70">
        <v>45062</v>
      </c>
      <c r="D16" s="70" t="s">
        <v>343</v>
      </c>
      <c r="E16" s="70" t="s">
        <v>344</v>
      </c>
      <c r="F16" s="73">
        <v>41560151</v>
      </c>
      <c r="G16" s="70" t="s">
        <v>345</v>
      </c>
      <c r="H16" s="70" t="s">
        <v>346</v>
      </c>
      <c r="I16" s="73" t="s">
        <v>25</v>
      </c>
      <c r="J16" s="70" t="s">
        <v>3</v>
      </c>
      <c r="K16" s="70" t="s">
        <v>85</v>
      </c>
      <c r="L16" s="70" t="s">
        <v>221</v>
      </c>
      <c r="M16" s="70" t="s">
        <v>347</v>
      </c>
      <c r="N16" s="77">
        <v>983716149</v>
      </c>
      <c r="O16" s="78">
        <v>25</v>
      </c>
      <c r="P16" s="70" t="s">
        <v>44</v>
      </c>
      <c r="Q16" s="70" t="s">
        <v>3</v>
      </c>
      <c r="R16" s="70"/>
      <c r="S16" s="70" t="s">
        <v>344</v>
      </c>
      <c r="T16" s="81">
        <v>102951340</v>
      </c>
      <c r="U16" s="227" t="s">
        <v>348</v>
      </c>
    </row>
    <row r="17" spans="1:21">
      <c r="A17" s="68">
        <v>13</v>
      </c>
      <c r="B17" s="70">
        <v>45218</v>
      </c>
      <c r="C17" s="70">
        <v>45212</v>
      </c>
      <c r="D17" s="70" t="s">
        <v>298</v>
      </c>
      <c r="E17" s="70" t="s">
        <v>413</v>
      </c>
      <c r="F17" s="73">
        <v>40466241</v>
      </c>
      <c r="G17" s="70" t="s">
        <v>161</v>
      </c>
      <c r="H17" s="70" t="s">
        <v>414</v>
      </c>
      <c r="I17" s="73" t="s">
        <v>25</v>
      </c>
      <c r="J17" s="70" t="s">
        <v>3</v>
      </c>
      <c r="K17" s="70" t="s">
        <v>85</v>
      </c>
      <c r="L17" s="70" t="s">
        <v>415</v>
      </c>
      <c r="M17" s="70" t="s">
        <v>416</v>
      </c>
      <c r="N17" s="77">
        <v>988725505</v>
      </c>
      <c r="O17" s="70">
        <v>15</v>
      </c>
      <c r="P17" s="70" t="s">
        <v>44</v>
      </c>
      <c r="Q17" s="70" t="s">
        <v>3</v>
      </c>
      <c r="R17" s="70"/>
      <c r="S17" s="70" t="s">
        <v>413</v>
      </c>
      <c r="T17" s="81">
        <v>104595861</v>
      </c>
      <c r="U17" s="227" t="s">
        <v>417</v>
      </c>
    </row>
    <row r="18" spans="1:21">
      <c r="A18" s="68"/>
      <c r="B18" s="70"/>
      <c r="C18" s="70"/>
      <c r="D18" s="70"/>
      <c r="E18" s="70"/>
      <c r="F18" s="70"/>
      <c r="G18" s="70"/>
      <c r="H18" s="70"/>
      <c r="I18" s="70"/>
      <c r="J18" s="70" t="s">
        <v>3</v>
      </c>
      <c r="K18" s="70" t="s">
        <v>85</v>
      </c>
      <c r="L18" s="70"/>
      <c r="M18" s="70"/>
      <c r="N18" s="77"/>
      <c r="O18" s="70"/>
      <c r="P18" s="70" t="s">
        <v>44</v>
      </c>
      <c r="Q18" s="70" t="s">
        <v>3</v>
      </c>
      <c r="R18" s="70"/>
      <c r="S18" s="70"/>
      <c r="T18" s="81"/>
      <c r="U18" s="70"/>
    </row>
  </sheetData>
  <hyperlinks>
    <hyperlink ref="U7" r:id="rId1"/>
    <hyperlink ref="U5" r:id="rId2"/>
    <hyperlink ref="U6" r:id="rId3"/>
    <hyperlink ref="U8" r:id="rId4"/>
    <hyperlink ref="U9" r:id="rId5"/>
    <hyperlink ref="U10" r:id="rId6"/>
    <hyperlink ref="U11" r:id="rId7"/>
    <hyperlink ref="U13" r:id="rId8"/>
    <hyperlink ref="U12" r:id="rId9"/>
    <hyperlink ref="U14" r:id="rId10"/>
    <hyperlink ref="U15" r:id="rId11"/>
    <hyperlink ref="U16" r:id="rId12"/>
    <hyperlink ref="U17" r:id="rId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opLeftCell="A13" workbookViewId="0">
      <selection activeCell="T25" sqref="T25:T26"/>
    </sheetView>
  </sheetViews>
  <sheetFormatPr baseColWidth="10" defaultRowHeight="15"/>
  <cols>
    <col min="2" max="2" width="11.85546875" bestFit="1" customWidth="1"/>
    <col min="3" max="3" width="17.5703125" customWidth="1"/>
    <col min="4" max="4" width="20.28515625" customWidth="1"/>
    <col min="6" max="6" width="26.28515625" customWidth="1"/>
    <col min="7" max="7" width="16.42578125" customWidth="1"/>
    <col min="12" max="12" width="19.85546875" customWidth="1"/>
    <col min="13" max="13" width="24.85546875" customWidth="1"/>
    <col min="14" max="14" width="12.42578125" bestFit="1" customWidth="1"/>
    <col min="15" max="15" width="14.7109375" customWidth="1"/>
    <col min="16" max="16" width="15.28515625" customWidth="1"/>
    <col min="19" max="19" width="18.85546875" customWidth="1"/>
    <col min="20" max="20" width="15" customWidth="1"/>
    <col min="21" max="21" width="29.42578125" customWidth="1"/>
  </cols>
  <sheetData>
    <row r="1" spans="1:22">
      <c r="A1" s="83"/>
    </row>
    <row r="2" spans="1:22">
      <c r="A2" s="83"/>
    </row>
    <row r="3" spans="1:22">
      <c r="A3" s="84"/>
      <c r="C3" s="85" t="s">
        <v>27</v>
      </c>
      <c r="E3" s="86"/>
      <c r="G3" s="87"/>
      <c r="H3" s="88"/>
      <c r="I3" s="89"/>
      <c r="J3" s="90"/>
      <c r="K3" s="88"/>
      <c r="L3" s="91"/>
      <c r="M3" s="91"/>
      <c r="N3" s="88"/>
      <c r="O3" s="92"/>
    </row>
    <row r="4" spans="1:22" ht="15.75">
      <c r="A4" s="84"/>
      <c r="C4" s="93" t="s">
        <v>1</v>
      </c>
      <c r="E4" s="88"/>
      <c r="G4" s="94" t="s">
        <v>45</v>
      </c>
      <c r="H4" s="95"/>
      <c r="I4" s="96"/>
      <c r="J4" s="97"/>
      <c r="K4" s="95"/>
      <c r="L4" s="98"/>
      <c r="M4" s="99"/>
      <c r="N4" s="88" t="s">
        <v>104</v>
      </c>
      <c r="O4" s="92"/>
      <c r="P4" s="100"/>
    </row>
    <row r="5" spans="1:22" ht="22.5">
      <c r="A5" s="101"/>
      <c r="B5" s="102" t="s">
        <v>30</v>
      </c>
      <c r="C5" s="103" t="s">
        <v>31</v>
      </c>
      <c r="D5" s="103" t="s">
        <v>6</v>
      </c>
      <c r="E5" s="104" t="s">
        <v>32</v>
      </c>
      <c r="F5" s="103" t="s">
        <v>33</v>
      </c>
      <c r="G5" s="104" t="s">
        <v>34</v>
      </c>
      <c r="H5" s="104" t="s">
        <v>10</v>
      </c>
      <c r="I5" s="103" t="s">
        <v>35</v>
      </c>
      <c r="J5" s="104" t="s">
        <v>36</v>
      </c>
      <c r="K5" s="103" t="s">
        <v>29</v>
      </c>
      <c r="L5" s="105" t="s">
        <v>14</v>
      </c>
      <c r="M5" s="105" t="s">
        <v>37</v>
      </c>
      <c r="N5" s="104" t="s">
        <v>16</v>
      </c>
      <c r="O5" s="106" t="s">
        <v>17</v>
      </c>
      <c r="P5" s="103" t="s">
        <v>38</v>
      </c>
      <c r="Q5" s="103" t="s">
        <v>39</v>
      </c>
      <c r="R5" s="102" t="s">
        <v>40</v>
      </c>
      <c r="S5" s="103" t="s">
        <v>41</v>
      </c>
      <c r="T5" s="102" t="s">
        <v>42</v>
      </c>
      <c r="U5" s="102" t="s">
        <v>43</v>
      </c>
      <c r="V5" s="107"/>
    </row>
    <row r="6" spans="1:22" ht="15.75">
      <c r="A6" s="108">
        <v>1</v>
      </c>
      <c r="B6" s="109">
        <v>45159</v>
      </c>
      <c r="C6" s="110" t="s">
        <v>118</v>
      </c>
      <c r="D6" s="110" t="s">
        <v>119</v>
      </c>
      <c r="E6" s="111">
        <v>40467304</v>
      </c>
      <c r="F6" s="112" t="s">
        <v>120</v>
      </c>
      <c r="G6" s="113" t="s">
        <v>121</v>
      </c>
      <c r="H6" s="110">
        <v>401682</v>
      </c>
      <c r="I6" s="110" t="s">
        <v>24</v>
      </c>
      <c r="J6" s="113" t="s">
        <v>21</v>
      </c>
      <c r="K6" s="265">
        <v>45189</v>
      </c>
      <c r="L6" s="114" t="s">
        <v>122</v>
      </c>
      <c r="M6" s="114" t="s">
        <v>123</v>
      </c>
      <c r="N6" s="110">
        <v>993683815</v>
      </c>
      <c r="O6" s="115">
        <v>20</v>
      </c>
      <c r="P6" s="113" t="s">
        <v>46</v>
      </c>
      <c r="Q6" s="113" t="s">
        <v>24</v>
      </c>
      <c r="R6" s="116"/>
      <c r="S6" s="110" t="s">
        <v>119</v>
      </c>
      <c r="T6" s="212" t="s">
        <v>124</v>
      </c>
      <c r="U6" s="213" t="s">
        <v>125</v>
      </c>
      <c r="V6" s="11"/>
    </row>
    <row r="7" spans="1:22" ht="15.75">
      <c r="A7" s="108">
        <v>2</v>
      </c>
      <c r="B7" s="109">
        <v>45134</v>
      </c>
      <c r="C7" s="110" t="s">
        <v>126</v>
      </c>
      <c r="D7" s="110" t="s">
        <v>127</v>
      </c>
      <c r="E7" s="111">
        <v>41560079</v>
      </c>
      <c r="F7" s="112" t="s">
        <v>128</v>
      </c>
      <c r="G7" s="113" t="s">
        <v>129</v>
      </c>
      <c r="H7" s="110" t="s">
        <v>25</v>
      </c>
      <c r="I7" s="110" t="s">
        <v>24</v>
      </c>
      <c r="J7" s="113" t="s">
        <v>21</v>
      </c>
      <c r="K7" s="265">
        <v>45189</v>
      </c>
      <c r="L7" s="114" t="s">
        <v>122</v>
      </c>
      <c r="M7" s="114" t="s">
        <v>123</v>
      </c>
      <c r="N7" s="110">
        <v>993683815</v>
      </c>
      <c r="O7" s="115">
        <v>20</v>
      </c>
      <c r="P7" s="113" t="s">
        <v>46</v>
      </c>
      <c r="Q7" s="113" t="s">
        <v>24</v>
      </c>
      <c r="R7" s="116"/>
      <c r="S7" s="110" t="s">
        <v>127</v>
      </c>
      <c r="T7" s="212" t="s">
        <v>124</v>
      </c>
      <c r="U7" s="213" t="s">
        <v>125</v>
      </c>
      <c r="V7" s="11"/>
    </row>
    <row r="8" spans="1:22" ht="15.75">
      <c r="A8" s="108">
        <v>3</v>
      </c>
      <c r="B8" s="109">
        <v>45171</v>
      </c>
      <c r="C8" s="110" t="s">
        <v>19</v>
      </c>
      <c r="D8" s="110" t="s">
        <v>130</v>
      </c>
      <c r="E8" s="111">
        <v>112520025</v>
      </c>
      <c r="F8" s="112" t="s">
        <v>131</v>
      </c>
      <c r="G8" s="113" t="s">
        <v>132</v>
      </c>
      <c r="H8" s="110" t="s">
        <v>25</v>
      </c>
      <c r="I8" s="110" t="s">
        <v>24</v>
      </c>
      <c r="J8" s="113" t="s">
        <v>21</v>
      </c>
      <c r="K8" s="265">
        <v>45189</v>
      </c>
      <c r="L8" s="114" t="s">
        <v>133</v>
      </c>
      <c r="M8" s="114" t="s">
        <v>134</v>
      </c>
      <c r="N8" s="110">
        <v>993779797</v>
      </c>
      <c r="O8" s="115">
        <v>20</v>
      </c>
      <c r="P8" s="113" t="s">
        <v>46</v>
      </c>
      <c r="Q8" s="113" t="s">
        <v>24</v>
      </c>
      <c r="R8" s="116"/>
      <c r="S8" s="110" t="s">
        <v>130</v>
      </c>
      <c r="T8" s="212" t="s">
        <v>135</v>
      </c>
      <c r="U8" s="213" t="s">
        <v>136</v>
      </c>
      <c r="V8" s="11"/>
    </row>
    <row r="9" spans="1:22" ht="15.75">
      <c r="A9" s="108">
        <v>4</v>
      </c>
      <c r="B9" s="109">
        <v>45171</v>
      </c>
      <c r="C9" s="110" t="s">
        <v>19</v>
      </c>
      <c r="D9" s="110" t="s">
        <v>130</v>
      </c>
      <c r="E9" s="111">
        <v>41560041</v>
      </c>
      <c r="F9" s="112" t="s">
        <v>137</v>
      </c>
      <c r="G9" s="113" t="s">
        <v>138</v>
      </c>
      <c r="H9" s="110">
        <v>385323</v>
      </c>
      <c r="I9" s="110" t="s">
        <v>24</v>
      </c>
      <c r="J9" s="113" t="s">
        <v>21</v>
      </c>
      <c r="K9" s="265">
        <v>45189</v>
      </c>
      <c r="L9" s="114" t="s">
        <v>133</v>
      </c>
      <c r="M9" s="114" t="s">
        <v>134</v>
      </c>
      <c r="N9" s="110">
        <v>993779797</v>
      </c>
      <c r="O9" s="115">
        <v>20</v>
      </c>
      <c r="P9" s="113" t="s">
        <v>46</v>
      </c>
      <c r="Q9" s="113" t="s">
        <v>24</v>
      </c>
      <c r="R9" s="116"/>
      <c r="S9" s="110" t="s">
        <v>130</v>
      </c>
      <c r="T9" s="212" t="s">
        <v>135</v>
      </c>
      <c r="U9" s="213" t="s">
        <v>136</v>
      </c>
      <c r="V9" s="11"/>
    </row>
    <row r="10" spans="1:22" ht="15.75">
      <c r="A10" s="108">
        <v>5</v>
      </c>
      <c r="B10" s="109">
        <v>45183</v>
      </c>
      <c r="C10" s="110" t="s">
        <v>19</v>
      </c>
      <c r="D10" s="110" t="s">
        <v>109</v>
      </c>
      <c r="E10" s="111">
        <v>112580058</v>
      </c>
      <c r="F10" s="112" t="s">
        <v>110</v>
      </c>
      <c r="G10" s="113" t="s">
        <v>111</v>
      </c>
      <c r="H10" s="110" t="s">
        <v>25</v>
      </c>
      <c r="I10" s="110" t="s">
        <v>24</v>
      </c>
      <c r="J10" s="113" t="s">
        <v>21</v>
      </c>
      <c r="K10" s="265">
        <v>45190</v>
      </c>
      <c r="L10" s="114" t="s">
        <v>112</v>
      </c>
      <c r="M10" s="114" t="s">
        <v>113</v>
      </c>
      <c r="N10" s="110">
        <v>7737398855</v>
      </c>
      <c r="O10" s="115">
        <v>20</v>
      </c>
      <c r="P10" s="113" t="s">
        <v>46</v>
      </c>
      <c r="Q10" s="113" t="s">
        <v>24</v>
      </c>
      <c r="R10" s="116"/>
      <c r="S10" s="110" t="s">
        <v>109</v>
      </c>
      <c r="T10" s="212" t="s">
        <v>114</v>
      </c>
      <c r="U10" s="213" t="s">
        <v>115</v>
      </c>
      <c r="V10" s="11"/>
    </row>
    <row r="11" spans="1:22" ht="15.75">
      <c r="A11" s="108">
        <v>6</v>
      </c>
      <c r="B11" s="109">
        <v>45183</v>
      </c>
      <c r="C11" s="110" t="s">
        <v>19</v>
      </c>
      <c r="D11" s="110" t="s">
        <v>109</v>
      </c>
      <c r="E11" s="111">
        <v>442100094</v>
      </c>
      <c r="F11" s="112" t="s">
        <v>116</v>
      </c>
      <c r="G11" s="113" t="s">
        <v>117</v>
      </c>
      <c r="H11" s="110" t="s">
        <v>25</v>
      </c>
      <c r="I11" s="110" t="s">
        <v>24</v>
      </c>
      <c r="J11" s="113" t="s">
        <v>21</v>
      </c>
      <c r="K11" s="265">
        <v>45190</v>
      </c>
      <c r="L11" s="114" t="s">
        <v>112</v>
      </c>
      <c r="M11" s="114" t="s">
        <v>113</v>
      </c>
      <c r="N11" s="110">
        <v>7737398855</v>
      </c>
      <c r="O11" s="115">
        <v>20</v>
      </c>
      <c r="P11" s="113" t="s">
        <v>46</v>
      </c>
      <c r="Q11" s="113" t="s">
        <v>24</v>
      </c>
      <c r="R11" s="116"/>
      <c r="S11" s="110" t="s">
        <v>109</v>
      </c>
      <c r="T11" s="212" t="s">
        <v>114</v>
      </c>
      <c r="U11" s="213" t="s">
        <v>115</v>
      </c>
      <c r="V11" s="11"/>
    </row>
    <row r="12" spans="1:22" ht="15.75">
      <c r="A12" s="108">
        <v>7</v>
      </c>
      <c r="B12" s="109">
        <v>45272</v>
      </c>
      <c r="C12" s="110" t="s">
        <v>139</v>
      </c>
      <c r="D12" s="110" t="s">
        <v>140</v>
      </c>
      <c r="E12" s="111">
        <v>40584105</v>
      </c>
      <c r="F12" s="112" t="s">
        <v>141</v>
      </c>
      <c r="G12" s="113" t="s">
        <v>143</v>
      </c>
      <c r="H12" s="110" t="s">
        <v>25</v>
      </c>
      <c r="I12" s="110" t="s">
        <v>24</v>
      </c>
      <c r="J12" s="113" t="s">
        <v>21</v>
      </c>
      <c r="K12" s="265">
        <v>45194</v>
      </c>
      <c r="L12" s="114" t="s">
        <v>145</v>
      </c>
      <c r="M12" s="114" t="s">
        <v>146</v>
      </c>
      <c r="N12" s="110">
        <v>995172192</v>
      </c>
      <c r="O12" s="115">
        <v>15</v>
      </c>
      <c r="P12" s="113" t="s">
        <v>46</v>
      </c>
      <c r="Q12" s="113" t="s">
        <v>24</v>
      </c>
      <c r="R12" s="116"/>
      <c r="S12" s="110" t="s">
        <v>140</v>
      </c>
      <c r="T12" s="212" t="s">
        <v>147</v>
      </c>
      <c r="U12" s="213"/>
      <c r="V12" s="11"/>
    </row>
    <row r="13" spans="1:22" ht="15.75">
      <c r="A13" s="108">
        <v>8</v>
      </c>
      <c r="B13" s="109">
        <v>45272</v>
      </c>
      <c r="C13" s="110" t="s">
        <v>139</v>
      </c>
      <c r="D13" s="110" t="s">
        <v>140</v>
      </c>
      <c r="E13" s="111">
        <v>112930049</v>
      </c>
      <c r="F13" s="112" t="s">
        <v>142</v>
      </c>
      <c r="G13" s="113" t="s">
        <v>144</v>
      </c>
      <c r="H13" s="110" t="s">
        <v>25</v>
      </c>
      <c r="I13" s="110" t="s">
        <v>24</v>
      </c>
      <c r="J13" s="113" t="s">
        <v>21</v>
      </c>
      <c r="K13" s="265">
        <v>45194</v>
      </c>
      <c r="L13" s="114" t="s">
        <v>145</v>
      </c>
      <c r="M13" s="114" t="s">
        <v>146</v>
      </c>
      <c r="N13" s="110">
        <v>995172192</v>
      </c>
      <c r="O13" s="115">
        <v>15</v>
      </c>
      <c r="P13" s="113" t="s">
        <v>46</v>
      </c>
      <c r="Q13" s="113" t="s">
        <v>24</v>
      </c>
      <c r="R13" s="116"/>
      <c r="S13" s="110" t="s">
        <v>140</v>
      </c>
      <c r="T13" s="212" t="s">
        <v>147</v>
      </c>
      <c r="U13" s="213"/>
      <c r="V13" s="11"/>
    </row>
    <row r="14" spans="1:22" ht="15.75">
      <c r="A14" s="108">
        <v>9</v>
      </c>
      <c r="B14" s="109">
        <v>45164</v>
      </c>
      <c r="C14" s="110" t="s">
        <v>139</v>
      </c>
      <c r="D14" s="110" t="s">
        <v>148</v>
      </c>
      <c r="E14" s="111">
        <v>41560061</v>
      </c>
      <c r="F14" s="112" t="s">
        <v>149</v>
      </c>
      <c r="G14" s="113" t="s">
        <v>151</v>
      </c>
      <c r="H14" s="110" t="s">
        <v>25</v>
      </c>
      <c r="I14" s="110" t="s">
        <v>24</v>
      </c>
      <c r="J14" s="113" t="s">
        <v>21</v>
      </c>
      <c r="K14" s="265">
        <v>45194</v>
      </c>
      <c r="L14" s="114" t="s">
        <v>145</v>
      </c>
      <c r="M14" s="114" t="s">
        <v>146</v>
      </c>
      <c r="N14" s="110">
        <v>995172192</v>
      </c>
      <c r="O14" s="115">
        <v>15</v>
      </c>
      <c r="P14" s="113" t="s">
        <v>46</v>
      </c>
      <c r="Q14" s="113" t="s">
        <v>24</v>
      </c>
      <c r="R14" s="116"/>
      <c r="S14" s="110" t="s">
        <v>148</v>
      </c>
      <c r="T14" s="212" t="s">
        <v>147</v>
      </c>
      <c r="U14" s="213"/>
      <c r="V14" s="11"/>
    </row>
    <row r="15" spans="1:22" ht="15.75">
      <c r="A15" s="108">
        <v>10</v>
      </c>
      <c r="B15" s="109">
        <v>45164</v>
      </c>
      <c r="C15" s="110" t="s">
        <v>139</v>
      </c>
      <c r="D15" s="110" t="s">
        <v>148</v>
      </c>
      <c r="E15" s="111">
        <v>112510035</v>
      </c>
      <c r="F15" s="112" t="s">
        <v>150</v>
      </c>
      <c r="G15" s="113" t="s">
        <v>152</v>
      </c>
      <c r="H15" s="110" t="s">
        <v>25</v>
      </c>
      <c r="I15" s="110" t="s">
        <v>24</v>
      </c>
      <c r="J15" s="113" t="s">
        <v>21</v>
      </c>
      <c r="K15" s="265">
        <v>45194</v>
      </c>
      <c r="L15" s="114" t="s">
        <v>145</v>
      </c>
      <c r="M15" s="114" t="s">
        <v>146</v>
      </c>
      <c r="N15" s="110">
        <v>995172192</v>
      </c>
      <c r="O15" s="115">
        <v>15</v>
      </c>
      <c r="P15" s="113" t="s">
        <v>46</v>
      </c>
      <c r="Q15" s="113" t="s">
        <v>24</v>
      </c>
      <c r="R15" s="116"/>
      <c r="S15" s="110" t="s">
        <v>148</v>
      </c>
      <c r="T15" s="212" t="s">
        <v>147</v>
      </c>
      <c r="U15" s="213"/>
      <c r="V15" s="11"/>
    </row>
    <row r="16" spans="1:22" ht="15.75">
      <c r="A16" s="108">
        <v>11</v>
      </c>
      <c r="B16" s="109">
        <v>45162</v>
      </c>
      <c r="C16" s="110" t="s">
        <v>153</v>
      </c>
      <c r="D16" s="110" t="s">
        <v>154</v>
      </c>
      <c r="E16" s="111">
        <v>41560124</v>
      </c>
      <c r="F16" s="112" t="s">
        <v>155</v>
      </c>
      <c r="G16" s="113" t="s">
        <v>156</v>
      </c>
      <c r="H16" s="110" t="s">
        <v>25</v>
      </c>
      <c r="I16" s="110" t="s">
        <v>24</v>
      </c>
      <c r="J16" s="113" t="s">
        <v>21</v>
      </c>
      <c r="K16" s="265">
        <v>45195</v>
      </c>
      <c r="L16" s="114" t="s">
        <v>157</v>
      </c>
      <c r="M16" s="114" t="s">
        <v>158</v>
      </c>
      <c r="N16" s="110">
        <v>963194295</v>
      </c>
      <c r="O16" s="115">
        <v>20</v>
      </c>
      <c r="P16" s="113" t="s">
        <v>46</v>
      </c>
      <c r="Q16" s="113" t="s">
        <v>24</v>
      </c>
      <c r="R16" s="116"/>
      <c r="S16" s="110" t="s">
        <v>154</v>
      </c>
      <c r="T16" s="212"/>
      <c r="U16" s="213" t="s">
        <v>159</v>
      </c>
      <c r="V16" s="11"/>
    </row>
    <row r="17" spans="1:22" ht="15.75">
      <c r="A17" s="108">
        <v>12</v>
      </c>
      <c r="B17" s="109">
        <v>45138</v>
      </c>
      <c r="C17" s="110" t="s">
        <v>153</v>
      </c>
      <c r="D17" s="110" t="s">
        <v>160</v>
      </c>
      <c r="E17" s="111">
        <v>40466241</v>
      </c>
      <c r="F17" s="112" t="s">
        <v>161</v>
      </c>
      <c r="G17" s="113" t="s">
        <v>162</v>
      </c>
      <c r="H17" s="110" t="s">
        <v>25</v>
      </c>
      <c r="I17" s="110" t="s">
        <v>24</v>
      </c>
      <c r="J17" s="113" t="s">
        <v>21</v>
      </c>
      <c r="K17" s="265">
        <v>45195</v>
      </c>
      <c r="L17" s="114" t="s">
        <v>157</v>
      </c>
      <c r="M17" s="114" t="s">
        <v>158</v>
      </c>
      <c r="N17" s="110">
        <v>963194295</v>
      </c>
      <c r="O17" s="115">
        <v>20</v>
      </c>
      <c r="P17" s="113" t="s">
        <v>46</v>
      </c>
      <c r="Q17" s="113" t="s">
        <v>24</v>
      </c>
      <c r="R17" s="116"/>
      <c r="S17" s="110" t="s">
        <v>160</v>
      </c>
      <c r="T17" s="212"/>
      <c r="U17" s="213" t="s">
        <v>159</v>
      </c>
      <c r="V17" s="11"/>
    </row>
    <row r="18" spans="1:22" ht="15.75">
      <c r="A18" s="108">
        <v>13</v>
      </c>
      <c r="B18" s="109">
        <v>45118</v>
      </c>
      <c r="C18" s="110" t="s">
        <v>163</v>
      </c>
      <c r="D18" s="110" t="s">
        <v>164</v>
      </c>
      <c r="E18" s="111">
        <v>40467320</v>
      </c>
      <c r="F18" s="112" t="s">
        <v>165</v>
      </c>
      <c r="G18" s="113" t="s">
        <v>166</v>
      </c>
      <c r="H18" s="110" t="s">
        <v>25</v>
      </c>
      <c r="I18" s="110" t="s">
        <v>24</v>
      </c>
      <c r="J18" s="113" t="s">
        <v>21</v>
      </c>
      <c r="K18" s="265">
        <v>45196</v>
      </c>
      <c r="L18" s="114" t="s">
        <v>167</v>
      </c>
      <c r="M18" s="114" t="s">
        <v>168</v>
      </c>
      <c r="N18" s="110">
        <v>98670765</v>
      </c>
      <c r="O18" s="115">
        <v>20</v>
      </c>
      <c r="P18" s="113" t="s">
        <v>46</v>
      </c>
      <c r="Q18" s="113" t="s">
        <v>24</v>
      </c>
      <c r="R18" s="116"/>
      <c r="S18" s="110" t="s">
        <v>164</v>
      </c>
      <c r="T18" s="212" t="s">
        <v>169</v>
      </c>
      <c r="U18" s="213" t="s">
        <v>170</v>
      </c>
      <c r="V18" s="11"/>
    </row>
    <row r="19" spans="1:22" ht="15.75">
      <c r="A19" s="108">
        <v>14</v>
      </c>
      <c r="B19" s="109">
        <v>45118</v>
      </c>
      <c r="C19" s="110" t="s">
        <v>163</v>
      </c>
      <c r="D19" s="110" t="s">
        <v>164</v>
      </c>
      <c r="E19" s="111">
        <v>112580027</v>
      </c>
      <c r="F19" s="112" t="s">
        <v>171</v>
      </c>
      <c r="G19" s="113" t="s">
        <v>172</v>
      </c>
      <c r="H19" s="110" t="s">
        <v>25</v>
      </c>
      <c r="I19" s="110" t="s">
        <v>24</v>
      </c>
      <c r="J19" s="113" t="s">
        <v>21</v>
      </c>
      <c r="K19" s="265">
        <v>45196</v>
      </c>
      <c r="L19" s="114" t="s">
        <v>167</v>
      </c>
      <c r="M19" s="114" t="s">
        <v>168</v>
      </c>
      <c r="N19" s="110">
        <v>98670765</v>
      </c>
      <c r="O19" s="115">
        <v>20</v>
      </c>
      <c r="P19" s="113" t="s">
        <v>46</v>
      </c>
      <c r="Q19" s="113" t="s">
        <v>24</v>
      </c>
      <c r="R19" s="116"/>
      <c r="S19" s="110" t="s">
        <v>164</v>
      </c>
      <c r="T19" s="212" t="s">
        <v>169</v>
      </c>
      <c r="U19" s="213" t="s">
        <v>170</v>
      </c>
      <c r="V19" s="11"/>
    </row>
    <row r="20" spans="1:22" ht="15.75">
      <c r="A20" s="108">
        <v>15</v>
      </c>
      <c r="B20" s="109">
        <v>44528</v>
      </c>
      <c r="C20" s="110" t="s">
        <v>19</v>
      </c>
      <c r="D20" s="110" t="s">
        <v>173</v>
      </c>
      <c r="E20" s="111">
        <v>40466241</v>
      </c>
      <c r="F20" s="112" t="s">
        <v>174</v>
      </c>
      <c r="G20" s="113" t="s">
        <v>175</v>
      </c>
      <c r="H20" s="110">
        <v>355064</v>
      </c>
      <c r="I20" s="110" t="s">
        <v>24</v>
      </c>
      <c r="J20" s="113" t="s">
        <v>21</v>
      </c>
      <c r="K20" s="265">
        <v>45202</v>
      </c>
      <c r="L20" s="114" t="s">
        <v>176</v>
      </c>
      <c r="M20" s="114" t="s">
        <v>177</v>
      </c>
      <c r="N20" s="110">
        <v>983228243</v>
      </c>
      <c r="O20" s="115">
        <v>20</v>
      </c>
      <c r="P20" s="113" t="s">
        <v>46</v>
      </c>
      <c r="Q20" s="113" t="s">
        <v>24</v>
      </c>
      <c r="R20" s="116"/>
      <c r="S20" s="110" t="s">
        <v>173</v>
      </c>
      <c r="T20" s="212" t="s">
        <v>178</v>
      </c>
      <c r="U20" s="213" t="s">
        <v>179</v>
      </c>
      <c r="V20" s="11"/>
    </row>
    <row r="21" spans="1:22" ht="15.75">
      <c r="A21" s="108">
        <v>16</v>
      </c>
      <c r="B21" s="109">
        <v>44528</v>
      </c>
      <c r="C21" s="110" t="s">
        <v>19</v>
      </c>
      <c r="D21" s="110" t="s">
        <v>173</v>
      </c>
      <c r="E21" s="111">
        <v>112600000</v>
      </c>
      <c r="F21" s="112" t="s">
        <v>180</v>
      </c>
      <c r="G21" s="113" t="s">
        <v>181</v>
      </c>
      <c r="H21" s="110">
        <v>331255</v>
      </c>
      <c r="I21" s="110" t="s">
        <v>24</v>
      </c>
      <c r="J21" s="113" t="s">
        <v>21</v>
      </c>
      <c r="K21" s="265">
        <v>45202</v>
      </c>
      <c r="L21" s="114" t="s">
        <v>176</v>
      </c>
      <c r="M21" s="114" t="s">
        <v>177</v>
      </c>
      <c r="N21" s="110">
        <v>983228243</v>
      </c>
      <c r="O21" s="115">
        <v>20</v>
      </c>
      <c r="P21" s="113" t="s">
        <v>46</v>
      </c>
      <c r="Q21" s="113" t="s">
        <v>24</v>
      </c>
      <c r="R21" s="116"/>
      <c r="S21" s="110" t="s">
        <v>173</v>
      </c>
      <c r="T21" s="212" t="s">
        <v>178</v>
      </c>
      <c r="U21" s="213" t="s">
        <v>179</v>
      </c>
      <c r="V21" s="11"/>
    </row>
    <row r="22" spans="1:22" ht="15.75">
      <c r="A22" s="108">
        <v>17</v>
      </c>
      <c r="B22" s="109">
        <v>45159</v>
      </c>
      <c r="C22" s="110" t="s">
        <v>126</v>
      </c>
      <c r="D22" s="110" t="s">
        <v>182</v>
      </c>
      <c r="E22" s="111">
        <v>41560074</v>
      </c>
      <c r="F22" s="112" t="s">
        <v>183</v>
      </c>
      <c r="G22" s="113" t="s">
        <v>184</v>
      </c>
      <c r="H22" s="110" t="s">
        <v>25</v>
      </c>
      <c r="I22" s="110" t="s">
        <v>24</v>
      </c>
      <c r="J22" s="113" t="s">
        <v>21</v>
      </c>
      <c r="K22" s="265">
        <v>45203</v>
      </c>
      <c r="L22" s="114" t="s">
        <v>188</v>
      </c>
      <c r="M22" s="114" t="s">
        <v>185</v>
      </c>
      <c r="N22" s="110">
        <v>2240878</v>
      </c>
      <c r="O22" s="115">
        <v>15</v>
      </c>
      <c r="P22" s="113" t="s">
        <v>46</v>
      </c>
      <c r="Q22" s="113" t="s">
        <v>24</v>
      </c>
      <c r="R22" s="116"/>
      <c r="S22" s="110" t="s">
        <v>182</v>
      </c>
      <c r="T22" s="212" t="s">
        <v>186</v>
      </c>
      <c r="U22" s="213" t="s">
        <v>187</v>
      </c>
      <c r="V22" s="11"/>
    </row>
    <row r="23" spans="1:22" ht="15.75">
      <c r="A23" s="108">
        <v>18</v>
      </c>
      <c r="B23" s="109">
        <v>45159</v>
      </c>
      <c r="C23" s="110" t="s">
        <v>126</v>
      </c>
      <c r="D23" s="110" t="s">
        <v>182</v>
      </c>
      <c r="E23" s="111">
        <v>112610069</v>
      </c>
      <c r="F23" s="112" t="s">
        <v>189</v>
      </c>
      <c r="G23" s="113" t="s">
        <v>190</v>
      </c>
      <c r="H23" s="110" t="s">
        <v>25</v>
      </c>
      <c r="I23" s="110" t="s">
        <v>24</v>
      </c>
      <c r="J23" s="113" t="s">
        <v>21</v>
      </c>
      <c r="K23" s="265">
        <v>45203</v>
      </c>
      <c r="L23" s="114" t="s">
        <v>188</v>
      </c>
      <c r="M23" s="114" t="s">
        <v>185</v>
      </c>
      <c r="N23" s="110">
        <v>2240878</v>
      </c>
      <c r="O23" s="115">
        <v>15</v>
      </c>
      <c r="P23" s="113" t="s">
        <v>46</v>
      </c>
      <c r="Q23" s="113" t="s">
        <v>24</v>
      </c>
      <c r="R23" s="116"/>
      <c r="S23" s="110" t="s">
        <v>182</v>
      </c>
      <c r="T23" s="212" t="s">
        <v>186</v>
      </c>
      <c r="U23" s="213" t="s">
        <v>187</v>
      </c>
      <c r="V23" s="11"/>
    </row>
    <row r="24" spans="1:22" ht="15.75">
      <c r="A24" s="108">
        <v>19</v>
      </c>
      <c r="B24" s="109">
        <v>45159</v>
      </c>
      <c r="C24" s="110" t="s">
        <v>126</v>
      </c>
      <c r="D24" s="110" t="s">
        <v>182</v>
      </c>
      <c r="E24" s="111">
        <v>40466241</v>
      </c>
      <c r="F24" s="112" t="s">
        <v>161</v>
      </c>
      <c r="G24" s="113" t="s">
        <v>191</v>
      </c>
      <c r="H24" s="110" t="s">
        <v>25</v>
      </c>
      <c r="I24" s="110" t="s">
        <v>24</v>
      </c>
      <c r="J24" s="113" t="s">
        <v>21</v>
      </c>
      <c r="K24" s="265">
        <v>45203</v>
      </c>
      <c r="L24" s="114" t="s">
        <v>188</v>
      </c>
      <c r="M24" s="114" t="s">
        <v>185</v>
      </c>
      <c r="N24" s="110">
        <v>2240878</v>
      </c>
      <c r="O24" s="115">
        <v>15</v>
      </c>
      <c r="P24" s="113" t="s">
        <v>46</v>
      </c>
      <c r="Q24" s="113" t="s">
        <v>24</v>
      </c>
      <c r="R24" s="116"/>
      <c r="S24" s="110" t="s">
        <v>182</v>
      </c>
      <c r="T24" s="212" t="s">
        <v>186</v>
      </c>
      <c r="U24" s="213" t="s">
        <v>187</v>
      </c>
    </row>
    <row r="25" spans="1:22" ht="15.75">
      <c r="A25" s="108">
        <v>20</v>
      </c>
      <c r="B25" s="109">
        <v>44687</v>
      </c>
      <c r="C25" s="110" t="s">
        <v>19</v>
      </c>
      <c r="D25" s="110" t="s">
        <v>192</v>
      </c>
      <c r="E25" s="111">
        <v>40782510</v>
      </c>
      <c r="F25" s="112" t="s">
        <v>193</v>
      </c>
      <c r="G25" s="113" t="s">
        <v>194</v>
      </c>
      <c r="H25" s="110">
        <v>365838</v>
      </c>
      <c r="I25" s="110" t="s">
        <v>24</v>
      </c>
      <c r="J25" s="113" t="s">
        <v>21</v>
      </c>
      <c r="K25" s="265">
        <v>45205</v>
      </c>
      <c r="L25" s="114" t="s">
        <v>195</v>
      </c>
      <c r="M25" s="114" t="s">
        <v>134</v>
      </c>
      <c r="N25" s="110">
        <v>995554371</v>
      </c>
      <c r="O25" s="115">
        <v>20</v>
      </c>
      <c r="P25" s="113" t="s">
        <v>46</v>
      </c>
      <c r="Q25" s="113" t="s">
        <v>24</v>
      </c>
      <c r="R25" s="116"/>
      <c r="S25" s="110" t="s">
        <v>192</v>
      </c>
      <c r="T25" s="212" t="s">
        <v>196</v>
      </c>
      <c r="U25" s="213" t="s">
        <v>197</v>
      </c>
    </row>
    <row r="26" spans="1:22" ht="15.75">
      <c r="A26" s="108">
        <v>21</v>
      </c>
      <c r="B26" s="109">
        <v>44687</v>
      </c>
      <c r="C26" s="110" t="s">
        <v>19</v>
      </c>
      <c r="D26" s="110" t="s">
        <v>192</v>
      </c>
      <c r="E26" s="111">
        <v>11570073</v>
      </c>
      <c r="F26" s="112" t="s">
        <v>198</v>
      </c>
      <c r="G26" s="113" t="s">
        <v>199</v>
      </c>
      <c r="H26" s="110" t="s">
        <v>25</v>
      </c>
      <c r="I26" s="110" t="s">
        <v>24</v>
      </c>
      <c r="J26" s="113" t="s">
        <v>21</v>
      </c>
      <c r="K26" s="265">
        <v>45205</v>
      </c>
      <c r="L26" s="114" t="s">
        <v>195</v>
      </c>
      <c r="M26" s="114" t="s">
        <v>134</v>
      </c>
      <c r="N26" s="110">
        <v>995554371</v>
      </c>
      <c r="O26" s="115">
        <v>20</v>
      </c>
      <c r="P26" s="113" t="s">
        <v>46</v>
      </c>
      <c r="Q26" s="113" t="s">
        <v>24</v>
      </c>
      <c r="R26" s="116"/>
      <c r="S26" s="110" t="s">
        <v>192</v>
      </c>
      <c r="T26" s="212" t="s">
        <v>196</v>
      </c>
      <c r="U26" s="213" t="s">
        <v>197</v>
      </c>
    </row>
    <row r="27" spans="1:22" ht="15.75">
      <c r="A27" s="108">
        <v>22</v>
      </c>
      <c r="B27" s="109">
        <v>45197</v>
      </c>
      <c r="C27" s="110" t="s">
        <v>153</v>
      </c>
      <c r="D27" s="110" t="s">
        <v>200</v>
      </c>
      <c r="E27" s="111">
        <v>40466241</v>
      </c>
      <c r="F27" s="112" t="s">
        <v>161</v>
      </c>
      <c r="G27" s="113" t="s">
        <v>201</v>
      </c>
      <c r="H27" s="110">
        <v>390833</v>
      </c>
      <c r="I27" s="110" t="s">
        <v>24</v>
      </c>
      <c r="J27" s="113" t="s">
        <v>21</v>
      </c>
      <c r="K27" s="265">
        <v>44936</v>
      </c>
      <c r="L27" s="114" t="s">
        <v>202</v>
      </c>
      <c r="M27" s="114" t="s">
        <v>203</v>
      </c>
      <c r="N27" s="110">
        <v>991778263</v>
      </c>
      <c r="O27" s="115">
        <v>20</v>
      </c>
      <c r="P27" s="113" t="s">
        <v>46</v>
      </c>
      <c r="Q27" s="113" t="s">
        <v>24</v>
      </c>
      <c r="R27" s="116"/>
      <c r="S27" s="110" t="s">
        <v>200</v>
      </c>
      <c r="T27" s="212" t="s">
        <v>204</v>
      </c>
      <c r="U27" s="213" t="s">
        <v>205</v>
      </c>
    </row>
    <row r="28" spans="1:22" ht="15.75">
      <c r="A28" s="108">
        <v>23</v>
      </c>
      <c r="B28" s="109">
        <v>45197</v>
      </c>
      <c r="C28" s="110" t="s">
        <v>153</v>
      </c>
      <c r="D28" s="110" t="s">
        <v>200</v>
      </c>
      <c r="E28" s="111">
        <v>40224502</v>
      </c>
      <c r="F28" s="112" t="s">
        <v>206</v>
      </c>
      <c r="G28" s="113" t="s">
        <v>207</v>
      </c>
      <c r="H28" s="110">
        <v>356698</v>
      </c>
      <c r="I28" s="110" t="s">
        <v>24</v>
      </c>
      <c r="J28" s="113" t="s">
        <v>21</v>
      </c>
      <c r="K28" s="265">
        <v>44936</v>
      </c>
      <c r="L28" s="114" t="s">
        <v>202</v>
      </c>
      <c r="M28" s="114" t="s">
        <v>203</v>
      </c>
      <c r="N28" s="110">
        <v>991778263</v>
      </c>
      <c r="O28" s="115">
        <v>20</v>
      </c>
      <c r="P28" s="113" t="s">
        <v>46</v>
      </c>
      <c r="Q28" s="113" t="s">
        <v>24</v>
      </c>
      <c r="R28" s="116"/>
      <c r="S28" s="110" t="s">
        <v>200</v>
      </c>
      <c r="T28" s="212" t="s">
        <v>204</v>
      </c>
      <c r="U28" s="213" t="s">
        <v>205</v>
      </c>
    </row>
    <row r="29" spans="1:22" ht="15.75">
      <c r="A29" s="108">
        <v>24</v>
      </c>
      <c r="B29" s="109">
        <v>45162</v>
      </c>
      <c r="C29" s="110" t="s">
        <v>19</v>
      </c>
      <c r="D29" s="110" t="s">
        <v>208</v>
      </c>
      <c r="E29" s="111">
        <v>40584202</v>
      </c>
      <c r="F29" s="112" t="s">
        <v>209</v>
      </c>
      <c r="G29" s="113" t="s">
        <v>210</v>
      </c>
      <c r="H29" s="110" t="s">
        <v>25</v>
      </c>
      <c r="I29" s="110" t="s">
        <v>24</v>
      </c>
      <c r="J29" s="113" t="s">
        <v>21</v>
      </c>
      <c r="K29" s="265">
        <v>45210</v>
      </c>
      <c r="L29" s="114" t="s">
        <v>211</v>
      </c>
      <c r="M29" s="114" t="s">
        <v>212</v>
      </c>
      <c r="N29" s="110">
        <v>959595335</v>
      </c>
      <c r="O29" s="115">
        <v>15</v>
      </c>
      <c r="P29" s="113" t="s">
        <v>46</v>
      </c>
      <c r="Q29" s="113" t="s">
        <v>24</v>
      </c>
      <c r="R29" s="116"/>
      <c r="S29" s="110" t="s">
        <v>208</v>
      </c>
      <c r="T29" s="212" t="s">
        <v>213</v>
      </c>
      <c r="U29" s="213" t="s">
        <v>214</v>
      </c>
    </row>
    <row r="30" spans="1:22" ht="15.75">
      <c r="A30" s="108">
        <v>25</v>
      </c>
      <c r="B30" s="109">
        <v>45135</v>
      </c>
      <c r="C30" s="110" t="s">
        <v>19</v>
      </c>
      <c r="D30" s="110" t="s">
        <v>218</v>
      </c>
      <c r="E30" s="111">
        <v>111000051</v>
      </c>
      <c r="F30" s="112" t="s">
        <v>215</v>
      </c>
      <c r="G30" s="113" t="s">
        <v>216</v>
      </c>
      <c r="H30" s="110" t="s">
        <v>25</v>
      </c>
      <c r="I30" s="110" t="s">
        <v>24</v>
      </c>
      <c r="J30" s="113" t="s">
        <v>21</v>
      </c>
      <c r="K30" s="265">
        <v>45210</v>
      </c>
      <c r="L30" s="114" t="s">
        <v>211</v>
      </c>
      <c r="M30" s="114" t="s">
        <v>212</v>
      </c>
      <c r="N30" s="110">
        <v>959595335</v>
      </c>
      <c r="O30" s="115">
        <v>15</v>
      </c>
      <c r="P30" s="113" t="s">
        <v>46</v>
      </c>
      <c r="Q30" s="113" t="s">
        <v>24</v>
      </c>
      <c r="R30" s="116"/>
      <c r="S30" s="110" t="s">
        <v>218</v>
      </c>
      <c r="T30" s="212" t="s">
        <v>213</v>
      </c>
      <c r="U30" s="213" t="s">
        <v>214</v>
      </c>
    </row>
    <row r="31" spans="1:22" ht="15.75">
      <c r="A31" s="108">
        <v>26</v>
      </c>
      <c r="B31" s="109">
        <v>45135</v>
      </c>
      <c r="C31" s="110" t="s">
        <v>19</v>
      </c>
      <c r="D31" s="110" t="s">
        <v>218</v>
      </c>
      <c r="E31" s="111">
        <v>112570073</v>
      </c>
      <c r="F31" s="112" t="s">
        <v>198</v>
      </c>
      <c r="G31" s="113" t="s">
        <v>217</v>
      </c>
      <c r="H31" s="110" t="s">
        <v>25</v>
      </c>
      <c r="I31" s="110" t="s">
        <v>24</v>
      </c>
      <c r="J31" s="113" t="s">
        <v>21</v>
      </c>
      <c r="K31" s="265">
        <v>45210</v>
      </c>
      <c r="L31" s="114" t="s">
        <v>211</v>
      </c>
      <c r="M31" s="114" t="s">
        <v>212</v>
      </c>
      <c r="N31" s="110">
        <v>959595335</v>
      </c>
      <c r="O31" s="115">
        <v>15</v>
      </c>
      <c r="P31" s="113" t="s">
        <v>46</v>
      </c>
      <c r="Q31" s="113" t="s">
        <v>24</v>
      </c>
      <c r="R31" s="116"/>
      <c r="S31" s="110" t="s">
        <v>218</v>
      </c>
      <c r="T31" s="212" t="s">
        <v>213</v>
      </c>
      <c r="U31" s="213" t="s">
        <v>214</v>
      </c>
    </row>
    <row r="32" spans="1:22" ht="15.75">
      <c r="A32" s="108">
        <v>27</v>
      </c>
      <c r="B32" s="109">
        <v>45205</v>
      </c>
      <c r="C32" s="110" t="s">
        <v>19</v>
      </c>
      <c r="D32" s="110" t="s">
        <v>219</v>
      </c>
      <c r="E32" s="111">
        <v>40467320</v>
      </c>
      <c r="F32" s="112" t="s">
        <v>165</v>
      </c>
      <c r="G32" s="113" t="s">
        <v>220</v>
      </c>
      <c r="H32" s="110" t="s">
        <v>25</v>
      </c>
      <c r="I32" s="110" t="s">
        <v>24</v>
      </c>
      <c r="J32" s="113" t="s">
        <v>21</v>
      </c>
      <c r="K32" s="265">
        <v>45211</v>
      </c>
      <c r="L32" s="114" t="s">
        <v>221</v>
      </c>
      <c r="M32" s="114" t="s">
        <v>222</v>
      </c>
      <c r="N32" s="110">
        <v>998313700</v>
      </c>
      <c r="O32" s="115">
        <v>20</v>
      </c>
      <c r="P32" s="113" t="s">
        <v>46</v>
      </c>
      <c r="Q32" s="113" t="s">
        <v>24</v>
      </c>
      <c r="R32" s="116"/>
      <c r="S32" s="110" t="s">
        <v>219</v>
      </c>
      <c r="T32" s="212" t="s">
        <v>223</v>
      </c>
      <c r="U32" s="213" t="s">
        <v>224</v>
      </c>
    </row>
    <row r="33" spans="1:21" ht="15.75">
      <c r="A33" s="108">
        <v>28</v>
      </c>
      <c r="B33" s="109">
        <v>45205</v>
      </c>
      <c r="C33" s="110" t="s">
        <v>19</v>
      </c>
      <c r="D33" s="110" t="s">
        <v>219</v>
      </c>
      <c r="E33" s="111">
        <v>40467305</v>
      </c>
      <c r="F33" s="112" t="s">
        <v>225</v>
      </c>
      <c r="G33" s="113" t="s">
        <v>226</v>
      </c>
      <c r="H33" s="110" t="s">
        <v>25</v>
      </c>
      <c r="I33" s="110" t="s">
        <v>24</v>
      </c>
      <c r="J33" s="113" t="s">
        <v>21</v>
      </c>
      <c r="K33" s="265">
        <v>45211</v>
      </c>
      <c r="L33" s="114" t="s">
        <v>221</v>
      </c>
      <c r="M33" s="114" t="s">
        <v>222</v>
      </c>
      <c r="N33" s="110">
        <v>998313700</v>
      </c>
      <c r="O33" s="115">
        <v>20</v>
      </c>
      <c r="P33" s="113" t="s">
        <v>46</v>
      </c>
      <c r="Q33" s="113" t="s">
        <v>24</v>
      </c>
      <c r="R33" s="116"/>
      <c r="S33" s="110" t="s">
        <v>219</v>
      </c>
      <c r="T33" s="212" t="s">
        <v>223</v>
      </c>
      <c r="U33" s="213" t="s">
        <v>224</v>
      </c>
    </row>
    <row r="34" spans="1:21" ht="15.75">
      <c r="A34" s="108">
        <v>29</v>
      </c>
      <c r="B34" s="109">
        <v>45204</v>
      </c>
      <c r="C34" s="110" t="s">
        <v>19</v>
      </c>
      <c r="D34" s="110" t="s">
        <v>227</v>
      </c>
      <c r="E34" s="111">
        <v>40461543</v>
      </c>
      <c r="F34" s="112" t="s">
        <v>228</v>
      </c>
      <c r="G34" s="113" t="s">
        <v>229</v>
      </c>
      <c r="H34" s="110">
        <v>373066</v>
      </c>
      <c r="I34" s="110" t="s">
        <v>24</v>
      </c>
      <c r="J34" s="113" t="s">
        <v>21</v>
      </c>
      <c r="K34" s="265">
        <v>45212</v>
      </c>
      <c r="L34" s="114" t="s">
        <v>230</v>
      </c>
      <c r="M34" s="114" t="s">
        <v>231</v>
      </c>
      <c r="N34" s="110">
        <v>959151416</v>
      </c>
      <c r="O34" s="115">
        <v>15</v>
      </c>
      <c r="P34" s="113" t="s">
        <v>46</v>
      </c>
      <c r="Q34" s="113" t="s">
        <v>24</v>
      </c>
      <c r="R34" s="116"/>
      <c r="S34" s="110" t="s">
        <v>227</v>
      </c>
      <c r="T34" s="212" t="s">
        <v>232</v>
      </c>
      <c r="U34" s="213" t="s">
        <v>233</v>
      </c>
    </row>
    <row r="35" spans="1:21" ht="15.75">
      <c r="A35" s="108">
        <v>30</v>
      </c>
      <c r="B35" s="109">
        <v>45204</v>
      </c>
      <c r="C35" s="110" t="s">
        <v>19</v>
      </c>
      <c r="D35" s="110" t="s">
        <v>227</v>
      </c>
      <c r="E35" s="111">
        <v>40461543</v>
      </c>
      <c r="F35" s="112" t="s">
        <v>228</v>
      </c>
      <c r="G35" s="113" t="s">
        <v>235</v>
      </c>
      <c r="H35" s="110">
        <v>373071</v>
      </c>
      <c r="I35" s="110" t="s">
        <v>24</v>
      </c>
      <c r="J35" s="113" t="s">
        <v>21</v>
      </c>
      <c r="K35" s="265">
        <v>45212</v>
      </c>
      <c r="L35" s="114" t="s">
        <v>230</v>
      </c>
      <c r="M35" s="114" t="s">
        <v>231</v>
      </c>
      <c r="N35" s="110">
        <v>959151416</v>
      </c>
      <c r="O35" s="115">
        <v>15</v>
      </c>
      <c r="P35" s="113" t="s">
        <v>46</v>
      </c>
      <c r="Q35" s="113" t="s">
        <v>24</v>
      </c>
      <c r="R35" s="116"/>
      <c r="S35" s="110" t="s">
        <v>227</v>
      </c>
      <c r="T35" s="212" t="s">
        <v>232</v>
      </c>
      <c r="U35" s="213" t="s">
        <v>233</v>
      </c>
    </row>
    <row r="36" spans="1:21" ht="15.75">
      <c r="A36" s="108">
        <v>31</v>
      </c>
      <c r="B36" s="109">
        <v>45204</v>
      </c>
      <c r="C36" s="110" t="s">
        <v>19</v>
      </c>
      <c r="D36" s="110" t="s">
        <v>227</v>
      </c>
      <c r="E36" s="111">
        <v>40466241</v>
      </c>
      <c r="F36" s="112" t="s">
        <v>161</v>
      </c>
      <c r="G36" s="113" t="s">
        <v>236</v>
      </c>
      <c r="H36" s="110">
        <v>405846</v>
      </c>
      <c r="I36" s="110" t="s">
        <v>24</v>
      </c>
      <c r="J36" s="113" t="s">
        <v>21</v>
      </c>
      <c r="K36" s="265">
        <v>45212</v>
      </c>
      <c r="L36" s="114" t="s">
        <v>230</v>
      </c>
      <c r="M36" s="114" t="s">
        <v>231</v>
      </c>
      <c r="N36" s="110">
        <v>959151416</v>
      </c>
      <c r="O36" s="115">
        <v>15</v>
      </c>
      <c r="P36" s="113" t="s">
        <v>46</v>
      </c>
      <c r="Q36" s="113" t="s">
        <v>24</v>
      </c>
      <c r="R36" s="116"/>
      <c r="S36" s="110" t="s">
        <v>227</v>
      </c>
      <c r="T36" s="212" t="s">
        <v>232</v>
      </c>
      <c r="U36" s="213" t="s">
        <v>233</v>
      </c>
    </row>
    <row r="37" spans="1:21" ht="15.75">
      <c r="A37" s="108">
        <v>32</v>
      </c>
      <c r="B37" s="109">
        <v>45204</v>
      </c>
      <c r="C37" s="110" t="s">
        <v>19</v>
      </c>
      <c r="D37" s="110" t="s">
        <v>227</v>
      </c>
      <c r="E37" s="111">
        <v>40466110</v>
      </c>
      <c r="F37" s="112" t="s">
        <v>234</v>
      </c>
      <c r="G37" s="113" t="s">
        <v>237</v>
      </c>
      <c r="H37" s="110">
        <v>400034</v>
      </c>
      <c r="I37" s="110" t="s">
        <v>24</v>
      </c>
      <c r="J37" s="113" t="s">
        <v>21</v>
      </c>
      <c r="K37" s="265">
        <v>45212</v>
      </c>
      <c r="L37" s="114" t="s">
        <v>230</v>
      </c>
      <c r="M37" s="114" t="s">
        <v>231</v>
      </c>
      <c r="N37" s="110">
        <v>959151416</v>
      </c>
      <c r="O37" s="115">
        <v>15</v>
      </c>
      <c r="P37" s="113" t="s">
        <v>46</v>
      </c>
      <c r="Q37" s="113" t="s">
        <v>24</v>
      </c>
      <c r="R37" s="116"/>
      <c r="S37" s="110" t="s">
        <v>227</v>
      </c>
      <c r="T37" s="212" t="s">
        <v>232</v>
      </c>
      <c r="U37" s="213" t="s">
        <v>233</v>
      </c>
    </row>
    <row r="38" spans="1:21" ht="15.75">
      <c r="A38" s="108">
        <v>33</v>
      </c>
      <c r="B38" s="109">
        <v>44910</v>
      </c>
      <c r="C38" s="110" t="s">
        <v>163</v>
      </c>
      <c r="D38" s="110" t="s">
        <v>355</v>
      </c>
      <c r="E38" s="111">
        <v>112600000</v>
      </c>
      <c r="F38" s="112" t="s">
        <v>277</v>
      </c>
      <c r="G38" s="113" t="s">
        <v>278</v>
      </c>
      <c r="H38" s="110" t="s">
        <v>25</v>
      </c>
      <c r="I38" s="110" t="s">
        <v>24</v>
      </c>
      <c r="J38" s="113" t="s">
        <v>21</v>
      </c>
      <c r="K38" s="265">
        <v>45217</v>
      </c>
      <c r="L38" s="114" t="s">
        <v>279</v>
      </c>
      <c r="M38" s="114" t="s">
        <v>280</v>
      </c>
      <c r="N38" s="110">
        <v>987992256</v>
      </c>
      <c r="O38" s="115">
        <v>15</v>
      </c>
      <c r="P38" s="113" t="s">
        <v>46</v>
      </c>
      <c r="Q38" s="113" t="s">
        <v>24</v>
      </c>
      <c r="R38" s="116"/>
      <c r="S38" s="110" t="s">
        <v>355</v>
      </c>
      <c r="T38" s="212" t="s">
        <v>281</v>
      </c>
      <c r="U38" s="213" t="s">
        <v>360</v>
      </c>
    </row>
    <row r="39" spans="1:21" ht="15.75">
      <c r="A39" s="108">
        <v>34</v>
      </c>
      <c r="B39" s="109">
        <v>44910</v>
      </c>
      <c r="C39" s="110" t="s">
        <v>163</v>
      </c>
      <c r="D39" s="110" t="s">
        <v>355</v>
      </c>
      <c r="E39" s="111">
        <v>41560142</v>
      </c>
      <c r="F39" s="112" t="s">
        <v>282</v>
      </c>
      <c r="G39" s="113" t="s">
        <v>283</v>
      </c>
      <c r="H39" s="110" t="s">
        <v>25</v>
      </c>
      <c r="I39" s="110" t="s">
        <v>24</v>
      </c>
      <c r="J39" s="113" t="s">
        <v>21</v>
      </c>
      <c r="K39" s="265">
        <v>45217</v>
      </c>
      <c r="L39" s="114" t="s">
        <v>279</v>
      </c>
      <c r="M39" s="114" t="s">
        <v>280</v>
      </c>
      <c r="N39" s="110">
        <v>987992256</v>
      </c>
      <c r="O39" s="115">
        <v>15</v>
      </c>
      <c r="P39" s="113" t="s">
        <v>46</v>
      </c>
      <c r="Q39" s="113" t="s">
        <v>24</v>
      </c>
      <c r="R39" s="116"/>
      <c r="S39" s="110" t="s">
        <v>355</v>
      </c>
      <c r="T39" s="212" t="s">
        <v>281</v>
      </c>
      <c r="U39" s="213" t="s">
        <v>360</v>
      </c>
    </row>
    <row r="40" spans="1:21" ht="15.75">
      <c r="A40" s="108">
        <v>35</v>
      </c>
      <c r="B40" s="109">
        <v>44910</v>
      </c>
      <c r="C40" s="110" t="s">
        <v>163</v>
      </c>
      <c r="D40" s="110" t="s">
        <v>355</v>
      </c>
      <c r="E40" s="111">
        <v>40466241</v>
      </c>
      <c r="F40" s="112" t="s">
        <v>174</v>
      </c>
      <c r="G40" s="113" t="s">
        <v>284</v>
      </c>
      <c r="H40" s="110" t="s">
        <v>25</v>
      </c>
      <c r="I40" s="110" t="s">
        <v>24</v>
      </c>
      <c r="J40" s="113" t="s">
        <v>21</v>
      </c>
      <c r="K40" s="265">
        <v>45217</v>
      </c>
      <c r="L40" s="114" t="s">
        <v>279</v>
      </c>
      <c r="M40" s="114" t="s">
        <v>280</v>
      </c>
      <c r="N40" s="110">
        <v>987992256</v>
      </c>
      <c r="O40" s="115">
        <v>15</v>
      </c>
      <c r="P40" s="113" t="s">
        <v>46</v>
      </c>
      <c r="Q40" s="113" t="s">
        <v>24</v>
      </c>
      <c r="R40" s="116"/>
      <c r="S40" s="110" t="s">
        <v>355</v>
      </c>
      <c r="T40" s="212" t="s">
        <v>281</v>
      </c>
      <c r="U40" s="213" t="s">
        <v>360</v>
      </c>
    </row>
    <row r="41" spans="1:21" ht="15.75">
      <c r="A41" s="108">
        <v>36</v>
      </c>
      <c r="B41" s="109">
        <v>44890</v>
      </c>
      <c r="C41" s="110" t="s">
        <v>163</v>
      </c>
      <c r="D41" s="110" t="s">
        <v>356</v>
      </c>
      <c r="E41" s="111">
        <v>112600000</v>
      </c>
      <c r="F41" s="112" t="s">
        <v>277</v>
      </c>
      <c r="G41" s="113" t="s">
        <v>357</v>
      </c>
      <c r="H41" s="110" t="s">
        <v>25</v>
      </c>
      <c r="I41" s="110" t="s">
        <v>24</v>
      </c>
      <c r="J41" s="113" t="s">
        <v>21</v>
      </c>
      <c r="K41" s="265">
        <v>45217</v>
      </c>
      <c r="L41" s="114" t="s">
        <v>279</v>
      </c>
      <c r="M41" s="114" t="s">
        <v>280</v>
      </c>
      <c r="N41" s="110">
        <v>987992256</v>
      </c>
      <c r="O41" s="115">
        <v>15</v>
      </c>
      <c r="P41" s="113" t="s">
        <v>46</v>
      </c>
      <c r="Q41" s="113" t="s">
        <v>24</v>
      </c>
      <c r="R41" s="116"/>
      <c r="S41" s="110" t="s">
        <v>356</v>
      </c>
      <c r="T41" s="212" t="s">
        <v>281</v>
      </c>
      <c r="U41" s="213" t="s">
        <v>360</v>
      </c>
    </row>
    <row r="42" spans="1:21" ht="15.75">
      <c r="A42" s="108">
        <v>37</v>
      </c>
      <c r="B42" s="109">
        <v>44890</v>
      </c>
      <c r="C42" s="110" t="s">
        <v>163</v>
      </c>
      <c r="D42" s="110" t="s">
        <v>356</v>
      </c>
      <c r="E42" s="111">
        <v>41560142</v>
      </c>
      <c r="F42" s="112" t="s">
        <v>282</v>
      </c>
      <c r="G42" s="113" t="s">
        <v>358</v>
      </c>
      <c r="H42" s="110" t="s">
        <v>25</v>
      </c>
      <c r="I42" s="110" t="s">
        <v>24</v>
      </c>
      <c r="J42" s="113" t="s">
        <v>21</v>
      </c>
      <c r="K42" s="265">
        <v>45217</v>
      </c>
      <c r="L42" s="114" t="s">
        <v>279</v>
      </c>
      <c r="M42" s="114" t="s">
        <v>280</v>
      </c>
      <c r="N42" s="110">
        <v>987992256</v>
      </c>
      <c r="O42" s="115">
        <v>15</v>
      </c>
      <c r="P42" s="113" t="s">
        <v>46</v>
      </c>
      <c r="Q42" s="113" t="s">
        <v>24</v>
      </c>
      <c r="R42" s="116"/>
      <c r="S42" s="110" t="s">
        <v>356</v>
      </c>
      <c r="T42" s="212" t="s">
        <v>281</v>
      </c>
      <c r="U42" s="213" t="s">
        <v>360</v>
      </c>
    </row>
    <row r="43" spans="1:21" ht="15.75">
      <c r="A43" s="108">
        <v>38</v>
      </c>
      <c r="B43" s="109">
        <v>44890</v>
      </c>
      <c r="C43" s="110" t="s">
        <v>163</v>
      </c>
      <c r="D43" s="110" t="s">
        <v>356</v>
      </c>
      <c r="E43" s="111">
        <v>40466241</v>
      </c>
      <c r="F43" s="112" t="s">
        <v>174</v>
      </c>
      <c r="G43" s="113" t="s">
        <v>359</v>
      </c>
      <c r="H43" s="110" t="s">
        <v>25</v>
      </c>
      <c r="I43" s="110" t="s">
        <v>24</v>
      </c>
      <c r="J43" s="113" t="s">
        <v>21</v>
      </c>
      <c r="K43" s="265">
        <v>45217</v>
      </c>
      <c r="L43" s="114" t="s">
        <v>279</v>
      </c>
      <c r="M43" s="114" t="s">
        <v>280</v>
      </c>
      <c r="N43" s="110">
        <v>987992256</v>
      </c>
      <c r="O43" s="115">
        <v>15</v>
      </c>
      <c r="P43" s="113" t="s">
        <v>46</v>
      </c>
      <c r="Q43" s="113" t="s">
        <v>24</v>
      </c>
      <c r="R43" s="116"/>
      <c r="S43" s="110" t="s">
        <v>356</v>
      </c>
      <c r="T43" s="212" t="s">
        <v>281</v>
      </c>
      <c r="U43" s="213" t="s">
        <v>360</v>
      </c>
    </row>
    <row r="44" spans="1:21" ht="15.75">
      <c r="A44" s="108">
        <v>39</v>
      </c>
      <c r="B44" s="109">
        <v>45127</v>
      </c>
      <c r="C44" s="110" t="s">
        <v>19</v>
      </c>
      <c r="D44" s="110" t="s">
        <v>361</v>
      </c>
      <c r="E44" s="111">
        <v>113610005</v>
      </c>
      <c r="F44" s="112" t="s">
        <v>362</v>
      </c>
      <c r="G44" s="113" t="s">
        <v>363</v>
      </c>
      <c r="H44" s="110">
        <v>392537</v>
      </c>
      <c r="I44" s="110" t="s">
        <v>24</v>
      </c>
      <c r="J44" s="113" t="s">
        <v>21</v>
      </c>
      <c r="K44" s="265">
        <v>45218</v>
      </c>
      <c r="L44" s="114" t="s">
        <v>367</v>
      </c>
      <c r="M44" s="114" t="s">
        <v>368</v>
      </c>
      <c r="N44" s="110">
        <v>992502733</v>
      </c>
      <c r="O44" s="115">
        <v>20</v>
      </c>
      <c r="P44" s="113" t="s">
        <v>46</v>
      </c>
      <c r="Q44" s="113" t="s">
        <v>24</v>
      </c>
      <c r="R44" s="116"/>
      <c r="S44" s="110" t="s">
        <v>361</v>
      </c>
      <c r="T44" s="212" t="s">
        <v>369</v>
      </c>
      <c r="U44" s="213" t="s">
        <v>370</v>
      </c>
    </row>
    <row r="45" spans="1:21" ht="15.75">
      <c r="A45" s="108">
        <v>40</v>
      </c>
      <c r="B45" s="109">
        <v>45226</v>
      </c>
      <c r="C45" s="110" t="s">
        <v>19</v>
      </c>
      <c r="D45" s="110" t="s">
        <v>366</v>
      </c>
      <c r="E45" s="111">
        <v>113100004</v>
      </c>
      <c r="F45" s="112" t="s">
        <v>364</v>
      </c>
      <c r="G45" s="113" t="s">
        <v>365</v>
      </c>
      <c r="H45" s="110" t="s">
        <v>25</v>
      </c>
      <c r="I45" s="110" t="s">
        <v>24</v>
      </c>
      <c r="J45" s="113" t="s">
        <v>21</v>
      </c>
      <c r="K45" s="265">
        <v>45218</v>
      </c>
      <c r="L45" s="114" t="s">
        <v>367</v>
      </c>
      <c r="M45" s="114" t="s">
        <v>368</v>
      </c>
      <c r="N45" s="110">
        <v>992502733</v>
      </c>
      <c r="O45" s="115">
        <v>30</v>
      </c>
      <c r="P45" s="113" t="s">
        <v>46</v>
      </c>
      <c r="Q45" s="113" t="s">
        <v>24</v>
      </c>
      <c r="R45" s="116"/>
      <c r="S45" s="110" t="s">
        <v>366</v>
      </c>
      <c r="T45" s="212" t="s">
        <v>369</v>
      </c>
      <c r="U45" s="213" t="s">
        <v>370</v>
      </c>
    </row>
    <row r="46" spans="1:21" ht="15.75">
      <c r="A46" s="108">
        <v>41</v>
      </c>
      <c r="B46" s="109">
        <v>45139</v>
      </c>
      <c r="C46" s="110" t="s">
        <v>126</v>
      </c>
      <c r="D46" s="110" t="s">
        <v>399</v>
      </c>
      <c r="E46" s="111">
        <v>40584202</v>
      </c>
      <c r="F46" s="112" t="s">
        <v>209</v>
      </c>
      <c r="G46" s="113" t="s">
        <v>403</v>
      </c>
      <c r="H46" s="110">
        <v>402155</v>
      </c>
      <c r="I46" s="110" t="s">
        <v>24</v>
      </c>
      <c r="J46" s="113" t="s">
        <v>21</v>
      </c>
      <c r="K46" s="265">
        <v>45218</v>
      </c>
      <c r="L46" s="114" t="s">
        <v>407</v>
      </c>
      <c r="M46" s="114" t="s">
        <v>408</v>
      </c>
      <c r="N46" s="110">
        <v>967848005</v>
      </c>
      <c r="O46" s="115">
        <v>15</v>
      </c>
      <c r="P46" s="113" t="s">
        <v>46</v>
      </c>
      <c r="Q46" s="113" t="s">
        <v>24</v>
      </c>
      <c r="R46" s="116"/>
      <c r="S46" s="110" t="s">
        <v>399</v>
      </c>
      <c r="T46" s="212" t="s">
        <v>409</v>
      </c>
      <c r="U46" s="213" t="s">
        <v>410</v>
      </c>
    </row>
    <row r="47" spans="1:21" ht="15.75">
      <c r="A47" s="108">
        <v>42</v>
      </c>
      <c r="B47" s="109">
        <v>45139</v>
      </c>
      <c r="C47" s="110" t="s">
        <v>126</v>
      </c>
      <c r="D47" s="110" t="s">
        <v>399</v>
      </c>
      <c r="E47" s="111">
        <v>112570068</v>
      </c>
      <c r="F47" s="112" t="s">
        <v>400</v>
      </c>
      <c r="G47" s="113" t="s">
        <v>404</v>
      </c>
      <c r="H47" s="110">
        <v>400437</v>
      </c>
      <c r="I47" s="110" t="s">
        <v>24</v>
      </c>
      <c r="J47" s="113" t="s">
        <v>21</v>
      </c>
      <c r="K47" s="265">
        <v>45219</v>
      </c>
      <c r="L47" s="114" t="s">
        <v>407</v>
      </c>
      <c r="M47" s="114" t="s">
        <v>408</v>
      </c>
      <c r="N47" s="110">
        <v>967848005</v>
      </c>
      <c r="O47" s="115">
        <v>15</v>
      </c>
      <c r="P47" s="113" t="s">
        <v>46</v>
      </c>
      <c r="Q47" s="113" t="s">
        <v>24</v>
      </c>
      <c r="R47" s="116"/>
      <c r="S47" s="110" t="s">
        <v>399</v>
      </c>
      <c r="T47" s="212" t="s">
        <v>409</v>
      </c>
      <c r="U47" s="213" t="s">
        <v>410</v>
      </c>
    </row>
    <row r="48" spans="1:21" ht="15.75">
      <c r="A48" s="108">
        <v>43</v>
      </c>
      <c r="B48" s="109">
        <v>45139</v>
      </c>
      <c r="C48" s="110" t="s">
        <v>126</v>
      </c>
      <c r="D48" s="110" t="s">
        <v>399</v>
      </c>
      <c r="E48" s="111">
        <v>40483183</v>
      </c>
      <c r="F48" s="112" t="s">
        <v>401</v>
      </c>
      <c r="G48" s="113" t="s">
        <v>405</v>
      </c>
      <c r="H48" s="110">
        <v>40483183</v>
      </c>
      <c r="I48" s="110" t="s">
        <v>24</v>
      </c>
      <c r="J48" s="113" t="s">
        <v>21</v>
      </c>
      <c r="K48" s="265">
        <v>45220</v>
      </c>
      <c r="L48" s="114" t="s">
        <v>407</v>
      </c>
      <c r="M48" s="114" t="s">
        <v>408</v>
      </c>
      <c r="N48" s="110">
        <v>967848005</v>
      </c>
      <c r="O48" s="115">
        <v>30</v>
      </c>
      <c r="P48" s="113" t="s">
        <v>46</v>
      </c>
      <c r="Q48" s="113" t="s">
        <v>24</v>
      </c>
      <c r="R48" s="116"/>
      <c r="S48" s="110" t="s">
        <v>399</v>
      </c>
      <c r="T48" s="212" t="s">
        <v>409</v>
      </c>
      <c r="U48" s="213" t="s">
        <v>410</v>
      </c>
    </row>
    <row r="49" spans="1:21" ht="15.75">
      <c r="A49" s="108">
        <v>44</v>
      </c>
      <c r="B49" s="109">
        <v>45139</v>
      </c>
      <c r="C49" s="110" t="s">
        <v>126</v>
      </c>
      <c r="D49" s="110" t="s">
        <v>399</v>
      </c>
      <c r="E49" s="111">
        <v>113610005</v>
      </c>
      <c r="F49" s="112" t="s">
        <v>402</v>
      </c>
      <c r="G49" s="113" t="s">
        <v>406</v>
      </c>
      <c r="H49" s="110">
        <v>402153</v>
      </c>
      <c r="I49" s="110" t="s">
        <v>24</v>
      </c>
      <c r="J49" s="113" t="s">
        <v>21</v>
      </c>
      <c r="K49" s="265">
        <v>45221</v>
      </c>
      <c r="L49" s="114" t="s">
        <v>407</v>
      </c>
      <c r="M49" s="114" t="s">
        <v>408</v>
      </c>
      <c r="N49" s="110">
        <v>967848005</v>
      </c>
      <c r="O49" s="115">
        <v>15</v>
      </c>
      <c r="P49" s="113" t="s">
        <v>46</v>
      </c>
      <c r="Q49" s="113" t="s">
        <v>24</v>
      </c>
      <c r="R49" s="116"/>
      <c r="S49" s="110" t="s">
        <v>399</v>
      </c>
      <c r="T49" s="212" t="s">
        <v>409</v>
      </c>
      <c r="U49" s="213" t="s">
        <v>410</v>
      </c>
    </row>
    <row r="50" spans="1:21">
      <c r="O50" s="120">
        <f>SUM(O6:O49)</f>
        <v>785</v>
      </c>
    </row>
  </sheetData>
  <hyperlinks>
    <hyperlink ref="U10" r:id="rId1"/>
    <hyperlink ref="U11" r:id="rId2"/>
    <hyperlink ref="U6" r:id="rId3"/>
    <hyperlink ref="U7" r:id="rId4"/>
    <hyperlink ref="U8" r:id="rId5"/>
    <hyperlink ref="U9" r:id="rId6"/>
    <hyperlink ref="U16" r:id="rId7"/>
    <hyperlink ref="U17" r:id="rId8"/>
    <hyperlink ref="U18" r:id="rId9"/>
    <hyperlink ref="U19" r:id="rId10"/>
    <hyperlink ref="U20" r:id="rId11"/>
    <hyperlink ref="U21" r:id="rId12"/>
    <hyperlink ref="U22" r:id="rId13"/>
    <hyperlink ref="U23" r:id="rId14"/>
    <hyperlink ref="U24" r:id="rId15"/>
    <hyperlink ref="U25" r:id="rId16"/>
    <hyperlink ref="U26" r:id="rId17"/>
    <hyperlink ref="U27" r:id="rId18"/>
    <hyperlink ref="U28" r:id="rId19"/>
    <hyperlink ref="U29" r:id="rId20"/>
    <hyperlink ref="U30" r:id="rId21"/>
    <hyperlink ref="U31" r:id="rId22"/>
    <hyperlink ref="U32" r:id="rId23"/>
    <hyperlink ref="U33" r:id="rId24"/>
    <hyperlink ref="U34" r:id="rId25"/>
    <hyperlink ref="U35" r:id="rId26"/>
    <hyperlink ref="U36" r:id="rId27"/>
    <hyperlink ref="U37" r:id="rId28"/>
    <hyperlink ref="U38" r:id="rId29"/>
    <hyperlink ref="U39" r:id="rId30"/>
    <hyperlink ref="U40" r:id="rId31"/>
    <hyperlink ref="U41" r:id="rId32"/>
    <hyperlink ref="U42" r:id="rId33"/>
    <hyperlink ref="U43" r:id="rId34"/>
    <hyperlink ref="U44" r:id="rId35"/>
    <hyperlink ref="U45" r:id="rId36"/>
    <hyperlink ref="U46" r:id="rId37"/>
    <hyperlink ref="U47" r:id="rId38"/>
    <hyperlink ref="U48" r:id="rId39"/>
    <hyperlink ref="U49" r:id="rId40"/>
  </hyperlinks>
  <pageMargins left="0.7" right="0.7" top="0.75" bottom="0.75" header="0.3" footer="0.3"/>
  <pageSetup paperSize="9" orientation="portrait" horizontalDpi="0" verticalDpi="0" r:id="rId41"/>
  <drawing r:id="rId4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7" workbookViewId="0">
      <selection activeCell="Q16" sqref="Q16"/>
    </sheetView>
  </sheetViews>
  <sheetFormatPr baseColWidth="10" defaultRowHeight="15"/>
  <cols>
    <col min="2" max="3" width="11.85546875" bestFit="1" customWidth="1"/>
    <col min="6" max="6" width="34.7109375" customWidth="1"/>
    <col min="8" max="8" width="27.28515625" customWidth="1"/>
    <col min="9" max="9" width="16.140625" customWidth="1"/>
    <col min="10" max="10" width="11.85546875" bestFit="1" customWidth="1"/>
    <col min="12" max="12" width="23.42578125" customWidth="1"/>
    <col min="13" max="13" width="19.5703125" customWidth="1"/>
  </cols>
  <sheetData>
    <row r="1" spans="1:18">
      <c r="A1" s="68"/>
      <c r="C1" s="117"/>
      <c r="D1" s="118"/>
      <c r="I1" s="119"/>
      <c r="K1" s="120"/>
      <c r="L1" s="120"/>
    </row>
    <row r="2" spans="1:18">
      <c r="A2" s="68"/>
      <c r="B2" s="83"/>
      <c r="C2" s="121" t="s">
        <v>27</v>
      </c>
      <c r="D2" s="122"/>
      <c r="E2" s="123"/>
      <c r="F2" s="124"/>
      <c r="G2" s="125"/>
      <c r="M2" s="126"/>
    </row>
    <row r="3" spans="1:18">
      <c r="A3" s="68"/>
      <c r="B3" s="83"/>
      <c r="C3" s="127" t="s">
        <v>1</v>
      </c>
      <c r="D3" s="128"/>
      <c r="E3" s="129"/>
      <c r="F3" s="129"/>
      <c r="G3" s="125"/>
      <c r="M3" s="126"/>
    </row>
    <row r="4" spans="1:18" ht="19.5">
      <c r="A4" s="68"/>
      <c r="B4" s="130" t="s">
        <v>95</v>
      </c>
      <c r="C4" s="131"/>
      <c r="D4" s="131"/>
      <c r="E4" s="132" t="s">
        <v>47</v>
      </c>
      <c r="F4" s="133"/>
      <c r="G4" s="132"/>
      <c r="H4" s="134"/>
      <c r="I4" s="131"/>
      <c r="J4" s="135"/>
      <c r="K4" s="135"/>
      <c r="L4" s="136"/>
      <c r="M4" s="137" t="s">
        <v>90</v>
      </c>
    </row>
    <row r="5" spans="1:18">
      <c r="A5" s="68"/>
      <c r="B5" s="138" t="s">
        <v>48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</row>
    <row r="6" spans="1:18">
      <c r="A6" s="68"/>
      <c r="B6" s="141" t="s">
        <v>103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3"/>
    </row>
    <row r="7" spans="1:18" ht="23.25">
      <c r="A7" s="68"/>
      <c r="B7" s="144" t="s">
        <v>49</v>
      </c>
      <c r="C7" s="144" t="s">
        <v>50</v>
      </c>
      <c r="D7" s="144" t="s">
        <v>51</v>
      </c>
      <c r="E7" s="144" t="s">
        <v>52</v>
      </c>
      <c r="F7" s="144" t="s">
        <v>53</v>
      </c>
      <c r="G7" s="144" t="s">
        <v>54</v>
      </c>
      <c r="H7" s="144" t="s">
        <v>55</v>
      </c>
      <c r="I7" s="144" t="s">
        <v>56</v>
      </c>
      <c r="J7" s="144" t="s">
        <v>57</v>
      </c>
      <c r="K7" s="144" t="s">
        <v>58</v>
      </c>
      <c r="L7" s="144" t="s">
        <v>59</v>
      </c>
      <c r="M7" s="144" t="s">
        <v>60</v>
      </c>
      <c r="N7" s="144" t="s">
        <v>61</v>
      </c>
      <c r="O7" s="144" t="s">
        <v>105</v>
      </c>
      <c r="P7" s="144" t="s">
        <v>23</v>
      </c>
      <c r="Q7" s="144" t="s">
        <v>62</v>
      </c>
    </row>
    <row r="8" spans="1:18" ht="15.75">
      <c r="A8" s="145">
        <v>1</v>
      </c>
      <c r="B8" s="151">
        <v>44636</v>
      </c>
      <c r="C8" s="225">
        <v>45189</v>
      </c>
      <c r="D8" s="152">
        <v>2</v>
      </c>
      <c r="E8" s="153">
        <v>93162407</v>
      </c>
      <c r="F8" s="154" t="s">
        <v>238</v>
      </c>
      <c r="G8" s="153">
        <v>40584305</v>
      </c>
      <c r="H8" s="155" t="s">
        <v>239</v>
      </c>
      <c r="I8" s="151" t="s">
        <v>240</v>
      </c>
      <c r="J8" s="151" t="s">
        <v>25</v>
      </c>
      <c r="K8" s="146" t="s">
        <v>3</v>
      </c>
      <c r="L8" s="153" t="s">
        <v>241</v>
      </c>
      <c r="M8" s="153" t="s">
        <v>242</v>
      </c>
      <c r="N8" s="153">
        <v>15</v>
      </c>
      <c r="O8" s="153">
        <v>103790416</v>
      </c>
      <c r="P8" s="215" t="s">
        <v>243</v>
      </c>
      <c r="Q8" s="153">
        <v>998247290</v>
      </c>
    </row>
    <row r="9" spans="1:18" ht="15.75">
      <c r="A9" s="145">
        <v>2</v>
      </c>
      <c r="B9" s="146">
        <v>44104</v>
      </c>
      <c r="C9" s="262">
        <v>45190</v>
      </c>
      <c r="D9" s="147">
        <v>1</v>
      </c>
      <c r="E9" s="148">
        <v>69803252</v>
      </c>
      <c r="F9" s="149" t="s">
        <v>244</v>
      </c>
      <c r="G9" s="148">
        <v>112520010</v>
      </c>
      <c r="H9" s="150" t="s">
        <v>245</v>
      </c>
      <c r="I9" s="146" t="s">
        <v>246</v>
      </c>
      <c r="J9" s="146" t="s">
        <v>25</v>
      </c>
      <c r="K9" s="146" t="s">
        <v>3</v>
      </c>
      <c r="L9" s="148" t="s">
        <v>247</v>
      </c>
      <c r="M9" s="148" t="s">
        <v>242</v>
      </c>
      <c r="N9" s="148">
        <v>12.5</v>
      </c>
      <c r="O9" s="148">
        <v>101857878</v>
      </c>
      <c r="P9" s="214" t="s">
        <v>248</v>
      </c>
      <c r="Q9" s="148">
        <v>991400965</v>
      </c>
      <c r="R9" s="261"/>
    </row>
    <row r="10" spans="1:18" ht="15.75">
      <c r="A10" s="145">
        <v>3</v>
      </c>
      <c r="B10" s="225">
        <v>45178</v>
      </c>
      <c r="C10" s="225">
        <v>45192</v>
      </c>
      <c r="D10" s="152"/>
      <c r="E10" s="153"/>
      <c r="F10" s="154" t="s">
        <v>252</v>
      </c>
      <c r="G10" s="153">
        <v>40466241</v>
      </c>
      <c r="H10" s="155" t="s">
        <v>161</v>
      </c>
      <c r="I10" s="151" t="s">
        <v>249</v>
      </c>
      <c r="J10" s="151" t="s">
        <v>25</v>
      </c>
      <c r="K10" s="146" t="s">
        <v>3</v>
      </c>
      <c r="L10" s="153" t="s">
        <v>250</v>
      </c>
      <c r="M10" s="153" t="s">
        <v>251</v>
      </c>
      <c r="N10" s="153">
        <v>12.5</v>
      </c>
      <c r="O10" s="153">
        <v>301565289</v>
      </c>
      <c r="P10" s="215" t="s">
        <v>253</v>
      </c>
      <c r="Q10" s="153">
        <v>983913973</v>
      </c>
      <c r="R10" s="261"/>
    </row>
    <row r="11" spans="1:18" ht="15.75">
      <c r="A11" s="145">
        <v>4</v>
      </c>
      <c r="B11" s="225">
        <v>44889</v>
      </c>
      <c r="C11" s="225">
        <v>45195</v>
      </c>
      <c r="D11" s="152"/>
      <c r="E11" s="153"/>
      <c r="F11" s="154" t="s">
        <v>254</v>
      </c>
      <c r="G11" s="111">
        <v>112600000</v>
      </c>
      <c r="H11" s="154" t="s">
        <v>431</v>
      </c>
      <c r="I11" s="151" t="s">
        <v>255</v>
      </c>
      <c r="J11" s="151" t="s">
        <v>25</v>
      </c>
      <c r="K11" s="146" t="s">
        <v>3</v>
      </c>
      <c r="L11" s="153" t="s">
        <v>256</v>
      </c>
      <c r="M11" s="153" t="s">
        <v>257</v>
      </c>
      <c r="N11" s="153">
        <v>12.5</v>
      </c>
      <c r="O11" s="153">
        <v>106072325</v>
      </c>
      <c r="P11" s="215" t="s">
        <v>258</v>
      </c>
      <c r="Q11" s="153">
        <v>998723173</v>
      </c>
      <c r="R11" s="261"/>
    </row>
    <row r="12" spans="1:18" ht="15.75">
      <c r="A12" s="145">
        <v>5</v>
      </c>
      <c r="B12" s="156">
        <v>44877</v>
      </c>
      <c r="C12" s="263">
        <v>45196</v>
      </c>
      <c r="D12" s="157">
        <v>1</v>
      </c>
      <c r="E12" s="159">
        <v>81597038</v>
      </c>
      <c r="F12" s="159" t="s">
        <v>259</v>
      </c>
      <c r="G12" s="158">
        <v>41597411</v>
      </c>
      <c r="H12" s="159" t="s">
        <v>260</v>
      </c>
      <c r="I12" s="156" t="s">
        <v>96</v>
      </c>
      <c r="J12" s="156" t="s">
        <v>25</v>
      </c>
      <c r="K12" s="146" t="s">
        <v>3</v>
      </c>
      <c r="L12" s="158" t="s">
        <v>97</v>
      </c>
      <c r="M12" s="158" t="s">
        <v>261</v>
      </c>
      <c r="N12" s="226">
        <v>18.75</v>
      </c>
      <c r="O12" s="158">
        <v>103124749</v>
      </c>
      <c r="P12" s="158"/>
      <c r="Q12" s="158">
        <v>988689613</v>
      </c>
      <c r="R12" s="261"/>
    </row>
    <row r="13" spans="1:18" ht="15.75">
      <c r="A13" s="145">
        <v>6</v>
      </c>
      <c r="B13" s="156">
        <v>44559</v>
      </c>
      <c r="C13" s="263">
        <v>45201</v>
      </c>
      <c r="D13" s="157">
        <v>1</v>
      </c>
      <c r="E13" s="158">
        <v>83130681</v>
      </c>
      <c r="F13" s="159" t="s">
        <v>262</v>
      </c>
      <c r="G13" s="158">
        <v>41596121</v>
      </c>
      <c r="H13" s="160" t="s">
        <v>263</v>
      </c>
      <c r="I13" s="156" t="s">
        <v>264</v>
      </c>
      <c r="J13" s="156" t="s">
        <v>25</v>
      </c>
      <c r="K13" s="146" t="s">
        <v>3</v>
      </c>
      <c r="L13" s="158" t="s">
        <v>265</v>
      </c>
      <c r="M13" s="158" t="s">
        <v>242</v>
      </c>
      <c r="N13" s="226">
        <v>18.75</v>
      </c>
      <c r="O13" s="158"/>
      <c r="P13" s="218"/>
      <c r="Q13" s="158">
        <v>993931775</v>
      </c>
    </row>
    <row r="14" spans="1:18" ht="15.75">
      <c r="A14" s="145">
        <v>7</v>
      </c>
      <c r="B14" s="156">
        <v>44634</v>
      </c>
      <c r="C14" s="263">
        <v>45202</v>
      </c>
      <c r="D14" s="157"/>
      <c r="E14" s="159"/>
      <c r="F14" s="159" t="s">
        <v>266</v>
      </c>
      <c r="G14" s="158">
        <v>111580000</v>
      </c>
      <c r="H14" s="159" t="s">
        <v>267</v>
      </c>
      <c r="I14" s="156" t="s">
        <v>268</v>
      </c>
      <c r="J14" s="156" t="s">
        <v>25</v>
      </c>
      <c r="K14" s="146" t="s">
        <v>3</v>
      </c>
      <c r="L14" s="158" t="s">
        <v>269</v>
      </c>
      <c r="M14" s="158" t="s">
        <v>270</v>
      </c>
      <c r="N14" s="158">
        <v>12.5</v>
      </c>
      <c r="O14" s="158">
        <v>105349997</v>
      </c>
      <c r="P14" s="218" t="s">
        <v>271</v>
      </c>
      <c r="Q14" s="158">
        <v>998640571</v>
      </c>
    </row>
    <row r="15" spans="1:18" ht="15.75">
      <c r="A15" s="145">
        <v>8</v>
      </c>
      <c r="B15" s="156">
        <v>45197</v>
      </c>
      <c r="C15" s="263">
        <v>45211</v>
      </c>
      <c r="D15" s="157"/>
      <c r="E15" s="158"/>
      <c r="F15" s="159" t="s">
        <v>272</v>
      </c>
      <c r="G15" s="158">
        <v>112570526</v>
      </c>
      <c r="H15" s="160" t="s">
        <v>273</v>
      </c>
      <c r="I15" s="156" t="s">
        <v>274</v>
      </c>
      <c r="J15" s="156" t="s">
        <v>25</v>
      </c>
      <c r="K15" s="146" t="s">
        <v>3</v>
      </c>
      <c r="L15" s="158" t="s">
        <v>275</v>
      </c>
      <c r="M15" s="158" t="s">
        <v>276</v>
      </c>
      <c r="N15" s="158">
        <v>12.5</v>
      </c>
      <c r="O15" s="158">
        <v>106503071</v>
      </c>
      <c r="P15" s="218"/>
      <c r="Q15" s="158">
        <v>988964316</v>
      </c>
    </row>
    <row r="16" spans="1:18" ht="15.75">
      <c r="A16" s="145">
        <v>9</v>
      </c>
      <c r="B16" s="156">
        <v>44912</v>
      </c>
      <c r="C16" s="263">
        <v>45198</v>
      </c>
      <c r="D16" s="157"/>
      <c r="E16" s="158"/>
      <c r="F16" s="159" t="s">
        <v>349</v>
      </c>
      <c r="G16" s="158">
        <v>112570093</v>
      </c>
      <c r="H16" s="160" t="s">
        <v>350</v>
      </c>
      <c r="I16" s="156" t="s">
        <v>351</v>
      </c>
      <c r="J16" s="156" t="s">
        <v>25</v>
      </c>
      <c r="K16" s="146" t="s">
        <v>3</v>
      </c>
      <c r="L16" s="158" t="s">
        <v>352</v>
      </c>
      <c r="M16" s="158" t="s">
        <v>353</v>
      </c>
      <c r="N16" s="158">
        <v>12.5</v>
      </c>
      <c r="O16" s="158">
        <v>102852266</v>
      </c>
      <c r="P16" s="218" t="s">
        <v>354</v>
      </c>
      <c r="Q16" s="158">
        <v>4101823</v>
      </c>
    </row>
    <row r="17" spans="1:17" ht="15.75">
      <c r="A17" s="145">
        <v>10</v>
      </c>
      <c r="B17" s="156">
        <v>45218</v>
      </c>
      <c r="C17" s="263">
        <v>45218</v>
      </c>
      <c r="D17" s="157"/>
      <c r="E17" s="158"/>
      <c r="F17" s="159" t="s">
        <v>426</v>
      </c>
      <c r="G17" s="158">
        <v>115000048</v>
      </c>
      <c r="H17" s="160" t="s">
        <v>427</v>
      </c>
      <c r="I17" s="156" t="s">
        <v>428</v>
      </c>
      <c r="J17" s="156" t="s">
        <v>25</v>
      </c>
      <c r="K17" s="146" t="s">
        <v>3</v>
      </c>
      <c r="L17" s="158" t="s">
        <v>429</v>
      </c>
      <c r="M17" s="158" t="s">
        <v>430</v>
      </c>
      <c r="N17" s="158">
        <v>12.5</v>
      </c>
      <c r="O17" s="158">
        <v>107262495</v>
      </c>
      <c r="P17" s="218"/>
      <c r="Q17" s="158">
        <v>979184266</v>
      </c>
    </row>
    <row r="18" spans="1:17">
      <c r="A18" s="163"/>
      <c r="B18" s="83"/>
      <c r="M18" s="119"/>
      <c r="N18">
        <f>SUM(N8:N17)</f>
        <v>140</v>
      </c>
    </row>
    <row r="20" spans="1:17" ht="15.75">
      <c r="G20" s="161">
        <v>5</v>
      </c>
      <c r="H20" s="162" t="s">
        <v>87</v>
      </c>
      <c r="I20">
        <v>12.5</v>
      </c>
      <c r="J20">
        <f t="shared" ref="J20" si="0">I20*G20</f>
        <v>62.5</v>
      </c>
    </row>
    <row r="21" spans="1:17" ht="15.75">
      <c r="G21" s="161">
        <v>1</v>
      </c>
      <c r="H21" s="217" t="s">
        <v>88</v>
      </c>
      <c r="I21">
        <v>15</v>
      </c>
      <c r="J21">
        <v>15</v>
      </c>
    </row>
    <row r="22" spans="1:17" ht="15.75">
      <c r="G22" s="161">
        <v>2</v>
      </c>
      <c r="H22" s="217" t="s">
        <v>285</v>
      </c>
      <c r="I22">
        <v>18.75</v>
      </c>
      <c r="J22">
        <v>37.5</v>
      </c>
    </row>
    <row r="23" spans="1:17" ht="15.75">
      <c r="G23" s="161">
        <v>1</v>
      </c>
      <c r="H23" s="217" t="s">
        <v>286</v>
      </c>
      <c r="I23">
        <v>12.5</v>
      </c>
      <c r="J23">
        <v>12.5</v>
      </c>
    </row>
    <row r="24" spans="1:17" ht="15.75">
      <c r="G24" s="264">
        <v>1</v>
      </c>
      <c r="H24" s="217" t="s">
        <v>432</v>
      </c>
      <c r="I24">
        <v>12.5</v>
      </c>
      <c r="J24">
        <v>12.5</v>
      </c>
    </row>
    <row r="25" spans="1:17">
      <c r="J25">
        <f>SUM(J20:J24)</f>
        <v>140</v>
      </c>
    </row>
  </sheetData>
  <hyperlinks>
    <hyperlink ref="P8" r:id="rId1"/>
    <hyperlink ref="P9" r:id="rId2"/>
    <hyperlink ref="P10" r:id="rId3"/>
    <hyperlink ref="P11" r:id="rId4"/>
    <hyperlink ref="P14" r:id="rId5"/>
    <hyperlink ref="P16" r:id="rId6"/>
  </hyperlinks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tabSelected="1" zoomScale="83" zoomScaleNormal="83" workbookViewId="0">
      <selection activeCell="F32" sqref="F32"/>
    </sheetView>
  </sheetViews>
  <sheetFormatPr baseColWidth="10" defaultRowHeight="15"/>
  <cols>
    <col min="2" max="2" width="15.7109375" customWidth="1"/>
    <col min="3" max="3" width="22.140625" customWidth="1"/>
    <col min="4" max="4" width="37.85546875" customWidth="1"/>
    <col min="5" max="5" width="15.28515625" customWidth="1"/>
    <col min="6" max="6" width="34.7109375" customWidth="1"/>
    <col min="7" max="7" width="19.42578125" customWidth="1"/>
    <col min="8" max="8" width="14.140625" customWidth="1"/>
    <col min="9" max="9" width="13.42578125" customWidth="1"/>
    <col min="13" max="13" width="17.85546875" customWidth="1"/>
    <col min="15" max="15" width="14.7109375" customWidth="1"/>
    <col min="16" max="16" width="32" customWidth="1"/>
    <col min="17" max="17" width="34.140625" customWidth="1"/>
    <col min="18" max="18" width="49.5703125" customWidth="1"/>
  </cols>
  <sheetData>
    <row r="1" spans="1:18">
      <c r="A1" s="164"/>
      <c r="B1" s="165" t="s">
        <v>0</v>
      </c>
      <c r="C1" s="166"/>
      <c r="D1" s="166"/>
      <c r="E1" s="167"/>
      <c r="F1" s="168"/>
      <c r="G1" s="169"/>
      <c r="H1" s="169"/>
      <c r="I1" s="170"/>
      <c r="J1" s="171"/>
      <c r="K1" s="172"/>
      <c r="L1" s="172"/>
      <c r="M1" s="173"/>
      <c r="N1" s="172"/>
      <c r="O1" s="170"/>
      <c r="P1" s="169"/>
      <c r="Q1" s="164"/>
      <c r="R1" s="164"/>
    </row>
    <row r="2" spans="1:18">
      <c r="A2" s="164"/>
      <c r="B2" s="165" t="s">
        <v>91</v>
      </c>
      <c r="C2" s="166"/>
      <c r="D2" s="166"/>
      <c r="E2" s="167"/>
      <c r="F2" s="168"/>
      <c r="G2" s="169"/>
      <c r="H2" s="169"/>
      <c r="I2" s="170"/>
      <c r="J2" s="171"/>
      <c r="K2" s="172"/>
      <c r="L2" s="172"/>
      <c r="M2" s="174"/>
      <c r="N2" s="172"/>
      <c r="O2" s="170"/>
      <c r="P2" s="169"/>
      <c r="Q2" s="164"/>
      <c r="R2" s="164"/>
    </row>
    <row r="3" spans="1:18">
      <c r="A3" s="164"/>
      <c r="B3" s="165" t="s">
        <v>63</v>
      </c>
      <c r="C3" s="166"/>
      <c r="D3" s="166"/>
      <c r="E3" s="167"/>
      <c r="F3" s="168"/>
      <c r="G3" s="169"/>
      <c r="H3" s="169"/>
      <c r="I3" s="170"/>
      <c r="J3" s="171"/>
      <c r="K3" s="172"/>
      <c r="L3" s="172"/>
      <c r="M3" s="174"/>
      <c r="N3" s="172"/>
      <c r="O3" s="170"/>
      <c r="P3" s="169"/>
      <c r="Q3" s="164"/>
      <c r="R3" s="164"/>
    </row>
    <row r="4" spans="1:18">
      <c r="A4" s="164"/>
      <c r="B4" s="175" t="s">
        <v>64</v>
      </c>
      <c r="C4" s="176"/>
      <c r="D4" s="176"/>
      <c r="E4" s="177"/>
      <c r="F4" s="178"/>
      <c r="G4" s="179"/>
      <c r="H4" s="180" t="s">
        <v>65</v>
      </c>
      <c r="I4" s="181" t="s">
        <v>64</v>
      </c>
      <c r="J4" s="182" t="s">
        <v>66</v>
      </c>
      <c r="K4" s="177" t="s">
        <v>67</v>
      </c>
      <c r="L4" s="183"/>
      <c r="M4" s="184"/>
      <c r="N4" s="177"/>
      <c r="O4" s="175" t="s">
        <v>64</v>
      </c>
      <c r="P4" s="185"/>
      <c r="Q4" s="185"/>
      <c r="R4" s="186"/>
    </row>
    <row r="5" spans="1:18">
      <c r="A5" s="164"/>
      <c r="B5" s="187"/>
      <c r="C5" s="188" t="s">
        <v>68</v>
      </c>
      <c r="D5" s="188" t="s">
        <v>69</v>
      </c>
      <c r="E5" s="189" t="s">
        <v>70</v>
      </c>
      <c r="F5" s="190" t="s">
        <v>71</v>
      </c>
      <c r="G5" s="191" t="s">
        <v>72</v>
      </c>
      <c r="H5" s="192" t="s">
        <v>73</v>
      </c>
      <c r="I5" s="193" t="s">
        <v>73</v>
      </c>
      <c r="J5" s="194" t="s">
        <v>74</v>
      </c>
      <c r="K5" s="189" t="s">
        <v>74</v>
      </c>
      <c r="L5" s="195" t="s">
        <v>75</v>
      </c>
      <c r="M5" s="196" t="s">
        <v>76</v>
      </c>
      <c r="N5" s="189" t="s">
        <v>77</v>
      </c>
      <c r="O5" s="187" t="s">
        <v>73</v>
      </c>
      <c r="P5" s="197" t="s">
        <v>78</v>
      </c>
      <c r="Q5" s="197" t="s">
        <v>79</v>
      </c>
      <c r="R5" s="198" t="s">
        <v>80</v>
      </c>
    </row>
    <row r="6" spans="1:18">
      <c r="A6" s="164"/>
      <c r="B6" s="199"/>
      <c r="C6" s="200"/>
      <c r="D6" s="200"/>
      <c r="E6" s="201"/>
      <c r="F6" s="202"/>
      <c r="G6" s="203"/>
      <c r="H6" s="204" t="s">
        <v>81</v>
      </c>
      <c r="I6" s="205" t="s">
        <v>81</v>
      </c>
      <c r="J6" s="206" t="s">
        <v>11</v>
      </c>
      <c r="K6" s="201" t="s">
        <v>82</v>
      </c>
      <c r="L6" s="207"/>
      <c r="M6" s="208"/>
      <c r="N6" s="201"/>
      <c r="O6" s="199" t="s">
        <v>83</v>
      </c>
      <c r="P6" s="209"/>
      <c r="Q6" s="209"/>
      <c r="R6" s="210"/>
    </row>
    <row r="7" spans="1:18" s="224" customFormat="1" ht="19.5" customHeight="1">
      <c r="A7" s="246">
        <v>1</v>
      </c>
      <c r="B7" s="237">
        <v>45189</v>
      </c>
      <c r="C7" s="238" t="s">
        <v>122</v>
      </c>
      <c r="D7" s="238" t="s">
        <v>123</v>
      </c>
      <c r="E7" s="236">
        <v>993683815</v>
      </c>
      <c r="F7" s="247" t="s">
        <v>379</v>
      </c>
      <c r="G7" s="234" t="s">
        <v>84</v>
      </c>
      <c r="H7" s="236" t="s">
        <v>118</v>
      </c>
      <c r="I7" s="237">
        <v>45159</v>
      </c>
      <c r="J7" s="234"/>
      <c r="K7" s="234"/>
      <c r="L7" s="239" t="s">
        <v>25</v>
      </c>
      <c r="M7" s="240" t="s">
        <v>121</v>
      </c>
      <c r="N7" s="241"/>
      <c r="O7" s="230"/>
      <c r="P7" s="253" t="s">
        <v>125</v>
      </c>
      <c r="Q7" s="240" t="s">
        <v>124</v>
      </c>
      <c r="R7" s="234"/>
    </row>
    <row r="8" spans="1:18" s="224" customFormat="1" ht="18.75" customHeight="1">
      <c r="A8" s="246">
        <v>2</v>
      </c>
      <c r="B8" s="237">
        <v>45189</v>
      </c>
      <c r="C8" s="238" t="s">
        <v>122</v>
      </c>
      <c r="D8" s="238" t="s">
        <v>123</v>
      </c>
      <c r="E8" s="236">
        <v>993683815</v>
      </c>
      <c r="F8" s="247" t="s">
        <v>379</v>
      </c>
      <c r="G8" s="234" t="s">
        <v>84</v>
      </c>
      <c r="H8" s="236" t="s">
        <v>126</v>
      </c>
      <c r="I8" s="237">
        <v>45134</v>
      </c>
      <c r="J8" s="234"/>
      <c r="K8" s="234"/>
      <c r="L8" s="239" t="s">
        <v>25</v>
      </c>
      <c r="M8" s="240" t="s">
        <v>129</v>
      </c>
      <c r="N8" s="241"/>
      <c r="O8" s="230"/>
      <c r="P8" s="253" t="s">
        <v>125</v>
      </c>
      <c r="Q8" s="240" t="s">
        <v>124</v>
      </c>
      <c r="R8" s="234"/>
    </row>
    <row r="9" spans="1:18" s="224" customFormat="1" ht="18.75" customHeight="1">
      <c r="A9" s="246">
        <v>3</v>
      </c>
      <c r="B9" s="237">
        <v>45189</v>
      </c>
      <c r="C9" s="238" t="s">
        <v>133</v>
      </c>
      <c r="D9" s="238" t="s">
        <v>134</v>
      </c>
      <c r="E9" s="236">
        <v>993779797</v>
      </c>
      <c r="F9" s="247" t="s">
        <v>379</v>
      </c>
      <c r="G9" s="234" t="s">
        <v>84</v>
      </c>
      <c r="H9" s="236" t="s">
        <v>19</v>
      </c>
      <c r="I9" s="237">
        <v>45171</v>
      </c>
      <c r="J9" s="234"/>
      <c r="K9" s="234"/>
      <c r="L9" s="239" t="s">
        <v>25</v>
      </c>
      <c r="M9" s="240" t="s">
        <v>132</v>
      </c>
      <c r="N9" s="241"/>
      <c r="O9" s="230"/>
      <c r="P9" s="253" t="s">
        <v>136</v>
      </c>
      <c r="Q9" s="240" t="s">
        <v>135</v>
      </c>
      <c r="R9" s="234"/>
    </row>
    <row r="10" spans="1:18" s="224" customFormat="1" ht="19.5" customHeight="1">
      <c r="A10" s="246">
        <v>4</v>
      </c>
      <c r="B10" s="237">
        <v>45189</v>
      </c>
      <c r="C10" s="238" t="s">
        <v>133</v>
      </c>
      <c r="D10" s="238" t="s">
        <v>134</v>
      </c>
      <c r="E10" s="236">
        <v>993779797</v>
      </c>
      <c r="F10" s="247" t="s">
        <v>379</v>
      </c>
      <c r="G10" s="234" t="s">
        <v>84</v>
      </c>
      <c r="H10" s="236" t="s">
        <v>19</v>
      </c>
      <c r="I10" s="237">
        <v>45171</v>
      </c>
      <c r="J10" s="234"/>
      <c r="K10" s="234"/>
      <c r="L10" s="239" t="s">
        <v>25</v>
      </c>
      <c r="M10" s="240" t="s">
        <v>138</v>
      </c>
      <c r="N10" s="241"/>
      <c r="O10" s="230"/>
      <c r="P10" s="253" t="s">
        <v>136</v>
      </c>
      <c r="Q10" s="240" t="s">
        <v>135</v>
      </c>
      <c r="R10" s="234"/>
    </row>
    <row r="11" spans="1:18" s="224" customFormat="1" ht="20.25" customHeight="1">
      <c r="A11" s="246">
        <v>5</v>
      </c>
      <c r="B11" s="242">
        <v>45189</v>
      </c>
      <c r="C11" s="243" t="s">
        <v>241</v>
      </c>
      <c r="D11" s="238" t="s">
        <v>386</v>
      </c>
      <c r="E11" s="243">
        <v>998247290</v>
      </c>
      <c r="F11" s="248" t="s">
        <v>385</v>
      </c>
      <c r="G11" s="234" t="s">
        <v>387</v>
      </c>
      <c r="H11" s="236" t="s">
        <v>139</v>
      </c>
      <c r="I11" s="237">
        <v>44636</v>
      </c>
      <c r="J11" s="234"/>
      <c r="K11" s="234"/>
      <c r="L11" s="239"/>
      <c r="M11" s="240" t="s">
        <v>240</v>
      </c>
      <c r="N11" s="241"/>
      <c r="O11" s="230"/>
      <c r="P11" s="254" t="s">
        <v>243</v>
      </c>
      <c r="Q11" s="240" t="s">
        <v>388</v>
      </c>
      <c r="R11" s="234"/>
    </row>
    <row r="12" spans="1:18" s="224" customFormat="1" ht="21" customHeight="1">
      <c r="A12" s="246">
        <v>6</v>
      </c>
      <c r="B12" s="230">
        <v>45189</v>
      </c>
      <c r="C12" s="230" t="s">
        <v>302</v>
      </c>
      <c r="D12" s="230" t="s">
        <v>303</v>
      </c>
      <c r="E12" s="228">
        <v>2802111</v>
      </c>
      <c r="F12" s="249" t="s">
        <v>380</v>
      </c>
      <c r="G12" s="234" t="s">
        <v>84</v>
      </c>
      <c r="H12" s="230" t="s">
        <v>298</v>
      </c>
      <c r="I12" s="230">
        <v>45134</v>
      </c>
      <c r="J12" s="234"/>
      <c r="K12" s="234"/>
      <c r="L12" s="239" t="s">
        <v>25</v>
      </c>
      <c r="M12" s="230" t="s">
        <v>301</v>
      </c>
      <c r="N12" s="241"/>
      <c r="O12" s="230"/>
      <c r="P12" s="255" t="s">
        <v>304</v>
      </c>
      <c r="Q12" s="233">
        <v>102403474</v>
      </c>
      <c r="R12" s="234"/>
    </row>
    <row r="13" spans="1:18" s="224" customFormat="1" ht="21.75" customHeight="1">
      <c r="A13" s="246">
        <v>7</v>
      </c>
      <c r="B13" s="230">
        <v>45189</v>
      </c>
      <c r="C13" s="230" t="s">
        <v>306</v>
      </c>
      <c r="D13" s="230" t="s">
        <v>307</v>
      </c>
      <c r="E13" s="228">
        <v>98414355</v>
      </c>
      <c r="F13" s="249" t="s">
        <v>380</v>
      </c>
      <c r="G13" s="234" t="s">
        <v>84</v>
      </c>
      <c r="H13" s="230" t="s">
        <v>19</v>
      </c>
      <c r="I13" s="230">
        <v>45185</v>
      </c>
      <c r="J13" s="234"/>
      <c r="K13" s="234"/>
      <c r="L13" s="239" t="s">
        <v>25</v>
      </c>
      <c r="M13" s="230" t="s">
        <v>305</v>
      </c>
      <c r="N13" s="241"/>
      <c r="O13" s="230"/>
      <c r="P13" s="255" t="s">
        <v>308</v>
      </c>
      <c r="Q13" s="233">
        <v>102797495</v>
      </c>
      <c r="R13" s="234"/>
    </row>
    <row r="14" spans="1:18" s="224" customFormat="1" ht="21" customHeight="1">
      <c r="A14" s="246">
        <v>8</v>
      </c>
      <c r="B14" s="242">
        <v>45190</v>
      </c>
      <c r="C14" s="243" t="s">
        <v>247</v>
      </c>
      <c r="D14" s="230" t="s">
        <v>389</v>
      </c>
      <c r="E14" s="228">
        <v>991400965</v>
      </c>
      <c r="F14" s="248" t="s">
        <v>385</v>
      </c>
      <c r="G14" s="234" t="s">
        <v>387</v>
      </c>
      <c r="H14" s="230" t="s">
        <v>139</v>
      </c>
      <c r="I14" s="230">
        <v>44104</v>
      </c>
      <c r="J14" s="234"/>
      <c r="K14" s="234"/>
      <c r="L14" s="239" t="s">
        <v>25</v>
      </c>
      <c r="M14" s="230" t="s">
        <v>246</v>
      </c>
      <c r="N14" s="241"/>
      <c r="O14" s="230"/>
      <c r="P14" s="255" t="s">
        <v>248</v>
      </c>
      <c r="Q14" s="233">
        <v>101857878</v>
      </c>
      <c r="R14" s="234"/>
    </row>
    <row r="15" spans="1:18" s="224" customFormat="1" ht="19.5" customHeight="1">
      <c r="A15" s="246">
        <v>9</v>
      </c>
      <c r="B15" s="237">
        <v>45190</v>
      </c>
      <c r="C15" s="238" t="s">
        <v>112</v>
      </c>
      <c r="D15" s="238" t="s">
        <v>113</v>
      </c>
      <c r="E15" s="236">
        <v>7737398855</v>
      </c>
      <c r="F15" s="247" t="s">
        <v>379</v>
      </c>
      <c r="G15" s="234" t="s">
        <v>84</v>
      </c>
      <c r="H15" s="236" t="s">
        <v>19</v>
      </c>
      <c r="I15" s="237">
        <v>45183</v>
      </c>
      <c r="J15" s="234"/>
      <c r="K15" s="234"/>
      <c r="L15" s="239" t="s">
        <v>25</v>
      </c>
      <c r="M15" s="240" t="s">
        <v>111</v>
      </c>
      <c r="N15" s="241"/>
      <c r="O15" s="230"/>
      <c r="P15" s="253" t="s">
        <v>115</v>
      </c>
      <c r="Q15" s="240" t="s">
        <v>114</v>
      </c>
      <c r="R15" s="234"/>
    </row>
    <row r="16" spans="1:18" s="224" customFormat="1" ht="21.75" customHeight="1">
      <c r="A16" s="246">
        <v>10</v>
      </c>
      <c r="B16" s="237">
        <v>45190</v>
      </c>
      <c r="C16" s="238" t="s">
        <v>112</v>
      </c>
      <c r="D16" s="238" t="s">
        <v>113</v>
      </c>
      <c r="E16" s="236">
        <v>7737398855</v>
      </c>
      <c r="F16" s="247" t="s">
        <v>379</v>
      </c>
      <c r="G16" s="234" t="s">
        <v>84</v>
      </c>
      <c r="H16" s="236" t="s">
        <v>19</v>
      </c>
      <c r="I16" s="237">
        <v>45183</v>
      </c>
      <c r="J16" s="234"/>
      <c r="K16" s="234"/>
      <c r="L16" s="239" t="s">
        <v>25</v>
      </c>
      <c r="M16" s="240" t="s">
        <v>117</v>
      </c>
      <c r="N16" s="241"/>
      <c r="O16" s="230"/>
      <c r="P16" s="253" t="s">
        <v>115</v>
      </c>
      <c r="Q16" s="240" t="s">
        <v>114</v>
      </c>
      <c r="R16" s="234"/>
    </row>
    <row r="17" spans="1:18" s="224" customFormat="1" ht="29.25" customHeight="1">
      <c r="A17" s="246">
        <v>11</v>
      </c>
      <c r="B17" s="230">
        <v>45191</v>
      </c>
      <c r="C17" s="230" t="s">
        <v>312</v>
      </c>
      <c r="D17" s="230" t="s">
        <v>313</v>
      </c>
      <c r="E17" s="228">
        <v>968419502</v>
      </c>
      <c r="F17" s="249" t="s">
        <v>380</v>
      </c>
      <c r="G17" s="234" t="s">
        <v>84</v>
      </c>
      <c r="H17" s="230" t="s">
        <v>139</v>
      </c>
      <c r="I17" s="230">
        <v>45179</v>
      </c>
      <c r="J17" s="234"/>
      <c r="K17" s="234"/>
      <c r="L17" s="239" t="s">
        <v>25</v>
      </c>
      <c r="M17" s="230" t="s">
        <v>311</v>
      </c>
      <c r="N17" s="241"/>
      <c r="O17" s="230"/>
      <c r="P17" s="255" t="s">
        <v>314</v>
      </c>
      <c r="Q17" s="233">
        <v>701844797</v>
      </c>
      <c r="R17" s="234"/>
    </row>
    <row r="18" spans="1:18" s="224" customFormat="1" ht="21" customHeight="1">
      <c r="A18" s="246">
        <v>12</v>
      </c>
      <c r="B18" s="242">
        <v>45192</v>
      </c>
      <c r="C18" s="243" t="s">
        <v>250</v>
      </c>
      <c r="D18" s="230" t="s">
        <v>185</v>
      </c>
      <c r="E18" s="228">
        <v>983913973</v>
      </c>
      <c r="F18" s="248" t="s">
        <v>385</v>
      </c>
      <c r="G18" s="234" t="s">
        <v>387</v>
      </c>
      <c r="H18" s="230" t="s">
        <v>19</v>
      </c>
      <c r="I18" s="230">
        <v>45178</v>
      </c>
      <c r="J18" s="234"/>
      <c r="K18" s="234"/>
      <c r="L18" s="239" t="s">
        <v>25</v>
      </c>
      <c r="M18" s="230" t="s">
        <v>249</v>
      </c>
      <c r="N18" s="241"/>
      <c r="O18" s="230"/>
      <c r="P18" s="255" t="s">
        <v>253</v>
      </c>
      <c r="Q18" s="233">
        <v>301565289</v>
      </c>
      <c r="R18" s="234"/>
    </row>
    <row r="19" spans="1:18" s="224" customFormat="1" ht="21.75" customHeight="1">
      <c r="A19" s="246">
        <v>13</v>
      </c>
      <c r="B19" s="237">
        <v>45194</v>
      </c>
      <c r="C19" s="238" t="s">
        <v>145</v>
      </c>
      <c r="D19" s="238" t="s">
        <v>146</v>
      </c>
      <c r="E19" s="236">
        <v>995172192</v>
      </c>
      <c r="F19" s="247" t="s">
        <v>379</v>
      </c>
      <c r="G19" s="234" t="s">
        <v>84</v>
      </c>
      <c r="H19" s="236" t="s">
        <v>139</v>
      </c>
      <c r="I19" s="237">
        <v>45272</v>
      </c>
      <c r="J19" s="234"/>
      <c r="K19" s="234"/>
      <c r="L19" s="239" t="s">
        <v>25</v>
      </c>
      <c r="M19" s="240" t="s">
        <v>143</v>
      </c>
      <c r="N19" s="241"/>
      <c r="O19" s="230"/>
      <c r="P19" s="253"/>
      <c r="Q19" s="240" t="s">
        <v>147</v>
      </c>
      <c r="R19" s="234"/>
    </row>
    <row r="20" spans="1:18" s="224" customFormat="1" ht="21" customHeight="1">
      <c r="A20" s="246">
        <v>14</v>
      </c>
      <c r="B20" s="237">
        <v>45194</v>
      </c>
      <c r="C20" s="238" t="s">
        <v>145</v>
      </c>
      <c r="D20" s="238" t="s">
        <v>146</v>
      </c>
      <c r="E20" s="236">
        <v>995172192</v>
      </c>
      <c r="F20" s="247" t="s">
        <v>379</v>
      </c>
      <c r="G20" s="234" t="s">
        <v>84</v>
      </c>
      <c r="H20" s="236" t="s">
        <v>139</v>
      </c>
      <c r="I20" s="237">
        <v>45272</v>
      </c>
      <c r="J20" s="234"/>
      <c r="K20" s="234"/>
      <c r="L20" s="239" t="s">
        <v>25</v>
      </c>
      <c r="M20" s="240" t="s">
        <v>144</v>
      </c>
      <c r="N20" s="241"/>
      <c r="O20" s="230"/>
      <c r="P20" s="253"/>
      <c r="Q20" s="240" t="s">
        <v>147</v>
      </c>
      <c r="R20" s="234"/>
    </row>
    <row r="21" spans="1:18" s="224" customFormat="1" ht="19.5" customHeight="1">
      <c r="A21" s="246">
        <v>15</v>
      </c>
      <c r="B21" s="237">
        <v>45194</v>
      </c>
      <c r="C21" s="238" t="s">
        <v>145</v>
      </c>
      <c r="D21" s="238" t="s">
        <v>146</v>
      </c>
      <c r="E21" s="236">
        <v>995172192</v>
      </c>
      <c r="F21" s="247" t="s">
        <v>379</v>
      </c>
      <c r="G21" s="234" t="s">
        <v>84</v>
      </c>
      <c r="H21" s="236" t="s">
        <v>139</v>
      </c>
      <c r="I21" s="237">
        <v>45164</v>
      </c>
      <c r="J21" s="234"/>
      <c r="K21" s="234"/>
      <c r="L21" s="239" t="s">
        <v>25</v>
      </c>
      <c r="M21" s="240" t="s">
        <v>151</v>
      </c>
      <c r="N21" s="241"/>
      <c r="O21" s="230"/>
      <c r="P21" s="253"/>
      <c r="Q21" s="240" t="s">
        <v>147</v>
      </c>
      <c r="R21" s="234"/>
    </row>
    <row r="22" spans="1:18" s="224" customFormat="1" ht="17.25" customHeight="1">
      <c r="A22" s="246">
        <v>16</v>
      </c>
      <c r="B22" s="237">
        <v>45194</v>
      </c>
      <c r="C22" s="238" t="s">
        <v>145</v>
      </c>
      <c r="D22" s="238" t="s">
        <v>146</v>
      </c>
      <c r="E22" s="236">
        <v>995172192</v>
      </c>
      <c r="F22" s="247" t="s">
        <v>379</v>
      </c>
      <c r="G22" s="234" t="s">
        <v>84</v>
      </c>
      <c r="H22" s="236" t="s">
        <v>139</v>
      </c>
      <c r="I22" s="237">
        <v>45164</v>
      </c>
      <c r="J22" s="234"/>
      <c r="K22" s="234"/>
      <c r="L22" s="239" t="s">
        <v>25</v>
      </c>
      <c r="M22" s="240" t="s">
        <v>152</v>
      </c>
      <c r="N22" s="241"/>
      <c r="O22" s="230"/>
      <c r="P22" s="253"/>
      <c r="Q22" s="240" t="s">
        <v>147</v>
      </c>
      <c r="R22" s="234"/>
    </row>
    <row r="23" spans="1:18" s="224" customFormat="1" ht="24.75" customHeight="1">
      <c r="A23" s="246">
        <v>17</v>
      </c>
      <c r="B23" s="230">
        <v>45194</v>
      </c>
      <c r="C23" s="228" t="s">
        <v>295</v>
      </c>
      <c r="D23" s="229" t="s">
        <v>296</v>
      </c>
      <c r="E23" s="228">
        <v>984884740</v>
      </c>
      <c r="F23" s="249" t="s">
        <v>380</v>
      </c>
      <c r="G23" s="234" t="s">
        <v>84</v>
      </c>
      <c r="H23" s="228" t="s">
        <v>139</v>
      </c>
      <c r="I23" s="230">
        <v>45178</v>
      </c>
      <c r="J23" s="234"/>
      <c r="K23" s="234"/>
      <c r="L23" s="239"/>
      <c r="M23" s="231" t="s">
        <v>294</v>
      </c>
      <c r="N23" s="241"/>
      <c r="O23" s="230"/>
      <c r="P23" s="256" t="s">
        <v>297</v>
      </c>
      <c r="Q23" s="233">
        <v>100674001</v>
      </c>
      <c r="R23" s="234"/>
    </row>
    <row r="24" spans="1:18" s="224" customFormat="1" ht="19.5" customHeight="1">
      <c r="A24" s="246">
        <v>18</v>
      </c>
      <c r="B24" s="242">
        <v>45195</v>
      </c>
      <c r="C24" s="243" t="s">
        <v>256</v>
      </c>
      <c r="D24" s="229" t="s">
        <v>390</v>
      </c>
      <c r="E24" s="228">
        <v>98723173</v>
      </c>
      <c r="F24" s="248" t="s">
        <v>385</v>
      </c>
      <c r="G24" s="234" t="s">
        <v>387</v>
      </c>
      <c r="H24" s="228" t="s">
        <v>19</v>
      </c>
      <c r="I24" s="230">
        <v>44889</v>
      </c>
      <c r="J24" s="234"/>
      <c r="K24" s="234"/>
      <c r="L24" s="239" t="s">
        <v>25</v>
      </c>
      <c r="M24" s="231" t="s">
        <v>255</v>
      </c>
      <c r="N24" s="241"/>
      <c r="O24" s="230"/>
      <c r="P24" s="256" t="s">
        <v>258</v>
      </c>
      <c r="Q24" s="233">
        <v>106072325</v>
      </c>
      <c r="R24" s="234"/>
    </row>
    <row r="25" spans="1:18" s="224" customFormat="1" ht="21" customHeight="1">
      <c r="A25" s="246">
        <v>19</v>
      </c>
      <c r="B25" s="237">
        <v>45195</v>
      </c>
      <c r="C25" s="238" t="s">
        <v>157</v>
      </c>
      <c r="D25" s="238" t="s">
        <v>158</v>
      </c>
      <c r="E25" s="236">
        <v>963194295</v>
      </c>
      <c r="F25" s="247" t="s">
        <v>379</v>
      </c>
      <c r="G25" s="234" t="s">
        <v>84</v>
      </c>
      <c r="H25" s="236" t="s">
        <v>153</v>
      </c>
      <c r="I25" s="237">
        <v>45162</v>
      </c>
      <c r="J25" s="234"/>
      <c r="K25" s="234"/>
      <c r="L25" s="239" t="s">
        <v>25</v>
      </c>
      <c r="M25" s="240" t="s">
        <v>156</v>
      </c>
      <c r="N25" s="241"/>
      <c r="O25" s="230"/>
      <c r="P25" s="253" t="s">
        <v>159</v>
      </c>
      <c r="Q25" s="240"/>
      <c r="R25" s="234"/>
    </row>
    <row r="26" spans="1:18" s="224" customFormat="1" ht="20.25" customHeight="1">
      <c r="A26" s="246">
        <v>20</v>
      </c>
      <c r="B26" s="237">
        <v>45195</v>
      </c>
      <c r="C26" s="238" t="s">
        <v>157</v>
      </c>
      <c r="D26" s="238" t="s">
        <v>158</v>
      </c>
      <c r="E26" s="236">
        <v>963194295</v>
      </c>
      <c r="F26" s="247" t="s">
        <v>379</v>
      </c>
      <c r="G26" s="234" t="s">
        <v>84</v>
      </c>
      <c r="H26" s="236" t="s">
        <v>153</v>
      </c>
      <c r="I26" s="237">
        <v>45138</v>
      </c>
      <c r="J26" s="234"/>
      <c r="K26" s="234"/>
      <c r="L26" s="239" t="s">
        <v>25</v>
      </c>
      <c r="M26" s="240" t="s">
        <v>162</v>
      </c>
      <c r="N26" s="241"/>
      <c r="O26" s="230"/>
      <c r="P26" s="253" t="s">
        <v>159</v>
      </c>
      <c r="Q26" s="240"/>
      <c r="R26" s="234"/>
    </row>
    <row r="27" spans="1:18" s="224" customFormat="1" ht="20.25" customHeight="1">
      <c r="A27" s="246">
        <v>21</v>
      </c>
      <c r="B27" s="237">
        <v>45196</v>
      </c>
      <c r="C27" s="238" t="s">
        <v>167</v>
      </c>
      <c r="D27" s="238" t="s">
        <v>168</v>
      </c>
      <c r="E27" s="236">
        <v>98670765</v>
      </c>
      <c r="F27" s="247" t="s">
        <v>379</v>
      </c>
      <c r="G27" s="234" t="s">
        <v>84</v>
      </c>
      <c r="H27" s="236" t="s">
        <v>163</v>
      </c>
      <c r="I27" s="237">
        <v>45118</v>
      </c>
      <c r="J27" s="234"/>
      <c r="K27" s="234"/>
      <c r="L27" s="239" t="s">
        <v>25</v>
      </c>
      <c r="M27" s="240" t="s">
        <v>166</v>
      </c>
      <c r="N27" s="241"/>
      <c r="O27" s="230"/>
      <c r="P27" s="253" t="s">
        <v>170</v>
      </c>
      <c r="Q27" s="240" t="s">
        <v>169</v>
      </c>
      <c r="R27" s="234"/>
    </row>
    <row r="28" spans="1:18" s="216" customFormat="1" ht="15.75">
      <c r="A28" s="246">
        <v>22</v>
      </c>
      <c r="B28" s="237">
        <v>45196</v>
      </c>
      <c r="C28" s="238" t="s">
        <v>167</v>
      </c>
      <c r="D28" s="238" t="s">
        <v>168</v>
      </c>
      <c r="E28" s="236">
        <v>98670765</v>
      </c>
      <c r="F28" s="247" t="s">
        <v>379</v>
      </c>
      <c r="G28" s="234" t="s">
        <v>84</v>
      </c>
      <c r="H28" s="236" t="s">
        <v>163</v>
      </c>
      <c r="I28" s="237">
        <v>45118</v>
      </c>
      <c r="J28" s="234"/>
      <c r="K28" s="234"/>
      <c r="L28" s="239" t="s">
        <v>25</v>
      </c>
      <c r="M28" s="240" t="s">
        <v>172</v>
      </c>
      <c r="N28" s="241"/>
      <c r="O28" s="230"/>
      <c r="P28" s="253" t="s">
        <v>170</v>
      </c>
      <c r="Q28" s="240" t="s">
        <v>169</v>
      </c>
      <c r="R28" s="234"/>
    </row>
    <row r="29" spans="1:18" s="216" customFormat="1" ht="15.75">
      <c r="A29" s="246">
        <v>23</v>
      </c>
      <c r="B29" s="244" t="s">
        <v>381</v>
      </c>
      <c r="C29" s="245" t="s">
        <v>92</v>
      </c>
      <c r="D29" s="245" t="s">
        <v>94</v>
      </c>
      <c r="E29" s="245">
        <v>958639951</v>
      </c>
      <c r="F29" s="252" t="s">
        <v>382</v>
      </c>
      <c r="G29" s="234" t="s">
        <v>84</v>
      </c>
      <c r="H29" s="245" t="s">
        <v>92</v>
      </c>
      <c r="I29" s="244">
        <v>45196</v>
      </c>
      <c r="J29" s="234"/>
      <c r="K29" s="234"/>
      <c r="L29" s="239" t="s">
        <v>25</v>
      </c>
      <c r="M29" s="245" t="s">
        <v>108</v>
      </c>
      <c r="N29" s="241"/>
      <c r="O29" s="230"/>
      <c r="P29" s="257"/>
      <c r="Q29" s="233"/>
      <c r="R29" s="234"/>
    </row>
    <row r="30" spans="1:18" s="216" customFormat="1" ht="15.75">
      <c r="A30" s="246">
        <v>24</v>
      </c>
      <c r="B30" s="244" t="s">
        <v>381</v>
      </c>
      <c r="C30" s="245" t="s">
        <v>92</v>
      </c>
      <c r="D30" s="245" t="s">
        <v>94</v>
      </c>
      <c r="E30" s="245">
        <v>958639951</v>
      </c>
      <c r="F30" s="252" t="s">
        <v>382</v>
      </c>
      <c r="G30" s="234" t="s">
        <v>84</v>
      </c>
      <c r="H30" s="245" t="s">
        <v>92</v>
      </c>
      <c r="I30" s="244">
        <v>45196</v>
      </c>
      <c r="J30" s="234"/>
      <c r="K30" s="234"/>
      <c r="L30" s="239" t="s">
        <v>25</v>
      </c>
      <c r="M30" s="245" t="s">
        <v>107</v>
      </c>
      <c r="N30" s="241"/>
      <c r="O30" s="230"/>
      <c r="P30" s="257"/>
      <c r="Q30" s="233"/>
      <c r="R30" s="234"/>
    </row>
    <row r="31" spans="1:18" s="216" customFormat="1" ht="15.75">
      <c r="A31" s="246">
        <v>25</v>
      </c>
      <c r="B31" s="242">
        <v>45196</v>
      </c>
      <c r="C31" s="243" t="s">
        <v>97</v>
      </c>
      <c r="D31" s="245" t="s">
        <v>391</v>
      </c>
      <c r="E31" s="243">
        <v>988689613</v>
      </c>
      <c r="F31" s="248" t="s">
        <v>385</v>
      </c>
      <c r="G31" s="234" t="s">
        <v>387</v>
      </c>
      <c r="H31" s="245" t="s">
        <v>392</v>
      </c>
      <c r="I31" s="244">
        <v>44877</v>
      </c>
      <c r="J31" s="234"/>
      <c r="K31" s="234"/>
      <c r="L31" s="239" t="s">
        <v>25</v>
      </c>
      <c r="M31" s="245" t="s">
        <v>96</v>
      </c>
      <c r="N31" s="241"/>
      <c r="O31" s="230"/>
      <c r="P31" s="257"/>
      <c r="Q31" s="233">
        <v>103124749</v>
      </c>
      <c r="R31" s="234"/>
    </row>
    <row r="32" spans="1:18" s="216" customFormat="1" ht="15.75">
      <c r="A32" s="246">
        <v>26</v>
      </c>
      <c r="B32" s="232">
        <v>45198</v>
      </c>
      <c r="C32" s="234" t="s">
        <v>19</v>
      </c>
      <c r="D32" s="229" t="s">
        <v>383</v>
      </c>
      <c r="E32" s="245">
        <v>991172261</v>
      </c>
      <c r="F32" s="250" t="s">
        <v>384</v>
      </c>
      <c r="G32" s="234" t="s">
        <v>84</v>
      </c>
      <c r="H32" s="228" t="s">
        <v>19</v>
      </c>
      <c r="I32" s="232">
        <v>45198</v>
      </c>
      <c r="J32" s="234"/>
      <c r="K32" s="234"/>
      <c r="L32" s="239" t="s">
        <v>25</v>
      </c>
      <c r="M32" s="234" t="s">
        <v>99</v>
      </c>
      <c r="N32" s="241"/>
      <c r="O32" s="230"/>
      <c r="P32" s="257"/>
      <c r="Q32" s="233"/>
      <c r="R32" s="234"/>
    </row>
    <row r="33" spans="1:18" s="216" customFormat="1" ht="15.75">
      <c r="A33" s="246">
        <v>27</v>
      </c>
      <c r="B33" s="242">
        <v>45198</v>
      </c>
      <c r="C33" s="243" t="s">
        <v>352</v>
      </c>
      <c r="D33" s="229" t="s">
        <v>396</v>
      </c>
      <c r="E33" s="245">
        <v>4101823</v>
      </c>
      <c r="F33" s="248" t="s">
        <v>385</v>
      </c>
      <c r="G33" s="234" t="s">
        <v>387</v>
      </c>
      <c r="H33" s="228" t="s">
        <v>19</v>
      </c>
      <c r="I33" s="232">
        <v>44912</v>
      </c>
      <c r="J33" s="234"/>
      <c r="K33" s="234"/>
      <c r="L33" s="239" t="s">
        <v>25</v>
      </c>
      <c r="M33" s="234" t="s">
        <v>351</v>
      </c>
      <c r="N33" s="241"/>
      <c r="O33" s="230"/>
      <c r="P33" s="258" t="s">
        <v>397</v>
      </c>
      <c r="Q33" s="233">
        <v>102852266</v>
      </c>
      <c r="R33" s="234"/>
    </row>
    <row r="34" spans="1:18" s="216" customFormat="1" ht="15.75">
      <c r="A34" s="246">
        <v>28</v>
      </c>
      <c r="B34" s="230">
        <v>45201</v>
      </c>
      <c r="C34" s="230" t="s">
        <v>318</v>
      </c>
      <c r="D34" s="230" t="s">
        <v>309</v>
      </c>
      <c r="E34" s="228">
        <v>4109705</v>
      </c>
      <c r="F34" s="249" t="s">
        <v>380</v>
      </c>
      <c r="G34" s="234" t="s">
        <v>84</v>
      </c>
      <c r="H34" s="230" t="s">
        <v>19</v>
      </c>
      <c r="I34" s="230">
        <v>45198</v>
      </c>
      <c r="J34" s="234"/>
      <c r="K34" s="234"/>
      <c r="L34" s="239" t="s">
        <v>25</v>
      </c>
      <c r="M34" s="230" t="s">
        <v>317</v>
      </c>
      <c r="N34" s="241"/>
      <c r="O34" s="230"/>
      <c r="P34" s="255" t="s">
        <v>319</v>
      </c>
      <c r="Q34" s="233">
        <v>102447877</v>
      </c>
      <c r="R34" s="234"/>
    </row>
    <row r="35" spans="1:18" s="216" customFormat="1" ht="15.75">
      <c r="A35" s="246">
        <v>29</v>
      </c>
      <c r="B35" s="242">
        <v>45201</v>
      </c>
      <c r="C35" s="243" t="s">
        <v>265</v>
      </c>
      <c r="D35" s="230" t="s">
        <v>393</v>
      </c>
      <c r="E35" s="228">
        <v>993931775</v>
      </c>
      <c r="F35" s="248" t="s">
        <v>385</v>
      </c>
      <c r="G35" s="234" t="s">
        <v>387</v>
      </c>
      <c r="H35" s="230" t="s">
        <v>139</v>
      </c>
      <c r="I35" s="230">
        <v>44559</v>
      </c>
      <c r="J35" s="234"/>
      <c r="K35" s="234"/>
      <c r="L35" s="239" t="s">
        <v>25</v>
      </c>
      <c r="M35" s="242" t="s">
        <v>264</v>
      </c>
      <c r="N35" s="241"/>
      <c r="O35" s="230"/>
      <c r="P35" s="255"/>
      <c r="Q35" s="233"/>
      <c r="R35" s="234"/>
    </row>
    <row r="36" spans="1:18" s="216" customFormat="1" ht="15.75">
      <c r="A36" s="246">
        <v>30</v>
      </c>
      <c r="B36" s="242">
        <v>45202</v>
      </c>
      <c r="C36" s="243" t="s">
        <v>269</v>
      </c>
      <c r="D36" s="230" t="s">
        <v>394</v>
      </c>
      <c r="E36" s="228">
        <v>998640571</v>
      </c>
      <c r="F36" s="248" t="s">
        <v>385</v>
      </c>
      <c r="G36" s="234" t="s">
        <v>387</v>
      </c>
      <c r="H36" s="230" t="s">
        <v>19</v>
      </c>
      <c r="I36" s="230">
        <v>44634</v>
      </c>
      <c r="J36" s="234"/>
      <c r="K36" s="234"/>
      <c r="L36" s="239" t="s">
        <v>25</v>
      </c>
      <c r="M36" s="242" t="s">
        <v>268</v>
      </c>
      <c r="N36" s="241"/>
      <c r="O36" s="230"/>
      <c r="P36" s="255" t="s">
        <v>271</v>
      </c>
      <c r="Q36" s="233">
        <v>105349997</v>
      </c>
      <c r="R36" s="234"/>
    </row>
    <row r="37" spans="1:18" s="216" customFormat="1" ht="15.75">
      <c r="A37" s="246">
        <v>31</v>
      </c>
      <c r="B37" s="230">
        <v>45202</v>
      </c>
      <c r="C37" s="230" t="s">
        <v>321</v>
      </c>
      <c r="D37" s="230" t="s">
        <v>322</v>
      </c>
      <c r="E37" s="228">
        <v>985338545</v>
      </c>
      <c r="F37" s="249" t="s">
        <v>380</v>
      </c>
      <c r="G37" s="234" t="s">
        <v>84</v>
      </c>
      <c r="H37" s="230" t="s">
        <v>139</v>
      </c>
      <c r="I37" s="230">
        <v>45198</v>
      </c>
      <c r="J37" s="234"/>
      <c r="K37" s="234"/>
      <c r="L37" s="239" t="s">
        <v>25</v>
      </c>
      <c r="M37" s="230" t="s">
        <v>320</v>
      </c>
      <c r="N37" s="241"/>
      <c r="O37" s="230"/>
      <c r="P37" s="255" t="s">
        <v>323</v>
      </c>
      <c r="Q37" s="233">
        <v>104427521</v>
      </c>
      <c r="R37" s="234"/>
    </row>
    <row r="38" spans="1:18" s="216" customFormat="1" ht="15.75">
      <c r="A38" s="246">
        <v>32</v>
      </c>
      <c r="B38" s="230">
        <v>45202</v>
      </c>
      <c r="C38" s="230" t="s">
        <v>325</v>
      </c>
      <c r="D38" s="230" t="s">
        <v>326</v>
      </c>
      <c r="E38" s="228">
        <v>996877442</v>
      </c>
      <c r="F38" s="249" t="s">
        <v>380</v>
      </c>
      <c r="G38" s="234" t="s">
        <v>84</v>
      </c>
      <c r="H38" s="230" t="s">
        <v>19</v>
      </c>
      <c r="I38" s="230">
        <v>45198</v>
      </c>
      <c r="J38" s="234"/>
      <c r="K38" s="234"/>
      <c r="L38" s="239" t="s">
        <v>25</v>
      </c>
      <c r="M38" s="230" t="s">
        <v>324</v>
      </c>
      <c r="N38" s="241"/>
      <c r="O38" s="230"/>
      <c r="P38" s="255" t="s">
        <v>327</v>
      </c>
      <c r="Q38" s="233">
        <v>502750521</v>
      </c>
      <c r="R38" s="234"/>
    </row>
    <row r="39" spans="1:18" s="216" customFormat="1" ht="15.75">
      <c r="A39" s="246">
        <v>33</v>
      </c>
      <c r="B39" s="237">
        <v>45202</v>
      </c>
      <c r="C39" s="238" t="s">
        <v>176</v>
      </c>
      <c r="D39" s="238" t="s">
        <v>177</v>
      </c>
      <c r="E39" s="236">
        <v>983228243</v>
      </c>
      <c r="F39" s="247" t="s">
        <v>379</v>
      </c>
      <c r="G39" s="234" t="s">
        <v>84</v>
      </c>
      <c r="H39" s="236" t="s">
        <v>19</v>
      </c>
      <c r="I39" s="237">
        <v>44528</v>
      </c>
      <c r="J39" s="234"/>
      <c r="K39" s="234"/>
      <c r="L39" s="239" t="s">
        <v>25</v>
      </c>
      <c r="M39" s="240" t="s">
        <v>175</v>
      </c>
      <c r="N39" s="241"/>
      <c r="O39" s="230"/>
      <c r="P39" s="253" t="s">
        <v>179</v>
      </c>
      <c r="Q39" s="240" t="s">
        <v>178</v>
      </c>
      <c r="R39" s="234"/>
    </row>
    <row r="40" spans="1:18" ht="15.75">
      <c r="A40" s="246">
        <v>34</v>
      </c>
      <c r="B40" s="237">
        <v>45202</v>
      </c>
      <c r="C40" s="238" t="s">
        <v>176</v>
      </c>
      <c r="D40" s="238" t="s">
        <v>177</v>
      </c>
      <c r="E40" s="236">
        <v>983228243</v>
      </c>
      <c r="F40" s="247" t="s">
        <v>379</v>
      </c>
      <c r="G40" s="234" t="s">
        <v>84</v>
      </c>
      <c r="H40" s="236" t="s">
        <v>19</v>
      </c>
      <c r="I40" s="237">
        <v>44528</v>
      </c>
      <c r="J40" s="234"/>
      <c r="K40" s="234"/>
      <c r="L40" s="239" t="s">
        <v>25</v>
      </c>
      <c r="M40" s="240" t="s">
        <v>181</v>
      </c>
      <c r="N40" s="241"/>
      <c r="O40" s="230"/>
      <c r="P40" s="253" t="s">
        <v>179</v>
      </c>
      <c r="Q40" s="240" t="s">
        <v>178</v>
      </c>
      <c r="R40" s="234"/>
    </row>
    <row r="41" spans="1:18" ht="15.75">
      <c r="A41" s="246">
        <v>35</v>
      </c>
      <c r="B41" s="237">
        <v>45203</v>
      </c>
      <c r="C41" s="238" t="s">
        <v>188</v>
      </c>
      <c r="D41" s="238" t="s">
        <v>185</v>
      </c>
      <c r="E41" s="236">
        <v>2240878</v>
      </c>
      <c r="F41" s="247" t="s">
        <v>379</v>
      </c>
      <c r="G41" s="234" t="s">
        <v>84</v>
      </c>
      <c r="H41" s="236" t="s">
        <v>126</v>
      </c>
      <c r="I41" s="237">
        <v>45159</v>
      </c>
      <c r="J41" s="234"/>
      <c r="K41" s="234"/>
      <c r="L41" s="239" t="s">
        <v>25</v>
      </c>
      <c r="M41" s="240" t="s">
        <v>184</v>
      </c>
      <c r="N41" s="241"/>
      <c r="O41" s="230"/>
      <c r="P41" s="253" t="s">
        <v>187</v>
      </c>
      <c r="Q41" s="240" t="s">
        <v>186</v>
      </c>
      <c r="R41" s="234"/>
    </row>
    <row r="42" spans="1:18" ht="15.75">
      <c r="A42" s="246">
        <v>36</v>
      </c>
      <c r="B42" s="237">
        <v>45203</v>
      </c>
      <c r="C42" s="238" t="s">
        <v>188</v>
      </c>
      <c r="D42" s="238" t="s">
        <v>185</v>
      </c>
      <c r="E42" s="236">
        <v>2240878</v>
      </c>
      <c r="F42" s="247" t="s">
        <v>379</v>
      </c>
      <c r="G42" s="234" t="s">
        <v>84</v>
      </c>
      <c r="H42" s="236" t="s">
        <v>126</v>
      </c>
      <c r="I42" s="237">
        <v>45159</v>
      </c>
      <c r="J42" s="234"/>
      <c r="K42" s="234"/>
      <c r="L42" s="239" t="s">
        <v>25</v>
      </c>
      <c r="M42" s="240" t="s">
        <v>190</v>
      </c>
      <c r="N42" s="241"/>
      <c r="O42" s="230"/>
      <c r="P42" s="253" t="s">
        <v>187</v>
      </c>
      <c r="Q42" s="240" t="s">
        <v>186</v>
      </c>
      <c r="R42" s="234"/>
    </row>
    <row r="43" spans="1:18" ht="15.75">
      <c r="A43" s="246">
        <v>37</v>
      </c>
      <c r="B43" s="237">
        <v>45203</v>
      </c>
      <c r="C43" s="238" t="s">
        <v>188</v>
      </c>
      <c r="D43" s="238" t="s">
        <v>185</v>
      </c>
      <c r="E43" s="236">
        <v>2240878</v>
      </c>
      <c r="F43" s="247" t="s">
        <v>379</v>
      </c>
      <c r="G43" s="234" t="s">
        <v>84</v>
      </c>
      <c r="H43" s="236" t="s">
        <v>126</v>
      </c>
      <c r="I43" s="237">
        <v>45159</v>
      </c>
      <c r="J43" s="234"/>
      <c r="K43" s="234"/>
      <c r="L43" s="239" t="s">
        <v>25</v>
      </c>
      <c r="M43" s="240" t="s">
        <v>191</v>
      </c>
      <c r="N43" s="241"/>
      <c r="O43" s="230"/>
      <c r="P43" s="253" t="s">
        <v>187</v>
      </c>
      <c r="Q43" s="240" t="s">
        <v>186</v>
      </c>
      <c r="R43" s="234"/>
    </row>
    <row r="44" spans="1:18" ht="15.75">
      <c r="A44" s="246">
        <v>38</v>
      </c>
      <c r="B44" s="237">
        <v>45203</v>
      </c>
      <c r="C44" s="238" t="s">
        <v>420</v>
      </c>
      <c r="D44" s="238" t="s">
        <v>421</v>
      </c>
      <c r="E44" s="236">
        <v>998777168</v>
      </c>
      <c r="F44" s="251" t="s">
        <v>422</v>
      </c>
      <c r="G44" s="234" t="s">
        <v>387</v>
      </c>
      <c r="H44" s="236" t="s">
        <v>19</v>
      </c>
      <c r="I44" s="237"/>
      <c r="J44" s="234"/>
      <c r="K44" s="234"/>
      <c r="L44" s="239" t="s">
        <v>25</v>
      </c>
      <c r="M44" s="240" t="s">
        <v>423</v>
      </c>
      <c r="N44" s="241"/>
      <c r="O44" s="230"/>
      <c r="P44" s="259" t="s">
        <v>424</v>
      </c>
      <c r="Q44" s="240" t="s">
        <v>425</v>
      </c>
      <c r="R44" s="234"/>
    </row>
    <row r="45" spans="1:18" ht="15.75">
      <c r="A45" s="246">
        <v>39</v>
      </c>
      <c r="B45" s="230">
        <v>45203</v>
      </c>
      <c r="C45" s="230" t="s">
        <v>334</v>
      </c>
      <c r="D45" s="230" t="s">
        <v>335</v>
      </c>
      <c r="E45" s="228">
        <v>985897942</v>
      </c>
      <c r="F45" s="249" t="s">
        <v>380</v>
      </c>
      <c r="G45" s="234" t="s">
        <v>84</v>
      </c>
      <c r="H45" s="230" t="s">
        <v>19</v>
      </c>
      <c r="I45" s="230">
        <v>45202</v>
      </c>
      <c r="J45" s="234"/>
      <c r="K45" s="234"/>
      <c r="L45" s="239" t="s">
        <v>25</v>
      </c>
      <c r="M45" s="230" t="s">
        <v>333</v>
      </c>
      <c r="N45" s="241"/>
      <c r="O45" s="230"/>
      <c r="P45" s="255" t="s">
        <v>336</v>
      </c>
      <c r="Q45" s="233">
        <v>101331114</v>
      </c>
      <c r="R45" s="234"/>
    </row>
    <row r="46" spans="1:18" ht="16.5">
      <c r="A46" s="246"/>
      <c r="B46" s="230">
        <v>45205</v>
      </c>
      <c r="C46" s="114" t="s">
        <v>195</v>
      </c>
      <c r="D46" s="114" t="s">
        <v>134</v>
      </c>
      <c r="E46" s="110">
        <v>995554371</v>
      </c>
      <c r="F46" s="247" t="s">
        <v>379</v>
      </c>
      <c r="G46" s="234" t="s">
        <v>84</v>
      </c>
      <c r="H46" s="110" t="s">
        <v>19</v>
      </c>
      <c r="I46" s="109">
        <v>44687</v>
      </c>
      <c r="J46" s="234"/>
      <c r="K46" s="234"/>
      <c r="L46" s="239" t="s">
        <v>25</v>
      </c>
      <c r="M46" s="113" t="s">
        <v>194</v>
      </c>
      <c r="N46" s="241"/>
      <c r="O46" s="230"/>
      <c r="P46" s="213" t="s">
        <v>197</v>
      </c>
      <c r="Q46" s="212" t="s">
        <v>196</v>
      </c>
      <c r="R46" s="234"/>
    </row>
    <row r="47" spans="1:18" ht="16.5">
      <c r="A47" s="246"/>
      <c r="B47" s="230">
        <v>45205</v>
      </c>
      <c r="C47" s="114" t="s">
        <v>195</v>
      </c>
      <c r="D47" s="114" t="s">
        <v>134</v>
      </c>
      <c r="E47" s="110">
        <v>995554371</v>
      </c>
      <c r="F47" s="247" t="s">
        <v>379</v>
      </c>
      <c r="G47" s="234" t="s">
        <v>84</v>
      </c>
      <c r="H47" s="110" t="s">
        <v>19</v>
      </c>
      <c r="I47" s="109">
        <v>44687</v>
      </c>
      <c r="J47" s="234"/>
      <c r="K47" s="234"/>
      <c r="L47" s="239" t="s">
        <v>25</v>
      </c>
      <c r="M47" s="113" t="s">
        <v>199</v>
      </c>
      <c r="N47" s="241"/>
      <c r="O47" s="230"/>
      <c r="P47" s="213" t="s">
        <v>197</v>
      </c>
      <c r="Q47" s="212" t="s">
        <v>196</v>
      </c>
      <c r="R47" s="234"/>
    </row>
    <row r="48" spans="1:18" ht="15.75">
      <c r="A48" s="246">
        <v>40</v>
      </c>
      <c r="B48" s="230">
        <v>45205</v>
      </c>
      <c r="C48" s="230" t="s">
        <v>329</v>
      </c>
      <c r="D48" s="229" t="s">
        <v>330</v>
      </c>
      <c r="E48" s="228">
        <v>987150300</v>
      </c>
      <c r="F48" s="249" t="s">
        <v>380</v>
      </c>
      <c r="G48" s="234" t="s">
        <v>84</v>
      </c>
      <c r="H48" s="230" t="s">
        <v>19</v>
      </c>
      <c r="I48" s="230">
        <v>45122</v>
      </c>
      <c r="J48" s="234"/>
      <c r="K48" s="234"/>
      <c r="L48" s="239" t="s">
        <v>25</v>
      </c>
      <c r="M48" s="230" t="s">
        <v>328</v>
      </c>
      <c r="N48" s="241"/>
      <c r="O48" s="230"/>
      <c r="P48" s="255" t="s">
        <v>331</v>
      </c>
      <c r="Q48" s="233">
        <v>102974193</v>
      </c>
      <c r="R48" s="234"/>
    </row>
    <row r="49" spans="1:18" ht="15.75">
      <c r="A49" s="246">
        <v>41</v>
      </c>
      <c r="B49" s="230">
        <v>45205</v>
      </c>
      <c r="C49" s="230" t="s">
        <v>338</v>
      </c>
      <c r="D49" s="229" t="s">
        <v>134</v>
      </c>
      <c r="E49" s="228">
        <v>961547459</v>
      </c>
      <c r="F49" s="249" t="s">
        <v>380</v>
      </c>
      <c r="G49" s="234" t="s">
        <v>84</v>
      </c>
      <c r="H49" s="230" t="s">
        <v>377</v>
      </c>
      <c r="I49" s="230">
        <v>44451</v>
      </c>
      <c r="J49" s="234"/>
      <c r="K49" s="234"/>
      <c r="L49" s="239" t="s">
        <v>25</v>
      </c>
      <c r="M49" s="230" t="s">
        <v>337</v>
      </c>
      <c r="N49" s="241"/>
      <c r="O49" s="230"/>
      <c r="P49" s="255" t="s">
        <v>339</v>
      </c>
      <c r="Q49" s="233">
        <v>107128712</v>
      </c>
      <c r="R49" s="234"/>
    </row>
    <row r="50" spans="1:18" ht="15.75">
      <c r="A50" s="246">
        <v>42</v>
      </c>
      <c r="B50" s="230">
        <v>45207</v>
      </c>
      <c r="C50" s="230" t="s">
        <v>275</v>
      </c>
      <c r="D50" s="229" t="s">
        <v>395</v>
      </c>
      <c r="E50" s="228">
        <v>988964516</v>
      </c>
      <c r="F50" s="249" t="s">
        <v>380</v>
      </c>
      <c r="G50" s="234" t="s">
        <v>84</v>
      </c>
      <c r="H50" s="230" t="s">
        <v>163</v>
      </c>
      <c r="I50" s="230"/>
      <c r="J50" s="234"/>
      <c r="K50" s="234"/>
      <c r="L50" s="239" t="s">
        <v>25</v>
      </c>
      <c r="M50" s="230" t="s">
        <v>274</v>
      </c>
      <c r="N50" s="241"/>
      <c r="O50" s="230"/>
      <c r="P50" s="255" t="s">
        <v>342</v>
      </c>
      <c r="Q50" s="233">
        <v>106503071</v>
      </c>
      <c r="R50" s="234"/>
    </row>
    <row r="51" spans="1:18" ht="15.75">
      <c r="A51" s="246">
        <v>43</v>
      </c>
      <c r="B51" s="237">
        <v>44936</v>
      </c>
      <c r="C51" s="238" t="s">
        <v>202</v>
      </c>
      <c r="D51" s="238" t="s">
        <v>203</v>
      </c>
      <c r="E51" s="236">
        <v>991778263</v>
      </c>
      <c r="F51" s="247" t="s">
        <v>379</v>
      </c>
      <c r="G51" s="234" t="s">
        <v>84</v>
      </c>
      <c r="H51" s="236" t="s">
        <v>153</v>
      </c>
      <c r="I51" s="237">
        <v>45197</v>
      </c>
      <c r="J51" s="234"/>
      <c r="K51" s="234"/>
      <c r="L51" s="239" t="s">
        <v>25</v>
      </c>
      <c r="M51" s="240" t="s">
        <v>201</v>
      </c>
      <c r="N51" s="241"/>
      <c r="O51" s="230"/>
      <c r="P51" s="253" t="s">
        <v>205</v>
      </c>
      <c r="Q51" s="240" t="s">
        <v>204</v>
      </c>
      <c r="R51" s="234"/>
    </row>
    <row r="52" spans="1:18" ht="15.75">
      <c r="A52" s="246">
        <v>44</v>
      </c>
      <c r="B52" s="237">
        <v>44936</v>
      </c>
      <c r="C52" s="238" t="s">
        <v>202</v>
      </c>
      <c r="D52" s="238" t="s">
        <v>203</v>
      </c>
      <c r="E52" s="236">
        <v>991778263</v>
      </c>
      <c r="F52" s="247" t="s">
        <v>379</v>
      </c>
      <c r="G52" s="234" t="s">
        <v>84</v>
      </c>
      <c r="H52" s="236" t="s">
        <v>153</v>
      </c>
      <c r="I52" s="237">
        <v>45197</v>
      </c>
      <c r="J52" s="234"/>
      <c r="K52" s="234"/>
      <c r="L52" s="239" t="s">
        <v>25</v>
      </c>
      <c r="M52" s="240" t="s">
        <v>207</v>
      </c>
      <c r="N52" s="241"/>
      <c r="O52" s="230"/>
      <c r="P52" s="253" t="s">
        <v>205</v>
      </c>
      <c r="Q52" s="240" t="s">
        <v>204</v>
      </c>
      <c r="R52" s="234"/>
    </row>
    <row r="53" spans="1:18" ht="15.75">
      <c r="A53" s="246">
        <v>45</v>
      </c>
      <c r="B53" s="237">
        <v>45210</v>
      </c>
      <c r="C53" s="238" t="s">
        <v>211</v>
      </c>
      <c r="D53" s="238" t="s">
        <v>212</v>
      </c>
      <c r="E53" s="236">
        <v>959595335</v>
      </c>
      <c r="F53" s="247" t="s">
        <v>379</v>
      </c>
      <c r="G53" s="234" t="s">
        <v>84</v>
      </c>
      <c r="H53" s="236" t="s">
        <v>19</v>
      </c>
      <c r="I53" s="237">
        <v>45162</v>
      </c>
      <c r="J53" s="234"/>
      <c r="K53" s="234"/>
      <c r="L53" s="239" t="s">
        <v>25</v>
      </c>
      <c r="M53" s="240" t="s">
        <v>210</v>
      </c>
      <c r="N53" s="241"/>
      <c r="O53" s="230"/>
      <c r="P53" s="253" t="s">
        <v>214</v>
      </c>
      <c r="Q53" s="240" t="s">
        <v>213</v>
      </c>
      <c r="R53" s="234"/>
    </row>
    <row r="54" spans="1:18" ht="15.75">
      <c r="A54" s="246">
        <v>46</v>
      </c>
      <c r="B54" s="237">
        <v>45210</v>
      </c>
      <c r="C54" s="238" t="s">
        <v>211</v>
      </c>
      <c r="D54" s="238" t="s">
        <v>212</v>
      </c>
      <c r="E54" s="236">
        <v>959595335</v>
      </c>
      <c r="F54" s="247" t="s">
        <v>379</v>
      </c>
      <c r="G54" s="234" t="s">
        <v>84</v>
      </c>
      <c r="H54" s="236" t="s">
        <v>19</v>
      </c>
      <c r="I54" s="237">
        <v>45135</v>
      </c>
      <c r="J54" s="234"/>
      <c r="K54" s="234"/>
      <c r="L54" s="239" t="s">
        <v>25</v>
      </c>
      <c r="M54" s="240" t="s">
        <v>216</v>
      </c>
      <c r="N54" s="241"/>
      <c r="O54" s="230"/>
      <c r="P54" s="253" t="s">
        <v>214</v>
      </c>
      <c r="Q54" s="240" t="s">
        <v>213</v>
      </c>
      <c r="R54" s="234"/>
    </row>
    <row r="55" spans="1:18" ht="15.75">
      <c r="A55" s="246">
        <v>47</v>
      </c>
      <c r="B55" s="237">
        <v>45210</v>
      </c>
      <c r="C55" s="238" t="s">
        <v>211</v>
      </c>
      <c r="D55" s="238" t="s">
        <v>212</v>
      </c>
      <c r="E55" s="236">
        <v>959595335</v>
      </c>
      <c r="F55" s="247" t="s">
        <v>379</v>
      </c>
      <c r="G55" s="234" t="s">
        <v>84</v>
      </c>
      <c r="H55" s="236" t="s">
        <v>19</v>
      </c>
      <c r="I55" s="237">
        <v>45135</v>
      </c>
      <c r="J55" s="234"/>
      <c r="K55" s="234"/>
      <c r="L55" s="239" t="s">
        <v>25</v>
      </c>
      <c r="M55" s="240" t="s">
        <v>217</v>
      </c>
      <c r="N55" s="241"/>
      <c r="O55" s="230"/>
      <c r="P55" s="253" t="s">
        <v>214</v>
      </c>
      <c r="Q55" s="240" t="s">
        <v>213</v>
      </c>
      <c r="R55" s="234"/>
    </row>
    <row r="56" spans="1:18" ht="15.75">
      <c r="A56" s="246">
        <v>48</v>
      </c>
      <c r="B56" s="237">
        <v>45211</v>
      </c>
      <c r="C56" s="238" t="s">
        <v>221</v>
      </c>
      <c r="D56" s="238" t="s">
        <v>222</v>
      </c>
      <c r="E56" s="236">
        <v>998313700</v>
      </c>
      <c r="F56" s="247" t="s">
        <v>379</v>
      </c>
      <c r="G56" s="234" t="s">
        <v>84</v>
      </c>
      <c r="H56" s="236" t="s">
        <v>19</v>
      </c>
      <c r="I56" s="237">
        <v>45205</v>
      </c>
      <c r="J56" s="234"/>
      <c r="K56" s="234"/>
      <c r="L56" s="239" t="s">
        <v>25</v>
      </c>
      <c r="M56" s="240" t="s">
        <v>220</v>
      </c>
      <c r="N56" s="241"/>
      <c r="O56" s="230"/>
      <c r="P56" s="253" t="s">
        <v>224</v>
      </c>
      <c r="Q56" s="240" t="s">
        <v>223</v>
      </c>
      <c r="R56" s="234"/>
    </row>
    <row r="57" spans="1:18" ht="15.75">
      <c r="A57" s="246">
        <v>49</v>
      </c>
      <c r="B57" s="237">
        <v>45211</v>
      </c>
      <c r="C57" s="238" t="s">
        <v>221</v>
      </c>
      <c r="D57" s="238" t="s">
        <v>222</v>
      </c>
      <c r="E57" s="236">
        <v>998313700</v>
      </c>
      <c r="F57" s="247" t="s">
        <v>379</v>
      </c>
      <c r="G57" s="234" t="s">
        <v>84</v>
      </c>
      <c r="H57" s="236" t="s">
        <v>19</v>
      </c>
      <c r="I57" s="237">
        <v>45205</v>
      </c>
      <c r="J57" s="234"/>
      <c r="K57" s="234"/>
      <c r="L57" s="239" t="s">
        <v>25</v>
      </c>
      <c r="M57" s="240" t="s">
        <v>226</v>
      </c>
      <c r="N57" s="241"/>
      <c r="O57" s="230"/>
      <c r="P57" s="253" t="s">
        <v>224</v>
      </c>
      <c r="Q57" s="240" t="s">
        <v>223</v>
      </c>
      <c r="R57" s="234"/>
    </row>
    <row r="58" spans="1:18" ht="15.75">
      <c r="A58" s="246">
        <v>50</v>
      </c>
      <c r="B58" s="242">
        <v>45211</v>
      </c>
      <c r="C58" s="243" t="s">
        <v>275</v>
      </c>
      <c r="D58" s="238" t="s">
        <v>395</v>
      </c>
      <c r="E58" s="236">
        <v>988964316</v>
      </c>
      <c r="F58" s="248" t="s">
        <v>385</v>
      </c>
      <c r="G58" s="234" t="s">
        <v>387</v>
      </c>
      <c r="H58" s="236"/>
      <c r="I58" s="237"/>
      <c r="J58" s="234"/>
      <c r="K58" s="234"/>
      <c r="L58" s="239" t="s">
        <v>25</v>
      </c>
      <c r="M58" s="240" t="s">
        <v>274</v>
      </c>
      <c r="N58" s="241"/>
      <c r="O58" s="230"/>
      <c r="P58" s="253"/>
      <c r="Q58" s="240" t="s">
        <v>398</v>
      </c>
      <c r="R58" s="234"/>
    </row>
    <row r="59" spans="1:18" ht="15.75">
      <c r="A59" s="246">
        <v>51</v>
      </c>
      <c r="B59" s="237">
        <v>45212</v>
      </c>
      <c r="C59" s="238" t="s">
        <v>230</v>
      </c>
      <c r="D59" s="238" t="s">
        <v>231</v>
      </c>
      <c r="E59" s="236">
        <v>959151416</v>
      </c>
      <c r="F59" s="247" t="s">
        <v>379</v>
      </c>
      <c r="G59" s="234" t="s">
        <v>84</v>
      </c>
      <c r="H59" s="236" t="s">
        <v>19</v>
      </c>
      <c r="I59" s="237">
        <v>45204</v>
      </c>
      <c r="J59" s="234"/>
      <c r="K59" s="234"/>
      <c r="L59" s="239" t="s">
        <v>25</v>
      </c>
      <c r="M59" s="240" t="s">
        <v>229</v>
      </c>
      <c r="N59" s="241"/>
      <c r="O59" s="230"/>
      <c r="P59" s="253" t="s">
        <v>233</v>
      </c>
      <c r="Q59" s="240" t="s">
        <v>232</v>
      </c>
      <c r="R59" s="234"/>
    </row>
    <row r="60" spans="1:18" ht="15.75">
      <c r="A60" s="246">
        <v>52</v>
      </c>
      <c r="B60" s="237">
        <v>45212</v>
      </c>
      <c r="C60" s="238" t="s">
        <v>230</v>
      </c>
      <c r="D60" s="238" t="s">
        <v>231</v>
      </c>
      <c r="E60" s="236">
        <v>959151416</v>
      </c>
      <c r="F60" s="247" t="s">
        <v>379</v>
      </c>
      <c r="G60" s="234" t="s">
        <v>84</v>
      </c>
      <c r="H60" s="236" t="s">
        <v>19</v>
      </c>
      <c r="I60" s="237">
        <v>45204</v>
      </c>
      <c r="J60" s="234"/>
      <c r="K60" s="234"/>
      <c r="L60" s="239" t="s">
        <v>25</v>
      </c>
      <c r="M60" s="240" t="s">
        <v>235</v>
      </c>
      <c r="N60" s="241"/>
      <c r="O60" s="230"/>
      <c r="P60" s="253" t="s">
        <v>233</v>
      </c>
      <c r="Q60" s="240" t="s">
        <v>232</v>
      </c>
      <c r="R60" s="234"/>
    </row>
    <row r="61" spans="1:18" ht="15.75">
      <c r="A61" s="246">
        <v>53</v>
      </c>
      <c r="B61" s="237">
        <v>45212</v>
      </c>
      <c r="C61" s="238" t="s">
        <v>230</v>
      </c>
      <c r="D61" s="238" t="s">
        <v>231</v>
      </c>
      <c r="E61" s="236">
        <v>959151416</v>
      </c>
      <c r="F61" s="247" t="s">
        <v>379</v>
      </c>
      <c r="G61" s="234" t="s">
        <v>84</v>
      </c>
      <c r="H61" s="236" t="s">
        <v>19</v>
      </c>
      <c r="I61" s="237">
        <v>45204</v>
      </c>
      <c r="J61" s="234"/>
      <c r="K61" s="234"/>
      <c r="L61" s="239" t="s">
        <v>25</v>
      </c>
      <c r="M61" s="240" t="s">
        <v>236</v>
      </c>
      <c r="N61" s="241"/>
      <c r="O61" s="230"/>
      <c r="P61" s="253" t="s">
        <v>233</v>
      </c>
      <c r="Q61" s="240" t="s">
        <v>232</v>
      </c>
      <c r="R61" s="234"/>
    </row>
    <row r="62" spans="1:18" ht="15.75">
      <c r="A62" s="246">
        <v>54</v>
      </c>
      <c r="B62" s="237">
        <v>45212</v>
      </c>
      <c r="C62" s="238" t="s">
        <v>230</v>
      </c>
      <c r="D62" s="238" t="s">
        <v>231</v>
      </c>
      <c r="E62" s="236">
        <v>959151416</v>
      </c>
      <c r="F62" s="247" t="s">
        <v>379</v>
      </c>
      <c r="G62" s="234" t="s">
        <v>84</v>
      </c>
      <c r="H62" s="236" t="s">
        <v>19</v>
      </c>
      <c r="I62" s="237">
        <v>45204</v>
      </c>
      <c r="J62" s="234"/>
      <c r="K62" s="234"/>
      <c r="L62" s="239" t="s">
        <v>25</v>
      </c>
      <c r="M62" s="240" t="s">
        <v>237</v>
      </c>
      <c r="N62" s="241"/>
      <c r="O62" s="230"/>
      <c r="P62" s="253" t="s">
        <v>233</v>
      </c>
      <c r="Q62" s="240" t="s">
        <v>232</v>
      </c>
      <c r="R62" s="234"/>
    </row>
    <row r="63" spans="1:18" ht="15.75">
      <c r="A63" s="246">
        <v>55</v>
      </c>
      <c r="B63" s="230">
        <v>45216</v>
      </c>
      <c r="C63" s="230" t="s">
        <v>221</v>
      </c>
      <c r="D63" s="230" t="s">
        <v>347</v>
      </c>
      <c r="E63" s="236">
        <v>983716149</v>
      </c>
      <c r="F63" s="249" t="s">
        <v>380</v>
      </c>
      <c r="G63" s="234" t="s">
        <v>84</v>
      </c>
      <c r="H63" s="236" t="s">
        <v>343</v>
      </c>
      <c r="I63" s="235">
        <v>45062</v>
      </c>
      <c r="J63" s="236"/>
      <c r="K63" s="236"/>
      <c r="L63" s="228" t="s">
        <v>25</v>
      </c>
      <c r="M63" s="240" t="s">
        <v>346</v>
      </c>
      <c r="N63" s="236"/>
      <c r="O63" s="236"/>
      <c r="P63" s="260" t="s">
        <v>411</v>
      </c>
      <c r="Q63" s="236">
        <v>102951340</v>
      </c>
      <c r="R63" s="236"/>
    </row>
    <row r="64" spans="1:18" ht="15.75">
      <c r="A64" s="246">
        <v>56</v>
      </c>
      <c r="B64" s="244">
        <v>45217</v>
      </c>
      <c r="C64" s="245" t="s">
        <v>290</v>
      </c>
      <c r="D64" s="245" t="s">
        <v>291</v>
      </c>
      <c r="E64" s="245">
        <v>74048786</v>
      </c>
      <c r="F64" s="252" t="s">
        <v>382</v>
      </c>
      <c r="G64" s="234" t="s">
        <v>84</v>
      </c>
      <c r="H64" s="236" t="s">
        <v>139</v>
      </c>
      <c r="I64" s="235">
        <v>45193</v>
      </c>
      <c r="J64" s="236"/>
      <c r="K64" s="236"/>
      <c r="L64" s="228" t="s">
        <v>25</v>
      </c>
      <c r="M64" s="240" t="s">
        <v>412</v>
      </c>
      <c r="N64" s="236"/>
      <c r="O64" s="236"/>
      <c r="P64" s="260"/>
      <c r="Q64" s="236">
        <v>102653730</v>
      </c>
      <c r="R64" s="236"/>
    </row>
    <row r="65" spans="1:18" ht="15.75">
      <c r="A65" s="246">
        <v>57</v>
      </c>
      <c r="B65" s="237">
        <v>45217</v>
      </c>
      <c r="C65" s="238" t="s">
        <v>279</v>
      </c>
      <c r="D65" s="238" t="s">
        <v>280</v>
      </c>
      <c r="E65" s="236">
        <v>987992256</v>
      </c>
      <c r="F65" s="247" t="s">
        <v>379</v>
      </c>
      <c r="G65" s="234" t="s">
        <v>84</v>
      </c>
      <c r="H65" s="236" t="s">
        <v>163</v>
      </c>
      <c r="I65" s="237">
        <v>44910</v>
      </c>
      <c r="J65" s="236"/>
      <c r="K65" s="236"/>
      <c r="L65" s="228" t="s">
        <v>25</v>
      </c>
      <c r="M65" s="240" t="s">
        <v>278</v>
      </c>
      <c r="N65" s="236"/>
      <c r="O65" s="236"/>
      <c r="P65" s="253" t="s">
        <v>360</v>
      </c>
      <c r="Q65" s="240" t="s">
        <v>281</v>
      </c>
      <c r="R65" s="236"/>
    </row>
    <row r="66" spans="1:18" ht="15.75">
      <c r="A66" s="246">
        <v>58</v>
      </c>
      <c r="B66" s="237">
        <v>45217</v>
      </c>
      <c r="C66" s="238" t="s">
        <v>279</v>
      </c>
      <c r="D66" s="238" t="s">
        <v>280</v>
      </c>
      <c r="E66" s="236">
        <v>987992256</v>
      </c>
      <c r="F66" s="247" t="s">
        <v>379</v>
      </c>
      <c r="G66" s="234" t="s">
        <v>84</v>
      </c>
      <c r="H66" s="236" t="s">
        <v>163</v>
      </c>
      <c r="I66" s="237">
        <v>44910</v>
      </c>
      <c r="J66" s="236"/>
      <c r="K66" s="236"/>
      <c r="L66" s="228" t="s">
        <v>25</v>
      </c>
      <c r="M66" s="240" t="s">
        <v>283</v>
      </c>
      <c r="N66" s="236"/>
      <c r="O66" s="236"/>
      <c r="P66" s="253" t="s">
        <v>360</v>
      </c>
      <c r="Q66" s="240" t="s">
        <v>281</v>
      </c>
      <c r="R66" s="236"/>
    </row>
    <row r="67" spans="1:18" ht="15.75">
      <c r="A67" s="246">
        <v>59</v>
      </c>
      <c r="B67" s="237">
        <v>45217</v>
      </c>
      <c r="C67" s="238" t="s">
        <v>279</v>
      </c>
      <c r="D67" s="238" t="s">
        <v>280</v>
      </c>
      <c r="E67" s="236">
        <v>987992256</v>
      </c>
      <c r="F67" s="247" t="s">
        <v>379</v>
      </c>
      <c r="G67" s="234" t="s">
        <v>84</v>
      </c>
      <c r="H67" s="236" t="s">
        <v>163</v>
      </c>
      <c r="I67" s="237">
        <v>44910</v>
      </c>
      <c r="J67" s="236"/>
      <c r="K67" s="236"/>
      <c r="L67" s="228" t="s">
        <v>25</v>
      </c>
      <c r="M67" s="240" t="s">
        <v>284</v>
      </c>
      <c r="N67" s="236"/>
      <c r="O67" s="236"/>
      <c r="P67" s="253" t="s">
        <v>360</v>
      </c>
      <c r="Q67" s="240" t="s">
        <v>281</v>
      </c>
      <c r="R67" s="236"/>
    </row>
    <row r="68" spans="1:18" ht="15.75">
      <c r="A68" s="246">
        <v>60</v>
      </c>
      <c r="B68" s="237">
        <v>45217</v>
      </c>
      <c r="C68" s="238" t="s">
        <v>279</v>
      </c>
      <c r="D68" s="238" t="s">
        <v>280</v>
      </c>
      <c r="E68" s="236">
        <v>987992256</v>
      </c>
      <c r="F68" s="247" t="s">
        <v>379</v>
      </c>
      <c r="G68" s="234" t="s">
        <v>84</v>
      </c>
      <c r="H68" s="236" t="s">
        <v>163</v>
      </c>
      <c r="I68" s="237">
        <v>44890</v>
      </c>
      <c r="J68" s="236"/>
      <c r="K68" s="236"/>
      <c r="L68" s="228" t="s">
        <v>25</v>
      </c>
      <c r="M68" s="240" t="s">
        <v>357</v>
      </c>
      <c r="N68" s="236"/>
      <c r="O68" s="236"/>
      <c r="P68" s="253" t="s">
        <v>360</v>
      </c>
      <c r="Q68" s="240" t="s">
        <v>281</v>
      </c>
      <c r="R68" s="236"/>
    </row>
    <row r="69" spans="1:18" ht="15.75">
      <c r="A69" s="246">
        <v>61</v>
      </c>
      <c r="B69" s="237">
        <v>45217</v>
      </c>
      <c r="C69" s="238" t="s">
        <v>279</v>
      </c>
      <c r="D69" s="238" t="s">
        <v>280</v>
      </c>
      <c r="E69" s="236">
        <v>987992256</v>
      </c>
      <c r="F69" s="247" t="s">
        <v>379</v>
      </c>
      <c r="G69" s="234" t="s">
        <v>84</v>
      </c>
      <c r="H69" s="236" t="s">
        <v>163</v>
      </c>
      <c r="I69" s="237">
        <v>44890</v>
      </c>
      <c r="J69" s="236"/>
      <c r="K69" s="236"/>
      <c r="L69" s="228" t="s">
        <v>25</v>
      </c>
      <c r="M69" s="240" t="s">
        <v>358</v>
      </c>
      <c r="N69" s="236"/>
      <c r="O69" s="236"/>
      <c r="P69" s="253" t="s">
        <v>360</v>
      </c>
      <c r="Q69" s="240" t="s">
        <v>281</v>
      </c>
      <c r="R69" s="236"/>
    </row>
    <row r="70" spans="1:18" ht="15.75">
      <c r="A70" s="246">
        <v>62</v>
      </c>
      <c r="B70" s="237">
        <v>45217</v>
      </c>
      <c r="C70" s="238" t="s">
        <v>279</v>
      </c>
      <c r="D70" s="238" t="s">
        <v>280</v>
      </c>
      <c r="E70" s="236">
        <v>987992256</v>
      </c>
      <c r="F70" s="247" t="s">
        <v>379</v>
      </c>
      <c r="G70" s="234" t="s">
        <v>84</v>
      </c>
      <c r="H70" s="236" t="s">
        <v>163</v>
      </c>
      <c r="I70" s="237">
        <v>44890</v>
      </c>
      <c r="J70" s="236"/>
      <c r="K70" s="236"/>
      <c r="L70" s="228" t="s">
        <v>25</v>
      </c>
      <c r="M70" s="240" t="s">
        <v>359</v>
      </c>
      <c r="N70" s="236"/>
      <c r="O70" s="236"/>
      <c r="P70" s="253" t="s">
        <v>360</v>
      </c>
      <c r="Q70" s="240" t="s">
        <v>281</v>
      </c>
      <c r="R70" s="236"/>
    </row>
    <row r="71" spans="1:18" ht="15.75">
      <c r="A71" s="246">
        <v>63</v>
      </c>
      <c r="B71" s="237">
        <v>45218</v>
      </c>
      <c r="C71" s="238" t="s">
        <v>367</v>
      </c>
      <c r="D71" s="238" t="s">
        <v>368</v>
      </c>
      <c r="E71" s="236">
        <v>992502733</v>
      </c>
      <c r="F71" s="247" t="s">
        <v>379</v>
      </c>
      <c r="G71" s="234" t="s">
        <v>84</v>
      </c>
      <c r="H71" s="236" t="s">
        <v>19</v>
      </c>
      <c r="I71" s="237">
        <v>45127</v>
      </c>
      <c r="J71" s="236"/>
      <c r="K71" s="236"/>
      <c r="L71" s="228" t="s">
        <v>25</v>
      </c>
      <c r="M71" s="240" t="s">
        <v>363</v>
      </c>
      <c r="N71" s="236"/>
      <c r="O71" s="236"/>
      <c r="P71" s="253" t="s">
        <v>370</v>
      </c>
      <c r="Q71" s="240" t="s">
        <v>369</v>
      </c>
      <c r="R71" s="236"/>
    </row>
    <row r="72" spans="1:18" ht="15.75">
      <c r="A72" s="246">
        <v>64</v>
      </c>
      <c r="B72" s="237">
        <v>45218</v>
      </c>
      <c r="C72" s="238" t="s">
        <v>367</v>
      </c>
      <c r="D72" s="238" t="s">
        <v>368</v>
      </c>
      <c r="E72" s="236">
        <v>992502733</v>
      </c>
      <c r="F72" s="247" t="s">
        <v>379</v>
      </c>
      <c r="G72" s="234" t="s">
        <v>84</v>
      </c>
      <c r="H72" s="236" t="s">
        <v>19</v>
      </c>
      <c r="I72" s="237">
        <v>45226</v>
      </c>
      <c r="J72" s="236"/>
      <c r="K72" s="236"/>
      <c r="L72" s="228" t="s">
        <v>25</v>
      </c>
      <c r="M72" s="240" t="s">
        <v>365</v>
      </c>
      <c r="N72" s="236"/>
      <c r="O72" s="236"/>
      <c r="P72" s="253" t="s">
        <v>370</v>
      </c>
      <c r="Q72" s="240" t="s">
        <v>369</v>
      </c>
      <c r="R72" s="236"/>
    </row>
    <row r="73" spans="1:18" ht="15.75">
      <c r="A73" s="246">
        <v>65</v>
      </c>
      <c r="B73" s="237">
        <v>45218</v>
      </c>
      <c r="C73" s="238" t="s">
        <v>407</v>
      </c>
      <c r="D73" s="238" t="s">
        <v>408</v>
      </c>
      <c r="E73" s="236">
        <v>967848005</v>
      </c>
      <c r="F73" s="247" t="s">
        <v>379</v>
      </c>
      <c r="G73" s="234" t="s">
        <v>84</v>
      </c>
      <c r="H73" s="236" t="s">
        <v>126</v>
      </c>
      <c r="I73" s="237">
        <v>45139</v>
      </c>
      <c r="J73" s="236"/>
      <c r="K73" s="236"/>
      <c r="L73" s="228" t="s">
        <v>25</v>
      </c>
      <c r="M73" s="240" t="s">
        <v>403</v>
      </c>
      <c r="N73" s="236"/>
      <c r="O73" s="236"/>
      <c r="P73" s="253" t="s">
        <v>410</v>
      </c>
      <c r="Q73" s="240" t="s">
        <v>409</v>
      </c>
      <c r="R73" s="236"/>
    </row>
    <row r="74" spans="1:18" ht="15.75">
      <c r="A74" s="246">
        <v>66</v>
      </c>
      <c r="B74" s="237">
        <v>45218</v>
      </c>
      <c r="C74" s="238" t="s">
        <v>407</v>
      </c>
      <c r="D74" s="238" t="s">
        <v>408</v>
      </c>
      <c r="E74" s="236">
        <v>967848005</v>
      </c>
      <c r="F74" s="247" t="s">
        <v>379</v>
      </c>
      <c r="G74" s="234" t="s">
        <v>84</v>
      </c>
      <c r="H74" s="236" t="s">
        <v>126</v>
      </c>
      <c r="I74" s="237">
        <v>45139</v>
      </c>
      <c r="J74" s="236"/>
      <c r="K74" s="236"/>
      <c r="L74" s="228" t="s">
        <v>25</v>
      </c>
      <c r="M74" s="240" t="s">
        <v>404</v>
      </c>
      <c r="N74" s="236"/>
      <c r="O74" s="236"/>
      <c r="P74" s="253" t="s">
        <v>410</v>
      </c>
      <c r="Q74" s="240" t="s">
        <v>409</v>
      </c>
      <c r="R74" s="236"/>
    </row>
    <row r="75" spans="1:18" ht="15.75">
      <c r="A75" s="246">
        <v>67</v>
      </c>
      <c r="B75" s="237">
        <v>45218</v>
      </c>
      <c r="C75" s="238" t="s">
        <v>407</v>
      </c>
      <c r="D75" s="238" t="s">
        <v>408</v>
      </c>
      <c r="E75" s="236">
        <v>967848005</v>
      </c>
      <c r="F75" s="247" t="s">
        <v>379</v>
      </c>
      <c r="G75" s="234" t="s">
        <v>84</v>
      </c>
      <c r="H75" s="236" t="s">
        <v>126</v>
      </c>
      <c r="I75" s="237">
        <v>45139</v>
      </c>
      <c r="J75" s="236"/>
      <c r="K75" s="236"/>
      <c r="L75" s="228" t="s">
        <v>25</v>
      </c>
      <c r="M75" s="240" t="s">
        <v>405</v>
      </c>
      <c r="N75" s="236"/>
      <c r="O75" s="236"/>
      <c r="P75" s="253" t="s">
        <v>410</v>
      </c>
      <c r="Q75" s="240" t="s">
        <v>409</v>
      </c>
      <c r="R75" s="236"/>
    </row>
    <row r="76" spans="1:18" ht="15.75">
      <c r="A76" s="246">
        <v>68</v>
      </c>
      <c r="B76" s="237">
        <v>45218</v>
      </c>
      <c r="C76" s="238" t="s">
        <v>407</v>
      </c>
      <c r="D76" s="238" t="s">
        <v>408</v>
      </c>
      <c r="E76" s="236">
        <v>967848005</v>
      </c>
      <c r="F76" s="247" t="s">
        <v>379</v>
      </c>
      <c r="G76" s="234" t="s">
        <v>84</v>
      </c>
      <c r="H76" s="236" t="s">
        <v>126</v>
      </c>
      <c r="I76" s="237">
        <v>45139</v>
      </c>
      <c r="J76" s="236"/>
      <c r="K76" s="236"/>
      <c r="L76" s="228" t="s">
        <v>25</v>
      </c>
      <c r="M76" s="240" t="s">
        <v>406</v>
      </c>
      <c r="N76" s="236"/>
      <c r="O76" s="236"/>
      <c r="P76" s="253" t="s">
        <v>410</v>
      </c>
      <c r="Q76" s="240" t="s">
        <v>409</v>
      </c>
      <c r="R76" s="236"/>
    </row>
    <row r="77" spans="1:18" ht="15.75">
      <c r="A77" s="246">
        <v>69</v>
      </c>
      <c r="B77" s="235">
        <v>45218</v>
      </c>
      <c r="C77" s="238" t="s">
        <v>418</v>
      </c>
      <c r="D77" s="238" t="s">
        <v>419</v>
      </c>
      <c r="E77" s="236">
        <v>988725505</v>
      </c>
      <c r="F77" s="249" t="s">
        <v>380</v>
      </c>
      <c r="G77" s="234" t="s">
        <v>84</v>
      </c>
      <c r="H77" s="236" t="s">
        <v>298</v>
      </c>
      <c r="I77" s="235">
        <v>45212</v>
      </c>
      <c r="J77" s="236"/>
      <c r="K77" s="236"/>
      <c r="L77" s="228" t="s">
        <v>25</v>
      </c>
      <c r="M77" s="240" t="s">
        <v>414</v>
      </c>
      <c r="N77" s="236"/>
      <c r="O77" s="236"/>
      <c r="P77" s="260" t="s">
        <v>417</v>
      </c>
      <c r="Q77" s="236">
        <v>104595861</v>
      </c>
      <c r="R77" s="236"/>
    </row>
    <row r="78" spans="1:18" ht="15.75">
      <c r="A78" s="246">
        <v>70</v>
      </c>
      <c r="B78" s="235">
        <v>45218</v>
      </c>
      <c r="C78" s="238" t="s">
        <v>429</v>
      </c>
      <c r="D78" s="238" t="s">
        <v>434</v>
      </c>
      <c r="E78" s="236">
        <v>979184266</v>
      </c>
      <c r="F78" s="248" t="s">
        <v>385</v>
      </c>
      <c r="G78" s="234" t="s">
        <v>435</v>
      </c>
      <c r="H78" s="236" t="s">
        <v>436</v>
      </c>
      <c r="I78" s="235">
        <v>45218</v>
      </c>
      <c r="J78" s="236"/>
      <c r="K78" s="236"/>
      <c r="L78" s="228" t="s">
        <v>25</v>
      </c>
      <c r="M78" s="240" t="s">
        <v>428</v>
      </c>
      <c r="N78" s="236"/>
      <c r="O78" s="236"/>
      <c r="P78" s="260"/>
      <c r="Q78" s="236">
        <v>107262495</v>
      </c>
      <c r="R78" s="236"/>
    </row>
  </sheetData>
  <hyperlinks>
    <hyperlink ref="P7" r:id="rId1"/>
    <hyperlink ref="P8" r:id="rId2"/>
    <hyperlink ref="P9" r:id="rId3"/>
    <hyperlink ref="P10" r:id="rId4"/>
    <hyperlink ref="P12" r:id="rId5"/>
    <hyperlink ref="P13" r:id="rId6"/>
    <hyperlink ref="P15" r:id="rId7"/>
    <hyperlink ref="P16" r:id="rId8"/>
    <hyperlink ref="P17" r:id="rId9"/>
    <hyperlink ref="P25" r:id="rId10"/>
    <hyperlink ref="P26" r:id="rId11"/>
    <hyperlink ref="P23" r:id="rId12"/>
    <hyperlink ref="P27" r:id="rId13"/>
    <hyperlink ref="P28" r:id="rId14"/>
    <hyperlink ref="P11" r:id="rId15"/>
    <hyperlink ref="P14" r:id="rId16"/>
    <hyperlink ref="P18" r:id="rId17"/>
    <hyperlink ref="P24" r:id="rId18"/>
    <hyperlink ref="P34" r:id="rId19"/>
    <hyperlink ref="P38" r:id="rId20"/>
    <hyperlink ref="P37" r:id="rId21"/>
    <hyperlink ref="P36" r:id="rId22"/>
    <hyperlink ref="P39" r:id="rId23"/>
    <hyperlink ref="P40" r:id="rId24"/>
    <hyperlink ref="P41" r:id="rId25"/>
    <hyperlink ref="P42" r:id="rId26"/>
    <hyperlink ref="P43" r:id="rId27"/>
    <hyperlink ref="P45" r:id="rId28"/>
    <hyperlink ref="P48" r:id="rId29"/>
    <hyperlink ref="P49" r:id="rId30"/>
    <hyperlink ref="P50" r:id="rId31"/>
    <hyperlink ref="P33" r:id="rId32"/>
    <hyperlink ref="P51" r:id="rId33"/>
    <hyperlink ref="P52" r:id="rId34"/>
    <hyperlink ref="P53" r:id="rId35"/>
    <hyperlink ref="P54" r:id="rId36"/>
    <hyperlink ref="P55" r:id="rId37"/>
    <hyperlink ref="P56" r:id="rId38"/>
    <hyperlink ref="P57" r:id="rId39"/>
    <hyperlink ref="P59" r:id="rId40"/>
    <hyperlink ref="P60" r:id="rId41"/>
    <hyperlink ref="P61" r:id="rId42"/>
    <hyperlink ref="P62" r:id="rId43"/>
    <hyperlink ref="P63" r:id="rId44"/>
    <hyperlink ref="P65" r:id="rId45"/>
    <hyperlink ref="P66" r:id="rId46"/>
    <hyperlink ref="P67" r:id="rId47"/>
    <hyperlink ref="P68" r:id="rId48"/>
    <hyperlink ref="P69" r:id="rId49"/>
    <hyperlink ref="P70" r:id="rId50"/>
    <hyperlink ref="P71" r:id="rId51"/>
    <hyperlink ref="P72" r:id="rId52"/>
    <hyperlink ref="P73" r:id="rId53"/>
    <hyperlink ref="P74" r:id="rId54"/>
    <hyperlink ref="P75" r:id="rId55"/>
    <hyperlink ref="P76" r:id="rId56"/>
    <hyperlink ref="P77" r:id="rId57"/>
    <hyperlink ref="P44" r:id="rId58"/>
    <hyperlink ref="P46" r:id="rId59"/>
    <hyperlink ref="P47" r:id="rId60"/>
  </hyperlinks>
  <pageMargins left="0.7" right="0.7" top="0.75" bottom="0.75" header="0.3" footer="0.3"/>
  <pageSetup paperSize="9" orientation="portrait" horizontalDpi="0" verticalDpi="0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</vt:lpstr>
      <vt:lpstr>BBQ</vt:lpstr>
      <vt:lpstr>1 PRODUCTO</vt:lpstr>
      <vt:lpstr>PROMOCION</vt:lpstr>
      <vt:lpstr>GARANTIAS</vt:lpstr>
      <vt:lpstr>CONSOLIDADO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mariela</cp:lastModifiedBy>
  <dcterms:created xsi:type="dcterms:W3CDTF">2023-08-18T15:37:10Z</dcterms:created>
  <dcterms:modified xsi:type="dcterms:W3CDTF">2023-10-20T02:30:41Z</dcterms:modified>
</cp:coreProperties>
</file>