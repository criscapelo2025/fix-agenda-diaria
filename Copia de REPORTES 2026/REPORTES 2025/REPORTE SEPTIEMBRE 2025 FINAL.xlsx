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1F87725C-28B6-8045-952E-D2C58D63C3FB}" xr6:coauthVersionLast="47" xr6:coauthVersionMax="47" xr10:uidLastSave="{00000000-0000-0000-0000-000000000000}"/>
  <bookViews>
    <workbookView xWindow="160" yWindow="660" windowWidth="25380" windowHeight="25840" activeTab="6" xr2:uid="{00000000-000D-0000-FFFF-FFFF00000000}"/>
  </bookViews>
  <sheets>
    <sheet name="GARANTIAS" sheetId="1" r:id="rId1"/>
    <sheet name="PROMOCION" sheetId="3" r:id="rId2"/>
    <sheet name="PROMOCION SANTA ELENA" sheetId="10" r:id="rId3"/>
    <sheet name="BBQ" sheetId="4" r:id="rId4"/>
    <sheet name="BASE " sheetId="2" r:id="rId5"/>
    <sheet name="ALMACEN" sheetId="5" r:id="rId6"/>
    <sheet name="CONSOLIDADO" sheetId="7" r:id="rId7"/>
    <sheet name="UN PRODUCTO" sheetId="9" r:id="rId8"/>
  </sheets>
  <definedNames>
    <definedName name="_xlnm._FilterDatabase" localSheetId="4" hidden="1">'BASE '!$A$1:$B$907</definedName>
    <definedName name="_xlnm._FilterDatabase" localSheetId="6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5" i="3" l="1"/>
  <c r="S54" i="3"/>
  <c r="S53" i="3"/>
  <c r="F55" i="3"/>
  <c r="F54" i="3"/>
  <c r="F53" i="3"/>
  <c r="S52" i="3"/>
  <c r="F52" i="3"/>
  <c r="O122" i="3"/>
  <c r="S121" i="3"/>
  <c r="F121" i="3"/>
  <c r="S120" i="3"/>
  <c r="F120" i="3"/>
  <c r="H184" i="7"/>
  <c r="H183" i="7"/>
  <c r="J26" i="1" l="1"/>
  <c r="N19" i="1"/>
  <c r="H17" i="1"/>
  <c r="H18" i="1"/>
  <c r="J22" i="5"/>
  <c r="O15" i="5"/>
  <c r="E129" i="3"/>
  <c r="Q181" i="7"/>
  <c r="Q182" i="7"/>
  <c r="H181" i="7"/>
  <c r="H182" i="7"/>
  <c r="Q177" i="7"/>
  <c r="Q178" i="7"/>
  <c r="Q179" i="7"/>
  <c r="Q180" i="7"/>
  <c r="H177" i="7"/>
  <c r="H178" i="7"/>
  <c r="H179" i="7"/>
  <c r="H180" i="7"/>
  <c r="O49" i="9"/>
  <c r="S48" i="9"/>
  <c r="F48" i="9"/>
  <c r="S119" i="3"/>
  <c r="S117" i="3"/>
  <c r="H127" i="3"/>
  <c r="H128" i="3"/>
  <c r="H126" i="3"/>
  <c r="H20" i="4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29" i="3" l="1"/>
  <c r="H15" i="1"/>
  <c r="H16" i="1"/>
  <c r="S115" i="3"/>
  <c r="S114" i="3"/>
  <c r="S113" i="3"/>
  <c r="S111" i="3"/>
  <c r="S109" i="3"/>
  <c r="S108" i="3"/>
  <c r="S107" i="3"/>
  <c r="S105" i="3"/>
  <c r="S104" i="3"/>
  <c r="S103" i="3"/>
  <c r="S101" i="3"/>
  <c r="S97" i="3"/>
  <c r="S96" i="3"/>
  <c r="S94" i="3"/>
  <c r="S99" i="3"/>
  <c r="F99" i="3"/>
  <c r="S98" i="3"/>
  <c r="F98" i="3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7" i="7"/>
  <c r="S47" i="9"/>
  <c r="F47" i="9"/>
  <c r="S46" i="9"/>
  <c r="F46" i="9"/>
  <c r="S45" i="9"/>
  <c r="F45" i="9"/>
  <c r="S44" i="9"/>
  <c r="F44" i="9"/>
  <c r="S43" i="9"/>
  <c r="F43" i="9"/>
  <c r="S42" i="9"/>
  <c r="F42" i="9"/>
  <c r="S41" i="9"/>
  <c r="F41" i="9"/>
  <c r="O14" i="4"/>
  <c r="S13" i="4"/>
  <c r="F13" i="4"/>
  <c r="O8" i="10"/>
  <c r="S12" i="4"/>
  <c r="F12" i="4"/>
  <c r="S92" i="3"/>
  <c r="S91" i="3"/>
  <c r="S89" i="3"/>
  <c r="S88" i="3"/>
  <c r="S87" i="3"/>
  <c r="S86" i="3"/>
  <c r="S7" i="10"/>
  <c r="F7" i="10"/>
  <c r="S6" i="10"/>
  <c r="F6" i="10"/>
  <c r="F25" i="9"/>
  <c r="S84" i="3"/>
  <c r="S83" i="3"/>
  <c r="S81" i="3"/>
  <c r="S80" i="3"/>
  <c r="S79" i="3"/>
  <c r="S78" i="3"/>
  <c r="S77" i="3"/>
  <c r="S76" i="3"/>
  <c r="S75" i="3"/>
  <c r="S73" i="3"/>
  <c r="S72" i="3"/>
  <c r="S71" i="3"/>
  <c r="S69" i="3"/>
  <c r="S68" i="3"/>
  <c r="S66" i="3"/>
  <c r="S65" i="3"/>
  <c r="S61" i="3"/>
  <c r="S59" i="3"/>
  <c r="S58" i="3"/>
  <c r="S57" i="3"/>
  <c r="S49" i="3"/>
  <c r="S48" i="3"/>
  <c r="S47" i="3"/>
  <c r="S46" i="3"/>
  <c r="S45" i="3"/>
  <c r="S43" i="3"/>
  <c r="S44" i="3"/>
  <c r="S50" i="3"/>
  <c r="S56" i="3"/>
  <c r="S60" i="3"/>
  <c r="S62" i="3"/>
  <c r="S64" i="3"/>
  <c r="S67" i="3"/>
  <c r="S70" i="3"/>
  <c r="S74" i="3"/>
  <c r="S82" i="3"/>
  <c r="S85" i="3"/>
  <c r="S90" i="3"/>
  <c r="S93" i="3"/>
  <c r="S95" i="3"/>
  <c r="S100" i="3"/>
  <c r="S102" i="3"/>
  <c r="S106" i="3"/>
  <c r="S110" i="3"/>
  <c r="S112" i="3"/>
  <c r="S116" i="3"/>
  <c r="S118" i="3"/>
  <c r="S42" i="3"/>
  <c r="S41" i="3"/>
  <c r="S40" i="3"/>
  <c r="S39" i="3"/>
  <c r="S37" i="3"/>
  <c r="S36" i="3"/>
  <c r="S35" i="3"/>
  <c r="S33" i="3"/>
  <c r="S32" i="3"/>
  <c r="S24" i="3" l="1"/>
  <c r="S23" i="3"/>
  <c r="S21" i="3"/>
  <c r="F14" i="5"/>
  <c r="F13" i="5"/>
  <c r="F12" i="5"/>
  <c r="F11" i="5"/>
  <c r="F10" i="5"/>
  <c r="S11" i="4"/>
  <c r="F11" i="4"/>
  <c r="S10" i="4"/>
  <c r="F10" i="4"/>
  <c r="S9" i="4"/>
  <c r="F9" i="4"/>
  <c r="S7" i="4"/>
  <c r="S28" i="3" l="1"/>
  <c r="S27" i="3"/>
  <c r="S26" i="3"/>
  <c r="S19" i="3"/>
  <c r="S18" i="3"/>
  <c r="S16" i="3"/>
  <c r="S15" i="3"/>
  <c r="S14" i="3"/>
  <c r="S12" i="3"/>
  <c r="S11" i="3"/>
  <c r="S9" i="3"/>
  <c r="S8" i="3"/>
  <c r="S7" i="3"/>
  <c r="J21" i="1" l="1"/>
  <c r="S36" i="9"/>
  <c r="S37" i="9"/>
  <c r="S38" i="9"/>
  <c r="S39" i="9"/>
  <c r="S40" i="9"/>
  <c r="S35" i="9"/>
  <c r="F35" i="9"/>
  <c r="F40" i="9"/>
  <c r="F39" i="9"/>
  <c r="F38" i="9"/>
  <c r="F37" i="9"/>
  <c r="F36" i="9"/>
  <c r="F9" i="5" l="1"/>
  <c r="S38" i="3" l="1"/>
  <c r="S34" i="3"/>
  <c r="F7" i="4"/>
  <c r="F8" i="4"/>
  <c r="F6" i="4"/>
  <c r="H14" i="1"/>
  <c r="H13" i="1"/>
  <c r="H12" i="1"/>
  <c r="H11" i="1"/>
  <c r="H10" i="1"/>
  <c r="H9" i="1"/>
  <c r="S31" i="3" l="1"/>
  <c r="S22" i="3"/>
  <c r="S20" i="3"/>
  <c r="S13" i="3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6" i="9"/>
  <c r="F23" i="9" l="1"/>
  <c r="F15" i="9"/>
  <c r="J23" i="1"/>
  <c r="J24" i="1"/>
  <c r="J25" i="1"/>
  <c r="F119" i="3"/>
  <c r="F118" i="3"/>
  <c r="F117" i="3"/>
  <c r="F116" i="3"/>
  <c r="S8" i="4"/>
  <c r="S6" i="4"/>
  <c r="J27" i="1" l="1"/>
  <c r="F8" i="5"/>
  <c r="F34" i="9"/>
  <c r="F33" i="9"/>
  <c r="F32" i="9"/>
  <c r="F31" i="9"/>
  <c r="F30" i="9"/>
  <c r="F29" i="9"/>
  <c r="F28" i="9"/>
  <c r="F27" i="9"/>
  <c r="F26" i="9"/>
  <c r="F24" i="9"/>
  <c r="F22" i="9"/>
  <c r="F21" i="9"/>
  <c r="F20" i="9"/>
  <c r="F19" i="9"/>
  <c r="F18" i="9"/>
  <c r="F17" i="9"/>
  <c r="F16" i="9"/>
  <c r="F14" i="9"/>
  <c r="F13" i="9"/>
  <c r="F12" i="9"/>
  <c r="F11" i="9"/>
  <c r="F10" i="9"/>
  <c r="F9" i="9"/>
  <c r="F8" i="9"/>
  <c r="F115" i="3" l="1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7" i="3"/>
  <c r="F96" i="3"/>
  <c r="F95" i="3"/>
  <c r="F94" i="3"/>
  <c r="F93" i="3"/>
  <c r="F92" i="3"/>
  <c r="S29" i="3"/>
  <c r="S25" i="3"/>
  <c r="S17" i="3"/>
  <c r="S10" i="3"/>
  <c r="S6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7" i="9" l="1"/>
  <c r="F6" i="9"/>
</calcChain>
</file>

<file path=xl/sharedStrings.xml><?xml version="1.0" encoding="utf-8"?>
<sst xmlns="http://schemas.openxmlformats.org/spreadsheetml/2006/main" count="5282" uniqueCount="1708">
  <si>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</si>
  <si>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</si>
  <si>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</si>
  <si>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</si>
  <si>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</si>
  <si>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</si>
  <si>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</si>
  <si>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</si>
  <si>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</si>
  <si>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</si>
  <si>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</si>
  <si>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</si>
  <si>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</si>
  <si>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</si>
  <si>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</si>
  <si>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</si>
  <si>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</si>
  <si>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</si>
  <si>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</si>
  <si>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</si>
  <si>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</si>
  <si>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</si>
  <si>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</si>
  <si>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</si>
  <si>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</si>
  <si>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</si>
  <si>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</si>
  <si>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</si>
  <si>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</si>
  <si>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</si>
  <si>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</si>
  <si>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</si>
  <si>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</si>
  <si>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</si>
  <si>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</si>
  <si>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</si>
  <si>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</si>
  <si>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</si>
  <si>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</si>
  <si>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</si>
  <si>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</si>
  <si>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</si>
  <si>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</si>
  <si>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</si>
  <si>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</si>
  <si>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</si>
  <si>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>Capelo</t>
  </si>
  <si>
    <t>Cuenca</t>
  </si>
  <si>
    <t>Cliente final</t>
  </si>
  <si>
    <t>PRODUCTOS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</si>
  <si>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</si>
  <si>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</si>
  <si>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</si>
  <si>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</si>
  <si>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</si>
  <si>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</si>
  <si>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</si>
  <si>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</si>
  <si>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Sap</t>
  </si>
  <si>
    <t>CLIENTE FINAL</t>
  </si>
  <si>
    <t>CORREO ELECTRONICO</t>
  </si>
  <si>
    <t xml:space="preserve">BBQ 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</si>
  <si>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</si>
  <si>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</si>
  <si>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</si>
  <si>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</si>
  <si>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</si>
  <si>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</si>
  <si>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</si>
  <si>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</si>
  <si>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</si>
  <si>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</si>
  <si>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</si>
  <si>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</si>
  <si>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</si>
  <si>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</si>
  <si>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</si>
  <si>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</si>
  <si>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</si>
  <si>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</si>
  <si>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</si>
  <si>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</si>
  <si>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</si>
  <si>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</si>
  <si>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</si>
  <si>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</si>
  <si>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</si>
  <si>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</si>
  <si>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</si>
  <si>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</si>
  <si>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</si>
  <si>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</si>
  <si>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</si>
  <si>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</si>
  <si>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</si>
  <si>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</si>
  <si>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</si>
  <si>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</si>
  <si>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</si>
  <si>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</si>
  <si>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</si>
  <si>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</si>
  <si>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</si>
  <si>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</si>
  <si>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</si>
  <si>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</si>
  <si>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</si>
  <si>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</si>
  <si>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</si>
  <si>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</si>
  <si>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</si>
  <si>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</si>
  <si>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</si>
  <si>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</si>
  <si>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</si>
  <si>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</si>
  <si>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</si>
  <si>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</si>
  <si>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</si>
  <si>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</si>
  <si>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</si>
  <si>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</si>
  <si>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</si>
  <si>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</si>
  <si>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</si>
  <si>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</si>
  <si>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</si>
  <si>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</si>
  <si>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</si>
  <si>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</si>
  <si>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</si>
  <si>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</si>
  <si>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</si>
  <si>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</si>
  <si>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</si>
  <si>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</si>
  <si>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</si>
  <si>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</si>
  <si>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</si>
  <si>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</si>
  <si>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</si>
  <si>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</si>
  <si>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</si>
  <si>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</si>
  <si>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</si>
  <si>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</si>
  <si>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</si>
  <si>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</si>
  <si>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</si>
  <si>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</si>
  <si>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</si>
  <si>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</si>
  <si>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</si>
  <si>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</si>
  <si>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</si>
  <si>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</si>
  <si>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</si>
  <si>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</si>
  <si>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</si>
  <si>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</si>
  <si>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</si>
  <si>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</si>
  <si>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</si>
  <si>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</si>
  <si>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</si>
  <si>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</si>
  <si>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</si>
  <si>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</si>
  <si>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</si>
  <si>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</si>
  <si>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</si>
  <si>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</si>
  <si>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</si>
  <si>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</si>
  <si>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</si>
  <si>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</si>
  <si>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</si>
  <si>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</si>
  <si>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</si>
  <si>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</si>
  <si>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</si>
  <si>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</si>
  <si>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</si>
  <si>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</si>
  <si>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</si>
  <si>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</si>
  <si>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</si>
  <si>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</si>
  <si>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</si>
  <si>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</si>
  <si>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</si>
  <si>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</si>
  <si>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</si>
  <si>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</si>
  <si>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</si>
  <si>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</si>
  <si>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</si>
  <si>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</si>
  <si>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</si>
  <si>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</si>
  <si>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</si>
  <si>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</si>
  <si>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</si>
  <si>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</si>
  <si>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</si>
  <si>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</si>
  <si>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</si>
  <si>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</si>
  <si>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</si>
  <si>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</si>
  <si>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</si>
  <si>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</si>
  <si>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</si>
  <si>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</si>
  <si>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</si>
  <si>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</si>
  <si>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</si>
  <si>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</si>
  <si>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</si>
  <si>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</si>
  <si>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</si>
  <si>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</si>
  <si>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</si>
  <si>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</si>
  <si>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</si>
  <si>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</si>
  <si>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</si>
  <si>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</si>
  <si>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</si>
  <si>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</si>
  <si>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</si>
  <si>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</si>
  <si>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</si>
  <si>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</si>
  <si>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</si>
  <si>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</si>
  <si>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</si>
  <si>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</si>
  <si>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</si>
  <si>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</si>
  <si>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</si>
  <si>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</si>
  <si>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</si>
  <si>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</si>
  <si>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</si>
  <si>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</si>
  <si>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</si>
  <si>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</si>
  <si>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</si>
  <si>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</si>
  <si>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</si>
  <si>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</si>
  <si>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</si>
  <si>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</si>
  <si>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</si>
  <si>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</si>
  <si>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</si>
  <si>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</si>
  <si>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</si>
  <si>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</si>
  <si>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</si>
  <si>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</si>
  <si>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</si>
  <si>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</si>
  <si>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</si>
  <si>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</si>
  <si>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</si>
  <si>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</si>
  <si>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</si>
  <si>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</si>
  <si>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</si>
  <si>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</si>
  <si>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</si>
  <si>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</si>
  <si>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</si>
  <si>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</si>
  <si>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</si>
  <si>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</si>
  <si>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</si>
  <si>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</si>
  <si>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</si>
  <si>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</si>
  <si>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</si>
  <si>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</si>
  <si>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</si>
  <si>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</si>
  <si>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</si>
  <si>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</si>
  <si>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</si>
  <si>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</si>
  <si>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</si>
  <si>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</si>
  <si>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</si>
  <si>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</si>
  <si>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</si>
  <si>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</si>
  <si>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</si>
  <si>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</si>
  <si>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</si>
  <si>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</si>
  <si>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</si>
  <si>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</si>
  <si>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</si>
  <si>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</si>
  <si>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</si>
  <si>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</si>
  <si>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</si>
  <si>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</si>
  <si>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</si>
  <si>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</si>
  <si>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</si>
  <si>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</si>
  <si>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</si>
  <si>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</si>
  <si>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</si>
  <si>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</si>
  <si>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</si>
  <si>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</si>
  <si>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</si>
  <si>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</si>
  <si>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</si>
  <si>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</si>
  <si>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</si>
  <si>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</si>
  <si>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</si>
  <si>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</si>
  <si>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</si>
  <si>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</si>
  <si>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</si>
  <si>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</si>
  <si>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</si>
  <si>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</si>
  <si>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</si>
  <si>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</si>
  <si>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</si>
  <si>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</si>
  <si>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</si>
  <si>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</si>
  <si>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</si>
  <si>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</si>
  <si>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</si>
  <si>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</si>
  <si>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</si>
  <si>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</si>
  <si>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</si>
  <si>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</si>
  <si>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</si>
  <si>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</si>
  <si>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</si>
  <si>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</si>
  <si>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</si>
  <si>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</si>
  <si>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</si>
  <si>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</si>
  <si>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</si>
  <si>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</si>
  <si>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</si>
  <si>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</si>
  <si>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</si>
  <si>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</si>
  <si>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</si>
  <si>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</si>
  <si>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</si>
  <si>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</si>
  <si>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</si>
  <si>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</si>
  <si>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</si>
  <si>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</si>
  <si>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</si>
  <si>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</si>
  <si>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</si>
  <si>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</si>
  <si>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</si>
  <si>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</si>
  <si>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</si>
  <si>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</si>
  <si>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</si>
  <si>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</si>
  <si>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</si>
  <si>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</si>
  <si>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</si>
  <si>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</si>
  <si>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</si>
  <si>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</si>
  <si>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</si>
  <si>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</si>
  <si>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</si>
  <si>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</si>
  <si>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</si>
  <si>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</si>
  <si>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</si>
  <si>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</si>
  <si>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</si>
  <si>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</si>
  <si>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</si>
  <si>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</si>
  <si>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</si>
  <si>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</si>
  <si>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</si>
  <si>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</si>
  <si>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</si>
  <si>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</si>
  <si>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</si>
  <si>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</si>
  <si>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</si>
  <si>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</si>
  <si>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</si>
  <si>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</si>
  <si>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</si>
  <si>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</si>
  <si>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</si>
  <si>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</si>
  <si>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</si>
  <si>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</si>
  <si>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</si>
  <si>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</si>
  <si>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</si>
  <si>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</si>
  <si>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</si>
  <si>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</si>
  <si>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</si>
  <si>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</si>
  <si>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</si>
  <si>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</si>
  <si>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</si>
  <si>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</si>
  <si>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</si>
  <si>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</si>
  <si>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</si>
  <si>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</si>
  <si>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</si>
  <si>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</si>
  <si>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</si>
  <si>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</si>
  <si>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</si>
  <si>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</si>
  <si>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</si>
  <si>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</si>
  <si>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</si>
  <si>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</si>
  <si>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</si>
  <si>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</si>
  <si>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</si>
  <si>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</si>
  <si>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</si>
  <si>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</si>
  <si>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</si>
  <si>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</si>
  <si>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</si>
  <si>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</si>
  <si>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</si>
  <si>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</si>
  <si>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</si>
  <si>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</si>
  <si>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</si>
  <si>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</si>
  <si>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</si>
  <si>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</si>
  <si>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</si>
  <si>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</si>
  <si>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</si>
  <si>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</si>
  <si>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</si>
  <si>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</si>
  <si>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</si>
  <si>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</si>
  <si>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</si>
  <si>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</si>
  <si>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</si>
  <si>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</si>
  <si>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</si>
  <si>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</si>
  <si>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</si>
  <si>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</si>
  <si>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</si>
  <si>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</si>
  <si>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</si>
  <si>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</si>
  <si>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</si>
  <si>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</si>
  <si>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</si>
  <si>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</si>
  <si>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</si>
  <si>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</si>
  <si>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</si>
  <si>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</si>
  <si>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</si>
  <si>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</si>
  <si>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</si>
  <si>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</si>
  <si>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</si>
  <si>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</si>
  <si>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</si>
  <si>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</si>
  <si>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</si>
  <si>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</si>
  <si>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</si>
  <si>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</si>
  <si>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</si>
  <si>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</si>
  <si>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</si>
  <si>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</si>
  <si>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</si>
  <si>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</si>
  <si>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</si>
  <si>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</si>
  <si>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</si>
  <si>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</si>
  <si>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</si>
  <si>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</si>
  <si>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</si>
  <si>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</si>
  <si>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</si>
  <si>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</si>
  <si>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</si>
  <si>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</si>
  <si>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</si>
  <si>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</si>
  <si>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</si>
  <si>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</si>
  <si>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</si>
  <si>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</si>
  <si>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</si>
  <si>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</si>
  <si>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</si>
  <si>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</si>
  <si>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</si>
  <si>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</si>
  <si>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</si>
  <si>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</si>
  <si>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</si>
  <si>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</si>
  <si>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</si>
  <si>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</si>
  <si>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</si>
  <si>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</si>
  <si>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</si>
  <si>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</si>
  <si>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</si>
  <si>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</si>
  <si>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</si>
  <si>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</si>
  <si>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</si>
  <si>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</si>
  <si>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</si>
  <si>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</si>
  <si>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</si>
  <si>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</si>
  <si>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</si>
  <si>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</si>
  <si>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</si>
  <si>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</si>
  <si>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</si>
  <si>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</si>
  <si>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</si>
  <si>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</si>
  <si>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</si>
  <si>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</si>
  <si>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</si>
  <si>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</si>
  <si>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</si>
  <si>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</si>
  <si>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</si>
  <si>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</si>
  <si>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</si>
  <si>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</si>
  <si>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</si>
  <si>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</si>
  <si>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</si>
  <si>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</si>
  <si>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</si>
  <si>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</si>
  <si>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</si>
  <si>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</si>
  <si>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</si>
  <si>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</si>
  <si>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</si>
  <si>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</si>
  <si>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</si>
  <si>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</si>
  <si>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</si>
  <si>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</si>
  <si>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</si>
  <si>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</si>
  <si>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</si>
  <si>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</si>
  <si>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</si>
  <si>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</si>
  <si>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</si>
  <si>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</si>
  <si>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</si>
  <si>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</si>
  <si>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</si>
  <si>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</si>
  <si>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</si>
  <si>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</si>
  <si>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</si>
  <si>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</si>
  <si>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</si>
  <si>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</si>
  <si>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</si>
  <si>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</si>
  <si>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</si>
  <si>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</si>
  <si>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</si>
  <si>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</si>
  <si>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</si>
  <si>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</si>
  <si>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</si>
  <si>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</si>
  <si>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</si>
  <si>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</si>
  <si>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</si>
  <si>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</si>
  <si>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</si>
  <si>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</si>
  <si>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</si>
  <si>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</si>
  <si>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</si>
  <si>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</si>
  <si>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</si>
  <si>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</si>
  <si>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</si>
  <si>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</si>
  <si>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</si>
  <si>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</si>
  <si>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</si>
  <si>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</si>
  <si>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</si>
  <si>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</si>
  <si>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</si>
  <si>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</si>
  <si>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</si>
  <si>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</si>
  <si>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</si>
  <si>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</si>
  <si>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</si>
  <si>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</si>
  <si>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</si>
  <si>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</si>
  <si>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</si>
  <si>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</si>
  <si>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</si>
  <si>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</si>
  <si>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</si>
  <si>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</si>
  <si>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</si>
  <si>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</si>
  <si>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</si>
  <si>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</si>
  <si>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</si>
  <si>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</si>
  <si>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</si>
  <si>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</si>
  <si>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</si>
  <si>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</si>
  <si>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</si>
  <si>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</si>
  <si>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</si>
  <si>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</si>
  <si>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</si>
  <si>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</si>
  <si>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</si>
  <si>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</si>
  <si>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</si>
  <si>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</si>
  <si>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</si>
  <si>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</si>
  <si>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</si>
  <si>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</si>
  <si>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</si>
  <si>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</si>
  <si>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</si>
  <si>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</si>
  <si>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</si>
  <si>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</si>
  <si>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</si>
  <si>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</si>
  <si>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</si>
  <si>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</si>
  <si>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</si>
  <si>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</si>
  <si>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</si>
  <si>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</si>
  <si>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</si>
  <si>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</si>
  <si>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</si>
  <si>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</si>
  <si>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</si>
  <si>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</si>
  <si>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</si>
  <si>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</si>
  <si>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</si>
  <si>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</si>
  <si>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</si>
  <si>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</si>
  <si>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</si>
  <si>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</si>
  <si>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</si>
  <si>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</si>
  <si>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</si>
  <si>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</si>
  <si>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</si>
  <si>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</si>
  <si>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</si>
  <si>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</si>
  <si>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</si>
  <si>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</si>
  <si>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</si>
  <si>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</si>
  <si>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</si>
  <si>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</si>
  <si>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</si>
  <si>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</si>
  <si>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</si>
  <si>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</si>
  <si>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</si>
  <si>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</si>
  <si>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</si>
  <si>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</si>
  <si>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</si>
  <si>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</si>
  <si>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</si>
  <si>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</si>
  <si>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</si>
  <si>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</si>
  <si>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</si>
  <si>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</si>
  <si>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</si>
  <si>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</si>
  <si>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</si>
  <si>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</si>
  <si>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</si>
  <si>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</si>
  <si>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</si>
  <si>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</si>
  <si>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</si>
  <si>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</si>
  <si>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</si>
  <si>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</si>
  <si>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</si>
  <si>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</si>
  <si>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</si>
  <si>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</si>
  <si>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</si>
  <si>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</si>
  <si>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</si>
  <si>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</si>
  <si>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</si>
  <si>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</si>
  <si>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</si>
  <si>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</si>
  <si>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</si>
  <si>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</si>
  <si>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</si>
  <si>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</si>
  <si>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</si>
  <si>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</si>
  <si>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</si>
  <si>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</si>
  <si>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</si>
  <si>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</si>
  <si>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</si>
  <si>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</si>
  <si>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</si>
  <si>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</si>
  <si>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</si>
  <si>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</si>
  <si>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</si>
  <si>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</si>
  <si>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</si>
  <si>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</si>
  <si>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</si>
  <si>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</si>
  <si>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</si>
  <si>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</si>
  <si>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</si>
  <si>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</si>
  <si>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</si>
  <si>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</si>
  <si>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</si>
  <si>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</si>
  <si>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</si>
  <si>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</si>
  <si>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</si>
  <si>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</si>
  <si>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</si>
  <si>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</si>
  <si>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</si>
  <si>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</si>
  <si>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</si>
  <si>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</si>
  <si>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</si>
  <si>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</si>
  <si>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</si>
  <si>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</si>
  <si>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</si>
  <si>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</si>
  <si>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</si>
  <si>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</si>
  <si>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</si>
  <si>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</si>
  <si>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</si>
  <si>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</si>
  <si>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</si>
  <si>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</si>
  <si>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</si>
  <si>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</si>
  <si>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</si>
  <si>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</si>
  <si>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</si>
  <si>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</si>
  <si>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</si>
  <si>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</si>
  <si>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</si>
  <si>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</si>
  <si>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</si>
  <si>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</si>
  <si>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</si>
  <si>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</si>
  <si>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</si>
  <si>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</si>
  <si>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</si>
  <si>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</si>
  <si>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</si>
  <si>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</si>
  <si>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</si>
  <si>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</si>
  <si>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</si>
  <si>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</si>
  <si>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</si>
  <si>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</si>
  <si>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</si>
  <si>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</si>
  <si>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</si>
  <si>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</si>
  <si>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</si>
  <si>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</si>
  <si>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</si>
  <si>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</si>
  <si>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</si>
  <si>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</si>
  <si>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</si>
  <si>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</si>
  <si>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</si>
  <si>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</si>
  <si>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</si>
  <si>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</si>
  <si>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</si>
  <si>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</si>
  <si>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</si>
  <si>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</si>
  <si>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</si>
  <si>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</si>
  <si>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</si>
  <si>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</si>
  <si>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</si>
  <si>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</si>
  <si>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</si>
  <si>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</si>
  <si>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</si>
  <si>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</si>
  <si>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</si>
  <si>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</si>
  <si>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</si>
  <si>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</si>
  <si>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</si>
  <si>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</si>
  <si>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</si>
  <si>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</si>
  <si>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</si>
  <si>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</si>
  <si>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</si>
  <si>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</si>
  <si>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</si>
  <si>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</si>
  <si>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</si>
  <si>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</si>
  <si>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</si>
  <si>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</si>
  <si>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</si>
  <si>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</si>
  <si>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</si>
  <si>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</si>
  <si>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</si>
  <si>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</si>
  <si>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</si>
  <si>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</si>
  <si>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</si>
  <si>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</si>
  <si>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</si>
  <si>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</si>
  <si>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</si>
  <si>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</si>
  <si>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</si>
  <si>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</si>
  <si>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</si>
  <si>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</si>
  <si>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</si>
  <si>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</si>
  <si>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</si>
  <si>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</si>
  <si>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</si>
  <si>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</si>
  <si>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</si>
  <si>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</si>
  <si>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</si>
  <si>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</si>
  <si>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</si>
  <si>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</si>
  <si>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</si>
  <si>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</si>
  <si>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</si>
  <si>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</si>
  <si>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</si>
  <si>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</si>
  <si>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</si>
  <si>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</si>
  <si>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</si>
  <si>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</si>
  <si>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</si>
  <si>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</si>
  <si>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</si>
  <si>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</si>
  <si>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</si>
  <si>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</si>
  <si>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</si>
  <si>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</si>
  <si>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</si>
  <si>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</si>
  <si>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</si>
  <si>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</si>
  <si>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</si>
  <si>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</si>
  <si>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</si>
  <si>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</si>
  <si>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</si>
  <si>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</si>
  <si>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</si>
  <si>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</si>
  <si>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</si>
  <si>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</si>
  <si>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</si>
  <si>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</si>
  <si>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</si>
  <si>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</si>
  <si>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</si>
  <si>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</si>
  <si>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</si>
  <si>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</si>
  <si>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</si>
  <si>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</si>
  <si>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</si>
  <si>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</si>
  <si>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</si>
  <si>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</si>
  <si>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</si>
  <si>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</si>
  <si>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</si>
  <si>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</si>
  <si>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</si>
  <si>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</si>
  <si>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</si>
  <si>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</si>
  <si>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</si>
  <si>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</si>
  <si>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</si>
  <si>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</si>
  <si>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</si>
  <si>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</si>
  <si>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</si>
  <si>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</si>
  <si>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</si>
  <si>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</si>
  <si>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</si>
  <si>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</si>
  <si>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</si>
  <si>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</si>
  <si>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</si>
  <si>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</si>
  <si>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</si>
  <si>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</si>
  <si>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</si>
  <si>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</si>
  <si>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</si>
  <si>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</si>
  <si>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</si>
  <si>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</si>
  <si>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</si>
  <si>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</si>
  <si>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</si>
  <si>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</si>
  <si>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</si>
  <si>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</si>
  <si>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</si>
  <si>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</si>
  <si>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</si>
  <si>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</si>
  <si>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</si>
  <si>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</si>
  <si>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</si>
  <si>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</si>
  <si>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</si>
  <si>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</si>
  <si>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</si>
  <si>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</si>
  <si>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 xml:space="preserve">ALMACENES </t>
  </si>
  <si>
    <t>FECHA DE COMPRA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</si>
  <si>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</si>
  <si>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</si>
  <si>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</si>
  <si>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</si>
  <si>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</si>
  <si>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</si>
  <si>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</si>
  <si>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</si>
  <si>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>OBSERVACION</t>
  </si>
  <si>
    <t>CUENCA</t>
  </si>
  <si>
    <t xml:space="preserve">PRODUCTO </t>
  </si>
  <si>
    <t>Técnico:  Cristian Capelo</t>
  </si>
  <si>
    <t>FECHA INTERVENCION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</si>
  <si>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</si>
  <si>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</si>
  <si>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</si>
  <si>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</si>
  <si>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</si>
  <si>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</si>
  <si>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</si>
  <si>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</si>
  <si>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</si>
  <si>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</si>
  <si>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</si>
  <si>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</si>
  <si>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</si>
  <si>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</si>
  <si>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</si>
  <si>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</si>
  <si>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</si>
  <si>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>GARANTIA</t>
  </si>
  <si>
    <t>trabajo completado sin novedad</t>
  </si>
  <si>
    <t>INSTALAR</t>
  </si>
  <si>
    <t>CAFETERA</t>
  </si>
  <si>
    <t xml:space="preserve">       </t>
  </si>
  <si>
    <t>CAPELO  SEPTIEMBRE 2025</t>
  </si>
  <si>
    <t>CAPELO SEPTIEMBRE 2025</t>
  </si>
  <si>
    <t>KYWI</t>
  </si>
  <si>
    <t>043-909-000001186</t>
  </si>
  <si>
    <t>TP233308671</t>
  </si>
  <si>
    <t>TZ246502075</t>
  </si>
  <si>
    <t>ZP24CL00024</t>
  </si>
  <si>
    <t>MD24BL0000283</t>
  </si>
  <si>
    <t>MARIA BUSTAMANTE</t>
  </si>
  <si>
    <t>NARANCAY</t>
  </si>
  <si>
    <t>ESTEBAL1947@ICLOUD.COM</t>
  </si>
  <si>
    <t>COMERCIAL SOLIS</t>
  </si>
  <si>
    <t>001-500-000075310</t>
  </si>
  <si>
    <t>ZP253T00069</t>
  </si>
  <si>
    <t>TZ247H16135</t>
  </si>
  <si>
    <t>TP253Q00301</t>
  </si>
  <si>
    <t>NANCY CORDOVA</t>
  </si>
  <si>
    <t>MAYANCELA</t>
  </si>
  <si>
    <t>0104064340</t>
  </si>
  <si>
    <t>MUEBLESCARENO2020@GMAIL.COM</t>
  </si>
  <si>
    <t>EDUARDO PALACIOS</t>
  </si>
  <si>
    <t>001-001-000000923</t>
  </si>
  <si>
    <t>TP22C205701</t>
  </si>
  <si>
    <t>TZ255621151</t>
  </si>
  <si>
    <t>MD247L00349</t>
  </si>
  <si>
    <t>CHALLUABAMBA</t>
  </si>
  <si>
    <t>0102897949001</t>
  </si>
  <si>
    <t>ADMINISTRATIVO@SERVICIONOTARIAL.COM</t>
  </si>
  <si>
    <t>ZP252B00398</t>
  </si>
  <si>
    <t>MERCEDES ALVAREZ</t>
  </si>
  <si>
    <t>043-905-000068254</t>
  </si>
  <si>
    <t>TP24AQO5729</t>
  </si>
  <si>
    <t>ZP251VOO104</t>
  </si>
  <si>
    <t>TZ243T28366</t>
  </si>
  <si>
    <t xml:space="preserve">JORGE Y ICAZA </t>
  </si>
  <si>
    <t>0100028505</t>
  </si>
  <si>
    <t>JOSEMACHADO28@HOTMAIL.COM,</t>
  </si>
  <si>
    <t>ZP24BT00518</t>
  </si>
  <si>
    <t>CRISTIAN MORALES</t>
  </si>
  <si>
    <t>CONDOMINIO RIO 4</t>
  </si>
  <si>
    <t>0104740091</t>
  </si>
  <si>
    <t>CRISMORALES@GMAIL.COM</t>
  </si>
  <si>
    <t>SUKASA</t>
  </si>
  <si>
    <t>040-104-000011836</t>
  </si>
  <si>
    <t>ZP24AF00415</t>
  </si>
  <si>
    <t>FELIX BRITO</t>
  </si>
  <si>
    <t>JARDINES DE BALZAY</t>
  </si>
  <si>
    <t>0151915020</t>
  </si>
  <si>
    <t>FELIZBRITO660@GMAIL.COM</t>
  </si>
  <si>
    <t>016-907-000264585</t>
  </si>
  <si>
    <t>TP245904559</t>
  </si>
  <si>
    <t>TATIANA HUIRACOCHA</t>
  </si>
  <si>
    <t>RICAURTE PACO MONCAYO</t>
  </si>
  <si>
    <t>0301850954</t>
  </si>
  <si>
    <t>TAMY252930@HOTMAIL.COM</t>
  </si>
  <si>
    <t>JHANET QUEZADA</t>
  </si>
  <si>
    <t>DIEGO ANDRADE</t>
  </si>
  <si>
    <t>MERCARD</t>
  </si>
  <si>
    <t>HOME VEGA</t>
  </si>
  <si>
    <t>006-002-000158403</t>
  </si>
  <si>
    <t>PX255700023</t>
  </si>
  <si>
    <t>TP232702686</t>
  </si>
  <si>
    <t>TZ244W27069</t>
  </si>
  <si>
    <t>ZP253501086</t>
  </si>
  <si>
    <t>VERONICA CABRERA</t>
  </si>
  <si>
    <t>CASA TODOS SANTOS</t>
  </si>
  <si>
    <t>0908949878</t>
  </si>
  <si>
    <t>KEYNEJAD@AOL.COM</t>
  </si>
  <si>
    <t>001-500-000076059</t>
  </si>
  <si>
    <t>ZP24C300345</t>
  </si>
  <si>
    <t>TZ244V25754</t>
  </si>
  <si>
    <t>001-500-000069760</t>
  </si>
  <si>
    <t>GABRIELA ENRIQUEZ</t>
  </si>
  <si>
    <t>URBANIZACION CICA</t>
  </si>
  <si>
    <t>GABYENRIQUEZ21406@GMAIL.COM</t>
  </si>
  <si>
    <t>STOCK</t>
  </si>
  <si>
    <t>CO249E00532</t>
  </si>
  <si>
    <t>KYWI WYRA</t>
  </si>
  <si>
    <t>AV 24 MAYO</t>
  </si>
  <si>
    <t>17900412260001</t>
  </si>
  <si>
    <t>JCRUZ@KYWI.COM.EC</t>
  </si>
  <si>
    <t>540515086014B261100034</t>
  </si>
  <si>
    <t>MARISCAL LAMAR</t>
  </si>
  <si>
    <t>0987665567</t>
  </si>
  <si>
    <t>PX255000028</t>
  </si>
  <si>
    <t>EK247200012</t>
  </si>
  <si>
    <t>PX203400095</t>
  </si>
  <si>
    <t>EK24BL00033</t>
  </si>
  <si>
    <t>TP213800020</t>
  </si>
  <si>
    <t>TP255703562</t>
  </si>
  <si>
    <t>COMERCIAL SOLIS(CECILIA CUESTA)</t>
  </si>
  <si>
    <t>COMERCIAL SOLIS(JAKELINE RODAS)</t>
  </si>
  <si>
    <t>0958971701</t>
  </si>
  <si>
    <t>023-903+B6-000356725</t>
  </si>
  <si>
    <t>001-500-000071956</t>
  </si>
  <si>
    <t>240428AF0781</t>
  </si>
  <si>
    <t>MARIA PAZ REYES</t>
  </si>
  <si>
    <t>PRADO ALTO</t>
  </si>
  <si>
    <t>018528712118</t>
  </si>
  <si>
    <t>PAZREYESCORDERO@HOTMAIL.COM</t>
  </si>
  <si>
    <t>003-170023491</t>
  </si>
  <si>
    <t>ZP245000489</t>
  </si>
  <si>
    <t>TZ247G14543</t>
  </si>
  <si>
    <t>0103271920</t>
  </si>
  <si>
    <t>JENNETHQUEZADA97@GMAIL.COM</t>
  </si>
  <si>
    <t>001-500-000075862</t>
  </si>
  <si>
    <t>EK247F00069</t>
  </si>
  <si>
    <t>ZP255900270</t>
  </si>
  <si>
    <t>TZ245N21996</t>
  </si>
  <si>
    <t>CUMBE</t>
  </si>
  <si>
    <t>BANOS</t>
  </si>
  <si>
    <t>0105080105</t>
  </si>
  <si>
    <t>DIEGOAB16@HOTMAIL.COM</t>
  </si>
  <si>
    <t>COMO HOGAR</t>
  </si>
  <si>
    <t>040-104-000010836</t>
  </si>
  <si>
    <t>040-103-000013060</t>
  </si>
  <si>
    <t>TP248P08664</t>
  </si>
  <si>
    <t>TZ251022252</t>
  </si>
  <si>
    <t>ZP251T00712</t>
  </si>
  <si>
    <t>ERIK PFEFFERKORN</t>
  </si>
  <si>
    <t>407 446 1180</t>
  </si>
  <si>
    <t>ERICPFEFFERKORN777@GMAIL.COM</t>
  </si>
  <si>
    <t>17/29/24</t>
  </si>
  <si>
    <t>010-000123094</t>
  </si>
  <si>
    <t>ZP43600239</t>
  </si>
  <si>
    <t>PX246H00023</t>
  </si>
  <si>
    <t>TP231P00660</t>
  </si>
  <si>
    <t>TZ247202384</t>
  </si>
  <si>
    <t>LUZ MARIA MOLINA</t>
  </si>
  <si>
    <t>PASEO 3 NOVIEMBRE</t>
  </si>
  <si>
    <t>LULUMEDINA13@GMAIL.COM</t>
  </si>
  <si>
    <t>031-108-000025240</t>
  </si>
  <si>
    <t>043-902-000053502</t>
  </si>
  <si>
    <t>TKAZC5B961000152502140056</t>
  </si>
  <si>
    <t>ZP252H00809</t>
  </si>
  <si>
    <t>TZ24LA07335</t>
  </si>
  <si>
    <t>TANIA GONZALES</t>
  </si>
  <si>
    <t>VIA A CHECA</t>
  </si>
  <si>
    <t>001-500-000075144</t>
  </si>
  <si>
    <t>ZP255S00689</t>
  </si>
  <si>
    <t>TP254105572</t>
  </si>
  <si>
    <t>VERONICA PACHECO</t>
  </si>
  <si>
    <t>SANTA MARIA</t>
  </si>
  <si>
    <t>VERO.GUAMAN04@GMAIL.COM</t>
  </si>
  <si>
    <t>001-500-000065119</t>
  </si>
  <si>
    <t>ZP234500243</t>
  </si>
  <si>
    <t>TZZ243K19027</t>
  </si>
  <si>
    <t>IVAN PURUNCAJAS</t>
  </si>
  <si>
    <t>PASAJE IMBABURA</t>
  </si>
  <si>
    <t>VERITOPURUNCAJAS@HOTMAIL.COM</t>
  </si>
  <si>
    <t>ALMACENES ESPAÑA</t>
  </si>
  <si>
    <t>001-501-000055915</t>
  </si>
  <si>
    <t>TZ248829680</t>
  </si>
  <si>
    <t>ZP245X00411</t>
  </si>
  <si>
    <t>TP249C04256</t>
  </si>
  <si>
    <t>TP247203568</t>
  </si>
  <si>
    <t>001-500-000070734</t>
  </si>
  <si>
    <t>ZP237K00378</t>
  </si>
  <si>
    <t>ZP246U00020</t>
  </si>
  <si>
    <t>JULIO CESAR CARPIO</t>
  </si>
  <si>
    <t>J.C.QUIMIFARM@HOTMAIL.COM</t>
  </si>
  <si>
    <t>001-502-000000407</t>
  </si>
  <si>
    <t>TP249505053</t>
  </si>
  <si>
    <t>EDIFICIO VAZCO</t>
  </si>
  <si>
    <t>J.VELECELA@HOTMAIL.COM</t>
  </si>
  <si>
    <t>ZP256C00693</t>
  </si>
  <si>
    <t>TP242F04690</t>
  </si>
  <si>
    <t>ZP24CA00514</t>
  </si>
  <si>
    <t>ALMACENES BOYACA</t>
  </si>
  <si>
    <t>007-006-000136229</t>
  </si>
  <si>
    <t>043-906-000049343</t>
  </si>
  <si>
    <t>TP233V06897</t>
  </si>
  <si>
    <t>ISABEL RIVERA</t>
  </si>
  <si>
    <t>AGUSTIN LEON</t>
  </si>
  <si>
    <t>ISABELRIV2T@GMAIL.COM</t>
  </si>
  <si>
    <t>ZP247500385</t>
  </si>
  <si>
    <t>CO249E00196</t>
  </si>
  <si>
    <t>MARTIN FLORES</t>
  </si>
  <si>
    <t>EDUARDO MALO</t>
  </si>
  <si>
    <t>043-904-00052090</t>
  </si>
  <si>
    <t>SEBASTIAN CALVACHE</t>
  </si>
  <si>
    <t>DE LOS COBAYOS Y LA FLORESTA</t>
  </si>
  <si>
    <t>0105802757</t>
  </si>
  <si>
    <t>SEBESTIANCALVACHE98@GMAIL.COM</t>
  </si>
  <si>
    <t>001-500-000076240</t>
  </si>
  <si>
    <t>TP24BV05919</t>
  </si>
  <si>
    <t>SUSANA UREÑA</t>
  </si>
  <si>
    <t>GERONA Y BARCELONA</t>
  </si>
  <si>
    <t>0102860095</t>
  </si>
  <si>
    <t>SUSANAURENA20@GMAIL.COM</t>
  </si>
  <si>
    <t>017-901-000117904</t>
  </si>
  <si>
    <t>ZP252H00813</t>
  </si>
  <si>
    <t>MONICA CALLE</t>
  </si>
  <si>
    <t>MISICATA</t>
  </si>
  <si>
    <t>0104484654</t>
  </si>
  <si>
    <t>MONICACALLEJ.CPA@GMAIL.COM</t>
  </si>
  <si>
    <t>001-500-000076324</t>
  </si>
  <si>
    <t>TZ24AW24292</t>
  </si>
  <si>
    <t>PASEO 3 DE NOVIEMBRE</t>
  </si>
  <si>
    <t>201 5646484</t>
  </si>
  <si>
    <t>0104163860</t>
  </si>
  <si>
    <t>DAVICHO0115@GMAIL.COM</t>
  </si>
  <si>
    <t>DAVID ALVARADO</t>
  </si>
  <si>
    <t>040-104-000013072</t>
  </si>
  <si>
    <t>ZP24C500220</t>
  </si>
  <si>
    <t>MARIA ENRIQUEZ</t>
  </si>
  <si>
    <t>CREZA DE LEON Y EL SALADO</t>
  </si>
  <si>
    <t>1101830212</t>
  </si>
  <si>
    <t>SOLESOCT58@GMAIL.COM</t>
  </si>
  <si>
    <t>040-103-000009765</t>
  </si>
  <si>
    <t>ZP246800338</t>
  </si>
  <si>
    <t>VERONICA PURUNCAJAS</t>
  </si>
  <si>
    <t>112570126</t>
  </si>
  <si>
    <t>043-907-000029887</t>
  </si>
  <si>
    <t>ZP236D01169</t>
  </si>
  <si>
    <t>LADY SANGACHA</t>
  </si>
  <si>
    <t>ROCAS DE MISICATA</t>
  </si>
  <si>
    <t>40212014</t>
  </si>
  <si>
    <t>LADY_TAPIA@HOTMAIL.COM</t>
  </si>
  <si>
    <t>NAYIALCALA@GMAIL.COM</t>
  </si>
  <si>
    <t>0152122446</t>
  </si>
  <si>
    <t>LA ISLA EDIFICIO ATLANTIDA</t>
  </si>
  <si>
    <t>NAYIBE ALCALA</t>
  </si>
  <si>
    <t>ZP253501097</t>
  </si>
  <si>
    <t>040-103-000015566</t>
  </si>
  <si>
    <t>016-907-000268448</t>
  </si>
  <si>
    <t>TP24BV05963</t>
  </si>
  <si>
    <t>MARIANA VAZQUES</t>
  </si>
  <si>
    <t>PUERTAS DEL SOL</t>
  </si>
  <si>
    <t>0102701810</t>
  </si>
  <si>
    <t>TJTORRES.TJ7@GMAIL.COM</t>
  </si>
  <si>
    <t>BOYACA</t>
  </si>
  <si>
    <t>007-006-000139425</t>
  </si>
  <si>
    <t>24250D36373</t>
  </si>
  <si>
    <t>RUTH DELGADO</t>
  </si>
  <si>
    <t>GUALACEO</t>
  </si>
  <si>
    <t>0102821014001</t>
  </si>
  <si>
    <t>FERNANDODELGADO54@YAHOO.COM</t>
  </si>
  <si>
    <t>001-500-000076137</t>
  </si>
  <si>
    <t>EK247200021</t>
  </si>
  <si>
    <t>XIMENA SERPENTEGUI</t>
  </si>
  <si>
    <t>PASEO DEL SOL</t>
  </si>
  <si>
    <t>0101550978</t>
  </si>
  <si>
    <t>XSERPENTEGUI@GMAIL.COM</t>
  </si>
  <si>
    <t>043-903-000029121</t>
  </si>
  <si>
    <t>TP241H05537</t>
  </si>
  <si>
    <t>LORENA VAZQUES</t>
  </si>
  <si>
    <t>VIA PACCHA</t>
  </si>
  <si>
    <t>0104848114</t>
  </si>
  <si>
    <t>GLADYSLORENA32@GMAIL.COM</t>
  </si>
  <si>
    <t>043-903-000092241</t>
  </si>
  <si>
    <t>FIW251P29116</t>
  </si>
  <si>
    <t>MOISES SANAY</t>
  </si>
  <si>
    <t>CRISTOBAL COLON</t>
  </si>
  <si>
    <t>0604624056</t>
  </si>
  <si>
    <t>ROUSZAMBRANO@HOTMAIL.COM</t>
  </si>
  <si>
    <t>AP24050980085</t>
  </si>
  <si>
    <t>XIMENA RUILOVA</t>
  </si>
  <si>
    <t>FILTROOBSTRUIDO SE DA SOLUCION</t>
  </si>
  <si>
    <t>0102311651001</t>
  </si>
  <si>
    <t>XICIRUBLA84@HOTMAIL.COM</t>
  </si>
  <si>
    <t>040-107-000001532</t>
  </si>
  <si>
    <t>043-906-000050121</t>
  </si>
  <si>
    <t>01045005537</t>
  </si>
  <si>
    <t>MARTINF_24@HOTMAIL.COM</t>
  </si>
  <si>
    <t>CO249E00238</t>
  </si>
  <si>
    <t>PX24BR00528</t>
  </si>
  <si>
    <t>JAIME VELESACA</t>
  </si>
  <si>
    <t>006-002-000158018</t>
  </si>
  <si>
    <t>CO249E00076</t>
  </si>
  <si>
    <t>RAUL VINTIMILLA</t>
  </si>
  <si>
    <t>MIRAFLORES</t>
  </si>
  <si>
    <t>0101559599001</t>
  </si>
  <si>
    <t>RAULVINTIMILLA65@GMAIL.COM</t>
  </si>
  <si>
    <t>043-103-000071803</t>
  </si>
  <si>
    <t>ZP246C00147</t>
  </si>
  <si>
    <t>MD24BL0000274</t>
  </si>
  <si>
    <t>PEDRO ALVAREZ</t>
  </si>
  <si>
    <t xml:space="preserve">CARLOS RIGOBERTO </t>
  </si>
  <si>
    <t>JHONHIDALGO1987@GMAIL.COM</t>
  </si>
  <si>
    <t>001-500-000076543</t>
  </si>
  <si>
    <t>ZP242900901</t>
  </si>
  <si>
    <t>TZ256405016</t>
  </si>
  <si>
    <t>011343001800MC24B100055</t>
  </si>
  <si>
    <t>ANDRES VALDEZ</t>
  </si>
  <si>
    <t>171729801-0</t>
  </si>
  <si>
    <t>ANDRES.VALDES86@GMAIL.COM</t>
  </si>
  <si>
    <t>006-000157574</t>
  </si>
  <si>
    <t>ZP24CH01632</t>
  </si>
  <si>
    <t>TP24AF00387</t>
  </si>
  <si>
    <t>TZ24AW24300</t>
  </si>
  <si>
    <t>ADRIAN GALARZA</t>
  </si>
  <si>
    <t>LACASADELSAZONCUENCA@GMAIL.COM</t>
  </si>
  <si>
    <t>LUNA PAZMINO</t>
  </si>
  <si>
    <t>002-201-00004951</t>
  </si>
  <si>
    <t>ZP242N00883</t>
  </si>
  <si>
    <t>TP24A902090</t>
  </si>
  <si>
    <t>TP251W06234</t>
  </si>
  <si>
    <t>ZP212F00022</t>
  </si>
  <si>
    <t>MONICA URDIALES</t>
  </si>
  <si>
    <t>YANAURCO 556</t>
  </si>
  <si>
    <t>SDBDV@HOTMAIL.COM</t>
  </si>
  <si>
    <t>002-201-000011498</t>
  </si>
  <si>
    <t>001-500-000076577</t>
  </si>
  <si>
    <t>006-002-000157787</t>
  </si>
  <si>
    <t>YH248R00099</t>
  </si>
  <si>
    <t>MD24BL000360</t>
  </si>
  <si>
    <t>TKAZC5B060800152501150006</t>
  </si>
  <si>
    <t>ZP24AQ00074</t>
  </si>
  <si>
    <t>TP251U02530</t>
  </si>
  <si>
    <t>TZ24BF12865</t>
  </si>
  <si>
    <t>XIMENA LEON</t>
  </si>
  <si>
    <t>GERENCIA@GESTIONSEGURA.COM.EC</t>
  </si>
  <si>
    <t>TEKA S.A</t>
  </si>
  <si>
    <t>004-010-000005378</t>
  </si>
  <si>
    <t>ZP255900388</t>
  </si>
  <si>
    <t>TP254103584</t>
  </si>
  <si>
    <t>SOLEDAD MORALES</t>
  </si>
  <si>
    <t>EDIFICIO ATLANTDA</t>
  </si>
  <si>
    <t>SOLMORALES2015@HOTMAIL.COM</t>
  </si>
  <si>
    <t>001-018-000071702</t>
  </si>
  <si>
    <t>TP253A00854</t>
  </si>
  <si>
    <t>TZ24BF12864</t>
  </si>
  <si>
    <t>PX243F00018</t>
  </si>
  <si>
    <t>KARL NEWMAN</t>
  </si>
  <si>
    <t>JACARANDA</t>
  </si>
  <si>
    <t>KFNEWMANN@YAHOO.COM</t>
  </si>
  <si>
    <t>003-000024615</t>
  </si>
  <si>
    <t>TZ24AF11501</t>
  </si>
  <si>
    <t>VERONICA ARPI</t>
  </si>
  <si>
    <t>0103933024</t>
  </si>
  <si>
    <t>VEROARPI@HOTMAIL.COM</t>
  </si>
  <si>
    <t>043-907-000030320</t>
  </si>
  <si>
    <t>TP237X01734</t>
  </si>
  <si>
    <t>SONIA JARRIN</t>
  </si>
  <si>
    <t>ROBERTO CRESPO</t>
  </si>
  <si>
    <t>0102469541</t>
  </si>
  <si>
    <t>SONY.JARRIN,DIAZ@HOTMAIL.COM</t>
  </si>
  <si>
    <t>SUPERMAXI</t>
  </si>
  <si>
    <t>242-129-000003698</t>
  </si>
  <si>
    <t>MC234H00025</t>
  </si>
  <si>
    <t>SILVIA PERALTA</t>
  </si>
  <si>
    <t>SAN JOAQUIN</t>
  </si>
  <si>
    <t>0995139439</t>
  </si>
  <si>
    <t>GCORDEROP.28@HOTMAIL.COM</t>
  </si>
  <si>
    <t xml:space="preserve">COMOHOGAR </t>
  </si>
  <si>
    <t>044-013-000025779</t>
  </si>
  <si>
    <t>ZP256000619</t>
  </si>
  <si>
    <t>RAFAEL PALACIOS</t>
  </si>
  <si>
    <t>0102143211</t>
  </si>
  <si>
    <t>MINIHANGQV@HOTMAIL.COM</t>
  </si>
  <si>
    <t>NO INDICA</t>
  </si>
  <si>
    <t>0301613865</t>
  </si>
  <si>
    <t>LOS LAURELES</t>
  </si>
  <si>
    <t>JOSE SERPA</t>
  </si>
  <si>
    <t>ZP235H00248</t>
  </si>
  <si>
    <t>016-906-000101268</t>
  </si>
  <si>
    <t>043-903-000078415</t>
  </si>
  <si>
    <t>TKAZC4141991001</t>
  </si>
  <si>
    <t>DIEGO CEDILLO</t>
  </si>
  <si>
    <t>DE LA VERBENA</t>
  </si>
  <si>
    <t>0102596699</t>
  </si>
  <si>
    <t>DIEGO.CG78@HOTMAIL.COM</t>
  </si>
  <si>
    <t>016-902-000528784</t>
  </si>
  <si>
    <t>ZP252E00011</t>
  </si>
  <si>
    <t>GABRIELA LOJA</t>
  </si>
  <si>
    <t>DE LOS BALCONES Y AMERICAS</t>
  </si>
  <si>
    <t>0151041001</t>
  </si>
  <si>
    <t>GABYLOJA@HOTMAIL.COM</t>
  </si>
  <si>
    <t>SEBASAUQUILLA@GMAIL.COM</t>
  </si>
  <si>
    <t>0105161434</t>
  </si>
  <si>
    <t>REBENQUE Y VIRACOCHABAMBA</t>
  </si>
  <si>
    <t>SEBASTIAN AUQUILLA</t>
  </si>
  <si>
    <t>TP253B03159</t>
  </si>
  <si>
    <t>043-902-000000691</t>
  </si>
  <si>
    <t>001-502-000000448</t>
  </si>
  <si>
    <t>TKAZC4M1990001</t>
  </si>
  <si>
    <t>PRISCILA TORRES</t>
  </si>
  <si>
    <t>0103035097</t>
  </si>
  <si>
    <t>ptorrest@hotmail.com</t>
  </si>
  <si>
    <t>043-907-000030653</t>
  </si>
  <si>
    <t>TP253T05196</t>
  </si>
  <si>
    <t>FELIPE EGUEZ</t>
  </si>
  <si>
    <t>EL CEBOLLAR</t>
  </si>
  <si>
    <t>1711765261</t>
  </si>
  <si>
    <t>ORELLANACONSTRUCTORES@HOTMAIL.COM</t>
  </si>
  <si>
    <t>0195096988001</t>
  </si>
  <si>
    <t xml:space="preserve">RICAURTE  </t>
  </si>
  <si>
    <t>CONSTRUCTORA ORELLANA</t>
  </si>
  <si>
    <t>TP257207333</t>
  </si>
  <si>
    <t>007-007-000035560</t>
  </si>
  <si>
    <t>001-500-000076297</t>
  </si>
  <si>
    <t>TP255607654</t>
  </si>
  <si>
    <t>MIRIAM PALACIOS</t>
  </si>
  <si>
    <t>PAUTE</t>
  </si>
  <si>
    <t>0101304525</t>
  </si>
  <si>
    <t>MARYPAOLA55@HOTMAIL.COM,</t>
  </si>
  <si>
    <t>001-601-000007796</t>
  </si>
  <si>
    <t>TZ246A06356</t>
  </si>
  <si>
    <t>CESAR NARVAEZ</t>
  </si>
  <si>
    <t>0101158939</t>
  </si>
  <si>
    <t>MARTHAMONTENEGRO14@HOTMAIL.COM</t>
  </si>
  <si>
    <t>FIDELIAANOS25@YAHOO.ES</t>
  </si>
  <si>
    <t>LOPE DE VEGA</t>
  </si>
  <si>
    <t>ANDRES CASAJOANA</t>
  </si>
  <si>
    <t>TZ24BK15868</t>
  </si>
  <si>
    <t>001-001-000001212</t>
  </si>
  <si>
    <t>001-500-000076468</t>
  </si>
  <si>
    <t>TZ256302495</t>
  </si>
  <si>
    <t>VALERIA ARGUDO</t>
  </si>
  <si>
    <t>MIGUEL ANGEL ESTRELLA</t>
  </si>
  <si>
    <t>JUBSTSYE@GMAIL.COM</t>
  </si>
  <si>
    <t>024-902-000365906</t>
  </si>
  <si>
    <t>TP246R01831</t>
  </si>
  <si>
    <t>TZ24C507075</t>
  </si>
  <si>
    <t>DALTON BUSTAMANTE</t>
  </si>
  <si>
    <t>CHIMBORAZO Y QUITO</t>
  </si>
  <si>
    <t>DALTON.VICENTE@HOTMAIL.COM</t>
  </si>
  <si>
    <t>001-001-000001257</t>
  </si>
  <si>
    <t>CO249E00352</t>
  </si>
  <si>
    <t>EDIFICO ATLANTIDA</t>
  </si>
  <si>
    <t>0404391713</t>
  </si>
  <si>
    <t>001-500-000075108</t>
  </si>
  <si>
    <t>MW251P29439</t>
  </si>
  <si>
    <t>GLORIA MOLINA</t>
  </si>
  <si>
    <t>VISTA LINDA</t>
  </si>
  <si>
    <t>504-4395</t>
  </si>
  <si>
    <t>ADMINISTRACION@QULMOV.COM.EC</t>
  </si>
  <si>
    <t>TRITURADOR TR 710</t>
  </si>
  <si>
    <t>PAZ REYES CORDERO</t>
  </si>
  <si>
    <t>CAMBIO DE PRODUCTO</t>
  </si>
  <si>
    <t>1802871218</t>
  </si>
  <si>
    <t>GENERADOR ENC 120/240 EW 60</t>
  </si>
  <si>
    <t>ZP239600478</t>
  </si>
  <si>
    <t>HERMEL MASACHE</t>
  </si>
  <si>
    <t>SUSTITUCION DE MODELO DE ENCENCIDO</t>
  </si>
  <si>
    <t>11034466742</t>
  </si>
  <si>
    <t>HERMAGMASACHE@HOTMAIL.COM</t>
  </si>
  <si>
    <t>006-0001562200</t>
  </si>
  <si>
    <t>LAMPARA LED 3W DPL 90 NEGRA</t>
  </si>
  <si>
    <t>PX169P00063</t>
  </si>
  <si>
    <t>LUZ LOJA</t>
  </si>
  <si>
    <t>SUSTITUYE LAMPARAS QUE NO FUNCIONABAN</t>
  </si>
  <si>
    <t>0101384519</t>
  </si>
  <si>
    <t>JJ.ARTEAGA58@GMAIL.COM</t>
  </si>
  <si>
    <t>001-101-000026485</t>
  </si>
  <si>
    <t>PLACA DE POTENCIA I100 IZQUIERDA</t>
  </si>
  <si>
    <t>ZP234MD00339</t>
  </si>
  <si>
    <t>DAVID ASTUDILLO</t>
  </si>
  <si>
    <t>PLACA QUEMADA, SE SUSTITUYE</t>
  </si>
  <si>
    <t>0104706676</t>
  </si>
  <si>
    <t>DAVEASTUD@GMAIL.COM</t>
  </si>
  <si>
    <t>043-903-00000047</t>
  </si>
  <si>
    <t>MOTOR COMPLETO DTH 97670</t>
  </si>
  <si>
    <t>EY47H00054</t>
  </si>
  <si>
    <t>ADRIAN HERAS</t>
  </si>
  <si>
    <t>EL MOTOR NO ENCIEDE Y ES SUSTITUIDO</t>
  </si>
  <si>
    <t>0104435417</t>
  </si>
  <si>
    <t>ADRIANHERAS@ICLOUD.COM</t>
  </si>
  <si>
    <t>006-002-000157453</t>
  </si>
  <si>
    <t>IZF 99700 MST</t>
  </si>
  <si>
    <t>ZP2521300379</t>
  </si>
  <si>
    <t>GABRIELA MALO</t>
  </si>
  <si>
    <t>0103642328</t>
  </si>
  <si>
    <t>GABYMALO@HOTMAIL.COM</t>
  </si>
  <si>
    <t>040-104-000011595</t>
  </si>
  <si>
    <t>TZ247202391</t>
  </si>
  <si>
    <t>EK249200034</t>
  </si>
  <si>
    <t>ZP24CH00684</t>
  </si>
  <si>
    <t>ROSA SERRANO</t>
  </si>
  <si>
    <t>MERCY.ARCE@TEKA.EC</t>
  </si>
  <si>
    <t>004-040-000003038</t>
  </si>
  <si>
    <t>004-040-000002983</t>
  </si>
  <si>
    <t>040-105-000002021</t>
  </si>
  <si>
    <t>CO249E00167</t>
  </si>
  <si>
    <t>SEGUNDO GUAMAN</t>
  </si>
  <si>
    <t>1101091814</t>
  </si>
  <si>
    <t>SEGUNDOGUAMAN65@HOTMAIL.COM</t>
  </si>
  <si>
    <t>043-902-000061233</t>
  </si>
  <si>
    <t>CO249E00791</t>
  </si>
  <si>
    <t>GONZALO PERALTA</t>
  </si>
  <si>
    <t>GIRON</t>
  </si>
  <si>
    <t>0106338502001</t>
  </si>
  <si>
    <t>CERVEZACHAVINAN@GMAIL.COM</t>
  </si>
  <si>
    <t>ZP256400444</t>
  </si>
  <si>
    <t>LUCINDA LEON</t>
  </si>
  <si>
    <t>CALLE LARGA</t>
  </si>
  <si>
    <t>XLULIAN33@GMAIL.COM</t>
  </si>
  <si>
    <t>DON’T.R@HOTMAIL.COM</t>
  </si>
  <si>
    <t>01905096988001</t>
  </si>
  <si>
    <t>0101222104</t>
  </si>
  <si>
    <t>CEREZOS Y HORTENCIAS</t>
  </si>
  <si>
    <t>DANIEL TORAL</t>
  </si>
  <si>
    <t>ZP24AMD00835</t>
  </si>
  <si>
    <t>001-500-00007748</t>
  </si>
  <si>
    <t>001-500-000057023</t>
  </si>
  <si>
    <t>ZP22BG00002</t>
  </si>
  <si>
    <t>MARIBEL VANEGAS</t>
  </si>
  <si>
    <t>LUIS MOSCOSO Y C. CALUELAS</t>
  </si>
  <si>
    <t>0103767612</t>
  </si>
  <si>
    <t>040-104-00000696</t>
  </si>
  <si>
    <t>ZP242M00333</t>
  </si>
  <si>
    <t>TZ24AW24153</t>
  </si>
  <si>
    <t>GABRIELA CORDOVA</t>
  </si>
  <si>
    <t>AV. 12 DE OCTUBRE</t>
  </si>
  <si>
    <t>GABYCO_1993@HOTMAIL.COM</t>
  </si>
  <si>
    <t>SEPTIEMBRE 2025</t>
  </si>
  <si>
    <t>VISITADO /INSTALADO</t>
  </si>
  <si>
    <t>EXHIBICION ALMACEN</t>
  </si>
  <si>
    <t>EXHIBICION ALMACEN REALIZADA</t>
  </si>
  <si>
    <t>VENTAS@COMERCIALSOLIS.COM.EC</t>
  </si>
  <si>
    <t>EXHIBION ALMACEN</t>
  </si>
  <si>
    <t>AV LOJA</t>
  </si>
  <si>
    <t>SE COLCA GENERADOR ENCENDIDO</t>
  </si>
  <si>
    <t>EL VALLE</t>
  </si>
  <si>
    <t>SE CAMBIA LUCES</t>
  </si>
  <si>
    <t>JARDINES BELLAVISTA</t>
  </si>
  <si>
    <t>SE CAMBIA PLACA DE POTENCIA</t>
  </si>
  <si>
    <t>SUPER STOCK AV AMERICAS</t>
  </si>
  <si>
    <t>SE REPARA OBSTRUCCION DE FILTROS</t>
  </si>
  <si>
    <t>COMERCILA SOLIS</t>
  </si>
  <si>
    <t>CAMBIO DE PRODUCTO ENTREGA TRITURADOR</t>
  </si>
  <si>
    <t>BATAM SHOPING REMIGIO CRESPO</t>
  </si>
  <si>
    <t>COLOCA EL MOTOR NUEVO</t>
  </si>
  <si>
    <t>CAMBIO PRODUCTO ENCIMERA INDUCCION</t>
  </si>
  <si>
    <t>EXHIBION REALIZADA ALMACEN</t>
  </si>
  <si>
    <t>PRADO ALTO 2</t>
  </si>
  <si>
    <t>001-001-000001258</t>
  </si>
  <si>
    <t>TZ2566015797</t>
  </si>
  <si>
    <t>MD2555007884</t>
  </si>
  <si>
    <t>SUSANA BROW</t>
  </si>
  <si>
    <t>EDIFICIO ROSENTAL</t>
  </si>
  <si>
    <t>RSNS.BROWN@GMAIL.COM</t>
  </si>
  <si>
    <t>001-500-000076519</t>
  </si>
  <si>
    <t>TP251N03950</t>
  </si>
  <si>
    <t>TZ247H16123</t>
  </si>
  <si>
    <t>ZP252H00756</t>
  </si>
  <si>
    <t>KHATERINE MARSHALL</t>
  </si>
  <si>
    <t>949 2334182</t>
  </si>
  <si>
    <t>LANEPOWELL03@GMAIL.COM</t>
  </si>
  <si>
    <t>040-103-000006516</t>
  </si>
  <si>
    <t>TZ244519301</t>
  </si>
  <si>
    <t>MARCO DEBLOUS</t>
  </si>
  <si>
    <t>PLAZA DEL PARQUE</t>
  </si>
  <si>
    <t>M.A.DEBLOIS@HOTMAIL.COM</t>
  </si>
  <si>
    <t>ZP241B00498</t>
  </si>
  <si>
    <t>006-002-000156940</t>
  </si>
  <si>
    <t>ZP246R00458</t>
  </si>
  <si>
    <t>TZ245229159</t>
  </si>
  <si>
    <t>TP243R02032</t>
  </si>
  <si>
    <t>PX20AF00388</t>
  </si>
  <si>
    <t>LORENA QUEZADA</t>
  </si>
  <si>
    <t>ANTON DE SEVILLA</t>
  </si>
  <si>
    <t>J-VERAZORA@HOTMAIL.COM</t>
  </si>
  <si>
    <t>001-500-000076849</t>
  </si>
  <si>
    <t>ZP252H00814</t>
  </si>
  <si>
    <t>TP255E06400</t>
  </si>
  <si>
    <t>TZ246A063861</t>
  </si>
  <si>
    <t>EK24AV00046</t>
  </si>
  <si>
    <t>DIANA SANCHEZ</t>
  </si>
  <si>
    <t>CHARLES DARWIN</t>
  </si>
  <si>
    <t>ADRICNBALAREZO8@GMAIL.COM</t>
  </si>
  <si>
    <t>001-500-000074247</t>
  </si>
  <si>
    <t>TZ252752501</t>
  </si>
  <si>
    <t>TP249900067</t>
  </si>
  <si>
    <t>NORMA LOJANO</t>
  </si>
  <si>
    <t>FRAY LUIS DE LEY</t>
  </si>
  <si>
    <t>LOJANONORMA8@GMAIL.COM</t>
  </si>
  <si>
    <t>001-500-000065593</t>
  </si>
  <si>
    <t>TZ235J17513</t>
  </si>
  <si>
    <t>ZP241WW196</t>
  </si>
  <si>
    <t>PX217W00178</t>
  </si>
  <si>
    <t>MD22B200484</t>
  </si>
  <si>
    <t>RAFAEL SUCOSHANAY</t>
  </si>
  <si>
    <t>ALFONSO MORENO MORA</t>
  </si>
  <si>
    <t>ELIZ.ECO.122@GMAIL.COM</t>
  </si>
  <si>
    <t>016-907-000270410</t>
  </si>
  <si>
    <t>TP254P02218</t>
  </si>
  <si>
    <t>PABLO QUIZPI</t>
  </si>
  <si>
    <t>MONAY</t>
  </si>
  <si>
    <t>0987593514</t>
  </si>
  <si>
    <t>0102929418@GMAIL.COM</t>
  </si>
  <si>
    <t>001-500-000074556</t>
  </si>
  <si>
    <t>EK24BL00009</t>
  </si>
  <si>
    <t>JUAN PINTADO</t>
  </si>
  <si>
    <t>QUINTA CHICA</t>
  </si>
  <si>
    <t>0969226813</t>
  </si>
  <si>
    <t>JUANPPINTADO@GMAIL.COM</t>
  </si>
  <si>
    <t>CLAUDIO2564@HOTMAIL.COM</t>
  </si>
  <si>
    <t>001-500-000076827</t>
  </si>
  <si>
    <t>TP255W12787</t>
  </si>
  <si>
    <t>JAIME GUNCAY</t>
  </si>
  <si>
    <t>0994419701</t>
  </si>
  <si>
    <t>COMERCIAL KYWI</t>
  </si>
  <si>
    <t>043-903-00009416</t>
  </si>
  <si>
    <t>240115AF1235</t>
  </si>
  <si>
    <t>BOLIVAR BARROS</t>
  </si>
  <si>
    <t>LUIS MORENO 4 20</t>
  </si>
  <si>
    <t>072884371</t>
  </si>
  <si>
    <t>BARROS.ARIZAGA@GMAIL.COM</t>
  </si>
  <si>
    <t>016-907-000270719</t>
  </si>
  <si>
    <t>TP24AR07851</t>
  </si>
  <si>
    <t>NARCISA REYES</t>
  </si>
  <si>
    <t>MANUEL ARTURO CISNEROS</t>
  </si>
  <si>
    <t>0999357222</t>
  </si>
  <si>
    <t>NACHIREYES@ICLOUD.COM</t>
  </si>
  <si>
    <t>043-903-000091392</t>
  </si>
  <si>
    <t>ZP255P00684</t>
  </si>
  <si>
    <t>GLADIS LLIVICHUZCA</t>
  </si>
  <si>
    <t>CHILCAPAMBA</t>
  </si>
  <si>
    <t>0987618036</t>
  </si>
  <si>
    <t>FD8964@GMAIL.COM</t>
  </si>
  <si>
    <t>ZP231400041</t>
  </si>
  <si>
    <t>EDUARDO BACULIMA</t>
  </si>
  <si>
    <t>SE TRABA PARRILLAS DE INDUCCION, SE SOLUCIONA</t>
  </si>
  <si>
    <t>0101059611</t>
  </si>
  <si>
    <t>CECIOLIVARES24@GMAIL.COM</t>
  </si>
  <si>
    <t>102-109-000025849</t>
  </si>
  <si>
    <t>ARMADO</t>
  </si>
  <si>
    <t>TRITURADOR</t>
  </si>
  <si>
    <t>EXTRACTOR TRADICIONAL</t>
  </si>
  <si>
    <t>EXTRACTOR DECORATIVA/ISLA</t>
  </si>
  <si>
    <t>T.GONZALES@ICLOUD.COM</t>
  </si>
  <si>
    <t>Al 18 De Septiembre 2025</t>
  </si>
  <si>
    <t>043-902-000061561</t>
  </si>
  <si>
    <t>ZP255700682</t>
  </si>
  <si>
    <t>JESSICA AREVALO</t>
  </si>
  <si>
    <t>RICAURTE</t>
  </si>
  <si>
    <t>0981261921</t>
  </si>
  <si>
    <t>PEM_FLACK15@HOTMAIL.COM</t>
  </si>
  <si>
    <t>001-500-000076819</t>
  </si>
  <si>
    <t>ZP253T00066</t>
  </si>
  <si>
    <t>TZ256302525</t>
  </si>
  <si>
    <t>KARINA ORELLANA</t>
  </si>
  <si>
    <t>CALLE UNION SOVIETICA</t>
  </si>
  <si>
    <t>KARINAORELLANA0122@GMAIL.COM</t>
  </si>
  <si>
    <t>001-500-000073781</t>
  </si>
  <si>
    <t>TZ243T28462</t>
  </si>
  <si>
    <t>ZP255000151</t>
  </si>
  <si>
    <t>JOSE ASTUDILLO</t>
  </si>
  <si>
    <t>JOSE.ASTUDILLO16@HOTMAIL.COM</t>
  </si>
  <si>
    <t>043-901-000026899</t>
  </si>
  <si>
    <t>ZP255P00580</t>
  </si>
  <si>
    <t>GLADYS LOPEZ</t>
  </si>
  <si>
    <t>JUAN INIGUEZ Y REMIGIO CRESPO</t>
  </si>
  <si>
    <t>CO249E00203</t>
  </si>
  <si>
    <t>ZP255900221</t>
  </si>
  <si>
    <t>COLOCACION PULSADOR ENCENDIDIO</t>
  </si>
  <si>
    <t>COLOCACION MANDO</t>
  </si>
  <si>
    <t>0103642708</t>
  </si>
  <si>
    <t>COLOCAR</t>
  </si>
  <si>
    <t>18.9/25</t>
  </si>
  <si>
    <t>COMERCIAL SOLIS (DORIS CHICAIZA)</t>
  </si>
  <si>
    <t>LAMAR</t>
  </si>
  <si>
    <t>TRABAJO POR SOLICITUD DIRECTA ALMACEN</t>
  </si>
  <si>
    <t>001-500-000076953</t>
  </si>
  <si>
    <t>EK24BL00028</t>
  </si>
  <si>
    <t>TZ255W27181</t>
  </si>
  <si>
    <t>LUIS VELAZCO</t>
  </si>
  <si>
    <t>SILENTTODO@GMAIL.COM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</si>
  <si>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</si>
  <si>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ALMACENES ESPANA</t>
  </si>
  <si>
    <t>JUAN ANDRDE</t>
  </si>
  <si>
    <t>JUANXAG@GMAIL.COM</t>
  </si>
  <si>
    <t>Clientes Visitados al 18 de SEPTIEMBRE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</si>
</sst>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dd\-mm\-yy;@"/>
    <numFmt numFmtId="167" formatCode="_-* #,##0.00_-;\-* #,##0.00_-;_-* &quot;-&quot;??_-;_-@_-"/>
    <numFmt numFmtId="168" formatCode="_-* #,##0.00\ _€_-;\-* #,##0.00\ _€_-;_-* &quot;-&quot;??\ _€_-;_-@_-"/>
    <numFmt numFmtId="169" formatCode="_(&quot;$&quot;\ * #,##0.00_);_(&quot;$&quot;\ * \(#,##0.00\);_(&quot;$&quot;\ * &quot;-&quot;??_);_(@_)"/>
  </numFmts>
  <fonts count="93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Calibri"/>
      <family val="2"/>
    </font>
    <font>
      <sz val="15"/>
      <color theme="1"/>
      <name val="Calibri"/>
      <family val="2"/>
    </font>
    <font>
      <sz val="15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sz val="16"/>
      <name val="Calibri"/>
      <family val="2"/>
    </font>
    <font>
      <sz val="15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indexed="8"/>
      <name val="Aptos Narrow"/>
      <scheme val="minor"/>
    </font>
    <font>
      <sz val="14"/>
      <color theme="1"/>
      <name val="Aptos Narrow"/>
      <scheme val="minor"/>
    </font>
    <font>
      <sz val="14"/>
      <color indexed="8"/>
      <name val="Aptos Narrow"/>
      <scheme val="minor"/>
    </font>
    <font>
      <sz val="13"/>
      <color rgb="FF1D2228"/>
      <name val="Gothic sans-serif"/>
      <charset val="1"/>
    </font>
    <font>
      <sz val="13"/>
      <color rgb="FF1D2228"/>
      <name val="Arial"/>
      <family val="2"/>
    </font>
    <font>
      <sz val="10"/>
      <color rgb="FF1D2228"/>
      <name val="Arial"/>
      <family val="2"/>
    </font>
    <font>
      <b/>
      <sz val="13"/>
      <color rgb="FF1D2228"/>
      <name val="Gothic sans-serif"/>
      <charset val="1"/>
    </font>
    <font>
      <b/>
      <sz val="13"/>
      <color rgb="FF000000"/>
      <name val="Calibri"/>
      <family val="2"/>
    </font>
    <font>
      <sz val="16"/>
      <color indexed="8"/>
      <name val="Calibri"/>
      <family val="2"/>
    </font>
    <font>
      <sz val="16"/>
      <color theme="1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indexed="8"/>
      <name val="Calibri"/>
      <family val="2"/>
    </font>
    <font>
      <u/>
      <sz val="14"/>
      <color theme="4"/>
      <name val="Calibri"/>
      <family val="2"/>
    </font>
    <font>
      <sz val="14"/>
      <color rgb="FF000000"/>
      <name val="Calibri"/>
      <family val="2"/>
    </font>
    <font>
      <u/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u/>
      <sz val="14"/>
      <color rgb="FF156082"/>
      <name val="Calibri"/>
      <family val="2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Aptos Narrow"/>
      <scheme val="minor"/>
    </font>
    <font>
      <u/>
      <sz val="14"/>
      <color theme="1"/>
      <name val="Aptos Narrow"/>
      <scheme val="minor"/>
    </font>
    <font>
      <sz val="15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FF"/>
        <bgColor rgb="FFDAF2D0"/>
      </patternFill>
    </fill>
    <fill>
      <patternFill patternType="solid">
        <fgColor theme="0"/>
        <bgColor rgb="FF000000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127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0" fillId="0" borderId="0"/>
    <xf numFmtId="168" fontId="8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50" fillId="0" borderId="0"/>
    <xf numFmtId="0" fontId="50" fillId="5" borderId="0">
      <alignment horizontal="left"/>
    </xf>
    <xf numFmtId="0" fontId="80" fillId="0" borderId="0"/>
    <xf numFmtId="0" fontId="80" fillId="0" borderId="0"/>
    <xf numFmtId="0" fontId="27" fillId="0" borderId="0" applyNumberFormat="0" applyFill="0" applyBorder="0" applyAlignment="0" applyProtection="0"/>
    <xf numFmtId="0" fontId="21" fillId="0" borderId="0"/>
    <xf numFmtId="0" fontId="80" fillId="0" borderId="0"/>
    <xf numFmtId="43" fontId="21" fillId="0" borderId="0" applyFont="0" applyFill="0" applyBorder="0" applyAlignment="0" applyProtection="0"/>
    <xf numFmtId="0" fontId="50" fillId="0" borderId="0"/>
    <xf numFmtId="43" fontId="21" fillId="0" borderId="0" applyFont="0" applyFill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3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5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6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7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8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19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0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1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2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3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4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5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6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8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29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80" fillId="30" borderId="0" applyNumberFormat="0" applyBorder="0" applyAlignment="0" applyProtection="0"/>
    <xf numFmtId="0" fontId="5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54" fillId="0" borderId="0" applyBorder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168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167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169" fontId="55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44" fontId="80" fillId="0" borderId="0" applyFont="0" applyFill="0" applyBorder="0" applyAlignment="0" applyProtection="0"/>
    <xf numFmtId="0" fontId="56" fillId="0" borderId="0"/>
    <xf numFmtId="0" fontId="8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0" fillId="0" borderId="0"/>
    <xf numFmtId="0" fontId="80" fillId="0" borderId="0"/>
    <xf numFmtId="0" fontId="2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1" fillId="0" borderId="0"/>
    <xf numFmtId="0" fontId="57" fillId="0" borderId="0"/>
    <xf numFmtId="0" fontId="5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58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59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58" fillId="0" borderId="0"/>
    <xf numFmtId="0" fontId="21" fillId="0" borderId="0"/>
    <xf numFmtId="0" fontId="56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56" fillId="0" borderId="0"/>
    <xf numFmtId="0" fontId="58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60" fillId="0" borderId="0"/>
    <xf numFmtId="0" fontId="50" fillId="5" borderId="0">
      <alignment horizontal="left"/>
    </xf>
    <xf numFmtId="0" fontId="6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80" fillId="31" borderId="23" applyNumberFormat="0" applyFont="0" applyAlignment="0" applyProtection="0"/>
    <xf numFmtId="0" fontId="61" fillId="0" borderId="0"/>
    <xf numFmtId="0" fontId="62" fillId="0" borderId="0"/>
    <xf numFmtId="0" fontId="63" fillId="0" borderId="0"/>
    <xf numFmtId="0" fontId="80" fillId="13" borderId="0" applyNumberFormat="0" applyBorder="0" applyAlignment="0" applyProtection="0"/>
    <xf numFmtId="0" fontId="80" fillId="14" borderId="0" applyNumberFormat="0" applyBorder="0" applyAlignment="0" applyProtection="0"/>
    <xf numFmtId="0" fontId="80" fillId="15" borderId="0" applyNumberFormat="0" applyBorder="0" applyAlignment="0" applyProtection="0"/>
    <xf numFmtId="0" fontId="80" fillId="16" borderId="0" applyNumberFormat="0" applyBorder="0" applyAlignment="0" applyProtection="0"/>
    <xf numFmtId="0" fontId="80" fillId="17" borderId="0" applyNumberFormat="0" applyBorder="0" applyAlignment="0" applyProtection="0"/>
    <xf numFmtId="0" fontId="80" fillId="18" borderId="0" applyNumberFormat="0" applyBorder="0" applyAlignment="0" applyProtection="0"/>
    <xf numFmtId="0" fontId="80" fillId="19" borderId="0" applyNumberFormat="0" applyBorder="0" applyAlignment="0" applyProtection="0"/>
    <xf numFmtId="0" fontId="80" fillId="20" borderId="0" applyNumberFormat="0" applyBorder="0" applyAlignment="0" applyProtection="0"/>
    <xf numFmtId="0" fontId="80" fillId="21" borderId="0" applyNumberFormat="0" applyBorder="0" applyAlignment="0" applyProtection="0"/>
    <xf numFmtId="0" fontId="80" fillId="22" borderId="0" applyNumberFormat="0" applyBorder="0" applyAlignment="0" applyProtection="0"/>
    <xf numFmtId="0" fontId="80" fillId="23" borderId="0" applyNumberFormat="0" applyBorder="0" applyAlignment="0" applyProtection="0"/>
    <xf numFmtId="0" fontId="80" fillId="24" borderId="0" applyNumberFormat="0" applyBorder="0" applyAlignment="0" applyProtection="0"/>
    <xf numFmtId="0" fontId="80" fillId="25" borderId="0" applyNumberFormat="0" applyBorder="0" applyAlignment="0" applyProtection="0"/>
    <xf numFmtId="0" fontId="80" fillId="26" borderId="0" applyNumberFormat="0" applyBorder="0" applyAlignment="0" applyProtection="0"/>
    <xf numFmtId="0" fontId="80" fillId="27" borderId="0" applyNumberFormat="0" applyBorder="0" applyAlignment="0" applyProtection="0"/>
    <xf numFmtId="0" fontId="80" fillId="28" borderId="0" applyNumberFormat="0" applyBorder="0" applyAlignment="0" applyProtection="0"/>
    <xf numFmtId="0" fontId="80" fillId="29" borderId="0" applyNumberFormat="0" applyBorder="0" applyAlignment="0" applyProtection="0"/>
    <xf numFmtId="0" fontId="80" fillId="30" borderId="0" applyNumberFormat="0" applyBorder="0" applyAlignment="0" applyProtection="0"/>
    <xf numFmtId="0" fontId="64" fillId="32" borderId="0" applyNumberFormat="0" applyBorder="0" applyAlignment="0" applyProtection="0"/>
    <xf numFmtId="0" fontId="65" fillId="33" borderId="24" applyNumberFormat="0" applyAlignment="0" applyProtection="0"/>
    <xf numFmtId="0" fontId="66" fillId="34" borderId="25" applyNumberFormat="0" applyAlignment="0" applyProtection="0"/>
    <xf numFmtId="0" fontId="67" fillId="0" borderId="26" applyNumberFormat="0" applyFill="0" applyAlignment="0" applyProtection="0"/>
    <xf numFmtId="0" fontId="68" fillId="0" borderId="27" applyNumberFormat="0" applyFill="0" applyAlignment="0" applyProtection="0"/>
    <xf numFmtId="0" fontId="69" fillId="0" borderId="0" applyNumberFormat="0" applyFill="0" applyBorder="0" applyAlignment="0" applyProtection="0"/>
    <xf numFmtId="0" fontId="70" fillId="35" borderId="0" applyNumberFormat="0" applyBorder="0" applyAlignment="0" applyProtection="0"/>
    <xf numFmtId="0" fontId="70" fillId="36" borderId="0" applyNumberFormat="0" applyBorder="0" applyAlignment="0" applyProtection="0"/>
    <xf numFmtId="0" fontId="70" fillId="37" borderId="0" applyNumberFormat="0" applyBorder="0" applyAlignment="0" applyProtection="0"/>
    <xf numFmtId="0" fontId="70" fillId="38" borderId="0" applyNumberFormat="0" applyBorder="0" applyAlignment="0" applyProtection="0"/>
    <xf numFmtId="0" fontId="70" fillId="39" borderId="0" applyNumberFormat="0" applyBorder="0" applyAlignment="0" applyProtection="0"/>
    <xf numFmtId="0" fontId="70" fillId="40" borderId="0" applyNumberFormat="0" applyBorder="0" applyAlignment="0" applyProtection="0"/>
    <xf numFmtId="0" fontId="71" fillId="41" borderId="24" applyNumberFormat="0" applyAlignment="0" applyProtection="0"/>
    <xf numFmtId="0" fontId="72" fillId="42" borderId="0" applyNumberFormat="0" applyBorder="0" applyAlignment="0" applyProtection="0"/>
    <xf numFmtId="0" fontId="73" fillId="43" borderId="0" applyNumberFormat="0" applyBorder="0" applyAlignment="0" applyProtection="0"/>
    <xf numFmtId="0" fontId="80" fillId="31" borderId="23" applyNumberFormat="0" applyFont="0" applyAlignment="0" applyProtection="0"/>
    <xf numFmtId="0" fontId="74" fillId="33" borderId="28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29" applyNumberFormat="0" applyFill="0" applyAlignment="0" applyProtection="0"/>
    <xf numFmtId="0" fontId="69" fillId="0" borderId="30" applyNumberFormat="0" applyFill="0" applyAlignment="0" applyProtection="0"/>
    <xf numFmtId="0" fontId="79" fillId="0" borderId="31" applyNumberFormat="0" applyFill="0" applyAlignment="0" applyProtection="0"/>
  </cellStyleXfs>
  <cellXfs count="2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" fontId="0" fillId="0" borderId="0" xfId="0" applyNumberForma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4" fontId="6" fillId="2" borderId="0" xfId="0" applyNumberFormat="1" applyFont="1" applyFill="1" applyAlignment="1">
      <alignment horizontal="right"/>
    </xf>
    <xf numFmtId="1" fontId="5" fillId="2" borderId="0" xfId="0" applyNumberFormat="1" applyFont="1" applyFill="1" applyAlignment="1">
      <alignment horizontal="left"/>
    </xf>
    <xf numFmtId="0" fontId="7" fillId="0" borderId="0" xfId="1" applyAlignment="1">
      <alignment horizontal="right"/>
    </xf>
    <xf numFmtId="4" fontId="8" fillId="0" borderId="0" xfId="2" applyNumberFormat="1" applyFont="1" applyAlignment="1">
      <alignment horizontal="left"/>
    </xf>
    <xf numFmtId="0" fontId="9" fillId="0" borderId="0" xfId="2" applyFont="1" applyAlignment="1">
      <alignment horizontal="left"/>
    </xf>
    <xf numFmtId="0" fontId="10" fillId="0" borderId="0" xfId="2" applyFont="1" applyAlignment="1">
      <alignment vertical="center"/>
    </xf>
    <xf numFmtId="0" fontId="9" fillId="0" borderId="0" xfId="2" applyFont="1"/>
    <xf numFmtId="2" fontId="11" fillId="0" borderId="0" xfId="2" applyNumberFormat="1" applyFont="1" applyAlignment="1">
      <alignment horizontal="left"/>
    </xf>
    <xf numFmtId="0" fontId="12" fillId="0" borderId="0" xfId="1" applyFont="1"/>
    <xf numFmtId="0" fontId="13" fillId="0" borderId="0" xfId="1" applyFont="1"/>
    <xf numFmtId="4" fontId="12" fillId="0" borderId="0" xfId="1" applyNumberFormat="1" applyFont="1" applyAlignment="1">
      <alignment horizontal="right"/>
    </xf>
    <xf numFmtId="1" fontId="14" fillId="0" borderId="0" xfId="1" applyNumberFormat="1" applyFont="1"/>
    <xf numFmtId="0" fontId="7" fillId="0" borderId="0" xfId="1"/>
    <xf numFmtId="4" fontId="8" fillId="0" borderId="0" xfId="2" applyNumberFormat="1" applyFont="1" applyAlignment="1">
      <alignment horizontal="left" vertical="center"/>
    </xf>
    <xf numFmtId="0" fontId="11" fillId="0" borderId="0" xfId="2" applyFont="1" applyAlignment="1">
      <alignment horizontal="left"/>
    </xf>
    <xf numFmtId="0" fontId="11" fillId="0" borderId="0" xfId="2" applyFont="1"/>
    <xf numFmtId="164" fontId="15" fillId="0" borderId="2" xfId="3" applyNumberFormat="1" applyFont="1" applyBorder="1" applyAlignment="1">
      <alignment horizontal="left"/>
    </xf>
    <xf numFmtId="0" fontId="15" fillId="0" borderId="3" xfId="3" applyFont="1" applyBorder="1" applyAlignment="1">
      <alignment horizontal="left"/>
    </xf>
    <xf numFmtId="0" fontId="16" fillId="0" borderId="3" xfId="3" applyFont="1" applyBorder="1" applyAlignment="1">
      <alignment horizontal="left"/>
    </xf>
    <xf numFmtId="0" fontId="17" fillId="0" borderId="3" xfId="3" applyFont="1" applyBorder="1" applyAlignment="1">
      <alignment horizontal="left"/>
    </xf>
    <xf numFmtId="0" fontId="18" fillId="0" borderId="3" xfId="3" applyFont="1" applyBorder="1" applyAlignment="1">
      <alignment horizontal="left" wrapText="1" readingOrder="1"/>
    </xf>
    <xf numFmtId="0" fontId="17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 wrapText="1"/>
    </xf>
    <xf numFmtId="0" fontId="19" fillId="0" borderId="3" xfId="3" applyFont="1" applyBorder="1" applyAlignment="1">
      <alignment horizontal="left"/>
    </xf>
    <xf numFmtId="17" fontId="20" fillId="0" borderId="3" xfId="3" applyNumberFormat="1" applyFont="1" applyBorder="1" applyAlignment="1">
      <alignment horizontal="left"/>
    </xf>
    <xf numFmtId="0" fontId="21" fillId="0" borderId="3" xfId="3" applyFont="1" applyBorder="1" applyAlignment="1">
      <alignment horizontal="left"/>
    </xf>
    <xf numFmtId="49" fontId="22" fillId="0" borderId="4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4" fillId="0" borderId="0" xfId="0" applyNumberFormat="1" applyFont="1"/>
    <xf numFmtId="164" fontId="15" fillId="0" borderId="5" xfId="3" applyNumberFormat="1" applyFont="1" applyBorder="1" applyAlignment="1">
      <alignment horizontal="left"/>
    </xf>
    <xf numFmtId="0" fontId="15" fillId="0" borderId="0" xfId="3" applyFont="1" applyAlignment="1">
      <alignment horizontal="left"/>
    </xf>
    <xf numFmtId="0" fontId="16" fillId="0" borderId="0" xfId="3" applyFont="1" applyAlignment="1">
      <alignment horizontal="left"/>
    </xf>
    <xf numFmtId="0" fontId="16" fillId="0" borderId="6" xfId="3" applyFont="1" applyBorder="1" applyAlignment="1">
      <alignment horizontal="left"/>
    </xf>
    <xf numFmtId="164" fontId="15" fillId="0" borderId="7" xfId="3" applyNumberFormat="1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6" fillId="0" borderId="0" xfId="0" applyFont="1"/>
    <xf numFmtId="0" fontId="23" fillId="3" borderId="10" xfId="4" applyFont="1" applyFill="1" applyBorder="1" applyAlignment="1">
      <alignment horizontal="left" wrapText="1"/>
    </xf>
    <xf numFmtId="0" fontId="23" fillId="3" borderId="10" xfId="4" applyFont="1" applyFill="1" applyBorder="1" applyAlignment="1">
      <alignment horizontal="left"/>
    </xf>
    <xf numFmtId="4" fontId="23" fillId="3" borderId="10" xfId="4" applyNumberFormat="1" applyFont="1" applyFill="1" applyBorder="1" applyAlignment="1">
      <alignment horizontal="left" wrapText="1"/>
    </xf>
    <xf numFmtId="1" fontId="23" fillId="3" borderId="10" xfId="4" applyNumberFormat="1" applyFont="1" applyFill="1" applyBorder="1" applyAlignment="1">
      <alignment horizontal="center" wrapText="1"/>
    </xf>
    <xf numFmtId="0" fontId="23" fillId="3" borderId="10" xfId="0" applyFont="1" applyFill="1" applyBorder="1" applyAlignment="1">
      <alignment horizontal="left" vertical="center" wrapText="1"/>
    </xf>
    <xf numFmtId="0" fontId="24" fillId="0" borderId="0" xfId="0" applyFont="1"/>
    <xf numFmtId="14" fontId="15" fillId="4" borderId="11" xfId="5" applyNumberFormat="1" applyFont="1" applyFill="1" applyBorder="1" applyAlignment="1">
      <alignment vertical="center" wrapText="1"/>
    </xf>
    <xf numFmtId="14" fontId="15" fillId="4" borderId="11" xfId="5" applyNumberFormat="1" applyFont="1" applyFill="1" applyBorder="1" applyAlignment="1">
      <alignment horizontal="left" vertical="center" wrapText="1"/>
    </xf>
    <xf numFmtId="0" fontId="15" fillId="4" borderId="11" xfId="5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left" vertical="center" wrapText="1"/>
    </xf>
    <xf numFmtId="0" fontId="25" fillId="4" borderId="1" xfId="5" applyFont="1" applyFill="1" applyBorder="1" applyAlignment="1">
      <alignment horizontal="left" vertical="center" wrapText="1"/>
    </xf>
    <xf numFmtId="0" fontId="26" fillId="0" borderId="12" xfId="5" applyFont="1" applyBorder="1" applyAlignment="1">
      <alignment horizontal="left" vertical="center" wrapText="1"/>
    </xf>
    <xf numFmtId="0" fontId="15" fillId="4" borderId="11" xfId="5" applyFont="1" applyFill="1" applyBorder="1" applyAlignment="1">
      <alignment horizontal="left" vertical="center" wrapText="1"/>
    </xf>
    <xf numFmtId="1" fontId="15" fillId="4" borderId="11" xfId="6" quotePrefix="1" applyNumberFormat="1" applyFont="1" applyFill="1" applyBorder="1" applyAlignment="1">
      <alignment horizontal="left" vertical="center"/>
    </xf>
    <xf numFmtId="43" fontId="15" fillId="4" borderId="11" xfId="7" applyFont="1" applyFill="1" applyBorder="1" applyAlignment="1">
      <alignment vertical="center"/>
    </xf>
    <xf numFmtId="49" fontId="15" fillId="4" borderId="11" xfId="7" applyNumberFormat="1" applyFont="1" applyFill="1" applyBorder="1" applyAlignment="1">
      <alignment horizontal="center" vertical="center"/>
    </xf>
    <xf numFmtId="43" fontId="27" fillId="4" borderId="13" xfId="8" applyNumberFormat="1" applyFill="1" applyBorder="1" applyAlignment="1">
      <alignment horizontal="left" vertical="center"/>
    </xf>
    <xf numFmtId="0" fontId="24" fillId="4" borderId="10" xfId="0" applyFont="1" applyFill="1" applyBorder="1" applyAlignment="1">
      <alignment vertical="center"/>
    </xf>
    <xf numFmtId="43" fontId="0" fillId="0" borderId="0" xfId="0" applyNumberFormat="1"/>
    <xf numFmtId="0" fontId="28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4" fontId="30" fillId="0" borderId="0" xfId="0" applyNumberFormat="1" applyFont="1"/>
    <xf numFmtId="0" fontId="15" fillId="0" borderId="0" xfId="0" applyFont="1" applyAlignment="1">
      <alignment horizontal="left" vertical="center"/>
    </xf>
    <xf numFmtId="2" fontId="28" fillId="0" borderId="0" xfId="0" applyNumberFormat="1" applyFont="1" applyAlignment="1">
      <alignment horizontal="left"/>
    </xf>
    <xf numFmtId="0" fontId="31" fillId="0" borderId="0" xfId="0" applyFont="1"/>
    <xf numFmtId="49" fontId="31" fillId="0" borderId="0" xfId="0" applyNumberFormat="1" applyFont="1" applyAlignment="1">
      <alignment horizontal="left"/>
    </xf>
    <xf numFmtId="1" fontId="28" fillId="0" borderId="0" xfId="0" applyNumberFormat="1" applyFont="1"/>
    <xf numFmtId="2" fontId="31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32" fillId="0" borderId="0" xfId="9" applyFont="1"/>
    <xf numFmtId="0" fontId="33" fillId="5" borderId="0" xfId="10" applyFont="1" applyAlignment="1">
      <alignment horizontal="center" vertical="center"/>
    </xf>
    <xf numFmtId="1" fontId="33" fillId="5" borderId="0" xfId="10" applyNumberFormat="1" applyFont="1" applyAlignment="1">
      <alignment horizontal="right" vertical="center"/>
    </xf>
    <xf numFmtId="1" fontId="33" fillId="5" borderId="0" xfId="10" applyNumberFormat="1" applyFont="1" applyAlignment="1">
      <alignment horizontal="center" vertical="center"/>
    </xf>
    <xf numFmtId="2" fontId="33" fillId="5" borderId="0" xfId="10" applyNumberFormat="1" applyFont="1" applyAlignment="1">
      <alignment vertical="center"/>
    </xf>
    <xf numFmtId="49" fontId="28" fillId="0" borderId="0" xfId="0" quotePrefix="1" applyNumberFormat="1" applyFont="1"/>
    <xf numFmtId="17" fontId="31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34" fillId="6" borderId="10" xfId="0" applyFont="1" applyFill="1" applyBorder="1" applyAlignment="1">
      <alignment horizontal="center" vertical="center" wrapText="1"/>
    </xf>
    <xf numFmtId="0" fontId="34" fillId="7" borderId="10" xfId="0" applyFont="1" applyFill="1" applyBorder="1" applyAlignment="1">
      <alignment horizontal="center" vertical="center" wrapText="1"/>
    </xf>
    <xf numFmtId="1" fontId="34" fillId="6" borderId="10" xfId="0" applyNumberFormat="1" applyFont="1" applyFill="1" applyBorder="1" applyAlignment="1">
      <alignment horizontal="center" vertical="center" wrapText="1"/>
    </xf>
    <xf numFmtId="2" fontId="34" fillId="6" borderId="10" xfId="0" applyNumberFormat="1" applyFont="1" applyFill="1" applyBorder="1" applyAlignment="1">
      <alignment horizontal="center" vertical="center" wrapText="1"/>
    </xf>
    <xf numFmtId="0" fontId="27" fillId="4" borderId="11" xfId="8" applyNumberFormat="1" applyFill="1" applyBorder="1" applyAlignment="1">
      <alignment horizontal="left" vertical="center"/>
    </xf>
    <xf numFmtId="2" fontId="0" fillId="0" borderId="0" xfId="0" applyNumberFormat="1"/>
    <xf numFmtId="0" fontId="35" fillId="0" borderId="0" xfId="14" applyFont="1"/>
    <xf numFmtId="0" fontId="80" fillId="0" borderId="0" xfId="15"/>
    <xf numFmtId="4" fontId="30" fillId="0" borderId="0" xfId="15" applyNumberFormat="1" applyFont="1"/>
    <xf numFmtId="0" fontId="28" fillId="0" borderId="0" xfId="15" applyFont="1"/>
    <xf numFmtId="0" fontId="15" fillId="0" borderId="0" xfId="15" applyFont="1" applyAlignment="1">
      <alignment vertical="center"/>
    </xf>
    <xf numFmtId="2" fontId="28" fillId="0" borderId="0" xfId="15" applyNumberFormat="1" applyFont="1" applyAlignment="1">
      <alignment horizontal="left"/>
    </xf>
    <xf numFmtId="0" fontId="28" fillId="0" borderId="0" xfId="15" applyFont="1" applyAlignment="1">
      <alignment horizontal="left"/>
    </xf>
    <xf numFmtId="43" fontId="28" fillId="0" borderId="0" xfId="16" applyFont="1" applyFill="1"/>
    <xf numFmtId="0" fontId="36" fillId="0" borderId="0" xfId="15" applyFont="1"/>
    <xf numFmtId="4" fontId="8" fillId="0" borderId="0" xfId="15" applyNumberFormat="1" applyFont="1" applyAlignment="1">
      <alignment horizontal="left" vertical="center"/>
    </xf>
    <xf numFmtId="0" fontId="11" fillId="0" borderId="0" xfId="14" applyFont="1"/>
    <xf numFmtId="17" fontId="28" fillId="0" borderId="0" xfId="15" quotePrefix="1" applyNumberFormat="1" applyFont="1"/>
    <xf numFmtId="17" fontId="36" fillId="0" borderId="0" xfId="15" quotePrefix="1" applyNumberFormat="1" applyFont="1"/>
    <xf numFmtId="0" fontId="1" fillId="0" borderId="0" xfId="15" applyFont="1"/>
    <xf numFmtId="0" fontId="37" fillId="10" borderId="16" xfId="15" applyFont="1" applyFill="1" applyBorder="1" applyAlignment="1">
      <alignment horizontal="center" wrapText="1"/>
    </xf>
    <xf numFmtId="0" fontId="37" fillId="10" borderId="16" xfId="14" applyFont="1" applyFill="1" applyBorder="1" applyAlignment="1">
      <alignment horizontal="left" wrapText="1"/>
    </xf>
    <xf numFmtId="43" fontId="37" fillId="10" borderId="16" xfId="16" applyFont="1" applyFill="1" applyBorder="1" applyAlignment="1">
      <alignment horizontal="left" wrapText="1"/>
    </xf>
    <xf numFmtId="0" fontId="37" fillId="10" borderId="16" xfId="14" applyFont="1" applyFill="1" applyBorder="1" applyAlignment="1">
      <alignment horizontal="center" wrapText="1"/>
    </xf>
    <xf numFmtId="0" fontId="37" fillId="10" borderId="0" xfId="14" applyFont="1" applyFill="1" applyAlignment="1">
      <alignment horizontal="left" wrapText="1"/>
    </xf>
    <xf numFmtId="0" fontId="3" fillId="0" borderId="0" xfId="15" applyFont="1" applyAlignment="1">
      <alignment horizontal="right"/>
    </xf>
    <xf numFmtId="14" fontId="28" fillId="0" borderId="1" xfId="15" applyNumberFormat="1" applyFont="1" applyBorder="1" applyAlignment="1">
      <alignment horizontal="left"/>
    </xf>
    <xf numFmtId="0" fontId="28" fillId="0" borderId="1" xfId="15" applyFont="1" applyBorder="1" applyAlignment="1">
      <alignment horizontal="left" vertical="center"/>
    </xf>
    <xf numFmtId="0" fontId="28" fillId="0" borderId="1" xfId="15" applyFont="1" applyBorder="1" applyAlignment="1">
      <alignment horizontal="left"/>
    </xf>
    <xf numFmtId="0" fontId="28" fillId="0" borderId="1" xfId="15" applyFont="1" applyBorder="1" applyAlignment="1">
      <alignment horizontal="center"/>
    </xf>
    <xf numFmtId="0" fontId="3" fillId="0" borderId="1" xfId="15" quotePrefix="1" applyFont="1" applyBorder="1" applyAlignment="1">
      <alignment horizontal="left"/>
    </xf>
    <xf numFmtId="14" fontId="28" fillId="0" borderId="1" xfId="15" applyNumberFormat="1" applyFont="1" applyBorder="1" applyAlignment="1">
      <alignment horizontal="left" vertical="center"/>
    </xf>
    <xf numFmtId="0" fontId="38" fillId="4" borderId="1" xfId="17" applyFont="1" applyFill="1" applyBorder="1" applyAlignment="1">
      <alignment horizontal="left"/>
    </xf>
    <xf numFmtId="43" fontId="28" fillId="0" borderId="1" xfId="18" applyFont="1" applyBorder="1"/>
    <xf numFmtId="43" fontId="28" fillId="0" borderId="1" xfId="18" applyFont="1" applyBorder="1" applyAlignment="1">
      <alignment horizontal="left" vertical="center"/>
    </xf>
    <xf numFmtId="49" fontId="39" fillId="0" borderId="1" xfId="15" applyNumberFormat="1" applyFont="1" applyBorder="1" applyAlignment="1">
      <alignment horizontal="left" vertical="center"/>
    </xf>
    <xf numFmtId="0" fontId="27" fillId="0" borderId="1" xfId="8" applyBorder="1" applyAlignment="1">
      <alignment horizontal="left" vertical="center"/>
    </xf>
    <xf numFmtId="49" fontId="40" fillId="4" borderId="1" xfId="17" applyNumberFormat="1" applyFont="1" applyFill="1" applyBorder="1" applyAlignment="1">
      <alignment horizontal="left"/>
    </xf>
    <xf numFmtId="0" fontId="3" fillId="0" borderId="0" xfId="15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1" fillId="0" borderId="0" xfId="0" applyFont="1" applyAlignment="1">
      <alignment vertical="center"/>
    </xf>
    <xf numFmtId="0" fontId="42" fillId="0" borderId="0" xfId="0" applyFont="1"/>
    <xf numFmtId="0" fontId="43" fillId="0" borderId="0" xfId="0" applyFont="1"/>
    <xf numFmtId="0" fontId="44" fillId="0" borderId="17" xfId="0" applyFont="1" applyBorder="1" applyAlignment="1">
      <alignment vertical="center"/>
    </xf>
    <xf numFmtId="17" fontId="45" fillId="0" borderId="0" xfId="0" quotePrefix="1" applyNumberFormat="1" applyFont="1" applyAlignment="1">
      <alignment horizontal="left"/>
    </xf>
    <xf numFmtId="0" fontId="1" fillId="0" borderId="0" xfId="0" quotePrefix="1" applyFont="1"/>
    <xf numFmtId="0" fontId="37" fillId="10" borderId="16" xfId="0" applyFont="1" applyFill="1" applyBorder="1" applyAlignment="1">
      <alignment horizontal="center" wrapText="1"/>
    </xf>
    <xf numFmtId="0" fontId="37" fillId="10" borderId="16" xfId="0" applyFont="1" applyFill="1" applyBorder="1" applyAlignment="1">
      <alignment wrapText="1"/>
    </xf>
    <xf numFmtId="0" fontId="37" fillId="10" borderId="16" xfId="0" applyFont="1" applyFill="1" applyBorder="1" applyAlignment="1">
      <alignment horizontal="center" vertical="center" wrapText="1"/>
    </xf>
    <xf numFmtId="0" fontId="37" fillId="10" borderId="18" xfId="0" applyFont="1" applyFill="1" applyBorder="1" applyAlignment="1">
      <alignment wrapText="1"/>
    </xf>
    <xf numFmtId="0" fontId="37" fillId="10" borderId="18" xfId="0" applyFont="1" applyFill="1" applyBorder="1" applyAlignment="1">
      <alignment horizontal="center" wrapText="1"/>
    </xf>
    <xf numFmtId="0" fontId="34" fillId="6" borderId="16" xfId="0" applyFont="1" applyFill="1" applyBorder="1" applyAlignment="1">
      <alignment horizontal="center" vertical="center" wrapText="1"/>
    </xf>
    <xf numFmtId="0" fontId="46" fillId="0" borderId="0" xfId="11" applyFont="1" applyAlignment="1">
      <alignment horizontal="right"/>
    </xf>
    <xf numFmtId="166" fontId="46" fillId="11" borderId="1" xfId="11" applyNumberFormat="1" applyFont="1" applyFill="1" applyBorder="1" applyAlignment="1">
      <alignment horizontal="left"/>
    </xf>
    <xf numFmtId="0" fontId="46" fillId="11" borderId="1" xfId="11" applyFont="1" applyFill="1" applyBorder="1"/>
    <xf numFmtId="0" fontId="46" fillId="0" borderId="1" xfId="11" applyFont="1" applyBorder="1" applyAlignment="1">
      <alignment horizontal="center" vertical="center"/>
    </xf>
    <xf numFmtId="0" fontId="25" fillId="4" borderId="1" xfId="5" applyFont="1" applyFill="1" applyBorder="1" applyAlignment="1">
      <alignment horizontal="left" vertical="center"/>
    </xf>
    <xf numFmtId="1" fontId="46" fillId="11" borderId="1" xfId="11" applyNumberFormat="1" applyFont="1" applyFill="1" applyBorder="1" applyAlignment="1">
      <alignment horizontal="left"/>
    </xf>
    <xf numFmtId="0" fontId="46" fillId="11" borderId="1" xfId="11" applyFont="1" applyFill="1" applyBorder="1" applyAlignment="1">
      <alignment horizontal="left" vertical="center"/>
    </xf>
    <xf numFmtId="0" fontId="46" fillId="11" borderId="1" xfId="11" applyFont="1" applyFill="1" applyBorder="1" applyAlignment="1">
      <alignment horizontal="left"/>
    </xf>
    <xf numFmtId="14" fontId="46" fillId="11" borderId="1" xfId="11" applyNumberFormat="1" applyFont="1" applyFill="1" applyBorder="1" applyAlignment="1">
      <alignment horizontal="left"/>
    </xf>
    <xf numFmtId="1" fontId="46" fillId="11" borderId="1" xfId="11" applyNumberFormat="1" applyFont="1" applyFill="1" applyBorder="1"/>
    <xf numFmtId="49" fontId="47" fillId="4" borderId="1" xfId="0" applyNumberFormat="1" applyFont="1" applyFill="1" applyBorder="1" applyAlignment="1">
      <alignment horizontal="center"/>
    </xf>
    <xf numFmtId="2" fontId="46" fillId="11" borderId="1" xfId="11" applyNumberFormat="1" applyFont="1" applyFill="1" applyBorder="1" applyAlignment="1">
      <alignment horizontal="center"/>
    </xf>
    <xf numFmtId="0" fontId="2" fillId="0" borderId="1" xfId="0" applyFont="1" applyBorder="1"/>
    <xf numFmtId="0" fontId="48" fillId="0" borderId="0" xfId="0" applyFont="1" applyAlignment="1">
      <alignment horizontal="left"/>
    </xf>
    <xf numFmtId="0" fontId="48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34" fillId="7" borderId="16" xfId="0" applyFont="1" applyFill="1" applyBorder="1" applyAlignment="1">
      <alignment horizontal="center" vertical="center" wrapText="1"/>
    </xf>
    <xf numFmtId="1" fontId="34" fillId="6" borderId="16" xfId="0" applyNumberFormat="1" applyFont="1" applyFill="1" applyBorder="1" applyAlignment="1">
      <alignment horizontal="center" vertical="center" wrapText="1"/>
    </xf>
    <xf numFmtId="2" fontId="34" fillId="6" borderId="16" xfId="0" applyNumberFormat="1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left" vertical="center"/>
    </xf>
    <xf numFmtId="49" fontId="2" fillId="12" borderId="1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5" fillId="0" borderId="1" xfId="12" applyFont="1" applyBorder="1"/>
    <xf numFmtId="14" fontId="2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27" fillId="0" borderId="1" xfId="8" applyBorder="1"/>
    <xf numFmtId="2" fontId="2" fillId="0" borderId="0" xfId="0" applyNumberFormat="1" applyFont="1"/>
    <xf numFmtId="0" fontId="81" fillId="0" borderId="0" xfId="0" applyFont="1"/>
    <xf numFmtId="14" fontId="81" fillId="8" borderId="1" xfId="0" applyNumberFormat="1" applyFont="1" applyFill="1" applyBorder="1" applyAlignment="1">
      <alignment horizontal="left" vertical="center"/>
    </xf>
    <xf numFmtId="0" fontId="81" fillId="0" borderId="1" xfId="0" applyFont="1" applyBorder="1" applyAlignment="1">
      <alignment horizontal="center"/>
    </xf>
    <xf numFmtId="0" fontId="49" fillId="0" borderId="15" xfId="12" applyFont="1" applyBorder="1"/>
    <xf numFmtId="0" fontId="82" fillId="4" borderId="11" xfId="11" applyFont="1" applyFill="1" applyBorder="1" applyAlignment="1">
      <alignment horizontal="left" vertical="center"/>
    </xf>
    <xf numFmtId="0" fontId="82" fillId="4" borderId="11" xfId="11" applyFont="1" applyFill="1" applyBorder="1" applyAlignment="1">
      <alignment horizontal="center" vertical="center"/>
    </xf>
    <xf numFmtId="0" fontId="81" fillId="8" borderId="1" xfId="0" applyFont="1" applyFill="1" applyBorder="1" applyAlignment="1">
      <alignment horizontal="left" vertical="center"/>
    </xf>
    <xf numFmtId="2" fontId="82" fillId="4" borderId="11" xfId="11" applyNumberFormat="1" applyFont="1" applyFill="1" applyBorder="1" applyAlignment="1">
      <alignment horizontal="center" vertical="center"/>
    </xf>
    <xf numFmtId="165" fontId="82" fillId="4" borderId="11" xfId="11" applyNumberFormat="1" applyFont="1" applyFill="1" applyBorder="1" applyAlignment="1">
      <alignment horizontal="center" vertical="center"/>
    </xf>
    <xf numFmtId="0" fontId="83" fillId="4" borderId="11" xfId="13" applyNumberFormat="1" applyFont="1" applyFill="1" applyBorder="1" applyAlignment="1">
      <alignment horizontal="center" vertical="center"/>
    </xf>
    <xf numFmtId="14" fontId="82" fillId="4" borderId="11" xfId="11" applyNumberFormat="1" applyFont="1" applyFill="1" applyBorder="1" applyAlignment="1">
      <alignment horizontal="center" vertical="center"/>
    </xf>
    <xf numFmtId="1" fontId="82" fillId="4" borderId="11" xfId="11" applyNumberFormat="1" applyFont="1" applyFill="1" applyBorder="1" applyAlignment="1">
      <alignment horizontal="left" vertical="center"/>
    </xf>
    <xf numFmtId="49" fontId="83" fillId="4" borderId="11" xfId="13" applyNumberFormat="1" applyFont="1" applyFill="1" applyBorder="1" applyAlignment="1">
      <alignment horizontal="center" vertical="center"/>
    </xf>
    <xf numFmtId="0" fontId="82" fillId="4" borderId="11" xfId="11" applyFont="1" applyFill="1" applyBorder="1" applyAlignment="1">
      <alignment horizontal="left" vertical="center" wrapText="1"/>
    </xf>
    <xf numFmtId="0" fontId="84" fillId="9" borderId="12" xfId="0" applyFont="1" applyFill="1" applyBorder="1" applyAlignment="1">
      <alignment horizontal="left" vertical="center"/>
    </xf>
    <xf numFmtId="0" fontId="84" fillId="9" borderId="12" xfId="0" applyFont="1" applyFill="1" applyBorder="1" applyAlignment="1">
      <alignment horizontal="center" vertical="center"/>
    </xf>
    <xf numFmtId="0" fontId="27" fillId="12" borderId="1" xfId="8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34" fillId="6" borderId="16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86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7" fillId="0" borderId="0" xfId="8" applyAlignment="1">
      <alignment horizontal="left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7" fillId="0" borderId="1" xfId="8" applyBorder="1" applyAlignment="1">
      <alignment horizontal="left"/>
    </xf>
    <xf numFmtId="14" fontId="81" fillId="8" borderId="1" xfId="0" applyNumberFormat="1" applyFont="1" applyFill="1" applyBorder="1" applyAlignment="1">
      <alignment horizontal="center" vertical="center"/>
    </xf>
    <xf numFmtId="0" fontId="25" fillId="0" borderId="1" xfId="12" applyFont="1" applyBorder="1" applyAlignment="1">
      <alignment horizontal="center"/>
    </xf>
    <xf numFmtId="14" fontId="81" fillId="8" borderId="14" xfId="0" applyNumberFormat="1" applyFont="1" applyFill="1" applyBorder="1" applyAlignment="1">
      <alignment horizontal="left" vertical="center"/>
    </xf>
    <xf numFmtId="14" fontId="84" fillId="9" borderId="11" xfId="0" applyNumberFormat="1" applyFont="1" applyFill="1" applyBorder="1" applyAlignment="1">
      <alignment horizontal="center" vertical="center"/>
    </xf>
    <xf numFmtId="1" fontId="84" fillId="9" borderId="12" xfId="0" applyNumberFormat="1" applyFont="1" applyFill="1" applyBorder="1" applyAlignment="1">
      <alignment horizontal="left" vertical="center"/>
    </xf>
    <xf numFmtId="2" fontId="84" fillId="9" borderId="12" xfId="0" applyNumberFormat="1" applyFont="1" applyFill="1" applyBorder="1" applyAlignment="1">
      <alignment horizontal="center" vertical="center"/>
    </xf>
    <xf numFmtId="165" fontId="84" fillId="9" borderId="12" xfId="0" applyNumberFormat="1" applyFont="1" applyFill="1" applyBorder="1" applyAlignment="1">
      <alignment horizontal="center" vertical="center"/>
    </xf>
    <xf numFmtId="0" fontId="87" fillId="9" borderId="12" xfId="0" applyFont="1" applyFill="1" applyBorder="1" applyAlignment="1">
      <alignment horizontal="center" vertical="center"/>
    </xf>
    <xf numFmtId="0" fontId="27" fillId="9" borderId="12" xfId="8" applyFill="1" applyBorder="1" applyAlignment="1">
      <alignment horizontal="left" vertical="center"/>
    </xf>
    <xf numFmtId="49" fontId="2" fillId="0" borderId="0" xfId="0" applyNumberFormat="1" applyFont="1" applyAlignment="1">
      <alignment horizontal="left"/>
    </xf>
    <xf numFmtId="0" fontId="4" fillId="0" borderId="32" xfId="0" applyFont="1" applyBorder="1"/>
    <xf numFmtId="0" fontId="81" fillId="0" borderId="10" xfId="0" applyFont="1" applyBorder="1" applyAlignment="1">
      <alignment horizontal="center"/>
    </xf>
    <xf numFmtId="0" fontId="49" fillId="0" borderId="10" xfId="12" applyFont="1" applyBorder="1"/>
    <xf numFmtId="14" fontId="81" fillId="0" borderId="10" xfId="0" applyNumberFormat="1" applyFont="1" applyBorder="1" applyAlignment="1">
      <alignment horizontal="center"/>
    </xf>
    <xf numFmtId="14" fontId="82" fillId="4" borderId="10" xfId="11" applyNumberFormat="1" applyFont="1" applyFill="1" applyBorder="1" applyAlignment="1">
      <alignment horizontal="center" vertical="center"/>
    </xf>
    <xf numFmtId="1" fontId="82" fillId="4" borderId="10" xfId="11" applyNumberFormat="1" applyFont="1" applyFill="1" applyBorder="1" applyAlignment="1">
      <alignment horizontal="left" vertical="center"/>
    </xf>
    <xf numFmtId="0" fontId="82" fillId="4" borderId="10" xfId="11" applyFont="1" applyFill="1" applyBorder="1" applyAlignment="1">
      <alignment horizontal="left" vertical="center"/>
    </xf>
    <xf numFmtId="0" fontId="81" fillId="0" borderId="10" xfId="0" applyFont="1" applyBorder="1" applyAlignment="1">
      <alignment horizontal="left"/>
    </xf>
    <xf numFmtId="14" fontId="88" fillId="4" borderId="10" xfId="0" applyNumberFormat="1" applyFont="1" applyFill="1" applyBorder="1"/>
    <xf numFmtId="0" fontId="88" fillId="4" borderId="10" xfId="0" applyFont="1" applyFill="1" applyBorder="1"/>
    <xf numFmtId="0" fontId="89" fillId="9" borderId="10" xfId="0" applyFont="1" applyFill="1" applyBorder="1"/>
    <xf numFmtId="14" fontId="88" fillId="4" borderId="10" xfId="0" applyNumberFormat="1" applyFont="1" applyFill="1" applyBorder="1" applyAlignment="1">
      <alignment horizontal="center"/>
    </xf>
    <xf numFmtId="0" fontId="88" fillId="4" borderId="10" xfId="0" applyFont="1" applyFill="1" applyBorder="1" applyAlignment="1">
      <alignment horizontal="left"/>
    </xf>
    <xf numFmtId="14" fontId="88" fillId="44" borderId="10" xfId="0" applyNumberFormat="1" applyFont="1" applyFill="1" applyBorder="1"/>
    <xf numFmtId="0" fontId="88" fillId="44" borderId="10" xfId="0" applyFont="1" applyFill="1" applyBorder="1"/>
    <xf numFmtId="0" fontId="89" fillId="45" borderId="10" xfId="0" applyFont="1" applyFill="1" applyBorder="1"/>
    <xf numFmtId="14" fontId="88" fillId="44" borderId="10" xfId="0" applyNumberFormat="1" applyFont="1" applyFill="1" applyBorder="1" applyAlignment="1">
      <alignment horizontal="center"/>
    </xf>
    <xf numFmtId="0" fontId="88" fillId="44" borderId="10" xfId="0" applyFont="1" applyFill="1" applyBorder="1" applyAlignment="1">
      <alignment horizontal="left"/>
    </xf>
    <xf numFmtId="0" fontId="88" fillId="44" borderId="10" xfId="0" applyFont="1" applyFill="1" applyBorder="1" applyAlignment="1">
      <alignment horizontal="right"/>
    </xf>
    <xf numFmtId="0" fontId="88" fillId="4" borderId="10" xfId="0" applyFont="1" applyFill="1" applyBorder="1" applyAlignment="1">
      <alignment horizontal="right"/>
    </xf>
    <xf numFmtId="0" fontId="49" fillId="4" borderId="10" xfId="12" applyFont="1" applyFill="1" applyBorder="1"/>
    <xf numFmtId="14" fontId="84" fillId="46" borderId="10" xfId="0" applyNumberFormat="1" applyFont="1" applyFill="1" applyBorder="1" applyAlignment="1">
      <alignment horizontal="left"/>
    </xf>
    <xf numFmtId="0" fontId="84" fillId="46" borderId="10" xfId="0" applyFont="1" applyFill="1" applyBorder="1" applyAlignment="1">
      <alignment horizontal="left"/>
    </xf>
    <xf numFmtId="14" fontId="84" fillId="4" borderId="10" xfId="0" applyNumberFormat="1" applyFont="1" applyFill="1" applyBorder="1" applyAlignment="1">
      <alignment horizontal="left"/>
    </xf>
    <xf numFmtId="0" fontId="84" fillId="4" borderId="10" xfId="0" applyFont="1" applyFill="1" applyBorder="1" applyAlignment="1">
      <alignment horizontal="left"/>
    </xf>
    <xf numFmtId="0" fontId="90" fillId="4" borderId="10" xfId="0" applyFont="1" applyFill="1" applyBorder="1" applyAlignment="1">
      <alignment horizontal="left" vertical="center"/>
    </xf>
    <xf numFmtId="0" fontId="39" fillId="4" borderId="10" xfId="15" applyFont="1" applyFill="1" applyBorder="1" applyAlignment="1">
      <alignment horizontal="left"/>
    </xf>
    <xf numFmtId="0" fontId="88" fillId="4" borderId="10" xfId="0" applyFont="1" applyFill="1" applyBorder="1" applyAlignment="1">
      <alignment horizontal="center"/>
    </xf>
    <xf numFmtId="0" fontId="82" fillId="4" borderId="10" xfId="11" applyFont="1" applyFill="1" applyBorder="1" applyAlignment="1">
      <alignment horizontal="right" vertical="center"/>
    </xf>
    <xf numFmtId="0" fontId="84" fillId="46" borderId="10" xfId="0" applyFont="1" applyFill="1" applyBorder="1" applyAlignment="1">
      <alignment horizontal="right"/>
    </xf>
    <xf numFmtId="0" fontId="84" fillId="4" borderId="10" xfId="0" applyFont="1" applyFill="1" applyBorder="1" applyAlignment="1">
      <alignment horizontal="right"/>
    </xf>
    <xf numFmtId="14" fontId="81" fillId="8" borderId="10" xfId="0" applyNumberFormat="1" applyFont="1" applyFill="1" applyBorder="1" applyAlignment="1">
      <alignment horizontal="center" vertical="center"/>
    </xf>
    <xf numFmtId="14" fontId="84" fillId="46" borderId="10" xfId="0" applyNumberFormat="1" applyFont="1" applyFill="1" applyBorder="1" applyAlignment="1">
      <alignment horizontal="center"/>
    </xf>
    <xf numFmtId="14" fontId="84" fillId="4" borderId="10" xfId="0" applyNumberFormat="1" applyFont="1" applyFill="1" applyBorder="1" applyAlignment="1">
      <alignment horizontal="center"/>
    </xf>
    <xf numFmtId="0" fontId="91" fillId="4" borderId="10" xfId="8" applyNumberFormat="1" applyFont="1" applyFill="1" applyBorder="1" applyAlignment="1">
      <alignment horizontal="left" vertical="center"/>
    </xf>
    <xf numFmtId="0" fontId="85" fillId="46" borderId="10" xfId="0" applyFont="1" applyFill="1" applyBorder="1" applyAlignment="1">
      <alignment horizontal="left" vertical="center"/>
    </xf>
    <xf numFmtId="0" fontId="91" fillId="4" borderId="10" xfId="8" applyFont="1" applyFill="1" applyBorder="1" applyAlignment="1">
      <alignment horizontal="left"/>
    </xf>
    <xf numFmtId="49" fontId="81" fillId="46" borderId="10" xfId="0" applyNumberFormat="1" applyFont="1" applyFill="1" applyBorder="1" applyAlignment="1">
      <alignment horizontal="left"/>
    </xf>
    <xf numFmtId="49" fontId="81" fillId="4" borderId="10" xfId="0" applyNumberFormat="1" applyFont="1" applyFill="1" applyBorder="1" applyAlignment="1">
      <alignment horizontal="left"/>
    </xf>
    <xf numFmtId="0" fontId="91" fillId="4" borderId="10" xfId="8" applyFont="1" applyFill="1" applyBorder="1" applyAlignment="1">
      <alignment horizontal="left" vertical="center"/>
    </xf>
    <xf numFmtId="49" fontId="39" fillId="4" borderId="10" xfId="17" applyNumberFormat="1" applyFont="1" applyFill="1" applyBorder="1" applyAlignment="1">
      <alignment horizontal="left"/>
    </xf>
    <xf numFmtId="0" fontId="90" fillId="46" borderId="10" xfId="0" applyFont="1" applyFill="1" applyBorder="1" applyAlignment="1">
      <alignment horizontal="right"/>
    </xf>
    <xf numFmtId="14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5" fillId="4" borderId="1" xfId="12" applyFont="1" applyFill="1" applyBorder="1" applyAlignment="1">
      <alignment horizontal="center"/>
    </xf>
    <xf numFmtId="2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left"/>
    </xf>
    <xf numFmtId="0" fontId="27" fillId="4" borderId="0" xfId="8" applyFill="1" applyAlignment="1">
      <alignment horizontal="left"/>
    </xf>
    <xf numFmtId="0" fontId="81" fillId="4" borderId="0" xfId="0" applyFont="1" applyFill="1"/>
    <xf numFmtId="0" fontId="49" fillId="4" borderId="15" xfId="12" applyFont="1" applyFill="1" applyBorder="1"/>
    <xf numFmtId="0" fontId="39" fillId="4" borderId="10" xfId="0" applyFont="1" applyFill="1" applyBorder="1"/>
    <xf numFmtId="0" fontId="39" fillId="44" borderId="10" xfId="0" applyFont="1" applyFill="1" applyBorder="1"/>
    <xf numFmtId="0" fontId="91" fillId="44" borderId="10" xfId="8" applyFont="1" applyFill="1" applyBorder="1"/>
    <xf numFmtId="0" fontId="91" fillId="4" borderId="10" xfId="8" applyFont="1" applyFill="1" applyBorder="1"/>
    <xf numFmtId="0" fontId="88" fillId="0" borderId="0" xfId="0" applyFont="1"/>
    <xf numFmtId="0" fontId="81" fillId="4" borderId="10" xfId="0" applyFont="1" applyFill="1" applyBorder="1" applyAlignment="1">
      <alignment horizontal="left"/>
    </xf>
    <xf numFmtId="0" fontId="81" fillId="4" borderId="10" xfId="0" applyFont="1" applyFill="1" applyBorder="1" applyAlignment="1">
      <alignment horizontal="right"/>
    </xf>
    <xf numFmtId="0" fontId="81" fillId="4" borderId="10" xfId="12" applyFont="1" applyFill="1" applyBorder="1"/>
    <xf numFmtId="14" fontId="81" fillId="4" borderId="10" xfId="0" applyNumberFormat="1" applyFont="1" applyFill="1" applyBorder="1" applyAlignment="1">
      <alignment horizontal="center"/>
    </xf>
    <xf numFmtId="14" fontId="81" fillId="4" borderId="10" xfId="11" applyNumberFormat="1" applyFont="1" applyFill="1" applyBorder="1" applyAlignment="1">
      <alignment horizontal="center" vertical="center"/>
    </xf>
    <xf numFmtId="1" fontId="81" fillId="4" borderId="10" xfId="11" applyNumberFormat="1" applyFont="1" applyFill="1" applyBorder="1" applyAlignment="1">
      <alignment horizontal="left" vertical="center"/>
    </xf>
    <xf numFmtId="0" fontId="81" fillId="4" borderId="10" xfId="11" applyFont="1" applyFill="1" applyBorder="1" applyAlignment="1">
      <alignment horizontal="right" vertical="center"/>
    </xf>
    <xf numFmtId="0" fontId="81" fillId="4" borderId="10" xfId="11" applyFont="1" applyFill="1" applyBorder="1" applyAlignment="1">
      <alignment horizontal="left" vertical="center"/>
    </xf>
    <xf numFmtId="0" fontId="85" fillId="4" borderId="10" xfId="13" applyNumberFormat="1" applyFont="1" applyFill="1" applyBorder="1" applyAlignment="1">
      <alignment horizontal="left" vertical="center"/>
    </xf>
    <xf numFmtId="0" fontId="81" fillId="9" borderId="10" xfId="0" applyFont="1" applyFill="1" applyBorder="1" applyAlignment="1">
      <alignment horizontal="left" vertical="center"/>
    </xf>
    <xf numFmtId="49" fontId="81" fillId="0" borderId="10" xfId="0" applyNumberFormat="1" applyFont="1" applyBorder="1" applyAlignment="1">
      <alignment horizontal="right"/>
    </xf>
    <xf numFmtId="0" fontId="91" fillId="0" borderId="10" xfId="8" applyFont="1" applyBorder="1" applyAlignment="1">
      <alignment horizontal="left"/>
    </xf>
    <xf numFmtId="49" fontId="81" fillId="0" borderId="10" xfId="0" applyNumberFormat="1" applyFont="1" applyBorder="1" applyAlignment="1">
      <alignment horizontal="left"/>
    </xf>
    <xf numFmtId="0" fontId="81" fillId="0" borderId="10" xfId="0" applyFont="1" applyBorder="1" applyAlignment="1">
      <alignment horizontal="right"/>
    </xf>
    <xf numFmtId="0" fontId="92" fillId="0" borderId="0" xfId="0" applyFont="1"/>
    <xf numFmtId="0" fontId="25" fillId="4" borderId="11" xfId="5" applyFont="1" applyFill="1" applyBorder="1" applyAlignment="1">
      <alignment horizontal="left" vertical="center" wrapText="1"/>
    </xf>
    <xf numFmtId="0" fontId="49" fillId="4" borderId="11" xfId="5" applyFont="1" applyFill="1" applyBorder="1" applyAlignment="1">
      <alignment horizontal="right" vertical="center" wrapText="1"/>
    </xf>
    <xf numFmtId="14" fontId="90" fillId="4" borderId="10" xfId="0" applyNumberFormat="1" applyFont="1" applyFill="1" applyBorder="1" applyAlignment="1">
      <alignment horizontal="center"/>
    </xf>
    <xf numFmtId="49" fontId="15" fillId="4" borderId="11" xfId="7" applyNumberFormat="1" applyFont="1" applyFill="1" applyBorder="1" applyAlignment="1">
      <alignment horizontal="left" vertical="center"/>
    </xf>
    <xf numFmtId="43" fontId="91" fillId="4" borderId="13" xfId="8" applyNumberFormat="1" applyFont="1" applyFill="1" applyBorder="1" applyAlignment="1">
      <alignment horizontal="left" vertical="center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</xdr:rowOff>
    </xdr:from>
    <xdr:to>
      <xdr:col>1</xdr:col>
      <xdr:colOff>760095</xdr:colOff>
      <xdr:row>2</xdr:row>
      <xdr:rowOff>114301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3B87BB10-BF64-244D-A5F4-F77960EFE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0075" y="1"/>
          <a:ext cx="579120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180975</xdr:colOff>
      <xdr:row>0</xdr:row>
      <xdr:rowOff>57151</xdr:rowOff>
    </xdr:from>
    <xdr:to>
      <xdr:col>1</xdr:col>
      <xdr:colOff>760095</xdr:colOff>
      <xdr:row>2</xdr:row>
      <xdr:rowOff>76201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3CFCFA8D-8752-6C46-9555-391698E9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0075" y="57151"/>
          <a:ext cx="579120" cy="438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3</xdr:row>
      <xdr:rowOff>85725</xdr:rowOff>
    </xdr:from>
    <xdr:to>
      <xdr:col>1</xdr:col>
      <xdr:colOff>741045</xdr:colOff>
      <xdr:row>5</xdr:row>
      <xdr:rowOff>158750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0" y="70932675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ENTAS@COMERCIALSOLIS.COM.EC" TargetMode="External"/><Relationship Id="rId3" Type="http://schemas.openxmlformats.org/officeDocument/2006/relationships/hyperlink" Target="mailto:HERMAGMASACHE@HOTMAIL.COM" TargetMode="External"/><Relationship Id="rId7" Type="http://schemas.openxmlformats.org/officeDocument/2006/relationships/hyperlink" Target="mailto:CECIOLIVARES24@GMAIL.COM" TargetMode="External"/><Relationship Id="rId2" Type="http://schemas.openxmlformats.org/officeDocument/2006/relationships/hyperlink" Target="mailto:PAZREYESCORDERO@HOTMAIL.COM" TargetMode="External"/><Relationship Id="rId1" Type="http://schemas.openxmlformats.org/officeDocument/2006/relationships/hyperlink" Target="mailto:XICIRUBLA84@HOTMAIL.COM" TargetMode="External"/><Relationship Id="rId6" Type="http://schemas.openxmlformats.org/officeDocument/2006/relationships/hyperlink" Target="mailto:ADRIANHERAS@ICLOUD.COM" TargetMode="External"/><Relationship Id="rId5" Type="http://schemas.openxmlformats.org/officeDocument/2006/relationships/hyperlink" Target="mailto:DAVEASTUD@GMAIL.COM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mailto:JJ.ARTEAGA58@GMAIL.COM" TargetMode="External"/><Relationship Id="rId9" Type="http://schemas.openxmlformats.org/officeDocument/2006/relationships/hyperlink" Target="mailto:VENTAS@COMERCIALSOLIS.COM.EC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ERICPFEFFERKORN777@GMAIL.COM" TargetMode="External"/><Relationship Id="rId21" Type="http://schemas.openxmlformats.org/officeDocument/2006/relationships/hyperlink" Target="mailto:JENNETHQUEZADA97@GMAIL.COM" TargetMode="External"/><Relationship Id="rId42" Type="http://schemas.openxmlformats.org/officeDocument/2006/relationships/hyperlink" Target="mailto:J.C.QUIMIFARM@HOTMAIL.COM" TargetMode="External"/><Relationship Id="rId47" Type="http://schemas.openxmlformats.org/officeDocument/2006/relationships/hyperlink" Target="mailto:ISABELRIV2T@GMAIL.COM" TargetMode="External"/><Relationship Id="rId63" Type="http://schemas.openxmlformats.org/officeDocument/2006/relationships/hyperlink" Target="mailto:GERENCIA@GESTIONSEGURA.COM.EC" TargetMode="External"/><Relationship Id="rId68" Type="http://schemas.openxmlformats.org/officeDocument/2006/relationships/hyperlink" Target="mailto:SOLMORALES2015@HOTMAIL.COM" TargetMode="External"/><Relationship Id="rId84" Type="http://schemas.openxmlformats.org/officeDocument/2006/relationships/hyperlink" Target="mailto:LANEPOWELL03@GMAIL.COM" TargetMode="External"/><Relationship Id="rId89" Type="http://schemas.openxmlformats.org/officeDocument/2006/relationships/hyperlink" Target="mailto:J-VERAZORA@HOTMAIL.COM" TargetMode="External"/><Relationship Id="rId112" Type="http://schemas.openxmlformats.org/officeDocument/2006/relationships/hyperlink" Target="mailto:JUANXAG@GMAIL.COM" TargetMode="External"/><Relationship Id="rId16" Type="http://schemas.openxmlformats.org/officeDocument/2006/relationships/hyperlink" Target="mailto:KEYNEJAD@AOL.COM" TargetMode="External"/><Relationship Id="rId107" Type="http://schemas.openxmlformats.org/officeDocument/2006/relationships/hyperlink" Target="mailto:JOSE.ASTUDILLO16@HOTMAIL.COM" TargetMode="External"/><Relationship Id="rId11" Type="http://schemas.openxmlformats.org/officeDocument/2006/relationships/hyperlink" Target="mailto:ADMINISTRATIVO@SERVICIONOTARIAL.COM" TargetMode="External"/><Relationship Id="rId32" Type="http://schemas.openxmlformats.org/officeDocument/2006/relationships/hyperlink" Target="mailto:LULUMEDINA13@GMAIL.COM" TargetMode="External"/><Relationship Id="rId37" Type="http://schemas.openxmlformats.org/officeDocument/2006/relationships/hyperlink" Target="mailto:VERITOPURUNCAJAS@HOTMAIL.COM" TargetMode="External"/><Relationship Id="rId53" Type="http://schemas.openxmlformats.org/officeDocument/2006/relationships/hyperlink" Target="mailto:ANDRES.VALDES86@GMAIL.COM" TargetMode="External"/><Relationship Id="rId58" Type="http://schemas.openxmlformats.org/officeDocument/2006/relationships/hyperlink" Target="mailto:SDBDV@HOTMAIL.COM" TargetMode="External"/><Relationship Id="rId74" Type="http://schemas.openxmlformats.org/officeDocument/2006/relationships/hyperlink" Target="mailto:ADMINISTRACION@QULMOV.COM.EC" TargetMode="External"/><Relationship Id="rId79" Type="http://schemas.openxmlformats.org/officeDocument/2006/relationships/hyperlink" Target="mailto:MERCY.ARCE@TEKA.EC" TargetMode="External"/><Relationship Id="rId102" Type="http://schemas.openxmlformats.org/officeDocument/2006/relationships/hyperlink" Target="mailto:ELIZ.ECO.122@GMAIL.COM" TargetMode="External"/><Relationship Id="rId5" Type="http://schemas.openxmlformats.org/officeDocument/2006/relationships/hyperlink" Target="mailto:MUEBLESCARENO2020@GMAIL.COM" TargetMode="External"/><Relationship Id="rId90" Type="http://schemas.openxmlformats.org/officeDocument/2006/relationships/hyperlink" Target="mailto:J-VERAZORA@HOTMAIL.COM" TargetMode="External"/><Relationship Id="rId95" Type="http://schemas.openxmlformats.org/officeDocument/2006/relationships/hyperlink" Target="mailto:ADRICNBALAREZO8@GMAIL.COM" TargetMode="External"/><Relationship Id="rId22" Type="http://schemas.openxmlformats.org/officeDocument/2006/relationships/hyperlink" Target="mailto:JENNETHQUEZADA97@GMAIL.COM" TargetMode="External"/><Relationship Id="rId27" Type="http://schemas.openxmlformats.org/officeDocument/2006/relationships/hyperlink" Target="mailto:ERICPFEFFERKORN777@GMAIL.COM" TargetMode="External"/><Relationship Id="rId43" Type="http://schemas.openxmlformats.org/officeDocument/2006/relationships/hyperlink" Target="mailto:J.VELECELA@HOTMAIL.COM" TargetMode="External"/><Relationship Id="rId48" Type="http://schemas.openxmlformats.org/officeDocument/2006/relationships/hyperlink" Target="mailto:ISABELRIV2T@GMAIL.COM" TargetMode="External"/><Relationship Id="rId64" Type="http://schemas.openxmlformats.org/officeDocument/2006/relationships/hyperlink" Target="mailto:GERENCIA@GESTIONSEGURA.COM.EC" TargetMode="External"/><Relationship Id="rId69" Type="http://schemas.openxmlformats.org/officeDocument/2006/relationships/hyperlink" Target="mailto:KFNEWMANN@YAHOO.COM" TargetMode="External"/><Relationship Id="rId113" Type="http://schemas.openxmlformats.org/officeDocument/2006/relationships/hyperlink" Target="mailto:JUANXAG@GMAIL.COM" TargetMode="External"/><Relationship Id="rId80" Type="http://schemas.openxmlformats.org/officeDocument/2006/relationships/hyperlink" Target="mailto:GABYCO_1993@HOTMAIL.COM" TargetMode="External"/><Relationship Id="rId85" Type="http://schemas.openxmlformats.org/officeDocument/2006/relationships/hyperlink" Target="mailto:LANEPOWELL03@GMAIL.COM" TargetMode="External"/><Relationship Id="rId12" Type="http://schemas.openxmlformats.org/officeDocument/2006/relationships/hyperlink" Target="mailto:JOSEMACHADO28@HOTMAIL.COM," TargetMode="External"/><Relationship Id="rId17" Type="http://schemas.openxmlformats.org/officeDocument/2006/relationships/hyperlink" Target="mailto:KEYNEJAD@AOL.COM" TargetMode="External"/><Relationship Id="rId33" Type="http://schemas.openxmlformats.org/officeDocument/2006/relationships/hyperlink" Target="mailto:VERO.GUAMAN04@GMAIL.COM" TargetMode="External"/><Relationship Id="rId38" Type="http://schemas.openxmlformats.org/officeDocument/2006/relationships/hyperlink" Target="mailto:VERITOPURUNCAJAS@HOTMAIL.COM" TargetMode="External"/><Relationship Id="rId59" Type="http://schemas.openxmlformats.org/officeDocument/2006/relationships/hyperlink" Target="mailto:SDBDV@HOTMAIL.COM" TargetMode="External"/><Relationship Id="rId103" Type="http://schemas.openxmlformats.org/officeDocument/2006/relationships/hyperlink" Target="mailto:T.GONZALES@ICLOUD.COM" TargetMode="External"/><Relationship Id="rId108" Type="http://schemas.openxmlformats.org/officeDocument/2006/relationships/hyperlink" Target="mailto:JOSE.ASTUDILLO16@HOTMAIL.COM" TargetMode="External"/><Relationship Id="rId54" Type="http://schemas.openxmlformats.org/officeDocument/2006/relationships/hyperlink" Target="mailto:LACASADELSAZONCUENCA@GMAIL.COM" TargetMode="External"/><Relationship Id="rId70" Type="http://schemas.openxmlformats.org/officeDocument/2006/relationships/hyperlink" Target="mailto:KFNEWMANN@YAHOO.COM" TargetMode="External"/><Relationship Id="rId75" Type="http://schemas.openxmlformats.org/officeDocument/2006/relationships/hyperlink" Target="mailto:ADMINISTRACION@QULMOV.COM.EC" TargetMode="External"/><Relationship Id="rId91" Type="http://schemas.openxmlformats.org/officeDocument/2006/relationships/hyperlink" Target="mailto:J-VERAZORA@HOTMAIL.COM" TargetMode="External"/><Relationship Id="rId96" Type="http://schemas.openxmlformats.org/officeDocument/2006/relationships/hyperlink" Target="mailto:ADRICNBALAREZO8@GMAIL.COM" TargetMode="External"/><Relationship Id="rId1" Type="http://schemas.openxmlformats.org/officeDocument/2006/relationships/hyperlink" Target="mailto:ESTEBAL1947@ICLOUD.COM" TargetMode="External"/><Relationship Id="rId6" Type="http://schemas.openxmlformats.org/officeDocument/2006/relationships/hyperlink" Target="mailto:MUEBLESCARENO2020@GMAIL.COM" TargetMode="External"/><Relationship Id="rId15" Type="http://schemas.openxmlformats.org/officeDocument/2006/relationships/hyperlink" Target="mailto:KEYNEJAD@AOL.COM" TargetMode="External"/><Relationship Id="rId23" Type="http://schemas.openxmlformats.org/officeDocument/2006/relationships/hyperlink" Target="mailto:DIEGOAB16@HOTMAIL.COM" TargetMode="External"/><Relationship Id="rId28" Type="http://schemas.openxmlformats.org/officeDocument/2006/relationships/hyperlink" Target="mailto:ERICPFEFFERKORN777@GMAIL.COM" TargetMode="External"/><Relationship Id="rId36" Type="http://schemas.openxmlformats.org/officeDocument/2006/relationships/hyperlink" Target="mailto:VERITOPURUNCAJAS@HOTMAIL.COM" TargetMode="External"/><Relationship Id="rId49" Type="http://schemas.openxmlformats.org/officeDocument/2006/relationships/hyperlink" Target="mailto:JHONHIDALGO1987@GMAIL.COM" TargetMode="External"/><Relationship Id="rId57" Type="http://schemas.openxmlformats.org/officeDocument/2006/relationships/hyperlink" Target="mailto:SDBDV@HOTMAIL.COM" TargetMode="External"/><Relationship Id="rId106" Type="http://schemas.openxmlformats.org/officeDocument/2006/relationships/hyperlink" Target="mailto:KARINAORELLANA0122@GMAIL.COM" TargetMode="External"/><Relationship Id="rId114" Type="http://schemas.openxmlformats.org/officeDocument/2006/relationships/hyperlink" Target="mailto:JUANXAG@GMAIL.COM" TargetMode="External"/><Relationship Id="rId10" Type="http://schemas.openxmlformats.org/officeDocument/2006/relationships/hyperlink" Target="mailto:ADMINISTRATIVO@SERVICIONOTARIAL.COM" TargetMode="External"/><Relationship Id="rId31" Type="http://schemas.openxmlformats.org/officeDocument/2006/relationships/hyperlink" Target="mailto:LULUMEDINA13@GMAIL.COM" TargetMode="External"/><Relationship Id="rId44" Type="http://schemas.openxmlformats.org/officeDocument/2006/relationships/hyperlink" Target="mailto:J.VELECELA@HOTMAIL.COM" TargetMode="External"/><Relationship Id="rId52" Type="http://schemas.openxmlformats.org/officeDocument/2006/relationships/hyperlink" Target="mailto:ANDRES.VALDES86@GMAIL.COM" TargetMode="External"/><Relationship Id="rId60" Type="http://schemas.openxmlformats.org/officeDocument/2006/relationships/hyperlink" Target="mailto:SDBDV@HOTMAIL.COM" TargetMode="External"/><Relationship Id="rId65" Type="http://schemas.openxmlformats.org/officeDocument/2006/relationships/hyperlink" Target="mailto:GERENCIA@GESTIONSEGURA.COM.EC" TargetMode="External"/><Relationship Id="rId73" Type="http://schemas.openxmlformats.org/officeDocument/2006/relationships/hyperlink" Target="mailto:ADMINISTRACION@QULMOV.COM.EC" TargetMode="External"/><Relationship Id="rId78" Type="http://schemas.openxmlformats.org/officeDocument/2006/relationships/hyperlink" Target="mailto:MERCY.ARCE@TEKA.EC" TargetMode="External"/><Relationship Id="rId81" Type="http://schemas.openxmlformats.org/officeDocument/2006/relationships/hyperlink" Target="mailto:GABYCO_1993@HOTMAIL.COM" TargetMode="External"/><Relationship Id="rId86" Type="http://schemas.openxmlformats.org/officeDocument/2006/relationships/hyperlink" Target="mailto:LANEPOWELL03@GMAIL.COM" TargetMode="External"/><Relationship Id="rId94" Type="http://schemas.openxmlformats.org/officeDocument/2006/relationships/hyperlink" Target="mailto:ADRICNBALAREZO8@GMAIL.COM" TargetMode="External"/><Relationship Id="rId99" Type="http://schemas.openxmlformats.org/officeDocument/2006/relationships/hyperlink" Target="mailto:ELIZ.ECO.122@GMAIL.COM" TargetMode="External"/><Relationship Id="rId101" Type="http://schemas.openxmlformats.org/officeDocument/2006/relationships/hyperlink" Target="mailto:ELIZ.ECO.122@GMAIL.COM" TargetMode="External"/><Relationship Id="rId4" Type="http://schemas.openxmlformats.org/officeDocument/2006/relationships/hyperlink" Target="mailto:ESTEBAL1947@ICLOUD.COM" TargetMode="External"/><Relationship Id="rId9" Type="http://schemas.openxmlformats.org/officeDocument/2006/relationships/hyperlink" Target="mailto:ADMINISTRATIVO@SERVICIONOTARIAL.COM" TargetMode="External"/><Relationship Id="rId13" Type="http://schemas.openxmlformats.org/officeDocument/2006/relationships/hyperlink" Target="mailto:JOSEMACHADO28@HOTMAIL.COM," TargetMode="External"/><Relationship Id="rId18" Type="http://schemas.openxmlformats.org/officeDocument/2006/relationships/hyperlink" Target="mailto:KEYNEJAD@AOL.COM" TargetMode="External"/><Relationship Id="rId39" Type="http://schemas.openxmlformats.org/officeDocument/2006/relationships/hyperlink" Target="mailto:VERITOPURUNCAJAS@HOTMAIL.COM" TargetMode="External"/><Relationship Id="rId109" Type="http://schemas.openxmlformats.org/officeDocument/2006/relationships/hyperlink" Target="mailto:SILENTTODO@GMAIL.COM" TargetMode="External"/><Relationship Id="rId34" Type="http://schemas.openxmlformats.org/officeDocument/2006/relationships/hyperlink" Target="mailto:VERO.GUAMAN04@GMAIL.COM" TargetMode="External"/><Relationship Id="rId50" Type="http://schemas.openxmlformats.org/officeDocument/2006/relationships/hyperlink" Target="mailto:JHONHIDALGO1987@GMAIL.COM" TargetMode="External"/><Relationship Id="rId55" Type="http://schemas.openxmlformats.org/officeDocument/2006/relationships/hyperlink" Target="mailto:LACASADELSAZONCUENCA@GMAIL.COM" TargetMode="External"/><Relationship Id="rId76" Type="http://schemas.openxmlformats.org/officeDocument/2006/relationships/hyperlink" Target="mailto:ADMINISTRACION@QULMOV.COM.EC" TargetMode="External"/><Relationship Id="rId97" Type="http://schemas.openxmlformats.org/officeDocument/2006/relationships/hyperlink" Target="mailto:LOJANONORMA8@GMAIL.COM" TargetMode="External"/><Relationship Id="rId104" Type="http://schemas.openxmlformats.org/officeDocument/2006/relationships/hyperlink" Target="mailto:T.GONZALES@ICLOUD.COM" TargetMode="External"/><Relationship Id="rId7" Type="http://schemas.openxmlformats.org/officeDocument/2006/relationships/hyperlink" Target="mailto:MUEBLESCARENO2020@GMAIL.COM" TargetMode="External"/><Relationship Id="rId71" Type="http://schemas.openxmlformats.org/officeDocument/2006/relationships/hyperlink" Target="mailto:KFNEWMANN@YAHOO.COM" TargetMode="External"/><Relationship Id="rId92" Type="http://schemas.openxmlformats.org/officeDocument/2006/relationships/hyperlink" Target="mailto:J-VERAZORA@HOTMAIL.COM" TargetMode="External"/><Relationship Id="rId2" Type="http://schemas.openxmlformats.org/officeDocument/2006/relationships/hyperlink" Target="mailto:ESTEBAL1947@ICLOUD.COM" TargetMode="External"/><Relationship Id="rId29" Type="http://schemas.openxmlformats.org/officeDocument/2006/relationships/hyperlink" Target="mailto:LULUMEDINA13@GMAIL.COM" TargetMode="External"/><Relationship Id="rId24" Type="http://schemas.openxmlformats.org/officeDocument/2006/relationships/hyperlink" Target="mailto:DIEGOAB16@HOTMAIL.COM" TargetMode="External"/><Relationship Id="rId40" Type="http://schemas.openxmlformats.org/officeDocument/2006/relationships/hyperlink" Target="mailto:VERITOPURUNCAJAS@HOTMAIL.COM" TargetMode="External"/><Relationship Id="rId45" Type="http://schemas.openxmlformats.org/officeDocument/2006/relationships/hyperlink" Target="mailto:J.VELECELA@HOTMAIL.COM" TargetMode="External"/><Relationship Id="rId66" Type="http://schemas.openxmlformats.org/officeDocument/2006/relationships/hyperlink" Target="mailto:GERENCIA@GESTIONSEGURA.COM.EC" TargetMode="External"/><Relationship Id="rId87" Type="http://schemas.openxmlformats.org/officeDocument/2006/relationships/hyperlink" Target="mailto:M.A.DEBLOIS@HOTMAIL.COM" TargetMode="External"/><Relationship Id="rId110" Type="http://schemas.openxmlformats.org/officeDocument/2006/relationships/hyperlink" Target="mailto:SILENTTODO@GMAIL.COM" TargetMode="External"/><Relationship Id="rId115" Type="http://schemas.openxmlformats.org/officeDocument/2006/relationships/drawing" Target="../drawings/drawing2.xml"/><Relationship Id="rId61" Type="http://schemas.openxmlformats.org/officeDocument/2006/relationships/hyperlink" Target="mailto:GERENCIA@GESTIONSEGURA.COM.EC" TargetMode="External"/><Relationship Id="rId82" Type="http://schemas.openxmlformats.org/officeDocument/2006/relationships/hyperlink" Target="mailto:RSNS.BROWN@GMAIL.COM" TargetMode="External"/><Relationship Id="rId19" Type="http://schemas.openxmlformats.org/officeDocument/2006/relationships/hyperlink" Target="mailto:GABYENRIQUEZ21406@GMAIL.COM" TargetMode="External"/><Relationship Id="rId14" Type="http://schemas.openxmlformats.org/officeDocument/2006/relationships/hyperlink" Target="mailto:JOSEMACHADO28@HOTMAIL.COM," TargetMode="External"/><Relationship Id="rId30" Type="http://schemas.openxmlformats.org/officeDocument/2006/relationships/hyperlink" Target="mailto:LULUMEDINA13@GMAIL.COM" TargetMode="External"/><Relationship Id="rId35" Type="http://schemas.openxmlformats.org/officeDocument/2006/relationships/hyperlink" Target="mailto:VERITOPURUNCAJAS@HOTMAIL.COM" TargetMode="External"/><Relationship Id="rId56" Type="http://schemas.openxmlformats.org/officeDocument/2006/relationships/hyperlink" Target="mailto:LACASADELSAZONCUENCA@GMAIL.COM" TargetMode="External"/><Relationship Id="rId77" Type="http://schemas.openxmlformats.org/officeDocument/2006/relationships/hyperlink" Target="mailto:MERCY.ARCE@TEKA.EC" TargetMode="External"/><Relationship Id="rId100" Type="http://schemas.openxmlformats.org/officeDocument/2006/relationships/hyperlink" Target="mailto:ELIZ.ECO.122@GMAIL.COM" TargetMode="External"/><Relationship Id="rId105" Type="http://schemas.openxmlformats.org/officeDocument/2006/relationships/hyperlink" Target="mailto:KARINAORELLANA0122@GMAIL.COM" TargetMode="External"/><Relationship Id="rId8" Type="http://schemas.openxmlformats.org/officeDocument/2006/relationships/hyperlink" Target="mailto:ADMINISTRATIVO@SERVICIONOTARIAL.COM" TargetMode="External"/><Relationship Id="rId51" Type="http://schemas.openxmlformats.org/officeDocument/2006/relationships/hyperlink" Target="mailto:ANDRES.VALDES86@GMAIL.COM" TargetMode="External"/><Relationship Id="rId72" Type="http://schemas.openxmlformats.org/officeDocument/2006/relationships/hyperlink" Target="mailto:ADMINISTRACION@QULMOV.COM.EC" TargetMode="External"/><Relationship Id="rId93" Type="http://schemas.openxmlformats.org/officeDocument/2006/relationships/hyperlink" Target="mailto:ADRICNBALAREZO8@GMAIL.COM" TargetMode="External"/><Relationship Id="rId98" Type="http://schemas.openxmlformats.org/officeDocument/2006/relationships/hyperlink" Target="mailto:LOJANONORMA8@GMAIL.COM" TargetMode="External"/><Relationship Id="rId3" Type="http://schemas.openxmlformats.org/officeDocument/2006/relationships/hyperlink" Target="mailto:ESTEBAL1947@ICLOUD.COM" TargetMode="External"/><Relationship Id="rId25" Type="http://schemas.openxmlformats.org/officeDocument/2006/relationships/hyperlink" Target="mailto:DIEGOAB16@HOTMAIL.COM" TargetMode="External"/><Relationship Id="rId46" Type="http://schemas.openxmlformats.org/officeDocument/2006/relationships/hyperlink" Target="mailto:J.VELECELA@HOTMAIL.COM" TargetMode="External"/><Relationship Id="rId67" Type="http://schemas.openxmlformats.org/officeDocument/2006/relationships/hyperlink" Target="mailto:SOLMORALES2015@HOTMAIL.COM" TargetMode="External"/><Relationship Id="rId20" Type="http://schemas.openxmlformats.org/officeDocument/2006/relationships/hyperlink" Target="mailto:GABYENRIQUEZ21406@GMAIL.COM" TargetMode="External"/><Relationship Id="rId41" Type="http://schemas.openxmlformats.org/officeDocument/2006/relationships/hyperlink" Target="mailto:J.C.QUIMIFARM@HOTMAIL.COM" TargetMode="External"/><Relationship Id="rId62" Type="http://schemas.openxmlformats.org/officeDocument/2006/relationships/hyperlink" Target="mailto:GERENCIA@GESTIONSEGURA.COM.EC" TargetMode="External"/><Relationship Id="rId83" Type="http://schemas.openxmlformats.org/officeDocument/2006/relationships/hyperlink" Target="mailto:RSNS.BROWN@GMAIL.COM" TargetMode="External"/><Relationship Id="rId88" Type="http://schemas.openxmlformats.org/officeDocument/2006/relationships/hyperlink" Target="mailto:M.A.DEBLOIS@HOTMAIL.COM" TargetMode="External"/><Relationship Id="rId111" Type="http://schemas.openxmlformats.org/officeDocument/2006/relationships/hyperlink" Target="mailto:JUANXA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DALTON.VICENTE@HOTMAIL.COM" TargetMode="External"/><Relationship Id="rId1" Type="http://schemas.openxmlformats.org/officeDocument/2006/relationships/hyperlink" Target="mailto:DALTON.VICENTE@HOT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ERVEZACHAVINAN@GMAIL.COM" TargetMode="External"/><Relationship Id="rId3" Type="http://schemas.openxmlformats.org/officeDocument/2006/relationships/hyperlink" Target="mailto:MARTINF_24@HOTMAIL.COM" TargetMode="External"/><Relationship Id="rId7" Type="http://schemas.openxmlformats.org/officeDocument/2006/relationships/hyperlink" Target="mailto:SEGUNDOGUAMAN65@HOTMAIL.COM" TargetMode="External"/><Relationship Id="rId2" Type="http://schemas.openxmlformats.org/officeDocument/2006/relationships/hyperlink" Target="mailto:JCRUZ@KYWI.COM.EC" TargetMode="External"/><Relationship Id="rId1" Type="http://schemas.openxmlformats.org/officeDocument/2006/relationships/hyperlink" Target="mailto:JCRUZ@KYWI.COM.EC" TargetMode="External"/><Relationship Id="rId6" Type="http://schemas.openxmlformats.org/officeDocument/2006/relationships/hyperlink" Target="mailto:SEGUNDOGUAMAN65@HOTMAIL.COM" TargetMode="External"/><Relationship Id="rId5" Type="http://schemas.openxmlformats.org/officeDocument/2006/relationships/hyperlink" Target="mailto:SOLMORALES2015@HOTMAIL.COM" TargetMode="External"/><Relationship Id="rId4" Type="http://schemas.openxmlformats.org/officeDocument/2006/relationships/hyperlink" Target="mailto:RAULVINTIMILLA65@GMAIL.COM" TargetMode="External"/><Relationship Id="rId9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J-VERAZORA@HOTMAIL.COM" TargetMode="External"/><Relationship Id="rId18" Type="http://schemas.openxmlformats.org/officeDocument/2006/relationships/hyperlink" Target="mailto:ADRICNBALAREZO8@GMAIL.COM" TargetMode="External"/><Relationship Id="rId26" Type="http://schemas.openxmlformats.org/officeDocument/2006/relationships/hyperlink" Target="mailto:XLULIAN33@GMAIL.COM" TargetMode="External"/><Relationship Id="rId39" Type="http://schemas.openxmlformats.org/officeDocument/2006/relationships/hyperlink" Target="mailto:JOSE.ASTUDILLO16@HOTMAIL.COM" TargetMode="External"/><Relationship Id="rId21" Type="http://schemas.openxmlformats.org/officeDocument/2006/relationships/hyperlink" Target="mailto:LOJANONORMA8@GMAIL.COM" TargetMode="External"/><Relationship Id="rId34" Type="http://schemas.openxmlformats.org/officeDocument/2006/relationships/hyperlink" Target="mailto:T.GONZALES@ICLOUD.COM" TargetMode="External"/><Relationship Id="rId42" Type="http://schemas.openxmlformats.org/officeDocument/2006/relationships/hyperlink" Target="mailto:VENTAS@COMERCIALSOLIS.COM.EC" TargetMode="External"/><Relationship Id="rId7" Type="http://schemas.openxmlformats.org/officeDocument/2006/relationships/hyperlink" Target="mailto:LANEPOWELL03@GMAIL.COM" TargetMode="External"/><Relationship Id="rId2" Type="http://schemas.openxmlformats.org/officeDocument/2006/relationships/hyperlink" Target="mailto:VENTAS@COMERCIALSOLIS.COM.EC" TargetMode="External"/><Relationship Id="rId16" Type="http://schemas.openxmlformats.org/officeDocument/2006/relationships/hyperlink" Target="mailto:ADRICNBALAREZO8@GMAIL.COM" TargetMode="External"/><Relationship Id="rId20" Type="http://schemas.openxmlformats.org/officeDocument/2006/relationships/hyperlink" Target="mailto:LOJANONORMA8@GMAIL.COM" TargetMode="External"/><Relationship Id="rId29" Type="http://schemas.openxmlformats.org/officeDocument/2006/relationships/hyperlink" Target="mailto:CLAUDIO2564@HOTMAIL.COM" TargetMode="External"/><Relationship Id="rId41" Type="http://schemas.openxmlformats.org/officeDocument/2006/relationships/hyperlink" Target="mailto:PEM_FLACK15@HOTMAIL.COM" TargetMode="External"/><Relationship Id="rId1" Type="http://schemas.openxmlformats.org/officeDocument/2006/relationships/hyperlink" Target="mailto:VENTAS@COMERCIALSOLIS.COM.EC" TargetMode="External"/><Relationship Id="rId6" Type="http://schemas.openxmlformats.org/officeDocument/2006/relationships/hyperlink" Target="mailto:RSNS.BROWN@GMAIL.COM" TargetMode="External"/><Relationship Id="rId11" Type="http://schemas.openxmlformats.org/officeDocument/2006/relationships/hyperlink" Target="mailto:M.A.DEBLOIS@HOTMAIL.COM" TargetMode="External"/><Relationship Id="rId24" Type="http://schemas.openxmlformats.org/officeDocument/2006/relationships/hyperlink" Target="mailto:ELIZ.ECO.122@GMAIL.COM" TargetMode="External"/><Relationship Id="rId32" Type="http://schemas.openxmlformats.org/officeDocument/2006/relationships/hyperlink" Target="mailto:FD8964@GMAIL.COM" TargetMode="External"/><Relationship Id="rId37" Type="http://schemas.openxmlformats.org/officeDocument/2006/relationships/hyperlink" Target="mailto:KARINAORELLANA0122@GMAIL.COM" TargetMode="External"/><Relationship Id="rId40" Type="http://schemas.openxmlformats.org/officeDocument/2006/relationships/hyperlink" Target="mailto:PEM_FLACK15@HOTMAIL.COM" TargetMode="External"/><Relationship Id="rId5" Type="http://schemas.openxmlformats.org/officeDocument/2006/relationships/hyperlink" Target="mailto:GABYCO_1993@HOTMAIL.COM" TargetMode="External"/><Relationship Id="rId15" Type="http://schemas.openxmlformats.org/officeDocument/2006/relationships/hyperlink" Target="mailto:J-VERAZORA@HOTMAIL.COM" TargetMode="External"/><Relationship Id="rId23" Type="http://schemas.openxmlformats.org/officeDocument/2006/relationships/hyperlink" Target="mailto:ELIZ.ECO.122@GMAIL.COM" TargetMode="External"/><Relationship Id="rId28" Type="http://schemas.openxmlformats.org/officeDocument/2006/relationships/hyperlink" Target="mailto:JUANPPINTADO@GMAIL.COM" TargetMode="External"/><Relationship Id="rId36" Type="http://schemas.openxmlformats.org/officeDocument/2006/relationships/hyperlink" Target="mailto:KARINAORELLANA0122@GMAIL.COM" TargetMode="External"/><Relationship Id="rId10" Type="http://schemas.openxmlformats.org/officeDocument/2006/relationships/hyperlink" Target="mailto:M.A.DEBLOIS@HOTMAIL.COM" TargetMode="External"/><Relationship Id="rId19" Type="http://schemas.openxmlformats.org/officeDocument/2006/relationships/hyperlink" Target="mailto:ADRICNBALAREZO8@GMAIL.COM" TargetMode="External"/><Relationship Id="rId31" Type="http://schemas.openxmlformats.org/officeDocument/2006/relationships/hyperlink" Target="mailto:NACHIREYES@ICLOUD.COM" TargetMode="External"/><Relationship Id="rId4" Type="http://schemas.openxmlformats.org/officeDocument/2006/relationships/hyperlink" Target="mailto:GABYCO_1993@HOTMAIL.COM" TargetMode="External"/><Relationship Id="rId9" Type="http://schemas.openxmlformats.org/officeDocument/2006/relationships/hyperlink" Target="mailto:LANEPOWELL03@GMAIL.COM" TargetMode="External"/><Relationship Id="rId14" Type="http://schemas.openxmlformats.org/officeDocument/2006/relationships/hyperlink" Target="mailto:J-VERAZORA@HOTMAIL.COM" TargetMode="External"/><Relationship Id="rId22" Type="http://schemas.openxmlformats.org/officeDocument/2006/relationships/hyperlink" Target="mailto:ELIZ.ECO.122@GMAIL.COM" TargetMode="External"/><Relationship Id="rId27" Type="http://schemas.openxmlformats.org/officeDocument/2006/relationships/hyperlink" Target="mailto:0102929418@GMAIL.COM" TargetMode="External"/><Relationship Id="rId30" Type="http://schemas.openxmlformats.org/officeDocument/2006/relationships/hyperlink" Target="mailto:BARROS.ARIZAGA@GMAIL.COM" TargetMode="External"/><Relationship Id="rId35" Type="http://schemas.openxmlformats.org/officeDocument/2006/relationships/hyperlink" Target="mailto:T.GONZALES@ICLOUD.COM" TargetMode="External"/><Relationship Id="rId43" Type="http://schemas.openxmlformats.org/officeDocument/2006/relationships/hyperlink" Target="mailto:VENTAS@COMERCIALSOLIS.COM.EC" TargetMode="External"/><Relationship Id="rId8" Type="http://schemas.openxmlformats.org/officeDocument/2006/relationships/hyperlink" Target="mailto:LANEPOWELL03@GMAIL.COM" TargetMode="External"/><Relationship Id="rId3" Type="http://schemas.openxmlformats.org/officeDocument/2006/relationships/hyperlink" Target="mailto:VENTAS@COMERCIALSOLIS.COM.EC" TargetMode="External"/><Relationship Id="rId12" Type="http://schemas.openxmlformats.org/officeDocument/2006/relationships/hyperlink" Target="mailto:J-VERAZORA@HOTMAIL.COM" TargetMode="External"/><Relationship Id="rId17" Type="http://schemas.openxmlformats.org/officeDocument/2006/relationships/hyperlink" Target="mailto:ADRICNBALAREZO8@GMAIL.COM" TargetMode="External"/><Relationship Id="rId25" Type="http://schemas.openxmlformats.org/officeDocument/2006/relationships/hyperlink" Target="mailto:ELIZ.ECO.122@GMAIL.COM" TargetMode="External"/><Relationship Id="rId33" Type="http://schemas.openxmlformats.org/officeDocument/2006/relationships/hyperlink" Target="mailto:CERVEZACHAVINAN@GMAIL.COM" TargetMode="External"/><Relationship Id="rId38" Type="http://schemas.openxmlformats.org/officeDocument/2006/relationships/hyperlink" Target="mailto:JOSE.ASTUDILLO16@HOT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TJTORRES.TJ7@GMAIL.COM" TargetMode="External"/><Relationship Id="rId18" Type="http://schemas.openxmlformats.org/officeDocument/2006/relationships/hyperlink" Target="mailto:VEROARPI@HOTMAIL.COM" TargetMode="External"/><Relationship Id="rId26" Type="http://schemas.openxmlformats.org/officeDocument/2006/relationships/hyperlink" Target="mailto:MARYPAOLA55@HOTMAIL.COM," TargetMode="External"/><Relationship Id="rId39" Type="http://schemas.openxmlformats.org/officeDocument/2006/relationships/drawing" Target="../drawings/drawing6.xml"/><Relationship Id="rId21" Type="http://schemas.openxmlformats.org/officeDocument/2006/relationships/hyperlink" Target="mailto:DIEGO.CG78@HOTMAIL.COM" TargetMode="External"/><Relationship Id="rId34" Type="http://schemas.openxmlformats.org/officeDocument/2006/relationships/hyperlink" Target="mailto:BARROS.ARIZAGA@GMAIL.COM" TargetMode="External"/><Relationship Id="rId7" Type="http://schemas.openxmlformats.org/officeDocument/2006/relationships/hyperlink" Target="mailto:MONICACALLEJ.CPA@GMAIL.COM" TargetMode="External"/><Relationship Id="rId12" Type="http://schemas.openxmlformats.org/officeDocument/2006/relationships/hyperlink" Target="mailto:NAYIALCALA@GMAIL.COM" TargetMode="External"/><Relationship Id="rId17" Type="http://schemas.openxmlformats.org/officeDocument/2006/relationships/hyperlink" Target="mailto:ROUSZAMBRANO@HOTMAIL.COM" TargetMode="External"/><Relationship Id="rId25" Type="http://schemas.openxmlformats.org/officeDocument/2006/relationships/hyperlink" Target="mailto:ORELLANACONSTRUCTORES@HOTMAIL.COM" TargetMode="External"/><Relationship Id="rId33" Type="http://schemas.openxmlformats.org/officeDocument/2006/relationships/hyperlink" Target="mailto:CLAUDIO2564@HOTMAIL.COM" TargetMode="External"/><Relationship Id="rId38" Type="http://schemas.openxmlformats.org/officeDocument/2006/relationships/hyperlink" Target="mailto:PEM_FLACK15@HOTMAIL.COM" TargetMode="External"/><Relationship Id="rId2" Type="http://schemas.openxmlformats.org/officeDocument/2006/relationships/hyperlink" Target="mailto:FELIZBRITO660@GMAIL.COM" TargetMode="External"/><Relationship Id="rId16" Type="http://schemas.openxmlformats.org/officeDocument/2006/relationships/hyperlink" Target="mailto:GLADYSLORENA32@GMAIL.COM" TargetMode="External"/><Relationship Id="rId20" Type="http://schemas.openxmlformats.org/officeDocument/2006/relationships/hyperlink" Target="mailto:MINIHANGQV@HOTMAIL.COM" TargetMode="External"/><Relationship Id="rId29" Type="http://schemas.openxmlformats.org/officeDocument/2006/relationships/hyperlink" Target="mailto:JUBSTSYE@GMAIL.COM" TargetMode="External"/><Relationship Id="rId1" Type="http://schemas.openxmlformats.org/officeDocument/2006/relationships/hyperlink" Target="mailto:CRISMORALES@GMAIL.COM" TargetMode="External"/><Relationship Id="rId6" Type="http://schemas.openxmlformats.org/officeDocument/2006/relationships/hyperlink" Target="mailto:SUSANAURENA20@GMAIL.COM" TargetMode="External"/><Relationship Id="rId11" Type="http://schemas.openxmlformats.org/officeDocument/2006/relationships/hyperlink" Target="mailto:LADY_TAPIA@HOTMAIL.COM" TargetMode="External"/><Relationship Id="rId24" Type="http://schemas.openxmlformats.org/officeDocument/2006/relationships/hyperlink" Target="mailto:ptorrest@hotmail.com" TargetMode="External"/><Relationship Id="rId32" Type="http://schemas.openxmlformats.org/officeDocument/2006/relationships/hyperlink" Target="mailto:JUANPPINTADO@GMAIL.COM" TargetMode="External"/><Relationship Id="rId37" Type="http://schemas.openxmlformats.org/officeDocument/2006/relationships/hyperlink" Target="mailto:PEM_FLACK15@HOTMAIL.COM" TargetMode="External"/><Relationship Id="rId5" Type="http://schemas.openxmlformats.org/officeDocument/2006/relationships/hyperlink" Target="mailto:SEBESTIANCALVACHE98@GMAIL.COM" TargetMode="External"/><Relationship Id="rId15" Type="http://schemas.openxmlformats.org/officeDocument/2006/relationships/hyperlink" Target="mailto:XSERPENTEGUI@GMAIL.COM" TargetMode="External"/><Relationship Id="rId23" Type="http://schemas.openxmlformats.org/officeDocument/2006/relationships/hyperlink" Target="mailto:SEBASAUQUILLA@GMAIL.COM" TargetMode="External"/><Relationship Id="rId28" Type="http://schemas.openxmlformats.org/officeDocument/2006/relationships/hyperlink" Target="mailto:FIDELIAANOS25@YAHOO.ES" TargetMode="External"/><Relationship Id="rId36" Type="http://schemas.openxmlformats.org/officeDocument/2006/relationships/hyperlink" Target="mailto:FD8964@GMAIL.COM" TargetMode="External"/><Relationship Id="rId10" Type="http://schemas.openxmlformats.org/officeDocument/2006/relationships/hyperlink" Target="mailto:VERITOPURUNCAJAS@HOTMAIL.COM" TargetMode="External"/><Relationship Id="rId19" Type="http://schemas.openxmlformats.org/officeDocument/2006/relationships/hyperlink" Target="mailto:GCORDEROP.28@HOTMAIL.COM" TargetMode="External"/><Relationship Id="rId31" Type="http://schemas.openxmlformats.org/officeDocument/2006/relationships/hyperlink" Target="mailto:0102929418@GMAIL.COM" TargetMode="External"/><Relationship Id="rId4" Type="http://schemas.openxmlformats.org/officeDocument/2006/relationships/hyperlink" Target="mailto:PAZREYESCORDERO@HOTMAIL.COM" TargetMode="External"/><Relationship Id="rId9" Type="http://schemas.openxmlformats.org/officeDocument/2006/relationships/hyperlink" Target="mailto:SOLESOCT58@GMAIL.COM" TargetMode="External"/><Relationship Id="rId14" Type="http://schemas.openxmlformats.org/officeDocument/2006/relationships/hyperlink" Target="mailto:FERNANDODELGADO54@YAHOO.COM" TargetMode="External"/><Relationship Id="rId22" Type="http://schemas.openxmlformats.org/officeDocument/2006/relationships/hyperlink" Target="mailto:GABYLOJA@HOTMAIL.COM" TargetMode="External"/><Relationship Id="rId27" Type="http://schemas.openxmlformats.org/officeDocument/2006/relationships/hyperlink" Target="mailto:MARTHAMONTENEGRO14@HOTMAIL.COM" TargetMode="External"/><Relationship Id="rId30" Type="http://schemas.openxmlformats.org/officeDocument/2006/relationships/hyperlink" Target="mailto:XLULIAN33@GMAIL.COM" TargetMode="External"/><Relationship Id="rId35" Type="http://schemas.openxmlformats.org/officeDocument/2006/relationships/hyperlink" Target="mailto:NACHIREYES@ICLOUD.COM" TargetMode="External"/><Relationship Id="rId8" Type="http://schemas.openxmlformats.org/officeDocument/2006/relationships/hyperlink" Target="mailto:DAVICHO0115@GMAIL.COM" TargetMode="External"/><Relationship Id="rId3" Type="http://schemas.openxmlformats.org/officeDocument/2006/relationships/hyperlink" Target="mailto:TAMY25293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7"/>
  <sheetViews>
    <sheetView zoomScale="120" zoomScaleNormal="120" workbookViewId="0">
      <selection activeCell="M29" sqref="M29"/>
    </sheetView>
  </sheetViews>
  <sheetFormatPr baseColWidth="10" defaultRowHeight="15"/>
  <cols>
    <col min="1" max="1" width="6.1640625" customWidth="1"/>
    <col min="2" max="2" width="11.1640625" customWidth="1"/>
    <col min="3" max="3" width="13.6640625" customWidth="1"/>
    <col min="4" max="4" width="9.5" customWidth="1"/>
    <col min="5" max="5" width="20.1640625" customWidth="1"/>
    <col min="6" max="6" width="20.5" customWidth="1"/>
    <col min="7" max="7" width="16.5" customWidth="1"/>
    <col min="8" max="8" width="42.1640625" customWidth="1"/>
    <col min="9" max="9" width="17.33203125" customWidth="1"/>
    <col min="10" max="10" width="9.1640625" customWidth="1"/>
    <col min="11" max="11" width="9.6640625" customWidth="1"/>
    <col min="12" max="12" width="22.83203125" customWidth="1"/>
    <col min="13" max="13" width="23" customWidth="1"/>
    <col min="14" max="14" width="7.83203125" customWidth="1"/>
    <col min="15" max="15" width="22" style="5" customWidth="1"/>
    <col min="16" max="16" width="24.5" customWidth="1"/>
    <col min="17" max="17" width="14.1640625" bestFit="1" customWidth="1"/>
    <col min="19" max="19" width="26.1640625" customWidth="1"/>
  </cols>
  <sheetData>
    <row r="2" spans="1:28" ht="17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9"/>
      <c r="P2" s="6"/>
      <c r="Q2" s="6"/>
      <c r="R2" s="6"/>
    </row>
    <row r="3" spans="1:28" ht="18">
      <c r="B3" s="10"/>
      <c r="C3" s="11" t="s">
        <v>0</v>
      </c>
      <c r="D3" s="12"/>
      <c r="E3" s="13"/>
      <c r="F3" s="14"/>
      <c r="G3" s="15"/>
      <c r="H3" s="16"/>
      <c r="I3" s="16"/>
      <c r="J3" s="16"/>
      <c r="K3" s="16"/>
      <c r="L3" s="16"/>
      <c r="M3" s="17"/>
      <c r="N3" s="18"/>
      <c r="O3" s="19"/>
      <c r="P3" s="20"/>
      <c r="Q3" s="20"/>
      <c r="R3" s="20"/>
      <c r="S3" s="20"/>
    </row>
    <row r="4" spans="1:28" ht="18">
      <c r="B4" s="10"/>
      <c r="C4" s="21" t="s">
        <v>1</v>
      </c>
      <c r="D4" s="22"/>
      <c r="E4" s="23"/>
      <c r="F4" s="23"/>
      <c r="G4" s="15"/>
      <c r="H4" s="16"/>
      <c r="I4" s="16"/>
      <c r="J4" s="16"/>
      <c r="K4" s="16"/>
      <c r="L4" s="16"/>
      <c r="M4" s="17"/>
      <c r="N4" s="18"/>
      <c r="O4" s="19"/>
      <c r="P4" s="20"/>
      <c r="Q4" s="20"/>
      <c r="R4" s="20"/>
      <c r="S4" s="20"/>
    </row>
    <row r="5" spans="1:28" ht="24">
      <c r="B5" s="24" t="s">
        <v>2</v>
      </c>
      <c r="C5" s="25"/>
      <c r="D5" s="26"/>
      <c r="E5" s="27" t="s">
        <v>3</v>
      </c>
      <c r="F5" s="28"/>
      <c r="G5" s="29"/>
      <c r="H5" s="30"/>
      <c r="I5" s="31"/>
      <c r="J5" s="32"/>
      <c r="K5" s="32"/>
      <c r="L5" s="33"/>
      <c r="M5" s="34" t="s">
        <v>1549</v>
      </c>
      <c r="N5" s="35"/>
      <c r="O5" s="36"/>
    </row>
    <row r="6" spans="1:28" ht="17">
      <c r="B6" s="37" t="s">
        <v>4</v>
      </c>
      <c r="C6" s="38"/>
      <c r="D6" s="39"/>
      <c r="E6" s="39"/>
      <c r="F6" s="39"/>
      <c r="G6" s="39"/>
      <c r="H6" s="39"/>
      <c r="I6" s="39"/>
      <c r="J6" s="39"/>
      <c r="K6" s="39"/>
      <c r="L6" s="39"/>
      <c r="M6" s="40"/>
      <c r="N6" s="35"/>
      <c r="O6" s="36"/>
    </row>
    <row r="7" spans="1:28" ht="18">
      <c r="B7" s="41" t="s">
        <v>1666</v>
      </c>
      <c r="C7" s="42"/>
      <c r="D7" s="43"/>
      <c r="E7" s="43"/>
      <c r="F7" s="43"/>
      <c r="G7" s="43"/>
      <c r="H7" s="43" t="s">
        <v>5</v>
      </c>
      <c r="I7" s="43"/>
      <c r="J7" s="43"/>
      <c r="K7" s="43"/>
      <c r="L7" s="43"/>
      <c r="M7" s="44"/>
      <c r="N7" s="35"/>
      <c r="O7" s="36"/>
    </row>
    <row r="8" spans="1:28" ht="36">
      <c r="A8" s="45"/>
      <c r="B8" s="46" t="s">
        <v>6</v>
      </c>
      <c r="C8" s="46" t="s">
        <v>7</v>
      </c>
      <c r="D8" s="46" t="s">
        <v>8</v>
      </c>
      <c r="E8" s="46" t="s">
        <v>9</v>
      </c>
      <c r="F8" s="46" t="s">
        <v>10</v>
      </c>
      <c r="G8" s="46" t="s">
        <v>11</v>
      </c>
      <c r="H8" s="46" t="s">
        <v>12</v>
      </c>
      <c r="I8" s="46" t="s">
        <v>13</v>
      </c>
      <c r="J8" s="46" t="s">
        <v>14</v>
      </c>
      <c r="K8" s="46" t="s">
        <v>15</v>
      </c>
      <c r="L8" s="46" t="s">
        <v>16</v>
      </c>
      <c r="M8" s="47" t="s">
        <v>17</v>
      </c>
      <c r="N8" s="48" t="s">
        <v>18</v>
      </c>
      <c r="O8" s="49" t="s">
        <v>19</v>
      </c>
      <c r="P8" s="46" t="s">
        <v>20</v>
      </c>
      <c r="Q8" s="46" t="s">
        <v>21</v>
      </c>
      <c r="R8" s="50" t="s">
        <v>22</v>
      </c>
      <c r="S8" s="50" t="s">
        <v>23</v>
      </c>
      <c r="T8" s="51"/>
      <c r="U8" s="45"/>
      <c r="V8" s="45"/>
      <c r="W8" s="45"/>
      <c r="X8" s="45"/>
      <c r="Y8" s="45"/>
      <c r="Z8" s="45"/>
      <c r="AA8" s="45"/>
      <c r="AB8" s="45"/>
    </row>
    <row r="9" spans="1:28" ht="42">
      <c r="A9">
        <v>1</v>
      </c>
      <c r="B9" s="52">
        <v>45627</v>
      </c>
      <c r="C9" s="53">
        <v>45904</v>
      </c>
      <c r="D9" s="54">
        <v>1</v>
      </c>
      <c r="E9" s="54"/>
      <c r="F9" s="55"/>
      <c r="G9" s="56">
        <v>41598031</v>
      </c>
      <c r="H9" s="57" t="str">
        <f t="shared" ref="H9:H14" si="0">VLOOKUP(G9,PROD,2,FALSE)</f>
        <v>CAFETERA INTEGRACION CLC 855 GM INOX</v>
      </c>
      <c r="I9" s="58" t="s">
        <v>1299</v>
      </c>
      <c r="J9" s="59" t="s">
        <v>24</v>
      </c>
      <c r="K9" s="58" t="s">
        <v>25</v>
      </c>
      <c r="L9" s="58" t="s">
        <v>1300</v>
      </c>
      <c r="M9" s="55" t="s">
        <v>1301</v>
      </c>
      <c r="N9" s="60">
        <v>15</v>
      </c>
      <c r="O9" s="61" t="s">
        <v>1302</v>
      </c>
      <c r="P9" s="62" t="s">
        <v>1303</v>
      </c>
      <c r="Q9" s="63">
        <v>996113452</v>
      </c>
      <c r="R9" s="63"/>
      <c r="S9" s="63" t="s">
        <v>1304</v>
      </c>
    </row>
    <row r="10" spans="1:28" ht="21">
      <c r="A10">
        <v>2</v>
      </c>
      <c r="B10" s="52">
        <v>45744</v>
      </c>
      <c r="C10" s="53">
        <v>45910</v>
      </c>
      <c r="D10" s="54">
        <v>1</v>
      </c>
      <c r="E10" s="54">
        <v>40197255</v>
      </c>
      <c r="F10" s="55" t="s">
        <v>1471</v>
      </c>
      <c r="G10" s="284">
        <v>40197255</v>
      </c>
      <c r="H10" s="57" t="str">
        <f t="shared" si="0"/>
        <v>TR 710.1 TRITURADOR</v>
      </c>
      <c r="I10" s="58" t="s">
        <v>1138</v>
      </c>
      <c r="J10" s="59" t="s">
        <v>24</v>
      </c>
      <c r="K10" s="58" t="s">
        <v>25</v>
      </c>
      <c r="L10" s="58" t="s">
        <v>1472</v>
      </c>
      <c r="M10" s="55" t="s">
        <v>1473</v>
      </c>
      <c r="N10" s="60">
        <v>12.5</v>
      </c>
      <c r="O10" s="61" t="s">
        <v>1474</v>
      </c>
      <c r="P10" s="62" t="s">
        <v>1142</v>
      </c>
      <c r="Q10" s="63">
        <v>984454001</v>
      </c>
      <c r="R10" s="63"/>
      <c r="S10" s="63" t="s">
        <v>1137</v>
      </c>
    </row>
    <row r="11" spans="1:28" ht="36">
      <c r="A11">
        <v>3</v>
      </c>
      <c r="B11" s="52">
        <v>45469</v>
      </c>
      <c r="C11" s="53">
        <v>45912</v>
      </c>
      <c r="D11" s="54">
        <v>1</v>
      </c>
      <c r="E11" s="54">
        <v>8128027</v>
      </c>
      <c r="F11" s="55" t="s">
        <v>1475</v>
      </c>
      <c r="G11" s="284">
        <v>112610071</v>
      </c>
      <c r="H11" s="57" t="str">
        <f t="shared" si="0"/>
        <v>GSC 64320 XBA IX (LAT) COCINA INOX</v>
      </c>
      <c r="I11" s="58" t="s">
        <v>1476</v>
      </c>
      <c r="J11" s="59" t="s">
        <v>24</v>
      </c>
      <c r="K11" s="58" t="s">
        <v>25</v>
      </c>
      <c r="L11" s="58" t="s">
        <v>1477</v>
      </c>
      <c r="M11" s="55" t="s">
        <v>1478</v>
      </c>
      <c r="N11" s="60">
        <v>12.5</v>
      </c>
      <c r="O11" s="61" t="s">
        <v>1479</v>
      </c>
      <c r="P11" s="62" t="s">
        <v>1480</v>
      </c>
      <c r="Q11" s="63">
        <v>991688171</v>
      </c>
      <c r="R11" s="63"/>
      <c r="S11" s="63" t="s">
        <v>1481</v>
      </c>
    </row>
    <row r="12" spans="1:28" ht="42">
      <c r="A12">
        <v>4</v>
      </c>
      <c r="B12" s="52">
        <v>45953</v>
      </c>
      <c r="C12" s="53">
        <v>45912</v>
      </c>
      <c r="D12" s="54">
        <v>2</v>
      </c>
      <c r="E12" s="54">
        <v>81483104</v>
      </c>
      <c r="F12" s="55" t="s">
        <v>1482</v>
      </c>
      <c r="G12" s="284">
        <v>40485311</v>
      </c>
      <c r="H12" s="57" t="str">
        <f t="shared" si="0"/>
        <v>DG3 70 CRISTAL CAMPANA (NC: 40485357)</v>
      </c>
      <c r="I12" s="58" t="s">
        <v>1483</v>
      </c>
      <c r="J12" s="59" t="s">
        <v>24</v>
      </c>
      <c r="K12" s="58" t="s">
        <v>25</v>
      </c>
      <c r="L12" s="58" t="s">
        <v>1484</v>
      </c>
      <c r="M12" s="55" t="s">
        <v>1485</v>
      </c>
      <c r="N12" s="60">
        <v>12.5</v>
      </c>
      <c r="O12" s="61" t="s">
        <v>1486</v>
      </c>
      <c r="P12" s="62" t="s">
        <v>1487</v>
      </c>
      <c r="Q12" s="63">
        <v>988243799</v>
      </c>
      <c r="R12" s="63"/>
      <c r="S12" s="63" t="s">
        <v>1488</v>
      </c>
    </row>
    <row r="13" spans="1:28" ht="36">
      <c r="A13">
        <v>5</v>
      </c>
      <c r="B13" s="52">
        <v>45985</v>
      </c>
      <c r="C13" s="53">
        <v>45912</v>
      </c>
      <c r="D13" s="54">
        <v>1</v>
      </c>
      <c r="E13" s="54">
        <v>60803269</v>
      </c>
      <c r="F13" s="55" t="s">
        <v>1489</v>
      </c>
      <c r="G13" s="56">
        <v>112510035</v>
      </c>
      <c r="H13" s="57" t="str">
        <f t="shared" si="0"/>
        <v>IZF 64440 MSP BK COCINA INDUCCION</v>
      </c>
      <c r="I13" s="58" t="s">
        <v>1490</v>
      </c>
      <c r="J13" s="59" t="s">
        <v>24</v>
      </c>
      <c r="K13" s="58" t="s">
        <v>25</v>
      </c>
      <c r="L13" s="58" t="s">
        <v>1491</v>
      </c>
      <c r="M13" s="55" t="s">
        <v>1492</v>
      </c>
      <c r="N13" s="60">
        <v>12.5</v>
      </c>
      <c r="O13" s="61" t="s">
        <v>1493</v>
      </c>
      <c r="P13" s="62" t="s">
        <v>1494</v>
      </c>
      <c r="Q13" s="63">
        <v>987715854</v>
      </c>
      <c r="R13" s="63"/>
      <c r="S13" s="63" t="s">
        <v>1495</v>
      </c>
    </row>
    <row r="14" spans="1:28" ht="32" customHeight="1">
      <c r="A14">
        <v>6</v>
      </c>
      <c r="B14" s="52">
        <v>45133</v>
      </c>
      <c r="C14" s="53">
        <v>45912</v>
      </c>
      <c r="D14" s="54">
        <v>1</v>
      </c>
      <c r="E14" s="54"/>
      <c r="F14" s="55"/>
      <c r="G14" s="56">
        <v>112570124</v>
      </c>
      <c r="H14" s="57" t="str">
        <f t="shared" si="0"/>
        <v>JZC 64322 ABB BK (LAT) COCINA MIXTA GAS - INDUCCION</v>
      </c>
      <c r="I14" s="58" t="s">
        <v>1655</v>
      </c>
      <c r="J14" s="59" t="s">
        <v>24</v>
      </c>
      <c r="K14" s="58" t="s">
        <v>25</v>
      </c>
      <c r="L14" s="58" t="s">
        <v>1656</v>
      </c>
      <c r="M14" s="55" t="s">
        <v>1657</v>
      </c>
      <c r="N14" s="60">
        <v>12.5</v>
      </c>
      <c r="O14" s="61" t="s">
        <v>1658</v>
      </c>
      <c r="P14" s="62" t="s">
        <v>1659</v>
      </c>
      <c r="Q14" s="63">
        <v>984770337</v>
      </c>
      <c r="R14" s="63"/>
      <c r="S14" s="63" t="s">
        <v>1660</v>
      </c>
    </row>
    <row r="15" spans="1:28" ht="36">
      <c r="A15">
        <v>7</v>
      </c>
      <c r="B15" s="52">
        <v>45688</v>
      </c>
      <c r="C15" s="53">
        <v>45915</v>
      </c>
      <c r="D15" s="54">
        <v>1</v>
      </c>
      <c r="E15" s="54">
        <v>81411015</v>
      </c>
      <c r="F15" s="55" t="s">
        <v>1496</v>
      </c>
      <c r="G15" s="56">
        <v>113100004</v>
      </c>
      <c r="H15" s="57" t="str">
        <f t="shared" ref="H15:H18" si="1">VLOOKUP(G15,PROD,2,FALSE)</f>
        <v>CAMPANA DHT 97670 ROS WH</v>
      </c>
      <c r="I15" s="58" t="s">
        <v>1497</v>
      </c>
      <c r="J15" s="59" t="s">
        <v>24</v>
      </c>
      <c r="K15" s="58" t="s">
        <v>25</v>
      </c>
      <c r="L15" s="58" t="s">
        <v>1498</v>
      </c>
      <c r="M15" s="55" t="s">
        <v>1499</v>
      </c>
      <c r="N15" s="60">
        <v>15</v>
      </c>
      <c r="O15" s="61" t="s">
        <v>1500</v>
      </c>
      <c r="P15" s="62" t="s">
        <v>1501</v>
      </c>
      <c r="Q15" s="63">
        <v>982660042</v>
      </c>
      <c r="R15" s="63"/>
      <c r="S15" s="63" t="s">
        <v>1502</v>
      </c>
    </row>
    <row r="16" spans="1:28" ht="21">
      <c r="A16">
        <v>8</v>
      </c>
      <c r="B16" s="52">
        <v>45806</v>
      </c>
      <c r="C16" s="53">
        <v>45915</v>
      </c>
      <c r="D16" s="54">
        <v>1</v>
      </c>
      <c r="E16" s="54">
        <v>112500047</v>
      </c>
      <c r="F16" s="55" t="s">
        <v>1503</v>
      </c>
      <c r="G16" s="284">
        <v>112500047</v>
      </c>
      <c r="H16" s="57" t="str">
        <f t="shared" si="1"/>
        <v>IZF 99700 MST COCINA INDUCCION</v>
      </c>
      <c r="I16" s="58" t="s">
        <v>1504</v>
      </c>
      <c r="J16" s="59" t="s">
        <v>24</v>
      </c>
      <c r="K16" s="58" t="s">
        <v>25</v>
      </c>
      <c r="L16" s="58" t="s">
        <v>1505</v>
      </c>
      <c r="M16" s="55" t="s">
        <v>1473</v>
      </c>
      <c r="N16" s="60">
        <v>12.5</v>
      </c>
      <c r="O16" s="61" t="s">
        <v>1506</v>
      </c>
      <c r="P16" s="62" t="s">
        <v>1507</v>
      </c>
      <c r="Q16" s="63">
        <v>999100747</v>
      </c>
      <c r="R16" s="63"/>
      <c r="S16" s="63" t="s">
        <v>1508</v>
      </c>
    </row>
    <row r="17" spans="1:19" ht="36">
      <c r="A17">
        <v>9</v>
      </c>
      <c r="B17" s="52">
        <v>45901</v>
      </c>
      <c r="C17" s="53">
        <v>45918</v>
      </c>
      <c r="D17" s="54">
        <v>1</v>
      </c>
      <c r="E17" s="54"/>
      <c r="F17" s="55"/>
      <c r="G17" s="284">
        <v>111570003</v>
      </c>
      <c r="H17" s="57" t="str">
        <f t="shared" si="1"/>
        <v>COCINA GOURMET BBQ 4100 G SS</v>
      </c>
      <c r="I17" s="58" t="s">
        <v>1688</v>
      </c>
      <c r="J17" s="59" t="s">
        <v>24</v>
      </c>
      <c r="K17" s="58" t="s">
        <v>25</v>
      </c>
      <c r="L17" s="58" t="s">
        <v>1054</v>
      </c>
      <c r="M17" s="55" t="s">
        <v>1690</v>
      </c>
      <c r="N17" s="60">
        <v>12.5</v>
      </c>
      <c r="O17" s="61" t="s">
        <v>1692</v>
      </c>
      <c r="P17" s="62" t="s">
        <v>1553</v>
      </c>
      <c r="Q17" s="63">
        <v>987665567</v>
      </c>
      <c r="R17" s="63"/>
      <c r="S17" s="63" t="s">
        <v>1118</v>
      </c>
    </row>
    <row r="18" spans="1:19" ht="21">
      <c r="A18">
        <v>10</v>
      </c>
      <c r="B18" s="52">
        <v>45901</v>
      </c>
      <c r="C18" s="53">
        <v>45918</v>
      </c>
      <c r="D18" s="54">
        <v>1</v>
      </c>
      <c r="E18" s="54"/>
      <c r="F18" s="55"/>
      <c r="G18" s="284">
        <v>112610067</v>
      </c>
      <c r="H18" s="57" t="str">
        <f t="shared" si="1"/>
        <v>GSC 96320 XBA IX (LAT) COCINA INOX</v>
      </c>
      <c r="I18" s="58" t="s">
        <v>1689</v>
      </c>
      <c r="J18" s="59" t="s">
        <v>24</v>
      </c>
      <c r="K18" s="58" t="s">
        <v>25</v>
      </c>
      <c r="L18" s="58" t="s">
        <v>1054</v>
      </c>
      <c r="M18" s="55" t="s">
        <v>1691</v>
      </c>
      <c r="N18" s="60">
        <v>12.5</v>
      </c>
      <c r="O18" s="61" t="s">
        <v>1692</v>
      </c>
      <c r="P18" s="62" t="s">
        <v>1553</v>
      </c>
      <c r="Q18" s="63">
        <v>987665567</v>
      </c>
      <c r="R18" s="63"/>
      <c r="S18" s="63" t="s">
        <v>1118</v>
      </c>
    </row>
    <row r="19" spans="1:19">
      <c r="N19" s="64">
        <f>SUM(N9:N18)</f>
        <v>130</v>
      </c>
    </row>
    <row r="21" spans="1:19" ht="16">
      <c r="G21">
        <v>1</v>
      </c>
      <c r="H21" t="s">
        <v>1662</v>
      </c>
      <c r="I21">
        <v>12.5</v>
      </c>
      <c r="J21" s="1">
        <f>G21*I21</f>
        <v>12.5</v>
      </c>
    </row>
    <row r="22" spans="1:19" ht="16">
      <c r="G22" s="1">
        <v>1</v>
      </c>
      <c r="H22" s="1" t="s">
        <v>1041</v>
      </c>
      <c r="I22" s="1">
        <v>12.5</v>
      </c>
      <c r="J22" s="1">
        <v>15</v>
      </c>
    </row>
    <row r="23" spans="1:19" ht="16">
      <c r="G23" s="1">
        <v>5</v>
      </c>
      <c r="H23" s="1" t="s">
        <v>26</v>
      </c>
      <c r="I23" s="1">
        <v>12.5</v>
      </c>
      <c r="J23" s="1">
        <f t="shared" ref="J23:J26" si="2">G23*I23</f>
        <v>62.5</v>
      </c>
    </row>
    <row r="24" spans="1:19" ht="16">
      <c r="G24" s="1">
        <v>1</v>
      </c>
      <c r="H24" s="1" t="s">
        <v>1663</v>
      </c>
      <c r="I24" s="1">
        <v>12.5</v>
      </c>
      <c r="J24" s="1">
        <f t="shared" si="2"/>
        <v>12.5</v>
      </c>
    </row>
    <row r="25" spans="1:19" ht="16">
      <c r="G25" s="1">
        <v>1</v>
      </c>
      <c r="H25" s="1" t="s">
        <v>1664</v>
      </c>
      <c r="I25" s="1">
        <v>15</v>
      </c>
      <c r="J25" s="1">
        <f t="shared" si="2"/>
        <v>15</v>
      </c>
    </row>
    <row r="26" spans="1:19" ht="16">
      <c r="G26" s="1">
        <v>1</v>
      </c>
      <c r="H26" s="1" t="s">
        <v>52</v>
      </c>
      <c r="I26" s="1">
        <v>12.5</v>
      </c>
      <c r="J26" s="1">
        <f t="shared" si="2"/>
        <v>12.5</v>
      </c>
    </row>
    <row r="27" spans="1:19" ht="16">
      <c r="J27" s="1">
        <f>SUM(J21:J26)</f>
        <v>130</v>
      </c>
    </row>
  </sheetData>
  <hyperlinks>
    <hyperlink ref="P9" r:id="rId1" xr:uid="{99CD47E3-CE0F-B248-AF7D-91D7F9A83F70}"/>
    <hyperlink ref="P10" r:id="rId2" xr:uid="{3905446E-E8DC-1140-93BF-51F7B0DEF636}"/>
    <hyperlink ref="P11" r:id="rId3" xr:uid="{D065F08F-30F1-DB46-AA7E-0FDC44807BD8}"/>
    <hyperlink ref="P12" r:id="rId4" xr:uid="{57D1116E-7EE9-F44F-B898-E07389712126}"/>
    <hyperlink ref="P13" r:id="rId5" xr:uid="{74296DAD-C7A3-9D46-8DDE-AE5C0B1CC2F6}"/>
    <hyperlink ref="P15" r:id="rId6" xr:uid="{1F7194F7-5A3B-184C-8683-8311738EC1F4}"/>
    <hyperlink ref="P14" r:id="rId7" xr:uid="{9D3EE49B-52C2-F14C-B3CE-47F678624983}"/>
    <hyperlink ref="P17" r:id="rId8" xr:uid="{44845BE1-AB15-4B4B-A7C0-5412836EBFBB}"/>
    <hyperlink ref="P18" r:id="rId9" xr:uid="{AF742EE5-D41C-6A40-A0D9-176060C0809E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1"/>
  <sheetViews>
    <sheetView topLeftCell="C100" zoomScale="110" zoomScaleNormal="110" workbookViewId="0">
      <selection activeCell="E129" sqref="E129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9" customWidth="1"/>
    <col min="6" max="6" width="47" customWidth="1"/>
    <col min="7" max="7" width="18.33203125" customWidth="1"/>
    <col min="8" max="8" width="7.6640625" customWidth="1"/>
    <col min="9" max="9" width="9.1640625" customWidth="1"/>
    <col min="10" max="10" width="10" customWidth="1"/>
    <col min="11" max="11" width="11.33203125" customWidth="1"/>
    <col min="12" max="12" width="27.6640625" customWidth="1"/>
    <col min="13" max="13" width="25" customWidth="1"/>
    <col min="14" max="14" width="13.5" customWidth="1"/>
    <col min="15" max="15" width="7.6640625" customWidth="1"/>
    <col min="16" max="16" width="13.6640625" customWidth="1"/>
    <col min="18" max="18" width="7.6640625" customWidth="1"/>
    <col min="19" max="19" width="22.83203125" customWidth="1"/>
    <col min="20" max="20" width="26.6640625" customWidth="1"/>
    <col min="21" max="21" width="35.5" customWidth="1"/>
  </cols>
  <sheetData>
    <row r="2" spans="1:21" ht="18">
      <c r="C2" s="65"/>
      <c r="D2" s="65"/>
      <c r="E2" s="65"/>
      <c r="F2" s="65"/>
      <c r="G2" s="65"/>
      <c r="H2" s="65"/>
      <c r="I2" s="65"/>
      <c r="J2" s="65"/>
      <c r="K2" s="66"/>
      <c r="L2" s="65"/>
      <c r="M2" s="65"/>
      <c r="N2" s="65"/>
      <c r="O2" s="65"/>
      <c r="P2" s="65"/>
      <c r="Q2" s="65"/>
      <c r="R2" s="65"/>
      <c r="S2" s="65"/>
    </row>
    <row r="3" spans="1:21" ht="18">
      <c r="A3" s="67"/>
      <c r="C3" s="68" t="s">
        <v>0</v>
      </c>
      <c r="D3" s="65"/>
      <c r="E3" s="69"/>
      <c r="F3" s="65"/>
      <c r="G3" s="70"/>
      <c r="H3" s="66"/>
      <c r="I3" s="71"/>
      <c r="J3" s="72"/>
      <c r="K3" s="66"/>
      <c r="L3" s="73"/>
      <c r="M3" s="73"/>
      <c r="N3" s="66"/>
      <c r="O3" s="74"/>
      <c r="P3" s="65"/>
      <c r="Q3" s="65"/>
      <c r="R3" s="65"/>
      <c r="S3" s="65"/>
    </row>
    <row r="4" spans="1:21" ht="18">
      <c r="A4" s="67"/>
      <c r="C4" s="75" t="s">
        <v>1</v>
      </c>
      <c r="D4" s="65"/>
      <c r="E4" s="66"/>
      <c r="F4" s="65"/>
      <c r="G4" s="76"/>
      <c r="H4" s="77"/>
      <c r="I4" s="78"/>
      <c r="J4" s="79" t="s">
        <v>27</v>
      </c>
      <c r="K4" s="77"/>
      <c r="L4" s="80"/>
      <c r="M4" s="81"/>
      <c r="N4" s="66" t="s">
        <v>1043</v>
      </c>
      <c r="O4" s="74"/>
      <c r="P4" s="82"/>
      <c r="Q4" s="65"/>
      <c r="R4" s="65"/>
      <c r="S4" s="65"/>
    </row>
    <row r="5" spans="1:21" s="1" customFormat="1" ht="51">
      <c r="A5" s="83"/>
      <c r="B5" s="84" t="s">
        <v>28</v>
      </c>
      <c r="C5" s="84" t="s">
        <v>29</v>
      </c>
      <c r="D5" s="84" t="s">
        <v>30</v>
      </c>
      <c r="E5" s="84" t="s">
        <v>31</v>
      </c>
      <c r="F5" s="85" t="s">
        <v>32</v>
      </c>
      <c r="G5" s="84" t="s">
        <v>33</v>
      </c>
      <c r="H5" s="84" t="s">
        <v>34</v>
      </c>
      <c r="I5" s="84" t="s">
        <v>35</v>
      </c>
      <c r="J5" s="84" t="s">
        <v>36</v>
      </c>
      <c r="K5" s="84" t="s">
        <v>37</v>
      </c>
      <c r="L5" s="86" t="s">
        <v>38</v>
      </c>
      <c r="M5" s="86" t="s">
        <v>39</v>
      </c>
      <c r="N5" s="84" t="s">
        <v>40</v>
      </c>
      <c r="O5" s="87" t="s">
        <v>41</v>
      </c>
      <c r="P5" s="84" t="s">
        <v>42</v>
      </c>
      <c r="Q5" s="84" t="s">
        <v>43</v>
      </c>
      <c r="R5" s="84" t="s">
        <v>22</v>
      </c>
      <c r="S5" s="84" t="s">
        <v>23</v>
      </c>
      <c r="T5" s="84" t="s">
        <v>44</v>
      </c>
      <c r="U5" s="84" t="s">
        <v>45</v>
      </c>
    </row>
    <row r="6" spans="1:21" s="172" customFormat="1" ht="19">
      <c r="A6" s="172">
        <v>1</v>
      </c>
      <c r="B6" s="173">
        <v>45757</v>
      </c>
      <c r="C6" s="173" t="s">
        <v>1045</v>
      </c>
      <c r="D6" s="173" t="s">
        <v>1046</v>
      </c>
      <c r="E6" s="174">
        <v>112030009</v>
      </c>
      <c r="F6" s="175" t="str">
        <f t="shared" ref="F6:F71" si="0">VLOOKUP(E6,PROD,2,FALSE)</f>
        <v>ML 82-G1 BIS L BM - MICROONDAS</v>
      </c>
      <c r="G6" s="176" t="s">
        <v>1047</v>
      </c>
      <c r="H6" s="177" t="s">
        <v>24</v>
      </c>
      <c r="I6" s="177" t="s">
        <v>46</v>
      </c>
      <c r="J6" s="177" t="s">
        <v>47</v>
      </c>
      <c r="K6" s="203">
        <v>45889</v>
      </c>
      <c r="L6" s="173" t="s">
        <v>1051</v>
      </c>
      <c r="M6" s="173" t="s">
        <v>1052</v>
      </c>
      <c r="N6" s="178">
        <v>939721093</v>
      </c>
      <c r="O6" s="179">
        <v>15</v>
      </c>
      <c r="P6" s="177" t="s">
        <v>48</v>
      </c>
      <c r="Q6" s="177" t="s">
        <v>46</v>
      </c>
      <c r="R6" s="180"/>
      <c r="S6" s="176" t="str">
        <f>D6</f>
        <v>043-909-000001186</v>
      </c>
      <c r="T6" s="181">
        <v>900061605</v>
      </c>
      <c r="U6" s="88" t="s">
        <v>1053</v>
      </c>
    </row>
    <row r="7" spans="1:21" s="172" customFormat="1" ht="19">
      <c r="A7" s="172">
        <v>2</v>
      </c>
      <c r="B7" s="173">
        <v>45757</v>
      </c>
      <c r="C7" s="173" t="s">
        <v>1045</v>
      </c>
      <c r="D7" s="173" t="s">
        <v>1046</v>
      </c>
      <c r="E7" s="174">
        <v>111000059</v>
      </c>
      <c r="F7" s="175" t="str">
        <f t="shared" si="0"/>
        <v>HLB 85-G1 P BM Maestro Pizza</v>
      </c>
      <c r="G7" s="176" t="s">
        <v>1048</v>
      </c>
      <c r="H7" s="177" t="s">
        <v>24</v>
      </c>
      <c r="I7" s="177" t="s">
        <v>46</v>
      </c>
      <c r="J7" s="177" t="s">
        <v>47</v>
      </c>
      <c r="K7" s="203">
        <v>45889</v>
      </c>
      <c r="L7" s="173" t="s">
        <v>1051</v>
      </c>
      <c r="M7" s="173" t="s">
        <v>1052</v>
      </c>
      <c r="N7" s="178">
        <v>939721093</v>
      </c>
      <c r="O7" s="179">
        <v>15</v>
      </c>
      <c r="P7" s="177" t="s">
        <v>48</v>
      </c>
      <c r="Q7" s="177" t="s">
        <v>46</v>
      </c>
      <c r="R7" s="180"/>
      <c r="S7" s="176" t="str">
        <f t="shared" ref="S7:S9" si="1">D7</f>
        <v>043-909-000001186</v>
      </c>
      <c r="T7" s="181">
        <v>900061605</v>
      </c>
      <c r="U7" s="88" t="s">
        <v>1053</v>
      </c>
    </row>
    <row r="8" spans="1:21" s="172" customFormat="1" ht="19">
      <c r="A8" s="172">
        <v>3</v>
      </c>
      <c r="B8" s="173">
        <v>45757</v>
      </c>
      <c r="C8" s="173" t="s">
        <v>1045</v>
      </c>
      <c r="D8" s="173" t="s">
        <v>1046</v>
      </c>
      <c r="E8" s="174">
        <v>112570238</v>
      </c>
      <c r="F8" s="175" t="str">
        <f t="shared" si="0"/>
        <v>GBC 95-G1 GBA BM COCINA GAS</v>
      </c>
      <c r="G8" s="176" t="s">
        <v>1049</v>
      </c>
      <c r="H8" s="177" t="s">
        <v>24</v>
      </c>
      <c r="I8" s="177" t="s">
        <v>46</v>
      </c>
      <c r="J8" s="177" t="s">
        <v>47</v>
      </c>
      <c r="K8" s="203">
        <v>45889</v>
      </c>
      <c r="L8" s="173" t="s">
        <v>1051</v>
      </c>
      <c r="M8" s="173" t="s">
        <v>1052</v>
      </c>
      <c r="N8" s="178">
        <v>939721093</v>
      </c>
      <c r="O8" s="179">
        <v>15</v>
      </c>
      <c r="P8" s="177" t="s">
        <v>48</v>
      </c>
      <c r="Q8" s="177" t="s">
        <v>46</v>
      </c>
      <c r="R8" s="180"/>
      <c r="S8" s="176" t="str">
        <f t="shared" si="1"/>
        <v>043-909-000001186</v>
      </c>
      <c r="T8" s="181">
        <v>900061605</v>
      </c>
      <c r="U8" s="88" t="s">
        <v>1053</v>
      </c>
    </row>
    <row r="9" spans="1:21" s="172" customFormat="1" ht="19">
      <c r="A9" s="172">
        <v>4</v>
      </c>
      <c r="B9" s="173">
        <v>45757</v>
      </c>
      <c r="C9" s="173" t="s">
        <v>1045</v>
      </c>
      <c r="D9" s="173" t="s">
        <v>1046</v>
      </c>
      <c r="E9" s="177">
        <v>40782127</v>
      </c>
      <c r="F9" s="175" t="str">
        <f t="shared" si="0"/>
        <v>DW8 57 FIM PANELABLE LAVAVAJILLAS</v>
      </c>
      <c r="G9" s="176" t="s">
        <v>1050</v>
      </c>
      <c r="H9" s="177" t="s">
        <v>24</v>
      </c>
      <c r="I9" s="177" t="s">
        <v>46</v>
      </c>
      <c r="J9" s="177" t="s">
        <v>47</v>
      </c>
      <c r="K9" s="203">
        <v>45889</v>
      </c>
      <c r="L9" s="173" t="s">
        <v>1051</v>
      </c>
      <c r="M9" s="173" t="s">
        <v>1052</v>
      </c>
      <c r="N9" s="178">
        <v>939721093</v>
      </c>
      <c r="O9" s="179">
        <v>15</v>
      </c>
      <c r="P9" s="177" t="s">
        <v>48</v>
      </c>
      <c r="Q9" s="177" t="s">
        <v>46</v>
      </c>
      <c r="R9" s="180"/>
      <c r="S9" s="176" t="str">
        <f t="shared" si="1"/>
        <v>043-909-000001186</v>
      </c>
      <c r="T9" s="181">
        <v>900061605</v>
      </c>
      <c r="U9" s="88" t="s">
        <v>1053</v>
      </c>
    </row>
    <row r="10" spans="1:21" s="172" customFormat="1" ht="19">
      <c r="A10" s="172">
        <v>5</v>
      </c>
      <c r="B10" s="173">
        <v>45862</v>
      </c>
      <c r="C10" s="176" t="s">
        <v>1054</v>
      </c>
      <c r="D10" s="176" t="s">
        <v>1055</v>
      </c>
      <c r="E10" s="177">
        <v>112580058</v>
      </c>
      <c r="F10" s="175" t="str">
        <f t="shared" si="0"/>
        <v>GBC 95030 KBB BK COCINA GAS</v>
      </c>
      <c r="G10" s="176" t="s">
        <v>1056</v>
      </c>
      <c r="H10" s="177" t="s">
        <v>24</v>
      </c>
      <c r="I10" s="177" t="s">
        <v>46</v>
      </c>
      <c r="J10" s="177" t="s">
        <v>47</v>
      </c>
      <c r="K10" s="182">
        <v>45891</v>
      </c>
      <c r="L10" s="183" t="s">
        <v>1059</v>
      </c>
      <c r="M10" s="183" t="s">
        <v>1060</v>
      </c>
      <c r="N10" s="176">
        <v>986603768</v>
      </c>
      <c r="O10" s="179">
        <v>15</v>
      </c>
      <c r="P10" s="177" t="s">
        <v>48</v>
      </c>
      <c r="Q10" s="177" t="s">
        <v>46</v>
      </c>
      <c r="R10" s="180"/>
      <c r="S10" s="176" t="str">
        <f t="shared" ref="S10:S29" si="2">D10</f>
        <v>001-500-000075310</v>
      </c>
      <c r="T10" s="184" t="s">
        <v>1061</v>
      </c>
      <c r="U10" s="88" t="s">
        <v>1062</v>
      </c>
    </row>
    <row r="11" spans="1:21" s="172" customFormat="1" ht="19">
      <c r="A11" s="172">
        <v>6</v>
      </c>
      <c r="B11" s="173">
        <v>45862</v>
      </c>
      <c r="C11" s="176" t="s">
        <v>1054</v>
      </c>
      <c r="D11" s="176" t="s">
        <v>1055</v>
      </c>
      <c r="E11" s="174">
        <v>111000051</v>
      </c>
      <c r="F11" s="175" t="str">
        <f t="shared" si="0"/>
        <v>HLB 8416 "AIR FRY" - HORNO ELEC</v>
      </c>
      <c r="G11" s="176" t="s">
        <v>1057</v>
      </c>
      <c r="H11" s="177" t="s">
        <v>24</v>
      </c>
      <c r="I11" s="177" t="s">
        <v>46</v>
      </c>
      <c r="J11" s="177" t="s">
        <v>47</v>
      </c>
      <c r="K11" s="182">
        <v>45891</v>
      </c>
      <c r="L11" s="183" t="s">
        <v>1059</v>
      </c>
      <c r="M11" s="183" t="s">
        <v>1060</v>
      </c>
      <c r="N11" s="176">
        <v>986603768</v>
      </c>
      <c r="O11" s="179">
        <v>15</v>
      </c>
      <c r="P11" s="177" t="s">
        <v>48</v>
      </c>
      <c r="Q11" s="177" t="s">
        <v>46</v>
      </c>
      <c r="R11" s="180"/>
      <c r="S11" s="176" t="str">
        <f t="shared" ref="S11:S12" si="3">D11</f>
        <v>001-500-000075310</v>
      </c>
      <c r="T11" s="184" t="s">
        <v>1061</v>
      </c>
      <c r="U11" s="88" t="s">
        <v>1062</v>
      </c>
    </row>
    <row r="12" spans="1:21" s="172" customFormat="1" ht="19">
      <c r="A12" s="172">
        <v>7</v>
      </c>
      <c r="B12" s="173">
        <v>45862</v>
      </c>
      <c r="C12" s="176" t="s">
        <v>1054</v>
      </c>
      <c r="D12" s="176" t="s">
        <v>1055</v>
      </c>
      <c r="E12" s="177">
        <v>40584202</v>
      </c>
      <c r="F12" s="175" t="str">
        <f t="shared" si="0"/>
        <v>ML 820 BIS - MICROONDAS</v>
      </c>
      <c r="G12" s="176" t="s">
        <v>1058</v>
      </c>
      <c r="H12" s="177" t="s">
        <v>24</v>
      </c>
      <c r="I12" s="177" t="s">
        <v>46</v>
      </c>
      <c r="J12" s="177" t="s">
        <v>47</v>
      </c>
      <c r="K12" s="182">
        <v>45891</v>
      </c>
      <c r="L12" s="183" t="s">
        <v>1059</v>
      </c>
      <c r="M12" s="183" t="s">
        <v>1060</v>
      </c>
      <c r="N12" s="176">
        <v>986603768</v>
      </c>
      <c r="O12" s="179">
        <v>15</v>
      </c>
      <c r="P12" s="177" t="s">
        <v>48</v>
      </c>
      <c r="Q12" s="177" t="s">
        <v>46</v>
      </c>
      <c r="R12" s="180"/>
      <c r="S12" s="176" t="str">
        <f t="shared" si="3"/>
        <v>001-500-000075310</v>
      </c>
      <c r="T12" s="184" t="s">
        <v>1061</v>
      </c>
      <c r="U12" s="88" t="s">
        <v>1062</v>
      </c>
    </row>
    <row r="13" spans="1:21" s="172" customFormat="1" ht="19">
      <c r="A13" s="172">
        <v>8</v>
      </c>
      <c r="B13" s="205">
        <v>45797</v>
      </c>
      <c r="C13" s="176" t="s">
        <v>1100</v>
      </c>
      <c r="D13" s="176" t="s">
        <v>1064</v>
      </c>
      <c r="E13" s="177">
        <v>112500047</v>
      </c>
      <c r="F13" s="175" t="str">
        <f t="shared" si="0"/>
        <v>IZF 99700 MST COCINA INDUCCION</v>
      </c>
      <c r="G13" s="176" t="s">
        <v>1071</v>
      </c>
      <c r="H13" s="177" t="s">
        <v>24</v>
      </c>
      <c r="I13" s="177" t="s">
        <v>46</v>
      </c>
      <c r="J13" s="177" t="s">
        <v>47</v>
      </c>
      <c r="K13" s="182">
        <v>45891</v>
      </c>
      <c r="L13" s="183" t="s">
        <v>1063</v>
      </c>
      <c r="M13" s="183" t="s">
        <v>1068</v>
      </c>
      <c r="N13" s="176">
        <v>999369027</v>
      </c>
      <c r="O13" s="179">
        <v>15</v>
      </c>
      <c r="P13" s="177" t="s">
        <v>48</v>
      </c>
      <c r="Q13" s="177" t="s">
        <v>46</v>
      </c>
      <c r="R13" s="180"/>
      <c r="S13" s="176" t="str">
        <f t="shared" ref="S13" si="4">D13</f>
        <v>001-001-000000923</v>
      </c>
      <c r="T13" s="184" t="s">
        <v>1069</v>
      </c>
      <c r="U13" s="88" t="s">
        <v>1070</v>
      </c>
    </row>
    <row r="14" spans="1:21" s="172" customFormat="1" ht="19">
      <c r="A14" s="172">
        <v>9</v>
      </c>
      <c r="B14" s="205">
        <v>45797</v>
      </c>
      <c r="C14" s="176" t="s">
        <v>1100</v>
      </c>
      <c r="D14" s="176" t="s">
        <v>1064</v>
      </c>
      <c r="E14" s="177">
        <v>40584305</v>
      </c>
      <c r="F14" s="175" t="str">
        <f t="shared" si="0"/>
        <v>ML 822 BIS - MICROONDAS (112030008)</v>
      </c>
      <c r="G14" s="176" t="s">
        <v>1065</v>
      </c>
      <c r="H14" s="177" t="s">
        <v>24</v>
      </c>
      <c r="I14" s="177" t="s">
        <v>46</v>
      </c>
      <c r="J14" s="177" t="s">
        <v>47</v>
      </c>
      <c r="K14" s="182">
        <v>45891</v>
      </c>
      <c r="L14" s="183" t="s">
        <v>1063</v>
      </c>
      <c r="M14" s="183" t="s">
        <v>1068</v>
      </c>
      <c r="N14" s="176">
        <v>999369027</v>
      </c>
      <c r="O14" s="179">
        <v>15</v>
      </c>
      <c r="P14" s="177" t="s">
        <v>48</v>
      </c>
      <c r="Q14" s="177" t="s">
        <v>46</v>
      </c>
      <c r="R14" s="180"/>
      <c r="S14" s="176" t="str">
        <f t="shared" ref="S14:S16" si="5">D14</f>
        <v>001-001-000000923</v>
      </c>
      <c r="T14" s="184" t="s">
        <v>1069</v>
      </c>
      <c r="U14" s="88" t="s">
        <v>1070</v>
      </c>
    </row>
    <row r="15" spans="1:21" s="172" customFormat="1" ht="19">
      <c r="A15" s="172">
        <v>10</v>
      </c>
      <c r="B15" s="205">
        <v>45797</v>
      </c>
      <c r="C15" s="176" t="s">
        <v>1100</v>
      </c>
      <c r="D15" s="176" t="s">
        <v>1064</v>
      </c>
      <c r="E15" s="177">
        <v>111000050</v>
      </c>
      <c r="F15" s="175" t="str">
        <f t="shared" si="0"/>
        <v>HLB 8510 P "MAESTRO PIZZA"</v>
      </c>
      <c r="G15" s="176" t="s">
        <v>1066</v>
      </c>
      <c r="H15" s="177" t="s">
        <v>24</v>
      </c>
      <c r="I15" s="177" t="s">
        <v>46</v>
      </c>
      <c r="J15" s="177" t="s">
        <v>47</v>
      </c>
      <c r="K15" s="182">
        <v>45891</v>
      </c>
      <c r="L15" s="183" t="s">
        <v>1063</v>
      </c>
      <c r="M15" s="183" t="s">
        <v>1068</v>
      </c>
      <c r="N15" s="176">
        <v>999369027</v>
      </c>
      <c r="O15" s="179">
        <v>15</v>
      </c>
      <c r="P15" s="177" t="s">
        <v>48</v>
      </c>
      <c r="Q15" s="177" t="s">
        <v>46</v>
      </c>
      <c r="R15" s="180"/>
      <c r="S15" s="176" t="str">
        <f t="shared" si="5"/>
        <v>001-001-000000923</v>
      </c>
      <c r="T15" s="184" t="s">
        <v>1069</v>
      </c>
      <c r="U15" s="88" t="s">
        <v>1070</v>
      </c>
    </row>
    <row r="16" spans="1:21" s="172" customFormat="1" ht="19">
      <c r="A16" s="172">
        <v>11</v>
      </c>
      <c r="B16" s="205">
        <v>45797</v>
      </c>
      <c r="C16" s="176" t="s">
        <v>1100</v>
      </c>
      <c r="D16" s="176" t="s">
        <v>1064</v>
      </c>
      <c r="E16" s="177">
        <v>40782128</v>
      </c>
      <c r="F16" s="175" t="str">
        <f t="shared" si="0"/>
        <v>DW8 57 FIM-D LAVAVAJILLAS</v>
      </c>
      <c r="G16" s="176" t="s">
        <v>1067</v>
      </c>
      <c r="H16" s="177" t="s">
        <v>24</v>
      </c>
      <c r="I16" s="177" t="s">
        <v>46</v>
      </c>
      <c r="J16" s="177" t="s">
        <v>47</v>
      </c>
      <c r="K16" s="182">
        <v>45891</v>
      </c>
      <c r="L16" s="183" t="s">
        <v>1063</v>
      </c>
      <c r="M16" s="183" t="s">
        <v>1068</v>
      </c>
      <c r="N16" s="176">
        <v>999369027</v>
      </c>
      <c r="O16" s="179">
        <v>15</v>
      </c>
      <c r="P16" s="177" t="s">
        <v>48</v>
      </c>
      <c r="Q16" s="177" t="s">
        <v>46</v>
      </c>
      <c r="R16" s="180"/>
      <c r="S16" s="176" t="str">
        <f t="shared" si="5"/>
        <v>001-001-000000923</v>
      </c>
      <c r="T16" s="184" t="s">
        <v>1069</v>
      </c>
      <c r="U16" s="88" t="s">
        <v>1070</v>
      </c>
    </row>
    <row r="17" spans="1:21" s="172" customFormat="1" ht="19">
      <c r="A17" s="172">
        <v>12</v>
      </c>
      <c r="B17" s="205">
        <v>45759</v>
      </c>
      <c r="C17" s="176" t="s">
        <v>1045</v>
      </c>
      <c r="D17" s="176" t="s">
        <v>1073</v>
      </c>
      <c r="E17" s="177">
        <v>40584012</v>
      </c>
      <c r="F17" s="175" t="str">
        <f t="shared" si="0"/>
        <v>MS 620 BIS - MICROONDAS</v>
      </c>
      <c r="G17" s="176" t="s">
        <v>1074</v>
      </c>
      <c r="H17" s="177" t="s">
        <v>24</v>
      </c>
      <c r="I17" s="177" t="s">
        <v>46</v>
      </c>
      <c r="J17" s="177" t="s">
        <v>47</v>
      </c>
      <c r="K17" s="182">
        <v>45894</v>
      </c>
      <c r="L17" s="183" t="s">
        <v>1072</v>
      </c>
      <c r="M17" s="183" t="s">
        <v>1077</v>
      </c>
      <c r="N17" s="176">
        <v>2809011</v>
      </c>
      <c r="O17" s="179">
        <v>15</v>
      </c>
      <c r="P17" s="177" t="s">
        <v>48</v>
      </c>
      <c r="Q17" s="177" t="s">
        <v>46</v>
      </c>
      <c r="R17" s="180"/>
      <c r="S17" s="176" t="str">
        <f t="shared" si="2"/>
        <v>043-905-000068254</v>
      </c>
      <c r="T17" s="184" t="s">
        <v>1078</v>
      </c>
      <c r="U17" s="88" t="s">
        <v>1079</v>
      </c>
    </row>
    <row r="18" spans="1:21" s="172" customFormat="1" ht="19">
      <c r="A18" s="172">
        <v>13</v>
      </c>
      <c r="B18" s="205">
        <v>45759</v>
      </c>
      <c r="C18" s="176" t="s">
        <v>1045</v>
      </c>
      <c r="D18" s="176" t="s">
        <v>1073</v>
      </c>
      <c r="E18" s="177">
        <v>112580058</v>
      </c>
      <c r="F18" s="175" t="str">
        <f t="shared" si="0"/>
        <v>GBC 95030 KBB BK COCINA GAS</v>
      </c>
      <c r="G18" s="176" t="s">
        <v>1075</v>
      </c>
      <c r="H18" s="177" t="s">
        <v>24</v>
      </c>
      <c r="I18" s="177" t="s">
        <v>46</v>
      </c>
      <c r="J18" s="177" t="s">
        <v>47</v>
      </c>
      <c r="K18" s="182">
        <v>45894</v>
      </c>
      <c r="L18" s="183" t="s">
        <v>1072</v>
      </c>
      <c r="M18" s="183" t="s">
        <v>1077</v>
      </c>
      <c r="N18" s="176">
        <v>2809011</v>
      </c>
      <c r="O18" s="179">
        <v>15</v>
      </c>
      <c r="P18" s="177" t="s">
        <v>48</v>
      </c>
      <c r="Q18" s="177" t="s">
        <v>46</v>
      </c>
      <c r="R18" s="180"/>
      <c r="S18" s="176" t="str">
        <f t="shared" ref="S18:S19" si="6">D18</f>
        <v>043-905-000068254</v>
      </c>
      <c r="T18" s="184" t="s">
        <v>1078</v>
      </c>
      <c r="U18" s="88" t="s">
        <v>1079</v>
      </c>
    </row>
    <row r="19" spans="1:21" s="172" customFormat="1" ht="20">
      <c r="A19" s="172">
        <v>14</v>
      </c>
      <c r="B19" s="205">
        <v>45759</v>
      </c>
      <c r="C19" s="176" t="s">
        <v>1045</v>
      </c>
      <c r="D19" s="176" t="s">
        <v>1073</v>
      </c>
      <c r="E19" s="177">
        <v>111020071</v>
      </c>
      <c r="F19" s="175" t="str">
        <f t="shared" si="0"/>
        <v>HBB 510 BK 220-240  50/60 HORNO ELEC</v>
      </c>
      <c r="G19" s="185" t="s">
        <v>1076</v>
      </c>
      <c r="H19" s="177" t="s">
        <v>24</v>
      </c>
      <c r="I19" s="177" t="s">
        <v>46</v>
      </c>
      <c r="J19" s="177" t="s">
        <v>47</v>
      </c>
      <c r="K19" s="182">
        <v>45894</v>
      </c>
      <c r="L19" s="183" t="s">
        <v>1072</v>
      </c>
      <c r="M19" s="183" t="s">
        <v>1077</v>
      </c>
      <c r="N19" s="176">
        <v>2809011</v>
      </c>
      <c r="O19" s="179">
        <v>15</v>
      </c>
      <c r="P19" s="177" t="s">
        <v>48</v>
      </c>
      <c r="Q19" s="177" t="s">
        <v>46</v>
      </c>
      <c r="R19" s="180"/>
      <c r="S19" s="176" t="str">
        <f t="shared" si="6"/>
        <v>043-905-000068254</v>
      </c>
      <c r="T19" s="184" t="s">
        <v>1078</v>
      </c>
      <c r="U19" s="88" t="s">
        <v>1079</v>
      </c>
    </row>
    <row r="20" spans="1:21" s="172" customFormat="1" ht="19">
      <c r="A20" s="172">
        <v>15</v>
      </c>
      <c r="B20" s="205">
        <v>45589</v>
      </c>
      <c r="C20" s="176" t="s">
        <v>1101</v>
      </c>
      <c r="D20" s="176" t="s">
        <v>1143</v>
      </c>
      <c r="E20" s="177">
        <v>112570128</v>
      </c>
      <c r="F20" s="175" t="str">
        <f t="shared" si="0"/>
        <v>JZC 96342 BBB BK (LAT) COCINA MIXTA GAS - INDUCCION</v>
      </c>
      <c r="G20" s="176" t="s">
        <v>1144</v>
      </c>
      <c r="H20" s="177" t="s">
        <v>24</v>
      </c>
      <c r="I20" s="177" t="s">
        <v>46</v>
      </c>
      <c r="J20" s="177" t="s">
        <v>47</v>
      </c>
      <c r="K20" s="182">
        <v>45894</v>
      </c>
      <c r="L20" s="183" t="s">
        <v>1098</v>
      </c>
      <c r="M20" s="183" t="s">
        <v>1152</v>
      </c>
      <c r="N20" s="176">
        <v>987473177</v>
      </c>
      <c r="O20" s="179">
        <v>20</v>
      </c>
      <c r="P20" s="177" t="s">
        <v>48</v>
      </c>
      <c r="Q20" s="177" t="s">
        <v>46</v>
      </c>
      <c r="R20" s="180"/>
      <c r="S20" s="176" t="str">
        <f t="shared" ref="S20:S22" si="7">D20</f>
        <v>003-170023491</v>
      </c>
      <c r="T20" s="184" t="s">
        <v>1146</v>
      </c>
      <c r="U20" s="88" t="s">
        <v>1147</v>
      </c>
    </row>
    <row r="21" spans="1:21" s="172" customFormat="1" ht="19">
      <c r="A21" s="172">
        <v>16</v>
      </c>
      <c r="B21" s="205">
        <v>45589</v>
      </c>
      <c r="C21" s="176" t="s">
        <v>1101</v>
      </c>
      <c r="D21" s="176" t="s">
        <v>1143</v>
      </c>
      <c r="E21" s="177">
        <v>41560041</v>
      </c>
      <c r="F21" s="175" t="str">
        <f t="shared" si="0"/>
        <v>HBB 535 INOX HORNO ELEC</v>
      </c>
      <c r="G21" s="176" t="s">
        <v>1145</v>
      </c>
      <c r="H21" s="177" t="s">
        <v>24</v>
      </c>
      <c r="I21" s="177" t="s">
        <v>46</v>
      </c>
      <c r="J21" s="177" t="s">
        <v>47</v>
      </c>
      <c r="K21" s="182">
        <v>45894</v>
      </c>
      <c r="L21" s="183" t="s">
        <v>1098</v>
      </c>
      <c r="M21" s="183" t="s">
        <v>1152</v>
      </c>
      <c r="N21" s="176">
        <v>987473177</v>
      </c>
      <c r="O21" s="179">
        <v>20</v>
      </c>
      <c r="P21" s="177" t="s">
        <v>48</v>
      </c>
      <c r="Q21" s="177" t="s">
        <v>46</v>
      </c>
      <c r="R21" s="180"/>
      <c r="S21" s="176" t="str">
        <f t="shared" ref="S21" si="8">D21</f>
        <v>003-170023491</v>
      </c>
      <c r="T21" s="184" t="s">
        <v>1146</v>
      </c>
      <c r="U21" s="88" t="s">
        <v>1147</v>
      </c>
    </row>
    <row r="22" spans="1:21" s="172" customFormat="1" ht="19">
      <c r="A22" s="172">
        <v>17</v>
      </c>
      <c r="B22" s="205">
        <v>45878</v>
      </c>
      <c r="C22" s="176" t="s">
        <v>1054</v>
      </c>
      <c r="D22" s="176" t="s">
        <v>1148</v>
      </c>
      <c r="E22" s="177">
        <v>112950021</v>
      </c>
      <c r="F22" s="175" t="str">
        <f t="shared" si="0"/>
        <v>DVN 94030 TCL BK CAMPANA (110V-60HZ) C/KIT</v>
      </c>
      <c r="G22" s="176" t="s">
        <v>1149</v>
      </c>
      <c r="H22" s="177" t="s">
        <v>24</v>
      </c>
      <c r="I22" s="177" t="s">
        <v>46</v>
      </c>
      <c r="J22" s="177" t="s">
        <v>47</v>
      </c>
      <c r="K22" s="182">
        <v>45894</v>
      </c>
      <c r="L22" s="183" t="s">
        <v>1099</v>
      </c>
      <c r="M22" s="183" t="s">
        <v>1153</v>
      </c>
      <c r="N22" s="176">
        <v>969071880</v>
      </c>
      <c r="O22" s="179">
        <v>15</v>
      </c>
      <c r="P22" s="177" t="s">
        <v>48</v>
      </c>
      <c r="Q22" s="177" t="s">
        <v>46</v>
      </c>
      <c r="R22" s="180"/>
      <c r="S22" s="176" t="str">
        <f t="shared" si="7"/>
        <v>001-500-000075862</v>
      </c>
      <c r="T22" s="184" t="s">
        <v>1154</v>
      </c>
      <c r="U22" s="88" t="s">
        <v>1155</v>
      </c>
    </row>
    <row r="23" spans="1:21" s="172" customFormat="1" ht="19">
      <c r="A23" s="172">
        <v>18</v>
      </c>
      <c r="B23" s="205">
        <v>45878</v>
      </c>
      <c r="C23" s="176" t="s">
        <v>1054</v>
      </c>
      <c r="D23" s="176" t="s">
        <v>1148</v>
      </c>
      <c r="E23" s="177">
        <v>112580058</v>
      </c>
      <c r="F23" s="175" t="str">
        <f t="shared" si="0"/>
        <v>GBC 95030 KBB BK COCINA GAS</v>
      </c>
      <c r="G23" s="176" t="s">
        <v>1150</v>
      </c>
      <c r="H23" s="177" t="s">
        <v>24</v>
      </c>
      <c r="I23" s="177" t="s">
        <v>46</v>
      </c>
      <c r="J23" s="177" t="s">
        <v>47</v>
      </c>
      <c r="K23" s="182">
        <v>45894</v>
      </c>
      <c r="L23" s="183" t="s">
        <v>1099</v>
      </c>
      <c r="M23" s="183" t="s">
        <v>1153</v>
      </c>
      <c r="N23" s="176">
        <v>969071880</v>
      </c>
      <c r="O23" s="179">
        <v>15</v>
      </c>
      <c r="P23" s="177" t="s">
        <v>48</v>
      </c>
      <c r="Q23" s="177" t="s">
        <v>46</v>
      </c>
      <c r="R23" s="180"/>
      <c r="S23" s="176" t="str">
        <f t="shared" ref="S23:S24" si="9">D23</f>
        <v>001-500-000075862</v>
      </c>
      <c r="T23" s="184" t="s">
        <v>1154</v>
      </c>
      <c r="U23" s="88" t="s">
        <v>1155</v>
      </c>
    </row>
    <row r="24" spans="1:21" s="172" customFormat="1" ht="19">
      <c r="A24" s="172">
        <v>19</v>
      </c>
      <c r="B24" s="205">
        <v>45878</v>
      </c>
      <c r="C24" s="176" t="s">
        <v>1054</v>
      </c>
      <c r="D24" s="176" t="s">
        <v>1148</v>
      </c>
      <c r="E24" s="177">
        <v>111010040</v>
      </c>
      <c r="F24" s="175" t="str">
        <f t="shared" si="0"/>
        <v>HSB 610 NEGRO HORNO ELEC</v>
      </c>
      <c r="G24" s="176" t="s">
        <v>1151</v>
      </c>
      <c r="H24" s="177" t="s">
        <v>24</v>
      </c>
      <c r="I24" s="177" t="s">
        <v>46</v>
      </c>
      <c r="J24" s="177" t="s">
        <v>47</v>
      </c>
      <c r="K24" s="182">
        <v>45894</v>
      </c>
      <c r="L24" s="183" t="s">
        <v>1099</v>
      </c>
      <c r="M24" s="183" t="s">
        <v>1153</v>
      </c>
      <c r="N24" s="176">
        <v>969071880</v>
      </c>
      <c r="O24" s="179">
        <v>15</v>
      </c>
      <c r="P24" s="177" t="s">
        <v>48</v>
      </c>
      <c r="Q24" s="177" t="s">
        <v>46</v>
      </c>
      <c r="R24" s="180"/>
      <c r="S24" s="176" t="str">
        <f t="shared" si="9"/>
        <v>001-500-000075862</v>
      </c>
      <c r="T24" s="184" t="s">
        <v>1154</v>
      </c>
      <c r="U24" s="88" t="s">
        <v>1155</v>
      </c>
    </row>
    <row r="25" spans="1:21" s="172" customFormat="1" ht="19">
      <c r="A25" s="172">
        <v>20</v>
      </c>
      <c r="B25" s="205">
        <v>45869</v>
      </c>
      <c r="C25" s="176" t="s">
        <v>1101</v>
      </c>
      <c r="D25" s="176" t="s">
        <v>1102</v>
      </c>
      <c r="E25" s="177">
        <v>40483183</v>
      </c>
      <c r="F25" s="175" t="str">
        <f t="shared" si="0"/>
        <v>ESTRUCTURA DPL ISLA 1180</v>
      </c>
      <c r="G25" s="176" t="s">
        <v>1103</v>
      </c>
      <c r="H25" s="177" t="s">
        <v>24</v>
      </c>
      <c r="I25" s="177" t="s">
        <v>46</v>
      </c>
      <c r="J25" s="177" t="s">
        <v>47</v>
      </c>
      <c r="K25" s="182">
        <v>45895</v>
      </c>
      <c r="L25" s="183" t="s">
        <v>1107</v>
      </c>
      <c r="M25" s="183" t="s">
        <v>1108</v>
      </c>
      <c r="N25" s="176">
        <v>908949878</v>
      </c>
      <c r="O25" s="179">
        <v>30</v>
      </c>
      <c r="P25" s="177" t="s">
        <v>48</v>
      </c>
      <c r="Q25" s="177" t="s">
        <v>46</v>
      </c>
      <c r="R25" s="180"/>
      <c r="S25" s="176" t="str">
        <f t="shared" si="2"/>
        <v>006-002-000158403</v>
      </c>
      <c r="T25" s="184" t="s">
        <v>1109</v>
      </c>
      <c r="U25" s="88" t="s">
        <v>1110</v>
      </c>
    </row>
    <row r="26" spans="1:21" s="172" customFormat="1" ht="19">
      <c r="A26" s="172">
        <v>21</v>
      </c>
      <c r="B26" s="205">
        <v>45869</v>
      </c>
      <c r="C26" s="176" t="s">
        <v>1101</v>
      </c>
      <c r="D26" s="176" t="s">
        <v>1102</v>
      </c>
      <c r="E26" s="177">
        <v>40584105</v>
      </c>
      <c r="F26" s="175" t="str">
        <f t="shared" si="0"/>
        <v>MS 622 BIS - MICROONDAS</v>
      </c>
      <c r="G26" s="176" t="s">
        <v>1104</v>
      </c>
      <c r="H26" s="177" t="s">
        <v>24</v>
      </c>
      <c r="I26" s="177" t="s">
        <v>46</v>
      </c>
      <c r="J26" s="177" t="s">
        <v>47</v>
      </c>
      <c r="K26" s="182">
        <v>45895</v>
      </c>
      <c r="L26" s="183" t="s">
        <v>1107</v>
      </c>
      <c r="M26" s="183" t="s">
        <v>1108</v>
      </c>
      <c r="N26" s="176">
        <v>908949878</v>
      </c>
      <c r="O26" s="179">
        <v>15</v>
      </c>
      <c r="P26" s="177" t="s">
        <v>48</v>
      </c>
      <c r="Q26" s="177" t="s">
        <v>46</v>
      </c>
      <c r="R26" s="180"/>
      <c r="S26" s="176" t="str">
        <f t="shared" ref="S26:S28" si="10">D26</f>
        <v>006-002-000158403</v>
      </c>
      <c r="T26" s="184" t="s">
        <v>1109</v>
      </c>
      <c r="U26" s="88" t="s">
        <v>1110</v>
      </c>
    </row>
    <row r="27" spans="1:21" s="172" customFormat="1" ht="19">
      <c r="A27" s="172">
        <v>22</v>
      </c>
      <c r="B27" s="205">
        <v>45869</v>
      </c>
      <c r="C27" s="176" t="s">
        <v>1101</v>
      </c>
      <c r="D27" s="176" t="s">
        <v>1102</v>
      </c>
      <c r="E27" s="177">
        <v>111010028</v>
      </c>
      <c r="F27" s="175" t="str">
        <f t="shared" si="0"/>
        <v>HSB 646 "AIRFRY" - HORNO ELEC</v>
      </c>
      <c r="G27" s="176" t="s">
        <v>1105</v>
      </c>
      <c r="H27" s="177" t="s">
        <v>24</v>
      </c>
      <c r="I27" s="177" t="s">
        <v>46</v>
      </c>
      <c r="J27" s="177" t="s">
        <v>47</v>
      </c>
      <c r="K27" s="182">
        <v>45895</v>
      </c>
      <c r="L27" s="183" t="s">
        <v>1107</v>
      </c>
      <c r="M27" s="183" t="s">
        <v>1108</v>
      </c>
      <c r="N27" s="176">
        <v>908949878</v>
      </c>
      <c r="O27" s="179">
        <v>15</v>
      </c>
      <c r="P27" s="177" t="s">
        <v>48</v>
      </c>
      <c r="Q27" s="177" t="s">
        <v>46</v>
      </c>
      <c r="R27" s="180"/>
      <c r="S27" s="176" t="str">
        <f t="shared" si="10"/>
        <v>006-002-000158403</v>
      </c>
      <c r="T27" s="184" t="s">
        <v>1109</v>
      </c>
      <c r="U27" s="88" t="s">
        <v>1110</v>
      </c>
    </row>
    <row r="28" spans="1:21" s="172" customFormat="1" ht="19">
      <c r="A28" s="172">
        <v>23</v>
      </c>
      <c r="B28" s="205">
        <v>45869</v>
      </c>
      <c r="C28" s="176" t="s">
        <v>1101</v>
      </c>
      <c r="D28" s="176" t="s">
        <v>1102</v>
      </c>
      <c r="E28" s="177">
        <v>112500047</v>
      </c>
      <c r="F28" s="175" t="str">
        <f t="shared" si="0"/>
        <v>IZF 99700 MST COCINA INDUCCION</v>
      </c>
      <c r="G28" s="176" t="s">
        <v>1106</v>
      </c>
      <c r="H28" s="177" t="s">
        <v>24</v>
      </c>
      <c r="I28" s="177" t="s">
        <v>46</v>
      </c>
      <c r="J28" s="177" t="s">
        <v>47</v>
      </c>
      <c r="K28" s="182">
        <v>45895</v>
      </c>
      <c r="L28" s="183" t="s">
        <v>1107</v>
      </c>
      <c r="M28" s="183" t="s">
        <v>1108</v>
      </c>
      <c r="N28" s="176">
        <v>908949878</v>
      </c>
      <c r="O28" s="179">
        <v>15</v>
      </c>
      <c r="P28" s="177" t="s">
        <v>48</v>
      </c>
      <c r="Q28" s="177" t="s">
        <v>46</v>
      </c>
      <c r="R28" s="180"/>
      <c r="S28" s="176" t="str">
        <f t="shared" si="10"/>
        <v>006-002-000158403</v>
      </c>
      <c r="T28" s="184" t="s">
        <v>1109</v>
      </c>
      <c r="U28" s="88" t="s">
        <v>1110</v>
      </c>
    </row>
    <row r="29" spans="1:21" s="172" customFormat="1" ht="19">
      <c r="A29" s="172">
        <v>24</v>
      </c>
      <c r="B29" s="205">
        <v>45885</v>
      </c>
      <c r="C29" s="176" t="s">
        <v>1054</v>
      </c>
      <c r="D29" s="176" t="s">
        <v>1111</v>
      </c>
      <c r="E29" s="177">
        <v>112570126</v>
      </c>
      <c r="F29" s="175" t="str">
        <f t="shared" si="0"/>
        <v>JZC 96324 ABB BK (LAT) COCINA MIXTA GAS - INDUCCION (40213042)</v>
      </c>
      <c r="G29" s="176" t="s">
        <v>1112</v>
      </c>
      <c r="H29" s="177" t="s">
        <v>24</v>
      </c>
      <c r="I29" s="177" t="s">
        <v>46</v>
      </c>
      <c r="J29" s="177" t="s">
        <v>47</v>
      </c>
      <c r="K29" s="182">
        <v>45895</v>
      </c>
      <c r="L29" s="183" t="s">
        <v>1115</v>
      </c>
      <c r="M29" s="183" t="s">
        <v>1116</v>
      </c>
      <c r="N29" s="176">
        <v>995027288</v>
      </c>
      <c r="O29" s="179">
        <v>15</v>
      </c>
      <c r="P29" s="177" t="s">
        <v>48</v>
      </c>
      <c r="Q29" s="177" t="s">
        <v>46</v>
      </c>
      <c r="R29" s="180"/>
      <c r="S29" s="176" t="str">
        <f t="shared" si="2"/>
        <v>001-500-000076059</v>
      </c>
      <c r="T29" s="181">
        <v>106520398</v>
      </c>
      <c r="U29" s="88" t="s">
        <v>1117</v>
      </c>
    </row>
    <row r="30" spans="1:21" s="172" customFormat="1" ht="19">
      <c r="A30" s="172">
        <v>25</v>
      </c>
      <c r="B30" s="205">
        <v>45659</v>
      </c>
      <c r="C30" s="176" t="s">
        <v>1054</v>
      </c>
      <c r="D30" s="176" t="s">
        <v>1114</v>
      </c>
      <c r="E30" s="177">
        <v>111010040</v>
      </c>
      <c r="F30" s="175" t="str">
        <f t="shared" si="0"/>
        <v>HSB 610 NEGRO HORNO ELEC</v>
      </c>
      <c r="G30" s="176" t="s">
        <v>1113</v>
      </c>
      <c r="H30" s="177" t="s">
        <v>24</v>
      </c>
      <c r="I30" s="177" t="s">
        <v>46</v>
      </c>
      <c r="J30" s="177" t="s">
        <v>47</v>
      </c>
      <c r="K30" s="206">
        <v>45895</v>
      </c>
      <c r="L30" s="207" t="s">
        <v>1115</v>
      </c>
      <c r="M30" s="207" t="s">
        <v>1116</v>
      </c>
      <c r="N30" s="186">
        <v>995027288</v>
      </c>
      <c r="O30" s="208">
        <v>15</v>
      </c>
      <c r="P30" s="187" t="s">
        <v>48</v>
      </c>
      <c r="Q30" s="187" t="s">
        <v>46</v>
      </c>
      <c r="R30" s="209"/>
      <c r="S30" s="186" t="s">
        <v>1111</v>
      </c>
      <c r="T30" s="210">
        <v>106520398</v>
      </c>
      <c r="U30" s="211" t="s">
        <v>1117</v>
      </c>
    </row>
    <row r="31" spans="1:21" s="172" customFormat="1" ht="19">
      <c r="A31" s="172">
        <v>26</v>
      </c>
      <c r="B31" s="205">
        <v>45761</v>
      </c>
      <c r="C31" s="176" t="s">
        <v>1156</v>
      </c>
      <c r="D31" s="176" t="s">
        <v>1157</v>
      </c>
      <c r="E31" s="177">
        <v>40461543</v>
      </c>
      <c r="F31" s="175" t="str">
        <f t="shared" si="0"/>
        <v>C 6310 INOX CAMPANA (110V-60HZ) C/KIT</v>
      </c>
      <c r="G31" s="176" t="s">
        <v>1159</v>
      </c>
      <c r="H31" s="177" t="s">
        <v>24</v>
      </c>
      <c r="I31" s="177" t="s">
        <v>46</v>
      </c>
      <c r="J31" s="177" t="s">
        <v>47</v>
      </c>
      <c r="K31" s="206">
        <v>45895</v>
      </c>
      <c r="L31" s="183" t="s">
        <v>1162</v>
      </c>
      <c r="M31" s="183" t="s">
        <v>1108</v>
      </c>
      <c r="N31" s="176" t="s">
        <v>1163</v>
      </c>
      <c r="O31" s="179">
        <v>15</v>
      </c>
      <c r="P31" s="177" t="s">
        <v>48</v>
      </c>
      <c r="Q31" s="177" t="s">
        <v>46</v>
      </c>
      <c r="R31" s="180"/>
      <c r="S31" s="176" t="str">
        <f t="shared" ref="S31" si="11">D31</f>
        <v>040-104-000010836</v>
      </c>
      <c r="T31" s="181">
        <v>152778965</v>
      </c>
      <c r="U31" s="88" t="s">
        <v>1164</v>
      </c>
    </row>
    <row r="32" spans="1:21" s="172" customFormat="1" ht="19">
      <c r="A32" s="172">
        <v>27</v>
      </c>
      <c r="B32" s="205">
        <v>45766</v>
      </c>
      <c r="C32" s="176" t="s">
        <v>1156</v>
      </c>
      <c r="D32" s="176" t="s">
        <v>1158</v>
      </c>
      <c r="E32" s="177">
        <v>111020071</v>
      </c>
      <c r="F32" s="175" t="str">
        <f t="shared" si="0"/>
        <v>HBB 510 BK 220-240  50/60 HORNO ELEC</v>
      </c>
      <c r="G32" s="176" t="s">
        <v>1160</v>
      </c>
      <c r="H32" s="177" t="s">
        <v>24</v>
      </c>
      <c r="I32" s="177" t="s">
        <v>46</v>
      </c>
      <c r="J32" s="177" t="s">
        <v>47</v>
      </c>
      <c r="K32" s="206">
        <v>45895</v>
      </c>
      <c r="L32" s="183" t="s">
        <v>1162</v>
      </c>
      <c r="M32" s="183" t="s">
        <v>1108</v>
      </c>
      <c r="N32" s="176" t="s">
        <v>1163</v>
      </c>
      <c r="O32" s="179">
        <v>15</v>
      </c>
      <c r="P32" s="177" t="s">
        <v>48</v>
      </c>
      <c r="Q32" s="177" t="s">
        <v>46</v>
      </c>
      <c r="R32" s="180"/>
      <c r="S32" s="176" t="str">
        <f t="shared" ref="S32:S33" si="12">D32</f>
        <v>040-103-000013060</v>
      </c>
      <c r="T32" s="181">
        <v>152778965</v>
      </c>
      <c r="U32" s="88" t="s">
        <v>1164</v>
      </c>
    </row>
    <row r="33" spans="1:21" s="172" customFormat="1" ht="19">
      <c r="A33" s="172">
        <v>28</v>
      </c>
      <c r="B33" s="205">
        <v>45761</v>
      </c>
      <c r="C33" s="176" t="s">
        <v>1156</v>
      </c>
      <c r="D33" s="176" t="s">
        <v>1157</v>
      </c>
      <c r="E33" s="113">
        <v>112510035</v>
      </c>
      <c r="F33" s="175" t="str">
        <f t="shared" si="0"/>
        <v>IZF 64440 MSP BK COCINA INDUCCION</v>
      </c>
      <c r="G33" s="176" t="s">
        <v>1161</v>
      </c>
      <c r="H33" s="177" t="s">
        <v>24</v>
      </c>
      <c r="I33" s="177" t="s">
        <v>46</v>
      </c>
      <c r="J33" s="177" t="s">
        <v>47</v>
      </c>
      <c r="K33" s="206">
        <v>45895</v>
      </c>
      <c r="L33" s="183" t="s">
        <v>1162</v>
      </c>
      <c r="M33" s="183" t="s">
        <v>1108</v>
      </c>
      <c r="N33" s="176" t="s">
        <v>1163</v>
      </c>
      <c r="O33" s="179">
        <v>15</v>
      </c>
      <c r="P33" s="177" t="s">
        <v>48</v>
      </c>
      <c r="Q33" s="177" t="s">
        <v>46</v>
      </c>
      <c r="R33" s="180"/>
      <c r="S33" s="176" t="str">
        <f t="shared" si="12"/>
        <v>040-104-000010836</v>
      </c>
      <c r="T33" s="181">
        <v>152778965</v>
      </c>
      <c r="U33" s="88" t="s">
        <v>1164</v>
      </c>
    </row>
    <row r="34" spans="1:21" s="172" customFormat="1" ht="19">
      <c r="A34" s="172">
        <v>29</v>
      </c>
      <c r="B34" s="205" t="s">
        <v>1165</v>
      </c>
      <c r="C34" s="176" t="s">
        <v>1101</v>
      </c>
      <c r="D34" s="176" t="s">
        <v>1166</v>
      </c>
      <c r="E34" s="177">
        <v>112510035</v>
      </c>
      <c r="F34" s="175" t="str">
        <f t="shared" si="0"/>
        <v>IZF 64440 MSP BK COCINA INDUCCION</v>
      </c>
      <c r="G34" s="176" t="s">
        <v>1167</v>
      </c>
      <c r="H34" s="177" t="s">
        <v>24</v>
      </c>
      <c r="I34" s="177" t="s">
        <v>46</v>
      </c>
      <c r="J34" s="177" t="s">
        <v>47</v>
      </c>
      <c r="K34" s="182">
        <v>45897</v>
      </c>
      <c r="L34" s="183" t="s">
        <v>1171</v>
      </c>
      <c r="M34" s="183" t="s">
        <v>1172</v>
      </c>
      <c r="N34" s="176">
        <v>999231304</v>
      </c>
      <c r="O34" s="179">
        <v>15</v>
      </c>
      <c r="P34" s="177" t="s">
        <v>48</v>
      </c>
      <c r="Q34" s="177" t="s">
        <v>46</v>
      </c>
      <c r="R34" s="180"/>
      <c r="S34" s="176" t="str">
        <f t="shared" ref="S34" si="13">D34</f>
        <v>010-000123094</v>
      </c>
      <c r="T34" s="181">
        <v>102089349</v>
      </c>
      <c r="U34" s="88" t="s">
        <v>1173</v>
      </c>
    </row>
    <row r="35" spans="1:21" s="172" customFormat="1" ht="19">
      <c r="A35" s="172">
        <v>30</v>
      </c>
      <c r="B35" s="205">
        <v>45792</v>
      </c>
      <c r="C35" s="176" t="s">
        <v>1156</v>
      </c>
      <c r="D35" s="176" t="s">
        <v>1174</v>
      </c>
      <c r="E35" s="177">
        <v>112930049</v>
      </c>
      <c r="F35" s="175" t="str">
        <f t="shared" si="0"/>
        <v>DVT 68660 TRL BK</v>
      </c>
      <c r="G35" s="176" t="s">
        <v>1168</v>
      </c>
      <c r="H35" s="177" t="s">
        <v>24</v>
      </c>
      <c r="I35" s="177" t="s">
        <v>46</v>
      </c>
      <c r="J35" s="177" t="s">
        <v>47</v>
      </c>
      <c r="K35" s="182">
        <v>45897</v>
      </c>
      <c r="L35" s="183" t="s">
        <v>1171</v>
      </c>
      <c r="M35" s="183" t="s">
        <v>1172</v>
      </c>
      <c r="N35" s="176">
        <v>999231304</v>
      </c>
      <c r="O35" s="179">
        <v>15</v>
      </c>
      <c r="P35" s="177" t="s">
        <v>48</v>
      </c>
      <c r="Q35" s="177" t="s">
        <v>46</v>
      </c>
      <c r="R35" s="180"/>
      <c r="S35" s="176" t="str">
        <f t="shared" ref="S35:S37" si="14">D35</f>
        <v>031-108-000025240</v>
      </c>
      <c r="T35" s="181">
        <v>102089349</v>
      </c>
      <c r="U35" s="88" t="s">
        <v>1173</v>
      </c>
    </row>
    <row r="36" spans="1:21" s="172" customFormat="1" ht="19">
      <c r="A36" s="172">
        <v>31</v>
      </c>
      <c r="B36" s="205" t="s">
        <v>1165</v>
      </c>
      <c r="C36" s="176" t="s">
        <v>1101</v>
      </c>
      <c r="D36" s="176" t="s">
        <v>1166</v>
      </c>
      <c r="E36" s="177">
        <v>40584305</v>
      </c>
      <c r="F36" s="175" t="str">
        <f t="shared" si="0"/>
        <v>ML 822 BIS - MICROONDAS (112030008)</v>
      </c>
      <c r="G36" s="176" t="s">
        <v>1169</v>
      </c>
      <c r="H36" s="177" t="s">
        <v>24</v>
      </c>
      <c r="I36" s="177" t="s">
        <v>46</v>
      </c>
      <c r="J36" s="177" t="s">
        <v>47</v>
      </c>
      <c r="K36" s="182">
        <v>45897</v>
      </c>
      <c r="L36" s="183" t="s">
        <v>1171</v>
      </c>
      <c r="M36" s="183" t="s">
        <v>1172</v>
      </c>
      <c r="N36" s="176">
        <v>999231304</v>
      </c>
      <c r="O36" s="179">
        <v>15</v>
      </c>
      <c r="P36" s="177" t="s">
        <v>48</v>
      </c>
      <c r="Q36" s="177" t="s">
        <v>46</v>
      </c>
      <c r="R36" s="180"/>
      <c r="S36" s="176" t="str">
        <f t="shared" si="14"/>
        <v>010-000123094</v>
      </c>
      <c r="T36" s="181">
        <v>102089349</v>
      </c>
      <c r="U36" s="88" t="s">
        <v>1173</v>
      </c>
    </row>
    <row r="37" spans="1:21" s="172" customFormat="1" ht="19">
      <c r="A37" s="172">
        <v>32</v>
      </c>
      <c r="B37" s="205" t="s">
        <v>1165</v>
      </c>
      <c r="C37" s="176" t="s">
        <v>1101</v>
      </c>
      <c r="D37" s="176" t="s">
        <v>1166</v>
      </c>
      <c r="E37" s="177">
        <v>111000051</v>
      </c>
      <c r="F37" s="175" t="str">
        <f t="shared" si="0"/>
        <v>HLB 8416 "AIR FRY" - HORNO ELEC</v>
      </c>
      <c r="G37" s="176" t="s">
        <v>1170</v>
      </c>
      <c r="H37" s="177" t="s">
        <v>24</v>
      </c>
      <c r="I37" s="177" t="s">
        <v>46</v>
      </c>
      <c r="J37" s="177" t="s">
        <v>47</v>
      </c>
      <c r="K37" s="182">
        <v>45897</v>
      </c>
      <c r="L37" s="183" t="s">
        <v>1171</v>
      </c>
      <c r="M37" s="183" t="s">
        <v>1172</v>
      </c>
      <c r="N37" s="176">
        <v>999231304</v>
      </c>
      <c r="O37" s="179">
        <v>15</v>
      </c>
      <c r="P37" s="177" t="s">
        <v>48</v>
      </c>
      <c r="Q37" s="177" t="s">
        <v>46</v>
      </c>
      <c r="R37" s="180"/>
      <c r="S37" s="176" t="str">
        <f t="shared" si="14"/>
        <v>010-000123094</v>
      </c>
      <c r="T37" s="181">
        <v>102089349</v>
      </c>
      <c r="U37" s="88" t="s">
        <v>1173</v>
      </c>
    </row>
    <row r="38" spans="1:21" s="172" customFormat="1" ht="19">
      <c r="A38" s="172">
        <v>33</v>
      </c>
      <c r="B38" s="205">
        <v>45827</v>
      </c>
      <c r="C38" s="176" t="s">
        <v>1045</v>
      </c>
      <c r="D38" s="176" t="s">
        <v>1175</v>
      </c>
      <c r="E38" s="177">
        <v>113430051</v>
      </c>
      <c r="F38" s="175" t="str">
        <f t="shared" si="0"/>
        <v>RMF 77960 GBK MX REFRIGERADORA</v>
      </c>
      <c r="G38" s="176" t="s">
        <v>1176</v>
      </c>
      <c r="H38" s="177" t="s">
        <v>24</v>
      </c>
      <c r="I38" s="177" t="s">
        <v>46</v>
      </c>
      <c r="J38" s="177" t="s">
        <v>47</v>
      </c>
      <c r="K38" s="182">
        <v>45898</v>
      </c>
      <c r="L38" s="183" t="s">
        <v>1179</v>
      </c>
      <c r="M38" s="183" t="s">
        <v>1180</v>
      </c>
      <c r="N38" s="176">
        <v>939414392</v>
      </c>
      <c r="O38" s="179">
        <v>15</v>
      </c>
      <c r="P38" s="177" t="s">
        <v>48</v>
      </c>
      <c r="Q38" s="177" t="s">
        <v>46</v>
      </c>
      <c r="R38" s="180"/>
      <c r="S38" s="176" t="str">
        <f t="shared" ref="S38" si="15">D38</f>
        <v>043-902-000053502</v>
      </c>
      <c r="T38" s="181">
        <v>102029139</v>
      </c>
      <c r="U38" s="88" t="s">
        <v>1665</v>
      </c>
    </row>
    <row r="39" spans="1:21" s="172" customFormat="1" ht="19">
      <c r="A39" s="172">
        <v>34</v>
      </c>
      <c r="B39" s="205">
        <v>45827</v>
      </c>
      <c r="C39" s="176" t="s">
        <v>1045</v>
      </c>
      <c r="D39" s="176" t="s">
        <v>1175</v>
      </c>
      <c r="E39" s="177">
        <v>112570124</v>
      </c>
      <c r="F39" s="175" t="str">
        <f t="shared" si="0"/>
        <v>JZC 64322 ABB BK (LAT) COCINA MIXTA GAS - INDUCCION</v>
      </c>
      <c r="G39" s="176" t="s">
        <v>1177</v>
      </c>
      <c r="H39" s="177" t="s">
        <v>24</v>
      </c>
      <c r="I39" s="177" t="s">
        <v>46</v>
      </c>
      <c r="J39" s="177" t="s">
        <v>47</v>
      </c>
      <c r="K39" s="182">
        <v>45898</v>
      </c>
      <c r="L39" s="183" t="s">
        <v>1179</v>
      </c>
      <c r="M39" s="183" t="s">
        <v>1180</v>
      </c>
      <c r="N39" s="176">
        <v>939414392</v>
      </c>
      <c r="O39" s="179">
        <v>15</v>
      </c>
      <c r="P39" s="177" t="s">
        <v>48</v>
      </c>
      <c r="Q39" s="177" t="s">
        <v>46</v>
      </c>
      <c r="R39" s="180"/>
      <c r="S39" s="176" t="str">
        <f t="shared" ref="S39:S106" si="16">D39</f>
        <v>043-902-000053502</v>
      </c>
      <c r="T39" s="181">
        <v>102029139</v>
      </c>
      <c r="U39" s="88" t="s">
        <v>1665</v>
      </c>
    </row>
    <row r="40" spans="1:21" s="172" customFormat="1" ht="19">
      <c r="A40" s="172">
        <v>35</v>
      </c>
      <c r="B40" s="205">
        <v>45827</v>
      </c>
      <c r="C40" s="176" t="s">
        <v>1045</v>
      </c>
      <c r="D40" s="176" t="s">
        <v>1175</v>
      </c>
      <c r="E40" s="177">
        <v>111000051</v>
      </c>
      <c r="F40" s="175" t="str">
        <f t="shared" si="0"/>
        <v>HLB 8416 "AIR FRY" - HORNO ELEC</v>
      </c>
      <c r="G40" s="176" t="s">
        <v>1178</v>
      </c>
      <c r="H40" s="177" t="s">
        <v>24</v>
      </c>
      <c r="I40" s="177" t="s">
        <v>46</v>
      </c>
      <c r="J40" s="177" t="s">
        <v>47</v>
      </c>
      <c r="K40" s="182">
        <v>45898</v>
      </c>
      <c r="L40" s="183" t="s">
        <v>1179</v>
      </c>
      <c r="M40" s="183" t="s">
        <v>1180</v>
      </c>
      <c r="N40" s="176">
        <v>939414392</v>
      </c>
      <c r="O40" s="179">
        <v>15</v>
      </c>
      <c r="P40" s="177" t="s">
        <v>48</v>
      </c>
      <c r="Q40" s="177" t="s">
        <v>46</v>
      </c>
      <c r="R40" s="180"/>
      <c r="S40" s="176" t="str">
        <f t="shared" si="16"/>
        <v>043-902-000053502</v>
      </c>
      <c r="T40" s="181">
        <v>102029139</v>
      </c>
      <c r="U40" s="88" t="s">
        <v>1665</v>
      </c>
    </row>
    <row r="41" spans="1:21" s="172" customFormat="1" ht="19">
      <c r="A41" s="172">
        <v>36</v>
      </c>
      <c r="B41" s="205">
        <v>45827</v>
      </c>
      <c r="C41" s="176" t="s">
        <v>1045</v>
      </c>
      <c r="D41" s="176" t="s">
        <v>1175</v>
      </c>
      <c r="E41" s="177">
        <v>40480321</v>
      </c>
      <c r="F41" s="175" t="str">
        <f t="shared" si="0"/>
        <v>CC 480 ISLA INOX CAMPANA (40480301)</v>
      </c>
      <c r="G41" s="176" t="s">
        <v>1309</v>
      </c>
      <c r="H41" s="177" t="s">
        <v>24</v>
      </c>
      <c r="I41" s="177" t="s">
        <v>46</v>
      </c>
      <c r="J41" s="177" t="s">
        <v>47</v>
      </c>
      <c r="K41" s="182">
        <v>45898</v>
      </c>
      <c r="L41" s="183" t="s">
        <v>1179</v>
      </c>
      <c r="M41" s="183" t="s">
        <v>1180</v>
      </c>
      <c r="N41" s="176">
        <v>939414392</v>
      </c>
      <c r="O41" s="179">
        <v>30</v>
      </c>
      <c r="P41" s="177" t="s">
        <v>48</v>
      </c>
      <c r="Q41" s="177" t="s">
        <v>46</v>
      </c>
      <c r="R41" s="180"/>
      <c r="S41" s="176" t="str">
        <f t="shared" si="16"/>
        <v>043-902-000053502</v>
      </c>
      <c r="T41" s="181">
        <v>102029139</v>
      </c>
      <c r="U41" s="88" t="s">
        <v>1665</v>
      </c>
    </row>
    <row r="42" spans="1:21" s="172" customFormat="1" ht="19">
      <c r="A42" s="172">
        <v>37</v>
      </c>
      <c r="B42" s="205">
        <v>45857</v>
      </c>
      <c r="C42" s="176" t="s">
        <v>1054</v>
      </c>
      <c r="D42" s="176" t="s">
        <v>1181</v>
      </c>
      <c r="E42" s="177">
        <v>112570128</v>
      </c>
      <c r="F42" s="175" t="str">
        <f t="shared" si="0"/>
        <v>JZC 96342 BBB BK (LAT) COCINA MIXTA GAS - INDUCCION</v>
      </c>
      <c r="G42" s="176" t="s">
        <v>1182</v>
      </c>
      <c r="H42" s="177" t="s">
        <v>24</v>
      </c>
      <c r="I42" s="177" t="s">
        <v>46</v>
      </c>
      <c r="J42" s="177" t="s">
        <v>47</v>
      </c>
      <c r="K42" s="182">
        <v>45898</v>
      </c>
      <c r="L42" s="183" t="s">
        <v>1184</v>
      </c>
      <c r="M42" s="183" t="s">
        <v>1185</v>
      </c>
      <c r="N42" s="176">
        <v>995148468</v>
      </c>
      <c r="O42" s="179">
        <v>20</v>
      </c>
      <c r="P42" s="177" t="s">
        <v>48</v>
      </c>
      <c r="Q42" s="177" t="s">
        <v>46</v>
      </c>
      <c r="R42" s="180"/>
      <c r="S42" s="176" t="str">
        <f t="shared" si="16"/>
        <v>001-500-000075144</v>
      </c>
      <c r="T42" s="181">
        <v>107061590</v>
      </c>
      <c r="U42" s="88" t="s">
        <v>1186</v>
      </c>
    </row>
    <row r="43" spans="1:21" s="172" customFormat="1" ht="19">
      <c r="A43" s="172">
        <v>38</v>
      </c>
      <c r="B43" s="205">
        <v>45857</v>
      </c>
      <c r="C43" s="176" t="s">
        <v>1054</v>
      </c>
      <c r="D43" s="176" t="s">
        <v>1181</v>
      </c>
      <c r="E43" s="177">
        <v>113120010</v>
      </c>
      <c r="F43" s="175" t="str">
        <f t="shared" si="0"/>
        <v>GFI 97350 ECS IX 110/60 CAMPANA</v>
      </c>
      <c r="G43" s="176" t="s">
        <v>1183</v>
      </c>
      <c r="H43" s="177" t="s">
        <v>24</v>
      </c>
      <c r="I43" s="177" t="s">
        <v>46</v>
      </c>
      <c r="J43" s="177" t="s">
        <v>47</v>
      </c>
      <c r="K43" s="182">
        <v>45898</v>
      </c>
      <c r="L43" s="183" t="s">
        <v>1184</v>
      </c>
      <c r="M43" s="183" t="s">
        <v>1185</v>
      </c>
      <c r="N43" s="176">
        <v>995148468</v>
      </c>
      <c r="O43" s="179">
        <v>20</v>
      </c>
      <c r="P43" s="177" t="s">
        <v>48</v>
      </c>
      <c r="Q43" s="177" t="s">
        <v>46</v>
      </c>
      <c r="R43" s="180"/>
      <c r="S43" s="176" t="str">
        <f t="shared" ref="S43" si="17">D43</f>
        <v>001-500-000075144</v>
      </c>
      <c r="T43" s="181">
        <v>107061590</v>
      </c>
      <c r="U43" s="88" t="s">
        <v>1186</v>
      </c>
    </row>
    <row r="44" spans="1:21" s="172" customFormat="1" ht="19">
      <c r="A44" s="172">
        <v>39</v>
      </c>
      <c r="B44" s="205">
        <v>45619</v>
      </c>
      <c r="C44" s="176" t="s">
        <v>1054</v>
      </c>
      <c r="D44" s="176" t="s">
        <v>1187</v>
      </c>
      <c r="E44" s="177">
        <v>112570125</v>
      </c>
      <c r="F44" s="175" t="str">
        <f t="shared" si="0"/>
        <v>JZC 95314 ABB BK (LAT) COCINA MIXTA GAS - INDUCCION (40213032)</v>
      </c>
      <c r="G44" s="176" t="s">
        <v>1188</v>
      </c>
      <c r="H44" s="177" t="s">
        <v>24</v>
      </c>
      <c r="I44" s="177" t="s">
        <v>46</v>
      </c>
      <c r="J44" s="177" t="s">
        <v>47</v>
      </c>
      <c r="K44" s="182">
        <v>45898</v>
      </c>
      <c r="L44" s="183" t="s">
        <v>1190</v>
      </c>
      <c r="M44" s="183" t="s">
        <v>1191</v>
      </c>
      <c r="N44" s="176">
        <v>987642002</v>
      </c>
      <c r="O44" s="179">
        <v>20</v>
      </c>
      <c r="P44" s="177" t="s">
        <v>48</v>
      </c>
      <c r="Q44" s="177" t="s">
        <v>46</v>
      </c>
      <c r="R44" s="180"/>
      <c r="S44" s="176" t="str">
        <f t="shared" si="16"/>
        <v>001-500-000065119</v>
      </c>
      <c r="T44" s="181">
        <v>104684246</v>
      </c>
      <c r="U44" s="88" t="s">
        <v>1192</v>
      </c>
    </row>
    <row r="45" spans="1:21" s="172" customFormat="1" ht="19">
      <c r="A45" s="172">
        <v>40</v>
      </c>
      <c r="B45" s="205">
        <v>45619</v>
      </c>
      <c r="C45" s="176" t="s">
        <v>1054</v>
      </c>
      <c r="D45" s="176" t="s">
        <v>1187</v>
      </c>
      <c r="E45" s="177">
        <v>111010040</v>
      </c>
      <c r="F45" s="175" t="str">
        <f t="shared" si="0"/>
        <v>HSB 610 NEGRO HORNO ELEC</v>
      </c>
      <c r="G45" s="176" t="s">
        <v>1189</v>
      </c>
      <c r="H45" s="177" t="s">
        <v>24</v>
      </c>
      <c r="I45" s="177" t="s">
        <v>46</v>
      </c>
      <c r="J45" s="177" t="s">
        <v>47</v>
      </c>
      <c r="K45" s="182">
        <v>45898</v>
      </c>
      <c r="L45" s="183" t="s">
        <v>1190</v>
      </c>
      <c r="M45" s="183" t="s">
        <v>1191</v>
      </c>
      <c r="N45" s="176">
        <v>987642002</v>
      </c>
      <c r="O45" s="179">
        <v>20</v>
      </c>
      <c r="P45" s="177" t="s">
        <v>48</v>
      </c>
      <c r="Q45" s="177" t="s">
        <v>46</v>
      </c>
      <c r="R45" s="180"/>
      <c r="S45" s="176" t="str">
        <f t="shared" ref="S45" si="18">D45</f>
        <v>001-500-000065119</v>
      </c>
      <c r="T45" s="181">
        <v>104684246</v>
      </c>
      <c r="U45" s="88" t="s">
        <v>1192</v>
      </c>
    </row>
    <row r="46" spans="1:21" s="172" customFormat="1" ht="19">
      <c r="A46" s="172">
        <v>41</v>
      </c>
      <c r="B46" s="205">
        <v>45626</v>
      </c>
      <c r="C46" s="176" t="s">
        <v>1193</v>
      </c>
      <c r="D46" s="176" t="s">
        <v>1194</v>
      </c>
      <c r="E46" s="177">
        <v>112030019</v>
      </c>
      <c r="F46" s="175" t="str">
        <f t="shared" si="0"/>
        <v>ML 8220 BIS FBK- MICROONDAS</v>
      </c>
      <c r="G46" s="176" t="s">
        <v>1197</v>
      </c>
      <c r="H46" s="177" t="s">
        <v>24</v>
      </c>
      <c r="I46" s="177" t="s">
        <v>46</v>
      </c>
      <c r="J46" s="177" t="s">
        <v>47</v>
      </c>
      <c r="K46" s="182">
        <v>45898</v>
      </c>
      <c r="L46" s="183" t="s">
        <v>1190</v>
      </c>
      <c r="M46" s="183" t="s">
        <v>1191</v>
      </c>
      <c r="N46" s="176">
        <v>987642002</v>
      </c>
      <c r="O46" s="179">
        <v>20</v>
      </c>
      <c r="P46" s="177" t="s">
        <v>48</v>
      </c>
      <c r="Q46" s="177" t="s">
        <v>46</v>
      </c>
      <c r="R46" s="180"/>
      <c r="S46" s="176" t="str">
        <f t="shared" ref="S46:S49" si="19">D46</f>
        <v>001-501-000055915</v>
      </c>
      <c r="T46" s="181">
        <v>104684246</v>
      </c>
      <c r="U46" s="88" t="s">
        <v>1192</v>
      </c>
    </row>
    <row r="47" spans="1:21" s="172" customFormat="1" ht="19">
      <c r="A47" s="172">
        <v>42</v>
      </c>
      <c r="B47" s="205">
        <v>45626</v>
      </c>
      <c r="C47" s="176" t="s">
        <v>1193</v>
      </c>
      <c r="D47" s="176" t="s">
        <v>1194</v>
      </c>
      <c r="E47" s="177">
        <v>111030002</v>
      </c>
      <c r="F47" s="175" t="str">
        <f t="shared" si="0"/>
        <v>HLB 760 G SS HORNO A GAS</v>
      </c>
      <c r="G47" s="176" t="s">
        <v>1195</v>
      </c>
      <c r="H47" s="177" t="s">
        <v>24</v>
      </c>
      <c r="I47" s="177" t="s">
        <v>46</v>
      </c>
      <c r="J47" s="177" t="s">
        <v>47</v>
      </c>
      <c r="K47" s="182">
        <v>45898</v>
      </c>
      <c r="L47" s="183" t="s">
        <v>1190</v>
      </c>
      <c r="M47" s="183" t="s">
        <v>1191</v>
      </c>
      <c r="N47" s="176">
        <v>987642002</v>
      </c>
      <c r="O47" s="179">
        <v>20</v>
      </c>
      <c r="P47" s="177" t="s">
        <v>48</v>
      </c>
      <c r="Q47" s="177" t="s">
        <v>46</v>
      </c>
      <c r="R47" s="180"/>
      <c r="S47" s="176" t="str">
        <f t="shared" si="19"/>
        <v>001-501-000055915</v>
      </c>
      <c r="T47" s="181">
        <v>104684246</v>
      </c>
      <c r="U47" s="88" t="s">
        <v>1192</v>
      </c>
    </row>
    <row r="48" spans="1:21" s="172" customFormat="1" ht="19">
      <c r="A48" s="172">
        <v>43</v>
      </c>
      <c r="B48" s="205">
        <v>45626</v>
      </c>
      <c r="C48" s="176" t="s">
        <v>1193</v>
      </c>
      <c r="D48" s="176" t="s">
        <v>1194</v>
      </c>
      <c r="E48" s="177">
        <v>112570073</v>
      </c>
      <c r="F48" s="175" t="str">
        <f t="shared" si="0"/>
        <v>GZC 96310 XBB CRISTAL COCINA GAS</v>
      </c>
      <c r="G48" s="176" t="s">
        <v>1196</v>
      </c>
      <c r="H48" s="177" t="s">
        <v>24</v>
      </c>
      <c r="I48" s="177" t="s">
        <v>46</v>
      </c>
      <c r="J48" s="177" t="s">
        <v>47</v>
      </c>
      <c r="K48" s="182">
        <v>45898</v>
      </c>
      <c r="L48" s="183" t="s">
        <v>1190</v>
      </c>
      <c r="M48" s="183" t="s">
        <v>1191</v>
      </c>
      <c r="N48" s="176">
        <v>987642002</v>
      </c>
      <c r="O48" s="179">
        <v>20</v>
      </c>
      <c r="P48" s="177" t="s">
        <v>48</v>
      </c>
      <c r="Q48" s="177" t="s">
        <v>46</v>
      </c>
      <c r="R48" s="180"/>
      <c r="S48" s="176" t="str">
        <f t="shared" si="19"/>
        <v>001-501-000055915</v>
      </c>
      <c r="T48" s="181">
        <v>104684246</v>
      </c>
      <c r="U48" s="88" t="s">
        <v>1192</v>
      </c>
    </row>
    <row r="49" spans="1:21" s="172" customFormat="1" ht="19">
      <c r="A49" s="172">
        <v>44</v>
      </c>
      <c r="B49" s="205">
        <v>45626</v>
      </c>
      <c r="C49" s="176" t="s">
        <v>1193</v>
      </c>
      <c r="D49" s="176" t="s">
        <v>1194</v>
      </c>
      <c r="E49" s="177">
        <v>112930045</v>
      </c>
      <c r="F49" s="175" t="str">
        <f t="shared" si="0"/>
        <v>DLV 98660 TRL BK CAMPANA (110V-60HZ) C/KIT</v>
      </c>
      <c r="G49" s="176" t="s">
        <v>1198</v>
      </c>
      <c r="H49" s="177" t="s">
        <v>24</v>
      </c>
      <c r="I49" s="177" t="s">
        <v>46</v>
      </c>
      <c r="J49" s="177" t="s">
        <v>47</v>
      </c>
      <c r="K49" s="182">
        <v>45898</v>
      </c>
      <c r="L49" s="183" t="s">
        <v>1190</v>
      </c>
      <c r="M49" s="183" t="s">
        <v>1191</v>
      </c>
      <c r="N49" s="176">
        <v>987642002</v>
      </c>
      <c r="O49" s="179">
        <v>20</v>
      </c>
      <c r="P49" s="177" t="s">
        <v>48</v>
      </c>
      <c r="Q49" s="177" t="s">
        <v>46</v>
      </c>
      <c r="R49" s="180"/>
      <c r="S49" s="176" t="str">
        <f t="shared" si="19"/>
        <v>001-501-000055915</v>
      </c>
      <c r="T49" s="181">
        <v>104684246</v>
      </c>
      <c r="U49" s="88" t="s">
        <v>1192</v>
      </c>
    </row>
    <row r="50" spans="1:21" s="172" customFormat="1" ht="19">
      <c r="A50" s="172">
        <v>45</v>
      </c>
      <c r="B50" s="205">
        <v>45696</v>
      </c>
      <c r="C50" s="176" t="s">
        <v>1054</v>
      </c>
      <c r="D50" s="176" t="s">
        <v>1199</v>
      </c>
      <c r="E50" s="177">
        <v>112570016</v>
      </c>
      <c r="F50" s="175" t="str">
        <f t="shared" si="0"/>
        <v>GZC 32300 XBB CRISTAL COCINA GAS</v>
      </c>
      <c r="G50" s="176" t="s">
        <v>1200</v>
      </c>
      <c r="H50" s="177" t="s">
        <v>24</v>
      </c>
      <c r="I50" s="177" t="s">
        <v>46</v>
      </c>
      <c r="J50" s="177" t="s">
        <v>47</v>
      </c>
      <c r="K50" s="182">
        <v>45901</v>
      </c>
      <c r="L50" s="183" t="s">
        <v>1202</v>
      </c>
      <c r="M50" s="183" t="s">
        <v>1172</v>
      </c>
      <c r="N50" s="176">
        <v>987654763</v>
      </c>
      <c r="O50" s="179">
        <v>20</v>
      </c>
      <c r="P50" s="177" t="s">
        <v>48</v>
      </c>
      <c r="Q50" s="177" t="s">
        <v>46</v>
      </c>
      <c r="R50" s="180"/>
      <c r="S50" s="176" t="str">
        <f t="shared" si="16"/>
        <v>001-500-000070734</v>
      </c>
      <c r="T50" s="181">
        <v>102524345</v>
      </c>
      <c r="U50" s="88" t="s">
        <v>1203</v>
      </c>
    </row>
    <row r="51" spans="1:21" s="172" customFormat="1" ht="19">
      <c r="A51" s="172">
        <v>46</v>
      </c>
      <c r="B51" s="205">
        <v>45696</v>
      </c>
      <c r="C51" s="176" t="s">
        <v>1054</v>
      </c>
      <c r="D51" s="176" t="s">
        <v>1199</v>
      </c>
      <c r="E51" s="177">
        <v>112510036</v>
      </c>
      <c r="F51" s="175" t="str">
        <f>VLOOKUP(E51,PROD,2,FALSE)</f>
        <v>IZC 32310 MSP BK COCINA MODULAR INDUCCION</v>
      </c>
      <c r="G51" s="176" t="s">
        <v>1201</v>
      </c>
      <c r="H51" s="177" t="s">
        <v>24</v>
      </c>
      <c r="I51" s="177" t="s">
        <v>46</v>
      </c>
      <c r="J51" s="177" t="s">
        <v>47</v>
      </c>
      <c r="K51" s="206">
        <v>45901</v>
      </c>
      <c r="L51" s="207" t="s">
        <v>1202</v>
      </c>
      <c r="M51" s="207" t="s">
        <v>1172</v>
      </c>
      <c r="N51" s="186">
        <v>987654763</v>
      </c>
      <c r="O51" s="208">
        <v>20</v>
      </c>
      <c r="P51" s="187" t="s">
        <v>48</v>
      </c>
      <c r="Q51" s="187" t="s">
        <v>46</v>
      </c>
      <c r="R51" s="209"/>
      <c r="S51" s="186" t="s">
        <v>1199</v>
      </c>
      <c r="T51" s="210">
        <v>102524345</v>
      </c>
      <c r="U51" s="211" t="s">
        <v>1203</v>
      </c>
    </row>
    <row r="52" spans="1:21" s="172" customFormat="1" ht="19">
      <c r="A52" s="172">
        <v>47</v>
      </c>
      <c r="B52" s="205">
        <v>45626</v>
      </c>
      <c r="C52" s="176" t="s">
        <v>1704</v>
      </c>
      <c r="D52" s="176" t="s">
        <v>1194</v>
      </c>
      <c r="E52" s="177">
        <v>112030019</v>
      </c>
      <c r="F52" s="175" t="str">
        <f t="shared" ref="F52:F55" si="20">VLOOKUP(E52,PROD,2,FALSE)</f>
        <v>ML 8220 BIS FBK- MICROONDAS</v>
      </c>
      <c r="G52" s="176" t="s">
        <v>1197</v>
      </c>
      <c r="H52" s="177" t="s">
        <v>24</v>
      </c>
      <c r="I52" s="177" t="s">
        <v>46</v>
      </c>
      <c r="J52" s="177" t="s">
        <v>47</v>
      </c>
      <c r="K52" s="182">
        <v>45901</v>
      </c>
      <c r="L52" s="183" t="s">
        <v>1705</v>
      </c>
      <c r="M52" s="183" t="s">
        <v>1670</v>
      </c>
      <c r="N52" s="176">
        <v>998435232</v>
      </c>
      <c r="O52" s="179">
        <v>15</v>
      </c>
      <c r="P52" s="177" t="s">
        <v>48</v>
      </c>
      <c r="Q52" s="177" t="s">
        <v>46</v>
      </c>
      <c r="R52" s="180"/>
      <c r="S52" s="176" t="str">
        <f t="shared" ref="S52" si="21">D52</f>
        <v>001-501-000055915</v>
      </c>
      <c r="T52" s="181">
        <v>104631320</v>
      </c>
      <c r="U52" s="88" t="s">
        <v>1706</v>
      </c>
    </row>
    <row r="53" spans="1:21" s="172" customFormat="1" ht="19">
      <c r="A53" s="172">
        <v>48</v>
      </c>
      <c r="B53" s="205">
        <v>45626</v>
      </c>
      <c r="C53" s="176" t="s">
        <v>1704</v>
      </c>
      <c r="D53" s="176" t="s">
        <v>1194</v>
      </c>
      <c r="E53" s="177">
        <v>111030002</v>
      </c>
      <c r="F53" s="175" t="str">
        <f t="shared" si="20"/>
        <v>HLB 760 G SS HORNO A GAS</v>
      </c>
      <c r="G53" s="176" t="s">
        <v>1195</v>
      </c>
      <c r="H53" s="177" t="s">
        <v>24</v>
      </c>
      <c r="I53" s="177" t="s">
        <v>46</v>
      </c>
      <c r="J53" s="177" t="s">
        <v>47</v>
      </c>
      <c r="K53" s="182">
        <v>45901</v>
      </c>
      <c r="L53" s="183" t="s">
        <v>1705</v>
      </c>
      <c r="M53" s="183" t="s">
        <v>1670</v>
      </c>
      <c r="N53" s="176">
        <v>998435232</v>
      </c>
      <c r="O53" s="179">
        <v>15</v>
      </c>
      <c r="P53" s="177" t="s">
        <v>48</v>
      </c>
      <c r="Q53" s="177" t="s">
        <v>46</v>
      </c>
      <c r="R53" s="180"/>
      <c r="S53" s="176" t="str">
        <f t="shared" ref="S53:S55" si="22">D53</f>
        <v>001-501-000055915</v>
      </c>
      <c r="T53" s="181">
        <v>104631320</v>
      </c>
      <c r="U53" s="88" t="s">
        <v>1706</v>
      </c>
    </row>
    <row r="54" spans="1:21" s="172" customFormat="1" ht="19">
      <c r="A54" s="172">
        <v>49</v>
      </c>
      <c r="B54" s="205">
        <v>45626</v>
      </c>
      <c r="C54" s="176" t="s">
        <v>1704</v>
      </c>
      <c r="D54" s="176" t="s">
        <v>1194</v>
      </c>
      <c r="E54" s="177">
        <v>112570073</v>
      </c>
      <c r="F54" s="175" t="str">
        <f t="shared" si="20"/>
        <v>GZC 96310 XBB CRISTAL COCINA GAS</v>
      </c>
      <c r="G54" s="176" t="s">
        <v>1196</v>
      </c>
      <c r="H54" s="177" t="s">
        <v>24</v>
      </c>
      <c r="I54" s="177" t="s">
        <v>46</v>
      </c>
      <c r="J54" s="177" t="s">
        <v>47</v>
      </c>
      <c r="K54" s="182">
        <v>45901</v>
      </c>
      <c r="L54" s="183" t="s">
        <v>1705</v>
      </c>
      <c r="M54" s="183" t="s">
        <v>1670</v>
      </c>
      <c r="N54" s="176">
        <v>998435232</v>
      </c>
      <c r="O54" s="179">
        <v>15</v>
      </c>
      <c r="P54" s="177" t="s">
        <v>48</v>
      </c>
      <c r="Q54" s="177" t="s">
        <v>46</v>
      </c>
      <c r="R54" s="180"/>
      <c r="S54" s="176" t="str">
        <f t="shared" si="22"/>
        <v>001-501-000055915</v>
      </c>
      <c r="T54" s="181">
        <v>104631320</v>
      </c>
      <c r="U54" s="88" t="s">
        <v>1706</v>
      </c>
    </row>
    <row r="55" spans="1:21" s="172" customFormat="1" ht="19">
      <c r="A55" s="172">
        <v>50</v>
      </c>
      <c r="B55" s="205">
        <v>45626</v>
      </c>
      <c r="C55" s="176" t="s">
        <v>1704</v>
      </c>
      <c r="D55" s="176" t="s">
        <v>1194</v>
      </c>
      <c r="E55" s="177">
        <v>112930045</v>
      </c>
      <c r="F55" s="175" t="str">
        <f t="shared" si="20"/>
        <v>DLV 98660 TRL BK CAMPANA (110V-60HZ) C/KIT</v>
      </c>
      <c r="G55" s="176" t="s">
        <v>1198</v>
      </c>
      <c r="H55" s="177" t="s">
        <v>24</v>
      </c>
      <c r="I55" s="177" t="s">
        <v>46</v>
      </c>
      <c r="J55" s="177" t="s">
        <v>47</v>
      </c>
      <c r="K55" s="182">
        <v>45901</v>
      </c>
      <c r="L55" s="183" t="s">
        <v>1705</v>
      </c>
      <c r="M55" s="183" t="s">
        <v>1670</v>
      </c>
      <c r="N55" s="176">
        <v>998435232</v>
      </c>
      <c r="O55" s="179">
        <v>15</v>
      </c>
      <c r="P55" s="177" t="s">
        <v>48</v>
      </c>
      <c r="Q55" s="177" t="s">
        <v>46</v>
      </c>
      <c r="R55" s="180"/>
      <c r="S55" s="176" t="str">
        <f t="shared" si="22"/>
        <v>001-501-000055915</v>
      </c>
      <c r="T55" s="181">
        <v>104631320</v>
      </c>
      <c r="U55" s="88" t="s">
        <v>1706</v>
      </c>
    </row>
    <row r="56" spans="1:21" s="172" customFormat="1" ht="19">
      <c r="A56" s="172">
        <v>51</v>
      </c>
      <c r="B56" s="205">
        <v>45712</v>
      </c>
      <c r="C56" s="176" t="s">
        <v>1211</v>
      </c>
      <c r="D56" s="176" t="s">
        <v>1212</v>
      </c>
      <c r="E56" s="177">
        <v>40446712</v>
      </c>
      <c r="F56" s="175" t="str">
        <f t="shared" si="0"/>
        <v>GFH 73 INOX CAMPANA (110V-60HZ) C/KIT</v>
      </c>
      <c r="G56" s="176" t="s">
        <v>1205</v>
      </c>
      <c r="H56" s="177" t="s">
        <v>24</v>
      </c>
      <c r="I56" s="177" t="s">
        <v>46</v>
      </c>
      <c r="J56" s="177" t="s">
        <v>47</v>
      </c>
      <c r="K56" s="182">
        <v>45902</v>
      </c>
      <c r="L56" s="183" t="s">
        <v>1310</v>
      </c>
      <c r="M56" s="183" t="s">
        <v>1206</v>
      </c>
      <c r="N56" s="176">
        <v>985225444</v>
      </c>
      <c r="O56" s="179">
        <v>15</v>
      </c>
      <c r="P56" s="177" t="s">
        <v>48</v>
      </c>
      <c r="Q56" s="177" t="s">
        <v>46</v>
      </c>
      <c r="R56" s="180"/>
      <c r="S56" s="176" t="str">
        <f t="shared" si="16"/>
        <v>007-006-000136229</v>
      </c>
      <c r="T56" s="181">
        <v>102272135</v>
      </c>
      <c r="U56" s="88" t="s">
        <v>1207</v>
      </c>
    </row>
    <row r="57" spans="1:21" s="172" customFormat="1" ht="19">
      <c r="A57" s="172">
        <v>52</v>
      </c>
      <c r="B57" s="205">
        <v>45877</v>
      </c>
      <c r="C57" s="176" t="s">
        <v>1054</v>
      </c>
      <c r="D57" s="176" t="s">
        <v>1204</v>
      </c>
      <c r="E57" s="177">
        <v>112570093</v>
      </c>
      <c r="F57" s="175" t="str">
        <f t="shared" si="0"/>
        <v>GZC 75330 XBB CRISTAL COCINA GAS</v>
      </c>
      <c r="G57" s="176" t="s">
        <v>1208</v>
      </c>
      <c r="H57" s="177" t="s">
        <v>24</v>
      </c>
      <c r="I57" s="177" t="s">
        <v>46</v>
      </c>
      <c r="J57" s="177" t="s">
        <v>47</v>
      </c>
      <c r="K57" s="182">
        <v>45902</v>
      </c>
      <c r="L57" s="183" t="s">
        <v>1310</v>
      </c>
      <c r="M57" s="183" t="s">
        <v>1206</v>
      </c>
      <c r="N57" s="176">
        <v>985225444</v>
      </c>
      <c r="O57" s="179">
        <v>15</v>
      </c>
      <c r="P57" s="177" t="s">
        <v>48</v>
      </c>
      <c r="Q57" s="177" t="s">
        <v>46</v>
      </c>
      <c r="R57" s="180"/>
      <c r="S57" s="176" t="str">
        <f t="shared" ref="S57:S59" si="23">D57</f>
        <v>001-502-000000407</v>
      </c>
      <c r="T57" s="181">
        <v>102272135</v>
      </c>
      <c r="U57" s="88" t="s">
        <v>1207</v>
      </c>
    </row>
    <row r="58" spans="1:21" s="172" customFormat="1" ht="19">
      <c r="A58" s="172">
        <v>53</v>
      </c>
      <c r="B58" s="205">
        <v>45712</v>
      </c>
      <c r="C58" s="176" t="s">
        <v>1211</v>
      </c>
      <c r="D58" s="176" t="s">
        <v>1212</v>
      </c>
      <c r="E58" s="177">
        <v>40466241</v>
      </c>
      <c r="F58" s="175" t="str">
        <f t="shared" si="0"/>
        <v>C 9310 INOX CAMPANA (110V-60HZ) C/KIT</v>
      </c>
      <c r="G58" s="176" t="s">
        <v>1209</v>
      </c>
      <c r="H58" s="177" t="s">
        <v>24</v>
      </c>
      <c r="I58" s="177" t="s">
        <v>46</v>
      </c>
      <c r="J58" s="177" t="s">
        <v>47</v>
      </c>
      <c r="K58" s="182">
        <v>45902</v>
      </c>
      <c r="L58" s="183" t="s">
        <v>1310</v>
      </c>
      <c r="M58" s="183" t="s">
        <v>1206</v>
      </c>
      <c r="N58" s="176">
        <v>985225444</v>
      </c>
      <c r="O58" s="179">
        <v>15</v>
      </c>
      <c r="P58" s="177" t="s">
        <v>48</v>
      </c>
      <c r="Q58" s="177" t="s">
        <v>46</v>
      </c>
      <c r="R58" s="180"/>
      <c r="S58" s="176" t="str">
        <f t="shared" si="23"/>
        <v>007-006-000136229</v>
      </c>
      <c r="T58" s="181">
        <v>102272135</v>
      </c>
      <c r="U58" s="88" t="s">
        <v>1207</v>
      </c>
    </row>
    <row r="59" spans="1:21" s="172" customFormat="1" ht="19">
      <c r="A59" s="172">
        <v>54</v>
      </c>
      <c r="B59" s="205">
        <v>45877</v>
      </c>
      <c r="C59" s="176" t="s">
        <v>1054</v>
      </c>
      <c r="D59" s="176" t="s">
        <v>1204</v>
      </c>
      <c r="E59" s="177">
        <v>112610071</v>
      </c>
      <c r="F59" s="175" t="str">
        <f t="shared" si="0"/>
        <v>GSC 64320 XBA IX (LAT) COCINA INOX</v>
      </c>
      <c r="G59" s="176" t="s">
        <v>1210</v>
      </c>
      <c r="H59" s="177" t="s">
        <v>24</v>
      </c>
      <c r="I59" s="177" t="s">
        <v>46</v>
      </c>
      <c r="J59" s="177" t="s">
        <v>47</v>
      </c>
      <c r="K59" s="182">
        <v>45902</v>
      </c>
      <c r="L59" s="183" t="s">
        <v>1310</v>
      </c>
      <c r="M59" s="183" t="s">
        <v>1206</v>
      </c>
      <c r="N59" s="176">
        <v>985225444</v>
      </c>
      <c r="O59" s="179">
        <v>15</v>
      </c>
      <c r="P59" s="177" t="s">
        <v>48</v>
      </c>
      <c r="Q59" s="177" t="s">
        <v>46</v>
      </c>
      <c r="R59" s="180"/>
      <c r="S59" s="176" t="str">
        <f t="shared" si="23"/>
        <v>001-502-000000407</v>
      </c>
      <c r="T59" s="181">
        <v>102272135</v>
      </c>
      <c r="U59" s="88" t="s">
        <v>1207</v>
      </c>
    </row>
    <row r="60" spans="1:21" s="172" customFormat="1" ht="19">
      <c r="A60" s="172">
        <v>55</v>
      </c>
      <c r="B60" s="205">
        <v>45780</v>
      </c>
      <c r="C60" s="176" t="s">
        <v>1045</v>
      </c>
      <c r="D60" s="176" t="s">
        <v>1213</v>
      </c>
      <c r="E60" s="177">
        <v>40461543</v>
      </c>
      <c r="F60" s="175" t="str">
        <f t="shared" si="0"/>
        <v>C 6310 INOX CAMPANA (110V-60HZ) C/KIT</v>
      </c>
      <c r="G60" s="176" t="s">
        <v>1214</v>
      </c>
      <c r="H60" s="177" t="s">
        <v>24</v>
      </c>
      <c r="I60" s="177" t="s">
        <v>46</v>
      </c>
      <c r="J60" s="177" t="s">
        <v>47</v>
      </c>
      <c r="K60" s="182">
        <v>45903</v>
      </c>
      <c r="L60" s="183" t="s">
        <v>1215</v>
      </c>
      <c r="M60" s="183" t="s">
        <v>1216</v>
      </c>
      <c r="N60" s="176">
        <v>984912824</v>
      </c>
      <c r="O60" s="179">
        <v>20</v>
      </c>
      <c r="P60" s="177" t="s">
        <v>48</v>
      </c>
      <c r="Q60" s="177" t="s">
        <v>46</v>
      </c>
      <c r="R60" s="180"/>
      <c r="S60" s="176" t="str">
        <f t="shared" si="16"/>
        <v>043-906-000049343</v>
      </c>
      <c r="T60" s="181">
        <v>104357421</v>
      </c>
      <c r="U60" s="88" t="s">
        <v>1217</v>
      </c>
    </row>
    <row r="61" spans="1:21" s="172" customFormat="1" ht="19">
      <c r="A61" s="172">
        <v>56</v>
      </c>
      <c r="B61" s="205">
        <v>45780</v>
      </c>
      <c r="C61" s="176" t="s">
        <v>1045</v>
      </c>
      <c r="D61" s="176" t="s">
        <v>1213</v>
      </c>
      <c r="E61" s="177">
        <v>40212044</v>
      </c>
      <c r="F61" s="175" t="str">
        <f t="shared" si="0"/>
        <v>EX 70.1 5G AI DR CI COCINA INOX</v>
      </c>
      <c r="G61" s="176" t="s">
        <v>1218</v>
      </c>
      <c r="H61" s="177" t="s">
        <v>24</v>
      </c>
      <c r="I61" s="177" t="s">
        <v>46</v>
      </c>
      <c r="J61" s="177" t="s">
        <v>47</v>
      </c>
      <c r="K61" s="182">
        <v>45903</v>
      </c>
      <c r="L61" s="183" t="s">
        <v>1215</v>
      </c>
      <c r="M61" s="183" t="s">
        <v>1216</v>
      </c>
      <c r="N61" s="176">
        <v>984912824</v>
      </c>
      <c r="O61" s="179">
        <v>20</v>
      </c>
      <c r="P61" s="177" t="s">
        <v>48</v>
      </c>
      <c r="Q61" s="177" t="s">
        <v>46</v>
      </c>
      <c r="R61" s="180"/>
      <c r="S61" s="176" t="str">
        <f t="shared" ref="S61" si="24">D61</f>
        <v>043-906-000049343</v>
      </c>
      <c r="T61" s="181">
        <v>104357421</v>
      </c>
      <c r="U61" s="88" t="s">
        <v>1217</v>
      </c>
    </row>
    <row r="62" spans="1:21" s="172" customFormat="1" ht="19">
      <c r="A62" s="172">
        <v>57</v>
      </c>
      <c r="B62" s="205">
        <v>45783</v>
      </c>
      <c r="C62" s="176" t="s">
        <v>1045</v>
      </c>
      <c r="D62" s="176" t="s">
        <v>1317</v>
      </c>
      <c r="E62" s="177">
        <v>112580027</v>
      </c>
      <c r="F62" s="175" t="str">
        <f t="shared" si="0"/>
        <v>GBC 75030 KBB CRISTAL COCINA GAS</v>
      </c>
      <c r="G62" s="176" t="s">
        <v>1318</v>
      </c>
      <c r="H62" s="177" t="s">
        <v>24</v>
      </c>
      <c r="I62" s="177" t="s">
        <v>46</v>
      </c>
      <c r="J62" s="177" t="s">
        <v>47</v>
      </c>
      <c r="K62" s="182">
        <v>45904</v>
      </c>
      <c r="L62" s="183" t="s">
        <v>1320</v>
      </c>
      <c r="M62" s="183" t="s">
        <v>1321</v>
      </c>
      <c r="N62" s="176">
        <v>9991292956</v>
      </c>
      <c r="O62" s="179">
        <v>20</v>
      </c>
      <c r="P62" s="177" t="s">
        <v>48</v>
      </c>
      <c r="Q62" s="177" t="s">
        <v>46</v>
      </c>
      <c r="R62" s="180"/>
      <c r="S62" s="176" t="str">
        <f>D63</f>
        <v>043-103-000071803</v>
      </c>
      <c r="T62" s="181">
        <v>1150044483</v>
      </c>
      <c r="U62" s="88" t="s">
        <v>1322</v>
      </c>
    </row>
    <row r="63" spans="1:21" s="172" customFormat="1" ht="19">
      <c r="A63" s="172">
        <v>58</v>
      </c>
      <c r="B63" s="205">
        <v>45783</v>
      </c>
      <c r="C63" s="176" t="s">
        <v>1045</v>
      </c>
      <c r="D63" s="176" t="s">
        <v>1317</v>
      </c>
      <c r="E63" s="177">
        <v>40782127</v>
      </c>
      <c r="F63" s="175" t="str">
        <f t="shared" si="0"/>
        <v>DW8 57 FIM PANELABLE LAVAVAJILLAS</v>
      </c>
      <c r="G63" s="176" t="s">
        <v>1319</v>
      </c>
      <c r="H63" s="177" t="s">
        <v>24</v>
      </c>
      <c r="I63" s="177" t="s">
        <v>46</v>
      </c>
      <c r="J63" s="177" t="s">
        <v>47</v>
      </c>
      <c r="K63" s="206">
        <v>45904</v>
      </c>
      <c r="L63" s="207" t="s">
        <v>1320</v>
      </c>
      <c r="M63" s="207" t="s">
        <v>1321</v>
      </c>
      <c r="N63" s="186">
        <v>9991292956</v>
      </c>
      <c r="O63" s="208">
        <v>20</v>
      </c>
      <c r="P63" s="187" t="s">
        <v>48</v>
      </c>
      <c r="Q63" s="187" t="s">
        <v>46</v>
      </c>
      <c r="R63" s="209"/>
      <c r="S63" s="186" t="s">
        <v>1317</v>
      </c>
      <c r="T63" s="210">
        <v>1150044483</v>
      </c>
      <c r="U63" s="211" t="s">
        <v>1322</v>
      </c>
    </row>
    <row r="64" spans="1:21" s="172" customFormat="1" ht="19">
      <c r="A64" s="172">
        <v>59</v>
      </c>
      <c r="B64" s="205">
        <v>45902</v>
      </c>
      <c r="C64" s="176" t="s">
        <v>1054</v>
      </c>
      <c r="D64" s="176" t="s">
        <v>1323</v>
      </c>
      <c r="E64" s="177">
        <v>112510035</v>
      </c>
      <c r="F64" s="175" t="str">
        <f t="shared" si="0"/>
        <v>IZF 64440 MSP BK COCINA INDUCCION</v>
      </c>
      <c r="G64" s="176" t="s">
        <v>1324</v>
      </c>
      <c r="H64" s="177" t="s">
        <v>24</v>
      </c>
      <c r="I64" s="177" t="s">
        <v>46</v>
      </c>
      <c r="J64" s="177" t="s">
        <v>47</v>
      </c>
      <c r="K64" s="182">
        <v>45904</v>
      </c>
      <c r="L64" s="183" t="s">
        <v>1327</v>
      </c>
      <c r="M64" s="183" t="s">
        <v>1108</v>
      </c>
      <c r="N64" s="176">
        <v>980108164</v>
      </c>
      <c r="O64" s="179">
        <v>15</v>
      </c>
      <c r="P64" s="177" t="s">
        <v>48</v>
      </c>
      <c r="Q64" s="177" t="s">
        <v>46</v>
      </c>
      <c r="R64" s="180"/>
      <c r="S64" s="176" t="str">
        <f t="shared" si="16"/>
        <v>001-500-000076543</v>
      </c>
      <c r="T64" s="181" t="s">
        <v>1328</v>
      </c>
      <c r="U64" s="88" t="s">
        <v>1329</v>
      </c>
    </row>
    <row r="65" spans="1:21" s="172" customFormat="1" ht="19">
      <c r="A65" s="172">
        <v>60</v>
      </c>
      <c r="B65" s="205">
        <v>45902</v>
      </c>
      <c r="C65" s="176" t="s">
        <v>1054</v>
      </c>
      <c r="D65" s="176" t="s">
        <v>1323</v>
      </c>
      <c r="E65" s="177">
        <v>111000051</v>
      </c>
      <c r="F65" s="175" t="str">
        <f t="shared" si="0"/>
        <v>HLB 8416 "AIR FRY" - HORNO ELEC</v>
      </c>
      <c r="G65" s="176" t="s">
        <v>1325</v>
      </c>
      <c r="H65" s="177" t="s">
        <v>24</v>
      </c>
      <c r="I65" s="177" t="s">
        <v>46</v>
      </c>
      <c r="J65" s="177" t="s">
        <v>47</v>
      </c>
      <c r="K65" s="182">
        <v>45904</v>
      </c>
      <c r="L65" s="183" t="s">
        <v>1327</v>
      </c>
      <c r="M65" s="183" t="s">
        <v>1108</v>
      </c>
      <c r="N65" s="176">
        <v>980108164</v>
      </c>
      <c r="O65" s="179">
        <v>15</v>
      </c>
      <c r="P65" s="177" t="s">
        <v>48</v>
      </c>
      <c r="Q65" s="177" t="s">
        <v>46</v>
      </c>
      <c r="R65" s="180"/>
      <c r="S65" s="176" t="str">
        <f t="shared" ref="S65:S66" si="25">D65</f>
        <v>001-500-000076543</v>
      </c>
      <c r="T65" s="181" t="s">
        <v>1328</v>
      </c>
      <c r="U65" s="88" t="s">
        <v>1329</v>
      </c>
    </row>
    <row r="66" spans="1:21" s="172" customFormat="1" ht="19">
      <c r="A66" s="172">
        <v>61</v>
      </c>
      <c r="B66" s="205">
        <v>45903</v>
      </c>
      <c r="C66" s="176" t="s">
        <v>1054</v>
      </c>
      <c r="D66" s="176" t="s">
        <v>1346</v>
      </c>
      <c r="E66" s="177">
        <v>113430018</v>
      </c>
      <c r="F66" s="175" t="str">
        <f t="shared" si="0"/>
        <v>RLF 74920 SS SBS REFRIGERADORA</v>
      </c>
      <c r="G66" s="176" t="s">
        <v>1326</v>
      </c>
      <c r="H66" s="177" t="s">
        <v>24</v>
      </c>
      <c r="I66" s="177" t="s">
        <v>46</v>
      </c>
      <c r="J66" s="177" t="s">
        <v>47</v>
      </c>
      <c r="K66" s="182">
        <v>45904</v>
      </c>
      <c r="L66" s="183" t="s">
        <v>1327</v>
      </c>
      <c r="M66" s="183" t="s">
        <v>1108</v>
      </c>
      <c r="N66" s="176">
        <v>980108164</v>
      </c>
      <c r="O66" s="179">
        <v>15</v>
      </c>
      <c r="P66" s="177" t="s">
        <v>48</v>
      </c>
      <c r="Q66" s="177" t="s">
        <v>46</v>
      </c>
      <c r="R66" s="180"/>
      <c r="S66" s="176" t="str">
        <f t="shared" si="25"/>
        <v>001-500-000076577</v>
      </c>
      <c r="T66" s="181" t="s">
        <v>1328</v>
      </c>
      <c r="U66" s="88" t="s">
        <v>1329</v>
      </c>
    </row>
    <row r="67" spans="1:21" s="172" customFormat="1" ht="19">
      <c r="A67" s="172">
        <v>62</v>
      </c>
      <c r="B67" s="205">
        <v>45712</v>
      </c>
      <c r="C67" s="176" t="s">
        <v>1101</v>
      </c>
      <c r="D67" s="176" t="s">
        <v>1330</v>
      </c>
      <c r="E67" s="177">
        <v>112570123</v>
      </c>
      <c r="F67" s="175" t="str">
        <f t="shared" si="0"/>
        <v>JZC 63312 ABB BK (LAT) COCINA MIXTA GAS - INDUCCION (40213012)</v>
      </c>
      <c r="G67" s="176" t="s">
        <v>1331</v>
      </c>
      <c r="H67" s="177" t="s">
        <v>24</v>
      </c>
      <c r="I67" s="177" t="s">
        <v>46</v>
      </c>
      <c r="J67" s="177" t="s">
        <v>47</v>
      </c>
      <c r="K67" s="182">
        <v>45905</v>
      </c>
      <c r="L67" s="183" t="s">
        <v>1334</v>
      </c>
      <c r="M67" s="183" t="s">
        <v>1241</v>
      </c>
      <c r="N67" s="176">
        <v>984331113</v>
      </c>
      <c r="O67" s="179">
        <v>15</v>
      </c>
      <c r="P67" s="177" t="s">
        <v>48</v>
      </c>
      <c r="Q67" s="177" t="s">
        <v>46</v>
      </c>
      <c r="R67" s="180"/>
      <c r="S67" s="176" t="str">
        <f t="shared" si="16"/>
        <v>006-000157574</v>
      </c>
      <c r="T67" s="181">
        <v>104741616</v>
      </c>
      <c r="U67" s="88" t="s">
        <v>1335</v>
      </c>
    </row>
    <row r="68" spans="1:21" s="172" customFormat="1" ht="19">
      <c r="A68" s="172">
        <v>63</v>
      </c>
      <c r="B68" s="205">
        <v>45712</v>
      </c>
      <c r="C68" s="176" t="s">
        <v>1101</v>
      </c>
      <c r="D68" s="176" t="s">
        <v>1330</v>
      </c>
      <c r="E68" s="177">
        <v>112030019</v>
      </c>
      <c r="F68" s="175" t="str">
        <f t="shared" si="0"/>
        <v>ML 8220 BIS FBK- MICROONDAS</v>
      </c>
      <c r="G68" s="176" t="s">
        <v>1332</v>
      </c>
      <c r="H68" s="177" t="s">
        <v>24</v>
      </c>
      <c r="I68" s="177" t="s">
        <v>46</v>
      </c>
      <c r="J68" s="177" t="s">
        <v>47</v>
      </c>
      <c r="K68" s="182">
        <v>45905</v>
      </c>
      <c r="L68" s="183" t="s">
        <v>1334</v>
      </c>
      <c r="M68" s="183" t="s">
        <v>1241</v>
      </c>
      <c r="N68" s="176">
        <v>984331113</v>
      </c>
      <c r="O68" s="179">
        <v>15</v>
      </c>
      <c r="P68" s="177" t="s">
        <v>48</v>
      </c>
      <c r="Q68" s="177" t="s">
        <v>46</v>
      </c>
      <c r="R68" s="180"/>
      <c r="S68" s="176" t="str">
        <f t="shared" ref="S68:S69" si="26">D68</f>
        <v>006-000157574</v>
      </c>
      <c r="T68" s="181">
        <v>104741616</v>
      </c>
      <c r="U68" s="88" t="s">
        <v>1335</v>
      </c>
    </row>
    <row r="69" spans="1:21" s="172" customFormat="1" ht="19">
      <c r="A69" s="172">
        <v>64</v>
      </c>
      <c r="B69" s="205">
        <v>45712</v>
      </c>
      <c r="C69" s="176" t="s">
        <v>1101</v>
      </c>
      <c r="D69" s="176" t="s">
        <v>1330</v>
      </c>
      <c r="E69" s="177">
        <v>111000078</v>
      </c>
      <c r="F69" s="175" t="str">
        <f t="shared" si="0"/>
        <v>HLB 8400 FBK HORNO ELEC</v>
      </c>
      <c r="G69" s="176" t="s">
        <v>1333</v>
      </c>
      <c r="H69" s="177" t="s">
        <v>24</v>
      </c>
      <c r="I69" s="177" t="s">
        <v>46</v>
      </c>
      <c r="J69" s="177" t="s">
        <v>47</v>
      </c>
      <c r="K69" s="182">
        <v>45905</v>
      </c>
      <c r="L69" s="183" t="s">
        <v>1334</v>
      </c>
      <c r="M69" s="183" t="s">
        <v>1241</v>
      </c>
      <c r="N69" s="176">
        <v>984331113</v>
      </c>
      <c r="O69" s="179">
        <v>15</v>
      </c>
      <c r="P69" s="177" t="s">
        <v>48</v>
      </c>
      <c r="Q69" s="177" t="s">
        <v>46</v>
      </c>
      <c r="R69" s="180"/>
      <c r="S69" s="176" t="str">
        <f t="shared" si="26"/>
        <v>006-000157574</v>
      </c>
      <c r="T69" s="181">
        <v>104741616</v>
      </c>
      <c r="U69" s="88" t="s">
        <v>1335</v>
      </c>
    </row>
    <row r="70" spans="1:21" s="172" customFormat="1" ht="19">
      <c r="A70" s="172">
        <v>65</v>
      </c>
      <c r="B70" s="205">
        <v>45693</v>
      </c>
      <c r="C70" s="176" t="s">
        <v>1336</v>
      </c>
      <c r="D70" s="176" t="s">
        <v>1337</v>
      </c>
      <c r="E70" s="177">
        <v>112580017</v>
      </c>
      <c r="F70" s="175" t="str">
        <f t="shared" si="0"/>
        <v>GBC 64000 KBB CRISTAL COCINA GAS</v>
      </c>
      <c r="G70" s="176" t="s">
        <v>1338</v>
      </c>
      <c r="H70" s="177" t="s">
        <v>24</v>
      </c>
      <c r="I70" s="177" t="s">
        <v>46</v>
      </c>
      <c r="J70" s="177" t="s">
        <v>47</v>
      </c>
      <c r="K70" s="182">
        <v>45908</v>
      </c>
      <c r="L70" s="183" t="s">
        <v>1342</v>
      </c>
      <c r="M70" s="183" t="s">
        <v>1343</v>
      </c>
      <c r="N70" s="176">
        <v>992884552</v>
      </c>
      <c r="O70" s="179">
        <v>15</v>
      </c>
      <c r="P70" s="177" t="s">
        <v>48</v>
      </c>
      <c r="Q70" s="177" t="s">
        <v>46</v>
      </c>
      <c r="R70" s="180"/>
      <c r="S70" s="176" t="str">
        <f t="shared" si="16"/>
        <v>002-201-00004951</v>
      </c>
      <c r="T70" s="181">
        <v>101955365</v>
      </c>
      <c r="U70" s="88" t="s">
        <v>1344</v>
      </c>
    </row>
    <row r="71" spans="1:21" s="172" customFormat="1" ht="19">
      <c r="A71" s="172">
        <v>66</v>
      </c>
      <c r="B71" s="205">
        <v>45693</v>
      </c>
      <c r="C71" s="176" t="s">
        <v>1336</v>
      </c>
      <c r="D71" s="176" t="s">
        <v>1337</v>
      </c>
      <c r="E71" s="177">
        <v>40467305</v>
      </c>
      <c r="F71" s="175" t="str">
        <f t="shared" si="0"/>
        <v>C 710 NEGRA CAMPANA (110V-60HZ) C/KIT</v>
      </c>
      <c r="G71" s="176" t="s">
        <v>1339</v>
      </c>
      <c r="H71" s="177" t="s">
        <v>24</v>
      </c>
      <c r="I71" s="177" t="s">
        <v>46</v>
      </c>
      <c r="J71" s="177" t="s">
        <v>47</v>
      </c>
      <c r="K71" s="182">
        <v>45908</v>
      </c>
      <c r="L71" s="183" t="s">
        <v>1342</v>
      </c>
      <c r="M71" s="183" t="s">
        <v>1343</v>
      </c>
      <c r="N71" s="176">
        <v>992884552</v>
      </c>
      <c r="O71" s="179">
        <v>15</v>
      </c>
      <c r="P71" s="177" t="s">
        <v>48</v>
      </c>
      <c r="Q71" s="177" t="s">
        <v>46</v>
      </c>
      <c r="R71" s="180"/>
      <c r="S71" s="176" t="str">
        <f t="shared" ref="S71:S73" si="27">D71</f>
        <v>002-201-00004951</v>
      </c>
      <c r="T71" s="181">
        <v>101955365</v>
      </c>
      <c r="U71" s="88" t="s">
        <v>1344</v>
      </c>
    </row>
    <row r="72" spans="1:21" s="172" customFormat="1" ht="19">
      <c r="A72" s="172">
        <v>67</v>
      </c>
      <c r="B72" s="205">
        <v>45693</v>
      </c>
      <c r="C72" s="176" t="s">
        <v>1336</v>
      </c>
      <c r="D72" s="176" t="s">
        <v>1345</v>
      </c>
      <c r="E72" s="177">
        <v>40461507</v>
      </c>
      <c r="F72" s="175" t="str">
        <f t="shared" ref="F72:F91" si="28">VLOOKUP(E72,PROD,2,FALSE)</f>
        <v>C 610 NEGRA CAMPANA (110V-60HZ) C/KIT</v>
      </c>
      <c r="G72" s="176" t="s">
        <v>1340</v>
      </c>
      <c r="H72" s="177" t="s">
        <v>24</v>
      </c>
      <c r="I72" s="177" t="s">
        <v>46</v>
      </c>
      <c r="J72" s="177" t="s">
        <v>47</v>
      </c>
      <c r="K72" s="182">
        <v>45908</v>
      </c>
      <c r="L72" s="183" t="s">
        <v>1342</v>
      </c>
      <c r="M72" s="183" t="s">
        <v>1343</v>
      </c>
      <c r="N72" s="176">
        <v>992884552</v>
      </c>
      <c r="O72" s="179">
        <v>15</v>
      </c>
      <c r="P72" s="177" t="s">
        <v>48</v>
      </c>
      <c r="Q72" s="177" t="s">
        <v>46</v>
      </c>
      <c r="R72" s="180"/>
      <c r="S72" s="176" t="str">
        <f t="shared" si="27"/>
        <v>002-201-000011498</v>
      </c>
      <c r="T72" s="181">
        <v>101955365</v>
      </c>
      <c r="U72" s="88" t="s">
        <v>1344</v>
      </c>
    </row>
    <row r="73" spans="1:21" s="172" customFormat="1" ht="19">
      <c r="A73" s="172">
        <v>68</v>
      </c>
      <c r="B73" s="205">
        <v>45693</v>
      </c>
      <c r="C73" s="176" t="s">
        <v>1336</v>
      </c>
      <c r="D73" s="176" t="s">
        <v>1345</v>
      </c>
      <c r="E73" s="177">
        <v>40212014</v>
      </c>
      <c r="F73" s="175" t="str">
        <f t="shared" si="28"/>
        <v>EX 60.1 4G AI DR CI COCINA INOX</v>
      </c>
      <c r="G73" s="176" t="s">
        <v>1341</v>
      </c>
      <c r="H73" s="177" t="s">
        <v>24</v>
      </c>
      <c r="I73" s="177" t="s">
        <v>46</v>
      </c>
      <c r="J73" s="177" t="s">
        <v>47</v>
      </c>
      <c r="K73" s="182">
        <v>45908</v>
      </c>
      <c r="L73" s="183" t="s">
        <v>1342</v>
      </c>
      <c r="M73" s="183" t="s">
        <v>1343</v>
      </c>
      <c r="N73" s="176">
        <v>992884552</v>
      </c>
      <c r="O73" s="179">
        <v>15</v>
      </c>
      <c r="P73" s="177" t="s">
        <v>48</v>
      </c>
      <c r="Q73" s="177" t="s">
        <v>46</v>
      </c>
      <c r="R73" s="180"/>
      <c r="S73" s="176" t="str">
        <f t="shared" si="27"/>
        <v>002-201-000011498</v>
      </c>
      <c r="T73" s="181">
        <v>101955365</v>
      </c>
      <c r="U73" s="88" t="s">
        <v>1344</v>
      </c>
    </row>
    <row r="74" spans="1:21" s="172" customFormat="1" ht="19">
      <c r="A74" s="172">
        <v>69</v>
      </c>
      <c r="B74" s="205">
        <v>45747</v>
      </c>
      <c r="C74" s="176" t="s">
        <v>1101</v>
      </c>
      <c r="D74" s="176" t="s">
        <v>1347</v>
      </c>
      <c r="E74" s="177">
        <v>113610005</v>
      </c>
      <c r="F74" s="175" t="str">
        <f t="shared" si="28"/>
        <v>RVF 10032 VINERA</v>
      </c>
      <c r="G74" s="176" t="s">
        <v>1348</v>
      </c>
      <c r="H74" s="177" t="s">
        <v>24</v>
      </c>
      <c r="I74" s="177" t="s">
        <v>46</v>
      </c>
      <c r="J74" s="177" t="s">
        <v>47</v>
      </c>
      <c r="K74" s="182">
        <v>45909</v>
      </c>
      <c r="L74" s="183" t="s">
        <v>1354</v>
      </c>
      <c r="M74" s="183" t="s">
        <v>1241</v>
      </c>
      <c r="N74" s="176">
        <v>999611839</v>
      </c>
      <c r="O74" s="179">
        <v>15</v>
      </c>
      <c r="P74" s="177" t="s">
        <v>48</v>
      </c>
      <c r="Q74" s="177" t="s">
        <v>46</v>
      </c>
      <c r="R74" s="180"/>
      <c r="S74" s="176" t="str">
        <f t="shared" si="16"/>
        <v>006-002-000157787</v>
      </c>
      <c r="T74" s="181">
        <v>101775047</v>
      </c>
      <c r="U74" s="88" t="s">
        <v>1355</v>
      </c>
    </row>
    <row r="75" spans="1:21" s="172" customFormat="1" ht="19">
      <c r="A75" s="172">
        <v>70</v>
      </c>
      <c r="B75" s="205">
        <v>45747</v>
      </c>
      <c r="C75" s="176" t="s">
        <v>1101</v>
      </c>
      <c r="D75" s="176" t="s">
        <v>1347</v>
      </c>
      <c r="E75" s="177">
        <v>111000078</v>
      </c>
      <c r="F75" s="175" t="str">
        <f t="shared" si="28"/>
        <v>HLB 8400 FBK HORNO ELEC</v>
      </c>
      <c r="G75" s="176" t="s">
        <v>1353</v>
      </c>
      <c r="H75" s="177" t="s">
        <v>24</v>
      </c>
      <c r="I75" s="177" t="s">
        <v>46</v>
      </c>
      <c r="J75" s="177" t="s">
        <v>47</v>
      </c>
      <c r="K75" s="182">
        <v>45909</v>
      </c>
      <c r="L75" s="183" t="s">
        <v>1354</v>
      </c>
      <c r="M75" s="183" t="s">
        <v>1241</v>
      </c>
      <c r="N75" s="176">
        <v>999611839</v>
      </c>
      <c r="O75" s="179">
        <v>15</v>
      </c>
      <c r="P75" s="177" t="s">
        <v>48</v>
      </c>
      <c r="Q75" s="177" t="s">
        <v>46</v>
      </c>
      <c r="R75" s="180"/>
      <c r="S75" s="176" t="str">
        <f t="shared" ref="S75:S80" si="29">D75</f>
        <v>006-002-000157787</v>
      </c>
      <c r="T75" s="181">
        <v>101775047</v>
      </c>
      <c r="U75" s="88" t="s">
        <v>1355</v>
      </c>
    </row>
    <row r="76" spans="1:21" s="172" customFormat="1" ht="19">
      <c r="A76" s="172">
        <v>71</v>
      </c>
      <c r="B76" s="205">
        <v>45747</v>
      </c>
      <c r="C76" s="176" t="s">
        <v>1101</v>
      </c>
      <c r="D76" s="176" t="s">
        <v>1347</v>
      </c>
      <c r="E76" s="177">
        <v>112030019</v>
      </c>
      <c r="F76" s="175" t="str">
        <f t="shared" si="28"/>
        <v>ML 8220 BIS FBK- MICROONDAS</v>
      </c>
      <c r="G76" s="176" t="s">
        <v>1352</v>
      </c>
      <c r="H76" s="177" t="s">
        <v>24</v>
      </c>
      <c r="I76" s="177" t="s">
        <v>46</v>
      </c>
      <c r="J76" s="177" t="s">
        <v>47</v>
      </c>
      <c r="K76" s="182">
        <v>45909</v>
      </c>
      <c r="L76" s="183" t="s">
        <v>1354</v>
      </c>
      <c r="M76" s="183" t="s">
        <v>1241</v>
      </c>
      <c r="N76" s="176">
        <v>999611839</v>
      </c>
      <c r="O76" s="179">
        <v>15</v>
      </c>
      <c r="P76" s="177" t="s">
        <v>48</v>
      </c>
      <c r="Q76" s="177" t="s">
        <v>46</v>
      </c>
      <c r="R76" s="180"/>
      <c r="S76" s="176" t="str">
        <f t="shared" si="29"/>
        <v>006-002-000157787</v>
      </c>
      <c r="T76" s="181">
        <v>101775047</v>
      </c>
      <c r="U76" s="88" t="s">
        <v>1355</v>
      </c>
    </row>
    <row r="77" spans="1:21" s="172" customFormat="1" ht="19">
      <c r="A77" s="172">
        <v>72</v>
      </c>
      <c r="B77" s="205">
        <v>45747</v>
      </c>
      <c r="C77" s="176" t="s">
        <v>1101</v>
      </c>
      <c r="D77" s="176" t="s">
        <v>1347</v>
      </c>
      <c r="E77" s="177">
        <v>112570073</v>
      </c>
      <c r="F77" s="175" t="str">
        <f t="shared" si="28"/>
        <v>GZC 96310 XBB CRISTAL COCINA GAS</v>
      </c>
      <c r="G77" s="176" t="s">
        <v>1351</v>
      </c>
      <c r="H77" s="177" t="s">
        <v>24</v>
      </c>
      <c r="I77" s="177" t="s">
        <v>46</v>
      </c>
      <c r="J77" s="177" t="s">
        <v>47</v>
      </c>
      <c r="K77" s="182">
        <v>45909</v>
      </c>
      <c r="L77" s="183" t="s">
        <v>1354</v>
      </c>
      <c r="M77" s="183" t="s">
        <v>1241</v>
      </c>
      <c r="N77" s="176">
        <v>999611839</v>
      </c>
      <c r="O77" s="179">
        <v>15</v>
      </c>
      <c r="P77" s="177" t="s">
        <v>48</v>
      </c>
      <c r="Q77" s="177" t="s">
        <v>46</v>
      </c>
      <c r="R77" s="180"/>
      <c r="S77" s="176" t="str">
        <f t="shared" si="29"/>
        <v>006-002-000157787</v>
      </c>
      <c r="T77" s="181">
        <v>101775047</v>
      </c>
      <c r="U77" s="88" t="s">
        <v>1355</v>
      </c>
    </row>
    <row r="78" spans="1:21" s="172" customFormat="1" ht="19">
      <c r="A78" s="172">
        <v>73</v>
      </c>
      <c r="B78" s="205">
        <v>45747</v>
      </c>
      <c r="C78" s="176" t="s">
        <v>1101</v>
      </c>
      <c r="D78" s="176" t="s">
        <v>1347</v>
      </c>
      <c r="E78" s="177">
        <v>113430073</v>
      </c>
      <c r="F78" s="175" t="str">
        <f t="shared" si="28"/>
        <v>RMF 77960 DSS MX REFRIGERADORA DARK INOX</v>
      </c>
      <c r="G78" s="176" t="s">
        <v>1350</v>
      </c>
      <c r="H78" s="177" t="s">
        <v>24</v>
      </c>
      <c r="I78" s="177" t="s">
        <v>46</v>
      </c>
      <c r="J78" s="177" t="s">
        <v>47</v>
      </c>
      <c r="K78" s="182">
        <v>45909</v>
      </c>
      <c r="L78" s="183" t="s">
        <v>1354</v>
      </c>
      <c r="M78" s="183" t="s">
        <v>1241</v>
      </c>
      <c r="N78" s="176">
        <v>999611839</v>
      </c>
      <c r="O78" s="179">
        <v>15</v>
      </c>
      <c r="P78" s="177" t="s">
        <v>48</v>
      </c>
      <c r="Q78" s="177" t="s">
        <v>46</v>
      </c>
      <c r="R78" s="180"/>
      <c r="S78" s="176" t="str">
        <f t="shared" si="29"/>
        <v>006-002-000157787</v>
      </c>
      <c r="T78" s="181">
        <v>101775047</v>
      </c>
      <c r="U78" s="88" t="s">
        <v>1355</v>
      </c>
    </row>
    <row r="79" spans="1:21" s="172" customFormat="1" ht="19">
      <c r="A79" s="172">
        <v>74</v>
      </c>
      <c r="B79" s="205">
        <v>45747</v>
      </c>
      <c r="C79" s="176" t="s">
        <v>1101</v>
      </c>
      <c r="D79" s="176" t="s">
        <v>1347</v>
      </c>
      <c r="E79" s="177">
        <v>40782127</v>
      </c>
      <c r="F79" s="175" t="str">
        <f t="shared" si="28"/>
        <v>DW8 57 FIM PANELABLE LAVAVAJILLAS</v>
      </c>
      <c r="G79" s="176" t="s">
        <v>1349</v>
      </c>
      <c r="H79" s="177" t="s">
        <v>24</v>
      </c>
      <c r="I79" s="177" t="s">
        <v>46</v>
      </c>
      <c r="J79" s="177" t="s">
        <v>47</v>
      </c>
      <c r="K79" s="182">
        <v>45909</v>
      </c>
      <c r="L79" s="183" t="s">
        <v>1354</v>
      </c>
      <c r="M79" s="183" t="s">
        <v>1241</v>
      </c>
      <c r="N79" s="176">
        <v>999611839</v>
      </c>
      <c r="O79" s="179">
        <v>15</v>
      </c>
      <c r="P79" s="177" t="s">
        <v>48</v>
      </c>
      <c r="Q79" s="177" t="s">
        <v>46</v>
      </c>
      <c r="R79" s="180"/>
      <c r="S79" s="176" t="str">
        <f t="shared" si="29"/>
        <v>006-002-000157787</v>
      </c>
      <c r="T79" s="181">
        <v>101775047</v>
      </c>
      <c r="U79" s="88" t="s">
        <v>1355</v>
      </c>
    </row>
    <row r="80" spans="1:21" s="172" customFormat="1" ht="19">
      <c r="A80" s="172">
        <v>75</v>
      </c>
      <c r="B80" s="205">
        <v>45866</v>
      </c>
      <c r="C80" s="176" t="s">
        <v>1356</v>
      </c>
      <c r="D80" s="176" t="s">
        <v>1357</v>
      </c>
      <c r="E80" s="177">
        <v>112500046</v>
      </c>
      <c r="F80" s="175" t="str">
        <f t="shared" si="28"/>
        <v>IZF 88700 MST COCINA INDUCCION</v>
      </c>
      <c r="G80" s="176" t="s">
        <v>1358</v>
      </c>
      <c r="H80" s="177" t="s">
        <v>24</v>
      </c>
      <c r="I80" s="177" t="s">
        <v>46</v>
      </c>
      <c r="J80" s="177" t="s">
        <v>47</v>
      </c>
      <c r="K80" s="182">
        <v>45910</v>
      </c>
      <c r="L80" s="183" t="s">
        <v>1360</v>
      </c>
      <c r="M80" s="183" t="s">
        <v>1361</v>
      </c>
      <c r="N80" s="176">
        <v>998161675</v>
      </c>
      <c r="O80" s="179">
        <v>20</v>
      </c>
      <c r="P80" s="177" t="s">
        <v>48</v>
      </c>
      <c r="Q80" s="177" t="s">
        <v>46</v>
      </c>
      <c r="R80" s="180"/>
      <c r="S80" s="176" t="str">
        <f t="shared" si="29"/>
        <v>004-010-000005378</v>
      </c>
      <c r="T80" s="181">
        <v>404391713</v>
      </c>
      <c r="U80" s="88" t="s">
        <v>1362</v>
      </c>
    </row>
    <row r="81" spans="1:21" s="172" customFormat="1" ht="19">
      <c r="A81" s="172">
        <v>76</v>
      </c>
      <c r="B81" s="205">
        <v>45866</v>
      </c>
      <c r="C81" s="176" t="s">
        <v>1356</v>
      </c>
      <c r="D81" s="176" t="s">
        <v>1357</v>
      </c>
      <c r="E81" s="177">
        <v>113120010</v>
      </c>
      <c r="F81" s="175" t="str">
        <f t="shared" si="28"/>
        <v>GFI 97350 ECS IX 110/60 CAMPANA</v>
      </c>
      <c r="G81" s="176" t="s">
        <v>1359</v>
      </c>
      <c r="H81" s="177" t="s">
        <v>24</v>
      </c>
      <c r="I81" s="177" t="s">
        <v>46</v>
      </c>
      <c r="J81" s="177" t="s">
        <v>47</v>
      </c>
      <c r="K81" s="182">
        <v>45910</v>
      </c>
      <c r="L81" s="183" t="s">
        <v>1360</v>
      </c>
      <c r="M81" s="183" t="s">
        <v>1361</v>
      </c>
      <c r="N81" s="176">
        <v>998161675</v>
      </c>
      <c r="O81" s="179">
        <v>20</v>
      </c>
      <c r="P81" s="177" t="s">
        <v>48</v>
      </c>
      <c r="Q81" s="177" t="s">
        <v>46</v>
      </c>
      <c r="R81" s="180"/>
      <c r="S81" s="176" t="str">
        <f t="shared" ref="S81" si="30">D81</f>
        <v>004-010-000005378</v>
      </c>
      <c r="T81" s="181">
        <v>404391713</v>
      </c>
      <c r="U81" s="88" t="s">
        <v>1362</v>
      </c>
    </row>
    <row r="82" spans="1:21" s="172" customFormat="1" ht="19">
      <c r="A82" s="172">
        <v>77</v>
      </c>
      <c r="B82" s="205">
        <v>45870</v>
      </c>
      <c r="C82" s="176" t="s">
        <v>1274</v>
      </c>
      <c r="D82" s="176" t="s">
        <v>1363</v>
      </c>
      <c r="E82" s="177">
        <v>112030019</v>
      </c>
      <c r="F82" s="175" t="str">
        <f t="shared" si="28"/>
        <v>ML 8220 BIS FBK- MICROONDAS</v>
      </c>
      <c r="G82" s="176" t="s">
        <v>1364</v>
      </c>
      <c r="H82" s="177" t="s">
        <v>24</v>
      </c>
      <c r="I82" s="177" t="s">
        <v>46</v>
      </c>
      <c r="J82" s="177" t="s">
        <v>47</v>
      </c>
      <c r="K82" s="182">
        <v>45911</v>
      </c>
      <c r="L82" s="183" t="s">
        <v>1367</v>
      </c>
      <c r="M82" s="183" t="s">
        <v>1368</v>
      </c>
      <c r="N82" s="176">
        <v>987666079</v>
      </c>
      <c r="O82" s="179">
        <v>15</v>
      </c>
      <c r="P82" s="177" t="s">
        <v>48</v>
      </c>
      <c r="Q82" s="177" t="s">
        <v>46</v>
      </c>
      <c r="R82" s="180"/>
      <c r="S82" s="176" t="str">
        <f t="shared" si="16"/>
        <v>001-018-000071702</v>
      </c>
      <c r="T82" s="181">
        <v>151314065</v>
      </c>
      <c r="U82" s="88" t="s">
        <v>1369</v>
      </c>
    </row>
    <row r="83" spans="1:21" s="172" customFormat="1" ht="19">
      <c r="A83" s="172">
        <v>78</v>
      </c>
      <c r="B83" s="205">
        <v>45870</v>
      </c>
      <c r="C83" s="176" t="s">
        <v>1274</v>
      </c>
      <c r="D83" s="176" t="s">
        <v>1363</v>
      </c>
      <c r="E83" s="177">
        <v>111000078</v>
      </c>
      <c r="F83" s="175" t="str">
        <f t="shared" si="28"/>
        <v>HLB 8400 FBK HORNO ELEC</v>
      </c>
      <c r="G83" s="176" t="s">
        <v>1365</v>
      </c>
      <c r="H83" s="177" t="s">
        <v>24</v>
      </c>
      <c r="I83" s="177" t="s">
        <v>46</v>
      </c>
      <c r="J83" s="177" t="s">
        <v>47</v>
      </c>
      <c r="K83" s="182">
        <v>45911</v>
      </c>
      <c r="L83" s="183" t="s">
        <v>1367</v>
      </c>
      <c r="M83" s="183" t="s">
        <v>1368</v>
      </c>
      <c r="N83" s="176">
        <v>987666079</v>
      </c>
      <c r="O83" s="179">
        <v>15</v>
      </c>
      <c r="P83" s="177" t="s">
        <v>48</v>
      </c>
      <c r="Q83" s="177" t="s">
        <v>46</v>
      </c>
      <c r="R83" s="180"/>
      <c r="S83" s="176" t="str">
        <f t="shared" ref="S83:S84" si="31">D83</f>
        <v>001-018-000071702</v>
      </c>
      <c r="T83" s="181">
        <v>151314065</v>
      </c>
      <c r="U83" s="88" t="s">
        <v>1369</v>
      </c>
    </row>
    <row r="84" spans="1:21" s="172" customFormat="1" ht="19">
      <c r="A84" s="172">
        <v>79</v>
      </c>
      <c r="B84" s="205">
        <v>45870</v>
      </c>
      <c r="C84" s="176" t="s">
        <v>1274</v>
      </c>
      <c r="D84" s="176" t="s">
        <v>1363</v>
      </c>
      <c r="E84" s="177">
        <v>112930048</v>
      </c>
      <c r="F84" s="175" t="str">
        <f t="shared" si="28"/>
        <v>DVT 88660 TRL BK</v>
      </c>
      <c r="G84" s="176" t="s">
        <v>1366</v>
      </c>
      <c r="H84" s="177" t="s">
        <v>24</v>
      </c>
      <c r="I84" s="177" t="s">
        <v>46</v>
      </c>
      <c r="J84" s="177" t="s">
        <v>47</v>
      </c>
      <c r="K84" s="182">
        <v>45911</v>
      </c>
      <c r="L84" s="183" t="s">
        <v>1367</v>
      </c>
      <c r="M84" s="183" t="s">
        <v>1368</v>
      </c>
      <c r="N84" s="176">
        <v>987666079</v>
      </c>
      <c r="O84" s="179">
        <v>15</v>
      </c>
      <c r="P84" s="177" t="s">
        <v>48</v>
      </c>
      <c r="Q84" s="177" t="s">
        <v>46</v>
      </c>
      <c r="R84" s="180"/>
      <c r="S84" s="176" t="str">
        <f t="shared" si="31"/>
        <v>001-018-000071702</v>
      </c>
      <c r="T84" s="181">
        <v>151314065</v>
      </c>
      <c r="U84" s="88" t="s">
        <v>1369</v>
      </c>
    </row>
    <row r="85" spans="1:21" s="172" customFormat="1" ht="19">
      <c r="A85" s="172">
        <v>80</v>
      </c>
      <c r="B85" s="205">
        <v>45856</v>
      </c>
      <c r="C85" s="176" t="s">
        <v>1054</v>
      </c>
      <c r="D85" s="176" t="s">
        <v>1465</v>
      </c>
      <c r="E85" s="177">
        <v>40590835</v>
      </c>
      <c r="F85" s="175" t="str">
        <f t="shared" si="28"/>
        <v>MWG 14X - MICROONDAS</v>
      </c>
      <c r="G85" s="176" t="s">
        <v>1466</v>
      </c>
      <c r="H85" s="177" t="s">
        <v>24</v>
      </c>
      <c r="I85" s="177" t="s">
        <v>46</v>
      </c>
      <c r="J85" s="177" t="s">
        <v>47</v>
      </c>
      <c r="K85" s="182">
        <v>45912</v>
      </c>
      <c r="L85" s="183" t="s">
        <v>1467</v>
      </c>
      <c r="M85" s="183" t="s">
        <v>1468</v>
      </c>
      <c r="N85" s="176" t="s">
        <v>1469</v>
      </c>
      <c r="O85" s="179">
        <v>15</v>
      </c>
      <c r="P85" s="177" t="s">
        <v>48</v>
      </c>
      <c r="Q85" s="177" t="s">
        <v>46</v>
      </c>
      <c r="R85" s="180"/>
      <c r="S85" s="176" t="str">
        <f t="shared" si="16"/>
        <v>001-500-000075108</v>
      </c>
      <c r="T85" s="181">
        <v>1202441992</v>
      </c>
      <c r="U85" s="88" t="s">
        <v>1470</v>
      </c>
    </row>
    <row r="86" spans="1:21" s="172" customFormat="1" ht="19">
      <c r="A86" s="172">
        <v>81</v>
      </c>
      <c r="B86" s="205">
        <v>45856</v>
      </c>
      <c r="C86" s="176" t="s">
        <v>1054</v>
      </c>
      <c r="D86" s="176" t="s">
        <v>1465</v>
      </c>
      <c r="E86" s="177">
        <v>113120010</v>
      </c>
      <c r="F86" s="175" t="str">
        <f t="shared" si="28"/>
        <v>GFI 97350 ECS IX 110/60 CAMPANA</v>
      </c>
      <c r="G86" s="176" t="s">
        <v>1466</v>
      </c>
      <c r="H86" s="177" t="s">
        <v>24</v>
      </c>
      <c r="I86" s="177" t="s">
        <v>46</v>
      </c>
      <c r="J86" s="177" t="s">
        <v>47</v>
      </c>
      <c r="K86" s="182">
        <v>45912</v>
      </c>
      <c r="L86" s="183" t="s">
        <v>1467</v>
      </c>
      <c r="M86" s="183" t="s">
        <v>1468</v>
      </c>
      <c r="N86" s="176" t="s">
        <v>1469</v>
      </c>
      <c r="O86" s="179">
        <v>15</v>
      </c>
      <c r="P86" s="177" t="s">
        <v>48</v>
      </c>
      <c r="Q86" s="177" t="s">
        <v>46</v>
      </c>
      <c r="R86" s="180"/>
      <c r="S86" s="176" t="str">
        <f t="shared" ref="S86:S89" si="32">D86</f>
        <v>001-500-000075108</v>
      </c>
      <c r="T86" s="181">
        <v>1202441992</v>
      </c>
      <c r="U86" s="88" t="s">
        <v>1470</v>
      </c>
    </row>
    <row r="87" spans="1:21" s="172" customFormat="1" ht="19">
      <c r="A87" s="172">
        <v>82</v>
      </c>
      <c r="B87" s="205">
        <v>45856</v>
      </c>
      <c r="C87" s="176" t="s">
        <v>1054</v>
      </c>
      <c r="D87" s="176" t="s">
        <v>1465</v>
      </c>
      <c r="E87" s="177">
        <v>111010028</v>
      </c>
      <c r="F87" s="175" t="str">
        <f t="shared" si="28"/>
        <v>HSB 646 "AIRFRY" - HORNO ELEC</v>
      </c>
      <c r="G87" s="176" t="s">
        <v>1466</v>
      </c>
      <c r="H87" s="177" t="s">
        <v>24</v>
      </c>
      <c r="I87" s="177" t="s">
        <v>46</v>
      </c>
      <c r="J87" s="177" t="s">
        <v>47</v>
      </c>
      <c r="K87" s="182">
        <v>45912</v>
      </c>
      <c r="L87" s="183" t="s">
        <v>1467</v>
      </c>
      <c r="M87" s="183" t="s">
        <v>1468</v>
      </c>
      <c r="N87" s="176" t="s">
        <v>1469</v>
      </c>
      <c r="O87" s="179">
        <v>15</v>
      </c>
      <c r="P87" s="177" t="s">
        <v>48</v>
      </c>
      <c r="Q87" s="177" t="s">
        <v>46</v>
      </c>
      <c r="R87" s="180"/>
      <c r="S87" s="176" t="str">
        <f t="shared" si="32"/>
        <v>001-500-000075108</v>
      </c>
      <c r="T87" s="181">
        <v>1202441992</v>
      </c>
      <c r="U87" s="88" t="s">
        <v>1470</v>
      </c>
    </row>
    <row r="88" spans="1:21" s="172" customFormat="1" ht="19">
      <c r="A88" s="172">
        <v>83</v>
      </c>
      <c r="B88" s="205">
        <v>45856</v>
      </c>
      <c r="C88" s="176" t="s">
        <v>1054</v>
      </c>
      <c r="D88" s="176" t="s">
        <v>1465</v>
      </c>
      <c r="E88" s="177">
        <v>40219050</v>
      </c>
      <c r="F88" s="175" t="str">
        <f t="shared" si="28"/>
        <v>EW 90 5G AI AL TR COCINA INOX</v>
      </c>
      <c r="G88" s="176" t="s">
        <v>1466</v>
      </c>
      <c r="H88" s="177" t="s">
        <v>24</v>
      </c>
      <c r="I88" s="177" t="s">
        <v>46</v>
      </c>
      <c r="J88" s="177" t="s">
        <v>47</v>
      </c>
      <c r="K88" s="182">
        <v>45912</v>
      </c>
      <c r="L88" s="183" t="s">
        <v>1467</v>
      </c>
      <c r="M88" s="183" t="s">
        <v>1468</v>
      </c>
      <c r="N88" s="176" t="s">
        <v>1469</v>
      </c>
      <c r="O88" s="179">
        <v>15</v>
      </c>
      <c r="P88" s="177" t="s">
        <v>48</v>
      </c>
      <c r="Q88" s="177" t="s">
        <v>46</v>
      </c>
      <c r="R88" s="180"/>
      <c r="S88" s="176" t="str">
        <f t="shared" si="32"/>
        <v>001-500-000075108</v>
      </c>
      <c r="T88" s="181">
        <v>1202441992</v>
      </c>
      <c r="U88" s="88" t="s">
        <v>1470</v>
      </c>
    </row>
    <row r="89" spans="1:21" s="172" customFormat="1" ht="19">
      <c r="A89" s="172">
        <v>84</v>
      </c>
      <c r="B89" s="205">
        <v>45856</v>
      </c>
      <c r="C89" s="176" t="s">
        <v>1054</v>
      </c>
      <c r="D89" s="176" t="s">
        <v>1465</v>
      </c>
      <c r="E89" s="177">
        <v>114270008</v>
      </c>
      <c r="F89" s="175" t="str">
        <f t="shared" si="28"/>
        <v>LAVAVAJILLAS DFI 46900 120 60 WH</v>
      </c>
      <c r="G89" s="176" t="s">
        <v>1466</v>
      </c>
      <c r="H89" s="177" t="s">
        <v>24</v>
      </c>
      <c r="I89" s="177" t="s">
        <v>46</v>
      </c>
      <c r="J89" s="177" t="s">
        <v>47</v>
      </c>
      <c r="K89" s="182">
        <v>45912</v>
      </c>
      <c r="L89" s="183" t="s">
        <v>1467</v>
      </c>
      <c r="M89" s="183" t="s">
        <v>1468</v>
      </c>
      <c r="N89" s="176" t="s">
        <v>1469</v>
      </c>
      <c r="O89" s="179">
        <v>15</v>
      </c>
      <c r="P89" s="177" t="s">
        <v>48</v>
      </c>
      <c r="Q89" s="177" t="s">
        <v>46</v>
      </c>
      <c r="R89" s="180"/>
      <c r="S89" s="176" t="str">
        <f t="shared" si="32"/>
        <v>001-500-000075108</v>
      </c>
      <c r="T89" s="181">
        <v>1202441992</v>
      </c>
      <c r="U89" s="88" t="s">
        <v>1470</v>
      </c>
    </row>
    <row r="90" spans="1:21" s="172" customFormat="1" ht="19">
      <c r="A90" s="172">
        <v>85</v>
      </c>
      <c r="B90" s="205">
        <v>45744</v>
      </c>
      <c r="C90" s="176" t="s">
        <v>0</v>
      </c>
      <c r="D90" s="176" t="s">
        <v>1514</v>
      </c>
      <c r="E90" s="177">
        <v>111000051</v>
      </c>
      <c r="F90" s="175" t="str">
        <f t="shared" si="28"/>
        <v>HLB 8416 "AIR FRY" - HORNO ELEC</v>
      </c>
      <c r="G90" s="176" t="s">
        <v>1509</v>
      </c>
      <c r="H90" s="177" t="s">
        <v>24</v>
      </c>
      <c r="I90" s="177" t="s">
        <v>46</v>
      </c>
      <c r="J90" s="177" t="s">
        <v>47</v>
      </c>
      <c r="K90" s="182">
        <v>45912</v>
      </c>
      <c r="L90" s="183" t="s">
        <v>1512</v>
      </c>
      <c r="M90" s="183" t="s">
        <v>1278</v>
      </c>
      <c r="N90" s="176">
        <v>998810080</v>
      </c>
      <c r="O90" s="179">
        <v>15</v>
      </c>
      <c r="P90" s="177" t="s">
        <v>48</v>
      </c>
      <c r="Q90" s="177" t="s">
        <v>46</v>
      </c>
      <c r="R90" s="180"/>
      <c r="S90" s="176" t="str">
        <f t="shared" si="16"/>
        <v>004-040-000003038</v>
      </c>
      <c r="T90" s="181">
        <v>103657607</v>
      </c>
      <c r="U90" s="88" t="s">
        <v>1513</v>
      </c>
    </row>
    <row r="91" spans="1:21" s="172" customFormat="1" ht="19">
      <c r="A91" s="172">
        <v>86</v>
      </c>
      <c r="B91" s="205">
        <v>45744</v>
      </c>
      <c r="C91" s="176" t="s">
        <v>0</v>
      </c>
      <c r="D91" s="176" t="s">
        <v>1515</v>
      </c>
      <c r="E91" s="177">
        <v>112950021</v>
      </c>
      <c r="F91" s="175" t="str">
        <f t="shared" si="28"/>
        <v>DVN 94030 TCL BK CAMPANA (110V-60HZ) C/KIT</v>
      </c>
      <c r="G91" s="176" t="s">
        <v>1510</v>
      </c>
      <c r="H91" s="177" t="s">
        <v>24</v>
      </c>
      <c r="I91" s="177" t="s">
        <v>46</v>
      </c>
      <c r="J91" s="177" t="s">
        <v>47</v>
      </c>
      <c r="K91" s="182">
        <v>45912</v>
      </c>
      <c r="L91" s="183" t="s">
        <v>1512</v>
      </c>
      <c r="M91" s="183" t="s">
        <v>1278</v>
      </c>
      <c r="N91" s="176">
        <v>998810080</v>
      </c>
      <c r="O91" s="179">
        <v>15</v>
      </c>
      <c r="P91" s="177" t="s">
        <v>48</v>
      </c>
      <c r="Q91" s="177" t="s">
        <v>46</v>
      </c>
      <c r="R91" s="180"/>
      <c r="S91" s="176" t="str">
        <f t="shared" ref="S91:S92" si="33">D91</f>
        <v>004-040-000002983</v>
      </c>
      <c r="T91" s="181">
        <v>103657607</v>
      </c>
      <c r="U91" s="88" t="s">
        <v>1513</v>
      </c>
    </row>
    <row r="92" spans="1:21" s="172" customFormat="1" ht="19">
      <c r="A92" s="172">
        <v>87</v>
      </c>
      <c r="B92" s="205">
        <v>45744</v>
      </c>
      <c r="C92" s="176" t="s">
        <v>0</v>
      </c>
      <c r="D92" s="176" t="s">
        <v>1515</v>
      </c>
      <c r="E92" s="177">
        <v>112570068</v>
      </c>
      <c r="F92" s="175" t="str">
        <f t="shared" ref="F92:F115" si="34">VLOOKUP(E92,PROD,2,FALSE)</f>
        <v>GZC 95320 XBB CRISTAL COCINA GAS</v>
      </c>
      <c r="G92" s="176" t="s">
        <v>1511</v>
      </c>
      <c r="H92" s="177" t="s">
        <v>24</v>
      </c>
      <c r="I92" s="177" t="s">
        <v>46</v>
      </c>
      <c r="J92" s="177" t="s">
        <v>47</v>
      </c>
      <c r="K92" s="182">
        <v>45912</v>
      </c>
      <c r="L92" s="183" t="s">
        <v>1512</v>
      </c>
      <c r="M92" s="183" t="s">
        <v>1278</v>
      </c>
      <c r="N92" s="176">
        <v>998810080</v>
      </c>
      <c r="O92" s="179">
        <v>15</v>
      </c>
      <c r="P92" s="177" t="s">
        <v>48</v>
      </c>
      <c r="Q92" s="177" t="s">
        <v>46</v>
      </c>
      <c r="R92" s="180"/>
      <c r="S92" s="176" t="str">
        <f t="shared" si="33"/>
        <v>004-040-000002983</v>
      </c>
      <c r="T92" s="181">
        <v>103657607</v>
      </c>
      <c r="U92" s="88" t="s">
        <v>1513</v>
      </c>
    </row>
    <row r="93" spans="1:21" s="172" customFormat="1" ht="19">
      <c r="A93" s="172">
        <v>88</v>
      </c>
      <c r="B93" s="205">
        <v>45897</v>
      </c>
      <c r="C93" s="176" t="s">
        <v>1100</v>
      </c>
      <c r="D93" s="176" t="s">
        <v>1570</v>
      </c>
      <c r="E93" s="177">
        <v>41560041</v>
      </c>
      <c r="F93" s="175" t="str">
        <f t="shared" si="34"/>
        <v>HBB 535 INOX HORNO ELEC</v>
      </c>
      <c r="G93" s="176" t="s">
        <v>1571</v>
      </c>
      <c r="H93" s="177" t="s">
        <v>24</v>
      </c>
      <c r="I93" s="177" t="s">
        <v>46</v>
      </c>
      <c r="J93" s="177" t="s">
        <v>47</v>
      </c>
      <c r="K93" s="182">
        <v>45912</v>
      </c>
      <c r="L93" s="183" t="s">
        <v>1573</v>
      </c>
      <c r="M93" s="183" t="s">
        <v>1574</v>
      </c>
      <c r="N93" s="176">
        <v>9728982264</v>
      </c>
      <c r="O93" s="179">
        <v>20</v>
      </c>
      <c r="P93" s="177" t="s">
        <v>48</v>
      </c>
      <c r="Q93" s="177" t="s">
        <v>46</v>
      </c>
      <c r="R93" s="180"/>
      <c r="S93" s="176" t="str">
        <f t="shared" si="16"/>
        <v>001-001-000001258</v>
      </c>
      <c r="T93" s="181">
        <v>549894062</v>
      </c>
      <c r="U93" s="88" t="s">
        <v>1575</v>
      </c>
    </row>
    <row r="94" spans="1:21" s="262" customFormat="1" ht="19">
      <c r="A94" s="172">
        <v>89</v>
      </c>
      <c r="B94" s="205">
        <v>45897</v>
      </c>
      <c r="C94" s="176" t="s">
        <v>1100</v>
      </c>
      <c r="D94" s="176" t="s">
        <v>1570</v>
      </c>
      <c r="E94" s="177">
        <v>40782128</v>
      </c>
      <c r="F94" s="263" t="str">
        <f t="shared" si="34"/>
        <v>DW8 57 FIM-D LAVAVAJILLAS</v>
      </c>
      <c r="G94" s="176" t="s">
        <v>1572</v>
      </c>
      <c r="H94" s="177" t="s">
        <v>24</v>
      </c>
      <c r="I94" s="177" t="s">
        <v>46</v>
      </c>
      <c r="J94" s="177" t="s">
        <v>47</v>
      </c>
      <c r="K94" s="182">
        <v>45912</v>
      </c>
      <c r="L94" s="183" t="s">
        <v>1573</v>
      </c>
      <c r="M94" s="183" t="s">
        <v>1574</v>
      </c>
      <c r="N94" s="176">
        <v>9728982264</v>
      </c>
      <c r="O94" s="179">
        <v>20</v>
      </c>
      <c r="P94" s="177" t="s">
        <v>48</v>
      </c>
      <c r="Q94" s="177" t="s">
        <v>46</v>
      </c>
      <c r="R94" s="180"/>
      <c r="S94" s="176" t="str">
        <f t="shared" ref="S94" si="35">D94</f>
        <v>001-001-000001258</v>
      </c>
      <c r="T94" s="181">
        <v>549894062</v>
      </c>
      <c r="U94" s="88" t="s">
        <v>1575</v>
      </c>
    </row>
    <row r="95" spans="1:21" s="172" customFormat="1" ht="19">
      <c r="A95" s="172">
        <v>90</v>
      </c>
      <c r="B95" s="205">
        <v>45901</v>
      </c>
      <c r="C95" s="176" t="s">
        <v>1054</v>
      </c>
      <c r="D95" s="176" t="s">
        <v>1576</v>
      </c>
      <c r="E95" s="177">
        <v>112520025</v>
      </c>
      <c r="F95" s="175" t="str">
        <f t="shared" si="34"/>
        <v>IZC 64010 MSS COCINA INDUCCION</v>
      </c>
      <c r="G95" s="176" t="s">
        <v>1579</v>
      </c>
      <c r="H95" s="177" t="s">
        <v>24</v>
      </c>
      <c r="I95" s="177" t="s">
        <v>46</v>
      </c>
      <c r="J95" s="177" t="s">
        <v>47</v>
      </c>
      <c r="K95" s="182">
        <v>45912</v>
      </c>
      <c r="L95" s="183" t="s">
        <v>1580</v>
      </c>
      <c r="M95" s="183" t="s">
        <v>1241</v>
      </c>
      <c r="N95" s="176" t="s">
        <v>1581</v>
      </c>
      <c r="O95" s="179">
        <v>15</v>
      </c>
      <c r="P95" s="177" t="s">
        <v>48</v>
      </c>
      <c r="Q95" s="177" t="s">
        <v>46</v>
      </c>
      <c r="R95" s="180"/>
      <c r="S95" s="176" t="str">
        <f t="shared" si="16"/>
        <v>001-500-000076519</v>
      </c>
      <c r="T95" s="181">
        <v>45006710</v>
      </c>
      <c r="U95" s="88" t="s">
        <v>1582</v>
      </c>
    </row>
    <row r="96" spans="1:21" s="172" customFormat="1" ht="19">
      <c r="A96" s="172">
        <v>91</v>
      </c>
      <c r="B96" s="205">
        <v>45901</v>
      </c>
      <c r="C96" s="176" t="s">
        <v>1054</v>
      </c>
      <c r="D96" s="176" t="s">
        <v>1576</v>
      </c>
      <c r="E96" s="177">
        <v>111000051</v>
      </c>
      <c r="F96" s="175" t="str">
        <f t="shared" si="34"/>
        <v>HLB 8416 "AIR FRY" - HORNO ELEC</v>
      </c>
      <c r="G96" s="176" t="s">
        <v>1578</v>
      </c>
      <c r="H96" s="177" t="s">
        <v>24</v>
      </c>
      <c r="I96" s="177" t="s">
        <v>46</v>
      </c>
      <c r="J96" s="177" t="s">
        <v>47</v>
      </c>
      <c r="K96" s="182">
        <v>45912</v>
      </c>
      <c r="L96" s="183" t="s">
        <v>1580</v>
      </c>
      <c r="M96" s="183" t="s">
        <v>1241</v>
      </c>
      <c r="N96" s="176" t="s">
        <v>1581</v>
      </c>
      <c r="O96" s="179">
        <v>15</v>
      </c>
      <c r="P96" s="177" t="s">
        <v>48</v>
      </c>
      <c r="Q96" s="177" t="s">
        <v>46</v>
      </c>
      <c r="R96" s="180"/>
      <c r="S96" s="176" t="str">
        <f t="shared" ref="S96:S97" si="36">D96</f>
        <v>001-500-000076519</v>
      </c>
      <c r="T96" s="181">
        <v>45006710</v>
      </c>
      <c r="U96" s="88" t="s">
        <v>1582</v>
      </c>
    </row>
    <row r="97" spans="1:21" s="172" customFormat="1" ht="19">
      <c r="A97" s="172">
        <v>92</v>
      </c>
      <c r="B97" s="205">
        <v>45901</v>
      </c>
      <c r="C97" s="176" t="s">
        <v>1054</v>
      </c>
      <c r="D97" s="176" t="s">
        <v>1576</v>
      </c>
      <c r="E97" s="177">
        <v>40461543</v>
      </c>
      <c r="F97" s="175" t="str">
        <f t="shared" si="34"/>
        <v>C 6310 INOX CAMPANA (110V-60HZ) C/KIT</v>
      </c>
      <c r="G97" s="176" t="s">
        <v>1577</v>
      </c>
      <c r="H97" s="177" t="s">
        <v>24</v>
      </c>
      <c r="I97" s="177" t="s">
        <v>46</v>
      </c>
      <c r="J97" s="177" t="s">
        <v>47</v>
      </c>
      <c r="K97" s="182">
        <v>45912</v>
      </c>
      <c r="L97" s="183" t="s">
        <v>1580</v>
      </c>
      <c r="M97" s="183" t="s">
        <v>1241</v>
      </c>
      <c r="N97" s="176" t="s">
        <v>1581</v>
      </c>
      <c r="O97" s="179">
        <v>15</v>
      </c>
      <c r="P97" s="177" t="s">
        <v>48</v>
      </c>
      <c r="Q97" s="177" t="s">
        <v>46</v>
      </c>
      <c r="R97" s="180"/>
      <c r="S97" s="176" t="str">
        <f t="shared" si="36"/>
        <v>001-500-000076519</v>
      </c>
      <c r="T97" s="181">
        <v>45006710</v>
      </c>
      <c r="U97" s="88" t="s">
        <v>1582</v>
      </c>
    </row>
    <row r="98" spans="1:21" s="172" customFormat="1" ht="19">
      <c r="A98" s="172">
        <v>93</v>
      </c>
      <c r="B98" s="205">
        <v>45754</v>
      </c>
      <c r="C98" s="176" t="s">
        <v>1156</v>
      </c>
      <c r="D98" s="176" t="s">
        <v>1543</v>
      </c>
      <c r="E98" s="177">
        <v>112600000</v>
      </c>
      <c r="F98" s="175" t="str">
        <f t="shared" ref="F98:F99" si="37">VLOOKUP(E98,PROD,2,FALSE)</f>
        <v>EX 90.1 5G AI DR CI COCINA INOX</v>
      </c>
      <c r="G98" s="176" t="s">
        <v>1544</v>
      </c>
      <c r="H98" s="177" t="s">
        <v>24</v>
      </c>
      <c r="I98" s="177" t="s">
        <v>46</v>
      </c>
      <c r="J98" s="177" t="s">
        <v>47</v>
      </c>
      <c r="K98" s="182">
        <v>45915</v>
      </c>
      <c r="L98" s="183" t="s">
        <v>1546</v>
      </c>
      <c r="M98" s="183" t="s">
        <v>1547</v>
      </c>
      <c r="N98" s="176">
        <v>984847325</v>
      </c>
      <c r="O98" s="179">
        <v>20</v>
      </c>
      <c r="P98" s="177" t="s">
        <v>48</v>
      </c>
      <c r="Q98" s="177" t="s">
        <v>46</v>
      </c>
      <c r="R98" s="180"/>
      <c r="S98" s="176" t="str">
        <f t="shared" ref="S98:S99" si="38">D98</f>
        <v>040-104-00000696</v>
      </c>
      <c r="T98" s="181">
        <v>103846556</v>
      </c>
      <c r="U98" s="88" t="s">
        <v>1548</v>
      </c>
    </row>
    <row r="99" spans="1:21" s="172" customFormat="1" ht="19">
      <c r="A99" s="172">
        <v>94</v>
      </c>
      <c r="B99" s="205">
        <v>45754</v>
      </c>
      <c r="C99" s="176" t="s">
        <v>1156</v>
      </c>
      <c r="D99" s="176" t="s">
        <v>1543</v>
      </c>
      <c r="E99" s="177">
        <v>111000051</v>
      </c>
      <c r="F99" s="175" t="str">
        <f t="shared" si="37"/>
        <v>HLB 8416 "AIR FRY" - HORNO ELEC</v>
      </c>
      <c r="G99" s="176" t="s">
        <v>1545</v>
      </c>
      <c r="H99" s="177" t="s">
        <v>24</v>
      </c>
      <c r="I99" s="177" t="s">
        <v>46</v>
      </c>
      <c r="J99" s="177" t="s">
        <v>47</v>
      </c>
      <c r="K99" s="182">
        <v>45915</v>
      </c>
      <c r="L99" s="183" t="s">
        <v>1546</v>
      </c>
      <c r="M99" s="183" t="s">
        <v>1547</v>
      </c>
      <c r="N99" s="176">
        <v>984847325</v>
      </c>
      <c r="O99" s="179">
        <v>20</v>
      </c>
      <c r="P99" s="177" t="s">
        <v>48</v>
      </c>
      <c r="Q99" s="177" t="s">
        <v>46</v>
      </c>
      <c r="R99" s="180"/>
      <c r="S99" s="176" t="str">
        <f t="shared" si="38"/>
        <v>040-104-00000696</v>
      </c>
      <c r="T99" s="181">
        <v>103846556</v>
      </c>
      <c r="U99" s="88" t="s">
        <v>1548</v>
      </c>
    </row>
    <row r="100" spans="1:21" s="172" customFormat="1" ht="19">
      <c r="A100" s="172">
        <v>95</v>
      </c>
      <c r="B100" s="205">
        <v>45493</v>
      </c>
      <c r="C100" s="176" t="s">
        <v>1085</v>
      </c>
      <c r="D100" s="176" t="s">
        <v>1583</v>
      </c>
      <c r="E100" s="177">
        <v>111000051</v>
      </c>
      <c r="F100" s="175" t="str">
        <f t="shared" si="34"/>
        <v>HLB 8416 "AIR FRY" - HORNO ELEC</v>
      </c>
      <c r="G100" s="176" t="s">
        <v>1584</v>
      </c>
      <c r="H100" s="177" t="s">
        <v>24</v>
      </c>
      <c r="I100" s="177" t="s">
        <v>46</v>
      </c>
      <c r="J100" s="177" t="s">
        <v>47</v>
      </c>
      <c r="K100" s="182">
        <v>45915</v>
      </c>
      <c r="L100" s="183" t="s">
        <v>1585</v>
      </c>
      <c r="M100" s="183" t="s">
        <v>1586</v>
      </c>
      <c r="N100" s="176">
        <v>985070778</v>
      </c>
      <c r="O100" s="179">
        <v>20</v>
      </c>
      <c r="P100" s="177" t="s">
        <v>48</v>
      </c>
      <c r="Q100" s="177" t="s">
        <v>46</v>
      </c>
      <c r="R100" s="180"/>
      <c r="S100" s="176" t="str">
        <f t="shared" si="16"/>
        <v>040-103-000006516</v>
      </c>
      <c r="T100" s="181">
        <v>961550209</v>
      </c>
      <c r="U100" s="88" t="s">
        <v>1587</v>
      </c>
    </row>
    <row r="101" spans="1:21" s="172" customFormat="1" ht="19">
      <c r="A101" s="172">
        <v>96</v>
      </c>
      <c r="B101" s="205">
        <v>45493</v>
      </c>
      <c r="C101" s="176" t="s">
        <v>1085</v>
      </c>
      <c r="D101" s="176" t="s">
        <v>1583</v>
      </c>
      <c r="E101" s="177">
        <v>112500046</v>
      </c>
      <c r="F101" s="175" t="str">
        <f t="shared" si="34"/>
        <v>IZF 88700 MST COCINA INDUCCION</v>
      </c>
      <c r="G101" s="176" t="s">
        <v>1588</v>
      </c>
      <c r="H101" s="177" t="s">
        <v>24</v>
      </c>
      <c r="I101" s="177" t="s">
        <v>46</v>
      </c>
      <c r="J101" s="177" t="s">
        <v>47</v>
      </c>
      <c r="K101" s="182">
        <v>45915</v>
      </c>
      <c r="L101" s="183" t="s">
        <v>1585</v>
      </c>
      <c r="M101" s="183" t="s">
        <v>1586</v>
      </c>
      <c r="N101" s="176">
        <v>985070778</v>
      </c>
      <c r="O101" s="179">
        <v>20</v>
      </c>
      <c r="P101" s="177" t="s">
        <v>48</v>
      </c>
      <c r="Q101" s="177" t="s">
        <v>46</v>
      </c>
      <c r="R101" s="180"/>
      <c r="S101" s="176" t="str">
        <f t="shared" ref="S101" si="39">D101</f>
        <v>040-103-000006516</v>
      </c>
      <c r="T101" s="181">
        <v>961550209</v>
      </c>
      <c r="U101" s="88" t="s">
        <v>1587</v>
      </c>
    </row>
    <row r="102" spans="1:21" s="172" customFormat="1" ht="19">
      <c r="A102" s="172">
        <v>97</v>
      </c>
      <c r="B102" s="205">
        <v>45594</v>
      </c>
      <c r="C102" s="176" t="s">
        <v>1101</v>
      </c>
      <c r="D102" s="176" t="s">
        <v>1589</v>
      </c>
      <c r="E102" s="177">
        <v>112570124</v>
      </c>
      <c r="F102" s="175" t="str">
        <f t="shared" si="34"/>
        <v>JZC 64322 ABB BK (LAT) COCINA MIXTA GAS - INDUCCION</v>
      </c>
      <c r="G102" s="176" t="s">
        <v>1590</v>
      </c>
      <c r="H102" s="177" t="s">
        <v>24</v>
      </c>
      <c r="I102" s="177" t="s">
        <v>46</v>
      </c>
      <c r="J102" s="177" t="s">
        <v>47</v>
      </c>
      <c r="K102" s="182">
        <v>45915</v>
      </c>
      <c r="L102" s="183" t="s">
        <v>1594</v>
      </c>
      <c r="M102" s="183" t="s">
        <v>1595</v>
      </c>
      <c r="N102" s="176">
        <v>987434558</v>
      </c>
      <c r="O102" s="179">
        <v>15</v>
      </c>
      <c r="P102" s="177" t="s">
        <v>48</v>
      </c>
      <c r="Q102" s="177" t="s">
        <v>46</v>
      </c>
      <c r="R102" s="180"/>
      <c r="S102" s="176" t="str">
        <f t="shared" si="16"/>
        <v>006-002-000156940</v>
      </c>
      <c r="T102" s="181">
        <v>987434558</v>
      </c>
      <c r="U102" s="88" t="s">
        <v>1596</v>
      </c>
    </row>
    <row r="103" spans="1:21" s="172" customFormat="1" ht="19">
      <c r="A103" s="172">
        <v>98</v>
      </c>
      <c r="B103" s="205">
        <v>45594</v>
      </c>
      <c r="C103" s="176" t="s">
        <v>1101</v>
      </c>
      <c r="D103" s="176" t="s">
        <v>1589</v>
      </c>
      <c r="E103" s="177">
        <v>41560074</v>
      </c>
      <c r="F103" s="175" t="str">
        <f t="shared" si="34"/>
        <v>HLB 840 INOX HORNO ELEC</v>
      </c>
      <c r="G103" s="176" t="s">
        <v>1591</v>
      </c>
      <c r="H103" s="177" t="s">
        <v>24</v>
      </c>
      <c r="I103" s="177" t="s">
        <v>46</v>
      </c>
      <c r="J103" s="177" t="s">
        <v>47</v>
      </c>
      <c r="K103" s="182">
        <v>45915</v>
      </c>
      <c r="L103" s="183" t="s">
        <v>1594</v>
      </c>
      <c r="M103" s="183" t="s">
        <v>1595</v>
      </c>
      <c r="N103" s="176">
        <v>987434558</v>
      </c>
      <c r="O103" s="179">
        <v>15</v>
      </c>
      <c r="P103" s="177" t="s">
        <v>48</v>
      </c>
      <c r="Q103" s="177" t="s">
        <v>46</v>
      </c>
      <c r="R103" s="180"/>
      <c r="S103" s="176" t="str">
        <f t="shared" ref="S103:S105" si="40">D103</f>
        <v>006-002-000156940</v>
      </c>
      <c r="T103" s="181">
        <v>987434558</v>
      </c>
      <c r="U103" s="88" t="s">
        <v>1596</v>
      </c>
    </row>
    <row r="104" spans="1:21" s="172" customFormat="1" ht="19">
      <c r="A104" s="172">
        <v>99</v>
      </c>
      <c r="B104" s="205">
        <v>45594</v>
      </c>
      <c r="C104" s="176" t="s">
        <v>1101</v>
      </c>
      <c r="D104" s="176" t="s">
        <v>1589</v>
      </c>
      <c r="E104" s="177">
        <v>40584012</v>
      </c>
      <c r="F104" s="175" t="str">
        <f t="shared" si="34"/>
        <v>MS 620 BIS - MICROONDAS</v>
      </c>
      <c r="G104" s="176" t="s">
        <v>1592</v>
      </c>
      <c r="H104" s="177" t="s">
        <v>24</v>
      </c>
      <c r="I104" s="177" t="s">
        <v>46</v>
      </c>
      <c r="J104" s="177" t="s">
        <v>47</v>
      </c>
      <c r="K104" s="182">
        <v>45915</v>
      </c>
      <c r="L104" s="183" t="s">
        <v>1594</v>
      </c>
      <c r="M104" s="183" t="s">
        <v>1595</v>
      </c>
      <c r="N104" s="176">
        <v>987434558</v>
      </c>
      <c r="O104" s="179">
        <v>15</v>
      </c>
      <c r="P104" s="177" t="s">
        <v>48</v>
      </c>
      <c r="Q104" s="177" t="s">
        <v>46</v>
      </c>
      <c r="R104" s="180"/>
      <c r="S104" s="176" t="str">
        <f t="shared" si="40"/>
        <v>006-002-000156940</v>
      </c>
      <c r="T104" s="181">
        <v>987434558</v>
      </c>
      <c r="U104" s="88" t="s">
        <v>1596</v>
      </c>
    </row>
    <row r="105" spans="1:21" s="172" customFormat="1" ht="19">
      <c r="A105" s="172">
        <v>100</v>
      </c>
      <c r="B105" s="205">
        <v>45594</v>
      </c>
      <c r="C105" s="176" t="s">
        <v>1101</v>
      </c>
      <c r="D105" s="176" t="s">
        <v>1589</v>
      </c>
      <c r="E105" s="177">
        <v>40455334</v>
      </c>
      <c r="F105" s="175" t="str">
        <f t="shared" si="34"/>
        <v>NC 980 CRISTAL CAMPANA (110V-60HZ) C/KIT</v>
      </c>
      <c r="G105" s="176" t="s">
        <v>1593</v>
      </c>
      <c r="H105" s="177" t="s">
        <v>24</v>
      </c>
      <c r="I105" s="177" t="s">
        <v>46</v>
      </c>
      <c r="J105" s="177" t="s">
        <v>47</v>
      </c>
      <c r="K105" s="182">
        <v>45915</v>
      </c>
      <c r="L105" s="183" t="s">
        <v>1594</v>
      </c>
      <c r="M105" s="183" t="s">
        <v>1595</v>
      </c>
      <c r="N105" s="176">
        <v>987434558</v>
      </c>
      <c r="O105" s="179">
        <v>15</v>
      </c>
      <c r="P105" s="177" t="s">
        <v>48</v>
      </c>
      <c r="Q105" s="177" t="s">
        <v>46</v>
      </c>
      <c r="R105" s="180"/>
      <c r="S105" s="176" t="str">
        <f t="shared" si="40"/>
        <v>006-002-000156940</v>
      </c>
      <c r="T105" s="181">
        <v>987434558</v>
      </c>
      <c r="U105" s="88" t="s">
        <v>1596</v>
      </c>
    </row>
    <row r="106" spans="1:21" s="172" customFormat="1" ht="19">
      <c r="A106" s="172">
        <v>101</v>
      </c>
      <c r="B106" s="205">
        <v>45913</v>
      </c>
      <c r="C106" s="176" t="s">
        <v>1054</v>
      </c>
      <c r="D106" s="176" t="s">
        <v>1597</v>
      </c>
      <c r="E106" s="177">
        <v>112570124</v>
      </c>
      <c r="F106" s="175" t="str">
        <f t="shared" si="34"/>
        <v>JZC 64322 ABB BK (LAT) COCINA MIXTA GAS - INDUCCION</v>
      </c>
      <c r="G106" s="176" t="s">
        <v>1598</v>
      </c>
      <c r="H106" s="177" t="s">
        <v>24</v>
      </c>
      <c r="I106" s="177" t="s">
        <v>46</v>
      </c>
      <c r="J106" s="177" t="s">
        <v>47</v>
      </c>
      <c r="K106" s="182">
        <v>45916</v>
      </c>
      <c r="L106" s="183" t="s">
        <v>1602</v>
      </c>
      <c r="M106" s="183" t="s">
        <v>1603</v>
      </c>
      <c r="N106" s="176">
        <v>987249941</v>
      </c>
      <c r="O106" s="179">
        <v>15</v>
      </c>
      <c r="P106" s="177" t="s">
        <v>48</v>
      </c>
      <c r="Q106" s="177" t="s">
        <v>46</v>
      </c>
      <c r="R106" s="180"/>
      <c r="S106" s="176" t="str">
        <f t="shared" si="16"/>
        <v>001-500-000076849</v>
      </c>
      <c r="T106" s="181">
        <v>987249941</v>
      </c>
      <c r="U106" s="88" t="s">
        <v>1604</v>
      </c>
    </row>
    <row r="107" spans="1:21" s="172" customFormat="1" ht="19">
      <c r="A107" s="172">
        <v>102</v>
      </c>
      <c r="B107" s="205">
        <v>45913</v>
      </c>
      <c r="C107" s="176" t="s">
        <v>1054</v>
      </c>
      <c r="D107" s="176" t="s">
        <v>1597</v>
      </c>
      <c r="E107" s="177">
        <v>112030019</v>
      </c>
      <c r="F107" s="175" t="str">
        <f t="shared" si="34"/>
        <v>ML 8220 BIS FBK- MICROONDAS</v>
      </c>
      <c r="G107" s="176" t="s">
        <v>1599</v>
      </c>
      <c r="H107" s="177" t="s">
        <v>24</v>
      </c>
      <c r="I107" s="177" t="s">
        <v>46</v>
      </c>
      <c r="J107" s="177" t="s">
        <v>47</v>
      </c>
      <c r="K107" s="182">
        <v>45916</v>
      </c>
      <c r="L107" s="183" t="s">
        <v>1602</v>
      </c>
      <c r="M107" s="183" t="s">
        <v>1603</v>
      </c>
      <c r="N107" s="176">
        <v>987249941</v>
      </c>
      <c r="O107" s="179">
        <v>15</v>
      </c>
      <c r="P107" s="177" t="s">
        <v>48</v>
      </c>
      <c r="Q107" s="177" t="s">
        <v>46</v>
      </c>
      <c r="R107" s="180"/>
      <c r="S107" s="176" t="str">
        <f t="shared" ref="S107:S109" si="41">D107</f>
        <v>001-500-000076849</v>
      </c>
      <c r="T107" s="181">
        <v>987249941</v>
      </c>
      <c r="U107" s="88" t="s">
        <v>1604</v>
      </c>
    </row>
    <row r="108" spans="1:21" s="172" customFormat="1" ht="19">
      <c r="A108" s="172">
        <v>103</v>
      </c>
      <c r="B108" s="205">
        <v>45913</v>
      </c>
      <c r="C108" s="176" t="s">
        <v>1054</v>
      </c>
      <c r="D108" s="176" t="s">
        <v>1597</v>
      </c>
      <c r="E108" s="177">
        <v>111000078</v>
      </c>
      <c r="F108" s="175" t="str">
        <f t="shared" si="34"/>
        <v>HLB 8400 FBK HORNO ELEC</v>
      </c>
      <c r="G108" s="176" t="s">
        <v>1600</v>
      </c>
      <c r="H108" s="177" t="s">
        <v>24</v>
      </c>
      <c r="I108" s="177" t="s">
        <v>46</v>
      </c>
      <c r="J108" s="177" t="s">
        <v>47</v>
      </c>
      <c r="K108" s="182">
        <v>45916</v>
      </c>
      <c r="L108" s="183" t="s">
        <v>1602</v>
      </c>
      <c r="M108" s="183" t="s">
        <v>1603</v>
      </c>
      <c r="N108" s="176">
        <v>987249941</v>
      </c>
      <c r="O108" s="179">
        <v>15</v>
      </c>
      <c r="P108" s="177" t="s">
        <v>48</v>
      </c>
      <c r="Q108" s="177" t="s">
        <v>46</v>
      </c>
      <c r="R108" s="180"/>
      <c r="S108" s="176" t="str">
        <f t="shared" si="41"/>
        <v>001-500-000076849</v>
      </c>
      <c r="T108" s="181">
        <v>987249941</v>
      </c>
      <c r="U108" s="88" t="s">
        <v>1604</v>
      </c>
    </row>
    <row r="109" spans="1:21" s="172" customFormat="1" ht="19">
      <c r="A109" s="172">
        <v>104</v>
      </c>
      <c r="B109" s="205">
        <v>45913</v>
      </c>
      <c r="C109" s="176" t="s">
        <v>1054</v>
      </c>
      <c r="D109" s="176" t="s">
        <v>1597</v>
      </c>
      <c r="E109" s="177">
        <v>112950019</v>
      </c>
      <c r="F109" s="175" t="str">
        <f t="shared" si="34"/>
        <v>DVN 64030 TCL BK CAMPANA (110V-60HZ) C/KIT</v>
      </c>
      <c r="G109" s="176" t="s">
        <v>1601</v>
      </c>
      <c r="H109" s="177" t="s">
        <v>24</v>
      </c>
      <c r="I109" s="177" t="s">
        <v>46</v>
      </c>
      <c r="J109" s="177" t="s">
        <v>47</v>
      </c>
      <c r="K109" s="182">
        <v>45916</v>
      </c>
      <c r="L109" s="183" t="s">
        <v>1602</v>
      </c>
      <c r="M109" s="183" t="s">
        <v>1603</v>
      </c>
      <c r="N109" s="176">
        <v>987249941</v>
      </c>
      <c r="O109" s="179">
        <v>15</v>
      </c>
      <c r="P109" s="177" t="s">
        <v>48</v>
      </c>
      <c r="Q109" s="177" t="s">
        <v>46</v>
      </c>
      <c r="R109" s="180"/>
      <c r="S109" s="176" t="str">
        <f t="shared" si="41"/>
        <v>001-500-000076849</v>
      </c>
      <c r="T109" s="181">
        <v>987249941</v>
      </c>
      <c r="U109" s="88" t="s">
        <v>1604</v>
      </c>
    </row>
    <row r="110" spans="1:21" s="172" customFormat="1" ht="19">
      <c r="A110" s="172">
        <v>105</v>
      </c>
      <c r="B110" s="205">
        <v>45822</v>
      </c>
      <c r="C110" s="176" t="s">
        <v>1054</v>
      </c>
      <c r="D110" s="176" t="s">
        <v>1605</v>
      </c>
      <c r="E110" s="177">
        <v>111000051</v>
      </c>
      <c r="F110" s="175" t="str">
        <f t="shared" si="34"/>
        <v>HLB 8416 "AIR FRY" - HORNO ELEC</v>
      </c>
      <c r="G110" s="176" t="s">
        <v>1606</v>
      </c>
      <c r="H110" s="177" t="s">
        <v>24</v>
      </c>
      <c r="I110" s="177" t="s">
        <v>46</v>
      </c>
      <c r="J110" s="177" t="s">
        <v>47</v>
      </c>
      <c r="K110" s="182">
        <v>45917</v>
      </c>
      <c r="L110" s="183" t="s">
        <v>1608</v>
      </c>
      <c r="M110" s="183" t="s">
        <v>1609</v>
      </c>
      <c r="N110" s="176">
        <v>998676831</v>
      </c>
      <c r="O110" s="179">
        <v>20</v>
      </c>
      <c r="P110" s="177" t="s">
        <v>48</v>
      </c>
      <c r="Q110" s="177" t="s">
        <v>46</v>
      </c>
      <c r="R110" s="180"/>
      <c r="S110" s="176" t="str">
        <f t="shared" ref="S110:S118" si="42">D110</f>
        <v>001-500-000074247</v>
      </c>
      <c r="T110" s="181">
        <v>998676831</v>
      </c>
      <c r="U110" s="88" t="s">
        <v>1610</v>
      </c>
    </row>
    <row r="111" spans="1:21" s="172" customFormat="1" ht="19">
      <c r="A111" s="172">
        <v>106</v>
      </c>
      <c r="B111" s="205">
        <v>45822</v>
      </c>
      <c r="C111" s="176" t="s">
        <v>1054</v>
      </c>
      <c r="D111" s="176" t="s">
        <v>1605</v>
      </c>
      <c r="E111" s="177">
        <v>40584305</v>
      </c>
      <c r="F111" s="175" t="str">
        <f t="shared" si="34"/>
        <v>ML 822 BIS - MICROONDAS (112030008)</v>
      </c>
      <c r="G111" s="176" t="s">
        <v>1607</v>
      </c>
      <c r="H111" s="177" t="s">
        <v>24</v>
      </c>
      <c r="I111" s="177" t="s">
        <v>46</v>
      </c>
      <c r="J111" s="177" t="s">
        <v>47</v>
      </c>
      <c r="K111" s="182">
        <v>45917</v>
      </c>
      <c r="L111" s="183" t="s">
        <v>1608</v>
      </c>
      <c r="M111" s="183" t="s">
        <v>1609</v>
      </c>
      <c r="N111" s="176">
        <v>998676831</v>
      </c>
      <c r="O111" s="179">
        <v>20</v>
      </c>
      <c r="P111" s="177" t="s">
        <v>48</v>
      </c>
      <c r="Q111" s="177" t="s">
        <v>46</v>
      </c>
      <c r="R111" s="180"/>
      <c r="S111" s="176" t="str">
        <f t="shared" ref="S111" si="43">D111</f>
        <v>001-500-000074247</v>
      </c>
      <c r="T111" s="181">
        <v>998676831</v>
      </c>
      <c r="U111" s="88" t="s">
        <v>1610</v>
      </c>
    </row>
    <row r="112" spans="1:21" s="172" customFormat="1" ht="19">
      <c r="A112" s="172">
        <v>107</v>
      </c>
      <c r="B112" s="205">
        <v>45517</v>
      </c>
      <c r="C112" s="176" t="s">
        <v>1054</v>
      </c>
      <c r="D112" s="176" t="s">
        <v>1611</v>
      </c>
      <c r="E112" s="177">
        <v>111010028</v>
      </c>
      <c r="F112" s="175" t="str">
        <f t="shared" si="34"/>
        <v>HSB 646 "AIRFRY" - HORNO ELEC</v>
      </c>
      <c r="G112" s="176" t="s">
        <v>1612</v>
      </c>
      <c r="H112" s="177" t="s">
        <v>24</v>
      </c>
      <c r="I112" s="177" t="s">
        <v>46</v>
      </c>
      <c r="J112" s="177" t="s">
        <v>47</v>
      </c>
      <c r="K112" s="182">
        <v>45917</v>
      </c>
      <c r="L112" s="183" t="s">
        <v>1616</v>
      </c>
      <c r="M112" s="183" t="s">
        <v>1617</v>
      </c>
      <c r="N112" s="176">
        <v>979125666</v>
      </c>
      <c r="O112" s="179">
        <v>15</v>
      </c>
      <c r="P112" s="177" t="s">
        <v>48</v>
      </c>
      <c r="Q112" s="177" t="s">
        <v>46</v>
      </c>
      <c r="R112" s="180"/>
      <c r="S112" s="176" t="str">
        <f t="shared" si="42"/>
        <v>001-500-000065593</v>
      </c>
      <c r="T112" s="181">
        <v>566886093</v>
      </c>
      <c r="U112" s="88" t="s">
        <v>1618</v>
      </c>
    </row>
    <row r="113" spans="1:21" s="172" customFormat="1" ht="19">
      <c r="A113" s="172">
        <v>108</v>
      </c>
      <c r="B113" s="205">
        <v>45517</v>
      </c>
      <c r="C113" s="176" t="s">
        <v>1054</v>
      </c>
      <c r="D113" s="176" t="s">
        <v>1611</v>
      </c>
      <c r="E113" s="177">
        <v>112520025</v>
      </c>
      <c r="F113" s="175" t="str">
        <f t="shared" si="34"/>
        <v>IZC 64010 MSS COCINA INDUCCION</v>
      </c>
      <c r="G113" s="176" t="s">
        <v>1613</v>
      </c>
      <c r="H113" s="177" t="s">
        <v>24</v>
      </c>
      <c r="I113" s="177" t="s">
        <v>46</v>
      </c>
      <c r="J113" s="177" t="s">
        <v>47</v>
      </c>
      <c r="K113" s="182">
        <v>45917</v>
      </c>
      <c r="L113" s="183" t="s">
        <v>1616</v>
      </c>
      <c r="M113" s="183" t="s">
        <v>1617</v>
      </c>
      <c r="N113" s="176">
        <v>979125666</v>
      </c>
      <c r="O113" s="179">
        <v>15</v>
      </c>
      <c r="P113" s="177" t="s">
        <v>48</v>
      </c>
      <c r="Q113" s="177" t="s">
        <v>46</v>
      </c>
      <c r="R113" s="180"/>
      <c r="S113" s="176" t="str">
        <f t="shared" ref="S113:S115" si="44">D113</f>
        <v>001-500-000065593</v>
      </c>
      <c r="T113" s="181">
        <v>566886093</v>
      </c>
      <c r="U113" s="88" t="s">
        <v>1618</v>
      </c>
    </row>
    <row r="114" spans="1:21" s="172" customFormat="1" ht="19">
      <c r="A114" s="172">
        <v>109</v>
      </c>
      <c r="B114" s="205">
        <v>45517</v>
      </c>
      <c r="C114" s="176" t="s">
        <v>1054</v>
      </c>
      <c r="D114" s="176" t="s">
        <v>1611</v>
      </c>
      <c r="E114" s="177">
        <v>40460410</v>
      </c>
      <c r="F114" s="175" t="str">
        <f t="shared" si="34"/>
        <v>DBB 60 INOX CAMPANA (110V-60HZ) C/KIT</v>
      </c>
      <c r="G114" s="176" t="s">
        <v>1614</v>
      </c>
      <c r="H114" s="177" t="s">
        <v>24</v>
      </c>
      <c r="I114" s="177" t="s">
        <v>46</v>
      </c>
      <c r="J114" s="177" t="s">
        <v>47</v>
      </c>
      <c r="K114" s="182">
        <v>45917</v>
      </c>
      <c r="L114" s="183" t="s">
        <v>1616</v>
      </c>
      <c r="M114" s="183" t="s">
        <v>1617</v>
      </c>
      <c r="N114" s="176">
        <v>979125666</v>
      </c>
      <c r="O114" s="179">
        <v>15</v>
      </c>
      <c r="P114" s="177" t="s">
        <v>48</v>
      </c>
      <c r="Q114" s="177" t="s">
        <v>46</v>
      </c>
      <c r="R114" s="180"/>
      <c r="S114" s="176" t="str">
        <f t="shared" si="44"/>
        <v>001-500-000065593</v>
      </c>
      <c r="T114" s="181">
        <v>566886093</v>
      </c>
      <c r="U114" s="88" t="s">
        <v>1618</v>
      </c>
    </row>
    <row r="115" spans="1:21" s="172" customFormat="1" ht="19">
      <c r="A115" s="172">
        <v>110</v>
      </c>
      <c r="B115" s="205">
        <v>45517</v>
      </c>
      <c r="C115" s="176" t="s">
        <v>1054</v>
      </c>
      <c r="D115" s="176" t="s">
        <v>1611</v>
      </c>
      <c r="E115" s="177">
        <v>40782128</v>
      </c>
      <c r="F115" s="175" t="str">
        <f t="shared" si="34"/>
        <v>DW8 57 FIM-D LAVAVAJILLAS</v>
      </c>
      <c r="G115" s="176" t="s">
        <v>1615</v>
      </c>
      <c r="H115" s="177" t="s">
        <v>24</v>
      </c>
      <c r="I115" s="177" t="s">
        <v>46</v>
      </c>
      <c r="J115" s="177" t="s">
        <v>47</v>
      </c>
      <c r="K115" s="182">
        <v>45917</v>
      </c>
      <c r="L115" s="183" t="s">
        <v>1616</v>
      </c>
      <c r="M115" s="183" t="s">
        <v>1617</v>
      </c>
      <c r="N115" s="176">
        <v>979125666</v>
      </c>
      <c r="O115" s="179">
        <v>15</v>
      </c>
      <c r="P115" s="177" t="s">
        <v>48</v>
      </c>
      <c r="Q115" s="177" t="s">
        <v>46</v>
      </c>
      <c r="R115" s="180"/>
      <c r="S115" s="176" t="str">
        <f t="shared" si="44"/>
        <v>001-500-000065593</v>
      </c>
      <c r="T115" s="181">
        <v>566886093</v>
      </c>
      <c r="U115" s="88" t="s">
        <v>1618</v>
      </c>
    </row>
    <row r="116" spans="1:21" s="172" customFormat="1" ht="19">
      <c r="A116" s="172">
        <v>111</v>
      </c>
      <c r="B116" s="205">
        <v>45911</v>
      </c>
      <c r="C116" s="176" t="s">
        <v>1054</v>
      </c>
      <c r="D116" s="176" t="s">
        <v>1673</v>
      </c>
      <c r="E116" s="177">
        <v>112580058</v>
      </c>
      <c r="F116" s="175" t="str">
        <f t="shared" ref="F116:F119" si="45">VLOOKUP(E116,PROD,2,FALSE)</f>
        <v>GBC 95030 KBB BK COCINA GAS</v>
      </c>
      <c r="G116" s="176" t="s">
        <v>1674</v>
      </c>
      <c r="H116" s="177" t="s">
        <v>24</v>
      </c>
      <c r="I116" s="177" t="s">
        <v>46</v>
      </c>
      <c r="J116" s="177" t="s">
        <v>47</v>
      </c>
      <c r="K116" s="182">
        <v>45918</v>
      </c>
      <c r="L116" s="183" t="s">
        <v>1676</v>
      </c>
      <c r="M116" s="183" t="s">
        <v>1677</v>
      </c>
      <c r="N116" s="176">
        <v>987220702</v>
      </c>
      <c r="O116" s="179">
        <v>20</v>
      </c>
      <c r="P116" s="177" t="s">
        <v>48</v>
      </c>
      <c r="Q116" s="177" t="s">
        <v>46</v>
      </c>
      <c r="R116" s="180"/>
      <c r="S116" s="176" t="str">
        <f t="shared" si="42"/>
        <v>001-500-000076819</v>
      </c>
      <c r="T116" s="181">
        <v>104645924</v>
      </c>
      <c r="U116" s="88" t="s">
        <v>1678</v>
      </c>
    </row>
    <row r="117" spans="1:21" s="172" customFormat="1" ht="19">
      <c r="A117" s="172">
        <v>112</v>
      </c>
      <c r="B117" s="205">
        <v>45911</v>
      </c>
      <c r="C117" s="176" t="s">
        <v>1054</v>
      </c>
      <c r="D117" s="176" t="s">
        <v>1673</v>
      </c>
      <c r="E117" s="177">
        <v>111010040</v>
      </c>
      <c r="F117" s="175" t="str">
        <f t="shared" si="45"/>
        <v>HSB 610 NEGRO HORNO ELEC</v>
      </c>
      <c r="G117" s="176" t="s">
        <v>1675</v>
      </c>
      <c r="H117" s="177" t="s">
        <v>24</v>
      </c>
      <c r="I117" s="177" t="s">
        <v>46</v>
      </c>
      <c r="J117" s="177" t="s">
        <v>47</v>
      </c>
      <c r="K117" s="182">
        <v>45918</v>
      </c>
      <c r="L117" s="183" t="s">
        <v>1676</v>
      </c>
      <c r="M117" s="183" t="s">
        <v>1677</v>
      </c>
      <c r="N117" s="176">
        <v>987220702</v>
      </c>
      <c r="O117" s="179">
        <v>20</v>
      </c>
      <c r="P117" s="177" t="s">
        <v>48</v>
      </c>
      <c r="Q117" s="177" t="s">
        <v>46</v>
      </c>
      <c r="R117" s="180"/>
      <c r="S117" s="176" t="str">
        <f t="shared" ref="S117" si="46">D117</f>
        <v>001-500-000076819</v>
      </c>
      <c r="T117" s="181">
        <v>104645924</v>
      </c>
      <c r="U117" s="88" t="s">
        <v>1678</v>
      </c>
    </row>
    <row r="118" spans="1:21" s="172" customFormat="1" ht="19">
      <c r="A118" s="172">
        <v>113</v>
      </c>
      <c r="B118" s="205">
        <v>45803</v>
      </c>
      <c r="C118" s="176" t="s">
        <v>1054</v>
      </c>
      <c r="D118" s="176" t="s">
        <v>1679</v>
      </c>
      <c r="E118" s="177">
        <v>111010041</v>
      </c>
      <c r="F118" s="175" t="str">
        <f t="shared" si="45"/>
        <v>HSB 630 NEGRO HORNO ELEC</v>
      </c>
      <c r="G118" s="186" t="s">
        <v>1680</v>
      </c>
      <c r="H118" s="187" t="s">
        <v>24</v>
      </c>
      <c r="I118" s="187" t="s">
        <v>46</v>
      </c>
      <c r="J118" s="187" t="s">
        <v>47</v>
      </c>
      <c r="K118" s="182">
        <v>45918</v>
      </c>
      <c r="L118" s="183" t="s">
        <v>1682</v>
      </c>
      <c r="M118" s="183" t="s">
        <v>1557</v>
      </c>
      <c r="N118" s="176">
        <v>984428725</v>
      </c>
      <c r="O118" s="179">
        <v>20</v>
      </c>
      <c r="P118" s="177" t="s">
        <v>48</v>
      </c>
      <c r="Q118" s="177" t="s">
        <v>46</v>
      </c>
      <c r="R118" s="180"/>
      <c r="S118" s="176" t="str">
        <f t="shared" si="42"/>
        <v>001-500-000073781</v>
      </c>
      <c r="T118" s="181">
        <v>104919964</v>
      </c>
      <c r="U118" s="88" t="s">
        <v>1683</v>
      </c>
    </row>
    <row r="119" spans="1:21" s="172" customFormat="1" ht="19">
      <c r="A119" s="172">
        <v>114</v>
      </c>
      <c r="B119" s="205">
        <v>45803</v>
      </c>
      <c r="C119" s="176" t="s">
        <v>1054</v>
      </c>
      <c r="D119" s="176" t="s">
        <v>1679</v>
      </c>
      <c r="E119" s="177">
        <v>112580058</v>
      </c>
      <c r="F119" s="175" t="str">
        <f t="shared" si="45"/>
        <v>GBC 95030 KBB BK COCINA GAS</v>
      </c>
      <c r="G119" s="176" t="s">
        <v>1681</v>
      </c>
      <c r="H119" s="177" t="s">
        <v>24</v>
      </c>
      <c r="I119" s="177" t="s">
        <v>46</v>
      </c>
      <c r="J119" s="177" t="s">
        <v>47</v>
      </c>
      <c r="K119" s="182">
        <v>45918</v>
      </c>
      <c r="L119" s="183" t="s">
        <v>1682</v>
      </c>
      <c r="M119" s="183" t="s">
        <v>1557</v>
      </c>
      <c r="N119" s="176">
        <v>984428725</v>
      </c>
      <c r="O119" s="179">
        <v>20</v>
      </c>
      <c r="P119" s="177" t="s">
        <v>48</v>
      </c>
      <c r="Q119" s="177" t="s">
        <v>46</v>
      </c>
      <c r="R119" s="180"/>
      <c r="S119" s="176" t="str">
        <f t="shared" ref="S119" si="47">D119</f>
        <v>001-500-000073781</v>
      </c>
      <c r="T119" s="181">
        <v>104919964</v>
      </c>
      <c r="U119" s="88" t="s">
        <v>1683</v>
      </c>
    </row>
    <row r="120" spans="1:21" s="172" customFormat="1" ht="19">
      <c r="A120" s="172">
        <v>115</v>
      </c>
      <c r="B120" s="205">
        <v>45916</v>
      </c>
      <c r="C120" s="176" t="s">
        <v>1054</v>
      </c>
      <c r="D120" s="176" t="s">
        <v>1698</v>
      </c>
      <c r="E120" s="177">
        <v>112950020</v>
      </c>
      <c r="F120" s="175" t="str">
        <f t="shared" ref="F120:F121" si="48">VLOOKUP(E120,PROD,2,FALSE)</f>
        <v>DVN 74030 TCL BK CAMPANA (110V-60HZ) C/KIT</v>
      </c>
      <c r="G120" s="176" t="s">
        <v>1699</v>
      </c>
      <c r="H120" s="177" t="s">
        <v>24</v>
      </c>
      <c r="I120" s="177" t="s">
        <v>46</v>
      </c>
      <c r="J120" s="177" t="s">
        <v>47</v>
      </c>
      <c r="K120" s="182">
        <v>45918</v>
      </c>
      <c r="L120" s="183" t="s">
        <v>1701</v>
      </c>
      <c r="M120" s="183" t="s">
        <v>1153</v>
      </c>
      <c r="N120" s="176">
        <v>992361909</v>
      </c>
      <c r="O120" s="179">
        <v>20</v>
      </c>
      <c r="P120" s="177" t="s">
        <v>48</v>
      </c>
      <c r="Q120" s="177" t="s">
        <v>46</v>
      </c>
      <c r="R120" s="180"/>
      <c r="S120" s="176" t="str">
        <f t="shared" ref="S120" si="49">D120</f>
        <v>001-500-000076953</v>
      </c>
      <c r="T120" s="181">
        <v>104887328</v>
      </c>
      <c r="U120" s="88" t="s">
        <v>1702</v>
      </c>
    </row>
    <row r="121" spans="1:21" s="172" customFormat="1" ht="19">
      <c r="A121" s="172">
        <v>116</v>
      </c>
      <c r="B121" s="205">
        <v>45916</v>
      </c>
      <c r="C121" s="176" t="s">
        <v>1054</v>
      </c>
      <c r="D121" s="176" t="s">
        <v>1698</v>
      </c>
      <c r="E121" s="177">
        <v>111030002</v>
      </c>
      <c r="F121" s="175" t="str">
        <f t="shared" si="48"/>
        <v>HLB 760 G SS HORNO A GAS</v>
      </c>
      <c r="G121" s="176" t="s">
        <v>1700</v>
      </c>
      <c r="H121" s="177" t="s">
        <v>24</v>
      </c>
      <c r="I121" s="177" t="s">
        <v>46</v>
      </c>
      <c r="J121" s="177" t="s">
        <v>47</v>
      </c>
      <c r="K121" s="182">
        <v>45918</v>
      </c>
      <c r="L121" s="183" t="s">
        <v>1701</v>
      </c>
      <c r="M121" s="183" t="s">
        <v>1153</v>
      </c>
      <c r="N121" s="176">
        <v>992361909</v>
      </c>
      <c r="O121" s="179">
        <v>20</v>
      </c>
      <c r="P121" s="177" t="s">
        <v>48</v>
      </c>
      <c r="Q121" s="177" t="s">
        <v>46</v>
      </c>
      <c r="R121" s="180"/>
      <c r="S121" s="176" t="str">
        <f t="shared" ref="S121" si="50">D121</f>
        <v>001-500-000076953</v>
      </c>
      <c r="T121" s="181">
        <v>104887328</v>
      </c>
      <c r="U121" s="88" t="s">
        <v>1702</v>
      </c>
    </row>
    <row r="122" spans="1:21">
      <c r="O122" s="89">
        <f>SUM(O6:O121)</f>
        <v>1930</v>
      </c>
    </row>
    <row r="123" spans="1:21">
      <c r="O123" s="89"/>
    </row>
    <row r="124" spans="1:21">
      <c r="O124" s="89"/>
    </row>
    <row r="125" spans="1:21" ht="20">
      <c r="E125" s="3"/>
      <c r="F125" s="3"/>
      <c r="G125" s="3"/>
      <c r="H125" s="3"/>
    </row>
    <row r="126" spans="1:21" ht="20">
      <c r="E126" s="283">
        <v>2</v>
      </c>
      <c r="F126" s="3" t="s">
        <v>49</v>
      </c>
      <c r="G126" s="3">
        <v>30</v>
      </c>
      <c r="H126" s="3">
        <f>E126*G126</f>
        <v>60</v>
      </c>
    </row>
    <row r="127" spans="1:21" ht="20">
      <c r="E127" s="283">
        <v>32</v>
      </c>
      <c r="F127" s="3" t="s">
        <v>49</v>
      </c>
      <c r="G127" s="3">
        <v>20</v>
      </c>
      <c r="H127" s="3">
        <f t="shared" ref="H127:H128" si="51">E127*G127</f>
        <v>640</v>
      </c>
    </row>
    <row r="128" spans="1:21" ht="20">
      <c r="E128" s="283">
        <v>82</v>
      </c>
      <c r="F128" s="3" t="s">
        <v>49</v>
      </c>
      <c r="G128" s="3">
        <v>15</v>
      </c>
      <c r="H128" s="3">
        <f t="shared" si="51"/>
        <v>1230</v>
      </c>
    </row>
    <row r="129" spans="5:13" ht="22">
      <c r="E129">
        <f>SUM(E126:E128)</f>
        <v>116</v>
      </c>
      <c r="H129" s="195">
        <f>SUM(H126:H128)</f>
        <v>1930</v>
      </c>
    </row>
    <row r="131" spans="5:13">
      <c r="M131" t="s">
        <v>1703</v>
      </c>
    </row>
  </sheetData>
  <hyperlinks>
    <hyperlink ref="U6" r:id="rId1" xr:uid="{B2561F82-FE7E-BD40-9B40-C478DD0B66F6}"/>
    <hyperlink ref="U7" r:id="rId2" xr:uid="{17B04298-D6B9-DC44-9D6D-16A46A32C99D}"/>
    <hyperlink ref="U8" r:id="rId3" xr:uid="{9C625DFF-CB87-DA4E-9C0D-4AE3BD1FCB51}"/>
    <hyperlink ref="U9" r:id="rId4" xr:uid="{13C5320D-BDF2-474C-B7B6-EB3F354010DF}"/>
    <hyperlink ref="U10" r:id="rId5" xr:uid="{5B3DFE8A-260D-9844-9708-A894FF8CFFFB}"/>
    <hyperlink ref="U11" r:id="rId6" xr:uid="{DFF6A17F-C40F-9944-9424-74E06531632E}"/>
    <hyperlink ref="U12" r:id="rId7" xr:uid="{FEDA34CA-4583-FA44-8EFB-E728E6B8CD16}"/>
    <hyperlink ref="U13" r:id="rId8" xr:uid="{4FA7D6C7-FCFB-2A4A-84D6-627C3B4F57B6}"/>
    <hyperlink ref="U14" r:id="rId9" xr:uid="{CA2A4A72-98B8-8A4B-9CFC-D15275AFFA71}"/>
    <hyperlink ref="U15" r:id="rId10" xr:uid="{5144678A-D2F3-5D48-8726-8EDEE169F72A}"/>
    <hyperlink ref="U16" r:id="rId11" xr:uid="{FE382624-B7A2-AB4C-9F28-0653DDD85E7F}"/>
    <hyperlink ref="U17" r:id="rId12" xr:uid="{D6F3D886-4F07-E448-9E8D-89FECADB362E}"/>
    <hyperlink ref="U18" r:id="rId13" xr:uid="{5310106D-D36A-5844-8F62-7A4E7AC8C000}"/>
    <hyperlink ref="U19" r:id="rId14" xr:uid="{0BC271A5-E1B1-804B-BE7F-F4155A73FB1E}"/>
    <hyperlink ref="U25" r:id="rId15" xr:uid="{EAEF1763-CFFF-1A45-9683-0E92225D4DEF}"/>
    <hyperlink ref="U26" r:id="rId16" xr:uid="{33B9DA6E-2AA1-5642-8C33-1327A103CFC5}"/>
    <hyperlink ref="U27" r:id="rId17" xr:uid="{51748486-9BD7-D24C-9984-C131014F9274}"/>
    <hyperlink ref="U28" r:id="rId18" xr:uid="{B3F38FC2-AD77-6140-8334-1E625C307B4E}"/>
    <hyperlink ref="U29" r:id="rId19" xr:uid="{71385F60-3E0D-744D-A47F-72712FCEB12C}"/>
    <hyperlink ref="U30" r:id="rId20" display="mailto:GABYENRIQUEZ21406@GMAIL.COM" xr:uid="{B10E130D-C936-254B-A564-91BFF4CB9906}"/>
    <hyperlink ref="U20" r:id="rId21" xr:uid="{3018362E-7AF5-6C4D-BEEA-BD5A6FB2DCBE}"/>
    <hyperlink ref="U21" r:id="rId22" xr:uid="{7F0C4EF9-4F41-2F4A-B252-5C01D0CEFE26}"/>
    <hyperlink ref="U22" r:id="rId23" xr:uid="{2A4B6FC5-A8D4-C54C-80F2-C609C871ABA3}"/>
    <hyperlink ref="U23" r:id="rId24" xr:uid="{8F0AB834-37AA-304D-9FED-94248939A22A}"/>
    <hyperlink ref="U24" r:id="rId25" xr:uid="{4AA8B603-20B2-C34A-88CF-3FC7CBE40B41}"/>
    <hyperlink ref="U31" r:id="rId26" xr:uid="{270034B0-996C-194D-825A-BE3FC3ADBCCF}"/>
    <hyperlink ref="U32" r:id="rId27" xr:uid="{691BB08B-7384-8844-B51E-36C58325C9B3}"/>
    <hyperlink ref="U33" r:id="rId28" xr:uid="{BA75D5FB-1C21-EC44-82CD-0CA47822180C}"/>
    <hyperlink ref="U34" r:id="rId29" xr:uid="{83F48E1B-84D7-2B4F-9EFC-A08ECBC2EC0F}"/>
    <hyperlink ref="U35" r:id="rId30" xr:uid="{9FE5F10B-3F22-4747-99A8-87C25FB3FDD3}"/>
    <hyperlink ref="U36" r:id="rId31" xr:uid="{0253B65A-3217-C842-81EC-A4E4E8E85264}"/>
    <hyperlink ref="U37" r:id="rId32" xr:uid="{31776809-21D7-0F4F-826A-8770BCD10A34}"/>
    <hyperlink ref="U42" r:id="rId33" xr:uid="{F299CE6B-5655-7444-81B9-BEEFEB55B2D2}"/>
    <hyperlink ref="U43" r:id="rId34" xr:uid="{5C69FF78-ED5C-6D4F-A955-877CA65314CD}"/>
    <hyperlink ref="U44" r:id="rId35" xr:uid="{B553E2F3-AF01-0049-9178-9ADFF357EFD8}"/>
    <hyperlink ref="U45" r:id="rId36" xr:uid="{F7ABB6A2-9442-2F4E-B370-DB62761C7A11}"/>
    <hyperlink ref="U46" r:id="rId37" xr:uid="{E46B3A49-B2D6-6C41-923C-4358E14012D8}"/>
    <hyperlink ref="U47" r:id="rId38" xr:uid="{78561002-8A5C-5D44-825E-7CB4C90FDACE}"/>
    <hyperlink ref="U48" r:id="rId39" xr:uid="{1EDE4DB6-406B-2A4F-B1E0-EAEAD75EE556}"/>
    <hyperlink ref="U49" r:id="rId40" xr:uid="{80B761B6-64AD-554D-B3C0-4C25912AE297}"/>
    <hyperlink ref="U50" r:id="rId41" xr:uid="{9F18624B-7918-1D45-9F05-FC977EBBD159}"/>
    <hyperlink ref="U51" r:id="rId42" display="mailto:J.C.QUIMIFARM@HOTMAIL.COM" xr:uid="{679FA5A6-D70E-6145-A902-E0553CCD4DA6}"/>
    <hyperlink ref="U56" r:id="rId43" xr:uid="{FF284330-5881-304A-BB4A-F8CC103A555C}"/>
    <hyperlink ref="U57" r:id="rId44" xr:uid="{566A9888-6FC7-7A46-8116-27383C17C106}"/>
    <hyperlink ref="U58" r:id="rId45" xr:uid="{BF050412-61AF-DE43-A7D5-3365B656B085}"/>
    <hyperlink ref="U59" r:id="rId46" xr:uid="{C7CA37FF-24F9-0E4A-832A-712B2E250D4D}"/>
    <hyperlink ref="U60" r:id="rId47" xr:uid="{77A82BF4-85EF-0440-8455-57F0B252D798}"/>
    <hyperlink ref="U61" r:id="rId48" xr:uid="{F482E4ED-183C-9048-BF5C-87E2CE0F5151}"/>
    <hyperlink ref="U62" r:id="rId49" xr:uid="{FAF1D54D-96D4-8542-860F-2EAC4785A7CC}"/>
    <hyperlink ref="U63" r:id="rId50" display="mailto:JHONHIDALGO1987@GMAIL.COM" xr:uid="{3AEA0C07-7A05-4242-B3EE-CAFFC1BEAB64}"/>
    <hyperlink ref="U64" r:id="rId51" xr:uid="{A5059D19-511B-B84D-B1B7-2BA705856F8D}"/>
    <hyperlink ref="U65" r:id="rId52" xr:uid="{97D9D5FF-E05F-1A47-AFB8-22C1B0ACD858}"/>
    <hyperlink ref="U66" r:id="rId53" xr:uid="{B50C0CF6-F0DE-F041-80DA-1F40D0C664FE}"/>
    <hyperlink ref="U67" r:id="rId54" xr:uid="{7F290E6A-9D22-BF4A-9443-CA7FA80465E0}"/>
    <hyperlink ref="U68" r:id="rId55" xr:uid="{7ECFC804-BC4D-7849-88F2-F0A7AF4F08D5}"/>
    <hyperlink ref="U69" r:id="rId56" xr:uid="{C997A36C-061D-6446-80FD-C1219AEC8281}"/>
    <hyperlink ref="U70" r:id="rId57" xr:uid="{694F4985-5984-1648-8F74-7FF8070C9360}"/>
    <hyperlink ref="U71" r:id="rId58" xr:uid="{6D9E518E-0228-A844-9B07-0FC9199B461B}"/>
    <hyperlink ref="U72" r:id="rId59" xr:uid="{C15A9171-5905-B945-A2A3-F13B98ABE684}"/>
    <hyperlink ref="U73" r:id="rId60" xr:uid="{95C45896-2E53-884B-8077-7191FC94F513}"/>
    <hyperlink ref="U74" r:id="rId61" xr:uid="{D81A6EE1-E3B8-2946-858B-CC897827A708}"/>
    <hyperlink ref="U75" r:id="rId62" xr:uid="{1D6BB5F3-952F-E840-A960-24CDDE58D993}"/>
    <hyperlink ref="U76" r:id="rId63" xr:uid="{8B7C2D86-FDEC-ED43-B5FE-244667D09D58}"/>
    <hyperlink ref="U77" r:id="rId64" xr:uid="{EC2ECB76-81F5-CD4D-AC12-00E99E0BB7BC}"/>
    <hyperlink ref="U78" r:id="rId65" xr:uid="{6F1B3474-4C31-D14E-BC06-4F69076A5DE9}"/>
    <hyperlink ref="U79" r:id="rId66" xr:uid="{844B1834-035C-654D-9E29-F06AF5F9801A}"/>
    <hyperlink ref="U80" r:id="rId67" xr:uid="{BD97575C-E9AE-1945-9455-571073C49D21}"/>
    <hyperlink ref="U81" r:id="rId68" xr:uid="{D2845DD1-75D0-2E46-A170-C1968C2E4D95}"/>
    <hyperlink ref="U82" r:id="rId69" xr:uid="{EA71E4F9-D8E1-5848-BB0E-F4CFEBDB9F9D}"/>
    <hyperlink ref="U83" r:id="rId70" xr:uid="{D39E6FAA-FD2E-2C4E-96DF-A9321E057068}"/>
    <hyperlink ref="U84" r:id="rId71" xr:uid="{F0C275F2-19E6-524E-9A6E-2FAA2D577403}"/>
    <hyperlink ref="U85" r:id="rId72" xr:uid="{D3D16547-611D-1C4B-B180-137A783595DD}"/>
    <hyperlink ref="U86" r:id="rId73" xr:uid="{64A263D1-EB1B-BC4F-A9F5-8E956061CB76}"/>
    <hyperlink ref="U87" r:id="rId74" xr:uid="{C800A19D-FF49-F640-AA2B-09DDC9FDD6FA}"/>
    <hyperlink ref="U88" r:id="rId75" xr:uid="{8346FE2C-018E-3A4C-AA4C-1BBC7EE00245}"/>
    <hyperlink ref="U89" r:id="rId76" xr:uid="{8201B93C-9C6C-E745-AA8C-A76CF7C61959}"/>
    <hyperlink ref="U90" r:id="rId77" xr:uid="{87B45751-D225-9D48-A029-973DA94B5314}"/>
    <hyperlink ref="U91" r:id="rId78" xr:uid="{DA42952B-16A4-0D42-BE84-CD2BEFBC529C}"/>
    <hyperlink ref="U92" r:id="rId79" xr:uid="{CDB0E8EB-BDF8-DE48-A624-9898526B3018}"/>
    <hyperlink ref="U98" r:id="rId80" xr:uid="{FFD91DCA-B8F2-DA4E-ADA3-31F46687FA83}"/>
    <hyperlink ref="U99" r:id="rId81" xr:uid="{88266721-7EB6-AF43-84F6-0487779521D5}"/>
    <hyperlink ref="U93" r:id="rId82" xr:uid="{477558DD-BB75-F34B-8A81-3788783680F4}"/>
    <hyperlink ref="U94" r:id="rId83" xr:uid="{1F7C264C-8516-694B-A3D7-8549E00F2DD3}"/>
    <hyperlink ref="U95" r:id="rId84" xr:uid="{4F4ECF5E-E96D-DE46-BE77-E5A1E78BB166}"/>
    <hyperlink ref="U96" r:id="rId85" xr:uid="{6230F490-D05A-244C-8836-DB35D26958E3}"/>
    <hyperlink ref="U97" r:id="rId86" xr:uid="{40F04049-5D37-734D-A4CE-6BCB5F7FFAE4}"/>
    <hyperlink ref="U100" r:id="rId87" xr:uid="{F20ABF53-9084-F640-88DD-F81BDCA71AF8}"/>
    <hyperlink ref="U101" r:id="rId88" xr:uid="{F42E6916-3E41-E14F-BA32-537A59D995B1}"/>
    <hyperlink ref="U102" r:id="rId89" xr:uid="{880128FA-8BD6-AE4A-A998-8F1A045D04F5}"/>
    <hyperlink ref="U103" r:id="rId90" xr:uid="{DE805D40-EA5A-CA40-B61C-F1022D110377}"/>
    <hyperlink ref="U104" r:id="rId91" xr:uid="{621FA5D4-D020-7746-A240-14A18FD55933}"/>
    <hyperlink ref="U105" r:id="rId92" xr:uid="{4E8B9945-3B71-9049-9018-0A8A0DB9564D}"/>
    <hyperlink ref="U106" r:id="rId93" xr:uid="{0B7F064D-233C-9341-B64D-2955AC4DA1E0}"/>
    <hyperlink ref="U107" r:id="rId94" xr:uid="{296641D9-8993-0C49-ACAE-EAFFEB150D2A}"/>
    <hyperlink ref="U108" r:id="rId95" xr:uid="{4BAC7FC1-89B2-404F-AD81-5041EF003A03}"/>
    <hyperlink ref="U109" r:id="rId96" xr:uid="{FFA64E08-6C0C-A147-B59C-DB6476F33749}"/>
    <hyperlink ref="U110" r:id="rId97" xr:uid="{AB380304-278B-B040-ADD9-DE3EE1146F23}"/>
    <hyperlink ref="U111" r:id="rId98" xr:uid="{29B3BF81-A9E6-8645-BDE2-FD9CFBBE64C2}"/>
    <hyperlink ref="U112" r:id="rId99" xr:uid="{8C3A0660-89E9-6D49-B6EE-18A49A7B035D}"/>
    <hyperlink ref="U113" r:id="rId100" xr:uid="{E1788A1F-F508-6648-821F-12EB782BF383}"/>
    <hyperlink ref="U114" r:id="rId101" xr:uid="{A9908B5A-F97F-AC47-AA0F-3FD19B28DFD5}"/>
    <hyperlink ref="U115" r:id="rId102" xr:uid="{CA3C0C02-2AB2-754B-A049-0321661EB507}"/>
    <hyperlink ref="U38" r:id="rId103" xr:uid="{17140184-B4B0-E748-A74F-BE0E0A72E1AD}"/>
    <hyperlink ref="U39:U41" r:id="rId104" display="T.GONZALES@ICLOUD.COM" xr:uid="{88365151-B830-AF4B-9192-DCDD583A7B2B}"/>
    <hyperlink ref="U116" r:id="rId105" xr:uid="{50AF4611-CF46-2E44-8F23-E3AA71A7386D}"/>
    <hyperlink ref="U117" r:id="rId106" xr:uid="{905480A1-70D6-A845-BD54-1075273B6B68}"/>
    <hyperlink ref="U118" r:id="rId107" xr:uid="{B3944E74-0A5B-1547-A222-DBD4ABCBC5C8}"/>
    <hyperlink ref="U119" r:id="rId108" xr:uid="{6D75FFE6-891A-2E44-A4DB-4D00707AA39F}"/>
    <hyperlink ref="U120" r:id="rId109" xr:uid="{2E1DDCEB-F318-F746-9EDA-BC2C3A1F9371}"/>
    <hyperlink ref="U121" r:id="rId110" xr:uid="{4453E7C5-485E-0644-AFED-C5E7DE859E80}"/>
    <hyperlink ref="U52" r:id="rId111" xr:uid="{8D27A97E-4AA5-924D-85DF-EBD86D93AD7D}"/>
    <hyperlink ref="U53" r:id="rId112" xr:uid="{B27AF291-F4B9-1949-96B1-E827B7E502CB}"/>
    <hyperlink ref="U54" r:id="rId113" xr:uid="{A9B4F040-0634-3444-95E2-7DDD081591AE}"/>
    <hyperlink ref="U55" r:id="rId114" xr:uid="{69D3D484-B68E-1341-8791-56DD03EE494A}"/>
  </hyperlinks>
  <pageMargins left="0.7" right="0.7" top="0.75" bottom="0.75" header="0.3" footer="0.3"/>
  <drawing r:id="rId1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6500-1818-2843-9497-C97C363999EC}">
  <dimension ref="A2:U13"/>
  <sheetViews>
    <sheetView topLeftCell="C1" workbookViewId="0">
      <selection activeCell="D15" sqref="D15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9" customWidth="1"/>
    <col min="6" max="6" width="47" customWidth="1"/>
    <col min="7" max="7" width="18.33203125" customWidth="1"/>
    <col min="8" max="8" width="7.6640625" customWidth="1"/>
    <col min="9" max="9" width="9.1640625" customWidth="1"/>
    <col min="10" max="10" width="10" customWidth="1"/>
    <col min="11" max="11" width="11.33203125" customWidth="1"/>
    <col min="12" max="12" width="27.6640625" customWidth="1"/>
    <col min="13" max="13" width="25" customWidth="1"/>
    <col min="14" max="14" width="13.5" customWidth="1"/>
    <col min="15" max="15" width="7.6640625" customWidth="1"/>
    <col min="16" max="16" width="13.6640625" customWidth="1"/>
    <col min="18" max="18" width="7.6640625" customWidth="1"/>
    <col min="19" max="19" width="22.83203125" customWidth="1"/>
    <col min="20" max="20" width="26.6640625" customWidth="1"/>
    <col min="21" max="21" width="35.5" customWidth="1"/>
  </cols>
  <sheetData>
    <row r="2" spans="1:21" ht="18">
      <c r="C2" s="65"/>
      <c r="D2" s="65"/>
      <c r="E2" s="65"/>
      <c r="F2" s="65"/>
      <c r="G2" s="65"/>
      <c r="H2" s="65"/>
      <c r="I2" s="65"/>
      <c r="J2" s="65"/>
      <c r="K2" s="66"/>
      <c r="L2" s="65"/>
      <c r="M2" s="65"/>
      <c r="N2" s="65"/>
      <c r="O2" s="65"/>
      <c r="P2" s="65"/>
      <c r="Q2" s="65"/>
      <c r="R2" s="65"/>
      <c r="S2" s="65"/>
    </row>
    <row r="3" spans="1:21" ht="18">
      <c r="A3" s="67"/>
      <c r="C3" s="68" t="s">
        <v>0</v>
      </c>
      <c r="D3" s="65"/>
      <c r="E3" s="69"/>
      <c r="F3" s="65"/>
      <c r="G3" s="70"/>
      <c r="H3" s="66"/>
      <c r="I3" s="71"/>
      <c r="J3" s="72"/>
      <c r="K3" s="66"/>
      <c r="L3" s="73"/>
      <c r="M3" s="73"/>
      <c r="N3" s="66"/>
      <c r="O3" s="74"/>
      <c r="P3" s="65"/>
      <c r="Q3" s="65"/>
      <c r="R3" s="65"/>
      <c r="S3" s="65"/>
    </row>
    <row r="4" spans="1:21" ht="18">
      <c r="A4" s="67"/>
      <c r="C4" s="75" t="s">
        <v>1</v>
      </c>
      <c r="D4" s="65"/>
      <c r="E4" s="66"/>
      <c r="F4" s="65"/>
      <c r="G4" s="76"/>
      <c r="H4" s="77"/>
      <c r="I4" s="78"/>
      <c r="J4" s="79" t="s">
        <v>27</v>
      </c>
      <c r="K4" s="77"/>
      <c r="L4" s="80"/>
      <c r="M4" s="81"/>
      <c r="N4" s="66" t="s">
        <v>1043</v>
      </c>
      <c r="O4" s="74"/>
      <c r="P4" s="82"/>
      <c r="Q4" s="65"/>
      <c r="R4" s="65"/>
      <c r="S4" s="65"/>
    </row>
    <row r="5" spans="1:21" s="1" customFormat="1" ht="51">
      <c r="A5" s="83"/>
      <c r="B5" s="84" t="s">
        <v>28</v>
      </c>
      <c r="C5" s="84" t="s">
        <v>1028</v>
      </c>
      <c r="D5" s="84" t="s">
        <v>30</v>
      </c>
      <c r="E5" s="84" t="s">
        <v>31</v>
      </c>
      <c r="F5" s="85" t="s">
        <v>32</v>
      </c>
      <c r="G5" s="84" t="s">
        <v>33</v>
      </c>
      <c r="H5" s="84" t="s">
        <v>34</v>
      </c>
      <c r="I5" s="84" t="s">
        <v>35</v>
      </c>
      <c r="J5" s="84" t="s">
        <v>36</v>
      </c>
      <c r="K5" s="84" t="s">
        <v>37</v>
      </c>
      <c r="L5" s="86" t="s">
        <v>38</v>
      </c>
      <c r="M5" s="86" t="s">
        <v>39</v>
      </c>
      <c r="N5" s="84" t="s">
        <v>40</v>
      </c>
      <c r="O5" s="87" t="s">
        <v>41</v>
      </c>
      <c r="P5" s="84" t="s">
        <v>42</v>
      </c>
      <c r="Q5" s="84" t="s">
        <v>43</v>
      </c>
      <c r="R5" s="84" t="s">
        <v>22</v>
      </c>
      <c r="S5" s="84" t="s">
        <v>23</v>
      </c>
      <c r="T5" s="84" t="s">
        <v>44</v>
      </c>
      <c r="U5" s="84" t="s">
        <v>45</v>
      </c>
    </row>
    <row r="6" spans="1:21" s="172" customFormat="1" ht="19">
      <c r="A6" s="172">
        <v>1</v>
      </c>
      <c r="B6" s="173">
        <v>45904</v>
      </c>
      <c r="C6" s="173" t="s">
        <v>1045</v>
      </c>
      <c r="D6" s="173" t="s">
        <v>1455</v>
      </c>
      <c r="E6" s="174">
        <v>40466241</v>
      </c>
      <c r="F6" s="175" t="str">
        <f t="shared" ref="F6:F7" si="0">VLOOKUP(E6,PROD,2,FALSE)</f>
        <v>C 9310 INOX CAMPANA (110V-60HZ) C/KIT</v>
      </c>
      <c r="G6" s="176" t="s">
        <v>1456</v>
      </c>
      <c r="H6" s="177" t="s">
        <v>24</v>
      </c>
      <c r="I6" s="177" t="s">
        <v>46</v>
      </c>
      <c r="J6" s="177" t="s">
        <v>47</v>
      </c>
      <c r="K6" s="203">
        <v>45889</v>
      </c>
      <c r="L6" s="173" t="s">
        <v>1458</v>
      </c>
      <c r="M6" s="173" t="s">
        <v>1459</v>
      </c>
      <c r="N6" s="178">
        <v>983116559</v>
      </c>
      <c r="O6" s="179">
        <v>20</v>
      </c>
      <c r="P6" s="177" t="s">
        <v>48</v>
      </c>
      <c r="Q6" s="177" t="s">
        <v>46</v>
      </c>
      <c r="R6" s="180"/>
      <c r="S6" s="176" t="str">
        <f>D6</f>
        <v>024-902-000365906</v>
      </c>
      <c r="T6" s="181">
        <v>1716661312</v>
      </c>
      <c r="U6" s="88" t="s">
        <v>1460</v>
      </c>
    </row>
    <row r="7" spans="1:21" s="172" customFormat="1" ht="19">
      <c r="A7" s="172">
        <v>2</v>
      </c>
      <c r="B7" s="173">
        <v>45904</v>
      </c>
      <c r="C7" s="173" t="s">
        <v>1045</v>
      </c>
      <c r="D7" s="173" t="s">
        <v>1455</v>
      </c>
      <c r="E7" s="174">
        <v>111040006</v>
      </c>
      <c r="F7" s="215" t="str">
        <f t="shared" si="0"/>
        <v>HSB 750 G SS HORNO A GAS</v>
      </c>
      <c r="G7" s="176" t="s">
        <v>1457</v>
      </c>
      <c r="H7" s="177" t="s">
        <v>24</v>
      </c>
      <c r="I7" s="177" t="s">
        <v>46</v>
      </c>
      <c r="J7" s="177" t="s">
        <v>47</v>
      </c>
      <c r="K7" s="203">
        <v>45889</v>
      </c>
      <c r="L7" s="173" t="s">
        <v>1458</v>
      </c>
      <c r="M7" s="173" t="s">
        <v>1459</v>
      </c>
      <c r="N7" s="178">
        <v>983116559</v>
      </c>
      <c r="O7" s="179">
        <v>20</v>
      </c>
      <c r="P7" s="177" t="s">
        <v>48</v>
      </c>
      <c r="Q7" s="177" t="s">
        <v>46</v>
      </c>
      <c r="R7" s="180"/>
      <c r="S7" s="176" t="str">
        <f>D7</f>
        <v>024-902-000365906</v>
      </c>
      <c r="T7" s="181">
        <v>1716661312</v>
      </c>
      <c r="U7" s="88" t="s">
        <v>1460</v>
      </c>
    </row>
    <row r="8" spans="1:21" ht="20">
      <c r="E8" s="3"/>
      <c r="H8" s="3"/>
      <c r="O8" s="89">
        <f>SUM(O6:O7)</f>
        <v>40</v>
      </c>
    </row>
    <row r="10" spans="1:21" ht="20">
      <c r="F10" s="3" t="s">
        <v>49</v>
      </c>
      <c r="G10" s="3">
        <v>30</v>
      </c>
    </row>
    <row r="11" spans="1:21" ht="20">
      <c r="E11" s="268">
        <v>2</v>
      </c>
      <c r="F11" s="3" t="s">
        <v>49</v>
      </c>
      <c r="G11" s="3">
        <v>20</v>
      </c>
      <c r="H11" s="268">
        <v>40</v>
      </c>
    </row>
    <row r="12" spans="1:21" ht="20">
      <c r="F12" s="3" t="s">
        <v>49</v>
      </c>
      <c r="G12" s="3">
        <v>15</v>
      </c>
      <c r="H12" s="268"/>
    </row>
    <row r="13" spans="1:21" ht="19">
      <c r="H13" s="268">
        <v>40</v>
      </c>
    </row>
  </sheetData>
  <hyperlinks>
    <hyperlink ref="U6" r:id="rId1" xr:uid="{0102723E-32BB-1143-BBE1-D4CD95B52F34}"/>
    <hyperlink ref="U7" r:id="rId2" xr:uid="{67BB599C-24FF-8F4E-8934-0F63B0D3B899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0"/>
  <sheetViews>
    <sheetView zoomScale="130" zoomScaleNormal="130" workbookViewId="0">
      <selection activeCell="F27" sqref="F27"/>
    </sheetView>
  </sheetViews>
  <sheetFormatPr baseColWidth="10" defaultRowHeight="15"/>
  <cols>
    <col min="1" max="1" width="4.5" customWidth="1"/>
    <col min="2" max="2" width="13.6640625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33203125" customWidth="1"/>
    <col min="9" max="10" width="8.6640625" customWidth="1"/>
    <col min="11" max="11" width="9.33203125" customWidth="1"/>
    <col min="12" max="12" width="20.6640625" customWidth="1"/>
    <col min="13" max="13" width="18.33203125" customWidth="1"/>
    <col min="15" max="15" width="7.5" customWidth="1"/>
    <col min="16" max="16" width="25.6640625" customWidth="1"/>
    <col min="17" max="17" width="12.33203125" customWidth="1"/>
    <col min="18" max="18" width="6.1640625" customWidth="1"/>
    <col min="19" max="19" width="20.33203125" customWidth="1"/>
    <col min="20" max="20" width="18.5" customWidth="1"/>
    <col min="21" max="21" width="31" customWidth="1"/>
  </cols>
  <sheetData>
    <row r="2" spans="1:21" ht="18"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1" ht="18">
      <c r="A3" s="90"/>
      <c r="B3" s="91"/>
      <c r="C3" s="92" t="s">
        <v>50</v>
      </c>
      <c r="D3" s="93"/>
      <c r="E3" s="94"/>
      <c r="F3" s="93"/>
      <c r="G3" s="95"/>
      <c r="H3" s="93"/>
      <c r="I3" s="93"/>
      <c r="J3" s="93"/>
      <c r="K3" s="96"/>
      <c r="L3" s="96"/>
      <c r="M3" s="93"/>
      <c r="N3" s="93"/>
      <c r="O3" s="97"/>
      <c r="P3" s="93"/>
      <c r="Q3" s="93"/>
      <c r="R3" s="93"/>
      <c r="S3" s="93"/>
      <c r="T3" s="93"/>
      <c r="U3" s="98"/>
    </row>
    <row r="4" spans="1:21" ht="16" customHeight="1">
      <c r="A4" s="90"/>
      <c r="B4" s="91"/>
      <c r="C4" s="99" t="s">
        <v>51</v>
      </c>
      <c r="D4" s="93"/>
      <c r="E4" s="93"/>
      <c r="F4" s="93"/>
      <c r="G4" s="95"/>
      <c r="H4" s="93"/>
      <c r="I4" s="93" t="s">
        <v>52</v>
      </c>
      <c r="J4" s="93"/>
      <c r="K4" s="96"/>
      <c r="L4" s="96"/>
      <c r="M4" s="93" t="s">
        <v>1044</v>
      </c>
      <c r="N4" s="93"/>
      <c r="O4" s="97"/>
      <c r="P4" s="93"/>
      <c r="Q4" s="100"/>
      <c r="R4" s="93"/>
      <c r="S4" s="93"/>
      <c r="T4" s="101"/>
      <c r="U4" s="102">
        <v>43678</v>
      </c>
    </row>
    <row r="5" spans="1:21" s="1" customFormat="1" ht="53" customHeight="1">
      <c r="A5" s="103"/>
      <c r="B5" s="104" t="s">
        <v>28</v>
      </c>
      <c r="C5" s="104" t="s">
        <v>29</v>
      </c>
      <c r="D5" s="104" t="s">
        <v>30</v>
      </c>
      <c r="E5" s="104" t="s">
        <v>31</v>
      </c>
      <c r="F5" s="104" t="s">
        <v>32</v>
      </c>
      <c r="G5" s="104" t="s">
        <v>33</v>
      </c>
      <c r="H5" s="104" t="s">
        <v>34</v>
      </c>
      <c r="I5" s="104" t="s">
        <v>35</v>
      </c>
      <c r="J5" s="104" t="s">
        <v>36</v>
      </c>
      <c r="K5" s="105" t="s">
        <v>53</v>
      </c>
      <c r="L5" s="105" t="s">
        <v>38</v>
      </c>
      <c r="M5" s="105" t="s">
        <v>39</v>
      </c>
      <c r="N5" s="105" t="s">
        <v>40</v>
      </c>
      <c r="O5" s="106" t="s">
        <v>41</v>
      </c>
      <c r="P5" s="105" t="s">
        <v>54</v>
      </c>
      <c r="Q5" s="105" t="s">
        <v>55</v>
      </c>
      <c r="R5" s="107" t="s">
        <v>56</v>
      </c>
      <c r="S5" s="107" t="s">
        <v>23</v>
      </c>
      <c r="T5" s="108" t="s">
        <v>44</v>
      </c>
      <c r="U5" s="105" t="s">
        <v>57</v>
      </c>
    </row>
    <row r="6" spans="1:21" ht="20">
      <c r="A6" s="109">
        <v>1</v>
      </c>
      <c r="B6" s="110">
        <v>45870</v>
      </c>
      <c r="C6" s="111" t="s">
        <v>1118</v>
      </c>
      <c r="D6" s="112" t="s">
        <v>24</v>
      </c>
      <c r="E6" s="113">
        <v>111570002</v>
      </c>
      <c r="F6" s="175" t="str">
        <f t="shared" ref="F6:F8" si="0">VLOOKUP(E6,PROD,2,FALSE)</f>
        <v>COCINA GOURMET BBQ 3100 G BK-SS</v>
      </c>
      <c r="G6" s="112" t="s">
        <v>1119</v>
      </c>
      <c r="H6" s="114" t="s">
        <v>58</v>
      </c>
      <c r="I6" s="115" t="s">
        <v>46</v>
      </c>
      <c r="J6" s="115" t="s">
        <v>47</v>
      </c>
      <c r="K6" s="110">
        <v>45890</v>
      </c>
      <c r="L6" s="111" t="s">
        <v>1120</v>
      </c>
      <c r="M6" s="111" t="s">
        <v>1121</v>
      </c>
      <c r="N6" s="116">
        <v>987001205</v>
      </c>
      <c r="O6" s="117">
        <v>29</v>
      </c>
      <c r="P6" s="111" t="s">
        <v>60</v>
      </c>
      <c r="Q6" s="111" t="s">
        <v>25</v>
      </c>
      <c r="R6" s="118"/>
      <c r="S6" s="118" t="str">
        <f>D6</f>
        <v>SAP</v>
      </c>
      <c r="T6" s="119" t="s">
        <v>1122</v>
      </c>
      <c r="U6" s="120" t="s">
        <v>1123</v>
      </c>
    </row>
    <row r="7" spans="1:21" ht="20">
      <c r="A7" s="109">
        <v>2</v>
      </c>
      <c r="B7" s="110">
        <v>45870</v>
      </c>
      <c r="C7" s="111" t="s">
        <v>1118</v>
      </c>
      <c r="D7" s="112" t="s">
        <v>24</v>
      </c>
      <c r="E7" s="113">
        <v>111570003</v>
      </c>
      <c r="F7" s="175" t="str">
        <f t="shared" si="0"/>
        <v>COCINA GOURMET BBQ 4100 G SS</v>
      </c>
      <c r="G7" s="112" t="s">
        <v>1308</v>
      </c>
      <c r="H7" s="114" t="s">
        <v>58</v>
      </c>
      <c r="I7" s="115" t="s">
        <v>46</v>
      </c>
      <c r="J7" s="115" t="s">
        <v>47</v>
      </c>
      <c r="K7" s="110">
        <v>45890</v>
      </c>
      <c r="L7" s="111" t="s">
        <v>1120</v>
      </c>
      <c r="M7" s="111" t="s">
        <v>1121</v>
      </c>
      <c r="N7" s="116">
        <v>987001205</v>
      </c>
      <c r="O7" s="117">
        <v>29</v>
      </c>
      <c r="P7" s="111" t="s">
        <v>60</v>
      </c>
      <c r="Q7" s="111" t="s">
        <v>25</v>
      </c>
      <c r="R7" s="118"/>
      <c r="S7" s="118" t="str">
        <f>D7</f>
        <v>SAP</v>
      </c>
      <c r="T7" s="119" t="s">
        <v>1122</v>
      </c>
      <c r="U7" s="120" t="s">
        <v>1123</v>
      </c>
    </row>
    <row r="8" spans="1:21" ht="20">
      <c r="A8" s="109">
        <v>3</v>
      </c>
      <c r="B8" s="110">
        <v>45891</v>
      </c>
      <c r="C8" s="111" t="s">
        <v>1045</v>
      </c>
      <c r="D8" s="112" t="s">
        <v>1305</v>
      </c>
      <c r="E8" s="113">
        <v>111570003</v>
      </c>
      <c r="F8" s="175" t="str">
        <f t="shared" si="0"/>
        <v>COCINA GOURMET BBQ 4100 G SS</v>
      </c>
      <c r="G8" s="112" t="s">
        <v>1219</v>
      </c>
      <c r="H8" s="114" t="s">
        <v>58</v>
      </c>
      <c r="I8" s="115" t="s">
        <v>46</v>
      </c>
      <c r="J8" s="115" t="s">
        <v>47</v>
      </c>
      <c r="K8" s="110">
        <v>45892</v>
      </c>
      <c r="L8" s="111" t="s">
        <v>1220</v>
      </c>
      <c r="M8" s="111" t="s">
        <v>1221</v>
      </c>
      <c r="N8" s="116">
        <v>990771871</v>
      </c>
      <c r="O8" s="117">
        <v>29</v>
      </c>
      <c r="P8" s="111" t="s">
        <v>59</v>
      </c>
      <c r="Q8" s="111" t="s">
        <v>25</v>
      </c>
      <c r="R8" s="118"/>
      <c r="S8" s="118" t="str">
        <f t="shared" ref="S8" si="1">D8</f>
        <v>043-906-000050121</v>
      </c>
      <c r="T8" s="121" t="s">
        <v>1306</v>
      </c>
      <c r="U8" s="120" t="s">
        <v>1307</v>
      </c>
    </row>
    <row r="9" spans="1:21" ht="20">
      <c r="A9" s="109">
        <v>4</v>
      </c>
      <c r="B9" s="110">
        <v>45895</v>
      </c>
      <c r="C9" s="111" t="s">
        <v>1101</v>
      </c>
      <c r="D9" s="112" t="s">
        <v>1311</v>
      </c>
      <c r="E9" s="113">
        <v>111570003</v>
      </c>
      <c r="F9" s="175" t="str">
        <f t="shared" ref="F9:F11" si="2">VLOOKUP(E9,PROD,2,FALSE)</f>
        <v>COCINA GOURMET BBQ 4100 G SS</v>
      </c>
      <c r="G9" s="112" t="s">
        <v>1312</v>
      </c>
      <c r="H9" s="114" t="s">
        <v>58</v>
      </c>
      <c r="I9" s="115" t="s">
        <v>46</v>
      </c>
      <c r="J9" s="115" t="s">
        <v>47</v>
      </c>
      <c r="K9" s="110">
        <v>45908</v>
      </c>
      <c r="L9" s="111" t="s">
        <v>1313</v>
      </c>
      <c r="M9" s="111" t="s">
        <v>1314</v>
      </c>
      <c r="N9" s="116">
        <v>982757711</v>
      </c>
      <c r="O9" s="117">
        <v>29</v>
      </c>
      <c r="P9" s="111" t="s">
        <v>59</v>
      </c>
      <c r="Q9" s="111" t="s">
        <v>25</v>
      </c>
      <c r="R9" s="118"/>
      <c r="S9" s="118" t="str">
        <f t="shared" ref="S9:S11" si="3">D9</f>
        <v>006-002-000158018</v>
      </c>
      <c r="T9" s="121" t="s">
        <v>1315</v>
      </c>
      <c r="U9" s="120" t="s">
        <v>1316</v>
      </c>
    </row>
    <row r="10" spans="1:21" ht="20">
      <c r="A10" s="109">
        <v>5</v>
      </c>
      <c r="B10" s="110">
        <v>45897</v>
      </c>
      <c r="C10" s="111" t="s">
        <v>1100</v>
      </c>
      <c r="D10" s="112" t="s">
        <v>1461</v>
      </c>
      <c r="E10" s="113">
        <v>111570003</v>
      </c>
      <c r="F10" s="175" t="str">
        <f t="shared" si="2"/>
        <v>COCINA GOURMET BBQ 4100 G SS</v>
      </c>
      <c r="G10" s="112" t="s">
        <v>1462</v>
      </c>
      <c r="H10" s="114" t="s">
        <v>58</v>
      </c>
      <c r="I10" s="115" t="s">
        <v>46</v>
      </c>
      <c r="J10" s="115" t="s">
        <v>47</v>
      </c>
      <c r="K10" s="110">
        <v>45910</v>
      </c>
      <c r="L10" s="111" t="s">
        <v>1360</v>
      </c>
      <c r="M10" s="111" t="s">
        <v>1463</v>
      </c>
      <c r="N10" s="116">
        <v>998161675</v>
      </c>
      <c r="O10" s="117">
        <v>29</v>
      </c>
      <c r="P10" s="111" t="s">
        <v>59</v>
      </c>
      <c r="Q10" s="111" t="s">
        <v>25</v>
      </c>
      <c r="R10" s="118"/>
      <c r="S10" s="118" t="str">
        <f t="shared" si="3"/>
        <v>001-001-000001257</v>
      </c>
      <c r="T10" s="121" t="s">
        <v>1464</v>
      </c>
      <c r="U10" s="120" t="s">
        <v>1362</v>
      </c>
    </row>
    <row r="11" spans="1:21" ht="20">
      <c r="A11" s="109">
        <v>6</v>
      </c>
      <c r="B11" s="110">
        <v>45907</v>
      </c>
      <c r="C11" s="111" t="s">
        <v>1156</v>
      </c>
      <c r="D11" s="112" t="s">
        <v>1516</v>
      </c>
      <c r="E11" s="113">
        <v>111570003</v>
      </c>
      <c r="F11" s="175" t="str">
        <f t="shared" si="2"/>
        <v>COCINA GOURMET BBQ 4100 G SS</v>
      </c>
      <c r="G11" s="112" t="s">
        <v>1517</v>
      </c>
      <c r="H11" s="114" t="s">
        <v>58</v>
      </c>
      <c r="I11" s="115" t="s">
        <v>46</v>
      </c>
      <c r="J11" s="115" t="s">
        <v>47</v>
      </c>
      <c r="K11" s="110">
        <v>45912</v>
      </c>
      <c r="L11" s="111" t="s">
        <v>1518</v>
      </c>
      <c r="M11" s="111" t="s">
        <v>1068</v>
      </c>
      <c r="N11" s="116">
        <v>999072912</v>
      </c>
      <c r="O11" s="117">
        <v>29</v>
      </c>
      <c r="P11" s="111" t="s">
        <v>59</v>
      </c>
      <c r="Q11" s="111" t="s">
        <v>25</v>
      </c>
      <c r="R11" s="118"/>
      <c r="S11" s="118" t="str">
        <f t="shared" si="3"/>
        <v>040-105-000002021</v>
      </c>
      <c r="T11" s="121" t="s">
        <v>1519</v>
      </c>
      <c r="U11" s="120" t="s">
        <v>1520</v>
      </c>
    </row>
    <row r="12" spans="1:21" ht="20">
      <c r="A12" s="109">
        <v>7</v>
      </c>
      <c r="B12" s="110">
        <v>45907</v>
      </c>
      <c r="C12" s="111" t="s">
        <v>1156</v>
      </c>
      <c r="D12" s="112" t="s">
        <v>1516</v>
      </c>
      <c r="E12" s="113">
        <v>111570003</v>
      </c>
      <c r="F12" s="175" t="str">
        <f t="shared" ref="F12" si="4">VLOOKUP(E12,PROD,2,FALSE)</f>
        <v>COCINA GOURMET BBQ 4100 G SS</v>
      </c>
      <c r="G12" s="112" t="s">
        <v>1517</v>
      </c>
      <c r="H12" s="114" t="s">
        <v>58</v>
      </c>
      <c r="I12" s="115" t="s">
        <v>46</v>
      </c>
      <c r="J12" s="115" t="s">
        <v>47</v>
      </c>
      <c r="K12" s="110">
        <v>45912</v>
      </c>
      <c r="L12" s="111" t="s">
        <v>1518</v>
      </c>
      <c r="M12" s="111" t="s">
        <v>1068</v>
      </c>
      <c r="N12" s="116">
        <v>999072912</v>
      </c>
      <c r="O12" s="117">
        <v>29</v>
      </c>
      <c r="P12" s="111" t="s">
        <v>59</v>
      </c>
      <c r="Q12" s="111" t="s">
        <v>25</v>
      </c>
      <c r="R12" s="118"/>
      <c r="S12" s="118" t="str">
        <f t="shared" ref="S12" si="5">D12</f>
        <v>040-105-000002021</v>
      </c>
      <c r="T12" s="121" t="s">
        <v>1519</v>
      </c>
      <c r="U12" s="120" t="s">
        <v>1520</v>
      </c>
    </row>
    <row r="13" spans="1:21" ht="20">
      <c r="A13" s="109">
        <v>8</v>
      </c>
      <c r="B13" s="110">
        <v>45911</v>
      </c>
      <c r="C13" s="111" t="s">
        <v>1045</v>
      </c>
      <c r="D13" s="112" t="s">
        <v>1521</v>
      </c>
      <c r="E13" s="113">
        <v>111570002</v>
      </c>
      <c r="F13" s="175" t="str">
        <f t="shared" ref="F13" si="6">VLOOKUP(E13,PROD,2,FALSE)</f>
        <v>COCINA GOURMET BBQ 3100 G BK-SS</v>
      </c>
      <c r="G13" s="112" t="s">
        <v>1522</v>
      </c>
      <c r="H13" s="114" t="s">
        <v>58</v>
      </c>
      <c r="I13" s="115" t="s">
        <v>46</v>
      </c>
      <c r="J13" s="115" t="s">
        <v>47</v>
      </c>
      <c r="K13" s="110">
        <v>45916</v>
      </c>
      <c r="L13" s="111" t="s">
        <v>1523</v>
      </c>
      <c r="M13" s="111" t="s">
        <v>1524</v>
      </c>
      <c r="N13" s="116">
        <v>998077046</v>
      </c>
      <c r="O13" s="117">
        <v>29</v>
      </c>
      <c r="P13" s="111" t="s">
        <v>59</v>
      </c>
      <c r="Q13" s="111" t="s">
        <v>25</v>
      </c>
      <c r="R13" s="118"/>
      <c r="S13" s="118" t="str">
        <f t="shared" ref="S13" si="7">D13</f>
        <v>043-902-000061233</v>
      </c>
      <c r="T13" s="121" t="s">
        <v>1525</v>
      </c>
      <c r="U13" s="120" t="s">
        <v>1526</v>
      </c>
    </row>
    <row r="14" spans="1:21">
      <c r="O14" s="64">
        <f>SUM(O6:O13)</f>
        <v>232</v>
      </c>
    </row>
    <row r="20" spans="5:8" ht="20">
      <c r="E20" s="268">
        <v>8</v>
      </c>
      <c r="F20" s="122" t="s">
        <v>61</v>
      </c>
      <c r="G20" s="123">
        <v>29</v>
      </c>
      <c r="H20" s="123">
        <f>E20*G20</f>
        <v>232</v>
      </c>
    </row>
  </sheetData>
  <hyperlinks>
    <hyperlink ref="U6" r:id="rId1" xr:uid="{02F79AC3-3738-C843-8983-94294F800195}"/>
    <hyperlink ref="U7" r:id="rId2" xr:uid="{AC090193-EA9E-654F-9355-26F4916F2A19}"/>
    <hyperlink ref="U8" r:id="rId3" xr:uid="{520926F1-41C7-6040-AEC0-F0E1E80B2F3F}"/>
    <hyperlink ref="U9" r:id="rId4" xr:uid="{A9B9B67F-BE27-2646-B3E3-2B654411BDE8}"/>
    <hyperlink ref="U10" r:id="rId5" xr:uid="{37080E7C-03D5-A047-BA4F-5EAF3B6F9669}"/>
    <hyperlink ref="U11" r:id="rId6" xr:uid="{5C7855DF-5C98-DB4D-8098-36B6128FE57B}"/>
    <hyperlink ref="U12" r:id="rId7" xr:uid="{30F6F4F9-AD53-424F-8E8F-29DD12A9645F}"/>
    <hyperlink ref="U13" r:id="rId8" xr:uid="{BBCCF81C-097E-8E4E-AC79-F4238A093B74}"/>
  </hyperlink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643"/>
    </sheetView>
  </sheetViews>
  <sheetFormatPr baseColWidth="10" defaultRowHeight="15"/>
  <cols>
    <col min="2" max="2" width="81.5" bestFit="1" customWidth="1"/>
  </cols>
  <sheetData>
    <row r="1" spans="1:2">
      <c r="A1" t="s">
        <v>62</v>
      </c>
      <c r="B1" t="s">
        <v>63</v>
      </c>
    </row>
    <row r="2" spans="1:2" hidden="1">
      <c r="A2" t="s">
        <v>64</v>
      </c>
      <c r="B2" t="s">
        <v>65</v>
      </c>
    </row>
    <row r="3" spans="1:2" hidden="1">
      <c r="A3">
        <v>915061</v>
      </c>
      <c r="B3" t="s">
        <v>66</v>
      </c>
    </row>
    <row r="4" spans="1:2" hidden="1">
      <c r="A4">
        <v>981061</v>
      </c>
      <c r="B4" t="s">
        <v>67</v>
      </c>
    </row>
    <row r="5" spans="1:2" hidden="1">
      <c r="A5">
        <v>982061</v>
      </c>
      <c r="B5" t="s">
        <v>68</v>
      </c>
    </row>
    <row r="6" spans="1:2" hidden="1">
      <c r="A6">
        <v>1010061</v>
      </c>
      <c r="B6" t="s">
        <v>69</v>
      </c>
    </row>
    <row r="7" spans="1:2" hidden="1">
      <c r="A7">
        <v>1070061</v>
      </c>
      <c r="B7" t="s">
        <v>70</v>
      </c>
    </row>
    <row r="8" spans="1:2" hidden="1">
      <c r="A8">
        <v>1080061</v>
      </c>
      <c r="B8" t="s">
        <v>71</v>
      </c>
    </row>
    <row r="9" spans="1:2" hidden="1">
      <c r="A9">
        <v>8731112</v>
      </c>
      <c r="B9" t="s">
        <v>72</v>
      </c>
    </row>
    <row r="10" spans="1:2" hidden="1">
      <c r="A10">
        <v>10101003</v>
      </c>
      <c r="B10" t="s">
        <v>73</v>
      </c>
    </row>
    <row r="11" spans="1:2" hidden="1">
      <c r="A11">
        <v>10101102</v>
      </c>
      <c r="B11" t="s">
        <v>74</v>
      </c>
    </row>
    <row r="12" spans="1:2" hidden="1">
      <c r="A12">
        <v>10101103</v>
      </c>
      <c r="B12" t="s">
        <v>75</v>
      </c>
    </row>
    <row r="13" spans="1:2" hidden="1">
      <c r="A13">
        <v>10103001</v>
      </c>
      <c r="B13" t="s">
        <v>76</v>
      </c>
    </row>
    <row r="14" spans="1:2" hidden="1">
      <c r="A14">
        <v>10104078</v>
      </c>
      <c r="B14" t="s">
        <v>77</v>
      </c>
    </row>
    <row r="15" spans="1:2" hidden="1">
      <c r="A15">
        <v>10104309</v>
      </c>
      <c r="B15" t="s">
        <v>78</v>
      </c>
    </row>
    <row r="16" spans="1:2" hidden="1">
      <c r="A16">
        <v>10104310</v>
      </c>
      <c r="B16" t="s">
        <v>79</v>
      </c>
    </row>
    <row r="17" spans="1:2" hidden="1">
      <c r="A17">
        <v>10105252</v>
      </c>
      <c r="B17" t="s">
        <v>80</v>
      </c>
    </row>
    <row r="18" spans="1:2" hidden="1">
      <c r="A18">
        <v>10107004</v>
      </c>
      <c r="B18" t="s">
        <v>81</v>
      </c>
    </row>
    <row r="19" spans="1:2" hidden="1">
      <c r="A19">
        <v>10107015</v>
      </c>
      <c r="B19" t="s">
        <v>82</v>
      </c>
    </row>
    <row r="20" spans="1:2" hidden="1">
      <c r="A20">
        <v>10107017</v>
      </c>
      <c r="B20" t="s">
        <v>83</v>
      </c>
    </row>
    <row r="21" spans="1:2" hidden="1">
      <c r="A21">
        <v>10108009</v>
      </c>
      <c r="B21" t="s">
        <v>84</v>
      </c>
    </row>
    <row r="22" spans="1:2" hidden="1">
      <c r="A22">
        <v>10108035</v>
      </c>
      <c r="B22" t="s">
        <v>85</v>
      </c>
    </row>
    <row r="23" spans="1:2" hidden="1">
      <c r="A23">
        <v>10110004</v>
      </c>
      <c r="B23" t="s">
        <v>86</v>
      </c>
    </row>
    <row r="24" spans="1:2" hidden="1">
      <c r="A24">
        <v>10111005</v>
      </c>
      <c r="B24" t="s">
        <v>87</v>
      </c>
    </row>
    <row r="25" spans="1:2" hidden="1">
      <c r="A25">
        <v>10118002</v>
      </c>
      <c r="B25" t="s">
        <v>88</v>
      </c>
    </row>
    <row r="26" spans="1:2" hidden="1">
      <c r="A26">
        <v>10118004</v>
      </c>
      <c r="B26" t="s">
        <v>89</v>
      </c>
    </row>
    <row r="27" spans="1:2" hidden="1">
      <c r="A27">
        <v>10118005</v>
      </c>
      <c r="B27" t="s">
        <v>90</v>
      </c>
    </row>
    <row r="28" spans="1:2" hidden="1">
      <c r="A28">
        <v>10119007</v>
      </c>
      <c r="B28" t="s">
        <v>91</v>
      </c>
    </row>
    <row r="29" spans="1:2" hidden="1">
      <c r="A29">
        <v>10119011</v>
      </c>
      <c r="B29" t="s">
        <v>92</v>
      </c>
    </row>
    <row r="30" spans="1:2" hidden="1">
      <c r="A30">
        <v>10119013</v>
      </c>
      <c r="B30" t="s">
        <v>93</v>
      </c>
    </row>
    <row r="31" spans="1:2" hidden="1">
      <c r="A31">
        <v>10119021</v>
      </c>
      <c r="B31" t="s">
        <v>94</v>
      </c>
    </row>
    <row r="32" spans="1:2" hidden="1">
      <c r="A32">
        <v>10119038</v>
      </c>
      <c r="B32" t="s">
        <v>95</v>
      </c>
    </row>
    <row r="33" spans="1:2" hidden="1">
      <c r="A33">
        <v>10119080</v>
      </c>
      <c r="B33" t="s">
        <v>96</v>
      </c>
    </row>
    <row r="34" spans="1:2" hidden="1">
      <c r="A34">
        <v>10119081</v>
      </c>
      <c r="B34" t="s">
        <v>97</v>
      </c>
    </row>
    <row r="35" spans="1:2" hidden="1">
      <c r="A35">
        <v>10120025</v>
      </c>
      <c r="B35" t="s">
        <v>98</v>
      </c>
    </row>
    <row r="36" spans="1:2" hidden="1">
      <c r="A36">
        <v>10120028</v>
      </c>
      <c r="B36" t="s">
        <v>99</v>
      </c>
    </row>
    <row r="37" spans="1:2" hidden="1">
      <c r="A37">
        <v>10120098</v>
      </c>
      <c r="B37" t="s">
        <v>100</v>
      </c>
    </row>
    <row r="38" spans="1:2" hidden="1">
      <c r="A38">
        <v>10120117</v>
      </c>
      <c r="B38" t="s">
        <v>101</v>
      </c>
    </row>
    <row r="39" spans="1:2" hidden="1">
      <c r="A39">
        <v>10124066</v>
      </c>
      <c r="B39" t="s">
        <v>102</v>
      </c>
    </row>
    <row r="40" spans="1:2" hidden="1">
      <c r="A40">
        <v>10125003</v>
      </c>
      <c r="B40" t="s">
        <v>103</v>
      </c>
    </row>
    <row r="41" spans="1:2" hidden="1">
      <c r="A41">
        <v>10125004</v>
      </c>
      <c r="B41" t="s">
        <v>104</v>
      </c>
    </row>
    <row r="42" spans="1:2" hidden="1">
      <c r="A42">
        <v>10125006</v>
      </c>
      <c r="B42" t="s">
        <v>105</v>
      </c>
    </row>
    <row r="43" spans="1:2" hidden="1">
      <c r="A43">
        <v>10125019</v>
      </c>
      <c r="B43" t="s">
        <v>106</v>
      </c>
    </row>
    <row r="44" spans="1:2" hidden="1">
      <c r="A44">
        <v>10125041</v>
      </c>
      <c r="B44" t="s">
        <v>107</v>
      </c>
    </row>
    <row r="45" spans="1:2" hidden="1">
      <c r="A45">
        <v>10125042</v>
      </c>
      <c r="B45" t="s">
        <v>108</v>
      </c>
    </row>
    <row r="46" spans="1:2" hidden="1">
      <c r="A46">
        <v>10125047</v>
      </c>
      <c r="B46" t="s">
        <v>109</v>
      </c>
    </row>
    <row r="47" spans="1:2" hidden="1">
      <c r="A47">
        <v>10125048</v>
      </c>
      <c r="B47" t="s">
        <v>110</v>
      </c>
    </row>
    <row r="48" spans="1:2" hidden="1">
      <c r="A48">
        <v>10125073</v>
      </c>
      <c r="B48" t="s">
        <v>111</v>
      </c>
    </row>
    <row r="49" spans="1:2" hidden="1">
      <c r="A49">
        <v>10125077</v>
      </c>
      <c r="B49" t="s">
        <v>112</v>
      </c>
    </row>
    <row r="50" spans="1:2" hidden="1">
      <c r="A50">
        <v>10125085</v>
      </c>
      <c r="B50" t="s">
        <v>113</v>
      </c>
    </row>
    <row r="51" spans="1:2" hidden="1">
      <c r="A51">
        <v>10125114</v>
      </c>
      <c r="B51" t="s">
        <v>114</v>
      </c>
    </row>
    <row r="52" spans="1:2" hidden="1">
      <c r="A52">
        <v>10125121</v>
      </c>
      <c r="B52" t="s">
        <v>115</v>
      </c>
    </row>
    <row r="53" spans="1:2" hidden="1">
      <c r="A53">
        <v>10125122</v>
      </c>
      <c r="B53" t="s">
        <v>116</v>
      </c>
    </row>
    <row r="54" spans="1:2" hidden="1">
      <c r="A54">
        <v>10125124</v>
      </c>
      <c r="B54" t="s">
        <v>117</v>
      </c>
    </row>
    <row r="55" spans="1:2" hidden="1">
      <c r="A55">
        <v>10125134</v>
      </c>
      <c r="B55" t="s">
        <v>118</v>
      </c>
    </row>
    <row r="56" spans="1:2" hidden="1">
      <c r="A56">
        <v>10125148</v>
      </c>
      <c r="B56" t="s">
        <v>119</v>
      </c>
    </row>
    <row r="57" spans="1:2" hidden="1">
      <c r="A57">
        <v>10125155</v>
      </c>
      <c r="B57" t="s">
        <v>120</v>
      </c>
    </row>
    <row r="58" spans="1:2" hidden="1">
      <c r="A58">
        <v>10125166</v>
      </c>
      <c r="B58" t="s">
        <v>121</v>
      </c>
    </row>
    <row r="59" spans="1:2" hidden="1">
      <c r="A59">
        <v>10131004</v>
      </c>
      <c r="B59" t="s">
        <v>122</v>
      </c>
    </row>
    <row r="60" spans="1:2" hidden="1">
      <c r="A60">
        <v>10131009</v>
      </c>
      <c r="B60" t="s">
        <v>123</v>
      </c>
    </row>
    <row r="61" spans="1:2" hidden="1">
      <c r="A61">
        <v>10131033</v>
      </c>
      <c r="B61" t="s">
        <v>124</v>
      </c>
    </row>
    <row r="62" spans="1:2" hidden="1">
      <c r="A62">
        <v>10133010</v>
      </c>
      <c r="B62" t="s">
        <v>125</v>
      </c>
    </row>
    <row r="63" spans="1:2" hidden="1">
      <c r="A63">
        <v>10133011</v>
      </c>
      <c r="B63" t="s">
        <v>126</v>
      </c>
    </row>
    <row r="64" spans="1:2" hidden="1">
      <c r="A64">
        <v>10135012</v>
      </c>
      <c r="B64" t="s">
        <v>127</v>
      </c>
    </row>
    <row r="65" spans="1:2" hidden="1">
      <c r="A65">
        <v>10135013</v>
      </c>
      <c r="B65" t="s">
        <v>128</v>
      </c>
    </row>
    <row r="66" spans="1:2" hidden="1">
      <c r="A66">
        <v>10135014</v>
      </c>
      <c r="B66" t="s">
        <v>129</v>
      </c>
    </row>
    <row r="67" spans="1:2" hidden="1">
      <c r="A67">
        <v>10135015</v>
      </c>
      <c r="B67" t="s">
        <v>130</v>
      </c>
    </row>
    <row r="68" spans="1:2" hidden="1">
      <c r="A68">
        <v>10135016</v>
      </c>
      <c r="B68" t="s">
        <v>131</v>
      </c>
    </row>
    <row r="69" spans="1:2" hidden="1">
      <c r="A69">
        <v>10135017</v>
      </c>
      <c r="B69" t="s">
        <v>132</v>
      </c>
    </row>
    <row r="70" spans="1:2" hidden="1">
      <c r="A70">
        <v>10135018</v>
      </c>
      <c r="B70" t="s">
        <v>133</v>
      </c>
    </row>
    <row r="71" spans="1:2" hidden="1">
      <c r="A71">
        <v>10135019</v>
      </c>
      <c r="B71" t="s">
        <v>134</v>
      </c>
    </row>
    <row r="72" spans="1:2" hidden="1">
      <c r="A72">
        <v>10136001</v>
      </c>
      <c r="B72" t="s">
        <v>135</v>
      </c>
    </row>
    <row r="73" spans="1:2" hidden="1">
      <c r="A73">
        <v>10138002</v>
      </c>
      <c r="B73" t="s">
        <v>136</v>
      </c>
    </row>
    <row r="74" spans="1:2" hidden="1">
      <c r="A74">
        <v>10138003</v>
      </c>
      <c r="B74" t="s">
        <v>137</v>
      </c>
    </row>
    <row r="75" spans="1:2" hidden="1">
      <c r="A75">
        <v>10138005</v>
      </c>
      <c r="B75" t="s">
        <v>138</v>
      </c>
    </row>
    <row r="76" spans="1:2" hidden="1">
      <c r="A76">
        <v>10138006</v>
      </c>
      <c r="B76" t="s">
        <v>139</v>
      </c>
    </row>
    <row r="77" spans="1:2" hidden="1">
      <c r="A77">
        <v>10138011</v>
      </c>
      <c r="B77" t="s">
        <v>140</v>
      </c>
    </row>
    <row r="78" spans="1:2" hidden="1">
      <c r="A78">
        <v>10181650</v>
      </c>
      <c r="B78" t="s">
        <v>141</v>
      </c>
    </row>
    <row r="79" spans="1:2" hidden="1">
      <c r="A79">
        <v>10181651</v>
      </c>
      <c r="B79" t="s">
        <v>142</v>
      </c>
    </row>
    <row r="80" spans="1:2" hidden="1">
      <c r="A80">
        <v>10181711</v>
      </c>
      <c r="B80" t="s">
        <v>143</v>
      </c>
    </row>
    <row r="81" spans="1:2" hidden="1">
      <c r="A81">
        <v>10184550</v>
      </c>
      <c r="B81" t="s">
        <v>144</v>
      </c>
    </row>
    <row r="82" spans="1:2" hidden="1">
      <c r="A82">
        <v>10184551</v>
      </c>
      <c r="B82" t="s">
        <v>145</v>
      </c>
    </row>
    <row r="83" spans="1:2" hidden="1">
      <c r="A83">
        <v>10184812</v>
      </c>
      <c r="B83" t="s">
        <v>146</v>
      </c>
    </row>
    <row r="84" spans="1:2" hidden="1">
      <c r="A84">
        <v>1019700</v>
      </c>
      <c r="B84" t="s">
        <v>147</v>
      </c>
    </row>
    <row r="85" spans="1:2" hidden="1">
      <c r="A85">
        <v>10204016</v>
      </c>
      <c r="B85" t="s">
        <v>148</v>
      </c>
    </row>
    <row r="86" spans="1:2" hidden="1">
      <c r="A86">
        <v>10204086</v>
      </c>
      <c r="B86" t="s">
        <v>149</v>
      </c>
    </row>
    <row r="87" spans="1:2" hidden="1">
      <c r="A87">
        <v>10204103</v>
      </c>
      <c r="B87" t="s">
        <v>150</v>
      </c>
    </row>
    <row r="88" spans="1:2" hidden="1">
      <c r="A88">
        <v>10204686</v>
      </c>
      <c r="B88" t="s">
        <v>151</v>
      </c>
    </row>
    <row r="89" spans="1:2" hidden="1">
      <c r="A89">
        <v>10205013</v>
      </c>
      <c r="B89" t="s">
        <v>152</v>
      </c>
    </row>
    <row r="90" spans="1:2" hidden="1">
      <c r="A90">
        <v>10205014</v>
      </c>
      <c r="B90" t="s">
        <v>153</v>
      </c>
    </row>
    <row r="91" spans="1:2" hidden="1">
      <c r="A91">
        <v>10205018</v>
      </c>
      <c r="B91" t="s">
        <v>154</v>
      </c>
    </row>
    <row r="92" spans="1:2" hidden="1">
      <c r="A92">
        <v>10205047</v>
      </c>
      <c r="B92" t="s">
        <v>155</v>
      </c>
    </row>
    <row r="93" spans="1:2" hidden="1">
      <c r="A93">
        <v>10205048</v>
      </c>
      <c r="B93" t="s">
        <v>156</v>
      </c>
    </row>
    <row r="94" spans="1:2" hidden="1">
      <c r="A94">
        <v>10205049</v>
      </c>
      <c r="B94" t="s">
        <v>157</v>
      </c>
    </row>
    <row r="95" spans="1:2" hidden="1">
      <c r="A95">
        <v>10205050</v>
      </c>
      <c r="B95" t="s">
        <v>158</v>
      </c>
    </row>
    <row r="96" spans="1:2" hidden="1">
      <c r="A96">
        <v>10206007</v>
      </c>
      <c r="B96" t="s">
        <v>159</v>
      </c>
    </row>
    <row r="97" spans="1:2" hidden="1">
      <c r="A97">
        <v>10206062</v>
      </c>
      <c r="B97" t="s">
        <v>160</v>
      </c>
    </row>
    <row r="98" spans="1:2" hidden="1">
      <c r="A98">
        <v>10206064</v>
      </c>
      <c r="B98" t="s">
        <v>161</v>
      </c>
    </row>
    <row r="99" spans="1:2" hidden="1">
      <c r="A99">
        <v>10208009</v>
      </c>
      <c r="B99" t="s">
        <v>162</v>
      </c>
    </row>
    <row r="100" spans="1:2" hidden="1">
      <c r="A100">
        <v>10208036</v>
      </c>
      <c r="B100" t="s">
        <v>163</v>
      </c>
    </row>
    <row r="101" spans="1:2" hidden="1">
      <c r="A101">
        <v>10208093</v>
      </c>
      <c r="B101" t="s">
        <v>164</v>
      </c>
    </row>
    <row r="102" spans="1:2" hidden="1">
      <c r="A102">
        <v>10209025</v>
      </c>
      <c r="B102" t="s">
        <v>165</v>
      </c>
    </row>
    <row r="103" spans="1:2" hidden="1">
      <c r="A103">
        <v>10209029</v>
      </c>
      <c r="B103" t="s">
        <v>166</v>
      </c>
    </row>
    <row r="104" spans="1:2" hidden="1">
      <c r="A104">
        <v>10209055</v>
      </c>
      <c r="B104" t="s">
        <v>167</v>
      </c>
    </row>
    <row r="105" spans="1:2" hidden="1">
      <c r="A105">
        <v>10210002</v>
      </c>
      <c r="B105" t="s">
        <v>168</v>
      </c>
    </row>
    <row r="106" spans="1:2" hidden="1">
      <c r="A106">
        <v>10210005</v>
      </c>
      <c r="B106" t="s">
        <v>169</v>
      </c>
    </row>
    <row r="107" spans="1:2" hidden="1">
      <c r="A107">
        <v>10210009</v>
      </c>
      <c r="B107" t="s">
        <v>170</v>
      </c>
    </row>
    <row r="108" spans="1:2" hidden="1">
      <c r="A108">
        <v>10210011</v>
      </c>
      <c r="B108" t="s">
        <v>171</v>
      </c>
    </row>
    <row r="109" spans="1:2" hidden="1">
      <c r="A109">
        <v>10210020</v>
      </c>
      <c r="B109" t="s">
        <v>172</v>
      </c>
    </row>
    <row r="110" spans="1:2" hidden="1">
      <c r="A110">
        <v>10210022</v>
      </c>
      <c r="B110" t="s">
        <v>173</v>
      </c>
    </row>
    <row r="111" spans="1:2" hidden="1">
      <c r="A111">
        <v>10210028</v>
      </c>
      <c r="B111" t="s">
        <v>174</v>
      </c>
    </row>
    <row r="112" spans="1:2" hidden="1">
      <c r="A112">
        <v>10210029</v>
      </c>
      <c r="B112" t="s">
        <v>175</v>
      </c>
    </row>
    <row r="113" spans="1:2" hidden="1">
      <c r="A113">
        <v>10210042</v>
      </c>
      <c r="B113" t="s">
        <v>176</v>
      </c>
    </row>
    <row r="114" spans="1:2" hidden="1">
      <c r="A114">
        <v>10210065</v>
      </c>
      <c r="B114" t="s">
        <v>177</v>
      </c>
    </row>
    <row r="115" spans="1:2" hidden="1">
      <c r="A115">
        <v>10210068</v>
      </c>
      <c r="B115" t="s">
        <v>178</v>
      </c>
    </row>
    <row r="116" spans="1:2" hidden="1">
      <c r="A116">
        <v>10210071</v>
      </c>
      <c r="B116" t="s">
        <v>179</v>
      </c>
    </row>
    <row r="117" spans="1:2" hidden="1">
      <c r="A117">
        <v>10210072</v>
      </c>
      <c r="B117" t="s">
        <v>180</v>
      </c>
    </row>
    <row r="118" spans="1:2" hidden="1">
      <c r="A118">
        <v>10210084</v>
      </c>
      <c r="B118" t="s">
        <v>181</v>
      </c>
    </row>
    <row r="119" spans="1:2" hidden="1">
      <c r="A119">
        <v>10210085</v>
      </c>
      <c r="B119" t="s">
        <v>182</v>
      </c>
    </row>
    <row r="120" spans="1:2" hidden="1">
      <c r="A120">
        <v>10210088</v>
      </c>
      <c r="B120" t="s">
        <v>183</v>
      </c>
    </row>
    <row r="121" spans="1:2" hidden="1">
      <c r="A121">
        <v>10210109</v>
      </c>
      <c r="B121" t="s">
        <v>184</v>
      </c>
    </row>
    <row r="122" spans="1:2" hidden="1">
      <c r="A122">
        <v>10210145</v>
      </c>
      <c r="B122" t="s">
        <v>185</v>
      </c>
    </row>
    <row r="123" spans="1:2" hidden="1">
      <c r="A123">
        <v>10210146</v>
      </c>
      <c r="B123" t="s">
        <v>186</v>
      </c>
    </row>
    <row r="124" spans="1:2" hidden="1">
      <c r="A124">
        <v>10210147</v>
      </c>
      <c r="B124" t="s">
        <v>187</v>
      </c>
    </row>
    <row r="125" spans="1:2" hidden="1">
      <c r="A125">
        <v>10210148</v>
      </c>
      <c r="B125" t="s">
        <v>188</v>
      </c>
    </row>
    <row r="126" spans="1:2" hidden="1">
      <c r="A126">
        <v>10210149</v>
      </c>
      <c r="B126" t="s">
        <v>189</v>
      </c>
    </row>
    <row r="127" spans="1:2" hidden="1">
      <c r="A127">
        <v>10210150</v>
      </c>
      <c r="B127" t="s">
        <v>190</v>
      </c>
    </row>
    <row r="128" spans="1:2" hidden="1">
      <c r="A128">
        <v>10210151</v>
      </c>
      <c r="B128" t="s">
        <v>191</v>
      </c>
    </row>
    <row r="129" spans="1:2" hidden="1">
      <c r="A129">
        <v>10210152</v>
      </c>
      <c r="B129" t="s">
        <v>192</v>
      </c>
    </row>
    <row r="130" spans="1:2" hidden="1">
      <c r="A130">
        <v>10210160</v>
      </c>
      <c r="B130" t="s">
        <v>193</v>
      </c>
    </row>
    <row r="131" spans="1:2" hidden="1">
      <c r="A131">
        <v>10210163</v>
      </c>
      <c r="B131" t="s">
        <v>194</v>
      </c>
    </row>
    <row r="132" spans="1:2" hidden="1">
      <c r="A132">
        <v>10210171</v>
      </c>
      <c r="B132" t="s">
        <v>195</v>
      </c>
    </row>
    <row r="133" spans="1:2" hidden="1">
      <c r="A133">
        <v>10210174</v>
      </c>
      <c r="B133" t="s">
        <v>196</v>
      </c>
    </row>
    <row r="134" spans="1:2" hidden="1">
      <c r="A134">
        <v>10210176</v>
      </c>
      <c r="B134" t="s">
        <v>197</v>
      </c>
    </row>
    <row r="135" spans="1:2" hidden="1">
      <c r="A135">
        <v>10210205</v>
      </c>
      <c r="B135" t="s">
        <v>198</v>
      </c>
    </row>
    <row r="136" spans="1:2" hidden="1">
      <c r="A136">
        <v>10307001</v>
      </c>
      <c r="B136" t="s">
        <v>199</v>
      </c>
    </row>
    <row r="137" spans="1:2" hidden="1">
      <c r="A137">
        <v>10307002</v>
      </c>
      <c r="B137" t="s">
        <v>200</v>
      </c>
    </row>
    <row r="138" spans="1:2" hidden="1">
      <c r="A138">
        <v>111000001</v>
      </c>
      <c r="B138" t="s">
        <v>201</v>
      </c>
    </row>
    <row r="139" spans="1:2" hidden="1">
      <c r="A139">
        <v>111000030</v>
      </c>
      <c r="B139" t="s">
        <v>202</v>
      </c>
    </row>
    <row r="140" spans="1:2" hidden="1">
      <c r="A140">
        <v>111000050</v>
      </c>
      <c r="B140" t="s">
        <v>203</v>
      </c>
    </row>
    <row r="141" spans="1:2" hidden="1">
      <c r="A141">
        <v>111000051</v>
      </c>
      <c r="B141" t="s">
        <v>204</v>
      </c>
    </row>
    <row r="142" spans="1:2" hidden="1">
      <c r="A142">
        <v>111000059</v>
      </c>
      <c r="B142" t="s">
        <v>205</v>
      </c>
    </row>
    <row r="143" spans="1:2" hidden="1">
      <c r="A143">
        <v>111000078</v>
      </c>
      <c r="B143" t="s">
        <v>206</v>
      </c>
    </row>
    <row r="144" spans="1:2" hidden="1">
      <c r="A144">
        <v>111000099</v>
      </c>
      <c r="B144" t="s">
        <v>207</v>
      </c>
    </row>
    <row r="145" spans="1:2" hidden="1">
      <c r="A145">
        <v>111010028</v>
      </c>
      <c r="B145" t="s">
        <v>208</v>
      </c>
    </row>
    <row r="146" spans="1:2" hidden="1">
      <c r="A146">
        <v>111010040</v>
      </c>
      <c r="B146" t="s">
        <v>209</v>
      </c>
    </row>
    <row r="147" spans="1:2" hidden="1">
      <c r="A147">
        <v>111010041</v>
      </c>
      <c r="B147" t="s">
        <v>210</v>
      </c>
    </row>
    <row r="148" spans="1:2" hidden="1">
      <c r="A148">
        <v>111010093</v>
      </c>
      <c r="B148" t="s">
        <v>211</v>
      </c>
    </row>
    <row r="149" spans="1:2" hidden="1">
      <c r="A149">
        <v>111010095</v>
      </c>
      <c r="B149" t="s">
        <v>212</v>
      </c>
    </row>
    <row r="150" spans="1:2" hidden="1">
      <c r="A150">
        <v>111010100</v>
      </c>
      <c r="B150" t="s">
        <v>213</v>
      </c>
    </row>
    <row r="151" spans="1:2" hidden="1">
      <c r="A151">
        <v>111020071</v>
      </c>
      <c r="B151" t="s">
        <v>214</v>
      </c>
    </row>
    <row r="152" spans="1:2" hidden="1">
      <c r="A152">
        <v>111020081</v>
      </c>
      <c r="B152" t="s">
        <v>215</v>
      </c>
    </row>
    <row r="153" spans="1:2" hidden="1">
      <c r="A153">
        <v>111020086</v>
      </c>
      <c r="B153" t="s">
        <v>216</v>
      </c>
    </row>
    <row r="154" spans="1:2" hidden="1">
      <c r="A154">
        <v>111030002</v>
      </c>
      <c r="B154" t="s">
        <v>217</v>
      </c>
    </row>
    <row r="155" spans="1:2" hidden="1">
      <c r="A155">
        <v>111040003</v>
      </c>
      <c r="B155" t="s">
        <v>218</v>
      </c>
    </row>
    <row r="156" spans="1:2" hidden="1">
      <c r="A156">
        <v>111040006</v>
      </c>
      <c r="B156" t="s">
        <v>218</v>
      </c>
    </row>
    <row r="157" spans="1:2" hidden="1">
      <c r="A157">
        <v>111040015</v>
      </c>
      <c r="B157" t="s">
        <v>219</v>
      </c>
    </row>
    <row r="158" spans="1:2" hidden="1">
      <c r="A158">
        <v>11107010</v>
      </c>
      <c r="B158" t="s">
        <v>220</v>
      </c>
    </row>
    <row r="159" spans="1:2" hidden="1">
      <c r="A159">
        <v>11107011</v>
      </c>
      <c r="B159" t="s">
        <v>221</v>
      </c>
    </row>
    <row r="160" spans="1:2" hidden="1">
      <c r="A160">
        <v>11107029</v>
      </c>
      <c r="B160" t="s">
        <v>222</v>
      </c>
    </row>
    <row r="161" spans="1:2" hidden="1">
      <c r="A161">
        <v>11107076</v>
      </c>
      <c r="B161" t="s">
        <v>223</v>
      </c>
    </row>
    <row r="162" spans="1:2" hidden="1">
      <c r="A162">
        <v>11110004</v>
      </c>
      <c r="B162" t="s">
        <v>86</v>
      </c>
    </row>
    <row r="163" spans="1:2" hidden="1">
      <c r="A163">
        <v>111160032</v>
      </c>
      <c r="B163" t="s">
        <v>224</v>
      </c>
    </row>
    <row r="164" spans="1:2" hidden="1">
      <c r="A164">
        <v>11119007</v>
      </c>
      <c r="B164" t="s">
        <v>225</v>
      </c>
    </row>
    <row r="165" spans="1:2" hidden="1">
      <c r="A165">
        <v>11119010</v>
      </c>
      <c r="B165" t="s">
        <v>226</v>
      </c>
    </row>
    <row r="166" spans="1:2" hidden="1">
      <c r="A166">
        <v>11119086</v>
      </c>
      <c r="B166" t="s">
        <v>227</v>
      </c>
    </row>
    <row r="167" spans="1:2" hidden="1">
      <c r="A167">
        <v>111200005</v>
      </c>
      <c r="B167" t="s">
        <v>228</v>
      </c>
    </row>
    <row r="168" spans="1:2" hidden="1">
      <c r="A168">
        <v>11120027</v>
      </c>
      <c r="B168" t="s">
        <v>229</v>
      </c>
    </row>
    <row r="169" spans="1:2" hidden="1">
      <c r="A169">
        <v>11120029</v>
      </c>
      <c r="B169" t="s">
        <v>230</v>
      </c>
    </row>
    <row r="170" spans="1:2" hidden="1">
      <c r="A170">
        <v>11120037</v>
      </c>
      <c r="B170" t="s">
        <v>231</v>
      </c>
    </row>
    <row r="171" spans="1:2" hidden="1">
      <c r="A171">
        <v>11120086</v>
      </c>
      <c r="B171" t="s">
        <v>232</v>
      </c>
    </row>
    <row r="172" spans="1:2" hidden="1">
      <c r="A172">
        <v>11120102</v>
      </c>
      <c r="B172" t="s">
        <v>233</v>
      </c>
    </row>
    <row r="173" spans="1:2" hidden="1">
      <c r="A173">
        <v>11120110</v>
      </c>
      <c r="B173" t="s">
        <v>234</v>
      </c>
    </row>
    <row r="174" spans="1:2" hidden="1">
      <c r="A174">
        <v>11120111</v>
      </c>
      <c r="B174" t="s">
        <v>235</v>
      </c>
    </row>
    <row r="175" spans="1:2" hidden="1">
      <c r="A175">
        <v>11120112</v>
      </c>
      <c r="B175" t="s">
        <v>236</v>
      </c>
    </row>
    <row r="176" spans="1:2" hidden="1">
      <c r="A176" t="s">
        <v>237</v>
      </c>
      <c r="B176" t="s">
        <v>238</v>
      </c>
    </row>
    <row r="177" spans="1:2" hidden="1">
      <c r="A177">
        <v>11120113</v>
      </c>
      <c r="B177" t="s">
        <v>239</v>
      </c>
    </row>
    <row r="178" spans="1:2" hidden="1">
      <c r="A178">
        <v>11120114</v>
      </c>
      <c r="B178" t="s">
        <v>240</v>
      </c>
    </row>
    <row r="179" spans="1:2" hidden="1">
      <c r="A179">
        <v>11120115</v>
      </c>
      <c r="B179" t="s">
        <v>241</v>
      </c>
    </row>
    <row r="180" spans="1:2" hidden="1">
      <c r="A180">
        <v>11124030</v>
      </c>
      <c r="B180" t="s">
        <v>242</v>
      </c>
    </row>
    <row r="181" spans="1:2" hidden="1">
      <c r="A181" t="s">
        <v>243</v>
      </c>
      <c r="B181" t="s">
        <v>244</v>
      </c>
    </row>
    <row r="182" spans="1:2" hidden="1">
      <c r="A182">
        <v>11124031</v>
      </c>
      <c r="B182" t="s">
        <v>245</v>
      </c>
    </row>
    <row r="183" spans="1:2" hidden="1">
      <c r="A183" t="s">
        <v>246</v>
      </c>
      <c r="B183" t="s">
        <v>247</v>
      </c>
    </row>
    <row r="184" spans="1:2" hidden="1">
      <c r="A184">
        <v>11124032</v>
      </c>
      <c r="B184" t="s">
        <v>248</v>
      </c>
    </row>
    <row r="185" spans="1:2" hidden="1">
      <c r="A185">
        <v>11124033</v>
      </c>
      <c r="B185" t="s">
        <v>249</v>
      </c>
    </row>
    <row r="186" spans="1:2" hidden="1">
      <c r="A186">
        <v>11124042</v>
      </c>
      <c r="B186" t="s">
        <v>250</v>
      </c>
    </row>
    <row r="187" spans="1:2" hidden="1">
      <c r="A187">
        <v>11124043</v>
      </c>
      <c r="B187" t="s">
        <v>251</v>
      </c>
    </row>
    <row r="188" spans="1:2" hidden="1">
      <c r="A188">
        <v>11124044</v>
      </c>
      <c r="B188" t="s">
        <v>252</v>
      </c>
    </row>
    <row r="189" spans="1:2" hidden="1">
      <c r="A189">
        <v>11127003</v>
      </c>
      <c r="B189" t="s">
        <v>253</v>
      </c>
    </row>
    <row r="190" spans="1:2" hidden="1">
      <c r="A190">
        <v>11133013</v>
      </c>
      <c r="B190" t="s">
        <v>254</v>
      </c>
    </row>
    <row r="191" spans="1:2" hidden="1">
      <c r="A191">
        <v>11133014</v>
      </c>
      <c r="B191" t="s">
        <v>255</v>
      </c>
    </row>
    <row r="192" spans="1:2" hidden="1">
      <c r="A192">
        <v>11138013</v>
      </c>
      <c r="B192" t="s">
        <v>256</v>
      </c>
    </row>
    <row r="193" spans="1:2" hidden="1">
      <c r="A193">
        <v>11138014</v>
      </c>
      <c r="B193" t="s">
        <v>257</v>
      </c>
    </row>
    <row r="194" spans="1:2" hidden="1">
      <c r="A194">
        <v>11138015</v>
      </c>
      <c r="B194" t="s">
        <v>258</v>
      </c>
    </row>
    <row r="195" spans="1:2" hidden="1">
      <c r="A195">
        <v>111490006</v>
      </c>
      <c r="B195" t="s">
        <v>259</v>
      </c>
    </row>
    <row r="196" spans="1:2" hidden="1">
      <c r="A196">
        <v>111570002</v>
      </c>
      <c r="B196" t="s">
        <v>260</v>
      </c>
    </row>
    <row r="197" spans="1:2" hidden="1">
      <c r="A197">
        <v>111570003</v>
      </c>
      <c r="B197" t="s">
        <v>261</v>
      </c>
    </row>
    <row r="198" spans="1:2" hidden="1">
      <c r="A198">
        <v>111580000</v>
      </c>
      <c r="B198" t="s">
        <v>262</v>
      </c>
    </row>
    <row r="199" spans="1:2" hidden="1">
      <c r="A199">
        <v>111630008</v>
      </c>
      <c r="B199" t="s">
        <v>263</v>
      </c>
    </row>
    <row r="200" spans="1:2" hidden="1">
      <c r="A200">
        <v>111630014</v>
      </c>
      <c r="B200" t="s">
        <v>264</v>
      </c>
    </row>
    <row r="201" spans="1:2" hidden="1">
      <c r="A201">
        <v>111910000</v>
      </c>
      <c r="B201" t="s">
        <v>265</v>
      </c>
    </row>
    <row r="202" spans="1:2" hidden="1">
      <c r="A202">
        <v>112030008</v>
      </c>
      <c r="B202" t="s">
        <v>266</v>
      </c>
    </row>
    <row r="203" spans="1:2" hidden="1">
      <c r="A203">
        <v>112030009</v>
      </c>
      <c r="B203" t="s">
        <v>267</v>
      </c>
    </row>
    <row r="204" spans="1:2" hidden="1">
      <c r="A204">
        <v>112030010</v>
      </c>
      <c r="B204" t="s">
        <v>268</v>
      </c>
    </row>
    <row r="205" spans="1:2" hidden="1">
      <c r="A205">
        <v>112030019</v>
      </c>
      <c r="B205" t="s">
        <v>269</v>
      </c>
    </row>
    <row r="206" spans="1:2" hidden="1">
      <c r="A206">
        <v>112030023</v>
      </c>
      <c r="B206" t="s">
        <v>270</v>
      </c>
    </row>
    <row r="207" spans="1:2" hidden="1">
      <c r="A207">
        <v>112070010</v>
      </c>
      <c r="B207" t="s">
        <v>271</v>
      </c>
    </row>
    <row r="208" spans="1:2" hidden="1">
      <c r="A208">
        <v>112500011</v>
      </c>
      <c r="B208" t="s">
        <v>194</v>
      </c>
    </row>
    <row r="209" spans="1:2" hidden="1">
      <c r="A209">
        <v>112500046</v>
      </c>
      <c r="B209" t="s">
        <v>272</v>
      </c>
    </row>
    <row r="210" spans="1:2" hidden="1">
      <c r="A210">
        <v>112500047</v>
      </c>
      <c r="B210" t="s">
        <v>273</v>
      </c>
    </row>
    <row r="211" spans="1:2" hidden="1">
      <c r="A211">
        <v>112500048</v>
      </c>
      <c r="B211" t="s">
        <v>274</v>
      </c>
    </row>
    <row r="212" spans="1:2" hidden="1">
      <c r="A212">
        <v>112500049</v>
      </c>
      <c r="B212" t="s">
        <v>275</v>
      </c>
    </row>
    <row r="213" spans="1:2" hidden="1">
      <c r="A213">
        <v>112500052</v>
      </c>
      <c r="B213" t="s">
        <v>276</v>
      </c>
    </row>
    <row r="214" spans="1:2" hidden="1">
      <c r="A214">
        <v>112500053</v>
      </c>
      <c r="B214" t="s">
        <v>277</v>
      </c>
    </row>
    <row r="215" spans="1:2" hidden="1">
      <c r="A215">
        <v>112510001</v>
      </c>
      <c r="B215" t="s">
        <v>278</v>
      </c>
    </row>
    <row r="216" spans="1:2" hidden="1">
      <c r="A216">
        <v>112510035</v>
      </c>
      <c r="B216" t="s">
        <v>279</v>
      </c>
    </row>
    <row r="217" spans="1:2" hidden="1">
      <c r="A217">
        <v>112510036</v>
      </c>
      <c r="B217" t="s">
        <v>280</v>
      </c>
    </row>
    <row r="218" spans="1:2" hidden="1">
      <c r="A218">
        <v>112520010</v>
      </c>
      <c r="B218" t="s">
        <v>193</v>
      </c>
    </row>
    <row r="219" spans="1:2" hidden="1">
      <c r="A219">
        <v>112520024</v>
      </c>
      <c r="B219" t="s">
        <v>281</v>
      </c>
    </row>
    <row r="220" spans="1:2" hidden="1">
      <c r="A220">
        <v>112520025</v>
      </c>
      <c r="B220" t="s">
        <v>282</v>
      </c>
    </row>
    <row r="221" spans="1:2" hidden="1">
      <c r="A221">
        <v>112570005</v>
      </c>
      <c r="B221" t="s">
        <v>283</v>
      </c>
    </row>
    <row r="222" spans="1:2" hidden="1">
      <c r="A222">
        <v>112570016</v>
      </c>
      <c r="B222" t="s">
        <v>284</v>
      </c>
    </row>
    <row r="223" spans="1:2" hidden="1">
      <c r="A223">
        <v>112570041</v>
      </c>
      <c r="B223" t="s">
        <v>285</v>
      </c>
    </row>
    <row r="224" spans="1:2" hidden="1">
      <c r="A224">
        <v>112570068</v>
      </c>
      <c r="B224" t="s">
        <v>286</v>
      </c>
    </row>
    <row r="225" spans="1:2" hidden="1">
      <c r="A225">
        <v>112570073</v>
      </c>
      <c r="B225" t="s">
        <v>287</v>
      </c>
    </row>
    <row r="226" spans="1:2" hidden="1">
      <c r="A226">
        <v>112570093</v>
      </c>
      <c r="B226" t="s">
        <v>288</v>
      </c>
    </row>
    <row r="227" spans="1:2" hidden="1">
      <c r="A227">
        <v>112570123</v>
      </c>
      <c r="B227" t="s">
        <v>289</v>
      </c>
    </row>
    <row r="228" spans="1:2" hidden="1">
      <c r="A228">
        <v>112570124</v>
      </c>
      <c r="B228" t="s">
        <v>290</v>
      </c>
    </row>
    <row r="229" spans="1:2" hidden="1">
      <c r="A229">
        <v>112570125</v>
      </c>
      <c r="B229" t="s">
        <v>291</v>
      </c>
    </row>
    <row r="230" spans="1:2" hidden="1">
      <c r="A230">
        <v>112570126</v>
      </c>
      <c r="B230" t="s">
        <v>292</v>
      </c>
    </row>
    <row r="231" spans="1:2" hidden="1">
      <c r="A231">
        <v>112570127</v>
      </c>
      <c r="B231" t="s">
        <v>293</v>
      </c>
    </row>
    <row r="232" spans="1:2" hidden="1">
      <c r="A232">
        <v>112570128</v>
      </c>
      <c r="B232" t="s">
        <v>294</v>
      </c>
    </row>
    <row r="233" spans="1:2" hidden="1">
      <c r="A233">
        <v>112570209</v>
      </c>
      <c r="B233" t="s">
        <v>295</v>
      </c>
    </row>
    <row r="234" spans="1:2" hidden="1">
      <c r="A234">
        <v>112570211</v>
      </c>
      <c r="B234" t="s">
        <v>296</v>
      </c>
    </row>
    <row r="235" spans="1:2" hidden="1">
      <c r="A235">
        <v>112570238</v>
      </c>
      <c r="B235" t="s">
        <v>297</v>
      </c>
    </row>
    <row r="236" spans="1:2" hidden="1">
      <c r="A236">
        <v>112570242</v>
      </c>
      <c r="B236" t="s">
        <v>298</v>
      </c>
    </row>
    <row r="237" spans="1:2" hidden="1">
      <c r="A237">
        <v>112570244</v>
      </c>
      <c r="B237" t="s">
        <v>299</v>
      </c>
    </row>
    <row r="238" spans="1:2" hidden="1">
      <c r="A238">
        <v>112570246</v>
      </c>
      <c r="B238" t="s">
        <v>300</v>
      </c>
    </row>
    <row r="239" spans="1:2" hidden="1">
      <c r="A239">
        <v>112580017</v>
      </c>
      <c r="B239" t="s">
        <v>301</v>
      </c>
    </row>
    <row r="240" spans="1:2" hidden="1">
      <c r="A240">
        <v>112580027</v>
      </c>
      <c r="B240" t="s">
        <v>302</v>
      </c>
    </row>
    <row r="241" spans="1:2" hidden="1">
      <c r="A241">
        <v>112580058</v>
      </c>
      <c r="B241" t="s">
        <v>303</v>
      </c>
    </row>
    <row r="242" spans="1:2" hidden="1">
      <c r="A242">
        <v>112600000</v>
      </c>
      <c r="B242" t="s">
        <v>304</v>
      </c>
    </row>
    <row r="243" spans="1:2" hidden="1">
      <c r="A243">
        <v>112600001</v>
      </c>
      <c r="B243" t="s">
        <v>305</v>
      </c>
    </row>
    <row r="244" spans="1:2" hidden="1">
      <c r="A244">
        <v>112610067</v>
      </c>
      <c r="B244" t="s">
        <v>306</v>
      </c>
    </row>
    <row r="245" spans="1:2" hidden="1">
      <c r="A245">
        <v>112610068</v>
      </c>
      <c r="B245" t="s">
        <v>307</v>
      </c>
    </row>
    <row r="246" spans="1:2" hidden="1">
      <c r="A246">
        <v>112610069</v>
      </c>
      <c r="B246" t="s">
        <v>308</v>
      </c>
    </row>
    <row r="247" spans="1:2" hidden="1">
      <c r="A247">
        <v>112610070</v>
      </c>
      <c r="B247" t="s">
        <v>309</v>
      </c>
    </row>
    <row r="248" spans="1:2" hidden="1">
      <c r="A248">
        <v>112610071</v>
      </c>
      <c r="B248" t="s">
        <v>310</v>
      </c>
    </row>
    <row r="249" spans="1:2" hidden="1">
      <c r="A249">
        <v>112620016</v>
      </c>
      <c r="B249" t="s">
        <v>311</v>
      </c>
    </row>
    <row r="250" spans="1:2" hidden="1">
      <c r="A250">
        <v>112660000</v>
      </c>
      <c r="B250" t="s">
        <v>312</v>
      </c>
    </row>
    <row r="251" spans="1:2" hidden="1">
      <c r="A251">
        <v>112730000</v>
      </c>
      <c r="B251" t="s">
        <v>313</v>
      </c>
    </row>
    <row r="252" spans="1:2" hidden="1">
      <c r="A252">
        <v>112890000</v>
      </c>
      <c r="B252" t="s">
        <v>314</v>
      </c>
    </row>
    <row r="253" spans="1:2" hidden="1">
      <c r="A253">
        <v>112910007</v>
      </c>
      <c r="B253" t="s">
        <v>315</v>
      </c>
    </row>
    <row r="254" spans="1:2" hidden="1">
      <c r="A254">
        <v>112930022</v>
      </c>
      <c r="B254" t="s">
        <v>316</v>
      </c>
    </row>
    <row r="255" spans="1:2" hidden="1">
      <c r="A255">
        <v>112930023</v>
      </c>
      <c r="B255" t="s">
        <v>317</v>
      </c>
    </row>
    <row r="256" spans="1:2" hidden="1">
      <c r="A256">
        <v>112930045</v>
      </c>
      <c r="B256" t="s">
        <v>318</v>
      </c>
    </row>
    <row r="257" spans="1:2" hidden="1">
      <c r="A257">
        <v>112930047</v>
      </c>
      <c r="B257" t="s">
        <v>319</v>
      </c>
    </row>
    <row r="258" spans="1:2" hidden="1">
      <c r="A258">
        <v>112930048</v>
      </c>
      <c r="B258" t="s">
        <v>320</v>
      </c>
    </row>
    <row r="259" spans="1:2" hidden="1">
      <c r="A259">
        <v>112930049</v>
      </c>
      <c r="B259" t="s">
        <v>321</v>
      </c>
    </row>
    <row r="260" spans="1:2" hidden="1">
      <c r="A260">
        <v>112930063</v>
      </c>
      <c r="B260" t="s">
        <v>322</v>
      </c>
    </row>
    <row r="261" spans="1:2" hidden="1">
      <c r="A261">
        <v>112930068</v>
      </c>
      <c r="B261" t="s">
        <v>323</v>
      </c>
    </row>
    <row r="262" spans="1:2" hidden="1">
      <c r="A262">
        <v>112930076</v>
      </c>
      <c r="B262" t="s">
        <v>324</v>
      </c>
    </row>
    <row r="263" spans="1:2" hidden="1">
      <c r="A263">
        <v>112950019</v>
      </c>
      <c r="B263" t="s">
        <v>325</v>
      </c>
    </row>
    <row r="264" spans="1:2" hidden="1">
      <c r="A264">
        <v>112950020</v>
      </c>
      <c r="B264" t="s">
        <v>326</v>
      </c>
    </row>
    <row r="265" spans="1:2" hidden="1">
      <c r="A265">
        <v>112950021</v>
      </c>
      <c r="B265" t="s">
        <v>327</v>
      </c>
    </row>
    <row r="266" spans="1:2" hidden="1">
      <c r="A266">
        <v>112960004</v>
      </c>
      <c r="B266" t="s">
        <v>328</v>
      </c>
    </row>
    <row r="267" spans="1:2" hidden="1">
      <c r="A267">
        <v>112970010</v>
      </c>
      <c r="B267" t="s">
        <v>329</v>
      </c>
    </row>
    <row r="268" spans="1:2" hidden="1">
      <c r="A268">
        <v>113100004</v>
      </c>
      <c r="B268" t="s">
        <v>330</v>
      </c>
    </row>
    <row r="269" spans="1:2" hidden="1">
      <c r="A269">
        <v>113120009</v>
      </c>
      <c r="B269" t="s">
        <v>331</v>
      </c>
    </row>
    <row r="270" spans="1:2" hidden="1">
      <c r="A270">
        <v>113120010</v>
      </c>
      <c r="B270" t="s">
        <v>332</v>
      </c>
    </row>
    <row r="271" spans="1:2" hidden="1">
      <c r="A271">
        <v>113290025</v>
      </c>
      <c r="B271" t="s">
        <v>333</v>
      </c>
    </row>
    <row r="272" spans="1:2" hidden="1">
      <c r="A272">
        <v>113290044</v>
      </c>
      <c r="B272" t="s">
        <v>334</v>
      </c>
    </row>
    <row r="273" spans="1:2" hidden="1">
      <c r="A273">
        <v>113430016</v>
      </c>
      <c r="B273" t="s">
        <v>335</v>
      </c>
    </row>
    <row r="274" spans="1:2" hidden="1">
      <c r="A274">
        <v>113430018</v>
      </c>
      <c r="B274" t="s">
        <v>336</v>
      </c>
    </row>
    <row r="275" spans="1:2" hidden="1">
      <c r="A275">
        <v>113430051</v>
      </c>
      <c r="B275" t="s">
        <v>337</v>
      </c>
    </row>
    <row r="276" spans="1:2" hidden="1">
      <c r="A276">
        <v>113430073</v>
      </c>
      <c r="B276" t="s">
        <v>338</v>
      </c>
    </row>
    <row r="277" spans="1:2" hidden="1">
      <c r="A277">
        <v>113600014</v>
      </c>
      <c r="B277" t="s">
        <v>339</v>
      </c>
    </row>
    <row r="278" spans="1:2" hidden="1">
      <c r="A278">
        <v>113600015</v>
      </c>
      <c r="B278" t="s">
        <v>340</v>
      </c>
    </row>
    <row r="279" spans="1:2" hidden="1">
      <c r="A279">
        <v>113600016</v>
      </c>
      <c r="B279" t="s">
        <v>341</v>
      </c>
    </row>
    <row r="280" spans="1:2" hidden="1">
      <c r="A280">
        <v>113600017</v>
      </c>
      <c r="B280" t="s">
        <v>342</v>
      </c>
    </row>
    <row r="281" spans="1:2" hidden="1">
      <c r="A281">
        <v>113610005</v>
      </c>
      <c r="B281" t="s">
        <v>343</v>
      </c>
    </row>
    <row r="282" spans="1:2" hidden="1">
      <c r="A282">
        <v>113620002</v>
      </c>
      <c r="B282" t="s">
        <v>344</v>
      </c>
    </row>
    <row r="283" spans="1:2" hidden="1">
      <c r="A283">
        <v>114270004</v>
      </c>
      <c r="B283" t="s">
        <v>345</v>
      </c>
    </row>
    <row r="284" spans="1:2" hidden="1">
      <c r="A284">
        <v>114270008</v>
      </c>
      <c r="B284" t="s">
        <v>346</v>
      </c>
    </row>
    <row r="285" spans="1:2" hidden="1">
      <c r="A285">
        <v>114300004</v>
      </c>
      <c r="B285" t="s">
        <v>347</v>
      </c>
    </row>
    <row r="286" spans="1:2" hidden="1">
      <c r="A286">
        <v>115000004</v>
      </c>
      <c r="B286" t="s">
        <v>348</v>
      </c>
    </row>
    <row r="287" spans="1:2" hidden="1">
      <c r="A287">
        <v>115000005</v>
      </c>
      <c r="B287" t="s">
        <v>349</v>
      </c>
    </row>
    <row r="288" spans="1:2" hidden="1">
      <c r="A288">
        <v>115000007</v>
      </c>
      <c r="B288" t="s">
        <v>350</v>
      </c>
    </row>
    <row r="289" spans="1:2" hidden="1">
      <c r="A289">
        <v>115000008</v>
      </c>
      <c r="B289" t="s">
        <v>351</v>
      </c>
    </row>
    <row r="290" spans="1:2" hidden="1">
      <c r="A290">
        <v>115000018</v>
      </c>
      <c r="B290" t="s">
        <v>352</v>
      </c>
    </row>
    <row r="291" spans="1:2" hidden="1">
      <c r="A291">
        <v>115000020</v>
      </c>
      <c r="B291" t="s">
        <v>353</v>
      </c>
    </row>
    <row r="292" spans="1:2" hidden="1">
      <c r="A292">
        <v>115000022</v>
      </c>
      <c r="B292" t="s">
        <v>354</v>
      </c>
    </row>
    <row r="293" spans="1:2" hidden="1">
      <c r="A293">
        <v>115000025</v>
      </c>
      <c r="B293" t="s">
        <v>355</v>
      </c>
    </row>
    <row r="294" spans="1:2" hidden="1">
      <c r="A294">
        <v>115000046</v>
      </c>
      <c r="B294" t="s">
        <v>356</v>
      </c>
    </row>
    <row r="295" spans="1:2" hidden="1">
      <c r="A295">
        <v>115000047</v>
      </c>
      <c r="B295" t="s">
        <v>357</v>
      </c>
    </row>
    <row r="296" spans="1:2" hidden="1">
      <c r="A296">
        <v>115000048</v>
      </c>
      <c r="B296" t="s">
        <v>358</v>
      </c>
    </row>
    <row r="297" spans="1:2" hidden="1">
      <c r="A297">
        <v>115000052</v>
      </c>
      <c r="B297" t="s">
        <v>359</v>
      </c>
    </row>
    <row r="298" spans="1:2" hidden="1">
      <c r="A298">
        <v>115000054</v>
      </c>
      <c r="B298" t="s">
        <v>360</v>
      </c>
    </row>
    <row r="299" spans="1:2" hidden="1">
      <c r="A299">
        <v>115000055</v>
      </c>
      <c r="B299" t="s">
        <v>361</v>
      </c>
    </row>
    <row r="300" spans="1:2" hidden="1">
      <c r="A300">
        <v>115000056</v>
      </c>
      <c r="B300" t="s">
        <v>362</v>
      </c>
    </row>
    <row r="301" spans="1:2" hidden="1">
      <c r="A301">
        <v>115000057</v>
      </c>
      <c r="B301" t="s">
        <v>363</v>
      </c>
    </row>
    <row r="302" spans="1:2" hidden="1">
      <c r="A302">
        <v>115000075</v>
      </c>
      <c r="B302" t="s">
        <v>364</v>
      </c>
    </row>
    <row r="303" spans="1:2" hidden="1">
      <c r="A303">
        <v>115000081</v>
      </c>
      <c r="B303" t="s">
        <v>365</v>
      </c>
    </row>
    <row r="304" spans="1:2" hidden="1">
      <c r="A304">
        <v>115000082</v>
      </c>
      <c r="B304" t="s">
        <v>366</v>
      </c>
    </row>
    <row r="305" spans="1:2" hidden="1">
      <c r="A305">
        <v>115000083</v>
      </c>
      <c r="B305" t="s">
        <v>367</v>
      </c>
    </row>
    <row r="306" spans="1:2" hidden="1">
      <c r="A306">
        <v>115000088</v>
      </c>
      <c r="B306" t="s">
        <v>368</v>
      </c>
    </row>
    <row r="307" spans="1:2" hidden="1">
      <c r="A307">
        <v>115010029</v>
      </c>
      <c r="B307" t="s">
        <v>369</v>
      </c>
    </row>
    <row r="308" spans="1:2" hidden="1">
      <c r="A308">
        <v>115010031</v>
      </c>
      <c r="B308" t="s">
        <v>370</v>
      </c>
    </row>
    <row r="309" spans="1:2" hidden="1">
      <c r="A309">
        <v>115010046</v>
      </c>
      <c r="B309" t="s">
        <v>371</v>
      </c>
    </row>
    <row r="310" spans="1:2" hidden="1">
      <c r="A310">
        <v>115020012</v>
      </c>
      <c r="B310" t="s">
        <v>372</v>
      </c>
    </row>
    <row r="311" spans="1:2" hidden="1">
      <c r="A311">
        <v>115020025</v>
      </c>
      <c r="B311" t="s">
        <v>373</v>
      </c>
    </row>
    <row r="312" spans="1:2" hidden="1">
      <c r="A312">
        <v>115030007</v>
      </c>
      <c r="B312" t="s">
        <v>374</v>
      </c>
    </row>
    <row r="313" spans="1:2" hidden="1">
      <c r="A313">
        <v>115030012</v>
      </c>
      <c r="B313" t="s">
        <v>375</v>
      </c>
    </row>
    <row r="314" spans="1:2" hidden="1">
      <c r="A314">
        <v>115030016</v>
      </c>
      <c r="B314" t="s">
        <v>376</v>
      </c>
    </row>
    <row r="315" spans="1:2" hidden="1">
      <c r="A315">
        <v>115030017</v>
      </c>
      <c r="B315" t="s">
        <v>377</v>
      </c>
    </row>
    <row r="316" spans="1:2" hidden="1">
      <c r="A316">
        <v>115030024</v>
      </c>
      <c r="B316" t="s">
        <v>378</v>
      </c>
    </row>
    <row r="317" spans="1:2" hidden="1">
      <c r="A317">
        <v>115030026</v>
      </c>
      <c r="B317" t="s">
        <v>379</v>
      </c>
    </row>
    <row r="318" spans="1:2" hidden="1">
      <c r="A318">
        <v>115040008</v>
      </c>
      <c r="B318" t="s">
        <v>380</v>
      </c>
    </row>
    <row r="319" spans="1:2" hidden="1">
      <c r="A319">
        <v>115050000</v>
      </c>
      <c r="B319" t="s">
        <v>381</v>
      </c>
    </row>
    <row r="320" spans="1:2" hidden="1">
      <c r="A320">
        <v>115050005</v>
      </c>
      <c r="B320" t="s">
        <v>382</v>
      </c>
    </row>
    <row r="321" spans="1:2" hidden="1">
      <c r="A321">
        <v>115050014</v>
      </c>
      <c r="B321" t="s">
        <v>383</v>
      </c>
    </row>
    <row r="322" spans="1:2" hidden="1">
      <c r="A322">
        <v>115100011</v>
      </c>
      <c r="B322" t="s">
        <v>384</v>
      </c>
    </row>
    <row r="323" spans="1:2" hidden="1">
      <c r="A323">
        <v>115100013</v>
      </c>
      <c r="B323" t="s">
        <v>385</v>
      </c>
    </row>
    <row r="324" spans="1:2" hidden="1">
      <c r="A324">
        <v>115100014</v>
      </c>
      <c r="B324" t="s">
        <v>386</v>
      </c>
    </row>
    <row r="325" spans="1:2" hidden="1">
      <c r="A325">
        <v>115100015</v>
      </c>
      <c r="B325" t="s">
        <v>387</v>
      </c>
    </row>
    <row r="326" spans="1:2" hidden="1">
      <c r="A326">
        <v>115100016</v>
      </c>
      <c r="B326" t="s">
        <v>388</v>
      </c>
    </row>
    <row r="327" spans="1:2" hidden="1">
      <c r="A327">
        <v>115100023</v>
      </c>
      <c r="B327" t="s">
        <v>389</v>
      </c>
    </row>
    <row r="328" spans="1:2" hidden="1">
      <c r="A328">
        <v>115110011</v>
      </c>
      <c r="B328" t="s">
        <v>390</v>
      </c>
    </row>
    <row r="329" spans="1:2" hidden="1">
      <c r="A329">
        <v>115110017</v>
      </c>
      <c r="B329" t="s">
        <v>391</v>
      </c>
    </row>
    <row r="330" spans="1:2" hidden="1">
      <c r="A330">
        <v>115110031</v>
      </c>
      <c r="B330" t="s">
        <v>392</v>
      </c>
    </row>
    <row r="331" spans="1:2" hidden="1">
      <c r="A331">
        <v>115110040</v>
      </c>
      <c r="B331" t="s">
        <v>393</v>
      </c>
    </row>
    <row r="332" spans="1:2" hidden="1">
      <c r="A332">
        <v>115110041</v>
      </c>
      <c r="B332" t="s">
        <v>394</v>
      </c>
    </row>
    <row r="333" spans="1:2" hidden="1">
      <c r="A333">
        <v>115110050</v>
      </c>
      <c r="B333" t="s">
        <v>395</v>
      </c>
    </row>
    <row r="334" spans="1:2" hidden="1">
      <c r="A334">
        <v>115110051</v>
      </c>
      <c r="B334" t="s">
        <v>396</v>
      </c>
    </row>
    <row r="335" spans="1:2" hidden="1">
      <c r="A335">
        <v>115120002</v>
      </c>
      <c r="B335" t="s">
        <v>397</v>
      </c>
    </row>
    <row r="336" spans="1:2" hidden="1">
      <c r="A336">
        <v>115120021</v>
      </c>
      <c r="B336" t="s">
        <v>398</v>
      </c>
    </row>
    <row r="337" spans="1:2" hidden="1">
      <c r="A337">
        <v>115120040</v>
      </c>
      <c r="B337" t="s">
        <v>399</v>
      </c>
    </row>
    <row r="338" spans="1:2" hidden="1">
      <c r="A338">
        <v>115120050</v>
      </c>
      <c r="B338" t="s">
        <v>400</v>
      </c>
    </row>
    <row r="339" spans="1:2" hidden="1">
      <c r="A339">
        <v>115120051</v>
      </c>
      <c r="B339" t="s">
        <v>401</v>
      </c>
    </row>
    <row r="340" spans="1:2" hidden="1">
      <c r="A340">
        <v>115120052</v>
      </c>
      <c r="B340" t="s">
        <v>402</v>
      </c>
    </row>
    <row r="341" spans="1:2" hidden="1">
      <c r="A341">
        <v>115120053</v>
      </c>
      <c r="B341" t="s">
        <v>403</v>
      </c>
    </row>
    <row r="342" spans="1:2" hidden="1">
      <c r="A342">
        <v>115120073</v>
      </c>
      <c r="B342" t="s">
        <v>404</v>
      </c>
    </row>
    <row r="343" spans="1:2" hidden="1">
      <c r="A343">
        <v>115120074</v>
      </c>
      <c r="B343" t="s">
        <v>405</v>
      </c>
    </row>
    <row r="344" spans="1:2" hidden="1">
      <c r="A344">
        <v>115130004</v>
      </c>
      <c r="B344" t="s">
        <v>406</v>
      </c>
    </row>
    <row r="345" spans="1:2" hidden="1">
      <c r="A345">
        <v>115130007</v>
      </c>
      <c r="B345" t="s">
        <v>407</v>
      </c>
    </row>
    <row r="346" spans="1:2" hidden="1">
      <c r="A346">
        <v>115160004</v>
      </c>
      <c r="B346" t="s">
        <v>408</v>
      </c>
    </row>
    <row r="347" spans="1:2" hidden="1">
      <c r="A347">
        <v>115160006</v>
      </c>
      <c r="B347" t="s">
        <v>409</v>
      </c>
    </row>
    <row r="348" spans="1:2" hidden="1">
      <c r="A348">
        <v>115160007</v>
      </c>
      <c r="B348" t="s">
        <v>410</v>
      </c>
    </row>
    <row r="349" spans="1:2" hidden="1">
      <c r="A349">
        <v>115160010</v>
      </c>
      <c r="B349" t="s">
        <v>411</v>
      </c>
    </row>
    <row r="350" spans="1:2" hidden="1">
      <c r="A350">
        <v>115170001</v>
      </c>
      <c r="B350" t="s">
        <v>412</v>
      </c>
    </row>
    <row r="351" spans="1:2" hidden="1">
      <c r="A351">
        <v>115170007</v>
      </c>
      <c r="B351" t="s">
        <v>413</v>
      </c>
    </row>
    <row r="352" spans="1:2" hidden="1">
      <c r="A352">
        <v>115180006</v>
      </c>
      <c r="B352" t="s">
        <v>414</v>
      </c>
    </row>
    <row r="353" spans="1:2" hidden="1">
      <c r="A353">
        <v>115180012</v>
      </c>
      <c r="B353" t="s">
        <v>415</v>
      </c>
    </row>
    <row r="354" spans="1:2" hidden="1">
      <c r="A354">
        <v>115230015</v>
      </c>
      <c r="B354" t="s">
        <v>416</v>
      </c>
    </row>
    <row r="355" spans="1:2" hidden="1">
      <c r="A355">
        <v>115230020</v>
      </c>
      <c r="B355" t="s">
        <v>417</v>
      </c>
    </row>
    <row r="356" spans="1:2" hidden="1">
      <c r="A356">
        <v>115230051</v>
      </c>
      <c r="B356" t="s">
        <v>418</v>
      </c>
    </row>
    <row r="357" spans="1:2" hidden="1">
      <c r="A357">
        <v>115230054</v>
      </c>
      <c r="B357" t="s">
        <v>419</v>
      </c>
    </row>
    <row r="358" spans="1:2" hidden="1">
      <c r="A358">
        <v>115230057</v>
      </c>
      <c r="B358" t="s">
        <v>420</v>
      </c>
    </row>
    <row r="359" spans="1:2" hidden="1">
      <c r="A359">
        <v>115260001</v>
      </c>
      <c r="B359" t="s">
        <v>421</v>
      </c>
    </row>
    <row r="360" spans="1:2" hidden="1">
      <c r="A360">
        <v>115260024</v>
      </c>
      <c r="B360" t="s">
        <v>422</v>
      </c>
    </row>
    <row r="361" spans="1:2" hidden="1">
      <c r="A361">
        <v>115260038</v>
      </c>
      <c r="B361" t="s">
        <v>423</v>
      </c>
    </row>
    <row r="362" spans="1:2" hidden="1">
      <c r="A362">
        <v>115330015</v>
      </c>
      <c r="B362" t="s">
        <v>424</v>
      </c>
    </row>
    <row r="363" spans="1:2" hidden="1">
      <c r="A363">
        <v>115360001</v>
      </c>
      <c r="B363" t="s">
        <v>425</v>
      </c>
    </row>
    <row r="364" spans="1:2" hidden="1">
      <c r="A364">
        <v>115360008</v>
      </c>
      <c r="B364" t="s">
        <v>426</v>
      </c>
    </row>
    <row r="365" spans="1:2" hidden="1">
      <c r="A365">
        <v>115400002</v>
      </c>
      <c r="B365" t="s">
        <v>427</v>
      </c>
    </row>
    <row r="366" spans="1:2" hidden="1">
      <c r="A366">
        <v>115890038</v>
      </c>
      <c r="B366" t="s">
        <v>428</v>
      </c>
    </row>
    <row r="367" spans="1:2" hidden="1">
      <c r="A367">
        <v>115890039</v>
      </c>
      <c r="B367" t="s">
        <v>429</v>
      </c>
    </row>
    <row r="368" spans="1:2" hidden="1">
      <c r="A368">
        <v>115890040</v>
      </c>
      <c r="B368" t="s">
        <v>430</v>
      </c>
    </row>
    <row r="369" spans="1:2" hidden="1">
      <c r="A369">
        <v>115890043</v>
      </c>
      <c r="B369" t="s">
        <v>431</v>
      </c>
    </row>
    <row r="370" spans="1:2" hidden="1">
      <c r="A370">
        <v>116020020</v>
      </c>
      <c r="B370" t="s">
        <v>432</v>
      </c>
    </row>
    <row r="371" spans="1:2" hidden="1">
      <c r="A371">
        <v>116030003</v>
      </c>
      <c r="B371" t="s">
        <v>433</v>
      </c>
    </row>
    <row r="372" spans="1:2" hidden="1">
      <c r="A372">
        <v>12127001</v>
      </c>
      <c r="B372" t="s">
        <v>434</v>
      </c>
    </row>
    <row r="373" spans="1:2" hidden="1">
      <c r="A373">
        <v>12127002</v>
      </c>
      <c r="B373" t="s">
        <v>435</v>
      </c>
    </row>
    <row r="374" spans="1:2" hidden="1">
      <c r="A374">
        <v>12128009</v>
      </c>
      <c r="B374" t="s">
        <v>436</v>
      </c>
    </row>
    <row r="375" spans="1:2" hidden="1">
      <c r="A375">
        <v>12128010</v>
      </c>
      <c r="B375" t="s">
        <v>437</v>
      </c>
    </row>
    <row r="376" spans="1:2" hidden="1">
      <c r="A376">
        <v>12128011</v>
      </c>
      <c r="B376" t="s">
        <v>438</v>
      </c>
    </row>
    <row r="377" spans="1:2" hidden="1">
      <c r="A377">
        <v>12128016</v>
      </c>
      <c r="B377" t="s">
        <v>439</v>
      </c>
    </row>
    <row r="378" spans="1:2" hidden="1">
      <c r="A378">
        <v>12129008</v>
      </c>
      <c r="B378" t="s">
        <v>440</v>
      </c>
    </row>
    <row r="379" spans="1:2" hidden="1">
      <c r="A379">
        <v>12129016</v>
      </c>
      <c r="B379" t="s">
        <v>441</v>
      </c>
    </row>
    <row r="380" spans="1:2" hidden="1">
      <c r="A380">
        <v>12139013</v>
      </c>
      <c r="B380" t="s">
        <v>442</v>
      </c>
    </row>
    <row r="381" spans="1:2" hidden="1">
      <c r="A381">
        <v>13139001</v>
      </c>
      <c r="B381" t="s">
        <v>443</v>
      </c>
    </row>
    <row r="382" spans="1:2" hidden="1">
      <c r="A382">
        <v>13139002</v>
      </c>
      <c r="B382" t="s">
        <v>444</v>
      </c>
    </row>
    <row r="383" spans="1:2" hidden="1">
      <c r="A383">
        <v>13139003</v>
      </c>
      <c r="B383" t="s">
        <v>445</v>
      </c>
    </row>
    <row r="384" spans="1:2" hidden="1">
      <c r="A384">
        <v>13139004</v>
      </c>
      <c r="B384" t="s">
        <v>446</v>
      </c>
    </row>
    <row r="385" spans="1:2" hidden="1">
      <c r="A385">
        <v>13139005</v>
      </c>
      <c r="B385" t="s">
        <v>447</v>
      </c>
    </row>
    <row r="386" spans="1:2" hidden="1">
      <c r="A386">
        <v>13139006</v>
      </c>
      <c r="B386" t="s">
        <v>448</v>
      </c>
    </row>
    <row r="387" spans="1:2" hidden="1">
      <c r="A387">
        <v>13139007</v>
      </c>
      <c r="B387" t="s">
        <v>449</v>
      </c>
    </row>
    <row r="388" spans="1:2" hidden="1">
      <c r="A388">
        <v>13139008</v>
      </c>
      <c r="B388" t="s">
        <v>450</v>
      </c>
    </row>
    <row r="389" spans="1:2" hidden="1">
      <c r="A389">
        <v>13139009</v>
      </c>
      <c r="B389" t="s">
        <v>451</v>
      </c>
    </row>
    <row r="390" spans="1:2" hidden="1">
      <c r="A390">
        <v>13139010</v>
      </c>
      <c r="B390" t="s">
        <v>452</v>
      </c>
    </row>
    <row r="391" spans="1:2" hidden="1">
      <c r="A391">
        <v>1764</v>
      </c>
      <c r="B391" t="s">
        <v>314</v>
      </c>
    </row>
    <row r="392" spans="1:2" hidden="1">
      <c r="A392">
        <v>18151202</v>
      </c>
      <c r="B392" t="s">
        <v>453</v>
      </c>
    </row>
    <row r="393" spans="1:2" hidden="1">
      <c r="A393">
        <v>1815202</v>
      </c>
      <c r="B393" t="s">
        <v>454</v>
      </c>
    </row>
    <row r="394" spans="1:2" hidden="1">
      <c r="A394" t="s">
        <v>455</v>
      </c>
      <c r="B394" t="s">
        <v>456</v>
      </c>
    </row>
    <row r="395" spans="1:2" hidden="1">
      <c r="A395" t="s">
        <v>457</v>
      </c>
      <c r="B395" t="s">
        <v>456</v>
      </c>
    </row>
    <row r="396" spans="1:2" hidden="1">
      <c r="A396">
        <v>18161002</v>
      </c>
      <c r="B396" t="s">
        <v>458</v>
      </c>
    </row>
    <row r="397" spans="1:2" hidden="1">
      <c r="A397">
        <v>181740210</v>
      </c>
      <c r="B397" t="s">
        <v>459</v>
      </c>
    </row>
    <row r="398" spans="1:2" hidden="1">
      <c r="A398">
        <v>182010210</v>
      </c>
      <c r="B398" t="s">
        <v>460</v>
      </c>
    </row>
    <row r="399" spans="1:2" hidden="1">
      <c r="A399">
        <v>182020200</v>
      </c>
      <c r="B399" t="s">
        <v>461</v>
      </c>
    </row>
    <row r="400" spans="1:2" hidden="1">
      <c r="A400">
        <v>182020210</v>
      </c>
      <c r="B400" t="s">
        <v>462</v>
      </c>
    </row>
    <row r="401" spans="1:2" hidden="1">
      <c r="A401" t="s">
        <v>463</v>
      </c>
      <c r="B401" t="s">
        <v>462</v>
      </c>
    </row>
    <row r="402" spans="1:2" hidden="1">
      <c r="A402" t="s">
        <v>464</v>
      </c>
      <c r="B402" t="s">
        <v>465</v>
      </c>
    </row>
    <row r="403" spans="1:2" hidden="1">
      <c r="A403" t="s">
        <v>466</v>
      </c>
      <c r="B403" t="s">
        <v>465</v>
      </c>
    </row>
    <row r="404" spans="1:2" hidden="1">
      <c r="A404" t="s">
        <v>467</v>
      </c>
      <c r="B404" t="s">
        <v>468</v>
      </c>
    </row>
    <row r="405" spans="1:2" hidden="1">
      <c r="A405" t="s">
        <v>469</v>
      </c>
      <c r="B405" t="s">
        <v>468</v>
      </c>
    </row>
    <row r="406" spans="1:2" hidden="1">
      <c r="A406">
        <v>239991200</v>
      </c>
      <c r="B406" t="s">
        <v>470</v>
      </c>
    </row>
    <row r="407" spans="1:2" hidden="1">
      <c r="A407" t="s">
        <v>471</v>
      </c>
      <c r="B407" t="s">
        <v>470</v>
      </c>
    </row>
    <row r="408" spans="1:2" hidden="1">
      <c r="A408" t="s">
        <v>472</v>
      </c>
      <c r="B408" t="s">
        <v>470</v>
      </c>
    </row>
    <row r="409" spans="1:2" hidden="1">
      <c r="A409">
        <v>241020200</v>
      </c>
      <c r="B409" t="s">
        <v>473</v>
      </c>
    </row>
    <row r="410" spans="1:2" hidden="1">
      <c r="A410">
        <v>242320200</v>
      </c>
      <c r="B410" t="s">
        <v>474</v>
      </c>
    </row>
    <row r="411" spans="1:2" hidden="1">
      <c r="A411" t="s">
        <v>475</v>
      </c>
      <c r="B411" t="s">
        <v>476</v>
      </c>
    </row>
    <row r="412" spans="1:2" hidden="1">
      <c r="A412">
        <v>243860210</v>
      </c>
      <c r="B412" t="s">
        <v>477</v>
      </c>
    </row>
    <row r="413" spans="1:2" hidden="1">
      <c r="A413" t="s">
        <v>478</v>
      </c>
      <c r="B413" t="s">
        <v>479</v>
      </c>
    </row>
    <row r="414" spans="1:2" hidden="1">
      <c r="A414">
        <v>244610200</v>
      </c>
      <c r="B414" t="s">
        <v>480</v>
      </c>
    </row>
    <row r="415" spans="1:2" hidden="1">
      <c r="A415">
        <v>246260210</v>
      </c>
      <c r="B415" t="s">
        <v>481</v>
      </c>
    </row>
    <row r="416" spans="1:2" hidden="1">
      <c r="A416">
        <v>249150210</v>
      </c>
      <c r="B416" t="s">
        <v>482</v>
      </c>
    </row>
    <row r="417" spans="1:2" hidden="1">
      <c r="A417" t="s">
        <v>483</v>
      </c>
      <c r="B417" t="s">
        <v>482</v>
      </c>
    </row>
    <row r="418" spans="1:2" hidden="1">
      <c r="A418" t="s">
        <v>484</v>
      </c>
      <c r="B418" t="s">
        <v>482</v>
      </c>
    </row>
    <row r="419" spans="1:2" hidden="1">
      <c r="A419">
        <v>30207021</v>
      </c>
      <c r="B419" t="s">
        <v>485</v>
      </c>
    </row>
    <row r="420" spans="1:2" hidden="1">
      <c r="A420">
        <v>30207200</v>
      </c>
      <c r="B420" t="s">
        <v>486</v>
      </c>
    </row>
    <row r="421" spans="1:2" hidden="1">
      <c r="A421">
        <v>3065161</v>
      </c>
      <c r="B421" t="s">
        <v>487</v>
      </c>
    </row>
    <row r="422" spans="1:2" hidden="1">
      <c r="A422">
        <v>31501020</v>
      </c>
      <c r="B422" t="s">
        <v>488</v>
      </c>
    </row>
    <row r="423" spans="1:2" hidden="1">
      <c r="A423">
        <v>31901079</v>
      </c>
      <c r="B423" t="s">
        <v>489</v>
      </c>
    </row>
    <row r="424" spans="1:2" hidden="1">
      <c r="A424">
        <v>31901099</v>
      </c>
      <c r="B424" t="s">
        <v>490</v>
      </c>
    </row>
    <row r="425" spans="1:2" hidden="1">
      <c r="A425">
        <v>31901103</v>
      </c>
      <c r="B425" t="s">
        <v>491</v>
      </c>
    </row>
    <row r="426" spans="1:2" hidden="1">
      <c r="A426">
        <v>31901176</v>
      </c>
      <c r="B426" t="s">
        <v>492</v>
      </c>
    </row>
    <row r="427" spans="1:2" hidden="1">
      <c r="A427">
        <v>339150210</v>
      </c>
      <c r="B427" t="s">
        <v>493</v>
      </c>
    </row>
    <row r="428" spans="1:2" hidden="1">
      <c r="A428" t="s">
        <v>494</v>
      </c>
      <c r="B428" t="s">
        <v>493</v>
      </c>
    </row>
    <row r="429" spans="1:2" hidden="1">
      <c r="A429" t="s">
        <v>495</v>
      </c>
      <c r="B429" t="s">
        <v>493</v>
      </c>
    </row>
    <row r="430" spans="1:2" hidden="1">
      <c r="A430" t="s">
        <v>496</v>
      </c>
      <c r="B430" t="s">
        <v>497</v>
      </c>
    </row>
    <row r="431" spans="1:2" hidden="1">
      <c r="A431" t="s">
        <v>498</v>
      </c>
      <c r="B431" t="s">
        <v>497</v>
      </c>
    </row>
    <row r="432" spans="1:2" hidden="1">
      <c r="A432" t="s">
        <v>499</v>
      </c>
      <c r="B432" t="s">
        <v>500</v>
      </c>
    </row>
    <row r="433" spans="1:2" hidden="1">
      <c r="A433">
        <v>35911502</v>
      </c>
      <c r="B433" t="s">
        <v>501</v>
      </c>
    </row>
    <row r="434" spans="1:2" hidden="1">
      <c r="A434" t="s">
        <v>502</v>
      </c>
      <c r="B434" t="s">
        <v>501</v>
      </c>
    </row>
    <row r="435" spans="1:2" hidden="1">
      <c r="A435" t="s">
        <v>503</v>
      </c>
      <c r="B435" t="s">
        <v>501</v>
      </c>
    </row>
    <row r="436" spans="1:2" hidden="1">
      <c r="A436">
        <v>35931802</v>
      </c>
      <c r="B436" t="s">
        <v>504</v>
      </c>
    </row>
    <row r="437" spans="1:2" hidden="1">
      <c r="A437" t="s">
        <v>505</v>
      </c>
      <c r="B437" t="s">
        <v>506</v>
      </c>
    </row>
    <row r="438" spans="1:2" hidden="1">
      <c r="A438" t="s">
        <v>507</v>
      </c>
      <c r="B438" t="s">
        <v>508</v>
      </c>
    </row>
    <row r="439" spans="1:2" hidden="1">
      <c r="A439" t="s">
        <v>509</v>
      </c>
      <c r="B439" t="s">
        <v>508</v>
      </c>
    </row>
    <row r="440" spans="1:2" hidden="1">
      <c r="A440">
        <v>35971802</v>
      </c>
      <c r="B440" t="s">
        <v>510</v>
      </c>
    </row>
    <row r="441" spans="1:2" hidden="1">
      <c r="A441" t="s">
        <v>511</v>
      </c>
      <c r="B441" t="s">
        <v>512</v>
      </c>
    </row>
    <row r="442" spans="1:2" hidden="1">
      <c r="A442" t="s">
        <v>513</v>
      </c>
      <c r="B442" t="s">
        <v>514</v>
      </c>
    </row>
    <row r="443" spans="1:2" hidden="1">
      <c r="A443">
        <v>38911502</v>
      </c>
      <c r="B443" t="s">
        <v>515</v>
      </c>
    </row>
    <row r="444" spans="1:2" hidden="1">
      <c r="A444" t="s">
        <v>516</v>
      </c>
      <c r="B444" t="s">
        <v>517</v>
      </c>
    </row>
    <row r="445" spans="1:2" hidden="1">
      <c r="A445" t="s">
        <v>518</v>
      </c>
      <c r="B445" t="s">
        <v>519</v>
      </c>
    </row>
    <row r="446" spans="1:2" hidden="1">
      <c r="A446">
        <v>389140200</v>
      </c>
      <c r="B446" t="s">
        <v>520</v>
      </c>
    </row>
    <row r="447" spans="1:2" hidden="1">
      <c r="A447">
        <v>38931702</v>
      </c>
      <c r="B447" t="s">
        <v>521</v>
      </c>
    </row>
    <row r="448" spans="1:2" hidden="1">
      <c r="A448" t="s">
        <v>522</v>
      </c>
      <c r="B448" t="s">
        <v>523</v>
      </c>
    </row>
    <row r="449" spans="1:2" hidden="1">
      <c r="A449">
        <v>389982700</v>
      </c>
      <c r="B449" t="s">
        <v>524</v>
      </c>
    </row>
    <row r="450" spans="1:2" hidden="1">
      <c r="A450">
        <v>40101067</v>
      </c>
      <c r="B450" t="s">
        <v>525</v>
      </c>
    </row>
    <row r="451" spans="1:2" hidden="1">
      <c r="A451">
        <v>40101068</v>
      </c>
      <c r="B451" t="s">
        <v>526</v>
      </c>
    </row>
    <row r="452" spans="1:2" hidden="1">
      <c r="A452">
        <v>40101102</v>
      </c>
      <c r="B452" t="s">
        <v>527</v>
      </c>
    </row>
    <row r="453" spans="1:2" hidden="1">
      <c r="A453">
        <v>40101103</v>
      </c>
      <c r="B453" t="s">
        <v>528</v>
      </c>
    </row>
    <row r="454" spans="1:2" hidden="1">
      <c r="A454">
        <v>40104010</v>
      </c>
      <c r="B454" t="s">
        <v>529</v>
      </c>
    </row>
    <row r="455" spans="1:2" hidden="1">
      <c r="A455">
        <v>40104011</v>
      </c>
      <c r="B455" t="s">
        <v>530</v>
      </c>
    </row>
    <row r="456" spans="1:2" hidden="1">
      <c r="A456">
        <v>40125212</v>
      </c>
      <c r="B456" t="s">
        <v>531</v>
      </c>
    </row>
    <row r="457" spans="1:2" hidden="1">
      <c r="A457">
        <v>40125220</v>
      </c>
      <c r="B457" t="s">
        <v>532</v>
      </c>
    </row>
    <row r="458" spans="1:2" hidden="1">
      <c r="A458">
        <v>40125230</v>
      </c>
      <c r="B458" t="s">
        <v>533</v>
      </c>
    </row>
    <row r="459" spans="1:2" hidden="1">
      <c r="A459">
        <v>40125240</v>
      </c>
      <c r="B459" t="s">
        <v>534</v>
      </c>
    </row>
    <row r="460" spans="1:2" hidden="1">
      <c r="A460">
        <v>40125250</v>
      </c>
      <c r="B460" t="s">
        <v>535</v>
      </c>
    </row>
    <row r="461" spans="1:2" hidden="1">
      <c r="A461">
        <v>40125520</v>
      </c>
      <c r="B461" t="s">
        <v>536</v>
      </c>
    </row>
    <row r="462" spans="1:2" hidden="1">
      <c r="A462">
        <v>40134000</v>
      </c>
      <c r="B462" t="s">
        <v>537</v>
      </c>
    </row>
    <row r="463" spans="1:2" hidden="1">
      <c r="A463">
        <v>40134003</v>
      </c>
      <c r="B463" t="s">
        <v>538</v>
      </c>
    </row>
    <row r="464" spans="1:2" hidden="1">
      <c r="A464">
        <v>40134004</v>
      </c>
      <c r="B464" t="s">
        <v>539</v>
      </c>
    </row>
    <row r="465" spans="1:2" hidden="1">
      <c r="A465">
        <v>40136000</v>
      </c>
      <c r="B465" t="s">
        <v>540</v>
      </c>
    </row>
    <row r="466" spans="1:2" hidden="1">
      <c r="A466">
        <v>40136001</v>
      </c>
      <c r="B466" t="s">
        <v>541</v>
      </c>
    </row>
    <row r="467" spans="1:2" hidden="1">
      <c r="A467">
        <v>40136006</v>
      </c>
      <c r="B467" t="s">
        <v>542</v>
      </c>
    </row>
    <row r="468" spans="1:2" hidden="1">
      <c r="A468">
        <v>40136007</v>
      </c>
      <c r="B468" t="s">
        <v>543</v>
      </c>
    </row>
    <row r="469" spans="1:2" hidden="1">
      <c r="A469">
        <v>40136040</v>
      </c>
      <c r="B469" t="s">
        <v>544</v>
      </c>
    </row>
    <row r="470" spans="1:2" hidden="1">
      <c r="A470">
        <v>40136566</v>
      </c>
      <c r="B470" t="s">
        <v>545</v>
      </c>
    </row>
    <row r="471" spans="1:2" hidden="1">
      <c r="A471">
        <v>40136567</v>
      </c>
      <c r="B471" t="s">
        <v>546</v>
      </c>
    </row>
    <row r="472" spans="1:2" hidden="1">
      <c r="A472">
        <v>40136614</v>
      </c>
      <c r="B472" t="s">
        <v>547</v>
      </c>
    </row>
    <row r="473" spans="1:2" hidden="1">
      <c r="A473">
        <v>40136616</v>
      </c>
      <c r="B473" t="s">
        <v>548</v>
      </c>
    </row>
    <row r="474" spans="1:2" hidden="1">
      <c r="A474">
        <v>40136920</v>
      </c>
      <c r="B474" t="s">
        <v>549</v>
      </c>
    </row>
    <row r="475" spans="1:2" hidden="1">
      <c r="A475">
        <v>40136921</v>
      </c>
      <c r="B475" t="s">
        <v>550</v>
      </c>
    </row>
    <row r="476" spans="1:2" hidden="1">
      <c r="A476">
        <v>40138010</v>
      </c>
      <c r="B476" t="s">
        <v>551</v>
      </c>
    </row>
    <row r="477" spans="1:2" hidden="1">
      <c r="A477">
        <v>40140908</v>
      </c>
      <c r="B477" t="s">
        <v>552</v>
      </c>
    </row>
    <row r="478" spans="1:2" hidden="1">
      <c r="A478">
        <v>40140909</v>
      </c>
      <c r="B478" t="s">
        <v>553</v>
      </c>
    </row>
    <row r="479" spans="1:2" hidden="1">
      <c r="A479">
        <v>40140950</v>
      </c>
      <c r="B479" t="s">
        <v>554</v>
      </c>
    </row>
    <row r="480" spans="1:2" hidden="1">
      <c r="A480">
        <v>40140951</v>
      </c>
      <c r="B480" t="s">
        <v>555</v>
      </c>
    </row>
    <row r="481" spans="1:2" hidden="1">
      <c r="A481">
        <v>40140960</v>
      </c>
      <c r="B481" t="s">
        <v>556</v>
      </c>
    </row>
    <row r="482" spans="1:2" hidden="1">
      <c r="A482">
        <v>40140961</v>
      </c>
      <c r="B482" t="s">
        <v>557</v>
      </c>
    </row>
    <row r="483" spans="1:2" hidden="1">
      <c r="A483">
        <v>40141122</v>
      </c>
      <c r="B483" t="s">
        <v>558</v>
      </c>
    </row>
    <row r="484" spans="1:2" hidden="1">
      <c r="A484">
        <v>40141312</v>
      </c>
      <c r="B484" t="s">
        <v>559</v>
      </c>
    </row>
    <row r="485" spans="1:2" hidden="1">
      <c r="A485">
        <v>40141313</v>
      </c>
      <c r="B485" t="s">
        <v>560</v>
      </c>
    </row>
    <row r="486" spans="1:2" hidden="1">
      <c r="A486">
        <v>40143072</v>
      </c>
      <c r="B486" t="s">
        <v>561</v>
      </c>
    </row>
    <row r="487" spans="1:2" hidden="1">
      <c r="A487">
        <v>40143831</v>
      </c>
      <c r="B487" t="s">
        <v>562</v>
      </c>
    </row>
    <row r="488" spans="1:2" hidden="1">
      <c r="A488">
        <v>40143832</v>
      </c>
      <c r="B488" t="s">
        <v>563</v>
      </c>
    </row>
    <row r="489" spans="1:2" hidden="1">
      <c r="A489">
        <v>40143833</v>
      </c>
      <c r="B489" t="s">
        <v>564</v>
      </c>
    </row>
    <row r="490" spans="1:2" hidden="1">
      <c r="A490">
        <v>40150000</v>
      </c>
      <c r="B490" t="s">
        <v>565</v>
      </c>
    </row>
    <row r="491" spans="1:2" hidden="1">
      <c r="A491">
        <v>40180510</v>
      </c>
      <c r="B491" t="s">
        <v>566</v>
      </c>
    </row>
    <row r="492" spans="1:2" hidden="1">
      <c r="A492">
        <v>40180511</v>
      </c>
      <c r="B492" t="s">
        <v>567</v>
      </c>
    </row>
    <row r="493" spans="1:2" hidden="1">
      <c r="A493">
        <v>40180530</v>
      </c>
      <c r="B493" t="s">
        <v>568</v>
      </c>
    </row>
    <row r="494" spans="1:2" hidden="1">
      <c r="A494">
        <v>40180531</v>
      </c>
      <c r="B494" t="s">
        <v>569</v>
      </c>
    </row>
    <row r="495" spans="1:2" hidden="1">
      <c r="A495">
        <v>40180610</v>
      </c>
      <c r="B495" t="s">
        <v>566</v>
      </c>
    </row>
    <row r="496" spans="1:2" hidden="1">
      <c r="A496">
        <v>40180631</v>
      </c>
      <c r="B496" t="s">
        <v>569</v>
      </c>
    </row>
    <row r="497" spans="1:2" hidden="1">
      <c r="A497">
        <v>40197155</v>
      </c>
      <c r="B497" t="s">
        <v>570</v>
      </c>
    </row>
    <row r="498" spans="1:2" hidden="1">
      <c r="A498">
        <v>40197255</v>
      </c>
      <c r="B498" t="s">
        <v>571</v>
      </c>
    </row>
    <row r="499" spans="1:2" hidden="1">
      <c r="A499">
        <v>40199037</v>
      </c>
      <c r="B499" t="s">
        <v>572</v>
      </c>
    </row>
    <row r="500" spans="1:2" hidden="1">
      <c r="A500">
        <v>40199039</v>
      </c>
      <c r="B500" t="s">
        <v>573</v>
      </c>
    </row>
    <row r="501" spans="1:2" hidden="1">
      <c r="A501">
        <v>40199061</v>
      </c>
      <c r="B501" t="s">
        <v>574</v>
      </c>
    </row>
    <row r="502" spans="1:2" hidden="1">
      <c r="A502">
        <v>40199230</v>
      </c>
      <c r="B502" t="s">
        <v>575</v>
      </c>
    </row>
    <row r="503" spans="1:2" hidden="1">
      <c r="A503">
        <v>40199242</v>
      </c>
      <c r="B503" t="s">
        <v>576</v>
      </c>
    </row>
    <row r="504" spans="1:2" hidden="1">
      <c r="A504">
        <v>40199270</v>
      </c>
      <c r="B504" t="s">
        <v>577</v>
      </c>
    </row>
    <row r="505" spans="1:2" hidden="1">
      <c r="A505">
        <v>40199321</v>
      </c>
      <c r="B505" t="s">
        <v>578</v>
      </c>
    </row>
    <row r="506" spans="1:2" hidden="1">
      <c r="A506">
        <v>40199330</v>
      </c>
      <c r="B506" t="s">
        <v>579</v>
      </c>
    </row>
    <row r="507" spans="1:2" hidden="1">
      <c r="A507">
        <v>40204301</v>
      </c>
      <c r="B507" t="s">
        <v>580</v>
      </c>
    </row>
    <row r="508" spans="1:2" hidden="1">
      <c r="A508">
        <v>40204311</v>
      </c>
      <c r="B508" t="s">
        <v>581</v>
      </c>
    </row>
    <row r="509" spans="1:2" hidden="1">
      <c r="A509">
        <v>40204391</v>
      </c>
      <c r="B509" t="s">
        <v>582</v>
      </c>
    </row>
    <row r="510" spans="1:2" hidden="1">
      <c r="A510">
        <v>40205450</v>
      </c>
      <c r="B510" t="s">
        <v>583</v>
      </c>
    </row>
    <row r="511" spans="1:2" hidden="1">
      <c r="A511" t="s">
        <v>584</v>
      </c>
      <c r="B511" t="s">
        <v>585</v>
      </c>
    </row>
    <row r="512" spans="1:2" hidden="1">
      <c r="A512">
        <v>40205610</v>
      </c>
      <c r="B512" t="s">
        <v>586</v>
      </c>
    </row>
    <row r="513" spans="1:2" hidden="1">
      <c r="A513">
        <v>40206004</v>
      </c>
      <c r="B513" t="s">
        <v>587</v>
      </c>
    </row>
    <row r="514" spans="1:2" hidden="1">
      <c r="A514">
        <v>40206040</v>
      </c>
      <c r="B514" t="s">
        <v>588</v>
      </c>
    </row>
    <row r="515" spans="1:2" hidden="1">
      <c r="A515">
        <v>40206060</v>
      </c>
      <c r="B515" t="s">
        <v>589</v>
      </c>
    </row>
    <row r="516" spans="1:2" hidden="1">
      <c r="A516">
        <v>40206220</v>
      </c>
      <c r="B516" t="s">
        <v>590</v>
      </c>
    </row>
    <row r="517" spans="1:2" hidden="1">
      <c r="A517">
        <v>40207110</v>
      </c>
      <c r="B517" t="s">
        <v>591</v>
      </c>
    </row>
    <row r="518" spans="1:2" hidden="1">
      <c r="A518">
        <v>40211352</v>
      </c>
      <c r="B518" t="s">
        <v>592</v>
      </c>
    </row>
    <row r="519" spans="1:2" hidden="1">
      <c r="A519">
        <v>40211501</v>
      </c>
      <c r="B519" t="s">
        <v>593</v>
      </c>
    </row>
    <row r="520" spans="1:2" hidden="1">
      <c r="A520">
        <v>40211632</v>
      </c>
      <c r="B520" t="s">
        <v>594</v>
      </c>
    </row>
    <row r="521" spans="1:2" hidden="1">
      <c r="A521">
        <v>40211660</v>
      </c>
      <c r="B521" t="s">
        <v>595</v>
      </c>
    </row>
    <row r="522" spans="1:2" hidden="1">
      <c r="A522">
        <v>40212002</v>
      </c>
      <c r="B522" t="s">
        <v>596</v>
      </c>
    </row>
    <row r="523" spans="1:2" hidden="1">
      <c r="A523">
        <v>40212014</v>
      </c>
      <c r="B523" t="s">
        <v>597</v>
      </c>
    </row>
    <row r="524" spans="1:2" hidden="1">
      <c r="A524">
        <v>40212044</v>
      </c>
      <c r="B524" t="s">
        <v>598</v>
      </c>
    </row>
    <row r="525" spans="1:2" hidden="1">
      <c r="A525">
        <v>40212062</v>
      </c>
      <c r="B525" t="s">
        <v>599</v>
      </c>
    </row>
    <row r="526" spans="1:2" hidden="1">
      <c r="A526">
        <v>40212070</v>
      </c>
      <c r="B526" t="s">
        <v>600</v>
      </c>
    </row>
    <row r="527" spans="1:2" hidden="1">
      <c r="A527">
        <v>40212602</v>
      </c>
      <c r="B527" t="s">
        <v>601</v>
      </c>
    </row>
    <row r="528" spans="1:2" hidden="1">
      <c r="A528">
        <v>40213012</v>
      </c>
      <c r="B528" t="s">
        <v>602</v>
      </c>
    </row>
    <row r="529" spans="1:2" hidden="1">
      <c r="A529">
        <v>40213022</v>
      </c>
      <c r="B529" t="s">
        <v>603</v>
      </c>
    </row>
    <row r="530" spans="1:2" hidden="1">
      <c r="A530">
        <v>40213032</v>
      </c>
      <c r="B530" t="s">
        <v>604</v>
      </c>
    </row>
    <row r="531" spans="1:2" hidden="1">
      <c r="A531">
        <v>40213042</v>
      </c>
      <c r="B531" t="s">
        <v>605</v>
      </c>
    </row>
    <row r="532" spans="1:2" hidden="1">
      <c r="A532">
        <v>40214311</v>
      </c>
      <c r="B532" t="s">
        <v>606</v>
      </c>
    </row>
    <row r="533" spans="1:2" hidden="1">
      <c r="A533">
        <v>40214608</v>
      </c>
      <c r="B533" t="s">
        <v>607</v>
      </c>
    </row>
    <row r="534" spans="1:2" hidden="1">
      <c r="A534">
        <v>40214805</v>
      </c>
      <c r="B534" t="s">
        <v>608</v>
      </c>
    </row>
    <row r="535" spans="1:2" hidden="1">
      <c r="A535">
        <v>40214914</v>
      </c>
      <c r="B535" t="s">
        <v>609</v>
      </c>
    </row>
    <row r="536" spans="1:2" hidden="1">
      <c r="A536">
        <v>40214980</v>
      </c>
      <c r="B536" t="s">
        <v>610</v>
      </c>
    </row>
    <row r="537" spans="1:2" hidden="1">
      <c r="A537">
        <v>40215123</v>
      </c>
      <c r="B537" t="s">
        <v>611</v>
      </c>
    </row>
    <row r="538" spans="1:2" hidden="1">
      <c r="A538">
        <v>40215302</v>
      </c>
      <c r="B538" t="s">
        <v>612</v>
      </c>
    </row>
    <row r="539" spans="1:2" hidden="1">
      <c r="A539">
        <v>40215503</v>
      </c>
      <c r="B539" t="s">
        <v>613</v>
      </c>
    </row>
    <row r="540" spans="1:2" hidden="1">
      <c r="A540">
        <v>40215704</v>
      </c>
      <c r="B540" t="s">
        <v>614</v>
      </c>
    </row>
    <row r="541" spans="1:2" hidden="1">
      <c r="A541">
        <v>40215961</v>
      </c>
      <c r="B541" t="s">
        <v>615</v>
      </c>
    </row>
    <row r="542" spans="1:2" hidden="1">
      <c r="A542">
        <v>40215981</v>
      </c>
      <c r="B542" t="s">
        <v>616</v>
      </c>
    </row>
    <row r="543" spans="1:2" hidden="1">
      <c r="A543">
        <v>40216110</v>
      </c>
      <c r="B543" t="s">
        <v>617</v>
      </c>
    </row>
    <row r="544" spans="1:2" hidden="1">
      <c r="A544">
        <v>40217321</v>
      </c>
      <c r="B544" t="s">
        <v>618</v>
      </c>
    </row>
    <row r="545" spans="1:2" hidden="1">
      <c r="A545">
        <v>40218050</v>
      </c>
      <c r="B545" t="s">
        <v>619</v>
      </c>
    </row>
    <row r="546" spans="1:2" hidden="1">
      <c r="A546">
        <v>40218080</v>
      </c>
      <c r="B546" t="s">
        <v>620</v>
      </c>
    </row>
    <row r="547" spans="1:2" hidden="1">
      <c r="A547">
        <v>40219050</v>
      </c>
      <c r="B547" t="s">
        <v>621</v>
      </c>
    </row>
    <row r="548" spans="1:2" hidden="1">
      <c r="A548">
        <v>40220030</v>
      </c>
      <c r="B548" t="s">
        <v>622</v>
      </c>
    </row>
    <row r="549" spans="1:2" hidden="1">
      <c r="A549">
        <v>40220036</v>
      </c>
      <c r="B549" t="s">
        <v>623</v>
      </c>
    </row>
    <row r="550" spans="1:2" hidden="1">
      <c r="A550">
        <v>40220523</v>
      </c>
      <c r="B550" t="s">
        <v>624</v>
      </c>
    </row>
    <row r="551" spans="1:2" hidden="1">
      <c r="A551">
        <v>40221027</v>
      </c>
      <c r="B551" t="s">
        <v>625</v>
      </c>
    </row>
    <row r="552" spans="1:2" hidden="1">
      <c r="A552">
        <v>40221029</v>
      </c>
      <c r="B552" t="s">
        <v>626</v>
      </c>
    </row>
    <row r="553" spans="1:2" hidden="1">
      <c r="A553">
        <v>40222500</v>
      </c>
      <c r="B553" t="s">
        <v>627</v>
      </c>
    </row>
    <row r="554" spans="1:2" hidden="1">
      <c r="A554">
        <v>40223500</v>
      </c>
      <c r="B554" t="s">
        <v>628</v>
      </c>
    </row>
    <row r="555" spans="1:2" hidden="1">
      <c r="A555">
        <v>40223520</v>
      </c>
      <c r="B555" t="s">
        <v>629</v>
      </c>
    </row>
    <row r="556" spans="1:2" hidden="1">
      <c r="A556">
        <v>40224500</v>
      </c>
      <c r="B556" t="s">
        <v>630</v>
      </c>
    </row>
    <row r="557" spans="1:2" hidden="1">
      <c r="A557">
        <v>40224502</v>
      </c>
      <c r="B557" t="s">
        <v>631</v>
      </c>
    </row>
    <row r="558" spans="1:2" hidden="1">
      <c r="A558">
        <v>40226545</v>
      </c>
      <c r="B558" t="s">
        <v>632</v>
      </c>
    </row>
    <row r="559" spans="1:2" hidden="1">
      <c r="A559">
        <v>40228115</v>
      </c>
      <c r="B559" t="s">
        <v>633</v>
      </c>
    </row>
    <row r="560" spans="1:2" hidden="1">
      <c r="A560">
        <v>40239042</v>
      </c>
      <c r="B560" t="s">
        <v>634</v>
      </c>
    </row>
    <row r="561" spans="1:2" hidden="1">
      <c r="A561">
        <v>40249000</v>
      </c>
      <c r="B561" t="s">
        <v>635</v>
      </c>
    </row>
    <row r="562" spans="1:2" hidden="1">
      <c r="A562">
        <v>40260600</v>
      </c>
      <c r="B562" t="s">
        <v>636</v>
      </c>
    </row>
    <row r="563" spans="1:2" hidden="1">
      <c r="A563">
        <v>40297051</v>
      </c>
      <c r="B563" t="s">
        <v>637</v>
      </c>
    </row>
    <row r="564" spans="1:2" hidden="1">
      <c r="A564">
        <v>40297052</v>
      </c>
      <c r="B564" t="s">
        <v>638</v>
      </c>
    </row>
    <row r="565" spans="1:2" hidden="1">
      <c r="A565">
        <v>40297252</v>
      </c>
      <c r="B565" t="s">
        <v>638</v>
      </c>
    </row>
    <row r="566" spans="1:2" hidden="1">
      <c r="A566">
        <v>40297294</v>
      </c>
      <c r="B566" t="s">
        <v>639</v>
      </c>
    </row>
    <row r="567" spans="1:2" hidden="1">
      <c r="A567">
        <v>40297295</v>
      </c>
      <c r="B567" t="s">
        <v>640</v>
      </c>
    </row>
    <row r="568" spans="1:2" hidden="1">
      <c r="A568">
        <v>40297298</v>
      </c>
      <c r="B568" t="s">
        <v>641</v>
      </c>
    </row>
    <row r="569" spans="1:2" hidden="1">
      <c r="A569">
        <v>40402025</v>
      </c>
      <c r="B569" t="s">
        <v>642</v>
      </c>
    </row>
    <row r="570" spans="1:2" hidden="1">
      <c r="A570">
        <v>40402027</v>
      </c>
      <c r="B570" t="s">
        <v>643</v>
      </c>
    </row>
    <row r="571" spans="1:2" hidden="1">
      <c r="A571">
        <v>40402028</v>
      </c>
      <c r="B571" t="s">
        <v>644</v>
      </c>
    </row>
    <row r="572" spans="1:2" hidden="1">
      <c r="A572">
        <v>40437021</v>
      </c>
      <c r="B572" t="s">
        <v>645</v>
      </c>
    </row>
    <row r="573" spans="1:2" hidden="1">
      <c r="A573">
        <v>40437220</v>
      </c>
      <c r="B573" t="s">
        <v>646</v>
      </c>
    </row>
    <row r="574" spans="1:2" hidden="1">
      <c r="A574">
        <v>40446702</v>
      </c>
      <c r="B574" t="s">
        <v>647</v>
      </c>
    </row>
    <row r="575" spans="1:2" hidden="1">
      <c r="A575">
        <v>40446712</v>
      </c>
      <c r="B575" t="s">
        <v>648</v>
      </c>
    </row>
    <row r="576" spans="1:2" hidden="1">
      <c r="A576" t="s">
        <v>649</v>
      </c>
      <c r="B576" t="s">
        <v>648</v>
      </c>
    </row>
    <row r="577" spans="1:2" hidden="1">
      <c r="A577">
        <v>40455007</v>
      </c>
      <c r="B577" t="s">
        <v>650</v>
      </c>
    </row>
    <row r="578" spans="1:2" hidden="1">
      <c r="A578">
        <v>40455212</v>
      </c>
      <c r="B578" t="s">
        <v>651</v>
      </c>
    </row>
    <row r="579" spans="1:2" hidden="1">
      <c r="A579">
        <v>40455334</v>
      </c>
      <c r="B579" t="s">
        <v>652</v>
      </c>
    </row>
    <row r="580" spans="1:2" hidden="1">
      <c r="A580">
        <v>40455335</v>
      </c>
      <c r="B580" t="s">
        <v>653</v>
      </c>
    </row>
    <row r="581" spans="1:2" hidden="1">
      <c r="A581">
        <v>40460174</v>
      </c>
      <c r="B581" t="s">
        <v>654</v>
      </c>
    </row>
    <row r="582" spans="1:2" hidden="1">
      <c r="A582">
        <v>40460410</v>
      </c>
      <c r="B582" t="s">
        <v>655</v>
      </c>
    </row>
    <row r="583" spans="1:2" hidden="1">
      <c r="A583">
        <v>40460430</v>
      </c>
      <c r="B583" t="s">
        <v>656</v>
      </c>
    </row>
    <row r="584" spans="1:2" hidden="1">
      <c r="A584">
        <v>40460450</v>
      </c>
      <c r="B584" t="s">
        <v>657</v>
      </c>
    </row>
    <row r="585" spans="1:2" hidden="1">
      <c r="A585">
        <v>40461505</v>
      </c>
      <c r="B585" t="s">
        <v>658</v>
      </c>
    </row>
    <row r="586" spans="1:2" hidden="1">
      <c r="A586">
        <v>40461506</v>
      </c>
      <c r="B586" t="s">
        <v>659</v>
      </c>
    </row>
    <row r="587" spans="1:2" hidden="1">
      <c r="A587">
        <v>40461507</v>
      </c>
      <c r="B587" t="s">
        <v>660</v>
      </c>
    </row>
    <row r="588" spans="1:2" hidden="1">
      <c r="A588">
        <v>40461543</v>
      </c>
      <c r="B588" t="s">
        <v>661</v>
      </c>
    </row>
    <row r="589" spans="1:2" hidden="1">
      <c r="A589">
        <v>40466109</v>
      </c>
      <c r="B589" t="s">
        <v>662</v>
      </c>
    </row>
    <row r="590" spans="1:2" hidden="1">
      <c r="A590">
        <v>40466110</v>
      </c>
      <c r="B590" t="s">
        <v>663</v>
      </c>
    </row>
    <row r="591" spans="1:2" hidden="1">
      <c r="A591">
        <v>40466111</v>
      </c>
      <c r="B591" t="s">
        <v>664</v>
      </c>
    </row>
    <row r="592" spans="1:2" hidden="1">
      <c r="A592">
        <v>40466241</v>
      </c>
      <c r="B592" t="s">
        <v>665</v>
      </c>
    </row>
    <row r="593" spans="1:2" hidden="1">
      <c r="A593">
        <v>40466260</v>
      </c>
      <c r="B593" t="s">
        <v>666</v>
      </c>
    </row>
    <row r="594" spans="1:2" hidden="1">
      <c r="A594">
        <v>40467303</v>
      </c>
      <c r="B594" t="s">
        <v>667</v>
      </c>
    </row>
    <row r="595" spans="1:2" hidden="1">
      <c r="A595">
        <v>40467304</v>
      </c>
      <c r="B595" t="s">
        <v>668</v>
      </c>
    </row>
    <row r="596" spans="1:2" hidden="1">
      <c r="A596">
        <v>40467305</v>
      </c>
      <c r="B596" t="s">
        <v>669</v>
      </c>
    </row>
    <row r="597" spans="1:2" hidden="1">
      <c r="A597">
        <v>40467320</v>
      </c>
      <c r="B597" t="s">
        <v>670</v>
      </c>
    </row>
    <row r="598" spans="1:2" hidden="1">
      <c r="A598">
        <v>40468106</v>
      </c>
      <c r="B598" t="s">
        <v>671</v>
      </c>
    </row>
    <row r="599" spans="1:2" hidden="1">
      <c r="A599">
        <v>40468108</v>
      </c>
      <c r="B599" t="s">
        <v>672</v>
      </c>
    </row>
    <row r="600" spans="1:2" hidden="1">
      <c r="A600">
        <v>40468114</v>
      </c>
      <c r="B600" t="s">
        <v>673</v>
      </c>
    </row>
    <row r="601" spans="1:2" hidden="1">
      <c r="A601">
        <v>40468118</v>
      </c>
      <c r="B601" t="s">
        <v>674</v>
      </c>
    </row>
    <row r="602" spans="1:2" hidden="1">
      <c r="A602">
        <v>40468122</v>
      </c>
      <c r="B602" t="s">
        <v>675</v>
      </c>
    </row>
    <row r="603" spans="1:2" hidden="1">
      <c r="A603">
        <v>40474239</v>
      </c>
      <c r="B603" t="s">
        <v>676</v>
      </c>
    </row>
    <row r="604" spans="1:2" hidden="1">
      <c r="A604">
        <v>40474253</v>
      </c>
      <c r="B604" t="s">
        <v>677</v>
      </c>
    </row>
    <row r="605" spans="1:2" hidden="1">
      <c r="A605">
        <v>40476141</v>
      </c>
      <c r="B605" t="s">
        <v>678</v>
      </c>
    </row>
    <row r="606" spans="1:2" hidden="1">
      <c r="A606">
        <v>40476142</v>
      </c>
      <c r="B606" t="s">
        <v>679</v>
      </c>
    </row>
    <row r="607" spans="1:2" hidden="1">
      <c r="A607">
        <v>40478003</v>
      </c>
      <c r="B607" t="s">
        <v>680</v>
      </c>
    </row>
    <row r="608" spans="1:2" hidden="1">
      <c r="A608">
        <v>40478010</v>
      </c>
      <c r="B608" t="s">
        <v>681</v>
      </c>
    </row>
    <row r="609" spans="1:2" hidden="1">
      <c r="A609">
        <v>40478503</v>
      </c>
      <c r="B609" t="s">
        <v>682</v>
      </c>
    </row>
    <row r="610" spans="1:2" hidden="1">
      <c r="A610">
        <v>40478510</v>
      </c>
      <c r="B610" t="s">
        <v>683</v>
      </c>
    </row>
    <row r="611" spans="1:2" hidden="1">
      <c r="A611">
        <v>40480301</v>
      </c>
      <c r="B611" t="s">
        <v>684</v>
      </c>
    </row>
    <row r="612" spans="1:2" hidden="1">
      <c r="A612">
        <v>40480321</v>
      </c>
      <c r="B612" t="s">
        <v>685</v>
      </c>
    </row>
    <row r="613" spans="1:2" hidden="1">
      <c r="A613">
        <v>40482002</v>
      </c>
      <c r="B613" t="s">
        <v>686</v>
      </c>
    </row>
    <row r="614" spans="1:2" hidden="1">
      <c r="A614">
        <v>40482601</v>
      </c>
      <c r="B614" t="s">
        <v>687</v>
      </c>
    </row>
    <row r="615" spans="1:2" hidden="1">
      <c r="A615">
        <v>40482620</v>
      </c>
      <c r="B615" t="s">
        <v>688</v>
      </c>
    </row>
    <row r="616" spans="1:2" hidden="1">
      <c r="A616">
        <v>40483054</v>
      </c>
      <c r="B616" t="s">
        <v>689</v>
      </c>
    </row>
    <row r="617" spans="1:2" hidden="1">
      <c r="A617">
        <v>40483101</v>
      </c>
      <c r="B617" t="s">
        <v>690</v>
      </c>
    </row>
    <row r="618" spans="1:2" hidden="1">
      <c r="A618">
        <v>40483141</v>
      </c>
      <c r="B618" t="s">
        <v>691</v>
      </c>
    </row>
    <row r="619" spans="1:2" hidden="1">
      <c r="A619">
        <v>40483182</v>
      </c>
      <c r="B619" t="s">
        <v>692</v>
      </c>
    </row>
    <row r="620" spans="1:2" hidden="1">
      <c r="A620">
        <v>40483183</v>
      </c>
      <c r="B620" t="s">
        <v>693</v>
      </c>
    </row>
    <row r="621" spans="1:2" hidden="1">
      <c r="A621">
        <v>40483201</v>
      </c>
      <c r="B621" t="s">
        <v>694</v>
      </c>
    </row>
    <row r="622" spans="1:2" hidden="1">
      <c r="A622">
        <v>40483424</v>
      </c>
      <c r="B622" t="s">
        <v>695</v>
      </c>
    </row>
    <row r="623" spans="1:2" hidden="1">
      <c r="A623">
        <v>40483612</v>
      </c>
      <c r="B623" t="s">
        <v>696</v>
      </c>
    </row>
    <row r="624" spans="1:2" hidden="1">
      <c r="A624">
        <v>40484121</v>
      </c>
      <c r="B624" t="s">
        <v>697</v>
      </c>
    </row>
    <row r="625" spans="1:2" hidden="1">
      <c r="A625">
        <v>40484122</v>
      </c>
      <c r="B625" t="s">
        <v>698</v>
      </c>
    </row>
    <row r="626" spans="1:2" hidden="1">
      <c r="A626">
        <v>40484174</v>
      </c>
      <c r="B626" t="s">
        <v>699</v>
      </c>
    </row>
    <row r="627" spans="1:2" hidden="1">
      <c r="A627">
        <v>40484175</v>
      </c>
      <c r="B627" t="s">
        <v>700</v>
      </c>
    </row>
    <row r="628" spans="1:2" hidden="1">
      <c r="A628">
        <v>40484203</v>
      </c>
      <c r="B628" t="s">
        <v>701</v>
      </c>
    </row>
    <row r="629" spans="1:2" hidden="1">
      <c r="A629">
        <v>40484204</v>
      </c>
      <c r="B629" t="s">
        <v>702</v>
      </c>
    </row>
    <row r="630" spans="1:2" hidden="1">
      <c r="A630">
        <v>40484615</v>
      </c>
      <c r="B630" t="s">
        <v>703</v>
      </c>
    </row>
    <row r="631" spans="1:2" hidden="1">
      <c r="A631">
        <v>40484680</v>
      </c>
      <c r="B631" t="s">
        <v>704</v>
      </c>
    </row>
    <row r="632" spans="1:2" hidden="1">
      <c r="A632">
        <v>40484681</v>
      </c>
      <c r="B632" t="s">
        <v>705</v>
      </c>
    </row>
    <row r="633" spans="1:2" hidden="1">
      <c r="A633">
        <v>40484807</v>
      </c>
      <c r="B633" t="s">
        <v>706</v>
      </c>
    </row>
    <row r="634" spans="1:2" hidden="1">
      <c r="A634">
        <v>40485125</v>
      </c>
      <c r="B634" t="s">
        <v>707</v>
      </c>
    </row>
    <row r="635" spans="1:2" hidden="1">
      <c r="A635">
        <v>40485126</v>
      </c>
      <c r="B635" t="s">
        <v>708</v>
      </c>
    </row>
    <row r="636" spans="1:2" hidden="1">
      <c r="A636">
        <v>40485134</v>
      </c>
      <c r="B636" t="s">
        <v>709</v>
      </c>
    </row>
    <row r="637" spans="1:2" hidden="1">
      <c r="A637">
        <v>40485141</v>
      </c>
      <c r="B637" t="s">
        <v>710</v>
      </c>
    </row>
    <row r="638" spans="1:2" hidden="1">
      <c r="A638">
        <v>40485311</v>
      </c>
      <c r="B638" t="s">
        <v>711</v>
      </c>
    </row>
    <row r="639" spans="1:2" hidden="1">
      <c r="A639">
        <v>40485312</v>
      </c>
      <c r="B639" t="s">
        <v>712</v>
      </c>
    </row>
    <row r="640" spans="1:2" hidden="1">
      <c r="A640">
        <v>40485357</v>
      </c>
      <c r="B640" t="s">
        <v>713</v>
      </c>
    </row>
    <row r="641" spans="1:2" hidden="1">
      <c r="A641">
        <v>40485358</v>
      </c>
      <c r="B641" t="s">
        <v>714</v>
      </c>
    </row>
    <row r="642" spans="1:2" hidden="1">
      <c r="A642">
        <v>40487192</v>
      </c>
      <c r="B642" t="s">
        <v>715</v>
      </c>
    </row>
    <row r="643" spans="1:2">
      <c r="A643">
        <v>40543209</v>
      </c>
      <c r="B643" t="s">
        <v>716</v>
      </c>
    </row>
    <row r="644" spans="1:2" hidden="1">
      <c r="A644">
        <v>40578553</v>
      </c>
      <c r="B644" t="s">
        <v>717</v>
      </c>
    </row>
    <row r="645" spans="1:2" hidden="1">
      <c r="A645">
        <v>40582211</v>
      </c>
      <c r="B645" t="s">
        <v>718</v>
      </c>
    </row>
    <row r="646" spans="1:2" hidden="1">
      <c r="A646">
        <v>40582233</v>
      </c>
      <c r="B646" t="s">
        <v>719</v>
      </c>
    </row>
    <row r="647" spans="1:2" hidden="1">
      <c r="A647">
        <v>40582241</v>
      </c>
      <c r="B647" t="s">
        <v>720</v>
      </c>
    </row>
    <row r="648" spans="1:2" hidden="1">
      <c r="A648">
        <v>40582303</v>
      </c>
      <c r="B648" t="s">
        <v>721</v>
      </c>
    </row>
    <row r="649" spans="1:2" hidden="1">
      <c r="A649">
        <v>40582314</v>
      </c>
      <c r="B649" t="s">
        <v>722</v>
      </c>
    </row>
    <row r="650" spans="1:2" hidden="1">
      <c r="A650">
        <v>40583402</v>
      </c>
      <c r="B650" t="s">
        <v>723</v>
      </c>
    </row>
    <row r="651" spans="1:2" hidden="1">
      <c r="A651">
        <v>40583809</v>
      </c>
      <c r="B651" t="s">
        <v>724</v>
      </c>
    </row>
    <row r="652" spans="1:2" hidden="1">
      <c r="A652">
        <v>40583810</v>
      </c>
      <c r="B652" t="s">
        <v>725</v>
      </c>
    </row>
    <row r="653" spans="1:2" hidden="1">
      <c r="A653">
        <v>40584012</v>
      </c>
      <c r="B653" t="s">
        <v>726</v>
      </c>
    </row>
    <row r="654" spans="1:2" hidden="1">
      <c r="A654">
        <v>40584105</v>
      </c>
      <c r="B654" t="s">
        <v>727</v>
      </c>
    </row>
    <row r="655" spans="1:2" hidden="1">
      <c r="A655">
        <v>40584202</v>
      </c>
      <c r="B655" t="s">
        <v>728</v>
      </c>
    </row>
    <row r="656" spans="1:2" hidden="1">
      <c r="A656">
        <v>40584305</v>
      </c>
      <c r="B656" t="s">
        <v>729</v>
      </c>
    </row>
    <row r="657" spans="1:2" hidden="1">
      <c r="A657">
        <v>40584306</v>
      </c>
      <c r="B657" t="s">
        <v>730</v>
      </c>
    </row>
    <row r="658" spans="1:2" hidden="1">
      <c r="A658">
        <v>40584401</v>
      </c>
      <c r="B658" t="s">
        <v>731</v>
      </c>
    </row>
    <row r="659" spans="1:2" hidden="1">
      <c r="A659">
        <v>40586010</v>
      </c>
      <c r="B659" t="s">
        <v>732</v>
      </c>
    </row>
    <row r="660" spans="1:2" hidden="1">
      <c r="A660">
        <v>40586101</v>
      </c>
      <c r="B660" t="s">
        <v>733</v>
      </c>
    </row>
    <row r="661" spans="1:2" hidden="1">
      <c r="A661">
        <v>40586104</v>
      </c>
      <c r="B661" t="s">
        <v>734</v>
      </c>
    </row>
    <row r="662" spans="1:2" hidden="1">
      <c r="A662">
        <v>40586510</v>
      </c>
      <c r="B662" t="s">
        <v>735</v>
      </c>
    </row>
    <row r="663" spans="1:2" hidden="1">
      <c r="A663">
        <v>40587602</v>
      </c>
      <c r="B663" t="s">
        <v>736</v>
      </c>
    </row>
    <row r="664" spans="1:2" hidden="1">
      <c r="A664">
        <v>40589001</v>
      </c>
      <c r="B664" t="s">
        <v>737</v>
      </c>
    </row>
    <row r="665" spans="1:2" hidden="1">
      <c r="A665">
        <v>40589005</v>
      </c>
      <c r="B665" t="s">
        <v>738</v>
      </c>
    </row>
    <row r="666" spans="1:2" hidden="1">
      <c r="A666">
        <v>40589020</v>
      </c>
      <c r="B666" t="s">
        <v>739</v>
      </c>
    </row>
    <row r="667" spans="1:2" hidden="1">
      <c r="A667">
        <v>40589021</v>
      </c>
      <c r="B667" t="s">
        <v>740</v>
      </c>
    </row>
    <row r="668" spans="1:2" hidden="1">
      <c r="A668">
        <v>40589511</v>
      </c>
      <c r="B668" t="s">
        <v>741</v>
      </c>
    </row>
    <row r="669" spans="1:2" hidden="1">
      <c r="A669">
        <v>40589900</v>
      </c>
      <c r="B669" t="s">
        <v>742</v>
      </c>
    </row>
    <row r="670" spans="1:2" hidden="1">
      <c r="A670">
        <v>40589920</v>
      </c>
      <c r="B670" t="s">
        <v>743</v>
      </c>
    </row>
    <row r="671" spans="1:2" hidden="1">
      <c r="A671">
        <v>40590830</v>
      </c>
      <c r="B671" t="s">
        <v>744</v>
      </c>
    </row>
    <row r="672" spans="1:2" hidden="1">
      <c r="A672">
        <v>40590835</v>
      </c>
      <c r="B672" t="s">
        <v>745</v>
      </c>
    </row>
    <row r="673" spans="1:2" hidden="1">
      <c r="A673">
        <v>40599050</v>
      </c>
      <c r="B673" t="s">
        <v>746</v>
      </c>
    </row>
    <row r="674" spans="1:2" hidden="1">
      <c r="A674">
        <v>40672012</v>
      </c>
      <c r="B674" t="s">
        <v>747</v>
      </c>
    </row>
    <row r="675" spans="1:2" hidden="1">
      <c r="A675">
        <v>40682102</v>
      </c>
      <c r="B675" t="s">
        <v>748</v>
      </c>
    </row>
    <row r="676" spans="1:2" hidden="1">
      <c r="A676">
        <v>40716160</v>
      </c>
      <c r="B676" t="s">
        <v>749</v>
      </c>
    </row>
    <row r="677" spans="1:2" hidden="1">
      <c r="A677">
        <v>40716165</v>
      </c>
      <c r="B677" t="s">
        <v>750</v>
      </c>
    </row>
    <row r="678" spans="1:2" hidden="1">
      <c r="A678">
        <v>40716906</v>
      </c>
      <c r="B678" t="s">
        <v>751</v>
      </c>
    </row>
    <row r="679" spans="1:2" hidden="1">
      <c r="A679">
        <v>40722007</v>
      </c>
      <c r="B679" t="s">
        <v>752</v>
      </c>
    </row>
    <row r="680" spans="1:2" hidden="1">
      <c r="A680">
        <v>40782127</v>
      </c>
      <c r="B680" t="s">
        <v>753</v>
      </c>
    </row>
    <row r="681" spans="1:2" hidden="1">
      <c r="A681">
        <v>40782128</v>
      </c>
      <c r="B681" t="s">
        <v>754</v>
      </c>
    </row>
    <row r="682" spans="1:2" hidden="1">
      <c r="A682">
        <v>40782510</v>
      </c>
      <c r="B682" t="s">
        <v>755</v>
      </c>
    </row>
    <row r="683" spans="1:2" hidden="1">
      <c r="A683">
        <v>40876090</v>
      </c>
      <c r="B683" t="s">
        <v>756</v>
      </c>
    </row>
    <row r="684" spans="1:2" hidden="1">
      <c r="A684">
        <v>40911302</v>
      </c>
      <c r="B684" t="s">
        <v>757</v>
      </c>
    </row>
    <row r="685" spans="1:2" hidden="1">
      <c r="A685">
        <v>40931802</v>
      </c>
      <c r="B685" t="s">
        <v>758</v>
      </c>
    </row>
    <row r="686" spans="1:2" hidden="1">
      <c r="A686">
        <v>40971802</v>
      </c>
      <c r="B686" t="s">
        <v>759</v>
      </c>
    </row>
    <row r="687" spans="1:2" hidden="1">
      <c r="A687">
        <v>4097845</v>
      </c>
      <c r="B687" t="s">
        <v>760</v>
      </c>
    </row>
    <row r="688" spans="1:2" hidden="1">
      <c r="A688">
        <v>41009001</v>
      </c>
      <c r="B688" t="s">
        <v>761</v>
      </c>
    </row>
    <row r="689" spans="1:2" hidden="1">
      <c r="A689">
        <v>41013002</v>
      </c>
      <c r="B689" t="s">
        <v>762</v>
      </c>
    </row>
    <row r="690" spans="1:2" hidden="1">
      <c r="A690">
        <v>41016102</v>
      </c>
      <c r="B690" t="s">
        <v>763</v>
      </c>
    </row>
    <row r="691" spans="1:2" hidden="1">
      <c r="A691">
        <v>41020101</v>
      </c>
      <c r="B691" t="s">
        <v>764</v>
      </c>
    </row>
    <row r="692" spans="1:2" hidden="1">
      <c r="A692">
        <v>41022030</v>
      </c>
      <c r="B692" t="s">
        <v>765</v>
      </c>
    </row>
    <row r="693" spans="1:2" hidden="1">
      <c r="A693">
        <v>41028100</v>
      </c>
      <c r="B693" t="s">
        <v>766</v>
      </c>
    </row>
    <row r="694" spans="1:2" hidden="1">
      <c r="A694">
        <v>41070000</v>
      </c>
      <c r="B694" t="s">
        <v>767</v>
      </c>
    </row>
    <row r="695" spans="1:2" hidden="1">
      <c r="A695">
        <v>41508110</v>
      </c>
      <c r="B695" t="s">
        <v>768</v>
      </c>
    </row>
    <row r="696" spans="1:2" hidden="1">
      <c r="A696">
        <v>41508111</v>
      </c>
      <c r="B696" t="s">
        <v>769</v>
      </c>
    </row>
    <row r="697" spans="1:2" hidden="1">
      <c r="A697">
        <v>41508410</v>
      </c>
      <c r="B697" t="s">
        <v>770</v>
      </c>
    </row>
    <row r="698" spans="1:2" hidden="1">
      <c r="A698">
        <v>41509010</v>
      </c>
      <c r="B698" t="s">
        <v>771</v>
      </c>
    </row>
    <row r="699" spans="1:2" hidden="1">
      <c r="A699">
        <v>41509011</v>
      </c>
      <c r="B699" t="s">
        <v>772</v>
      </c>
    </row>
    <row r="700" spans="1:2" hidden="1">
      <c r="A700">
        <v>41519010</v>
      </c>
      <c r="B700" t="s">
        <v>773</v>
      </c>
    </row>
    <row r="701" spans="1:2" hidden="1">
      <c r="A701">
        <v>41521110</v>
      </c>
      <c r="B701" t="s">
        <v>774</v>
      </c>
    </row>
    <row r="702" spans="1:2" hidden="1">
      <c r="A702">
        <v>41521810</v>
      </c>
      <c r="B702" t="s">
        <v>775</v>
      </c>
    </row>
    <row r="703" spans="1:2" hidden="1">
      <c r="A703">
        <v>41522410</v>
      </c>
      <c r="B703" t="s">
        <v>776</v>
      </c>
    </row>
    <row r="704" spans="1:2" hidden="1">
      <c r="A704">
        <v>41523010</v>
      </c>
      <c r="B704" t="s">
        <v>777</v>
      </c>
    </row>
    <row r="705" spans="1:2" hidden="1">
      <c r="A705">
        <v>41523110</v>
      </c>
      <c r="B705" t="s">
        <v>778</v>
      </c>
    </row>
    <row r="706" spans="1:2" hidden="1">
      <c r="A706">
        <v>41550210</v>
      </c>
      <c r="B706" t="s">
        <v>779</v>
      </c>
    </row>
    <row r="707" spans="1:2" hidden="1">
      <c r="A707">
        <v>41551210</v>
      </c>
      <c r="B707" t="s">
        <v>780</v>
      </c>
    </row>
    <row r="708" spans="1:2" hidden="1">
      <c r="A708">
        <v>41552810</v>
      </c>
      <c r="B708" t="s">
        <v>781</v>
      </c>
    </row>
    <row r="709" spans="1:2" hidden="1">
      <c r="A709">
        <v>41553410</v>
      </c>
      <c r="B709" t="s">
        <v>782</v>
      </c>
    </row>
    <row r="710" spans="1:2" hidden="1">
      <c r="A710">
        <v>41558710</v>
      </c>
      <c r="B710" t="s">
        <v>783</v>
      </c>
    </row>
    <row r="711" spans="1:2" hidden="1">
      <c r="A711">
        <v>41560034</v>
      </c>
      <c r="B711" t="s">
        <v>784</v>
      </c>
    </row>
    <row r="712" spans="1:2" hidden="1">
      <c r="A712">
        <v>41560041</v>
      </c>
      <c r="B712" t="s">
        <v>785</v>
      </c>
    </row>
    <row r="713" spans="1:2" hidden="1">
      <c r="A713">
        <v>41560061</v>
      </c>
      <c r="B713" t="s">
        <v>786</v>
      </c>
    </row>
    <row r="714" spans="1:2" hidden="1">
      <c r="A714">
        <v>41560074</v>
      </c>
      <c r="B714" t="s">
        <v>201</v>
      </c>
    </row>
    <row r="715" spans="1:2" hidden="1">
      <c r="A715">
        <v>41560079</v>
      </c>
      <c r="B715" t="s">
        <v>787</v>
      </c>
    </row>
    <row r="716" spans="1:2" hidden="1">
      <c r="A716">
        <v>41560096</v>
      </c>
      <c r="B716" t="s">
        <v>788</v>
      </c>
    </row>
    <row r="717" spans="1:2" hidden="1">
      <c r="A717">
        <v>41560124</v>
      </c>
      <c r="B717" t="s">
        <v>789</v>
      </c>
    </row>
    <row r="718" spans="1:2" hidden="1">
      <c r="A718">
        <v>41560142</v>
      </c>
      <c r="B718" t="s">
        <v>790</v>
      </c>
    </row>
    <row r="719" spans="1:2" hidden="1">
      <c r="A719">
        <v>41560151</v>
      </c>
      <c r="B719" t="s">
        <v>791</v>
      </c>
    </row>
    <row r="720" spans="1:2" hidden="1">
      <c r="A720">
        <v>41560166</v>
      </c>
      <c r="B720" t="s">
        <v>792</v>
      </c>
    </row>
    <row r="721" spans="1:2" hidden="1">
      <c r="A721">
        <v>41566023</v>
      </c>
      <c r="B721" t="s">
        <v>793</v>
      </c>
    </row>
    <row r="722" spans="1:2" hidden="1">
      <c r="A722">
        <v>41575310</v>
      </c>
      <c r="B722" t="s">
        <v>794</v>
      </c>
    </row>
    <row r="723" spans="1:2" hidden="1">
      <c r="A723">
        <v>41575510</v>
      </c>
      <c r="B723" t="s">
        <v>795</v>
      </c>
    </row>
    <row r="724" spans="1:2" hidden="1">
      <c r="A724">
        <v>41579810</v>
      </c>
      <c r="B724" t="s">
        <v>796</v>
      </c>
    </row>
    <row r="725" spans="1:2" hidden="1">
      <c r="A725">
        <v>41580010</v>
      </c>
      <c r="B725" t="s">
        <v>797</v>
      </c>
    </row>
    <row r="726" spans="1:2" hidden="1">
      <c r="A726">
        <v>41580110</v>
      </c>
      <c r="B726" t="s">
        <v>798</v>
      </c>
    </row>
    <row r="727" spans="1:2" hidden="1">
      <c r="A727">
        <v>41588410</v>
      </c>
      <c r="B727" t="s">
        <v>799</v>
      </c>
    </row>
    <row r="728" spans="1:2" hidden="1">
      <c r="A728">
        <v>41592100</v>
      </c>
      <c r="B728" t="s">
        <v>800</v>
      </c>
    </row>
    <row r="729" spans="1:2" hidden="1">
      <c r="A729">
        <v>41592210</v>
      </c>
      <c r="B729" t="s">
        <v>801</v>
      </c>
    </row>
    <row r="730" spans="1:2" hidden="1">
      <c r="A730">
        <v>41592216</v>
      </c>
      <c r="B730" t="s">
        <v>802</v>
      </c>
    </row>
    <row r="731" spans="1:2" hidden="1">
      <c r="A731">
        <v>41592227</v>
      </c>
      <c r="B731" t="s">
        <v>803</v>
      </c>
    </row>
    <row r="732" spans="1:2" hidden="1">
      <c r="A732">
        <v>41592300</v>
      </c>
      <c r="B732" t="s">
        <v>804</v>
      </c>
    </row>
    <row r="733" spans="1:2" hidden="1">
      <c r="A733">
        <v>41592306</v>
      </c>
      <c r="B733" t="s">
        <v>805</v>
      </c>
    </row>
    <row r="734" spans="1:2" hidden="1">
      <c r="A734">
        <v>41593001</v>
      </c>
      <c r="B734" t="s">
        <v>806</v>
      </c>
    </row>
    <row r="735" spans="1:2" hidden="1">
      <c r="A735">
        <v>41593003</v>
      </c>
      <c r="B735" t="s">
        <v>807</v>
      </c>
    </row>
    <row r="736" spans="1:2" hidden="1">
      <c r="A736">
        <v>41593007</v>
      </c>
      <c r="B736" t="s">
        <v>808</v>
      </c>
    </row>
    <row r="737" spans="1:2" hidden="1">
      <c r="A737">
        <v>41593010</v>
      </c>
      <c r="B737" t="s">
        <v>809</v>
      </c>
    </row>
    <row r="738" spans="1:2" hidden="1">
      <c r="A738">
        <v>41593015</v>
      </c>
      <c r="B738" t="s">
        <v>810</v>
      </c>
    </row>
    <row r="739" spans="1:2" hidden="1">
      <c r="A739">
        <v>41595020</v>
      </c>
      <c r="B739" t="s">
        <v>811</v>
      </c>
    </row>
    <row r="740" spans="1:2" hidden="1">
      <c r="A740">
        <v>41595022</v>
      </c>
      <c r="B740" t="s">
        <v>812</v>
      </c>
    </row>
    <row r="741" spans="1:2" hidden="1">
      <c r="A741">
        <v>41595026</v>
      </c>
      <c r="B741" t="s">
        <v>813</v>
      </c>
    </row>
    <row r="742" spans="1:2" hidden="1">
      <c r="A742">
        <v>41596001</v>
      </c>
      <c r="B742" t="s">
        <v>814</v>
      </c>
    </row>
    <row r="743" spans="1:2" hidden="1">
      <c r="A743">
        <v>41596006</v>
      </c>
      <c r="B743" t="s">
        <v>815</v>
      </c>
    </row>
    <row r="744" spans="1:2" hidden="1">
      <c r="A744">
        <v>41596121</v>
      </c>
      <c r="B744" t="s">
        <v>816</v>
      </c>
    </row>
    <row r="745" spans="1:2" hidden="1">
      <c r="A745">
        <v>41597410</v>
      </c>
      <c r="B745" t="s">
        <v>817</v>
      </c>
    </row>
    <row r="746" spans="1:2" hidden="1">
      <c r="A746">
        <v>41597411</v>
      </c>
      <c r="B746" t="s">
        <v>818</v>
      </c>
    </row>
    <row r="747" spans="1:2">
      <c r="A747">
        <v>41597501</v>
      </c>
      <c r="B747" t="s">
        <v>819</v>
      </c>
    </row>
    <row r="748" spans="1:2" hidden="1">
      <c r="A748">
        <v>41598021</v>
      </c>
      <c r="B748" t="s">
        <v>820</v>
      </c>
    </row>
    <row r="749" spans="1:2" hidden="1">
      <c r="A749">
        <v>41598031</v>
      </c>
      <c r="B749" t="s">
        <v>821</v>
      </c>
    </row>
    <row r="750" spans="1:2" hidden="1">
      <c r="A750">
        <v>41599005</v>
      </c>
      <c r="B750" t="s">
        <v>822</v>
      </c>
    </row>
    <row r="751" spans="1:2" hidden="1">
      <c r="A751">
        <v>41599012</v>
      </c>
      <c r="B751" t="s">
        <v>823</v>
      </c>
    </row>
    <row r="752" spans="1:2" hidden="1">
      <c r="A752">
        <v>461220200</v>
      </c>
      <c r="B752" t="s">
        <v>824</v>
      </c>
    </row>
    <row r="753" spans="1:2" hidden="1">
      <c r="A753">
        <v>462320200</v>
      </c>
      <c r="B753" t="s">
        <v>825</v>
      </c>
    </row>
    <row r="754" spans="1:2" hidden="1">
      <c r="A754" t="s">
        <v>826</v>
      </c>
      <c r="B754" t="s">
        <v>827</v>
      </c>
    </row>
    <row r="755" spans="1:2" hidden="1">
      <c r="A755">
        <v>463420200</v>
      </c>
      <c r="B755" t="s">
        <v>828</v>
      </c>
    </row>
    <row r="756" spans="1:2" hidden="1">
      <c r="A756">
        <v>463460210</v>
      </c>
      <c r="B756" t="s">
        <v>829</v>
      </c>
    </row>
    <row r="757" spans="1:2" hidden="1">
      <c r="A757">
        <v>469780210</v>
      </c>
      <c r="B757" t="s">
        <v>830</v>
      </c>
    </row>
    <row r="758" spans="1:2" hidden="1">
      <c r="A758">
        <v>49002040</v>
      </c>
      <c r="B758" t="s">
        <v>831</v>
      </c>
    </row>
    <row r="759" spans="1:2" hidden="1">
      <c r="A759">
        <v>49004840</v>
      </c>
      <c r="B759" t="s">
        <v>831</v>
      </c>
    </row>
    <row r="760" spans="1:2" hidden="1">
      <c r="A760" t="s">
        <v>832</v>
      </c>
      <c r="B760" t="s">
        <v>833</v>
      </c>
    </row>
    <row r="761" spans="1:2" hidden="1">
      <c r="A761" t="s">
        <v>834</v>
      </c>
      <c r="B761" t="s">
        <v>835</v>
      </c>
    </row>
    <row r="762" spans="1:2" hidden="1">
      <c r="A762">
        <v>49004848</v>
      </c>
      <c r="B762" t="s">
        <v>836</v>
      </c>
    </row>
    <row r="763" spans="1:2" hidden="1">
      <c r="A763">
        <v>49004850</v>
      </c>
      <c r="B763" t="s">
        <v>837</v>
      </c>
    </row>
    <row r="764" spans="1:2" hidden="1">
      <c r="A764" t="s">
        <v>838</v>
      </c>
      <c r="B764" t="s">
        <v>839</v>
      </c>
    </row>
    <row r="765" spans="1:2" hidden="1">
      <c r="A765">
        <v>49004852</v>
      </c>
      <c r="B765" t="s">
        <v>840</v>
      </c>
    </row>
    <row r="766" spans="1:2" hidden="1">
      <c r="A766">
        <v>49004853</v>
      </c>
      <c r="B766" t="s">
        <v>841</v>
      </c>
    </row>
    <row r="767" spans="1:2" hidden="1">
      <c r="A767">
        <v>49004860</v>
      </c>
      <c r="B767" t="s">
        <v>842</v>
      </c>
    </row>
    <row r="768" spans="1:2" hidden="1">
      <c r="A768">
        <v>49004861</v>
      </c>
      <c r="B768" t="s">
        <v>843</v>
      </c>
    </row>
    <row r="769" spans="1:2" hidden="1">
      <c r="A769">
        <v>49004862</v>
      </c>
      <c r="B769" t="s">
        <v>844</v>
      </c>
    </row>
    <row r="770" spans="1:2" hidden="1">
      <c r="A770">
        <v>49004863</v>
      </c>
      <c r="B770" t="s">
        <v>845</v>
      </c>
    </row>
    <row r="771" spans="1:2" hidden="1">
      <c r="A771">
        <v>49004864</v>
      </c>
      <c r="B771" t="s">
        <v>846</v>
      </c>
    </row>
    <row r="772" spans="1:2" hidden="1">
      <c r="A772">
        <v>49004865</v>
      </c>
      <c r="B772" t="s">
        <v>847</v>
      </c>
    </row>
    <row r="773" spans="1:2" hidden="1">
      <c r="A773">
        <v>49004866</v>
      </c>
      <c r="B773" t="s">
        <v>848</v>
      </c>
    </row>
    <row r="774" spans="1:2" hidden="1">
      <c r="A774">
        <v>49004867</v>
      </c>
      <c r="B774" t="s">
        <v>849</v>
      </c>
    </row>
    <row r="775" spans="1:2" hidden="1">
      <c r="A775">
        <v>49004868</v>
      </c>
      <c r="B775" t="s">
        <v>850</v>
      </c>
    </row>
    <row r="776" spans="1:2" hidden="1">
      <c r="A776">
        <v>49004869</v>
      </c>
      <c r="B776" t="s">
        <v>851</v>
      </c>
    </row>
    <row r="777" spans="1:2" hidden="1">
      <c r="A777">
        <v>49004870</v>
      </c>
      <c r="B777" t="s">
        <v>852</v>
      </c>
    </row>
    <row r="778" spans="1:2" hidden="1">
      <c r="A778" t="s">
        <v>853</v>
      </c>
      <c r="B778" t="s">
        <v>854</v>
      </c>
    </row>
    <row r="779" spans="1:2" hidden="1">
      <c r="A779">
        <v>503420218</v>
      </c>
      <c r="B779" t="s">
        <v>855</v>
      </c>
    </row>
    <row r="780" spans="1:2" hidden="1">
      <c r="A780" t="s">
        <v>856</v>
      </c>
      <c r="B780" t="s">
        <v>857</v>
      </c>
    </row>
    <row r="781" spans="1:2" hidden="1">
      <c r="A781" t="s">
        <v>858</v>
      </c>
      <c r="B781" t="s">
        <v>854</v>
      </c>
    </row>
    <row r="782" spans="1:2" hidden="1">
      <c r="A782">
        <v>509150210</v>
      </c>
      <c r="B782" t="s">
        <v>859</v>
      </c>
    </row>
    <row r="783" spans="1:2" hidden="1">
      <c r="A783" t="s">
        <v>860</v>
      </c>
      <c r="B783" t="s">
        <v>859</v>
      </c>
    </row>
    <row r="784" spans="1:2" hidden="1">
      <c r="A784" t="s">
        <v>861</v>
      </c>
      <c r="B784" t="s">
        <v>859</v>
      </c>
    </row>
    <row r="785" spans="1:2" hidden="1">
      <c r="A785">
        <v>5310212</v>
      </c>
      <c r="B785" t="s">
        <v>862</v>
      </c>
    </row>
    <row r="786" spans="1:2" hidden="1">
      <c r="A786">
        <v>5317112</v>
      </c>
      <c r="B786" t="s">
        <v>863</v>
      </c>
    </row>
    <row r="787" spans="1:2" hidden="1">
      <c r="A787">
        <v>5323212</v>
      </c>
      <c r="B787" t="s">
        <v>864</v>
      </c>
    </row>
    <row r="788" spans="1:2" hidden="1">
      <c r="A788">
        <v>5324112</v>
      </c>
      <c r="B788" t="s">
        <v>865</v>
      </c>
    </row>
    <row r="789" spans="1:2" hidden="1">
      <c r="A789">
        <v>53341612</v>
      </c>
      <c r="B789" t="s">
        <v>866</v>
      </c>
    </row>
    <row r="790" spans="1:2" hidden="1">
      <c r="A790">
        <v>539121210</v>
      </c>
      <c r="B790" t="s">
        <v>867</v>
      </c>
    </row>
    <row r="791" spans="1:2" hidden="1">
      <c r="A791">
        <v>539156200</v>
      </c>
      <c r="B791" t="s">
        <v>868</v>
      </c>
    </row>
    <row r="792" spans="1:2" hidden="1">
      <c r="A792" t="s">
        <v>869</v>
      </c>
      <c r="B792" t="s">
        <v>870</v>
      </c>
    </row>
    <row r="793" spans="1:2" hidden="1">
      <c r="A793">
        <v>539391200</v>
      </c>
      <c r="B793" t="s">
        <v>871</v>
      </c>
    </row>
    <row r="794" spans="1:2" hidden="1">
      <c r="A794">
        <v>53991512</v>
      </c>
      <c r="B794" t="s">
        <v>872</v>
      </c>
    </row>
    <row r="795" spans="1:2" hidden="1">
      <c r="A795">
        <v>539940200</v>
      </c>
      <c r="B795" t="s">
        <v>873</v>
      </c>
    </row>
    <row r="796" spans="1:2" hidden="1">
      <c r="A796" t="s">
        <v>874</v>
      </c>
      <c r="B796" t="s">
        <v>875</v>
      </c>
    </row>
    <row r="797" spans="1:2" hidden="1">
      <c r="A797" t="s">
        <v>876</v>
      </c>
      <c r="B797" t="s">
        <v>877</v>
      </c>
    </row>
    <row r="798" spans="1:2" hidden="1">
      <c r="A798" t="s">
        <v>878</v>
      </c>
      <c r="B798" t="s">
        <v>879</v>
      </c>
    </row>
    <row r="799" spans="1:2" hidden="1">
      <c r="A799" t="s">
        <v>880</v>
      </c>
      <c r="B799" t="s">
        <v>879</v>
      </c>
    </row>
    <row r="800" spans="1:2" hidden="1">
      <c r="A800" t="s">
        <v>881</v>
      </c>
      <c r="B800" t="s">
        <v>882</v>
      </c>
    </row>
    <row r="801" spans="1:2" hidden="1">
      <c r="A801" t="s">
        <v>883</v>
      </c>
      <c r="B801" t="s">
        <v>882</v>
      </c>
    </row>
    <row r="802" spans="1:2" hidden="1">
      <c r="A802" t="s">
        <v>884</v>
      </c>
      <c r="B802" t="s">
        <v>885</v>
      </c>
    </row>
    <row r="803" spans="1:2" hidden="1">
      <c r="A803" t="s">
        <v>886</v>
      </c>
      <c r="B803" t="s">
        <v>887</v>
      </c>
    </row>
    <row r="804" spans="1:2" hidden="1">
      <c r="A804" t="s">
        <v>888</v>
      </c>
      <c r="B804" t="s">
        <v>889</v>
      </c>
    </row>
    <row r="805" spans="1:2" hidden="1">
      <c r="A805">
        <v>551220200</v>
      </c>
      <c r="B805" t="s">
        <v>890</v>
      </c>
    </row>
    <row r="806" spans="1:2" hidden="1">
      <c r="A806">
        <v>552320200</v>
      </c>
      <c r="B806" t="s">
        <v>891</v>
      </c>
    </row>
    <row r="807" spans="1:2" hidden="1">
      <c r="A807" t="s">
        <v>892</v>
      </c>
      <c r="B807" t="s">
        <v>893</v>
      </c>
    </row>
    <row r="808" spans="1:2" hidden="1">
      <c r="A808">
        <v>553460210</v>
      </c>
      <c r="B808" t="s">
        <v>894</v>
      </c>
    </row>
    <row r="809" spans="1:2" hidden="1">
      <c r="A809">
        <v>553660210</v>
      </c>
      <c r="B809" t="s">
        <v>895</v>
      </c>
    </row>
    <row r="810" spans="1:2" hidden="1">
      <c r="A810">
        <v>559950210</v>
      </c>
      <c r="B810" t="s">
        <v>896</v>
      </c>
    </row>
    <row r="811" spans="1:2" hidden="1">
      <c r="A811">
        <v>60703046</v>
      </c>
      <c r="B811" t="s">
        <v>897</v>
      </c>
    </row>
    <row r="812" spans="1:2" hidden="1">
      <c r="A812">
        <v>60803165</v>
      </c>
      <c r="B812" t="s">
        <v>898</v>
      </c>
    </row>
    <row r="813" spans="1:2" hidden="1">
      <c r="A813">
        <v>60803172</v>
      </c>
      <c r="B813" t="s">
        <v>899</v>
      </c>
    </row>
    <row r="814" spans="1:2" hidden="1">
      <c r="A814">
        <v>61001000</v>
      </c>
      <c r="B814" t="s">
        <v>900</v>
      </c>
    </row>
    <row r="815" spans="1:2" hidden="1">
      <c r="A815">
        <v>61001034</v>
      </c>
      <c r="B815" t="s">
        <v>901</v>
      </c>
    </row>
    <row r="816" spans="1:2" hidden="1">
      <c r="A816">
        <v>61001076</v>
      </c>
      <c r="B816" t="s">
        <v>902</v>
      </c>
    </row>
    <row r="817" spans="1:2" hidden="1">
      <c r="A817">
        <v>61001097</v>
      </c>
      <c r="B817" t="s">
        <v>903</v>
      </c>
    </row>
    <row r="818" spans="1:2" hidden="1">
      <c r="A818">
        <v>61001104</v>
      </c>
      <c r="B818" t="s">
        <v>904</v>
      </c>
    </row>
    <row r="819" spans="1:2" hidden="1">
      <c r="A819">
        <v>61001108</v>
      </c>
      <c r="B819" t="s">
        <v>905</v>
      </c>
    </row>
    <row r="820" spans="1:2" hidden="1">
      <c r="A820">
        <v>61001109</v>
      </c>
      <c r="B820" t="s">
        <v>906</v>
      </c>
    </row>
    <row r="821" spans="1:2" hidden="1">
      <c r="A821">
        <v>61001113</v>
      </c>
      <c r="B821" t="s">
        <v>907</v>
      </c>
    </row>
    <row r="822" spans="1:2" hidden="1">
      <c r="A822">
        <v>61001189</v>
      </c>
      <c r="B822" t="s">
        <v>908</v>
      </c>
    </row>
    <row r="823" spans="1:2" hidden="1">
      <c r="A823">
        <v>61001190</v>
      </c>
      <c r="B823" t="s">
        <v>909</v>
      </c>
    </row>
    <row r="824" spans="1:2" hidden="1">
      <c r="A824">
        <v>61001192</v>
      </c>
      <c r="B824" t="s">
        <v>910</v>
      </c>
    </row>
    <row r="825" spans="1:2" hidden="1">
      <c r="A825">
        <v>61001199</v>
      </c>
      <c r="B825" t="s">
        <v>911</v>
      </c>
    </row>
    <row r="826" spans="1:2" hidden="1">
      <c r="A826">
        <v>61001229</v>
      </c>
      <c r="B826" t="s">
        <v>912</v>
      </c>
    </row>
    <row r="827" spans="1:2" hidden="1">
      <c r="A827">
        <v>61001230</v>
      </c>
      <c r="B827" t="s">
        <v>913</v>
      </c>
    </row>
    <row r="828" spans="1:2" hidden="1">
      <c r="A828">
        <v>61001232</v>
      </c>
      <c r="B828" t="s">
        <v>914</v>
      </c>
    </row>
    <row r="829" spans="1:2" hidden="1">
      <c r="A829">
        <v>61001269</v>
      </c>
      <c r="B829" t="s">
        <v>915</v>
      </c>
    </row>
    <row r="830" spans="1:2" hidden="1">
      <c r="A830">
        <v>61001272</v>
      </c>
      <c r="B830" t="s">
        <v>916</v>
      </c>
    </row>
    <row r="831" spans="1:2" hidden="1">
      <c r="A831">
        <v>61001276</v>
      </c>
      <c r="B831" t="s">
        <v>917</v>
      </c>
    </row>
    <row r="832" spans="1:2" hidden="1">
      <c r="A832">
        <v>61001300</v>
      </c>
      <c r="B832" t="s">
        <v>918</v>
      </c>
    </row>
    <row r="833" spans="1:2" hidden="1">
      <c r="A833">
        <v>61001301</v>
      </c>
      <c r="B833" t="s">
        <v>919</v>
      </c>
    </row>
    <row r="834" spans="1:2" hidden="1">
      <c r="A834">
        <v>61001302</v>
      </c>
      <c r="B834" t="s">
        <v>920</v>
      </c>
    </row>
    <row r="835" spans="1:2" hidden="1">
      <c r="A835">
        <v>61001303</v>
      </c>
      <c r="B835" t="s">
        <v>921</v>
      </c>
    </row>
    <row r="836" spans="1:2" hidden="1">
      <c r="A836">
        <v>61001305</v>
      </c>
      <c r="B836" t="s">
        <v>922</v>
      </c>
    </row>
    <row r="837" spans="1:2" hidden="1">
      <c r="A837">
        <v>61001320</v>
      </c>
      <c r="B837" t="s">
        <v>923</v>
      </c>
    </row>
    <row r="838" spans="1:2" hidden="1">
      <c r="A838">
        <v>61801232</v>
      </c>
      <c r="B838" t="s">
        <v>924</v>
      </c>
    </row>
    <row r="839" spans="1:2" hidden="1">
      <c r="A839">
        <v>61801236</v>
      </c>
      <c r="B839" t="s">
        <v>925</v>
      </c>
    </row>
    <row r="840" spans="1:2" hidden="1">
      <c r="A840">
        <v>61801239</v>
      </c>
      <c r="B840" t="s">
        <v>926</v>
      </c>
    </row>
    <row r="841" spans="1:2" hidden="1">
      <c r="A841">
        <v>61867050</v>
      </c>
      <c r="B841" t="s">
        <v>927</v>
      </c>
    </row>
    <row r="842" spans="1:2" hidden="1">
      <c r="A842">
        <v>622410200</v>
      </c>
      <c r="B842" t="s">
        <v>928</v>
      </c>
    </row>
    <row r="843" spans="1:2" hidden="1">
      <c r="A843" t="s">
        <v>929</v>
      </c>
      <c r="B843" t="s">
        <v>930</v>
      </c>
    </row>
    <row r="844" spans="1:2" hidden="1">
      <c r="A844" t="s">
        <v>931</v>
      </c>
      <c r="B844" t="s">
        <v>932</v>
      </c>
    </row>
    <row r="845" spans="1:2" hidden="1">
      <c r="A845" t="s">
        <v>933</v>
      </c>
      <c r="B845" t="s">
        <v>934</v>
      </c>
    </row>
    <row r="846" spans="1:2" hidden="1">
      <c r="A846" t="s">
        <v>935</v>
      </c>
      <c r="B846" t="s">
        <v>936</v>
      </c>
    </row>
    <row r="847" spans="1:2" hidden="1">
      <c r="A847" t="s">
        <v>937</v>
      </c>
      <c r="B847" t="s">
        <v>938</v>
      </c>
    </row>
    <row r="848" spans="1:2" hidden="1">
      <c r="A848">
        <v>629150210</v>
      </c>
      <c r="B848" t="s">
        <v>939</v>
      </c>
    </row>
    <row r="849" spans="1:2" hidden="1">
      <c r="A849" t="s">
        <v>940</v>
      </c>
      <c r="B849" t="s">
        <v>939</v>
      </c>
    </row>
    <row r="850" spans="1:2" hidden="1">
      <c r="A850" t="s">
        <v>941</v>
      </c>
      <c r="B850" t="s">
        <v>939</v>
      </c>
    </row>
    <row r="851" spans="1:2" hidden="1">
      <c r="A851" t="s">
        <v>942</v>
      </c>
      <c r="B851" t="s">
        <v>943</v>
      </c>
    </row>
    <row r="852" spans="1:2" hidden="1">
      <c r="A852" t="s">
        <v>944</v>
      </c>
      <c r="B852" t="s">
        <v>943</v>
      </c>
    </row>
    <row r="853" spans="1:2" hidden="1">
      <c r="A853" t="s">
        <v>945</v>
      </c>
      <c r="B853" t="s">
        <v>946</v>
      </c>
    </row>
    <row r="854" spans="1:2" hidden="1">
      <c r="A854" t="s">
        <v>947</v>
      </c>
      <c r="B854" t="s">
        <v>948</v>
      </c>
    </row>
    <row r="855" spans="1:2" hidden="1">
      <c r="A855">
        <v>749140200</v>
      </c>
      <c r="B855" t="s">
        <v>949</v>
      </c>
    </row>
    <row r="856" spans="1:2" hidden="1">
      <c r="A856">
        <v>749140210</v>
      </c>
      <c r="B856" t="s">
        <v>950</v>
      </c>
    </row>
    <row r="857" spans="1:2" hidden="1">
      <c r="A857">
        <v>749150200</v>
      </c>
      <c r="B857" t="s">
        <v>951</v>
      </c>
    </row>
    <row r="858" spans="1:2" hidden="1">
      <c r="A858">
        <v>749390210</v>
      </c>
      <c r="B858" t="s">
        <v>952</v>
      </c>
    </row>
    <row r="859" spans="1:2" hidden="1">
      <c r="A859">
        <v>749830210</v>
      </c>
      <c r="B859" t="s">
        <v>953</v>
      </c>
    </row>
    <row r="860" spans="1:2" hidden="1">
      <c r="A860">
        <v>780130200</v>
      </c>
      <c r="B860" t="s">
        <v>954</v>
      </c>
    </row>
    <row r="861" spans="1:2" hidden="1">
      <c r="A861">
        <v>7900150</v>
      </c>
      <c r="B861" t="s">
        <v>955</v>
      </c>
    </row>
    <row r="862" spans="1:2" hidden="1">
      <c r="A862">
        <v>790027200</v>
      </c>
      <c r="B862" t="s">
        <v>956</v>
      </c>
    </row>
    <row r="863" spans="1:2" hidden="1">
      <c r="A863">
        <v>7900550</v>
      </c>
      <c r="B863" t="s">
        <v>957</v>
      </c>
    </row>
    <row r="864" spans="1:2" hidden="1">
      <c r="A864">
        <v>7900602</v>
      </c>
      <c r="B864" t="s">
        <v>958</v>
      </c>
    </row>
    <row r="865" spans="1:2" hidden="1">
      <c r="A865">
        <v>7900603</v>
      </c>
      <c r="B865" t="s">
        <v>959</v>
      </c>
    </row>
    <row r="866" spans="1:2" hidden="1">
      <c r="A866">
        <v>7900605</v>
      </c>
      <c r="B866" t="s">
        <v>960</v>
      </c>
    </row>
    <row r="867" spans="1:2" hidden="1">
      <c r="A867">
        <v>7900650</v>
      </c>
      <c r="B867" t="s">
        <v>961</v>
      </c>
    </row>
    <row r="868" spans="1:2" hidden="1">
      <c r="A868">
        <v>7900651</v>
      </c>
      <c r="B868" t="s">
        <v>962</v>
      </c>
    </row>
    <row r="869" spans="1:2" hidden="1">
      <c r="A869">
        <v>7900654</v>
      </c>
      <c r="B869" t="s">
        <v>963</v>
      </c>
    </row>
    <row r="870" spans="1:2" hidden="1">
      <c r="A870">
        <v>790066300</v>
      </c>
      <c r="B870" t="s">
        <v>964</v>
      </c>
    </row>
    <row r="871" spans="1:2" hidden="1">
      <c r="A871">
        <v>790066700</v>
      </c>
      <c r="B871" t="s">
        <v>965</v>
      </c>
    </row>
    <row r="872" spans="1:2" hidden="1">
      <c r="A872">
        <v>790066800</v>
      </c>
      <c r="B872" t="s">
        <v>966</v>
      </c>
    </row>
    <row r="873" spans="1:2" hidden="1">
      <c r="A873">
        <v>790067000</v>
      </c>
      <c r="B873" t="s">
        <v>967</v>
      </c>
    </row>
    <row r="874" spans="1:2" hidden="1">
      <c r="A874">
        <v>790067100</v>
      </c>
      <c r="B874" t="s">
        <v>968</v>
      </c>
    </row>
    <row r="875" spans="1:2" hidden="1">
      <c r="A875">
        <v>790067300</v>
      </c>
      <c r="B875" t="s">
        <v>969</v>
      </c>
    </row>
    <row r="876" spans="1:2" hidden="1">
      <c r="A876">
        <v>7900750</v>
      </c>
      <c r="B876" t="s">
        <v>970</v>
      </c>
    </row>
    <row r="877" spans="1:2" hidden="1">
      <c r="A877">
        <v>7900751</v>
      </c>
      <c r="B877" t="s">
        <v>971</v>
      </c>
    </row>
    <row r="878" spans="1:2" hidden="1">
      <c r="A878">
        <v>7900752</v>
      </c>
      <c r="B878" t="s">
        <v>972</v>
      </c>
    </row>
    <row r="879" spans="1:2" hidden="1">
      <c r="A879">
        <v>7901050</v>
      </c>
      <c r="B879" t="s">
        <v>973</v>
      </c>
    </row>
    <row r="880" spans="1:2" hidden="1">
      <c r="A880">
        <v>81216061</v>
      </c>
      <c r="B880" t="s">
        <v>974</v>
      </c>
    </row>
    <row r="881" spans="1:2" hidden="1">
      <c r="A881">
        <v>81216067</v>
      </c>
      <c r="B881" t="s">
        <v>975</v>
      </c>
    </row>
    <row r="882" spans="1:2" hidden="1">
      <c r="A882">
        <v>81476061</v>
      </c>
      <c r="B882" t="s">
        <v>976</v>
      </c>
    </row>
    <row r="883" spans="1:2">
      <c r="A883">
        <v>81543107</v>
      </c>
      <c r="B883" t="s">
        <v>977</v>
      </c>
    </row>
    <row r="884" spans="1:2" hidden="1">
      <c r="A884">
        <v>81543286</v>
      </c>
      <c r="B884" t="s">
        <v>978</v>
      </c>
    </row>
    <row r="885" spans="1:2" hidden="1">
      <c r="A885">
        <v>81712071</v>
      </c>
      <c r="B885" t="s">
        <v>979</v>
      </c>
    </row>
    <row r="886" spans="1:2" hidden="1">
      <c r="A886">
        <v>81911362</v>
      </c>
      <c r="B886" t="s">
        <v>980</v>
      </c>
    </row>
    <row r="887" spans="1:2" hidden="1">
      <c r="A887">
        <v>81911462</v>
      </c>
      <c r="B887" t="s">
        <v>981</v>
      </c>
    </row>
    <row r="888" spans="1:2" hidden="1">
      <c r="A888">
        <v>8917102</v>
      </c>
      <c r="B888" t="s">
        <v>982</v>
      </c>
    </row>
    <row r="889" spans="1:2" hidden="1">
      <c r="A889">
        <v>8924102</v>
      </c>
      <c r="B889" t="s">
        <v>983</v>
      </c>
    </row>
    <row r="890" spans="1:2" hidden="1">
      <c r="A890">
        <v>89341602</v>
      </c>
      <c r="B890" t="s">
        <v>984</v>
      </c>
    </row>
    <row r="891" spans="1:2" hidden="1">
      <c r="A891">
        <v>904131</v>
      </c>
      <c r="B891" t="s">
        <v>487</v>
      </c>
    </row>
    <row r="892" spans="1:2" hidden="1">
      <c r="A892">
        <v>915111130</v>
      </c>
      <c r="B892" t="s">
        <v>985</v>
      </c>
    </row>
    <row r="893" spans="1:2" hidden="1">
      <c r="A893">
        <v>915411215</v>
      </c>
      <c r="B893" t="s">
        <v>986</v>
      </c>
    </row>
    <row r="894" spans="1:2" hidden="1">
      <c r="A894">
        <v>915411415</v>
      </c>
      <c r="B894" t="s">
        <v>987</v>
      </c>
    </row>
    <row r="895" spans="1:2" hidden="1">
      <c r="A895">
        <v>94228053</v>
      </c>
      <c r="B895" t="s">
        <v>988</v>
      </c>
    </row>
    <row r="896" spans="1:2" hidden="1">
      <c r="A896">
        <v>96911402</v>
      </c>
      <c r="B896" t="s">
        <v>989</v>
      </c>
    </row>
    <row r="897" spans="1:2" hidden="1">
      <c r="A897">
        <v>9717002</v>
      </c>
      <c r="B897" t="s">
        <v>990</v>
      </c>
    </row>
    <row r="898" spans="1:2" hidden="1">
      <c r="A898">
        <v>9724002</v>
      </c>
      <c r="B898" t="s">
        <v>991</v>
      </c>
    </row>
    <row r="899" spans="1:2" hidden="1">
      <c r="A899">
        <v>97341602</v>
      </c>
      <c r="B899" t="s">
        <v>992</v>
      </c>
    </row>
    <row r="900" spans="1:2" hidden="1">
      <c r="A900" t="s">
        <v>993</v>
      </c>
      <c r="B900" t="s">
        <v>994</v>
      </c>
    </row>
    <row r="901" spans="1:2" hidden="1">
      <c r="A901" t="s">
        <v>995</v>
      </c>
      <c r="B901" t="s">
        <v>994</v>
      </c>
    </row>
    <row r="902" spans="1:2" hidden="1">
      <c r="A902" t="s">
        <v>996</v>
      </c>
      <c r="B902" t="s">
        <v>997</v>
      </c>
    </row>
    <row r="903" spans="1:2" hidden="1">
      <c r="A903">
        <v>97931802</v>
      </c>
      <c r="B903" t="s">
        <v>998</v>
      </c>
    </row>
    <row r="904" spans="1:2" hidden="1">
      <c r="A904" t="s">
        <v>999</v>
      </c>
      <c r="B904" t="s">
        <v>1000</v>
      </c>
    </row>
    <row r="905" spans="1:2" hidden="1">
      <c r="A905">
        <v>99191003</v>
      </c>
      <c r="B905" t="s">
        <v>1001</v>
      </c>
    </row>
    <row r="906" spans="1:2" hidden="1">
      <c r="A906">
        <v>99191012</v>
      </c>
      <c r="B906" t="s">
        <v>1002</v>
      </c>
    </row>
    <row r="907" spans="1:2" hidden="1">
      <c r="A907" t="s">
        <v>1003</v>
      </c>
      <c r="B907" t="s">
        <v>1004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S22"/>
  <sheetViews>
    <sheetView topLeftCell="A2" workbookViewId="0">
      <selection activeCell="H29" sqref="H29"/>
    </sheetView>
  </sheetViews>
  <sheetFormatPr baseColWidth="10" defaultRowHeight="15"/>
  <cols>
    <col min="1" max="1" width="7.33203125" customWidth="1"/>
    <col min="4" max="4" width="8.6640625" customWidth="1"/>
    <col min="5" max="5" width="14.5" bestFit="1" customWidth="1"/>
    <col min="6" max="6" width="45.1640625" customWidth="1"/>
    <col min="7" max="7" width="34.5" customWidth="1"/>
    <col min="8" max="8" width="9.83203125" customWidth="1"/>
    <col min="11" max="11" width="12.1640625" bestFit="1" customWidth="1"/>
    <col min="12" max="12" width="43.5" customWidth="1"/>
    <col min="13" max="13" width="28.6640625" customWidth="1"/>
    <col min="14" max="14" width="14.33203125" customWidth="1"/>
    <col min="16" max="16" width="30.1640625" customWidth="1"/>
    <col min="18" max="18" width="15.83203125" customWidth="1"/>
    <col min="19" max="19" width="23.33203125" customWidth="1"/>
  </cols>
  <sheetData>
    <row r="4" spans="1:19" ht="18">
      <c r="A4" s="124"/>
      <c r="B4" s="124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124"/>
      <c r="O4" s="124"/>
      <c r="P4" s="124"/>
    </row>
    <row r="5" spans="1:19" ht="18">
      <c r="A5" s="124"/>
      <c r="B5" s="124"/>
      <c r="C5" s="125" t="s">
        <v>1005</v>
      </c>
      <c r="D5" s="126"/>
      <c r="E5" s="126"/>
      <c r="F5" s="66"/>
      <c r="G5" s="126"/>
      <c r="H5" s="126"/>
      <c r="I5" s="126"/>
      <c r="J5" s="126"/>
      <c r="K5" s="126"/>
      <c r="L5" s="126"/>
      <c r="M5" s="126"/>
      <c r="N5" s="127"/>
      <c r="O5" s="127"/>
      <c r="P5" s="124"/>
    </row>
    <row r="6" spans="1:19" ht="19" thickBot="1">
      <c r="A6" s="124"/>
      <c r="B6" s="127"/>
      <c r="C6" s="128" t="s">
        <v>1</v>
      </c>
      <c r="D6" s="128"/>
      <c r="E6" s="128"/>
      <c r="F6" s="66"/>
      <c r="G6" s="65"/>
      <c r="H6" s="65"/>
      <c r="I6" s="65"/>
      <c r="J6" s="65" t="s">
        <v>1006</v>
      </c>
      <c r="K6" s="66"/>
      <c r="L6" s="129" t="s">
        <v>1044</v>
      </c>
      <c r="M6" s="65"/>
      <c r="P6" s="124"/>
    </row>
    <row r="7" spans="1:19" s="1" customFormat="1" ht="102">
      <c r="A7" s="130"/>
      <c r="B7" s="131" t="s">
        <v>1007</v>
      </c>
      <c r="C7" s="132" t="s">
        <v>1028</v>
      </c>
      <c r="D7" s="132" t="s">
        <v>30</v>
      </c>
      <c r="E7" s="133" t="s">
        <v>1008</v>
      </c>
      <c r="F7" s="132" t="s">
        <v>1009</v>
      </c>
      <c r="G7" s="132" t="s">
        <v>1010</v>
      </c>
      <c r="H7" s="131" t="s">
        <v>34</v>
      </c>
      <c r="I7" s="132" t="s">
        <v>1011</v>
      </c>
      <c r="J7" s="132" t="s">
        <v>1012</v>
      </c>
      <c r="K7" s="132" t="s">
        <v>1013</v>
      </c>
      <c r="L7" s="132" t="s">
        <v>38</v>
      </c>
      <c r="M7" s="134" t="s">
        <v>1014</v>
      </c>
      <c r="N7" s="132" t="s">
        <v>40</v>
      </c>
      <c r="O7" s="135" t="s">
        <v>41</v>
      </c>
      <c r="P7" s="132" t="s">
        <v>1015</v>
      </c>
      <c r="Q7" s="136" t="s">
        <v>43</v>
      </c>
      <c r="R7" s="108" t="s">
        <v>44</v>
      </c>
      <c r="S7" s="108" t="s">
        <v>1016</v>
      </c>
    </row>
    <row r="8" spans="1:19" s="2" customFormat="1" ht="24" customHeight="1">
      <c r="A8" s="137">
        <v>1</v>
      </c>
      <c r="B8" s="138">
        <v>45870</v>
      </c>
      <c r="C8" s="139" t="s">
        <v>1118</v>
      </c>
      <c r="D8" s="139" t="s">
        <v>24</v>
      </c>
      <c r="E8" s="140">
        <v>111910000</v>
      </c>
      <c r="F8" s="141" t="str">
        <f t="shared" ref="F8:F14" si="0">VLOOKUP(E8,PROD,2,FALSE)</f>
        <v>MLH 845 SS - MICROONDAS</v>
      </c>
      <c r="G8" s="142" t="s">
        <v>1124</v>
      </c>
      <c r="H8" s="143" t="s">
        <v>24</v>
      </c>
      <c r="I8" s="139" t="s">
        <v>25</v>
      </c>
      <c r="J8" s="144" t="s">
        <v>1017</v>
      </c>
      <c r="K8" s="145">
        <v>45894</v>
      </c>
      <c r="L8" s="146" t="s">
        <v>1134</v>
      </c>
      <c r="M8" s="146" t="s">
        <v>1125</v>
      </c>
      <c r="N8" s="147" t="s">
        <v>1126</v>
      </c>
      <c r="O8" s="148">
        <v>15</v>
      </c>
      <c r="P8" s="139" t="s">
        <v>60</v>
      </c>
      <c r="Q8" s="149" t="s">
        <v>25</v>
      </c>
      <c r="R8" s="149">
        <v>103642708</v>
      </c>
      <c r="S8" s="149"/>
    </row>
    <row r="9" spans="1:19" s="2" customFormat="1" ht="24" customHeight="1">
      <c r="A9" s="137">
        <v>2</v>
      </c>
      <c r="B9" s="138">
        <v>45870</v>
      </c>
      <c r="C9" s="139" t="s">
        <v>1118</v>
      </c>
      <c r="D9" s="139" t="s">
        <v>24</v>
      </c>
      <c r="E9" s="140">
        <v>112910007</v>
      </c>
      <c r="F9" s="141" t="str">
        <f t="shared" si="0"/>
        <v>CC 480 BK ISLA INOX CAMPANA</v>
      </c>
      <c r="G9" s="142" t="s">
        <v>1127</v>
      </c>
      <c r="H9" s="143" t="s">
        <v>24</v>
      </c>
      <c r="I9" s="139" t="s">
        <v>25</v>
      </c>
      <c r="J9" s="144" t="s">
        <v>1017</v>
      </c>
      <c r="K9" s="145">
        <v>45896</v>
      </c>
      <c r="L9" s="146" t="s">
        <v>1133</v>
      </c>
      <c r="M9" s="146" t="s">
        <v>1125</v>
      </c>
      <c r="N9" s="147" t="s">
        <v>1135</v>
      </c>
      <c r="O9" s="148">
        <v>15</v>
      </c>
      <c r="P9" s="139" t="s">
        <v>60</v>
      </c>
      <c r="Q9" s="149" t="s">
        <v>25</v>
      </c>
      <c r="R9" s="149">
        <v>104578620</v>
      </c>
      <c r="S9" s="149"/>
    </row>
    <row r="10" spans="1:19" s="2" customFormat="1" ht="24" customHeight="1">
      <c r="A10" s="137">
        <v>3</v>
      </c>
      <c r="B10" s="138">
        <v>45870</v>
      </c>
      <c r="C10" s="139" t="s">
        <v>1118</v>
      </c>
      <c r="D10" s="139" t="s">
        <v>24</v>
      </c>
      <c r="E10" s="140">
        <v>112950019</v>
      </c>
      <c r="F10" s="141" t="str">
        <f t="shared" si="0"/>
        <v>DVN 64030 TCL BK CAMPANA (110V-60HZ) C/KIT</v>
      </c>
      <c r="G10" s="142" t="s">
        <v>1128</v>
      </c>
      <c r="H10" s="143" t="s">
        <v>24</v>
      </c>
      <c r="I10" s="139" t="s">
        <v>25</v>
      </c>
      <c r="J10" s="144" t="s">
        <v>1017</v>
      </c>
      <c r="K10" s="145">
        <v>45896</v>
      </c>
      <c r="L10" s="146" t="s">
        <v>1133</v>
      </c>
      <c r="M10" s="146" t="s">
        <v>1125</v>
      </c>
      <c r="N10" s="147" t="s">
        <v>1135</v>
      </c>
      <c r="O10" s="148">
        <v>15</v>
      </c>
      <c r="P10" s="139" t="s">
        <v>60</v>
      </c>
      <c r="Q10" s="149" t="s">
        <v>25</v>
      </c>
      <c r="R10" s="149">
        <v>104578620</v>
      </c>
      <c r="S10" s="149"/>
    </row>
    <row r="11" spans="1:19" s="2" customFormat="1" ht="24" customHeight="1">
      <c r="A11" s="137">
        <v>4</v>
      </c>
      <c r="B11" s="138">
        <v>45870</v>
      </c>
      <c r="C11" s="139" t="s">
        <v>1118</v>
      </c>
      <c r="D11" s="139" t="s">
        <v>24</v>
      </c>
      <c r="E11" s="140">
        <v>40455334</v>
      </c>
      <c r="F11" s="141" t="str">
        <f t="shared" si="0"/>
        <v>NC 980 CRISTAL CAMPANA (110V-60HZ) C/KIT</v>
      </c>
      <c r="G11" s="142" t="s">
        <v>1129</v>
      </c>
      <c r="H11" s="143" t="s">
        <v>24</v>
      </c>
      <c r="I11" s="139" t="s">
        <v>25</v>
      </c>
      <c r="J11" s="144" t="s">
        <v>1017</v>
      </c>
      <c r="K11" s="145">
        <v>45896</v>
      </c>
      <c r="L11" s="146" t="s">
        <v>1133</v>
      </c>
      <c r="M11" s="146" t="s">
        <v>1125</v>
      </c>
      <c r="N11" s="147" t="s">
        <v>1135</v>
      </c>
      <c r="O11" s="148">
        <v>15</v>
      </c>
      <c r="P11" s="139" t="s">
        <v>60</v>
      </c>
      <c r="Q11" s="149" t="s">
        <v>25</v>
      </c>
      <c r="R11" s="149">
        <v>104578620</v>
      </c>
      <c r="S11" s="149"/>
    </row>
    <row r="12" spans="1:19" s="2" customFormat="1" ht="24" customHeight="1">
      <c r="A12" s="137">
        <v>5</v>
      </c>
      <c r="B12" s="138">
        <v>45870</v>
      </c>
      <c r="C12" s="139" t="s">
        <v>1118</v>
      </c>
      <c r="D12" s="139" t="s">
        <v>24</v>
      </c>
      <c r="E12" s="140">
        <v>112950020</v>
      </c>
      <c r="F12" s="141" t="str">
        <f t="shared" si="0"/>
        <v>DVN 74030 TCL BK CAMPANA (110V-60HZ) C/KIT</v>
      </c>
      <c r="G12" s="142" t="s">
        <v>1130</v>
      </c>
      <c r="H12" s="143" t="s">
        <v>24</v>
      </c>
      <c r="I12" s="139" t="s">
        <v>25</v>
      </c>
      <c r="J12" s="144" t="s">
        <v>1017</v>
      </c>
      <c r="K12" s="145">
        <v>45896</v>
      </c>
      <c r="L12" s="146" t="s">
        <v>1133</v>
      </c>
      <c r="M12" s="146" t="s">
        <v>1125</v>
      </c>
      <c r="N12" s="147" t="s">
        <v>1135</v>
      </c>
      <c r="O12" s="148">
        <v>15</v>
      </c>
      <c r="P12" s="139" t="s">
        <v>60</v>
      </c>
      <c r="Q12" s="149" t="s">
        <v>25</v>
      </c>
      <c r="R12" s="149">
        <v>104578620</v>
      </c>
      <c r="S12" s="149"/>
    </row>
    <row r="13" spans="1:19" s="2" customFormat="1" ht="24" customHeight="1">
      <c r="A13" s="137">
        <v>6</v>
      </c>
      <c r="B13" s="138">
        <v>45870</v>
      </c>
      <c r="C13" s="139" t="s">
        <v>1118</v>
      </c>
      <c r="D13" s="139" t="s">
        <v>24</v>
      </c>
      <c r="E13" s="140">
        <v>40484203</v>
      </c>
      <c r="F13" s="141" t="str">
        <f t="shared" si="0"/>
        <v>DSH 785 INOX CAMPANA (110V-60HZ) C/KIT</v>
      </c>
      <c r="G13" s="142" t="s">
        <v>1131</v>
      </c>
      <c r="H13" s="143" t="s">
        <v>24</v>
      </c>
      <c r="I13" s="139" t="s">
        <v>25</v>
      </c>
      <c r="J13" s="144" t="s">
        <v>1017</v>
      </c>
      <c r="K13" s="145">
        <v>45896</v>
      </c>
      <c r="L13" s="146" t="s">
        <v>1133</v>
      </c>
      <c r="M13" s="146" t="s">
        <v>1125</v>
      </c>
      <c r="N13" s="147" t="s">
        <v>1135</v>
      </c>
      <c r="O13" s="148">
        <v>15</v>
      </c>
      <c r="P13" s="139" t="s">
        <v>60</v>
      </c>
      <c r="Q13" s="149" t="s">
        <v>25</v>
      </c>
      <c r="R13" s="149">
        <v>104578620</v>
      </c>
      <c r="S13" s="149"/>
    </row>
    <row r="14" spans="1:19" s="2" customFormat="1" ht="24" customHeight="1">
      <c r="A14" s="137">
        <v>7</v>
      </c>
      <c r="B14" s="138">
        <v>45870</v>
      </c>
      <c r="C14" s="139" t="s">
        <v>1118</v>
      </c>
      <c r="D14" s="139" t="s">
        <v>24</v>
      </c>
      <c r="E14" s="140">
        <v>112970010</v>
      </c>
      <c r="F14" s="141" t="str">
        <f t="shared" si="0"/>
        <v>DSH 986 FBK CAMPANA</v>
      </c>
      <c r="G14" s="142" t="s">
        <v>1132</v>
      </c>
      <c r="H14" s="143" t="s">
        <v>24</v>
      </c>
      <c r="I14" s="139" t="s">
        <v>25</v>
      </c>
      <c r="J14" s="144" t="s">
        <v>1017</v>
      </c>
      <c r="K14" s="145">
        <v>45896</v>
      </c>
      <c r="L14" s="146" t="s">
        <v>1133</v>
      </c>
      <c r="M14" s="146" t="s">
        <v>1125</v>
      </c>
      <c r="N14" s="147" t="s">
        <v>1135</v>
      </c>
      <c r="O14" s="148">
        <v>15</v>
      </c>
      <c r="P14" s="139" t="s">
        <v>60</v>
      </c>
      <c r="Q14" s="149" t="s">
        <v>25</v>
      </c>
      <c r="R14" s="149">
        <v>104578620</v>
      </c>
      <c r="S14" s="149"/>
    </row>
    <row r="15" spans="1:19">
      <c r="O15" s="89">
        <f>SUM(O8:O14)</f>
        <v>105</v>
      </c>
    </row>
    <row r="22" spans="7:10" ht="20">
      <c r="G22" s="268">
        <v>7</v>
      </c>
      <c r="H22" s="3" t="s">
        <v>1018</v>
      </c>
      <c r="I22" s="3">
        <v>15</v>
      </c>
      <c r="J22" s="3">
        <f>G22*I22</f>
        <v>105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V190"/>
  <sheetViews>
    <sheetView tabSelected="1" zoomScale="110" zoomScaleNormal="110" workbookViewId="0">
      <selection activeCell="D11" sqref="D11"/>
    </sheetView>
  </sheetViews>
  <sheetFormatPr baseColWidth="10" defaultRowHeight="15"/>
  <cols>
    <col min="1" max="1" width="5.1640625" customWidth="1"/>
    <col min="2" max="2" width="10.5" customWidth="1"/>
    <col min="3" max="3" width="27.33203125" style="124" customWidth="1"/>
    <col min="4" max="4" width="23.5" style="124" customWidth="1"/>
    <col min="5" max="5" width="16.5" bestFit="1" customWidth="1"/>
    <col min="6" max="6" width="14" customWidth="1"/>
    <col min="7" max="7" width="15" customWidth="1"/>
    <col min="8" max="8" width="46.6640625" customWidth="1"/>
    <col min="9" max="9" width="27.83203125" customWidth="1"/>
    <col min="10" max="10" width="20.6640625" customWidth="1"/>
    <col min="11" max="11" width="12" customWidth="1"/>
    <col min="15" max="15" width="18.1640625" customWidth="1"/>
    <col min="16" max="16" width="5.6640625" customWidth="1"/>
    <col min="17" max="17" width="13.5" bestFit="1" customWidth="1"/>
    <col min="18" max="18" width="44.5" customWidth="1"/>
    <col min="19" max="19" width="17.83203125" customWidth="1"/>
    <col min="20" max="20" width="43.83203125" customWidth="1"/>
  </cols>
  <sheetData>
    <row r="3" spans="1:21">
      <c r="B3" s="150" t="s">
        <v>1005</v>
      </c>
      <c r="C3" s="151"/>
      <c r="D3" s="151"/>
      <c r="E3" s="151"/>
      <c r="F3" s="152"/>
      <c r="G3" s="152"/>
      <c r="H3" s="152"/>
      <c r="I3" s="152"/>
      <c r="J3" s="153"/>
      <c r="K3" s="154"/>
      <c r="L3" s="153"/>
      <c r="M3" s="155"/>
      <c r="N3" s="153"/>
      <c r="O3" s="153"/>
      <c r="P3" s="153"/>
      <c r="Q3" s="153"/>
      <c r="R3" s="153"/>
      <c r="S3" s="152"/>
      <c r="T3" s="156"/>
    </row>
    <row r="4" spans="1:21">
      <c r="B4" s="150" t="s">
        <v>1019</v>
      </c>
      <c r="C4" s="151"/>
      <c r="D4" s="151"/>
      <c r="E4" s="151"/>
      <c r="F4" s="152"/>
      <c r="G4" s="152"/>
      <c r="H4" s="152"/>
      <c r="I4" s="152"/>
      <c r="J4" s="153"/>
      <c r="K4" s="154"/>
      <c r="L4" s="153"/>
      <c r="M4" s="155"/>
      <c r="N4" s="153"/>
      <c r="O4" s="153"/>
      <c r="P4" s="153"/>
      <c r="Q4" s="153"/>
      <c r="R4" s="153"/>
      <c r="S4" s="152"/>
      <c r="T4" s="156"/>
    </row>
    <row r="5" spans="1:21">
      <c r="B5" s="150" t="s">
        <v>1707</v>
      </c>
      <c r="C5" s="151"/>
      <c r="D5" s="151"/>
      <c r="E5" s="151"/>
      <c r="F5" s="152"/>
      <c r="G5" s="152"/>
      <c r="H5" s="152"/>
      <c r="I5" s="152"/>
      <c r="J5" s="153"/>
      <c r="K5" s="154"/>
      <c r="L5" s="153"/>
      <c r="M5" s="155"/>
      <c r="N5" s="153"/>
      <c r="O5" s="153"/>
      <c r="P5" s="153"/>
      <c r="Q5" s="153"/>
      <c r="R5" s="153"/>
      <c r="S5" s="152"/>
      <c r="T5" s="156"/>
    </row>
    <row r="6" spans="1:21" s="1" customFormat="1" ht="51">
      <c r="B6" s="136" t="s">
        <v>1020</v>
      </c>
      <c r="C6" s="190" t="s">
        <v>1021</v>
      </c>
      <c r="D6" s="190" t="s">
        <v>1022</v>
      </c>
      <c r="E6" s="136" t="s">
        <v>1023</v>
      </c>
      <c r="F6" s="136" t="s">
        <v>1024</v>
      </c>
      <c r="G6" s="157" t="s">
        <v>1025</v>
      </c>
      <c r="H6" s="136" t="s">
        <v>1026</v>
      </c>
      <c r="I6" s="136" t="s">
        <v>1027</v>
      </c>
      <c r="J6" s="136" t="s">
        <v>1028</v>
      </c>
      <c r="K6" s="136" t="s">
        <v>1007</v>
      </c>
      <c r="L6" s="136" t="s">
        <v>1011</v>
      </c>
      <c r="M6" s="158" t="s">
        <v>1029</v>
      </c>
      <c r="N6" s="158" t="s">
        <v>1030</v>
      </c>
      <c r="O6" s="136" t="s">
        <v>1031</v>
      </c>
      <c r="P6" s="159" t="s">
        <v>1032</v>
      </c>
      <c r="Q6" s="136" t="s">
        <v>1033</v>
      </c>
      <c r="R6" s="136" t="s">
        <v>1034</v>
      </c>
      <c r="S6" s="136" t="s">
        <v>1035</v>
      </c>
      <c r="T6" s="136" t="s">
        <v>1036</v>
      </c>
    </row>
    <row r="7" spans="1:21" s="4" customFormat="1" ht="20">
      <c r="A7" s="214">
        <v>1</v>
      </c>
      <c r="B7" s="221">
        <v>45889</v>
      </c>
      <c r="C7" s="222" t="s">
        <v>1051</v>
      </c>
      <c r="D7" s="223" t="s">
        <v>1052</v>
      </c>
      <c r="E7" s="222">
        <v>939721093</v>
      </c>
      <c r="F7" s="214" t="s">
        <v>1040</v>
      </c>
      <c r="G7" s="222">
        <v>112030009</v>
      </c>
      <c r="H7" s="215" t="str">
        <f t="shared" ref="H7:H70" si="0">VLOOKUP(G7,PROD,2,FALSE)</f>
        <v>ML 82-G1 BIS L BM - MICROONDAS</v>
      </c>
      <c r="I7" s="214" t="s">
        <v>1550</v>
      </c>
      <c r="J7" s="222" t="s">
        <v>1045</v>
      </c>
      <c r="K7" s="224">
        <v>45757</v>
      </c>
      <c r="L7" s="214" t="s">
        <v>25</v>
      </c>
      <c r="M7" s="214" t="s">
        <v>24</v>
      </c>
      <c r="N7" s="214" t="s">
        <v>24</v>
      </c>
      <c r="O7" s="222" t="s">
        <v>1047</v>
      </c>
      <c r="P7" s="214"/>
      <c r="Q7" s="216">
        <f>B7-1</f>
        <v>45888</v>
      </c>
      <c r="R7" s="222" t="s">
        <v>1053</v>
      </c>
      <c r="S7" s="225">
        <v>900061605</v>
      </c>
      <c r="T7" s="214" t="s">
        <v>1039</v>
      </c>
      <c r="U7" s="213"/>
    </row>
    <row r="8" spans="1:21" s="4" customFormat="1" ht="20">
      <c r="A8" s="214">
        <v>2</v>
      </c>
      <c r="B8" s="226">
        <v>45889</v>
      </c>
      <c r="C8" s="227" t="s">
        <v>1051</v>
      </c>
      <c r="D8" s="228" t="s">
        <v>1052</v>
      </c>
      <c r="E8" s="227">
        <v>939721093</v>
      </c>
      <c r="F8" s="214" t="s">
        <v>1040</v>
      </c>
      <c r="G8" s="227">
        <v>111000059</v>
      </c>
      <c r="H8" s="215" t="str">
        <f t="shared" si="0"/>
        <v>HLB 85-G1 P BM Maestro Pizza</v>
      </c>
      <c r="I8" s="214" t="s">
        <v>1550</v>
      </c>
      <c r="J8" s="227" t="s">
        <v>1045</v>
      </c>
      <c r="K8" s="229">
        <v>45757</v>
      </c>
      <c r="L8" s="214" t="s">
        <v>25</v>
      </c>
      <c r="M8" s="214" t="s">
        <v>24</v>
      </c>
      <c r="N8" s="214" t="s">
        <v>24</v>
      </c>
      <c r="O8" s="227" t="s">
        <v>1048</v>
      </c>
      <c r="P8" s="214"/>
      <c r="Q8" s="216">
        <f t="shared" ref="Q8:Q71" si="1">B8-1</f>
        <v>45888</v>
      </c>
      <c r="R8" s="227" t="s">
        <v>1053</v>
      </c>
      <c r="S8" s="230">
        <v>900061605</v>
      </c>
      <c r="T8" s="214" t="s">
        <v>1039</v>
      </c>
      <c r="U8" s="213"/>
    </row>
    <row r="9" spans="1:21" s="4" customFormat="1" ht="20">
      <c r="A9" s="214">
        <v>3</v>
      </c>
      <c r="B9" s="221">
        <v>45889</v>
      </c>
      <c r="C9" s="222" t="s">
        <v>1051</v>
      </c>
      <c r="D9" s="223" t="s">
        <v>1052</v>
      </c>
      <c r="E9" s="222">
        <v>939721093</v>
      </c>
      <c r="F9" s="214" t="s">
        <v>1040</v>
      </c>
      <c r="G9" s="222">
        <v>112570238</v>
      </c>
      <c r="H9" s="215" t="str">
        <f t="shared" si="0"/>
        <v>GBC 95-G1 GBA BM COCINA GAS</v>
      </c>
      <c r="I9" s="214" t="s">
        <v>1550</v>
      </c>
      <c r="J9" s="222" t="s">
        <v>1045</v>
      </c>
      <c r="K9" s="224">
        <v>45757</v>
      </c>
      <c r="L9" s="214" t="s">
        <v>25</v>
      </c>
      <c r="M9" s="214" t="s">
        <v>24</v>
      </c>
      <c r="N9" s="214" t="s">
        <v>24</v>
      </c>
      <c r="O9" s="222" t="s">
        <v>1049</v>
      </c>
      <c r="P9" s="214"/>
      <c r="Q9" s="216">
        <f t="shared" si="1"/>
        <v>45888</v>
      </c>
      <c r="R9" s="222" t="s">
        <v>1053</v>
      </c>
      <c r="S9" s="225">
        <v>900061605</v>
      </c>
      <c r="T9" s="214" t="s">
        <v>1039</v>
      </c>
      <c r="U9" s="213"/>
    </row>
    <row r="10" spans="1:21" s="4" customFormat="1" ht="20">
      <c r="A10" s="214">
        <v>4</v>
      </c>
      <c r="B10" s="226">
        <v>45889</v>
      </c>
      <c r="C10" s="227" t="s">
        <v>1051</v>
      </c>
      <c r="D10" s="228" t="s">
        <v>1052</v>
      </c>
      <c r="E10" s="227">
        <v>939721093</v>
      </c>
      <c r="F10" s="214" t="s">
        <v>1040</v>
      </c>
      <c r="G10" s="227">
        <v>40782127</v>
      </c>
      <c r="H10" s="215" t="str">
        <f t="shared" si="0"/>
        <v>DW8 57 FIM PANELABLE LAVAVAJILLAS</v>
      </c>
      <c r="I10" s="214" t="s">
        <v>1550</v>
      </c>
      <c r="J10" s="227" t="s">
        <v>1045</v>
      </c>
      <c r="K10" s="229">
        <v>45757</v>
      </c>
      <c r="L10" s="214" t="s">
        <v>25</v>
      </c>
      <c r="M10" s="214" t="s">
        <v>24</v>
      </c>
      <c r="N10" s="214" t="s">
        <v>24</v>
      </c>
      <c r="O10" s="227" t="s">
        <v>1050</v>
      </c>
      <c r="P10" s="214"/>
      <c r="Q10" s="216">
        <f t="shared" si="1"/>
        <v>45888</v>
      </c>
      <c r="R10" s="227" t="s">
        <v>1053</v>
      </c>
      <c r="S10" s="230">
        <v>900061605</v>
      </c>
      <c r="T10" s="214" t="s">
        <v>1039</v>
      </c>
      <c r="U10" s="213"/>
    </row>
    <row r="11" spans="1:21" s="4" customFormat="1" ht="20">
      <c r="A11" s="214">
        <v>5</v>
      </c>
      <c r="B11" s="226">
        <v>45889</v>
      </c>
      <c r="C11" s="227" t="s">
        <v>1458</v>
      </c>
      <c r="D11" s="228" t="s">
        <v>1459</v>
      </c>
      <c r="E11" s="227">
        <v>983116559</v>
      </c>
      <c r="F11" s="214" t="s">
        <v>1040</v>
      </c>
      <c r="G11" s="227">
        <v>40466241</v>
      </c>
      <c r="H11" s="215" t="str">
        <f t="shared" si="0"/>
        <v>C 9310 INOX CAMPANA (110V-60HZ) C/KIT</v>
      </c>
      <c r="I11" s="214" t="s">
        <v>1550</v>
      </c>
      <c r="J11" s="227" t="s">
        <v>1045</v>
      </c>
      <c r="K11" s="229">
        <v>45904</v>
      </c>
      <c r="L11" s="214" t="s">
        <v>25</v>
      </c>
      <c r="M11" s="214" t="s">
        <v>24</v>
      </c>
      <c r="N11" s="214" t="s">
        <v>24</v>
      </c>
      <c r="O11" s="227" t="s">
        <v>1456</v>
      </c>
      <c r="P11" s="214"/>
      <c r="Q11" s="216">
        <f t="shared" si="1"/>
        <v>45888</v>
      </c>
      <c r="R11" s="227" t="s">
        <v>1460</v>
      </c>
      <c r="S11" s="230">
        <v>1716661312</v>
      </c>
      <c r="T11" s="214" t="s">
        <v>1039</v>
      </c>
      <c r="U11" s="213"/>
    </row>
    <row r="12" spans="1:21" s="4" customFormat="1" ht="23" customHeight="1">
      <c r="A12" s="214">
        <v>6</v>
      </c>
      <c r="B12" s="221">
        <v>45889</v>
      </c>
      <c r="C12" s="222" t="s">
        <v>1458</v>
      </c>
      <c r="D12" s="223" t="s">
        <v>1459</v>
      </c>
      <c r="E12" s="222">
        <v>983116559</v>
      </c>
      <c r="F12" s="214" t="s">
        <v>1040</v>
      </c>
      <c r="G12" s="222">
        <v>111040006</v>
      </c>
      <c r="H12" s="215" t="str">
        <f t="shared" si="0"/>
        <v>HSB 750 G SS HORNO A GAS</v>
      </c>
      <c r="I12" s="214" t="s">
        <v>1550</v>
      </c>
      <c r="J12" s="222" t="s">
        <v>1045</v>
      </c>
      <c r="K12" s="224">
        <v>45904</v>
      </c>
      <c r="L12" s="214" t="s">
        <v>25</v>
      </c>
      <c r="M12" s="214" t="s">
        <v>24</v>
      </c>
      <c r="N12" s="214" t="s">
        <v>24</v>
      </c>
      <c r="O12" s="222" t="s">
        <v>1457</v>
      </c>
      <c r="P12" s="214"/>
      <c r="Q12" s="216">
        <f t="shared" si="1"/>
        <v>45888</v>
      </c>
      <c r="R12" s="222" t="s">
        <v>1460</v>
      </c>
      <c r="S12" s="225">
        <v>1716661312</v>
      </c>
      <c r="T12" s="214" t="s">
        <v>1039</v>
      </c>
      <c r="U12" s="213"/>
    </row>
    <row r="13" spans="1:21" s="4" customFormat="1" ht="20">
      <c r="A13" s="214">
        <v>7</v>
      </c>
      <c r="B13" s="226">
        <v>45890</v>
      </c>
      <c r="C13" s="227" t="s">
        <v>1120</v>
      </c>
      <c r="D13" s="228" t="s">
        <v>1121</v>
      </c>
      <c r="E13" s="227">
        <v>987001205</v>
      </c>
      <c r="F13" s="214" t="s">
        <v>1040</v>
      </c>
      <c r="G13" s="227">
        <v>111570002</v>
      </c>
      <c r="H13" s="215" t="str">
        <f t="shared" si="0"/>
        <v>COCINA GOURMET BBQ 3100 G BK-SS</v>
      </c>
      <c r="I13" s="214" t="s">
        <v>1550</v>
      </c>
      <c r="J13" s="227" t="s">
        <v>1118</v>
      </c>
      <c r="K13" s="229">
        <v>45870</v>
      </c>
      <c r="L13" s="214" t="s">
        <v>25</v>
      </c>
      <c r="M13" s="214" t="s">
        <v>24</v>
      </c>
      <c r="N13" s="214" t="s">
        <v>24</v>
      </c>
      <c r="O13" s="227" t="s">
        <v>1119</v>
      </c>
      <c r="P13" s="214"/>
      <c r="Q13" s="216">
        <f t="shared" si="1"/>
        <v>45889</v>
      </c>
      <c r="R13" s="227" t="s">
        <v>1123</v>
      </c>
      <c r="S13" s="230">
        <v>17900412260001</v>
      </c>
      <c r="T13" s="214" t="s">
        <v>1039</v>
      </c>
      <c r="U13" s="213"/>
    </row>
    <row r="14" spans="1:21" s="4" customFormat="1" ht="20">
      <c r="A14" s="214">
        <v>8</v>
      </c>
      <c r="B14" s="221">
        <v>45890</v>
      </c>
      <c r="C14" s="222" t="s">
        <v>1120</v>
      </c>
      <c r="D14" s="223" t="s">
        <v>1121</v>
      </c>
      <c r="E14" s="222">
        <v>987001205</v>
      </c>
      <c r="F14" s="214" t="s">
        <v>1040</v>
      </c>
      <c r="G14" s="222">
        <v>111570003</v>
      </c>
      <c r="H14" s="215" t="str">
        <f t="shared" si="0"/>
        <v>COCINA GOURMET BBQ 4100 G SS</v>
      </c>
      <c r="I14" s="214" t="s">
        <v>1550</v>
      </c>
      <c r="J14" s="222" t="s">
        <v>1118</v>
      </c>
      <c r="K14" s="224">
        <v>45870</v>
      </c>
      <c r="L14" s="214" t="s">
        <v>25</v>
      </c>
      <c r="M14" s="214" t="s">
        <v>24</v>
      </c>
      <c r="N14" s="214" t="s">
        <v>24</v>
      </c>
      <c r="O14" s="222" t="s">
        <v>1308</v>
      </c>
      <c r="P14" s="214"/>
      <c r="Q14" s="216">
        <f t="shared" si="1"/>
        <v>45889</v>
      </c>
      <c r="R14" s="222" t="s">
        <v>1123</v>
      </c>
      <c r="S14" s="225">
        <v>17900412260001</v>
      </c>
      <c r="T14" s="214" t="s">
        <v>1039</v>
      </c>
      <c r="U14" s="213"/>
    </row>
    <row r="15" spans="1:21" s="4" customFormat="1" ht="20">
      <c r="A15" s="214">
        <v>9</v>
      </c>
      <c r="B15" s="226">
        <v>45890</v>
      </c>
      <c r="C15" s="227" t="s">
        <v>1081</v>
      </c>
      <c r="D15" s="228" t="s">
        <v>1082</v>
      </c>
      <c r="E15" s="227">
        <v>984820269</v>
      </c>
      <c r="F15" s="214" t="s">
        <v>1040</v>
      </c>
      <c r="G15" s="227">
        <v>112520025</v>
      </c>
      <c r="H15" s="215" t="str">
        <f t="shared" si="0"/>
        <v>IZC 64010 MSS COCINA INDUCCION</v>
      </c>
      <c r="I15" s="214" t="s">
        <v>1550</v>
      </c>
      <c r="J15" s="227" t="s">
        <v>1045</v>
      </c>
      <c r="K15" s="229">
        <v>45875</v>
      </c>
      <c r="L15" s="214" t="s">
        <v>25</v>
      </c>
      <c r="M15" s="214" t="s">
        <v>24</v>
      </c>
      <c r="N15" s="214" t="s">
        <v>24</v>
      </c>
      <c r="O15" s="227" t="s">
        <v>1080</v>
      </c>
      <c r="P15" s="214"/>
      <c r="Q15" s="216">
        <f t="shared" si="1"/>
        <v>45889</v>
      </c>
      <c r="R15" s="227" t="s">
        <v>1084</v>
      </c>
      <c r="S15" s="230">
        <v>104740091</v>
      </c>
      <c r="T15" s="214" t="s">
        <v>1039</v>
      </c>
      <c r="U15" s="213"/>
    </row>
    <row r="16" spans="1:21" s="4" customFormat="1" ht="20">
      <c r="A16" s="214">
        <v>10</v>
      </c>
      <c r="B16" s="221">
        <v>45890</v>
      </c>
      <c r="C16" s="222" t="s">
        <v>1088</v>
      </c>
      <c r="D16" s="223" t="s">
        <v>1089</v>
      </c>
      <c r="E16" s="222">
        <v>978198535</v>
      </c>
      <c r="F16" s="214" t="s">
        <v>1040</v>
      </c>
      <c r="G16" s="222">
        <v>112580027</v>
      </c>
      <c r="H16" s="215" t="str">
        <f t="shared" si="0"/>
        <v>GBC 75030 KBB CRISTAL COCINA GAS</v>
      </c>
      <c r="I16" s="214" t="s">
        <v>1550</v>
      </c>
      <c r="J16" s="222" t="s">
        <v>1085</v>
      </c>
      <c r="K16" s="224">
        <v>45827</v>
      </c>
      <c r="L16" s="214" t="s">
        <v>25</v>
      </c>
      <c r="M16" s="214" t="s">
        <v>24</v>
      </c>
      <c r="N16" s="214" t="s">
        <v>24</v>
      </c>
      <c r="O16" s="222" t="s">
        <v>1087</v>
      </c>
      <c r="P16" s="214"/>
      <c r="Q16" s="216">
        <f t="shared" si="1"/>
        <v>45889</v>
      </c>
      <c r="R16" s="222" t="s">
        <v>1091</v>
      </c>
      <c r="S16" s="225">
        <v>151915020</v>
      </c>
      <c r="T16" s="214" t="s">
        <v>1039</v>
      </c>
      <c r="U16" s="213"/>
    </row>
    <row r="17" spans="1:21" s="4" customFormat="1" ht="20">
      <c r="A17" s="214">
        <v>11</v>
      </c>
      <c r="B17" s="226">
        <v>45890</v>
      </c>
      <c r="C17" s="227" t="s">
        <v>1094</v>
      </c>
      <c r="D17" s="228" t="s">
        <v>1095</v>
      </c>
      <c r="E17" s="227">
        <v>992440918</v>
      </c>
      <c r="F17" s="214" t="s">
        <v>1040</v>
      </c>
      <c r="G17" s="227">
        <v>40467320</v>
      </c>
      <c r="H17" s="215" t="str">
        <f t="shared" si="0"/>
        <v>C 7310 INOX CAMPANA (110V-60HZ) C/KIT</v>
      </c>
      <c r="I17" s="214" t="s">
        <v>1550</v>
      </c>
      <c r="J17" s="227" t="s">
        <v>1045</v>
      </c>
      <c r="K17" s="229">
        <v>45889</v>
      </c>
      <c r="L17" s="214" t="s">
        <v>25</v>
      </c>
      <c r="M17" s="214" t="s">
        <v>24</v>
      </c>
      <c r="N17" s="214" t="s">
        <v>24</v>
      </c>
      <c r="O17" s="227" t="s">
        <v>1093</v>
      </c>
      <c r="P17" s="214"/>
      <c r="Q17" s="216">
        <f t="shared" si="1"/>
        <v>45889</v>
      </c>
      <c r="R17" s="227" t="s">
        <v>1097</v>
      </c>
      <c r="S17" s="230">
        <v>301850954</v>
      </c>
      <c r="T17" s="214" t="s">
        <v>1039</v>
      </c>
      <c r="U17" s="213"/>
    </row>
    <row r="18" spans="1:21" s="4" customFormat="1" ht="18" customHeight="1">
      <c r="A18" s="214">
        <v>12</v>
      </c>
      <c r="B18" s="221">
        <v>45890</v>
      </c>
      <c r="C18" s="222" t="s">
        <v>1139</v>
      </c>
      <c r="D18" s="223" t="s">
        <v>1140</v>
      </c>
      <c r="E18" s="222">
        <v>984459007</v>
      </c>
      <c r="F18" s="214" t="s">
        <v>1040</v>
      </c>
      <c r="G18" s="222">
        <v>40197255</v>
      </c>
      <c r="H18" s="215" t="str">
        <f t="shared" si="0"/>
        <v>TR 710.1 TRITURADOR</v>
      </c>
      <c r="I18" s="214" t="s">
        <v>1550</v>
      </c>
      <c r="J18" s="222" t="s">
        <v>1054</v>
      </c>
      <c r="K18" s="224">
        <v>45744</v>
      </c>
      <c r="L18" s="214" t="s">
        <v>25</v>
      </c>
      <c r="M18" s="214" t="s">
        <v>24</v>
      </c>
      <c r="N18" s="214" t="s">
        <v>24</v>
      </c>
      <c r="O18" s="222" t="s">
        <v>1138</v>
      </c>
      <c r="P18" s="214"/>
      <c r="Q18" s="216">
        <f t="shared" si="1"/>
        <v>45889</v>
      </c>
      <c r="R18" s="222" t="s">
        <v>1142</v>
      </c>
      <c r="S18" s="225">
        <v>18528712118</v>
      </c>
      <c r="T18" s="214" t="s">
        <v>1039</v>
      </c>
      <c r="U18" s="213"/>
    </row>
    <row r="19" spans="1:21" s="4" customFormat="1" ht="20">
      <c r="A19" s="214">
        <v>13</v>
      </c>
      <c r="B19" s="221">
        <v>45891</v>
      </c>
      <c r="C19" s="222" t="s">
        <v>1059</v>
      </c>
      <c r="D19" s="223" t="s">
        <v>1060</v>
      </c>
      <c r="E19" s="222">
        <v>986603768</v>
      </c>
      <c r="F19" s="214" t="s">
        <v>1040</v>
      </c>
      <c r="G19" s="222">
        <v>112580058</v>
      </c>
      <c r="H19" s="215" t="str">
        <f t="shared" si="0"/>
        <v>GBC 95030 KBB BK COCINA GAS</v>
      </c>
      <c r="I19" s="214" t="s">
        <v>1550</v>
      </c>
      <c r="J19" s="222" t="s">
        <v>1054</v>
      </c>
      <c r="K19" s="224">
        <v>45862</v>
      </c>
      <c r="L19" s="214" t="s">
        <v>25</v>
      </c>
      <c r="M19" s="214" t="s">
        <v>24</v>
      </c>
      <c r="N19" s="214" t="s">
        <v>24</v>
      </c>
      <c r="O19" s="222" t="s">
        <v>1056</v>
      </c>
      <c r="P19" s="214"/>
      <c r="Q19" s="216">
        <f t="shared" si="1"/>
        <v>45890</v>
      </c>
      <c r="R19" s="222" t="s">
        <v>1062</v>
      </c>
      <c r="S19" s="225" t="s">
        <v>1061</v>
      </c>
      <c r="T19" s="214" t="s">
        <v>1039</v>
      </c>
      <c r="U19" s="213"/>
    </row>
    <row r="20" spans="1:21" s="4" customFormat="1" ht="20">
      <c r="A20" s="214">
        <v>14</v>
      </c>
      <c r="B20" s="226">
        <v>45891</v>
      </c>
      <c r="C20" s="227" t="s">
        <v>1059</v>
      </c>
      <c r="D20" s="228" t="s">
        <v>1060</v>
      </c>
      <c r="E20" s="227">
        <v>986603768</v>
      </c>
      <c r="F20" s="214" t="s">
        <v>1040</v>
      </c>
      <c r="G20" s="227">
        <v>111000051</v>
      </c>
      <c r="H20" s="215" t="str">
        <f t="shared" si="0"/>
        <v>HLB 8416 "AIR FRY" - HORNO ELEC</v>
      </c>
      <c r="I20" s="214" t="s">
        <v>1550</v>
      </c>
      <c r="J20" s="227" t="s">
        <v>1054</v>
      </c>
      <c r="K20" s="229">
        <v>45862</v>
      </c>
      <c r="L20" s="214" t="s">
        <v>25</v>
      </c>
      <c r="M20" s="214" t="s">
        <v>24</v>
      </c>
      <c r="N20" s="214" t="s">
        <v>24</v>
      </c>
      <c r="O20" s="227" t="s">
        <v>1057</v>
      </c>
      <c r="P20" s="214"/>
      <c r="Q20" s="216">
        <f t="shared" si="1"/>
        <v>45890</v>
      </c>
      <c r="R20" s="227" t="s">
        <v>1062</v>
      </c>
      <c r="S20" s="230" t="s">
        <v>1061</v>
      </c>
      <c r="T20" s="214" t="s">
        <v>1039</v>
      </c>
      <c r="U20" s="213"/>
    </row>
    <row r="21" spans="1:21" s="4" customFormat="1" ht="20">
      <c r="A21" s="214">
        <v>15</v>
      </c>
      <c r="B21" s="221">
        <v>45891</v>
      </c>
      <c r="C21" s="222" t="s">
        <v>1059</v>
      </c>
      <c r="D21" s="223" t="s">
        <v>1060</v>
      </c>
      <c r="E21" s="222">
        <v>986603768</v>
      </c>
      <c r="F21" s="214" t="s">
        <v>1040</v>
      </c>
      <c r="G21" s="222">
        <v>40584202</v>
      </c>
      <c r="H21" s="215" t="str">
        <f t="shared" si="0"/>
        <v>ML 820 BIS - MICROONDAS</v>
      </c>
      <c r="I21" s="214" t="s">
        <v>1550</v>
      </c>
      <c r="J21" s="222" t="s">
        <v>1054</v>
      </c>
      <c r="K21" s="224">
        <v>45862</v>
      </c>
      <c r="L21" s="214" t="s">
        <v>25</v>
      </c>
      <c r="M21" s="214" t="s">
        <v>24</v>
      </c>
      <c r="N21" s="214" t="s">
        <v>24</v>
      </c>
      <c r="O21" s="222" t="s">
        <v>1058</v>
      </c>
      <c r="P21" s="214"/>
      <c r="Q21" s="216">
        <f t="shared" si="1"/>
        <v>45890</v>
      </c>
      <c r="R21" s="222" t="s">
        <v>1062</v>
      </c>
      <c r="S21" s="225" t="s">
        <v>1061</v>
      </c>
      <c r="T21" s="214" t="s">
        <v>1039</v>
      </c>
      <c r="U21" s="213"/>
    </row>
    <row r="22" spans="1:21" s="4" customFormat="1" ht="20">
      <c r="A22" s="214">
        <v>16</v>
      </c>
      <c r="B22" s="226">
        <v>45891</v>
      </c>
      <c r="C22" s="227" t="s">
        <v>1063</v>
      </c>
      <c r="D22" s="228" t="s">
        <v>1068</v>
      </c>
      <c r="E22" s="227">
        <v>999369027</v>
      </c>
      <c r="F22" s="214" t="s">
        <v>1040</v>
      </c>
      <c r="G22" s="227">
        <v>112500047</v>
      </c>
      <c r="H22" s="215" t="str">
        <f t="shared" si="0"/>
        <v>IZF 99700 MST COCINA INDUCCION</v>
      </c>
      <c r="I22" s="214" t="s">
        <v>1550</v>
      </c>
      <c r="J22" s="227" t="s">
        <v>1100</v>
      </c>
      <c r="K22" s="229">
        <v>45797</v>
      </c>
      <c r="L22" s="214" t="s">
        <v>25</v>
      </c>
      <c r="M22" s="214" t="s">
        <v>24</v>
      </c>
      <c r="N22" s="214" t="s">
        <v>24</v>
      </c>
      <c r="O22" s="227" t="s">
        <v>1071</v>
      </c>
      <c r="P22" s="214"/>
      <c r="Q22" s="216">
        <f t="shared" si="1"/>
        <v>45890</v>
      </c>
      <c r="R22" s="227" t="s">
        <v>1070</v>
      </c>
      <c r="S22" s="230" t="s">
        <v>1069</v>
      </c>
      <c r="T22" s="214" t="s">
        <v>1039</v>
      </c>
      <c r="U22" s="213"/>
    </row>
    <row r="23" spans="1:21" s="4" customFormat="1" ht="20">
      <c r="A23" s="214">
        <v>17</v>
      </c>
      <c r="B23" s="221">
        <v>45891</v>
      </c>
      <c r="C23" s="222" t="s">
        <v>1063</v>
      </c>
      <c r="D23" s="223" t="s">
        <v>1068</v>
      </c>
      <c r="E23" s="222">
        <v>999369027</v>
      </c>
      <c r="F23" s="214" t="s">
        <v>1040</v>
      </c>
      <c r="G23" s="222">
        <v>40584305</v>
      </c>
      <c r="H23" s="215" t="str">
        <f t="shared" si="0"/>
        <v>ML 822 BIS - MICROONDAS (112030008)</v>
      </c>
      <c r="I23" s="214" t="s">
        <v>1550</v>
      </c>
      <c r="J23" s="222" t="s">
        <v>1100</v>
      </c>
      <c r="K23" s="224">
        <v>45797</v>
      </c>
      <c r="L23" s="214" t="s">
        <v>25</v>
      </c>
      <c r="M23" s="214" t="s">
        <v>24</v>
      </c>
      <c r="N23" s="214" t="s">
        <v>24</v>
      </c>
      <c r="O23" s="222" t="s">
        <v>1065</v>
      </c>
      <c r="P23" s="214"/>
      <c r="Q23" s="216">
        <f t="shared" si="1"/>
        <v>45890</v>
      </c>
      <c r="R23" s="222" t="s">
        <v>1070</v>
      </c>
      <c r="S23" s="225" t="s">
        <v>1069</v>
      </c>
      <c r="T23" s="214" t="s">
        <v>1039</v>
      </c>
      <c r="U23" s="213"/>
    </row>
    <row r="24" spans="1:21" s="4" customFormat="1" ht="20">
      <c r="A24" s="214">
        <v>18</v>
      </c>
      <c r="B24" s="226">
        <v>45891</v>
      </c>
      <c r="C24" s="227" t="s">
        <v>1063</v>
      </c>
      <c r="D24" s="228" t="s">
        <v>1068</v>
      </c>
      <c r="E24" s="227">
        <v>999369027</v>
      </c>
      <c r="F24" s="214" t="s">
        <v>1040</v>
      </c>
      <c r="G24" s="227">
        <v>111000050</v>
      </c>
      <c r="H24" s="215" t="str">
        <f t="shared" si="0"/>
        <v>HLB 8510 P "MAESTRO PIZZA"</v>
      </c>
      <c r="I24" s="214" t="s">
        <v>1550</v>
      </c>
      <c r="J24" s="227" t="s">
        <v>1100</v>
      </c>
      <c r="K24" s="229">
        <v>45797</v>
      </c>
      <c r="L24" s="214" t="s">
        <v>25</v>
      </c>
      <c r="M24" s="214" t="s">
        <v>24</v>
      </c>
      <c r="N24" s="214" t="s">
        <v>24</v>
      </c>
      <c r="O24" s="227" t="s">
        <v>1066</v>
      </c>
      <c r="P24" s="214"/>
      <c r="Q24" s="216">
        <f t="shared" si="1"/>
        <v>45890</v>
      </c>
      <c r="R24" s="227" t="s">
        <v>1070</v>
      </c>
      <c r="S24" s="230" t="s">
        <v>1069</v>
      </c>
      <c r="T24" s="214" t="s">
        <v>1039</v>
      </c>
      <c r="U24" s="213"/>
    </row>
    <row r="25" spans="1:21" s="4" customFormat="1" ht="20">
      <c r="A25" s="214">
        <v>19</v>
      </c>
      <c r="B25" s="221">
        <v>45891</v>
      </c>
      <c r="C25" s="222" t="s">
        <v>1063</v>
      </c>
      <c r="D25" s="223" t="s">
        <v>1068</v>
      </c>
      <c r="E25" s="222">
        <v>999369027</v>
      </c>
      <c r="F25" s="214" t="s">
        <v>1040</v>
      </c>
      <c r="G25" s="222">
        <v>40782128</v>
      </c>
      <c r="H25" s="215" t="str">
        <f t="shared" si="0"/>
        <v>DW8 57 FIM-D LAVAVAJILLAS</v>
      </c>
      <c r="I25" s="214" t="s">
        <v>1550</v>
      </c>
      <c r="J25" s="222" t="s">
        <v>1100</v>
      </c>
      <c r="K25" s="224">
        <v>45797</v>
      </c>
      <c r="L25" s="214" t="s">
        <v>25</v>
      </c>
      <c r="M25" s="214" t="s">
        <v>24</v>
      </c>
      <c r="N25" s="214" t="s">
        <v>24</v>
      </c>
      <c r="O25" s="222" t="s">
        <v>1067</v>
      </c>
      <c r="P25" s="214"/>
      <c r="Q25" s="216">
        <f t="shared" si="1"/>
        <v>45890</v>
      </c>
      <c r="R25" s="222" t="s">
        <v>1070</v>
      </c>
      <c r="S25" s="225" t="s">
        <v>1069</v>
      </c>
      <c r="T25" s="214" t="s">
        <v>1039</v>
      </c>
      <c r="U25" s="213"/>
    </row>
    <row r="26" spans="1:21" s="4" customFormat="1" ht="19" customHeight="1">
      <c r="A26" s="214">
        <v>20</v>
      </c>
      <c r="B26" s="226">
        <v>45892</v>
      </c>
      <c r="C26" s="227" t="s">
        <v>1220</v>
      </c>
      <c r="D26" s="228" t="s">
        <v>1221</v>
      </c>
      <c r="E26" s="227">
        <v>990771871</v>
      </c>
      <c r="F26" s="214" t="s">
        <v>1040</v>
      </c>
      <c r="G26" s="227">
        <v>111570003</v>
      </c>
      <c r="H26" s="215" t="str">
        <f t="shared" si="0"/>
        <v>COCINA GOURMET BBQ 4100 G SS</v>
      </c>
      <c r="I26" s="214" t="s">
        <v>1550</v>
      </c>
      <c r="J26" s="227" t="s">
        <v>1045</v>
      </c>
      <c r="K26" s="229">
        <v>45891</v>
      </c>
      <c r="L26" s="214" t="s">
        <v>25</v>
      </c>
      <c r="M26" s="214" t="s">
        <v>24</v>
      </c>
      <c r="N26" s="214" t="s">
        <v>24</v>
      </c>
      <c r="O26" s="227" t="s">
        <v>1219</v>
      </c>
      <c r="P26" s="214"/>
      <c r="Q26" s="216">
        <f t="shared" si="1"/>
        <v>45891</v>
      </c>
      <c r="R26" s="227" t="s">
        <v>1307</v>
      </c>
      <c r="S26" s="230">
        <v>1045005537</v>
      </c>
      <c r="T26" s="214" t="s">
        <v>1039</v>
      </c>
      <c r="U26" s="213"/>
    </row>
    <row r="27" spans="1:21" s="4" customFormat="1" ht="20">
      <c r="A27" s="214">
        <v>21</v>
      </c>
      <c r="B27" s="226">
        <v>45893</v>
      </c>
      <c r="C27" s="227" t="s">
        <v>1223</v>
      </c>
      <c r="D27" s="228" t="s">
        <v>1224</v>
      </c>
      <c r="E27" s="227">
        <v>994654432</v>
      </c>
      <c r="F27" s="214" t="s">
        <v>1040</v>
      </c>
      <c r="G27" s="227">
        <v>40446712</v>
      </c>
      <c r="H27" s="215" t="str">
        <f t="shared" si="0"/>
        <v>GFH 73 INOX CAMPANA (110V-60HZ) C/KIT</v>
      </c>
      <c r="I27" s="214" t="s">
        <v>1550</v>
      </c>
      <c r="J27" s="227" t="s">
        <v>1045</v>
      </c>
      <c r="K27" s="229">
        <v>45893</v>
      </c>
      <c r="L27" s="214" t="s">
        <v>25</v>
      </c>
      <c r="M27" s="214" t="s">
        <v>24</v>
      </c>
      <c r="N27" s="214" t="s">
        <v>24</v>
      </c>
      <c r="O27" s="227" t="s">
        <v>1219</v>
      </c>
      <c r="P27" s="214"/>
      <c r="Q27" s="216">
        <f t="shared" si="1"/>
        <v>45892</v>
      </c>
      <c r="R27" s="227" t="s">
        <v>1226</v>
      </c>
      <c r="S27" s="230">
        <v>105802757</v>
      </c>
      <c r="T27" s="214" t="s">
        <v>1039</v>
      </c>
      <c r="U27" s="213"/>
    </row>
    <row r="28" spans="1:21" s="4" customFormat="1" ht="20">
      <c r="A28" s="214">
        <v>22</v>
      </c>
      <c r="B28" s="226">
        <v>45894</v>
      </c>
      <c r="C28" s="227" t="s">
        <v>1072</v>
      </c>
      <c r="D28" s="228" t="s">
        <v>1077</v>
      </c>
      <c r="E28" s="227">
        <v>2809011</v>
      </c>
      <c r="F28" s="214" t="s">
        <v>1040</v>
      </c>
      <c r="G28" s="227">
        <v>40584012</v>
      </c>
      <c r="H28" s="215" t="str">
        <f t="shared" si="0"/>
        <v>MS 620 BIS - MICROONDAS</v>
      </c>
      <c r="I28" s="214" t="s">
        <v>1550</v>
      </c>
      <c r="J28" s="227" t="s">
        <v>1045</v>
      </c>
      <c r="K28" s="229">
        <v>45759</v>
      </c>
      <c r="L28" s="214" t="s">
        <v>25</v>
      </c>
      <c r="M28" s="214" t="s">
        <v>24</v>
      </c>
      <c r="N28" s="214" t="s">
        <v>24</v>
      </c>
      <c r="O28" s="227" t="s">
        <v>1074</v>
      </c>
      <c r="P28" s="214"/>
      <c r="Q28" s="216">
        <f t="shared" si="1"/>
        <v>45893</v>
      </c>
      <c r="R28" s="227" t="s">
        <v>1079</v>
      </c>
      <c r="S28" s="230" t="s">
        <v>1078</v>
      </c>
      <c r="T28" s="214" t="s">
        <v>1039</v>
      </c>
      <c r="U28" s="213"/>
    </row>
    <row r="29" spans="1:21" s="4" customFormat="1" ht="20">
      <c r="A29" s="214">
        <v>23</v>
      </c>
      <c r="B29" s="221">
        <v>45894</v>
      </c>
      <c r="C29" s="222" t="s">
        <v>1072</v>
      </c>
      <c r="D29" s="223" t="s">
        <v>1077</v>
      </c>
      <c r="E29" s="222">
        <v>2809011</v>
      </c>
      <c r="F29" s="214" t="s">
        <v>1040</v>
      </c>
      <c r="G29" s="222">
        <v>112580058</v>
      </c>
      <c r="H29" s="215" t="str">
        <f t="shared" si="0"/>
        <v>GBC 95030 KBB BK COCINA GAS</v>
      </c>
      <c r="I29" s="214" t="s">
        <v>1550</v>
      </c>
      <c r="J29" s="222" t="s">
        <v>1045</v>
      </c>
      <c r="K29" s="224">
        <v>45759</v>
      </c>
      <c r="L29" s="214" t="s">
        <v>25</v>
      </c>
      <c r="M29" s="214" t="s">
        <v>24</v>
      </c>
      <c r="N29" s="214" t="s">
        <v>24</v>
      </c>
      <c r="O29" s="222" t="s">
        <v>1075</v>
      </c>
      <c r="P29" s="214"/>
      <c r="Q29" s="216">
        <f t="shared" si="1"/>
        <v>45893</v>
      </c>
      <c r="R29" s="222" t="s">
        <v>1079</v>
      </c>
      <c r="S29" s="225" t="s">
        <v>1078</v>
      </c>
      <c r="T29" s="214" t="s">
        <v>1039</v>
      </c>
      <c r="U29" s="213"/>
    </row>
    <row r="30" spans="1:21" s="4" customFormat="1" ht="20">
      <c r="A30" s="214">
        <v>24</v>
      </c>
      <c r="B30" s="226">
        <v>45894</v>
      </c>
      <c r="C30" s="227" t="s">
        <v>1072</v>
      </c>
      <c r="D30" s="228" t="s">
        <v>1077</v>
      </c>
      <c r="E30" s="227">
        <v>2809011</v>
      </c>
      <c r="F30" s="214" t="s">
        <v>1040</v>
      </c>
      <c r="G30" s="227">
        <v>111020071</v>
      </c>
      <c r="H30" s="215" t="str">
        <f t="shared" si="0"/>
        <v>HBB 510 BK 220-240  50/60 HORNO ELEC</v>
      </c>
      <c r="I30" s="214" t="s">
        <v>1550</v>
      </c>
      <c r="J30" s="227" t="s">
        <v>1045</v>
      </c>
      <c r="K30" s="229">
        <v>45759</v>
      </c>
      <c r="L30" s="214" t="s">
        <v>25</v>
      </c>
      <c r="M30" s="214" t="s">
        <v>24</v>
      </c>
      <c r="N30" s="214" t="s">
        <v>24</v>
      </c>
      <c r="O30" s="227" t="s">
        <v>1076</v>
      </c>
      <c r="P30" s="214"/>
      <c r="Q30" s="216">
        <f t="shared" si="1"/>
        <v>45893</v>
      </c>
      <c r="R30" s="227" t="s">
        <v>1079</v>
      </c>
      <c r="S30" s="230" t="s">
        <v>1078</v>
      </c>
      <c r="T30" s="214" t="s">
        <v>1039</v>
      </c>
      <c r="U30" s="213"/>
    </row>
    <row r="31" spans="1:21" s="4" customFormat="1" ht="20">
      <c r="A31" s="214">
        <v>25</v>
      </c>
      <c r="B31" s="221">
        <v>45894</v>
      </c>
      <c r="C31" s="222" t="s">
        <v>1098</v>
      </c>
      <c r="D31" s="223" t="s">
        <v>1152</v>
      </c>
      <c r="E31" s="222">
        <v>987473177</v>
      </c>
      <c r="F31" s="214" t="s">
        <v>1040</v>
      </c>
      <c r="G31" s="222">
        <v>112570128</v>
      </c>
      <c r="H31" s="215" t="str">
        <f t="shared" si="0"/>
        <v>JZC 96342 BBB BK (LAT) COCINA MIXTA GAS - INDUCCION</v>
      </c>
      <c r="I31" s="214" t="s">
        <v>1550</v>
      </c>
      <c r="J31" s="222" t="s">
        <v>1101</v>
      </c>
      <c r="K31" s="224">
        <v>45954</v>
      </c>
      <c r="L31" s="214" t="s">
        <v>25</v>
      </c>
      <c r="M31" s="214" t="s">
        <v>24</v>
      </c>
      <c r="N31" s="214" t="s">
        <v>24</v>
      </c>
      <c r="O31" s="222" t="s">
        <v>1144</v>
      </c>
      <c r="P31" s="214"/>
      <c r="Q31" s="216">
        <f t="shared" si="1"/>
        <v>45893</v>
      </c>
      <c r="R31" s="222" t="s">
        <v>1147</v>
      </c>
      <c r="S31" s="225" t="s">
        <v>1146</v>
      </c>
      <c r="T31" s="214" t="s">
        <v>1039</v>
      </c>
      <c r="U31" s="213"/>
    </row>
    <row r="32" spans="1:21" s="4" customFormat="1" ht="20">
      <c r="A32" s="214">
        <v>26</v>
      </c>
      <c r="B32" s="226">
        <v>45894</v>
      </c>
      <c r="C32" s="227" t="s">
        <v>1098</v>
      </c>
      <c r="D32" s="228" t="s">
        <v>1152</v>
      </c>
      <c r="E32" s="227">
        <v>987473177</v>
      </c>
      <c r="F32" s="214" t="s">
        <v>1040</v>
      </c>
      <c r="G32" s="227">
        <v>41560041</v>
      </c>
      <c r="H32" s="215" t="str">
        <f t="shared" si="0"/>
        <v>HBB 535 INOX HORNO ELEC</v>
      </c>
      <c r="I32" s="214" t="s">
        <v>1550</v>
      </c>
      <c r="J32" s="227" t="s">
        <v>1101</v>
      </c>
      <c r="K32" s="229">
        <v>45954</v>
      </c>
      <c r="L32" s="214" t="s">
        <v>25</v>
      </c>
      <c r="M32" s="214" t="s">
        <v>24</v>
      </c>
      <c r="N32" s="214" t="s">
        <v>24</v>
      </c>
      <c r="O32" s="227" t="s">
        <v>1145</v>
      </c>
      <c r="P32" s="214"/>
      <c r="Q32" s="216">
        <f t="shared" si="1"/>
        <v>45893</v>
      </c>
      <c r="R32" s="227" t="s">
        <v>1147</v>
      </c>
      <c r="S32" s="230" t="s">
        <v>1146</v>
      </c>
      <c r="T32" s="214" t="s">
        <v>1039</v>
      </c>
      <c r="U32" s="213"/>
    </row>
    <row r="33" spans="1:21" s="4" customFormat="1" ht="20">
      <c r="A33" s="214">
        <v>27</v>
      </c>
      <c r="B33" s="221">
        <v>45894</v>
      </c>
      <c r="C33" s="222" t="s">
        <v>1099</v>
      </c>
      <c r="D33" s="223" t="s">
        <v>1153</v>
      </c>
      <c r="E33" s="222">
        <v>969071880</v>
      </c>
      <c r="F33" s="214" t="s">
        <v>1040</v>
      </c>
      <c r="G33" s="222">
        <v>112950021</v>
      </c>
      <c r="H33" s="215" t="str">
        <f t="shared" si="0"/>
        <v>DVN 94030 TCL BK CAMPANA (110V-60HZ) C/KIT</v>
      </c>
      <c r="I33" s="214" t="s">
        <v>1550</v>
      </c>
      <c r="J33" s="222" t="s">
        <v>1054</v>
      </c>
      <c r="K33" s="224">
        <v>45878</v>
      </c>
      <c r="L33" s="214" t="s">
        <v>25</v>
      </c>
      <c r="M33" s="214" t="s">
        <v>24</v>
      </c>
      <c r="N33" s="214" t="s">
        <v>24</v>
      </c>
      <c r="O33" s="222" t="s">
        <v>1149</v>
      </c>
      <c r="P33" s="214"/>
      <c r="Q33" s="216">
        <f t="shared" si="1"/>
        <v>45893</v>
      </c>
      <c r="R33" s="264" t="s">
        <v>1155</v>
      </c>
      <c r="S33" s="225" t="s">
        <v>1154</v>
      </c>
      <c r="T33" s="214" t="s">
        <v>1039</v>
      </c>
      <c r="U33" s="213"/>
    </row>
    <row r="34" spans="1:21" s="4" customFormat="1" ht="20">
      <c r="A34" s="214">
        <v>28</v>
      </c>
      <c r="B34" s="226">
        <v>45894</v>
      </c>
      <c r="C34" s="227" t="s">
        <v>1099</v>
      </c>
      <c r="D34" s="228" t="s">
        <v>1153</v>
      </c>
      <c r="E34" s="227">
        <v>969071880</v>
      </c>
      <c r="F34" s="214" t="s">
        <v>1040</v>
      </c>
      <c r="G34" s="227">
        <v>112580058</v>
      </c>
      <c r="H34" s="215" t="str">
        <f t="shared" si="0"/>
        <v>GBC 95030 KBB BK COCINA GAS</v>
      </c>
      <c r="I34" s="214" t="s">
        <v>1550</v>
      </c>
      <c r="J34" s="227" t="s">
        <v>1054</v>
      </c>
      <c r="K34" s="229">
        <v>45878</v>
      </c>
      <c r="L34" s="214" t="s">
        <v>25</v>
      </c>
      <c r="M34" s="214" t="s">
        <v>24</v>
      </c>
      <c r="N34" s="214" t="s">
        <v>24</v>
      </c>
      <c r="O34" s="227" t="s">
        <v>1150</v>
      </c>
      <c r="P34" s="214"/>
      <c r="Q34" s="216">
        <f t="shared" si="1"/>
        <v>45893</v>
      </c>
      <c r="R34" s="265" t="s">
        <v>1155</v>
      </c>
      <c r="S34" s="230" t="s">
        <v>1154</v>
      </c>
      <c r="T34" s="214" t="s">
        <v>1039</v>
      </c>
      <c r="U34" s="213"/>
    </row>
    <row r="35" spans="1:21" s="4" customFormat="1" ht="20">
      <c r="A35" s="214">
        <v>29</v>
      </c>
      <c r="B35" s="221">
        <v>45894</v>
      </c>
      <c r="C35" s="222" t="s">
        <v>1099</v>
      </c>
      <c r="D35" s="223" t="s">
        <v>1153</v>
      </c>
      <c r="E35" s="222">
        <v>969071880</v>
      </c>
      <c r="F35" s="214" t="s">
        <v>1040</v>
      </c>
      <c r="G35" s="222">
        <v>111010040</v>
      </c>
      <c r="H35" s="215" t="str">
        <f t="shared" si="0"/>
        <v>HSB 610 NEGRO HORNO ELEC</v>
      </c>
      <c r="I35" s="214" t="s">
        <v>1550</v>
      </c>
      <c r="J35" s="222" t="s">
        <v>1054</v>
      </c>
      <c r="K35" s="224">
        <v>45878</v>
      </c>
      <c r="L35" s="214" t="s">
        <v>25</v>
      </c>
      <c r="M35" s="214" t="s">
        <v>24</v>
      </c>
      <c r="N35" s="214" t="s">
        <v>24</v>
      </c>
      <c r="O35" s="222" t="s">
        <v>1151</v>
      </c>
      <c r="P35" s="214"/>
      <c r="Q35" s="216">
        <f t="shared" si="1"/>
        <v>45893</v>
      </c>
      <c r="R35" s="264" t="s">
        <v>1155</v>
      </c>
      <c r="S35" s="225" t="s">
        <v>1154</v>
      </c>
      <c r="T35" s="214" t="s">
        <v>1039</v>
      </c>
      <c r="U35" s="213"/>
    </row>
    <row r="36" spans="1:21" s="4" customFormat="1" ht="20">
      <c r="A36" s="214">
        <v>30</v>
      </c>
      <c r="B36" s="221">
        <v>45894</v>
      </c>
      <c r="C36" s="222" t="s">
        <v>1134</v>
      </c>
      <c r="D36" s="223" t="s">
        <v>1125</v>
      </c>
      <c r="E36" s="222">
        <v>987665567</v>
      </c>
      <c r="F36" s="214" t="s">
        <v>1040</v>
      </c>
      <c r="G36" s="222">
        <v>111910000</v>
      </c>
      <c r="H36" s="215" t="str">
        <f t="shared" si="0"/>
        <v>MLH 845 SS - MICROONDAS</v>
      </c>
      <c r="I36" s="214" t="s">
        <v>1554</v>
      </c>
      <c r="J36" s="222" t="s">
        <v>1118</v>
      </c>
      <c r="K36" s="224">
        <v>45870</v>
      </c>
      <c r="L36" s="214" t="s">
        <v>25</v>
      </c>
      <c r="M36" s="214" t="s">
        <v>24</v>
      </c>
      <c r="N36" s="214" t="s">
        <v>24</v>
      </c>
      <c r="O36" s="222" t="s">
        <v>1124</v>
      </c>
      <c r="P36" s="214"/>
      <c r="Q36" s="216">
        <f t="shared" si="1"/>
        <v>45893</v>
      </c>
      <c r="R36" s="267" t="s">
        <v>1553</v>
      </c>
      <c r="S36" s="225">
        <v>103642708</v>
      </c>
      <c r="T36" s="214" t="s">
        <v>1568</v>
      </c>
      <c r="U36" s="213"/>
    </row>
    <row r="37" spans="1:21" s="4" customFormat="1" ht="20">
      <c r="A37" s="214">
        <v>31</v>
      </c>
      <c r="B37" s="226">
        <v>45895</v>
      </c>
      <c r="C37" s="227" t="s">
        <v>1107</v>
      </c>
      <c r="D37" s="228" t="s">
        <v>1108</v>
      </c>
      <c r="E37" s="227">
        <v>908949878</v>
      </c>
      <c r="F37" s="214" t="s">
        <v>1040</v>
      </c>
      <c r="G37" s="227">
        <v>40483183</v>
      </c>
      <c r="H37" s="215" t="str">
        <f t="shared" si="0"/>
        <v>ESTRUCTURA DPL ISLA 1180</v>
      </c>
      <c r="I37" s="214" t="s">
        <v>1550</v>
      </c>
      <c r="J37" s="227" t="s">
        <v>1101</v>
      </c>
      <c r="K37" s="229">
        <v>45869</v>
      </c>
      <c r="L37" s="214" t="s">
        <v>25</v>
      </c>
      <c r="M37" s="214" t="s">
        <v>24</v>
      </c>
      <c r="N37" s="214" t="s">
        <v>24</v>
      </c>
      <c r="O37" s="227" t="s">
        <v>1103</v>
      </c>
      <c r="P37" s="214"/>
      <c r="Q37" s="216">
        <f t="shared" si="1"/>
        <v>45894</v>
      </c>
      <c r="R37" s="265" t="s">
        <v>1110</v>
      </c>
      <c r="S37" s="230" t="s">
        <v>1109</v>
      </c>
      <c r="T37" s="214" t="s">
        <v>1039</v>
      </c>
      <c r="U37" s="213"/>
    </row>
    <row r="38" spans="1:21" s="4" customFormat="1" ht="21" customHeight="1">
      <c r="A38" s="214">
        <v>32</v>
      </c>
      <c r="B38" s="221">
        <v>45895</v>
      </c>
      <c r="C38" s="222" t="s">
        <v>1107</v>
      </c>
      <c r="D38" s="223" t="s">
        <v>1108</v>
      </c>
      <c r="E38" s="222">
        <v>908949878</v>
      </c>
      <c r="F38" s="214" t="s">
        <v>1040</v>
      </c>
      <c r="G38" s="222">
        <v>40584105</v>
      </c>
      <c r="H38" s="215" t="str">
        <f t="shared" si="0"/>
        <v>MS 622 BIS - MICROONDAS</v>
      </c>
      <c r="I38" s="214" t="s">
        <v>1550</v>
      </c>
      <c r="J38" s="222" t="s">
        <v>1101</v>
      </c>
      <c r="K38" s="224">
        <v>45869</v>
      </c>
      <c r="L38" s="214" t="s">
        <v>25</v>
      </c>
      <c r="M38" s="214" t="s">
        <v>24</v>
      </c>
      <c r="N38" s="214" t="s">
        <v>24</v>
      </c>
      <c r="O38" s="222" t="s">
        <v>1104</v>
      </c>
      <c r="P38" s="214"/>
      <c r="Q38" s="216">
        <f t="shared" si="1"/>
        <v>45894</v>
      </c>
      <c r="R38" s="264" t="s">
        <v>1110</v>
      </c>
      <c r="S38" s="225" t="s">
        <v>1109</v>
      </c>
      <c r="T38" s="214" t="s">
        <v>1039</v>
      </c>
      <c r="U38" s="213"/>
    </row>
    <row r="39" spans="1:21" s="4" customFormat="1" ht="20">
      <c r="A39" s="214">
        <v>33</v>
      </c>
      <c r="B39" s="226">
        <v>45895</v>
      </c>
      <c r="C39" s="227" t="s">
        <v>1107</v>
      </c>
      <c r="D39" s="228" t="s">
        <v>1108</v>
      </c>
      <c r="E39" s="227">
        <v>908949878</v>
      </c>
      <c r="F39" s="214" t="s">
        <v>1040</v>
      </c>
      <c r="G39" s="227">
        <v>111010028</v>
      </c>
      <c r="H39" s="215" t="str">
        <f t="shared" si="0"/>
        <v>HSB 646 "AIRFRY" - HORNO ELEC</v>
      </c>
      <c r="I39" s="214" t="s">
        <v>1550</v>
      </c>
      <c r="J39" s="227" t="s">
        <v>1101</v>
      </c>
      <c r="K39" s="229">
        <v>45869</v>
      </c>
      <c r="L39" s="214" t="s">
        <v>25</v>
      </c>
      <c r="M39" s="214" t="s">
        <v>24</v>
      </c>
      <c r="N39" s="214" t="s">
        <v>24</v>
      </c>
      <c r="O39" s="227" t="s">
        <v>1105</v>
      </c>
      <c r="P39" s="214"/>
      <c r="Q39" s="216">
        <f t="shared" si="1"/>
        <v>45894</v>
      </c>
      <c r="R39" s="265" t="s">
        <v>1110</v>
      </c>
      <c r="S39" s="230" t="s">
        <v>1109</v>
      </c>
      <c r="T39" s="214" t="s">
        <v>1039</v>
      </c>
      <c r="U39" s="213"/>
    </row>
    <row r="40" spans="1:21" s="4" customFormat="1" ht="20">
      <c r="A40" s="214">
        <v>34</v>
      </c>
      <c r="B40" s="221">
        <v>45895</v>
      </c>
      <c r="C40" s="222" t="s">
        <v>1107</v>
      </c>
      <c r="D40" s="223" t="s">
        <v>1108</v>
      </c>
      <c r="E40" s="222">
        <v>908949878</v>
      </c>
      <c r="F40" s="214" t="s">
        <v>1040</v>
      </c>
      <c r="G40" s="222">
        <v>112500047</v>
      </c>
      <c r="H40" s="215" t="str">
        <f t="shared" si="0"/>
        <v>IZF 99700 MST COCINA INDUCCION</v>
      </c>
      <c r="I40" s="214" t="s">
        <v>1550</v>
      </c>
      <c r="J40" s="222" t="s">
        <v>1101</v>
      </c>
      <c r="K40" s="224">
        <v>45869</v>
      </c>
      <c r="L40" s="214" t="s">
        <v>25</v>
      </c>
      <c r="M40" s="214" t="s">
        <v>24</v>
      </c>
      <c r="N40" s="214" t="s">
        <v>24</v>
      </c>
      <c r="O40" s="222" t="s">
        <v>1106</v>
      </c>
      <c r="P40" s="214"/>
      <c r="Q40" s="216">
        <f t="shared" si="1"/>
        <v>45894</v>
      </c>
      <c r="R40" s="264" t="s">
        <v>1110</v>
      </c>
      <c r="S40" s="225" t="s">
        <v>1109</v>
      </c>
      <c r="T40" s="214" t="s">
        <v>1039</v>
      </c>
      <c r="U40" s="213"/>
    </row>
    <row r="41" spans="1:21" s="4" customFormat="1" ht="20">
      <c r="A41" s="214">
        <v>35</v>
      </c>
      <c r="B41" s="226">
        <v>45895</v>
      </c>
      <c r="C41" s="227" t="s">
        <v>1115</v>
      </c>
      <c r="D41" s="228" t="s">
        <v>1116</v>
      </c>
      <c r="E41" s="227">
        <v>995027288</v>
      </c>
      <c r="F41" s="214" t="s">
        <v>1040</v>
      </c>
      <c r="G41" s="227">
        <v>112570126</v>
      </c>
      <c r="H41" s="215" t="str">
        <f t="shared" si="0"/>
        <v>JZC 96324 ABB BK (LAT) COCINA MIXTA GAS - INDUCCION (40213042)</v>
      </c>
      <c r="I41" s="214" t="s">
        <v>1550</v>
      </c>
      <c r="J41" s="227" t="s">
        <v>1054</v>
      </c>
      <c r="K41" s="229">
        <v>45885</v>
      </c>
      <c r="L41" s="214" t="s">
        <v>25</v>
      </c>
      <c r="M41" s="214" t="s">
        <v>24</v>
      </c>
      <c r="N41" s="214" t="s">
        <v>24</v>
      </c>
      <c r="O41" s="227" t="s">
        <v>1112</v>
      </c>
      <c r="P41" s="214"/>
      <c r="Q41" s="216">
        <f t="shared" si="1"/>
        <v>45894</v>
      </c>
      <c r="R41" s="227" t="s">
        <v>1117</v>
      </c>
      <c r="S41" s="230">
        <v>106520398</v>
      </c>
      <c r="T41" s="214" t="s">
        <v>1039</v>
      </c>
      <c r="U41" s="213"/>
    </row>
    <row r="42" spans="1:21" s="4" customFormat="1" ht="20">
      <c r="A42" s="214">
        <v>36</v>
      </c>
      <c r="B42" s="221">
        <v>45895</v>
      </c>
      <c r="C42" s="222" t="s">
        <v>1115</v>
      </c>
      <c r="D42" s="223" t="s">
        <v>1116</v>
      </c>
      <c r="E42" s="222">
        <v>995027288</v>
      </c>
      <c r="F42" s="214" t="s">
        <v>1040</v>
      </c>
      <c r="G42" s="222">
        <v>111010040</v>
      </c>
      <c r="H42" s="215" t="str">
        <f t="shared" si="0"/>
        <v>HSB 610 NEGRO HORNO ELEC</v>
      </c>
      <c r="I42" s="214" t="s">
        <v>1550</v>
      </c>
      <c r="J42" s="222" t="s">
        <v>1054</v>
      </c>
      <c r="K42" s="224">
        <v>45659</v>
      </c>
      <c r="L42" s="214" t="s">
        <v>25</v>
      </c>
      <c r="M42" s="214" t="s">
        <v>24</v>
      </c>
      <c r="N42" s="214" t="s">
        <v>24</v>
      </c>
      <c r="O42" s="222" t="s">
        <v>1113</v>
      </c>
      <c r="P42" s="214"/>
      <c r="Q42" s="216">
        <f t="shared" si="1"/>
        <v>45894</v>
      </c>
      <c r="R42" s="222" t="s">
        <v>1117</v>
      </c>
      <c r="S42" s="225">
        <v>106520398</v>
      </c>
      <c r="T42" s="214" t="s">
        <v>1039</v>
      </c>
      <c r="U42" s="213"/>
    </row>
    <row r="43" spans="1:21" s="4" customFormat="1" ht="20">
      <c r="A43" s="214">
        <v>37</v>
      </c>
      <c r="B43" s="226">
        <v>45895</v>
      </c>
      <c r="C43" s="227" t="s">
        <v>1162</v>
      </c>
      <c r="D43" s="228" t="s">
        <v>1108</v>
      </c>
      <c r="E43" s="231" t="s">
        <v>1163</v>
      </c>
      <c r="F43" s="214" t="s">
        <v>1040</v>
      </c>
      <c r="G43" s="227">
        <v>40461543</v>
      </c>
      <c r="H43" s="215" t="str">
        <f t="shared" si="0"/>
        <v>C 6310 INOX CAMPANA (110V-60HZ) C/KIT</v>
      </c>
      <c r="I43" s="214" t="s">
        <v>1550</v>
      </c>
      <c r="J43" s="227" t="s">
        <v>1156</v>
      </c>
      <c r="K43" s="229">
        <v>45761</v>
      </c>
      <c r="L43" s="214" t="s">
        <v>25</v>
      </c>
      <c r="M43" s="214" t="s">
        <v>24</v>
      </c>
      <c r="N43" s="214" t="s">
        <v>24</v>
      </c>
      <c r="O43" s="227" t="s">
        <v>1159</v>
      </c>
      <c r="P43" s="214"/>
      <c r="Q43" s="216">
        <f t="shared" si="1"/>
        <v>45894</v>
      </c>
      <c r="R43" s="227" t="s">
        <v>1164</v>
      </c>
      <c r="S43" s="230">
        <v>152778965</v>
      </c>
      <c r="T43" s="214" t="s">
        <v>1039</v>
      </c>
      <c r="U43" s="213"/>
    </row>
    <row r="44" spans="1:21" s="4" customFormat="1" ht="20">
      <c r="A44" s="214">
        <v>38</v>
      </c>
      <c r="B44" s="221">
        <v>45895</v>
      </c>
      <c r="C44" s="222" t="s">
        <v>1162</v>
      </c>
      <c r="D44" s="223" t="s">
        <v>1108</v>
      </c>
      <c r="E44" s="232" t="s">
        <v>1163</v>
      </c>
      <c r="F44" s="214" t="s">
        <v>1040</v>
      </c>
      <c r="G44" s="222">
        <v>111020071</v>
      </c>
      <c r="H44" s="215" t="str">
        <f t="shared" si="0"/>
        <v>HBB 510 BK 220-240  50/60 HORNO ELEC</v>
      </c>
      <c r="I44" s="214" t="s">
        <v>1550</v>
      </c>
      <c r="J44" s="222" t="s">
        <v>1156</v>
      </c>
      <c r="K44" s="224">
        <v>45766</v>
      </c>
      <c r="L44" s="214" t="s">
        <v>25</v>
      </c>
      <c r="M44" s="214" t="s">
        <v>24</v>
      </c>
      <c r="N44" s="214" t="s">
        <v>24</v>
      </c>
      <c r="O44" s="222" t="s">
        <v>1160</v>
      </c>
      <c r="P44" s="214"/>
      <c r="Q44" s="216">
        <f t="shared" si="1"/>
        <v>45894</v>
      </c>
      <c r="R44" s="264" t="s">
        <v>1164</v>
      </c>
      <c r="S44" s="225">
        <v>152778965</v>
      </c>
      <c r="T44" s="214" t="s">
        <v>1039</v>
      </c>
      <c r="U44" s="213"/>
    </row>
    <row r="45" spans="1:21" s="4" customFormat="1" ht="20">
      <c r="A45" s="214">
        <v>39</v>
      </c>
      <c r="B45" s="226">
        <v>45895</v>
      </c>
      <c r="C45" s="227" t="s">
        <v>1162</v>
      </c>
      <c r="D45" s="228" t="s">
        <v>1108</v>
      </c>
      <c r="E45" s="231" t="s">
        <v>1163</v>
      </c>
      <c r="F45" s="214" t="s">
        <v>1040</v>
      </c>
      <c r="G45" s="227">
        <v>112510035</v>
      </c>
      <c r="H45" s="215" t="str">
        <f t="shared" si="0"/>
        <v>IZF 64440 MSP BK COCINA INDUCCION</v>
      </c>
      <c r="I45" s="214" t="s">
        <v>1550</v>
      </c>
      <c r="J45" s="227" t="s">
        <v>1156</v>
      </c>
      <c r="K45" s="229">
        <v>45761</v>
      </c>
      <c r="L45" s="214" t="s">
        <v>25</v>
      </c>
      <c r="M45" s="214" t="s">
        <v>24</v>
      </c>
      <c r="N45" s="214" t="s">
        <v>24</v>
      </c>
      <c r="O45" s="227" t="s">
        <v>1161</v>
      </c>
      <c r="P45" s="214"/>
      <c r="Q45" s="216">
        <f t="shared" si="1"/>
        <v>45894</v>
      </c>
      <c r="R45" s="265" t="s">
        <v>1164</v>
      </c>
      <c r="S45" s="230">
        <v>152778965</v>
      </c>
      <c r="T45" s="214" t="s">
        <v>1039</v>
      </c>
      <c r="U45" s="213"/>
    </row>
    <row r="46" spans="1:21" s="4" customFormat="1" ht="20">
      <c r="A46" s="214">
        <v>40</v>
      </c>
      <c r="B46" s="221">
        <v>45895</v>
      </c>
      <c r="C46" s="222" t="s">
        <v>1229</v>
      </c>
      <c r="D46" s="223" t="s">
        <v>1230</v>
      </c>
      <c r="E46" s="232">
        <v>984182299</v>
      </c>
      <c r="F46" s="214" t="s">
        <v>1040</v>
      </c>
      <c r="G46" s="222">
        <v>40466241</v>
      </c>
      <c r="H46" s="215" t="str">
        <f t="shared" si="0"/>
        <v>C 9310 INOX CAMPANA (110V-60HZ) C/KIT</v>
      </c>
      <c r="I46" s="214" t="s">
        <v>1550</v>
      </c>
      <c r="J46" s="222" t="s">
        <v>1054</v>
      </c>
      <c r="K46" s="224">
        <v>45891</v>
      </c>
      <c r="L46" s="214" t="s">
        <v>25</v>
      </c>
      <c r="M46" s="214" t="s">
        <v>24</v>
      </c>
      <c r="N46" s="214" t="s">
        <v>24</v>
      </c>
      <c r="O46" s="222" t="s">
        <v>1228</v>
      </c>
      <c r="P46" s="214"/>
      <c r="Q46" s="216">
        <f t="shared" si="1"/>
        <v>45894</v>
      </c>
      <c r="R46" s="264" t="s">
        <v>1232</v>
      </c>
      <c r="S46" s="225">
        <v>102860095</v>
      </c>
      <c r="T46" s="214" t="s">
        <v>1039</v>
      </c>
      <c r="U46" s="213"/>
    </row>
    <row r="47" spans="1:21" s="4" customFormat="1" ht="20">
      <c r="A47" s="214">
        <v>41</v>
      </c>
      <c r="B47" s="226">
        <v>45896</v>
      </c>
      <c r="C47" s="227" t="s">
        <v>1133</v>
      </c>
      <c r="D47" s="228" t="s">
        <v>1125</v>
      </c>
      <c r="E47" s="231">
        <v>958971701</v>
      </c>
      <c r="F47" s="214" t="s">
        <v>1040</v>
      </c>
      <c r="G47" s="227">
        <v>112910007</v>
      </c>
      <c r="H47" s="215" t="str">
        <f t="shared" si="0"/>
        <v>CC 480 BK ISLA INOX CAMPANA</v>
      </c>
      <c r="I47" s="214" t="s">
        <v>1551</v>
      </c>
      <c r="J47" s="227" t="s">
        <v>1118</v>
      </c>
      <c r="K47" s="229">
        <v>45870</v>
      </c>
      <c r="L47" s="214" t="s">
        <v>25</v>
      </c>
      <c r="M47" s="214" t="s">
        <v>24</v>
      </c>
      <c r="N47" s="214" t="s">
        <v>24</v>
      </c>
      <c r="O47" s="227" t="s">
        <v>1127</v>
      </c>
      <c r="P47" s="214"/>
      <c r="Q47" s="216">
        <f t="shared" si="1"/>
        <v>45895</v>
      </c>
      <c r="R47" s="266" t="s">
        <v>1553</v>
      </c>
      <c r="S47" s="230">
        <v>104578620</v>
      </c>
      <c r="T47" s="214" t="s">
        <v>1552</v>
      </c>
      <c r="U47" s="213"/>
    </row>
    <row r="48" spans="1:21" s="4" customFormat="1" ht="20">
      <c r="A48" s="214">
        <v>42</v>
      </c>
      <c r="B48" s="221">
        <v>45896</v>
      </c>
      <c r="C48" s="222" t="s">
        <v>1133</v>
      </c>
      <c r="D48" s="223" t="s">
        <v>1125</v>
      </c>
      <c r="E48" s="232">
        <v>958971701</v>
      </c>
      <c r="F48" s="214" t="s">
        <v>1040</v>
      </c>
      <c r="G48" s="222">
        <v>112950019</v>
      </c>
      <c r="H48" s="215" t="str">
        <f t="shared" si="0"/>
        <v>DVN 64030 TCL BK CAMPANA (110V-60HZ) C/KIT</v>
      </c>
      <c r="I48" s="214" t="s">
        <v>1551</v>
      </c>
      <c r="J48" s="222" t="s">
        <v>1118</v>
      </c>
      <c r="K48" s="224">
        <v>45870</v>
      </c>
      <c r="L48" s="214" t="s">
        <v>25</v>
      </c>
      <c r="M48" s="214" t="s">
        <v>24</v>
      </c>
      <c r="N48" s="214" t="s">
        <v>24</v>
      </c>
      <c r="O48" s="222" t="s">
        <v>1128</v>
      </c>
      <c r="P48" s="214"/>
      <c r="Q48" s="216">
        <f t="shared" si="1"/>
        <v>45895</v>
      </c>
      <c r="R48" s="266" t="s">
        <v>1553</v>
      </c>
      <c r="S48" s="225">
        <v>104578620</v>
      </c>
      <c r="T48" s="214" t="s">
        <v>1552</v>
      </c>
      <c r="U48" s="213"/>
    </row>
    <row r="49" spans="1:21" s="4" customFormat="1" ht="20">
      <c r="A49" s="214">
        <v>43</v>
      </c>
      <c r="B49" s="226">
        <v>45896</v>
      </c>
      <c r="C49" s="227" t="s">
        <v>1133</v>
      </c>
      <c r="D49" s="228" t="s">
        <v>1125</v>
      </c>
      <c r="E49" s="231">
        <v>958971701</v>
      </c>
      <c r="F49" s="214" t="s">
        <v>1040</v>
      </c>
      <c r="G49" s="227">
        <v>40455334</v>
      </c>
      <c r="H49" s="215" t="str">
        <f t="shared" si="0"/>
        <v>NC 980 CRISTAL CAMPANA (110V-60HZ) C/KIT</v>
      </c>
      <c r="I49" s="214" t="s">
        <v>1551</v>
      </c>
      <c r="J49" s="227" t="s">
        <v>1118</v>
      </c>
      <c r="K49" s="229">
        <v>45870</v>
      </c>
      <c r="L49" s="214" t="s">
        <v>25</v>
      </c>
      <c r="M49" s="214" t="s">
        <v>24</v>
      </c>
      <c r="N49" s="214" t="s">
        <v>24</v>
      </c>
      <c r="O49" s="227" t="s">
        <v>1129</v>
      </c>
      <c r="P49" s="214"/>
      <c r="Q49" s="216">
        <f t="shared" si="1"/>
        <v>45895</v>
      </c>
      <c r="R49" s="266" t="s">
        <v>1553</v>
      </c>
      <c r="S49" s="230">
        <v>104578620</v>
      </c>
      <c r="T49" s="214" t="s">
        <v>1552</v>
      </c>
      <c r="U49" s="213"/>
    </row>
    <row r="50" spans="1:21" s="4" customFormat="1" ht="20">
      <c r="A50" s="214">
        <v>44</v>
      </c>
      <c r="B50" s="221">
        <v>45896</v>
      </c>
      <c r="C50" s="222" t="s">
        <v>1133</v>
      </c>
      <c r="D50" s="223" t="s">
        <v>1125</v>
      </c>
      <c r="E50" s="232">
        <v>958971701</v>
      </c>
      <c r="F50" s="214" t="s">
        <v>1040</v>
      </c>
      <c r="G50" s="222">
        <v>112950020</v>
      </c>
      <c r="H50" s="215" t="str">
        <f t="shared" si="0"/>
        <v>DVN 74030 TCL BK CAMPANA (110V-60HZ) C/KIT</v>
      </c>
      <c r="I50" s="214" t="s">
        <v>1551</v>
      </c>
      <c r="J50" s="222" t="s">
        <v>1118</v>
      </c>
      <c r="K50" s="224">
        <v>45870</v>
      </c>
      <c r="L50" s="214" t="s">
        <v>25</v>
      </c>
      <c r="M50" s="214" t="s">
        <v>24</v>
      </c>
      <c r="N50" s="214" t="s">
        <v>24</v>
      </c>
      <c r="O50" s="222" t="s">
        <v>1130</v>
      </c>
      <c r="P50" s="214"/>
      <c r="Q50" s="216">
        <f t="shared" si="1"/>
        <v>45895</v>
      </c>
      <c r="R50" s="266" t="s">
        <v>1553</v>
      </c>
      <c r="S50" s="225">
        <v>104578620</v>
      </c>
      <c r="T50" s="214" t="s">
        <v>1552</v>
      </c>
      <c r="U50" s="213"/>
    </row>
    <row r="51" spans="1:21" s="4" customFormat="1" ht="20">
      <c r="A51" s="214">
        <v>45</v>
      </c>
      <c r="B51" s="226">
        <v>45896</v>
      </c>
      <c r="C51" s="227" t="s">
        <v>1133</v>
      </c>
      <c r="D51" s="228" t="s">
        <v>1125</v>
      </c>
      <c r="E51" s="231">
        <v>958971701</v>
      </c>
      <c r="F51" s="214" t="s">
        <v>1040</v>
      </c>
      <c r="G51" s="227">
        <v>40484203</v>
      </c>
      <c r="H51" s="215" t="str">
        <f t="shared" si="0"/>
        <v>DSH 785 INOX CAMPANA (110V-60HZ) C/KIT</v>
      </c>
      <c r="I51" s="214" t="s">
        <v>1551</v>
      </c>
      <c r="J51" s="227" t="s">
        <v>1118</v>
      </c>
      <c r="K51" s="229">
        <v>45870</v>
      </c>
      <c r="L51" s="214" t="s">
        <v>25</v>
      </c>
      <c r="M51" s="214" t="s">
        <v>24</v>
      </c>
      <c r="N51" s="214" t="s">
        <v>24</v>
      </c>
      <c r="O51" s="227" t="s">
        <v>1131</v>
      </c>
      <c r="P51" s="214"/>
      <c r="Q51" s="216">
        <f t="shared" si="1"/>
        <v>45895</v>
      </c>
      <c r="R51" s="266" t="s">
        <v>1553</v>
      </c>
      <c r="S51" s="230">
        <v>104578620</v>
      </c>
      <c r="T51" s="214" t="s">
        <v>1552</v>
      </c>
      <c r="U51" s="213"/>
    </row>
    <row r="52" spans="1:21" s="4" customFormat="1" ht="20">
      <c r="A52" s="214">
        <v>46</v>
      </c>
      <c r="B52" s="221">
        <v>45896</v>
      </c>
      <c r="C52" s="222" t="s">
        <v>1133</v>
      </c>
      <c r="D52" s="223" t="s">
        <v>1125</v>
      </c>
      <c r="E52" s="232">
        <v>958971701</v>
      </c>
      <c r="F52" s="214" t="s">
        <v>1040</v>
      </c>
      <c r="G52" s="222">
        <v>112970010</v>
      </c>
      <c r="H52" s="215" t="str">
        <f t="shared" si="0"/>
        <v>DSH 986 FBK CAMPANA</v>
      </c>
      <c r="I52" s="214" t="s">
        <v>1551</v>
      </c>
      <c r="J52" s="222" t="s">
        <v>1118</v>
      </c>
      <c r="K52" s="224">
        <v>45870</v>
      </c>
      <c r="L52" s="214" t="s">
        <v>25</v>
      </c>
      <c r="M52" s="214" t="s">
        <v>24</v>
      </c>
      <c r="N52" s="214" t="s">
        <v>24</v>
      </c>
      <c r="O52" s="222" t="s">
        <v>1132</v>
      </c>
      <c r="P52" s="214"/>
      <c r="Q52" s="216">
        <f t="shared" si="1"/>
        <v>45895</v>
      </c>
      <c r="R52" s="266" t="s">
        <v>1553</v>
      </c>
      <c r="S52" s="225">
        <v>104578620</v>
      </c>
      <c r="T52" s="214" t="s">
        <v>1552</v>
      </c>
      <c r="U52" s="213"/>
    </row>
    <row r="53" spans="1:21" s="4" customFormat="1" ht="20">
      <c r="A53" s="214">
        <v>47</v>
      </c>
      <c r="B53" s="226">
        <v>45896</v>
      </c>
      <c r="C53" s="227" t="s">
        <v>1235</v>
      </c>
      <c r="D53" s="228" t="s">
        <v>1236</v>
      </c>
      <c r="E53" s="231">
        <v>980125803</v>
      </c>
      <c r="F53" s="214" t="s">
        <v>1040</v>
      </c>
      <c r="G53" s="227">
        <v>112570124</v>
      </c>
      <c r="H53" s="215" t="str">
        <f t="shared" si="0"/>
        <v>JZC 64322 ABB BK (LAT) COCINA MIXTA GAS - INDUCCION</v>
      </c>
      <c r="I53" s="214" t="s">
        <v>1550</v>
      </c>
      <c r="J53" s="227" t="s">
        <v>1045</v>
      </c>
      <c r="K53" s="229">
        <v>45856</v>
      </c>
      <c r="L53" s="214" t="s">
        <v>25</v>
      </c>
      <c r="M53" s="214" t="s">
        <v>24</v>
      </c>
      <c r="N53" s="214" t="s">
        <v>24</v>
      </c>
      <c r="O53" s="227" t="s">
        <v>1234</v>
      </c>
      <c r="P53" s="214"/>
      <c r="Q53" s="216">
        <f t="shared" si="1"/>
        <v>45895</v>
      </c>
      <c r="R53" s="265" t="s">
        <v>1238</v>
      </c>
      <c r="S53" s="230">
        <v>104484654</v>
      </c>
      <c r="T53" s="214" t="s">
        <v>1039</v>
      </c>
      <c r="U53" s="213"/>
    </row>
    <row r="54" spans="1:21" s="4" customFormat="1" ht="20">
      <c r="A54" s="214">
        <v>48</v>
      </c>
      <c r="B54" s="221">
        <v>45897</v>
      </c>
      <c r="C54" s="222" t="s">
        <v>1171</v>
      </c>
      <c r="D54" s="223" t="s">
        <v>1172</v>
      </c>
      <c r="E54" s="232">
        <v>999231304</v>
      </c>
      <c r="F54" s="214" t="s">
        <v>1040</v>
      </c>
      <c r="G54" s="222">
        <v>112510035</v>
      </c>
      <c r="H54" s="215" t="str">
        <f t="shared" si="0"/>
        <v>IZF 64440 MSP BK COCINA INDUCCION</v>
      </c>
      <c r="I54" s="214" t="s">
        <v>1550</v>
      </c>
      <c r="J54" s="222" t="s">
        <v>1101</v>
      </c>
      <c r="K54" s="224" t="s">
        <v>1165</v>
      </c>
      <c r="L54" s="214" t="s">
        <v>25</v>
      </c>
      <c r="M54" s="214" t="s">
        <v>24</v>
      </c>
      <c r="N54" s="214" t="s">
        <v>24</v>
      </c>
      <c r="O54" s="222" t="s">
        <v>1167</v>
      </c>
      <c r="P54" s="214"/>
      <c r="Q54" s="216">
        <f t="shared" si="1"/>
        <v>45896</v>
      </c>
      <c r="R54" s="264" t="s">
        <v>1173</v>
      </c>
      <c r="S54" s="225">
        <v>102089349</v>
      </c>
      <c r="T54" s="214" t="s">
        <v>1039</v>
      </c>
      <c r="U54" s="213"/>
    </row>
    <row r="55" spans="1:21" s="4" customFormat="1" ht="20">
      <c r="A55" s="214">
        <v>49</v>
      </c>
      <c r="B55" s="226">
        <v>45897</v>
      </c>
      <c r="C55" s="227" t="s">
        <v>1171</v>
      </c>
      <c r="D55" s="228" t="s">
        <v>1172</v>
      </c>
      <c r="E55" s="231">
        <v>999231304</v>
      </c>
      <c r="F55" s="214" t="s">
        <v>1040</v>
      </c>
      <c r="G55" s="227">
        <v>112930049</v>
      </c>
      <c r="H55" s="215" t="str">
        <f t="shared" si="0"/>
        <v>DVT 68660 TRL BK</v>
      </c>
      <c r="I55" s="214" t="s">
        <v>1550</v>
      </c>
      <c r="J55" s="227" t="s">
        <v>1156</v>
      </c>
      <c r="K55" s="229">
        <v>45792</v>
      </c>
      <c r="L55" s="214" t="s">
        <v>25</v>
      </c>
      <c r="M55" s="214" t="s">
        <v>24</v>
      </c>
      <c r="N55" s="214" t="s">
        <v>24</v>
      </c>
      <c r="O55" s="227" t="s">
        <v>1168</v>
      </c>
      <c r="P55" s="214"/>
      <c r="Q55" s="216">
        <f t="shared" si="1"/>
        <v>45896</v>
      </c>
      <c r="R55" s="265" t="s">
        <v>1173</v>
      </c>
      <c r="S55" s="230">
        <v>102089349</v>
      </c>
      <c r="T55" s="214" t="s">
        <v>1039</v>
      </c>
      <c r="U55" s="213"/>
    </row>
    <row r="56" spans="1:21" s="4" customFormat="1" ht="20">
      <c r="A56" s="214">
        <v>50</v>
      </c>
      <c r="B56" s="221">
        <v>45897</v>
      </c>
      <c r="C56" s="222" t="s">
        <v>1171</v>
      </c>
      <c r="D56" s="223" t="s">
        <v>1172</v>
      </c>
      <c r="E56" s="232">
        <v>999231304</v>
      </c>
      <c r="F56" s="214" t="s">
        <v>1040</v>
      </c>
      <c r="G56" s="222">
        <v>40584305</v>
      </c>
      <c r="H56" s="215" t="str">
        <f t="shared" si="0"/>
        <v>ML 822 BIS - MICROONDAS (112030008)</v>
      </c>
      <c r="I56" s="214" t="s">
        <v>1550</v>
      </c>
      <c r="J56" s="222" t="s">
        <v>1101</v>
      </c>
      <c r="K56" s="224" t="s">
        <v>1165</v>
      </c>
      <c r="L56" s="214" t="s">
        <v>25</v>
      </c>
      <c r="M56" s="214" t="s">
        <v>24</v>
      </c>
      <c r="N56" s="214" t="s">
        <v>24</v>
      </c>
      <c r="O56" s="222" t="s">
        <v>1169</v>
      </c>
      <c r="P56" s="214"/>
      <c r="Q56" s="216">
        <f t="shared" si="1"/>
        <v>45896</v>
      </c>
      <c r="R56" s="264" t="s">
        <v>1173</v>
      </c>
      <c r="S56" s="225">
        <v>102089349</v>
      </c>
      <c r="T56" s="214" t="s">
        <v>1039</v>
      </c>
      <c r="U56" s="213"/>
    </row>
    <row r="57" spans="1:21" s="4" customFormat="1" ht="20">
      <c r="A57" s="214">
        <v>51</v>
      </c>
      <c r="B57" s="226">
        <v>45897</v>
      </c>
      <c r="C57" s="227" t="s">
        <v>1171</v>
      </c>
      <c r="D57" s="228" t="s">
        <v>1172</v>
      </c>
      <c r="E57" s="231">
        <v>999231304</v>
      </c>
      <c r="F57" s="214" t="s">
        <v>1040</v>
      </c>
      <c r="G57" s="227">
        <v>111000051</v>
      </c>
      <c r="H57" s="215" t="str">
        <f t="shared" si="0"/>
        <v>HLB 8416 "AIR FRY" - HORNO ELEC</v>
      </c>
      <c r="I57" s="214" t="s">
        <v>1550</v>
      </c>
      <c r="J57" s="227" t="s">
        <v>1101</v>
      </c>
      <c r="K57" s="229" t="s">
        <v>1165</v>
      </c>
      <c r="L57" s="214" t="s">
        <v>25</v>
      </c>
      <c r="M57" s="214" t="s">
        <v>24</v>
      </c>
      <c r="N57" s="214" t="s">
        <v>24</v>
      </c>
      <c r="O57" s="227" t="s">
        <v>1170</v>
      </c>
      <c r="P57" s="214"/>
      <c r="Q57" s="216">
        <f t="shared" si="1"/>
        <v>45896</v>
      </c>
      <c r="R57" s="265" t="s">
        <v>1173</v>
      </c>
      <c r="S57" s="230">
        <v>102089349</v>
      </c>
      <c r="T57" s="214" t="s">
        <v>1039</v>
      </c>
      <c r="U57" s="213"/>
    </row>
    <row r="58" spans="1:21" s="4" customFormat="1" ht="20">
      <c r="A58" s="214">
        <v>52</v>
      </c>
      <c r="B58" s="221">
        <v>45897</v>
      </c>
      <c r="C58" s="222" t="s">
        <v>1245</v>
      </c>
      <c r="D58" s="223" t="s">
        <v>1241</v>
      </c>
      <c r="E58" s="232" t="s">
        <v>1242</v>
      </c>
      <c r="F58" s="214" t="s">
        <v>1040</v>
      </c>
      <c r="G58" s="222">
        <v>111000078</v>
      </c>
      <c r="H58" s="215" t="str">
        <f t="shared" si="0"/>
        <v>HLB 8400 FBK HORNO ELEC</v>
      </c>
      <c r="I58" s="214" t="s">
        <v>1550</v>
      </c>
      <c r="J58" s="222" t="s">
        <v>1054</v>
      </c>
      <c r="K58" s="224">
        <v>45894</v>
      </c>
      <c r="L58" s="214" t="s">
        <v>25</v>
      </c>
      <c r="M58" s="214" t="s">
        <v>24</v>
      </c>
      <c r="N58" s="214" t="s">
        <v>24</v>
      </c>
      <c r="O58" s="222" t="s">
        <v>1240</v>
      </c>
      <c r="P58" s="214"/>
      <c r="Q58" s="216">
        <f t="shared" si="1"/>
        <v>45896</v>
      </c>
      <c r="R58" s="264" t="s">
        <v>1244</v>
      </c>
      <c r="S58" s="225">
        <v>104163860</v>
      </c>
      <c r="T58" s="214" t="s">
        <v>1039</v>
      </c>
      <c r="U58" s="213"/>
    </row>
    <row r="59" spans="1:21" s="4" customFormat="1" ht="20">
      <c r="A59" s="214">
        <v>53</v>
      </c>
      <c r="B59" s="226">
        <v>45897</v>
      </c>
      <c r="C59" s="227" t="s">
        <v>1248</v>
      </c>
      <c r="D59" s="228" t="s">
        <v>1249</v>
      </c>
      <c r="E59" s="227">
        <v>990234053</v>
      </c>
      <c r="F59" s="214" t="s">
        <v>1040</v>
      </c>
      <c r="G59" s="227">
        <v>112570068</v>
      </c>
      <c r="H59" s="215" t="str">
        <f t="shared" si="0"/>
        <v>GZC 95320 XBB CRISTAL COCINA GAS</v>
      </c>
      <c r="I59" s="214" t="s">
        <v>1550</v>
      </c>
      <c r="J59" s="227" t="s">
        <v>1085</v>
      </c>
      <c r="K59" s="229">
        <v>45897</v>
      </c>
      <c r="L59" s="214" t="s">
        <v>25</v>
      </c>
      <c r="M59" s="214" t="s">
        <v>24</v>
      </c>
      <c r="N59" s="214" t="s">
        <v>24</v>
      </c>
      <c r="O59" s="227" t="s">
        <v>1247</v>
      </c>
      <c r="P59" s="214"/>
      <c r="Q59" s="216">
        <f t="shared" si="1"/>
        <v>45896</v>
      </c>
      <c r="R59" s="265" t="s">
        <v>1251</v>
      </c>
      <c r="S59" s="230">
        <v>1101830212</v>
      </c>
      <c r="T59" s="214" t="s">
        <v>1039</v>
      </c>
      <c r="U59" s="213"/>
    </row>
    <row r="60" spans="1:21" s="4" customFormat="1" ht="20">
      <c r="A60" s="214">
        <v>54</v>
      </c>
      <c r="B60" s="221">
        <v>45898</v>
      </c>
      <c r="C60" s="222" t="s">
        <v>1179</v>
      </c>
      <c r="D60" s="223" t="s">
        <v>1180</v>
      </c>
      <c r="E60" s="222">
        <v>939414392</v>
      </c>
      <c r="F60" s="214" t="s">
        <v>1040</v>
      </c>
      <c r="G60" s="222">
        <v>113430051</v>
      </c>
      <c r="H60" s="215" t="str">
        <f t="shared" si="0"/>
        <v>RMF 77960 GBK MX REFRIGERADORA</v>
      </c>
      <c r="I60" s="214" t="s">
        <v>1550</v>
      </c>
      <c r="J60" s="222" t="s">
        <v>1045</v>
      </c>
      <c r="K60" s="224">
        <v>45827</v>
      </c>
      <c r="L60" s="214" t="s">
        <v>25</v>
      </c>
      <c r="M60" s="214" t="s">
        <v>24</v>
      </c>
      <c r="N60" s="214" t="s">
        <v>24</v>
      </c>
      <c r="O60" s="222" t="s">
        <v>1176</v>
      </c>
      <c r="P60" s="214"/>
      <c r="Q60" s="216">
        <f t="shared" si="1"/>
        <v>45897</v>
      </c>
      <c r="R60" s="267" t="s">
        <v>1665</v>
      </c>
      <c r="S60" s="225">
        <v>102029139</v>
      </c>
      <c r="T60" s="214" t="s">
        <v>1039</v>
      </c>
      <c r="U60" s="213"/>
    </row>
    <row r="61" spans="1:21" s="4" customFormat="1" ht="19" customHeight="1">
      <c r="A61" s="214">
        <v>55</v>
      </c>
      <c r="B61" s="226">
        <v>45898</v>
      </c>
      <c r="C61" s="227" t="s">
        <v>1179</v>
      </c>
      <c r="D61" s="228" t="s">
        <v>1180</v>
      </c>
      <c r="E61" s="227">
        <v>939414392</v>
      </c>
      <c r="F61" s="214" t="s">
        <v>1040</v>
      </c>
      <c r="G61" s="227">
        <v>112570124</v>
      </c>
      <c r="H61" s="215" t="str">
        <f t="shared" si="0"/>
        <v>JZC 64322 ABB BK (LAT) COCINA MIXTA GAS - INDUCCION</v>
      </c>
      <c r="I61" s="214" t="s">
        <v>1550</v>
      </c>
      <c r="J61" s="227" t="s">
        <v>1045</v>
      </c>
      <c r="K61" s="229">
        <v>45827</v>
      </c>
      <c r="L61" s="214" t="s">
        <v>25</v>
      </c>
      <c r="M61" s="214" t="s">
        <v>24</v>
      </c>
      <c r="N61" s="214" t="s">
        <v>24</v>
      </c>
      <c r="O61" s="227" t="s">
        <v>1177</v>
      </c>
      <c r="P61" s="214"/>
      <c r="Q61" s="216">
        <f t="shared" si="1"/>
        <v>45897</v>
      </c>
      <c r="R61" s="267" t="s">
        <v>1665</v>
      </c>
      <c r="S61" s="230">
        <v>102029139</v>
      </c>
      <c r="T61" s="214" t="s">
        <v>1039</v>
      </c>
      <c r="U61" s="213"/>
    </row>
    <row r="62" spans="1:21" s="4" customFormat="1" ht="20">
      <c r="A62" s="214">
        <v>56</v>
      </c>
      <c r="B62" s="221">
        <v>45898</v>
      </c>
      <c r="C62" s="222" t="s">
        <v>1179</v>
      </c>
      <c r="D62" s="223" t="s">
        <v>1180</v>
      </c>
      <c r="E62" s="222">
        <v>939414392</v>
      </c>
      <c r="F62" s="214" t="s">
        <v>1040</v>
      </c>
      <c r="G62" s="222">
        <v>111000051</v>
      </c>
      <c r="H62" s="215" t="str">
        <f t="shared" si="0"/>
        <v>HLB 8416 "AIR FRY" - HORNO ELEC</v>
      </c>
      <c r="I62" s="214" t="s">
        <v>1550</v>
      </c>
      <c r="J62" s="222" t="s">
        <v>1045</v>
      </c>
      <c r="K62" s="224">
        <v>45827</v>
      </c>
      <c r="L62" s="214" t="s">
        <v>25</v>
      </c>
      <c r="M62" s="214" t="s">
        <v>24</v>
      </c>
      <c r="N62" s="214" t="s">
        <v>24</v>
      </c>
      <c r="O62" s="222" t="s">
        <v>1178</v>
      </c>
      <c r="P62" s="214"/>
      <c r="Q62" s="216">
        <f t="shared" si="1"/>
        <v>45897</v>
      </c>
      <c r="R62" s="267" t="s">
        <v>1665</v>
      </c>
      <c r="S62" s="225">
        <v>102029139</v>
      </c>
      <c r="T62" s="214" t="s">
        <v>1039</v>
      </c>
      <c r="U62" s="213"/>
    </row>
    <row r="63" spans="1:21" s="4" customFormat="1" ht="20">
      <c r="A63" s="214">
        <v>57</v>
      </c>
      <c r="B63" s="226">
        <v>45898</v>
      </c>
      <c r="C63" s="227" t="s">
        <v>1179</v>
      </c>
      <c r="D63" s="228" t="s">
        <v>1180</v>
      </c>
      <c r="E63" s="227">
        <v>939414392</v>
      </c>
      <c r="F63" s="214" t="s">
        <v>1040</v>
      </c>
      <c r="G63" s="227">
        <v>40480321</v>
      </c>
      <c r="H63" s="215" t="str">
        <f t="shared" si="0"/>
        <v>CC 480 ISLA INOX CAMPANA (40480301)</v>
      </c>
      <c r="I63" s="214" t="s">
        <v>1550</v>
      </c>
      <c r="J63" s="227" t="s">
        <v>1045</v>
      </c>
      <c r="K63" s="229">
        <v>45827</v>
      </c>
      <c r="L63" s="214" t="s">
        <v>25</v>
      </c>
      <c r="M63" s="214" t="s">
        <v>24</v>
      </c>
      <c r="N63" s="214" t="s">
        <v>24</v>
      </c>
      <c r="O63" s="227" t="s">
        <v>1309</v>
      </c>
      <c r="P63" s="214"/>
      <c r="Q63" s="216">
        <f t="shared" si="1"/>
        <v>45897</v>
      </c>
      <c r="R63" s="267" t="s">
        <v>1665</v>
      </c>
      <c r="S63" s="230">
        <v>102029139</v>
      </c>
      <c r="T63" s="214" t="s">
        <v>1039</v>
      </c>
      <c r="U63" s="213"/>
    </row>
    <row r="64" spans="1:21" s="4" customFormat="1" ht="21" customHeight="1">
      <c r="A64" s="214">
        <v>58</v>
      </c>
      <c r="B64" s="221">
        <v>45898</v>
      </c>
      <c r="C64" s="222" t="s">
        <v>1184</v>
      </c>
      <c r="D64" s="223" t="s">
        <v>1185</v>
      </c>
      <c r="E64" s="222">
        <v>995148468</v>
      </c>
      <c r="F64" s="214" t="s">
        <v>1040</v>
      </c>
      <c r="G64" s="222">
        <v>112570128</v>
      </c>
      <c r="H64" s="215" t="str">
        <f t="shared" si="0"/>
        <v>JZC 96342 BBB BK (LAT) COCINA MIXTA GAS - INDUCCION</v>
      </c>
      <c r="I64" s="214" t="s">
        <v>1550</v>
      </c>
      <c r="J64" s="222" t="s">
        <v>1054</v>
      </c>
      <c r="K64" s="224">
        <v>45857</v>
      </c>
      <c r="L64" s="214" t="s">
        <v>25</v>
      </c>
      <c r="M64" s="214" t="s">
        <v>24</v>
      </c>
      <c r="N64" s="214" t="s">
        <v>24</v>
      </c>
      <c r="O64" s="222" t="s">
        <v>1182</v>
      </c>
      <c r="P64" s="214"/>
      <c r="Q64" s="216">
        <f t="shared" si="1"/>
        <v>45897</v>
      </c>
      <c r="R64" s="222" t="s">
        <v>1186</v>
      </c>
      <c r="S64" s="225">
        <v>107061590</v>
      </c>
      <c r="T64" s="214" t="s">
        <v>1039</v>
      </c>
      <c r="U64" s="213"/>
    </row>
    <row r="65" spans="1:21" s="4" customFormat="1" ht="20">
      <c r="A65" s="214">
        <v>59</v>
      </c>
      <c r="B65" s="226">
        <v>45898</v>
      </c>
      <c r="C65" s="227" t="s">
        <v>1184</v>
      </c>
      <c r="D65" s="228" t="s">
        <v>1185</v>
      </c>
      <c r="E65" s="227">
        <v>995148468</v>
      </c>
      <c r="F65" s="214" t="s">
        <v>1040</v>
      </c>
      <c r="G65" s="227">
        <v>113120010</v>
      </c>
      <c r="H65" s="215" t="str">
        <f t="shared" si="0"/>
        <v>GFI 97350 ECS IX 110/60 CAMPANA</v>
      </c>
      <c r="I65" s="214" t="s">
        <v>1550</v>
      </c>
      <c r="J65" s="227" t="s">
        <v>1054</v>
      </c>
      <c r="K65" s="229">
        <v>45857</v>
      </c>
      <c r="L65" s="214" t="s">
        <v>25</v>
      </c>
      <c r="M65" s="214" t="s">
        <v>24</v>
      </c>
      <c r="N65" s="214" t="s">
        <v>24</v>
      </c>
      <c r="O65" s="227" t="s">
        <v>1183</v>
      </c>
      <c r="P65" s="214"/>
      <c r="Q65" s="216">
        <f t="shared" si="1"/>
        <v>45897</v>
      </c>
      <c r="R65" s="227" t="s">
        <v>1186</v>
      </c>
      <c r="S65" s="230">
        <v>107061590</v>
      </c>
      <c r="T65" s="214" t="s">
        <v>1039</v>
      </c>
      <c r="U65" s="213"/>
    </row>
    <row r="66" spans="1:21" s="4" customFormat="1" ht="20">
      <c r="A66" s="214">
        <v>60</v>
      </c>
      <c r="B66" s="221">
        <v>45898</v>
      </c>
      <c r="C66" s="222" t="s">
        <v>1190</v>
      </c>
      <c r="D66" s="223" t="s">
        <v>1191</v>
      </c>
      <c r="E66" s="222">
        <v>987642002</v>
      </c>
      <c r="F66" s="214" t="s">
        <v>1040</v>
      </c>
      <c r="G66" s="222">
        <v>112570125</v>
      </c>
      <c r="H66" s="215" t="str">
        <f t="shared" si="0"/>
        <v>JZC 95314 ABB BK (LAT) COCINA MIXTA GAS - INDUCCION (40213032)</v>
      </c>
      <c r="I66" s="214" t="s">
        <v>1550</v>
      </c>
      <c r="J66" s="222" t="s">
        <v>1054</v>
      </c>
      <c r="K66" s="224">
        <v>45619</v>
      </c>
      <c r="L66" s="214" t="s">
        <v>25</v>
      </c>
      <c r="M66" s="214" t="s">
        <v>24</v>
      </c>
      <c r="N66" s="214" t="s">
        <v>24</v>
      </c>
      <c r="O66" s="222" t="s">
        <v>1188</v>
      </c>
      <c r="P66" s="214"/>
      <c r="Q66" s="216">
        <f t="shared" si="1"/>
        <v>45897</v>
      </c>
      <c r="R66" s="222" t="s">
        <v>1192</v>
      </c>
      <c r="S66" s="225">
        <v>104684246</v>
      </c>
      <c r="T66" s="214" t="s">
        <v>1039</v>
      </c>
      <c r="U66" s="213"/>
    </row>
    <row r="67" spans="1:21" s="4" customFormat="1" ht="20">
      <c r="A67" s="214">
        <v>61</v>
      </c>
      <c r="B67" s="226">
        <v>45898</v>
      </c>
      <c r="C67" s="227" t="s">
        <v>1190</v>
      </c>
      <c r="D67" s="228" t="s">
        <v>1191</v>
      </c>
      <c r="E67" s="227">
        <v>987642002</v>
      </c>
      <c r="F67" s="214" t="s">
        <v>1040</v>
      </c>
      <c r="G67" s="227">
        <v>111010040</v>
      </c>
      <c r="H67" s="215" t="str">
        <f t="shared" si="0"/>
        <v>HSB 610 NEGRO HORNO ELEC</v>
      </c>
      <c r="I67" s="214" t="s">
        <v>1550</v>
      </c>
      <c r="J67" s="227" t="s">
        <v>1054</v>
      </c>
      <c r="K67" s="229">
        <v>45619</v>
      </c>
      <c r="L67" s="214" t="s">
        <v>25</v>
      </c>
      <c r="M67" s="214" t="s">
        <v>24</v>
      </c>
      <c r="N67" s="214" t="s">
        <v>24</v>
      </c>
      <c r="O67" s="227" t="s">
        <v>1189</v>
      </c>
      <c r="P67" s="214"/>
      <c r="Q67" s="216">
        <f t="shared" si="1"/>
        <v>45897</v>
      </c>
      <c r="R67" s="227" t="s">
        <v>1192</v>
      </c>
      <c r="S67" s="230">
        <v>104684246</v>
      </c>
      <c r="T67" s="214" t="s">
        <v>1039</v>
      </c>
      <c r="U67" s="213"/>
    </row>
    <row r="68" spans="1:21" s="4" customFormat="1" ht="20">
      <c r="A68" s="214">
        <v>62</v>
      </c>
      <c r="B68" s="221">
        <v>45898</v>
      </c>
      <c r="C68" s="222" t="s">
        <v>1190</v>
      </c>
      <c r="D68" s="223" t="s">
        <v>1191</v>
      </c>
      <c r="E68" s="222">
        <v>987642002</v>
      </c>
      <c r="F68" s="214" t="s">
        <v>1040</v>
      </c>
      <c r="G68" s="222">
        <v>112030019</v>
      </c>
      <c r="H68" s="215" t="str">
        <f t="shared" si="0"/>
        <v>ML 8220 BIS FBK- MICROONDAS</v>
      </c>
      <c r="I68" s="214" t="s">
        <v>1550</v>
      </c>
      <c r="J68" s="222" t="s">
        <v>1193</v>
      </c>
      <c r="K68" s="224">
        <v>45626</v>
      </c>
      <c r="L68" s="214" t="s">
        <v>25</v>
      </c>
      <c r="M68" s="214" t="s">
        <v>24</v>
      </c>
      <c r="N68" s="214" t="s">
        <v>24</v>
      </c>
      <c r="O68" s="222" t="s">
        <v>1197</v>
      </c>
      <c r="P68" s="214"/>
      <c r="Q68" s="216">
        <f t="shared" si="1"/>
        <v>45897</v>
      </c>
      <c r="R68" s="222" t="s">
        <v>1192</v>
      </c>
      <c r="S68" s="225">
        <v>104684246</v>
      </c>
      <c r="T68" s="214" t="s">
        <v>1039</v>
      </c>
      <c r="U68" s="213"/>
    </row>
    <row r="69" spans="1:21" s="4" customFormat="1" ht="20">
      <c r="A69" s="214">
        <v>63</v>
      </c>
      <c r="B69" s="226">
        <v>45898</v>
      </c>
      <c r="C69" s="227" t="s">
        <v>1190</v>
      </c>
      <c r="D69" s="228" t="s">
        <v>1191</v>
      </c>
      <c r="E69" s="227">
        <v>987642002</v>
      </c>
      <c r="F69" s="214" t="s">
        <v>1040</v>
      </c>
      <c r="G69" s="227">
        <v>111030002</v>
      </c>
      <c r="H69" s="215" t="str">
        <f t="shared" si="0"/>
        <v>HLB 760 G SS HORNO A GAS</v>
      </c>
      <c r="I69" s="214" t="s">
        <v>1550</v>
      </c>
      <c r="J69" s="227" t="s">
        <v>1193</v>
      </c>
      <c r="K69" s="229">
        <v>45626</v>
      </c>
      <c r="L69" s="214" t="s">
        <v>25</v>
      </c>
      <c r="M69" s="214" t="s">
        <v>24</v>
      </c>
      <c r="N69" s="214" t="s">
        <v>24</v>
      </c>
      <c r="O69" s="227" t="s">
        <v>1195</v>
      </c>
      <c r="P69" s="214"/>
      <c r="Q69" s="216">
        <f t="shared" si="1"/>
        <v>45897</v>
      </c>
      <c r="R69" s="227" t="s">
        <v>1192</v>
      </c>
      <c r="S69" s="230">
        <v>104684246</v>
      </c>
      <c r="T69" s="214" t="s">
        <v>1039</v>
      </c>
      <c r="U69" s="213"/>
    </row>
    <row r="70" spans="1:21" s="4" customFormat="1" ht="20">
      <c r="A70" s="214">
        <v>64</v>
      </c>
      <c r="B70" s="221">
        <v>45898</v>
      </c>
      <c r="C70" s="222" t="s">
        <v>1190</v>
      </c>
      <c r="D70" s="223" t="s">
        <v>1191</v>
      </c>
      <c r="E70" s="222">
        <v>987642002</v>
      </c>
      <c r="F70" s="214" t="s">
        <v>1040</v>
      </c>
      <c r="G70" s="222">
        <v>112570073</v>
      </c>
      <c r="H70" s="215" t="str">
        <f t="shared" si="0"/>
        <v>GZC 96310 XBB CRISTAL COCINA GAS</v>
      </c>
      <c r="I70" s="214" t="s">
        <v>1550</v>
      </c>
      <c r="J70" s="222" t="s">
        <v>1193</v>
      </c>
      <c r="K70" s="224">
        <v>45626</v>
      </c>
      <c r="L70" s="214" t="s">
        <v>25</v>
      </c>
      <c r="M70" s="214" t="s">
        <v>24</v>
      </c>
      <c r="N70" s="214" t="s">
        <v>24</v>
      </c>
      <c r="O70" s="222" t="s">
        <v>1196</v>
      </c>
      <c r="P70" s="214"/>
      <c r="Q70" s="216">
        <f t="shared" si="1"/>
        <v>45897</v>
      </c>
      <c r="R70" s="222" t="s">
        <v>1192</v>
      </c>
      <c r="S70" s="225">
        <v>104684246</v>
      </c>
      <c r="T70" s="214" t="s">
        <v>1039</v>
      </c>
      <c r="U70" s="213"/>
    </row>
    <row r="71" spans="1:21" s="4" customFormat="1" ht="20">
      <c r="A71" s="214">
        <v>65</v>
      </c>
      <c r="B71" s="226">
        <v>45898</v>
      </c>
      <c r="C71" s="227" t="s">
        <v>1190</v>
      </c>
      <c r="D71" s="228" t="s">
        <v>1191</v>
      </c>
      <c r="E71" s="227">
        <v>987642002</v>
      </c>
      <c r="F71" s="214" t="s">
        <v>1040</v>
      </c>
      <c r="G71" s="227">
        <v>112930045</v>
      </c>
      <c r="H71" s="215" t="str">
        <f t="shared" ref="H71:H134" si="2">VLOOKUP(G71,PROD,2,FALSE)</f>
        <v>DLV 98660 TRL BK CAMPANA (110V-60HZ) C/KIT</v>
      </c>
      <c r="I71" s="214" t="s">
        <v>1550</v>
      </c>
      <c r="J71" s="227" t="s">
        <v>1193</v>
      </c>
      <c r="K71" s="229">
        <v>45626</v>
      </c>
      <c r="L71" s="214" t="s">
        <v>25</v>
      </c>
      <c r="M71" s="214" t="s">
        <v>24</v>
      </c>
      <c r="N71" s="214" t="s">
        <v>24</v>
      </c>
      <c r="O71" s="227" t="s">
        <v>1198</v>
      </c>
      <c r="P71" s="214"/>
      <c r="Q71" s="216">
        <f t="shared" si="1"/>
        <v>45897</v>
      </c>
      <c r="R71" s="227" t="s">
        <v>1192</v>
      </c>
      <c r="S71" s="230">
        <v>104684246</v>
      </c>
      <c r="T71" s="214" t="s">
        <v>1039</v>
      </c>
      <c r="U71" s="213"/>
    </row>
    <row r="72" spans="1:21" s="4" customFormat="1" ht="20">
      <c r="A72" s="214">
        <v>66</v>
      </c>
      <c r="B72" s="221">
        <v>45898</v>
      </c>
      <c r="C72" s="222" t="s">
        <v>1254</v>
      </c>
      <c r="D72" s="223" t="s">
        <v>1191</v>
      </c>
      <c r="E72" s="222">
        <v>984670770</v>
      </c>
      <c r="F72" s="214" t="s">
        <v>1040</v>
      </c>
      <c r="G72" s="222">
        <v>112570126</v>
      </c>
      <c r="H72" s="215" t="str">
        <f t="shared" si="2"/>
        <v>JZC 96324 ABB BK (LAT) COCINA MIXTA GAS - INDUCCION (40213042)</v>
      </c>
      <c r="I72" s="214" t="s">
        <v>1550</v>
      </c>
      <c r="J72" s="222" t="s">
        <v>1085</v>
      </c>
      <c r="K72" s="224">
        <v>45622</v>
      </c>
      <c r="L72" s="214" t="s">
        <v>25</v>
      </c>
      <c r="M72" s="214" t="s">
        <v>24</v>
      </c>
      <c r="N72" s="214" t="s">
        <v>24</v>
      </c>
      <c r="O72" s="222" t="s">
        <v>1253</v>
      </c>
      <c r="P72" s="214"/>
      <c r="Q72" s="216">
        <f t="shared" ref="Q72:Q135" si="3">B72-1</f>
        <v>45897</v>
      </c>
      <c r="R72" s="222" t="s">
        <v>1192</v>
      </c>
      <c r="S72" s="225">
        <v>112570126</v>
      </c>
      <c r="T72" s="214" t="s">
        <v>1039</v>
      </c>
      <c r="U72" s="213"/>
    </row>
    <row r="73" spans="1:21" s="4" customFormat="1" ht="20">
      <c r="A73" s="214">
        <v>67</v>
      </c>
      <c r="B73" s="226">
        <v>45898</v>
      </c>
      <c r="C73" s="227" t="s">
        <v>1258</v>
      </c>
      <c r="D73" s="228" t="s">
        <v>1259</v>
      </c>
      <c r="E73" s="227">
        <v>923466874</v>
      </c>
      <c r="F73" s="214" t="s">
        <v>1040</v>
      </c>
      <c r="G73" s="227">
        <v>40212014</v>
      </c>
      <c r="H73" s="215" t="str">
        <f t="shared" si="2"/>
        <v>EX 60.1 4G AI DR CI COCINA INOX</v>
      </c>
      <c r="I73" s="214" t="s">
        <v>1550</v>
      </c>
      <c r="J73" s="227" t="s">
        <v>1045</v>
      </c>
      <c r="K73" s="229">
        <v>45897</v>
      </c>
      <c r="L73" s="214" t="s">
        <v>25</v>
      </c>
      <c r="M73" s="214" t="s">
        <v>24</v>
      </c>
      <c r="N73" s="214" t="s">
        <v>24</v>
      </c>
      <c r="O73" s="227" t="s">
        <v>1257</v>
      </c>
      <c r="P73" s="214"/>
      <c r="Q73" s="216">
        <f t="shared" si="3"/>
        <v>45897</v>
      </c>
      <c r="R73" s="227" t="s">
        <v>1261</v>
      </c>
      <c r="S73" s="230">
        <v>40212014</v>
      </c>
      <c r="T73" s="214" t="s">
        <v>1039</v>
      </c>
      <c r="U73" s="213"/>
    </row>
    <row r="74" spans="1:21" s="4" customFormat="1" ht="20">
      <c r="A74" s="214">
        <v>68</v>
      </c>
      <c r="B74" s="221">
        <v>45898</v>
      </c>
      <c r="C74" s="222" t="s">
        <v>1265</v>
      </c>
      <c r="D74" s="223" t="s">
        <v>1264</v>
      </c>
      <c r="E74" s="222">
        <v>993350149</v>
      </c>
      <c r="F74" s="214" t="s">
        <v>1040</v>
      </c>
      <c r="G74" s="222">
        <v>112500047</v>
      </c>
      <c r="H74" s="215" t="str">
        <f t="shared" si="2"/>
        <v>IZF 99700 MST COCINA INDUCCION</v>
      </c>
      <c r="I74" s="214" t="s">
        <v>1550</v>
      </c>
      <c r="J74" s="222" t="s">
        <v>1156</v>
      </c>
      <c r="K74" s="224">
        <v>45890</v>
      </c>
      <c r="L74" s="214" t="s">
        <v>25</v>
      </c>
      <c r="M74" s="214" t="s">
        <v>24</v>
      </c>
      <c r="N74" s="214" t="s">
        <v>24</v>
      </c>
      <c r="O74" s="222" t="s">
        <v>1266</v>
      </c>
      <c r="P74" s="214"/>
      <c r="Q74" s="216">
        <f t="shared" si="3"/>
        <v>45897</v>
      </c>
      <c r="R74" s="222" t="s">
        <v>1262</v>
      </c>
      <c r="S74" s="225">
        <v>152122446</v>
      </c>
      <c r="T74" s="214" t="s">
        <v>1039</v>
      </c>
      <c r="U74" s="213"/>
    </row>
    <row r="75" spans="1:21" s="4" customFormat="1" ht="20">
      <c r="A75" s="214">
        <v>69</v>
      </c>
      <c r="B75" s="226">
        <v>45898</v>
      </c>
      <c r="C75" s="227" t="s">
        <v>1270</v>
      </c>
      <c r="D75" s="228" t="s">
        <v>1271</v>
      </c>
      <c r="E75" s="227">
        <v>982211396</v>
      </c>
      <c r="F75" s="214" t="s">
        <v>1040</v>
      </c>
      <c r="G75" s="227">
        <v>40466241</v>
      </c>
      <c r="H75" s="215" t="str">
        <f t="shared" si="2"/>
        <v>C 9310 INOX CAMPANA (110V-60HZ) C/KIT</v>
      </c>
      <c r="I75" s="214" t="s">
        <v>1550</v>
      </c>
      <c r="J75" s="227" t="s">
        <v>1045</v>
      </c>
      <c r="K75" s="229">
        <v>45894</v>
      </c>
      <c r="L75" s="214" t="s">
        <v>25</v>
      </c>
      <c r="M75" s="214" t="s">
        <v>24</v>
      </c>
      <c r="N75" s="214" t="s">
        <v>24</v>
      </c>
      <c r="O75" s="227" t="s">
        <v>1269</v>
      </c>
      <c r="P75" s="214"/>
      <c r="Q75" s="216">
        <f t="shared" si="3"/>
        <v>45897</v>
      </c>
      <c r="R75" s="227" t="s">
        <v>1273</v>
      </c>
      <c r="S75" s="230">
        <v>102701810</v>
      </c>
      <c r="T75" s="214" t="s">
        <v>1039</v>
      </c>
      <c r="U75" s="213"/>
    </row>
    <row r="76" spans="1:21" s="4" customFormat="1" ht="20">
      <c r="A76" s="214">
        <v>70</v>
      </c>
      <c r="B76" s="221">
        <v>45898</v>
      </c>
      <c r="C76" s="222" t="s">
        <v>1277</v>
      </c>
      <c r="D76" s="223" t="s">
        <v>1278</v>
      </c>
      <c r="E76" s="222">
        <v>997067264</v>
      </c>
      <c r="F76" s="214" t="s">
        <v>1040</v>
      </c>
      <c r="G76" s="222">
        <v>40297052</v>
      </c>
      <c r="H76" s="215" t="str">
        <f t="shared" si="2"/>
        <v>COCINA A GAS FS3RL966GGX</v>
      </c>
      <c r="I76" s="214" t="s">
        <v>1550</v>
      </c>
      <c r="J76" s="222" t="s">
        <v>1274</v>
      </c>
      <c r="K76" s="224">
        <v>45897</v>
      </c>
      <c r="L76" s="214" t="s">
        <v>25</v>
      </c>
      <c r="M76" s="214" t="s">
        <v>24</v>
      </c>
      <c r="N76" s="214" t="s">
        <v>24</v>
      </c>
      <c r="O76" s="222" t="s">
        <v>1276</v>
      </c>
      <c r="P76" s="214"/>
      <c r="Q76" s="216">
        <f t="shared" si="3"/>
        <v>45897</v>
      </c>
      <c r="R76" s="222" t="s">
        <v>1280</v>
      </c>
      <c r="S76" s="225">
        <v>102821014001</v>
      </c>
      <c r="T76" s="214" t="s">
        <v>1039</v>
      </c>
      <c r="U76" s="213"/>
    </row>
    <row r="77" spans="1:21" s="4" customFormat="1" ht="20">
      <c r="A77" s="214">
        <v>71</v>
      </c>
      <c r="B77" s="221">
        <v>45901</v>
      </c>
      <c r="C77" s="222" t="s">
        <v>1202</v>
      </c>
      <c r="D77" s="223" t="s">
        <v>1172</v>
      </c>
      <c r="E77" s="222">
        <v>987654763</v>
      </c>
      <c r="F77" s="214" t="s">
        <v>1040</v>
      </c>
      <c r="G77" s="222">
        <v>112570016</v>
      </c>
      <c r="H77" s="215" t="str">
        <f t="shared" si="2"/>
        <v>GZC 32300 XBB CRISTAL COCINA GAS</v>
      </c>
      <c r="I77" s="214" t="s">
        <v>1550</v>
      </c>
      <c r="J77" s="222" t="s">
        <v>1054</v>
      </c>
      <c r="K77" s="224">
        <v>45696</v>
      </c>
      <c r="L77" s="214" t="s">
        <v>25</v>
      </c>
      <c r="M77" s="214" t="s">
        <v>24</v>
      </c>
      <c r="N77" s="214" t="s">
        <v>24</v>
      </c>
      <c r="O77" s="222" t="s">
        <v>1200</v>
      </c>
      <c r="P77" s="214"/>
      <c r="Q77" s="216">
        <f t="shared" si="3"/>
        <v>45900</v>
      </c>
      <c r="R77" s="222" t="s">
        <v>1203</v>
      </c>
      <c r="S77" s="225">
        <v>102524345</v>
      </c>
      <c r="T77" s="214" t="s">
        <v>1039</v>
      </c>
      <c r="U77" s="213"/>
    </row>
    <row r="78" spans="1:21" s="4" customFormat="1" ht="20">
      <c r="A78" s="214">
        <v>72</v>
      </c>
      <c r="B78" s="226">
        <v>45901</v>
      </c>
      <c r="C78" s="227" t="s">
        <v>1202</v>
      </c>
      <c r="D78" s="228" t="s">
        <v>1172</v>
      </c>
      <c r="E78" s="227">
        <v>987654763</v>
      </c>
      <c r="F78" s="214" t="s">
        <v>1040</v>
      </c>
      <c r="G78" s="227">
        <v>112510036</v>
      </c>
      <c r="H78" s="215" t="str">
        <f t="shared" si="2"/>
        <v>IZC 32310 MSP BK COCINA MODULAR INDUCCION</v>
      </c>
      <c r="I78" s="214" t="s">
        <v>1550</v>
      </c>
      <c r="J78" s="227" t="s">
        <v>1054</v>
      </c>
      <c r="K78" s="229">
        <v>45696</v>
      </c>
      <c r="L78" s="214" t="s">
        <v>25</v>
      </c>
      <c r="M78" s="214" t="s">
        <v>24</v>
      </c>
      <c r="N78" s="214" t="s">
        <v>24</v>
      </c>
      <c r="O78" s="227" t="s">
        <v>1201</v>
      </c>
      <c r="P78" s="214"/>
      <c r="Q78" s="216">
        <f t="shared" si="3"/>
        <v>45900</v>
      </c>
      <c r="R78" s="227" t="s">
        <v>1203</v>
      </c>
      <c r="S78" s="230">
        <v>102524345</v>
      </c>
      <c r="T78" s="214" t="s">
        <v>1039</v>
      </c>
      <c r="U78" s="213"/>
    </row>
    <row r="79" spans="1:21" s="4" customFormat="1" ht="20">
      <c r="A79" s="214">
        <v>73</v>
      </c>
      <c r="B79" s="226">
        <v>45901</v>
      </c>
      <c r="C79" s="227" t="s">
        <v>1283</v>
      </c>
      <c r="D79" s="228" t="s">
        <v>1284</v>
      </c>
      <c r="E79" s="227">
        <v>987216968</v>
      </c>
      <c r="F79" s="214" t="s">
        <v>1040</v>
      </c>
      <c r="G79" s="227">
        <v>112950019</v>
      </c>
      <c r="H79" s="215" t="str">
        <f t="shared" si="2"/>
        <v>DVN 64030 TCL BK CAMPANA (110V-60HZ) C/KIT</v>
      </c>
      <c r="I79" s="214" t="s">
        <v>1550</v>
      </c>
      <c r="J79" s="227" t="s">
        <v>1054</v>
      </c>
      <c r="K79" s="229">
        <v>45887</v>
      </c>
      <c r="L79" s="214" t="s">
        <v>25</v>
      </c>
      <c r="M79" s="214" t="s">
        <v>24</v>
      </c>
      <c r="N79" s="214" t="s">
        <v>24</v>
      </c>
      <c r="O79" s="227" t="s">
        <v>1282</v>
      </c>
      <c r="P79" s="214"/>
      <c r="Q79" s="216">
        <f t="shared" si="3"/>
        <v>45900</v>
      </c>
      <c r="R79" s="227" t="s">
        <v>1286</v>
      </c>
      <c r="S79" s="230">
        <v>101550978</v>
      </c>
      <c r="T79" s="214" t="s">
        <v>1039</v>
      </c>
      <c r="U79" s="213"/>
    </row>
    <row r="80" spans="1:21" s="4" customFormat="1" ht="20">
      <c r="A80" s="214">
        <v>74</v>
      </c>
      <c r="B80" s="221">
        <v>45901</v>
      </c>
      <c r="C80" s="222" t="s">
        <v>1289</v>
      </c>
      <c r="D80" s="223" t="s">
        <v>1290</v>
      </c>
      <c r="E80" s="222">
        <v>990273271</v>
      </c>
      <c r="F80" s="214" t="s">
        <v>1040</v>
      </c>
      <c r="G80" s="222">
        <v>40466241</v>
      </c>
      <c r="H80" s="215" t="str">
        <f t="shared" si="2"/>
        <v>C 9310 INOX CAMPANA (110V-60HZ) C/KIT</v>
      </c>
      <c r="I80" s="214" t="s">
        <v>1550</v>
      </c>
      <c r="J80" s="222" t="s">
        <v>1045</v>
      </c>
      <c r="K80" s="224">
        <v>45886</v>
      </c>
      <c r="L80" s="214" t="s">
        <v>25</v>
      </c>
      <c r="M80" s="214" t="s">
        <v>24</v>
      </c>
      <c r="N80" s="214" t="s">
        <v>24</v>
      </c>
      <c r="O80" s="222" t="s">
        <v>1288</v>
      </c>
      <c r="P80" s="214"/>
      <c r="Q80" s="216">
        <f t="shared" si="3"/>
        <v>45900</v>
      </c>
      <c r="R80" s="222" t="s">
        <v>1292</v>
      </c>
      <c r="S80" s="225">
        <v>104848114</v>
      </c>
      <c r="T80" s="214" t="s">
        <v>1039</v>
      </c>
      <c r="U80" s="213"/>
    </row>
    <row r="81" spans="1:21" s="4" customFormat="1" ht="20">
      <c r="A81" s="214">
        <v>75</v>
      </c>
      <c r="B81" s="221">
        <v>45902</v>
      </c>
      <c r="C81" s="222" t="s">
        <v>1310</v>
      </c>
      <c r="D81" s="223" t="s">
        <v>1206</v>
      </c>
      <c r="E81" s="222">
        <v>985225444</v>
      </c>
      <c r="F81" s="214" t="s">
        <v>1040</v>
      </c>
      <c r="G81" s="222">
        <v>40446712</v>
      </c>
      <c r="H81" s="215" t="str">
        <f t="shared" si="2"/>
        <v>GFH 73 INOX CAMPANA (110V-60HZ) C/KIT</v>
      </c>
      <c r="I81" s="214" t="s">
        <v>1550</v>
      </c>
      <c r="J81" s="222" t="s">
        <v>1211</v>
      </c>
      <c r="K81" s="224">
        <v>45712</v>
      </c>
      <c r="L81" s="214" t="s">
        <v>25</v>
      </c>
      <c r="M81" s="214" t="s">
        <v>24</v>
      </c>
      <c r="N81" s="214" t="s">
        <v>24</v>
      </c>
      <c r="O81" s="222" t="s">
        <v>1205</v>
      </c>
      <c r="P81" s="214"/>
      <c r="Q81" s="216">
        <f t="shared" si="3"/>
        <v>45901</v>
      </c>
      <c r="R81" s="222" t="s">
        <v>1207</v>
      </c>
      <c r="S81" s="225">
        <v>102272135</v>
      </c>
      <c r="T81" s="214" t="s">
        <v>1039</v>
      </c>
      <c r="U81" s="213"/>
    </row>
    <row r="82" spans="1:21" s="4" customFormat="1" ht="20">
      <c r="A82" s="214">
        <v>76</v>
      </c>
      <c r="B82" s="226">
        <v>45902</v>
      </c>
      <c r="C82" s="227" t="s">
        <v>1310</v>
      </c>
      <c r="D82" s="228" t="s">
        <v>1206</v>
      </c>
      <c r="E82" s="227">
        <v>985225444</v>
      </c>
      <c r="F82" s="214" t="s">
        <v>1040</v>
      </c>
      <c r="G82" s="227">
        <v>112570093</v>
      </c>
      <c r="H82" s="215" t="str">
        <f t="shared" si="2"/>
        <v>GZC 75330 XBB CRISTAL COCINA GAS</v>
      </c>
      <c r="I82" s="214" t="s">
        <v>1550</v>
      </c>
      <c r="J82" s="227" t="s">
        <v>1054</v>
      </c>
      <c r="K82" s="229">
        <v>45877</v>
      </c>
      <c r="L82" s="214" t="s">
        <v>25</v>
      </c>
      <c r="M82" s="214" t="s">
        <v>24</v>
      </c>
      <c r="N82" s="214" t="s">
        <v>24</v>
      </c>
      <c r="O82" s="227" t="s">
        <v>1208</v>
      </c>
      <c r="P82" s="214"/>
      <c r="Q82" s="216">
        <f t="shared" si="3"/>
        <v>45901</v>
      </c>
      <c r="R82" s="227" t="s">
        <v>1207</v>
      </c>
      <c r="S82" s="230">
        <v>102272135</v>
      </c>
      <c r="T82" s="214" t="s">
        <v>1039</v>
      </c>
      <c r="U82" s="213"/>
    </row>
    <row r="83" spans="1:21" ht="19">
      <c r="A83" s="214">
        <v>77</v>
      </c>
      <c r="B83" s="221">
        <v>45902</v>
      </c>
      <c r="C83" s="222" t="s">
        <v>1310</v>
      </c>
      <c r="D83" s="223" t="s">
        <v>1206</v>
      </c>
      <c r="E83" s="222">
        <v>985225444</v>
      </c>
      <c r="F83" s="214" t="s">
        <v>1040</v>
      </c>
      <c r="G83" s="222">
        <v>40466241</v>
      </c>
      <c r="H83" s="215" t="str">
        <f t="shared" si="2"/>
        <v>C 9310 INOX CAMPANA (110V-60HZ) C/KIT</v>
      </c>
      <c r="I83" s="214" t="s">
        <v>1550</v>
      </c>
      <c r="J83" s="222" t="s">
        <v>1211</v>
      </c>
      <c r="K83" s="224">
        <v>45712</v>
      </c>
      <c r="L83" s="214" t="s">
        <v>25</v>
      </c>
      <c r="M83" s="214" t="s">
        <v>24</v>
      </c>
      <c r="N83" s="214" t="s">
        <v>24</v>
      </c>
      <c r="O83" s="222" t="s">
        <v>1209</v>
      </c>
      <c r="P83" s="214"/>
      <c r="Q83" s="216">
        <f t="shared" si="3"/>
        <v>45901</v>
      </c>
      <c r="R83" s="222" t="s">
        <v>1207</v>
      </c>
      <c r="S83" s="225">
        <v>102272135</v>
      </c>
      <c r="T83" s="214" t="s">
        <v>1039</v>
      </c>
    </row>
    <row r="84" spans="1:21" ht="19">
      <c r="A84" s="214">
        <v>78</v>
      </c>
      <c r="B84" s="226">
        <v>45902</v>
      </c>
      <c r="C84" s="227" t="s">
        <v>1310</v>
      </c>
      <c r="D84" s="228" t="s">
        <v>1206</v>
      </c>
      <c r="E84" s="227">
        <v>985225444</v>
      </c>
      <c r="F84" s="214" t="s">
        <v>1040</v>
      </c>
      <c r="G84" s="227">
        <v>112610071</v>
      </c>
      <c r="H84" s="215" t="str">
        <f t="shared" si="2"/>
        <v>GSC 64320 XBA IX (LAT) COCINA INOX</v>
      </c>
      <c r="I84" s="214" t="s">
        <v>1550</v>
      </c>
      <c r="J84" s="227" t="s">
        <v>1054</v>
      </c>
      <c r="K84" s="229">
        <v>45877</v>
      </c>
      <c r="L84" s="214" t="s">
        <v>25</v>
      </c>
      <c r="M84" s="214" t="s">
        <v>24</v>
      </c>
      <c r="N84" s="214" t="s">
        <v>24</v>
      </c>
      <c r="O84" s="227" t="s">
        <v>1210</v>
      </c>
      <c r="P84" s="214"/>
      <c r="Q84" s="216">
        <f t="shared" si="3"/>
        <v>45901</v>
      </c>
      <c r="R84" s="227" t="s">
        <v>1207</v>
      </c>
      <c r="S84" s="230">
        <v>102272135</v>
      </c>
      <c r="T84" s="214" t="s">
        <v>1039</v>
      </c>
    </row>
    <row r="85" spans="1:21" ht="19">
      <c r="A85" s="214">
        <v>79</v>
      </c>
      <c r="B85" s="226">
        <v>45902</v>
      </c>
      <c r="C85" s="227" t="s">
        <v>1295</v>
      </c>
      <c r="D85" s="228" t="s">
        <v>1296</v>
      </c>
      <c r="E85" s="227">
        <v>987166171</v>
      </c>
      <c r="F85" s="214" t="s">
        <v>1040</v>
      </c>
      <c r="G85" s="227">
        <v>40590830</v>
      </c>
      <c r="H85" s="215" t="str">
        <f t="shared" si="2"/>
        <v>MWG 11X - MICROONDAS</v>
      </c>
      <c r="I85" s="214" t="s">
        <v>1550</v>
      </c>
      <c r="J85" s="227" t="s">
        <v>1045</v>
      </c>
      <c r="K85" s="229">
        <v>45900</v>
      </c>
      <c r="L85" s="214" t="s">
        <v>25</v>
      </c>
      <c r="M85" s="214" t="s">
        <v>24</v>
      </c>
      <c r="N85" s="214" t="s">
        <v>24</v>
      </c>
      <c r="O85" s="227" t="s">
        <v>1294</v>
      </c>
      <c r="P85" s="214"/>
      <c r="Q85" s="216">
        <f t="shared" si="3"/>
        <v>45901</v>
      </c>
      <c r="R85" s="227" t="s">
        <v>1298</v>
      </c>
      <c r="S85" s="230">
        <v>604624056</v>
      </c>
      <c r="T85" s="214" t="s">
        <v>1039</v>
      </c>
    </row>
    <row r="86" spans="1:21" ht="19" customHeight="1">
      <c r="A86" s="214">
        <v>80</v>
      </c>
      <c r="B86" s="221">
        <v>45902</v>
      </c>
      <c r="C86" s="222" t="s">
        <v>1372</v>
      </c>
      <c r="D86" s="223" t="s">
        <v>1108</v>
      </c>
      <c r="E86" s="222">
        <v>994748668</v>
      </c>
      <c r="F86" s="214" t="s">
        <v>1040</v>
      </c>
      <c r="G86" s="222">
        <v>41560074</v>
      </c>
      <c r="H86" s="215" t="str">
        <f t="shared" si="2"/>
        <v>HLB 840 INOX HORNO ELEC</v>
      </c>
      <c r="I86" s="214" t="s">
        <v>1550</v>
      </c>
      <c r="J86" s="222" t="s">
        <v>1101</v>
      </c>
      <c r="K86" s="224">
        <v>45873</v>
      </c>
      <c r="L86" s="214" t="s">
        <v>25</v>
      </c>
      <c r="M86" s="214" t="s">
        <v>24</v>
      </c>
      <c r="N86" s="214" t="s">
        <v>24</v>
      </c>
      <c r="O86" s="222" t="s">
        <v>1371</v>
      </c>
      <c r="P86" s="214"/>
      <c r="Q86" s="216">
        <f t="shared" si="3"/>
        <v>45901</v>
      </c>
      <c r="R86" s="222" t="s">
        <v>1374</v>
      </c>
      <c r="S86" s="225">
        <v>103933024</v>
      </c>
      <c r="T86" s="214" t="s">
        <v>1039</v>
      </c>
    </row>
    <row r="87" spans="1:21" ht="19">
      <c r="A87" s="214">
        <v>81</v>
      </c>
      <c r="B87" s="221">
        <v>45903</v>
      </c>
      <c r="C87" s="222" t="s">
        <v>1215</v>
      </c>
      <c r="D87" s="223" t="s">
        <v>1216</v>
      </c>
      <c r="E87" s="222">
        <v>984912824</v>
      </c>
      <c r="F87" s="214" t="s">
        <v>1040</v>
      </c>
      <c r="G87" s="222">
        <v>40461543</v>
      </c>
      <c r="H87" s="215" t="str">
        <f t="shared" si="2"/>
        <v>C 6310 INOX CAMPANA (110V-60HZ) C/KIT</v>
      </c>
      <c r="I87" s="214" t="s">
        <v>1550</v>
      </c>
      <c r="J87" s="222" t="s">
        <v>1045</v>
      </c>
      <c r="K87" s="224">
        <v>45780</v>
      </c>
      <c r="L87" s="214" t="s">
        <v>25</v>
      </c>
      <c r="M87" s="214" t="s">
        <v>24</v>
      </c>
      <c r="N87" s="214" t="s">
        <v>24</v>
      </c>
      <c r="O87" s="222" t="s">
        <v>1214</v>
      </c>
      <c r="P87" s="214"/>
      <c r="Q87" s="216">
        <f t="shared" si="3"/>
        <v>45902</v>
      </c>
      <c r="R87" s="222" t="s">
        <v>1217</v>
      </c>
      <c r="S87" s="225">
        <v>104357421</v>
      </c>
      <c r="T87" s="214" t="s">
        <v>1039</v>
      </c>
    </row>
    <row r="88" spans="1:21" ht="19">
      <c r="A88" s="214">
        <v>82</v>
      </c>
      <c r="B88" s="226">
        <v>45903</v>
      </c>
      <c r="C88" s="227" t="s">
        <v>1215</v>
      </c>
      <c r="D88" s="228" t="s">
        <v>1216</v>
      </c>
      <c r="E88" s="227">
        <v>984912824</v>
      </c>
      <c r="F88" s="214" t="s">
        <v>1040</v>
      </c>
      <c r="G88" s="227">
        <v>40212044</v>
      </c>
      <c r="H88" s="215" t="str">
        <f t="shared" si="2"/>
        <v>EX 70.1 5G AI DR CI COCINA INOX</v>
      </c>
      <c r="I88" s="214" t="s">
        <v>1550</v>
      </c>
      <c r="J88" s="227" t="s">
        <v>1045</v>
      </c>
      <c r="K88" s="229">
        <v>45780</v>
      </c>
      <c r="L88" s="214" t="s">
        <v>25</v>
      </c>
      <c r="M88" s="214" t="s">
        <v>24</v>
      </c>
      <c r="N88" s="214" t="s">
        <v>24</v>
      </c>
      <c r="O88" s="227" t="s">
        <v>1218</v>
      </c>
      <c r="P88" s="214"/>
      <c r="Q88" s="216">
        <f t="shared" si="3"/>
        <v>45902</v>
      </c>
      <c r="R88" s="227" t="s">
        <v>1217</v>
      </c>
      <c r="S88" s="230">
        <v>104357421</v>
      </c>
      <c r="T88" s="214" t="s">
        <v>1039</v>
      </c>
    </row>
    <row r="89" spans="1:21" ht="19">
      <c r="A89" s="214">
        <v>83</v>
      </c>
      <c r="B89" s="226">
        <v>45903</v>
      </c>
      <c r="C89" s="227" t="s">
        <v>1377</v>
      </c>
      <c r="D89" s="228" t="s">
        <v>1378</v>
      </c>
      <c r="E89" s="227">
        <v>984373282</v>
      </c>
      <c r="F89" s="214" t="s">
        <v>1040</v>
      </c>
      <c r="G89" s="227">
        <v>40467320</v>
      </c>
      <c r="H89" s="215" t="str">
        <f t="shared" si="2"/>
        <v>C 7310 INOX CAMPANA (110V-60HZ) C/KIT</v>
      </c>
      <c r="I89" s="214" t="s">
        <v>1550</v>
      </c>
      <c r="J89" s="227" t="s">
        <v>1045</v>
      </c>
      <c r="K89" s="229">
        <v>45902</v>
      </c>
      <c r="L89" s="214" t="s">
        <v>25</v>
      </c>
      <c r="M89" s="214" t="s">
        <v>24</v>
      </c>
      <c r="N89" s="214" t="s">
        <v>24</v>
      </c>
      <c r="O89" s="227" t="s">
        <v>1376</v>
      </c>
      <c r="P89" s="214"/>
      <c r="Q89" s="216">
        <f t="shared" si="3"/>
        <v>45902</v>
      </c>
      <c r="R89" s="227" t="s">
        <v>1380</v>
      </c>
      <c r="S89" s="230">
        <v>102469541</v>
      </c>
      <c r="T89" s="214" t="s">
        <v>1039</v>
      </c>
    </row>
    <row r="90" spans="1:21" ht="19">
      <c r="A90" s="214">
        <v>84</v>
      </c>
      <c r="B90" s="221">
        <v>45903</v>
      </c>
      <c r="C90" s="222" t="s">
        <v>1384</v>
      </c>
      <c r="D90" s="223" t="s">
        <v>1385</v>
      </c>
      <c r="E90" s="222">
        <v>995139439</v>
      </c>
      <c r="F90" s="214" t="s">
        <v>1040</v>
      </c>
      <c r="G90" s="222">
        <v>113430018</v>
      </c>
      <c r="H90" s="215" t="str">
        <f t="shared" si="2"/>
        <v>RLF 74920 SS SBS REFRIGERADORA</v>
      </c>
      <c r="I90" s="214" t="s">
        <v>1550</v>
      </c>
      <c r="J90" s="222" t="s">
        <v>1381</v>
      </c>
      <c r="K90" s="224">
        <v>45900</v>
      </c>
      <c r="L90" s="214" t="s">
        <v>25</v>
      </c>
      <c r="M90" s="214" t="s">
        <v>24</v>
      </c>
      <c r="N90" s="214" t="s">
        <v>24</v>
      </c>
      <c r="O90" s="222" t="s">
        <v>1383</v>
      </c>
      <c r="P90" s="214"/>
      <c r="Q90" s="216">
        <f t="shared" si="3"/>
        <v>45902</v>
      </c>
      <c r="R90" s="222" t="s">
        <v>1387</v>
      </c>
      <c r="S90" s="225">
        <v>995139439</v>
      </c>
      <c r="T90" s="214" t="s">
        <v>1039</v>
      </c>
    </row>
    <row r="91" spans="1:21" ht="19">
      <c r="A91" s="214">
        <v>85</v>
      </c>
      <c r="B91" s="226">
        <v>45903</v>
      </c>
      <c r="C91" s="227" t="s">
        <v>1391</v>
      </c>
      <c r="D91" s="228" t="s">
        <v>1385</v>
      </c>
      <c r="E91" s="227">
        <v>999855619</v>
      </c>
      <c r="F91" s="214" t="s">
        <v>1040</v>
      </c>
      <c r="G91" s="227">
        <v>112610068</v>
      </c>
      <c r="H91" s="215" t="str">
        <f t="shared" si="2"/>
        <v>GSC 95330 XBA IX (LAT) COCINA INOX</v>
      </c>
      <c r="I91" s="214" t="s">
        <v>1550</v>
      </c>
      <c r="J91" s="227" t="s">
        <v>1388</v>
      </c>
      <c r="K91" s="229">
        <v>45901</v>
      </c>
      <c r="L91" s="214" t="s">
        <v>25</v>
      </c>
      <c r="M91" s="214" t="s">
        <v>24</v>
      </c>
      <c r="N91" s="214" t="s">
        <v>24</v>
      </c>
      <c r="O91" s="227" t="s">
        <v>1390</v>
      </c>
      <c r="P91" s="214"/>
      <c r="Q91" s="216">
        <f t="shared" si="3"/>
        <v>45902</v>
      </c>
      <c r="R91" s="227" t="s">
        <v>1393</v>
      </c>
      <c r="S91" s="230">
        <v>102143211</v>
      </c>
      <c r="T91" s="214" t="s">
        <v>1039</v>
      </c>
    </row>
    <row r="92" spans="1:21" ht="19">
      <c r="A92" s="214">
        <v>86</v>
      </c>
      <c r="B92" s="221">
        <v>45903</v>
      </c>
      <c r="C92" s="222" t="s">
        <v>1397</v>
      </c>
      <c r="D92" s="223" t="s">
        <v>1396</v>
      </c>
      <c r="E92" s="222">
        <v>987094737</v>
      </c>
      <c r="F92" s="214" t="s">
        <v>1040</v>
      </c>
      <c r="G92" s="222">
        <v>112570041</v>
      </c>
      <c r="H92" s="215" t="str">
        <f t="shared" si="2"/>
        <v>GZC 64320 XBB CRISTAL COCINA GAS</v>
      </c>
      <c r="I92" s="214" t="s">
        <v>1550</v>
      </c>
      <c r="J92" s="222" t="s">
        <v>1045</v>
      </c>
      <c r="K92" s="224">
        <v>45220</v>
      </c>
      <c r="L92" s="214" t="s">
        <v>25</v>
      </c>
      <c r="M92" s="214" t="s">
        <v>24</v>
      </c>
      <c r="N92" s="214" t="s">
        <v>24</v>
      </c>
      <c r="O92" s="222" t="s">
        <v>1398</v>
      </c>
      <c r="P92" s="214"/>
      <c r="Q92" s="216">
        <f t="shared" si="3"/>
        <v>45902</v>
      </c>
      <c r="R92" s="222" t="s">
        <v>1394</v>
      </c>
      <c r="S92" s="225">
        <v>301613865</v>
      </c>
      <c r="T92" s="214" t="s">
        <v>1039</v>
      </c>
    </row>
    <row r="93" spans="1:21" ht="19">
      <c r="A93" s="214">
        <v>87</v>
      </c>
      <c r="B93" s="226">
        <v>45904</v>
      </c>
      <c r="C93" s="227" t="s">
        <v>1300</v>
      </c>
      <c r="D93" s="228" t="s">
        <v>1561</v>
      </c>
      <c r="E93" s="227">
        <v>996113452</v>
      </c>
      <c r="F93" s="214" t="s">
        <v>1038</v>
      </c>
      <c r="G93" s="227">
        <v>41598031</v>
      </c>
      <c r="H93" s="215" t="str">
        <f t="shared" si="2"/>
        <v>CAFETERA INTEGRACION CLC 855 GM INOX</v>
      </c>
      <c r="I93" s="214" t="s">
        <v>1550</v>
      </c>
      <c r="J93" s="227" t="s">
        <v>1085</v>
      </c>
      <c r="K93" s="229">
        <v>45627</v>
      </c>
      <c r="L93" s="214" t="s">
        <v>25</v>
      </c>
      <c r="M93" s="214" t="s">
        <v>24</v>
      </c>
      <c r="N93" s="214" t="s">
        <v>24</v>
      </c>
      <c r="O93" s="227" t="s">
        <v>1299</v>
      </c>
      <c r="P93" s="214"/>
      <c r="Q93" s="216">
        <f t="shared" si="3"/>
        <v>45903</v>
      </c>
      <c r="R93" s="227" t="s">
        <v>1303</v>
      </c>
      <c r="S93" s="230">
        <v>102311651001</v>
      </c>
      <c r="T93" s="214" t="s">
        <v>1562</v>
      </c>
    </row>
    <row r="94" spans="1:21" ht="19">
      <c r="A94" s="214">
        <v>88</v>
      </c>
      <c r="B94" s="221">
        <v>45904</v>
      </c>
      <c r="C94" s="222" t="s">
        <v>1320</v>
      </c>
      <c r="D94" s="223" t="s">
        <v>1321</v>
      </c>
      <c r="E94" s="222">
        <v>9991292956</v>
      </c>
      <c r="F94" s="214" t="s">
        <v>1040</v>
      </c>
      <c r="G94" s="222">
        <v>112580027</v>
      </c>
      <c r="H94" s="215" t="str">
        <f t="shared" si="2"/>
        <v>GBC 75030 KBB CRISTAL COCINA GAS</v>
      </c>
      <c r="I94" s="214" t="s">
        <v>1550</v>
      </c>
      <c r="J94" s="222" t="s">
        <v>1045</v>
      </c>
      <c r="K94" s="224">
        <v>45783</v>
      </c>
      <c r="L94" s="214" t="s">
        <v>25</v>
      </c>
      <c r="M94" s="214" t="s">
        <v>24</v>
      </c>
      <c r="N94" s="214" t="s">
        <v>24</v>
      </c>
      <c r="O94" s="222" t="s">
        <v>1318</v>
      </c>
      <c r="P94" s="214"/>
      <c r="Q94" s="216">
        <f t="shared" si="3"/>
        <v>45903</v>
      </c>
      <c r="R94" s="222" t="s">
        <v>1322</v>
      </c>
      <c r="S94" s="225">
        <v>1150044483</v>
      </c>
      <c r="T94" s="214" t="s">
        <v>1039</v>
      </c>
    </row>
    <row r="95" spans="1:21" ht="19">
      <c r="A95" s="214">
        <v>89</v>
      </c>
      <c r="B95" s="226">
        <v>45904</v>
      </c>
      <c r="C95" s="227" t="s">
        <v>1320</v>
      </c>
      <c r="D95" s="228" t="s">
        <v>1321</v>
      </c>
      <c r="E95" s="227">
        <v>9991292956</v>
      </c>
      <c r="F95" s="214" t="s">
        <v>1040</v>
      </c>
      <c r="G95" s="227">
        <v>40782127</v>
      </c>
      <c r="H95" s="215" t="str">
        <f t="shared" si="2"/>
        <v>DW8 57 FIM PANELABLE LAVAVAJILLAS</v>
      </c>
      <c r="I95" s="214" t="s">
        <v>1550</v>
      </c>
      <c r="J95" s="227" t="s">
        <v>1045</v>
      </c>
      <c r="K95" s="229">
        <v>45783</v>
      </c>
      <c r="L95" s="214" t="s">
        <v>25</v>
      </c>
      <c r="M95" s="214" t="s">
        <v>24</v>
      </c>
      <c r="N95" s="214" t="s">
        <v>24</v>
      </c>
      <c r="O95" s="227" t="s">
        <v>1319</v>
      </c>
      <c r="P95" s="214"/>
      <c r="Q95" s="216">
        <f t="shared" si="3"/>
        <v>45903</v>
      </c>
      <c r="R95" s="227" t="s">
        <v>1322</v>
      </c>
      <c r="S95" s="230">
        <v>1150044483</v>
      </c>
      <c r="T95" s="214" t="s">
        <v>1039</v>
      </c>
    </row>
    <row r="96" spans="1:21" ht="19">
      <c r="A96" s="214">
        <v>90</v>
      </c>
      <c r="B96" s="221">
        <v>45904</v>
      </c>
      <c r="C96" s="222" t="s">
        <v>1327</v>
      </c>
      <c r="D96" s="223" t="s">
        <v>1108</v>
      </c>
      <c r="E96" s="222">
        <v>980108164</v>
      </c>
      <c r="F96" s="214" t="s">
        <v>1040</v>
      </c>
      <c r="G96" s="222">
        <v>112510035</v>
      </c>
      <c r="H96" s="215" t="str">
        <f t="shared" si="2"/>
        <v>IZF 64440 MSP BK COCINA INDUCCION</v>
      </c>
      <c r="I96" s="214" t="s">
        <v>1550</v>
      </c>
      <c r="J96" s="222" t="s">
        <v>1054</v>
      </c>
      <c r="K96" s="224">
        <v>45902</v>
      </c>
      <c r="L96" s="214" t="s">
        <v>25</v>
      </c>
      <c r="M96" s="214" t="s">
        <v>24</v>
      </c>
      <c r="N96" s="214" t="s">
        <v>24</v>
      </c>
      <c r="O96" s="222" t="s">
        <v>1324</v>
      </c>
      <c r="P96" s="214"/>
      <c r="Q96" s="216">
        <f t="shared" si="3"/>
        <v>45903</v>
      </c>
      <c r="R96" s="222" t="s">
        <v>1329</v>
      </c>
      <c r="S96" s="225" t="s">
        <v>1328</v>
      </c>
      <c r="T96" s="214" t="s">
        <v>1039</v>
      </c>
    </row>
    <row r="97" spans="1:20" ht="19">
      <c r="A97" s="214">
        <v>91</v>
      </c>
      <c r="B97" s="226">
        <v>45904</v>
      </c>
      <c r="C97" s="227" t="s">
        <v>1327</v>
      </c>
      <c r="D97" s="228" t="s">
        <v>1108</v>
      </c>
      <c r="E97" s="227">
        <v>980108164</v>
      </c>
      <c r="F97" s="214" t="s">
        <v>1040</v>
      </c>
      <c r="G97" s="227">
        <v>111000051</v>
      </c>
      <c r="H97" s="215" t="str">
        <f t="shared" si="2"/>
        <v>HLB 8416 "AIR FRY" - HORNO ELEC</v>
      </c>
      <c r="I97" s="214" t="s">
        <v>1550</v>
      </c>
      <c r="J97" s="227" t="s">
        <v>1054</v>
      </c>
      <c r="K97" s="229">
        <v>45902</v>
      </c>
      <c r="L97" s="214" t="s">
        <v>25</v>
      </c>
      <c r="M97" s="214" t="s">
        <v>24</v>
      </c>
      <c r="N97" s="214" t="s">
        <v>24</v>
      </c>
      <c r="O97" s="227" t="s">
        <v>1325</v>
      </c>
      <c r="P97" s="214"/>
      <c r="Q97" s="216">
        <f t="shared" si="3"/>
        <v>45903</v>
      </c>
      <c r="R97" s="227" t="s">
        <v>1329</v>
      </c>
      <c r="S97" s="230" t="s">
        <v>1328</v>
      </c>
      <c r="T97" s="214" t="s">
        <v>1039</v>
      </c>
    </row>
    <row r="98" spans="1:20" ht="19">
      <c r="A98" s="214">
        <v>92</v>
      </c>
      <c r="B98" s="221">
        <v>45904</v>
      </c>
      <c r="C98" s="222" t="s">
        <v>1327</v>
      </c>
      <c r="D98" s="223" t="s">
        <v>1108</v>
      </c>
      <c r="E98" s="222">
        <v>980108164</v>
      </c>
      <c r="F98" s="214" t="s">
        <v>1040</v>
      </c>
      <c r="G98" s="222">
        <v>113430018</v>
      </c>
      <c r="H98" s="215" t="str">
        <f t="shared" si="2"/>
        <v>RLF 74920 SS SBS REFRIGERADORA</v>
      </c>
      <c r="I98" s="214" t="s">
        <v>1550</v>
      </c>
      <c r="J98" s="222" t="s">
        <v>1054</v>
      </c>
      <c r="K98" s="224">
        <v>45903</v>
      </c>
      <c r="L98" s="214" t="s">
        <v>25</v>
      </c>
      <c r="M98" s="214" t="s">
        <v>24</v>
      </c>
      <c r="N98" s="214" t="s">
        <v>24</v>
      </c>
      <c r="O98" s="222" t="s">
        <v>1326</v>
      </c>
      <c r="P98" s="214"/>
      <c r="Q98" s="216">
        <f t="shared" si="3"/>
        <v>45903</v>
      </c>
      <c r="R98" s="222" t="s">
        <v>1329</v>
      </c>
      <c r="S98" s="225" t="s">
        <v>1328</v>
      </c>
      <c r="T98" s="214" t="s">
        <v>1039</v>
      </c>
    </row>
    <row r="99" spans="1:20" ht="19">
      <c r="A99" s="214">
        <v>93</v>
      </c>
      <c r="B99" s="226">
        <v>45904</v>
      </c>
      <c r="C99" s="227" t="s">
        <v>1402</v>
      </c>
      <c r="D99" s="228" t="s">
        <v>1403</v>
      </c>
      <c r="E99" s="227">
        <v>992911505</v>
      </c>
      <c r="F99" s="214" t="s">
        <v>1040</v>
      </c>
      <c r="G99" s="227">
        <v>113430073</v>
      </c>
      <c r="H99" s="215" t="str">
        <f t="shared" si="2"/>
        <v>RMF 77960 DSS MX REFRIGERADORA DARK INOX</v>
      </c>
      <c r="I99" s="214" t="s">
        <v>1550</v>
      </c>
      <c r="J99" s="227" t="s">
        <v>1045</v>
      </c>
      <c r="K99" s="229">
        <v>45824</v>
      </c>
      <c r="L99" s="214" t="s">
        <v>25</v>
      </c>
      <c r="M99" s="214" t="s">
        <v>24</v>
      </c>
      <c r="N99" s="214" t="s">
        <v>24</v>
      </c>
      <c r="O99" s="227" t="s">
        <v>1401</v>
      </c>
      <c r="P99" s="214"/>
      <c r="Q99" s="216">
        <f t="shared" si="3"/>
        <v>45903</v>
      </c>
      <c r="R99" s="227" t="s">
        <v>1405</v>
      </c>
      <c r="S99" s="230">
        <v>102596699</v>
      </c>
      <c r="T99" s="214" t="s">
        <v>1039</v>
      </c>
    </row>
    <row r="100" spans="1:20" ht="19">
      <c r="A100" s="214">
        <v>94</v>
      </c>
      <c r="B100" s="221">
        <v>45904</v>
      </c>
      <c r="C100" s="222" t="s">
        <v>1408</v>
      </c>
      <c r="D100" s="223" t="s">
        <v>1409</v>
      </c>
      <c r="E100" s="222">
        <v>981590060</v>
      </c>
      <c r="F100" s="214" t="s">
        <v>1040</v>
      </c>
      <c r="G100" s="222">
        <v>112570073</v>
      </c>
      <c r="H100" s="215" t="str">
        <f t="shared" si="2"/>
        <v>GZC 96310 XBB CRISTAL COCINA GAS</v>
      </c>
      <c r="I100" s="214" t="s">
        <v>1550</v>
      </c>
      <c r="J100" s="222" t="s">
        <v>1045</v>
      </c>
      <c r="K100" s="224">
        <v>45901</v>
      </c>
      <c r="L100" s="214" t="s">
        <v>25</v>
      </c>
      <c r="M100" s="214" t="s">
        <v>24</v>
      </c>
      <c r="N100" s="214" t="s">
        <v>24</v>
      </c>
      <c r="O100" s="222" t="s">
        <v>1407</v>
      </c>
      <c r="P100" s="214"/>
      <c r="Q100" s="216">
        <f t="shared" si="3"/>
        <v>45903</v>
      </c>
      <c r="R100" s="222" t="s">
        <v>1411</v>
      </c>
      <c r="S100" s="225">
        <v>151041001</v>
      </c>
      <c r="T100" s="214" t="s">
        <v>1039</v>
      </c>
    </row>
    <row r="101" spans="1:20" ht="19">
      <c r="A101" s="214">
        <v>95</v>
      </c>
      <c r="B101" s="226">
        <v>45905</v>
      </c>
      <c r="C101" s="227" t="s">
        <v>1334</v>
      </c>
      <c r="D101" s="228" t="s">
        <v>1241</v>
      </c>
      <c r="E101" s="227">
        <v>984331113</v>
      </c>
      <c r="F101" s="214" t="s">
        <v>1040</v>
      </c>
      <c r="G101" s="227">
        <v>112570123</v>
      </c>
      <c r="H101" s="215" t="str">
        <f t="shared" si="2"/>
        <v>JZC 63312 ABB BK (LAT) COCINA MIXTA GAS - INDUCCION (40213012)</v>
      </c>
      <c r="I101" s="214" t="s">
        <v>1550</v>
      </c>
      <c r="J101" s="227" t="s">
        <v>1101</v>
      </c>
      <c r="K101" s="229">
        <v>45712</v>
      </c>
      <c r="L101" s="214" t="s">
        <v>25</v>
      </c>
      <c r="M101" s="214" t="s">
        <v>24</v>
      </c>
      <c r="N101" s="214" t="s">
        <v>24</v>
      </c>
      <c r="O101" s="227" t="s">
        <v>1331</v>
      </c>
      <c r="P101" s="214"/>
      <c r="Q101" s="216">
        <f t="shared" si="3"/>
        <v>45904</v>
      </c>
      <c r="R101" s="227" t="s">
        <v>1335</v>
      </c>
      <c r="S101" s="230">
        <v>104741616</v>
      </c>
      <c r="T101" s="214" t="s">
        <v>1039</v>
      </c>
    </row>
    <row r="102" spans="1:20" ht="19">
      <c r="A102" s="214">
        <v>96</v>
      </c>
      <c r="B102" s="221">
        <v>45905</v>
      </c>
      <c r="C102" s="222" t="s">
        <v>1334</v>
      </c>
      <c r="D102" s="223" t="s">
        <v>1241</v>
      </c>
      <c r="E102" s="222">
        <v>984331113</v>
      </c>
      <c r="F102" s="214" t="s">
        <v>1040</v>
      </c>
      <c r="G102" s="222">
        <v>112030019</v>
      </c>
      <c r="H102" s="215" t="str">
        <f t="shared" si="2"/>
        <v>ML 8220 BIS FBK- MICROONDAS</v>
      </c>
      <c r="I102" s="214" t="s">
        <v>1550</v>
      </c>
      <c r="J102" s="222" t="s">
        <v>1101</v>
      </c>
      <c r="K102" s="224">
        <v>45712</v>
      </c>
      <c r="L102" s="214" t="s">
        <v>25</v>
      </c>
      <c r="M102" s="214" t="s">
        <v>24</v>
      </c>
      <c r="N102" s="214" t="s">
        <v>24</v>
      </c>
      <c r="O102" s="222" t="s">
        <v>1332</v>
      </c>
      <c r="P102" s="214"/>
      <c r="Q102" s="216">
        <f t="shared" si="3"/>
        <v>45904</v>
      </c>
      <c r="R102" s="222" t="s">
        <v>1335</v>
      </c>
      <c r="S102" s="225">
        <v>104741616</v>
      </c>
      <c r="T102" s="214" t="s">
        <v>1039</v>
      </c>
    </row>
    <row r="103" spans="1:20" ht="19">
      <c r="A103" s="214">
        <v>97</v>
      </c>
      <c r="B103" s="226">
        <v>45905</v>
      </c>
      <c r="C103" s="227" t="s">
        <v>1334</v>
      </c>
      <c r="D103" s="228" t="s">
        <v>1241</v>
      </c>
      <c r="E103" s="227">
        <v>984331113</v>
      </c>
      <c r="F103" s="214" t="s">
        <v>1040</v>
      </c>
      <c r="G103" s="227">
        <v>111000078</v>
      </c>
      <c r="H103" s="215" t="str">
        <f t="shared" si="2"/>
        <v>HLB 8400 FBK HORNO ELEC</v>
      </c>
      <c r="I103" s="214" t="s">
        <v>1550</v>
      </c>
      <c r="J103" s="227" t="s">
        <v>1101</v>
      </c>
      <c r="K103" s="229">
        <v>45712</v>
      </c>
      <c r="L103" s="214" t="s">
        <v>25</v>
      </c>
      <c r="M103" s="214" t="s">
        <v>24</v>
      </c>
      <c r="N103" s="214" t="s">
        <v>24</v>
      </c>
      <c r="O103" s="227" t="s">
        <v>1333</v>
      </c>
      <c r="P103" s="214"/>
      <c r="Q103" s="216">
        <f t="shared" si="3"/>
        <v>45904</v>
      </c>
      <c r="R103" s="227" t="s">
        <v>1335</v>
      </c>
      <c r="S103" s="230">
        <v>104741616</v>
      </c>
      <c r="T103" s="214" t="s">
        <v>1039</v>
      </c>
    </row>
    <row r="104" spans="1:20" ht="19">
      <c r="A104" s="214">
        <v>98</v>
      </c>
      <c r="B104" s="226">
        <v>45905</v>
      </c>
      <c r="C104" s="227" t="s">
        <v>1415</v>
      </c>
      <c r="D104" s="228" t="s">
        <v>1414</v>
      </c>
      <c r="E104" s="227">
        <v>987187169</v>
      </c>
      <c r="F104" s="214" t="s">
        <v>1040</v>
      </c>
      <c r="G104" s="227">
        <v>40466241</v>
      </c>
      <c r="H104" s="215" t="str">
        <f t="shared" si="2"/>
        <v>C 9310 INOX CAMPANA (110V-60HZ) C/KIT</v>
      </c>
      <c r="I104" s="214" t="s">
        <v>1550</v>
      </c>
      <c r="J104" s="227" t="s">
        <v>1045</v>
      </c>
      <c r="K104" s="229">
        <v>45903</v>
      </c>
      <c r="L104" s="214" t="s">
        <v>25</v>
      </c>
      <c r="M104" s="214" t="s">
        <v>24</v>
      </c>
      <c r="N104" s="214" t="s">
        <v>24</v>
      </c>
      <c r="O104" s="227" t="s">
        <v>1416</v>
      </c>
      <c r="P104" s="214"/>
      <c r="Q104" s="216">
        <f t="shared" si="3"/>
        <v>45904</v>
      </c>
      <c r="R104" s="227" t="s">
        <v>1412</v>
      </c>
      <c r="S104" s="230">
        <v>105161434</v>
      </c>
      <c r="T104" s="214" t="s">
        <v>1039</v>
      </c>
    </row>
    <row r="105" spans="1:20" ht="19">
      <c r="A105" s="214">
        <v>99</v>
      </c>
      <c r="B105" s="221">
        <v>45905</v>
      </c>
      <c r="C105" s="222" t="s">
        <v>1420</v>
      </c>
      <c r="D105" s="223" t="s">
        <v>1052</v>
      </c>
      <c r="E105" s="222">
        <v>982759252</v>
      </c>
      <c r="F105" s="214" t="s">
        <v>1040</v>
      </c>
      <c r="G105" s="222">
        <v>113430051</v>
      </c>
      <c r="H105" s="215" t="str">
        <f t="shared" si="2"/>
        <v>RMF 77960 GBK MX REFRIGERADORA</v>
      </c>
      <c r="I105" s="214" t="s">
        <v>1550</v>
      </c>
      <c r="J105" s="222" t="s">
        <v>1054</v>
      </c>
      <c r="K105" s="224">
        <v>45902</v>
      </c>
      <c r="L105" s="214" t="s">
        <v>25</v>
      </c>
      <c r="M105" s="214" t="s">
        <v>24</v>
      </c>
      <c r="N105" s="214" t="s">
        <v>24</v>
      </c>
      <c r="O105" s="222" t="s">
        <v>1419</v>
      </c>
      <c r="P105" s="214"/>
      <c r="Q105" s="216">
        <f t="shared" si="3"/>
        <v>45904</v>
      </c>
      <c r="R105" s="222" t="s">
        <v>1422</v>
      </c>
      <c r="S105" s="225">
        <v>103035097</v>
      </c>
      <c r="T105" s="214" t="s">
        <v>1039</v>
      </c>
    </row>
    <row r="106" spans="1:20" ht="19">
      <c r="A106" s="214">
        <v>100</v>
      </c>
      <c r="B106" s="221">
        <v>45908</v>
      </c>
      <c r="C106" s="222" t="s">
        <v>1342</v>
      </c>
      <c r="D106" s="223" t="s">
        <v>1343</v>
      </c>
      <c r="E106" s="222">
        <v>992884552</v>
      </c>
      <c r="F106" s="214" t="s">
        <v>1040</v>
      </c>
      <c r="G106" s="222">
        <v>112580017</v>
      </c>
      <c r="H106" s="215" t="str">
        <f t="shared" si="2"/>
        <v>GBC 64000 KBB CRISTAL COCINA GAS</v>
      </c>
      <c r="I106" s="214" t="s">
        <v>1550</v>
      </c>
      <c r="J106" s="222" t="s">
        <v>1336</v>
      </c>
      <c r="K106" s="224">
        <v>45693</v>
      </c>
      <c r="L106" s="214" t="s">
        <v>25</v>
      </c>
      <c r="M106" s="214" t="s">
        <v>24</v>
      </c>
      <c r="N106" s="214" t="s">
        <v>24</v>
      </c>
      <c r="O106" s="222" t="s">
        <v>1338</v>
      </c>
      <c r="P106" s="214"/>
      <c r="Q106" s="216">
        <f t="shared" si="3"/>
        <v>45907</v>
      </c>
      <c r="R106" s="222" t="s">
        <v>1344</v>
      </c>
      <c r="S106" s="225">
        <v>101955365</v>
      </c>
      <c r="T106" s="214" t="s">
        <v>1039</v>
      </c>
    </row>
    <row r="107" spans="1:20" ht="19">
      <c r="A107" s="214">
        <v>101</v>
      </c>
      <c r="B107" s="226">
        <v>45908</v>
      </c>
      <c r="C107" s="227" t="s">
        <v>1342</v>
      </c>
      <c r="D107" s="228" t="s">
        <v>1343</v>
      </c>
      <c r="E107" s="227">
        <v>992884552</v>
      </c>
      <c r="F107" s="214" t="s">
        <v>1040</v>
      </c>
      <c r="G107" s="227">
        <v>40467305</v>
      </c>
      <c r="H107" s="215" t="str">
        <f t="shared" si="2"/>
        <v>C 710 NEGRA CAMPANA (110V-60HZ) C/KIT</v>
      </c>
      <c r="I107" s="214" t="s">
        <v>1550</v>
      </c>
      <c r="J107" s="227" t="s">
        <v>1336</v>
      </c>
      <c r="K107" s="229">
        <v>45693</v>
      </c>
      <c r="L107" s="214" t="s">
        <v>25</v>
      </c>
      <c r="M107" s="214" t="s">
        <v>24</v>
      </c>
      <c r="N107" s="214" t="s">
        <v>24</v>
      </c>
      <c r="O107" s="227" t="s">
        <v>1339</v>
      </c>
      <c r="P107" s="214"/>
      <c r="Q107" s="216">
        <f t="shared" si="3"/>
        <v>45907</v>
      </c>
      <c r="R107" s="227" t="s">
        <v>1344</v>
      </c>
      <c r="S107" s="230">
        <v>101955365</v>
      </c>
      <c r="T107" s="214" t="s">
        <v>1039</v>
      </c>
    </row>
    <row r="108" spans="1:20" ht="19">
      <c r="A108" s="214">
        <v>102</v>
      </c>
      <c r="B108" s="221">
        <v>45908</v>
      </c>
      <c r="C108" s="222" t="s">
        <v>1342</v>
      </c>
      <c r="D108" s="223" t="s">
        <v>1343</v>
      </c>
      <c r="E108" s="222">
        <v>992884552</v>
      </c>
      <c r="F108" s="214" t="s">
        <v>1040</v>
      </c>
      <c r="G108" s="222">
        <v>40461507</v>
      </c>
      <c r="H108" s="215" t="str">
        <f t="shared" si="2"/>
        <v>C 610 NEGRA CAMPANA (110V-60HZ) C/KIT</v>
      </c>
      <c r="I108" s="214" t="s">
        <v>1550</v>
      </c>
      <c r="J108" s="222" t="s">
        <v>1336</v>
      </c>
      <c r="K108" s="224">
        <v>45693</v>
      </c>
      <c r="L108" s="214" t="s">
        <v>25</v>
      </c>
      <c r="M108" s="214" t="s">
        <v>24</v>
      </c>
      <c r="N108" s="214" t="s">
        <v>24</v>
      </c>
      <c r="O108" s="222" t="s">
        <v>1340</v>
      </c>
      <c r="P108" s="214"/>
      <c r="Q108" s="216">
        <f t="shared" si="3"/>
        <v>45907</v>
      </c>
      <c r="R108" s="222" t="s">
        <v>1344</v>
      </c>
      <c r="S108" s="225">
        <v>101955365</v>
      </c>
      <c r="T108" s="214" t="s">
        <v>1039</v>
      </c>
    </row>
    <row r="109" spans="1:20" ht="19">
      <c r="A109" s="214">
        <v>103</v>
      </c>
      <c r="B109" s="226">
        <v>45908</v>
      </c>
      <c r="C109" s="227" t="s">
        <v>1342</v>
      </c>
      <c r="D109" s="228" t="s">
        <v>1343</v>
      </c>
      <c r="E109" s="227">
        <v>992884552</v>
      </c>
      <c r="F109" s="214" t="s">
        <v>1040</v>
      </c>
      <c r="G109" s="227">
        <v>40212014</v>
      </c>
      <c r="H109" s="215" t="str">
        <f t="shared" si="2"/>
        <v>EX 60.1 4G AI DR CI COCINA INOX</v>
      </c>
      <c r="I109" s="214" t="s">
        <v>1550</v>
      </c>
      <c r="J109" s="227" t="s">
        <v>1336</v>
      </c>
      <c r="K109" s="229">
        <v>45693</v>
      </c>
      <c r="L109" s="214" t="s">
        <v>25</v>
      </c>
      <c r="M109" s="214" t="s">
        <v>24</v>
      </c>
      <c r="N109" s="214" t="s">
        <v>24</v>
      </c>
      <c r="O109" s="227" t="s">
        <v>1341</v>
      </c>
      <c r="P109" s="214"/>
      <c r="Q109" s="216">
        <f t="shared" si="3"/>
        <v>45907</v>
      </c>
      <c r="R109" s="227" t="s">
        <v>1344</v>
      </c>
      <c r="S109" s="230">
        <v>101955365</v>
      </c>
      <c r="T109" s="214" t="s">
        <v>1039</v>
      </c>
    </row>
    <row r="110" spans="1:20" ht="19">
      <c r="A110" s="214">
        <v>104</v>
      </c>
      <c r="B110" s="221">
        <v>45908</v>
      </c>
      <c r="C110" s="222" t="s">
        <v>1313</v>
      </c>
      <c r="D110" s="223" t="s">
        <v>1314</v>
      </c>
      <c r="E110" s="222">
        <v>982757711</v>
      </c>
      <c r="F110" s="214" t="s">
        <v>1040</v>
      </c>
      <c r="G110" s="222">
        <v>111570003</v>
      </c>
      <c r="H110" s="215" t="str">
        <f t="shared" si="2"/>
        <v>COCINA GOURMET BBQ 4100 G SS</v>
      </c>
      <c r="I110" s="214" t="s">
        <v>1550</v>
      </c>
      <c r="J110" s="222" t="s">
        <v>1101</v>
      </c>
      <c r="K110" s="224">
        <v>45895</v>
      </c>
      <c r="L110" s="214" t="s">
        <v>25</v>
      </c>
      <c r="M110" s="214" t="s">
        <v>24</v>
      </c>
      <c r="N110" s="214" t="s">
        <v>24</v>
      </c>
      <c r="O110" s="222" t="s">
        <v>1312</v>
      </c>
      <c r="P110" s="214"/>
      <c r="Q110" s="216">
        <f t="shared" si="3"/>
        <v>45907</v>
      </c>
      <c r="R110" s="222" t="s">
        <v>1316</v>
      </c>
      <c r="S110" s="225">
        <v>101559599001</v>
      </c>
      <c r="T110" s="214" t="s">
        <v>1039</v>
      </c>
    </row>
    <row r="111" spans="1:20" ht="19" customHeight="1">
      <c r="A111" s="214">
        <v>105</v>
      </c>
      <c r="B111" s="221">
        <v>45909</v>
      </c>
      <c r="C111" s="222" t="s">
        <v>1354</v>
      </c>
      <c r="D111" s="223" t="s">
        <v>1241</v>
      </c>
      <c r="E111" s="222">
        <v>999611839</v>
      </c>
      <c r="F111" s="214" t="s">
        <v>1040</v>
      </c>
      <c r="G111" s="222">
        <v>113610005</v>
      </c>
      <c r="H111" s="215" t="str">
        <f t="shared" si="2"/>
        <v>RVF 10032 VINERA</v>
      </c>
      <c r="I111" s="214" t="s">
        <v>1550</v>
      </c>
      <c r="J111" s="222" t="s">
        <v>1101</v>
      </c>
      <c r="K111" s="224">
        <v>45747</v>
      </c>
      <c r="L111" s="214" t="s">
        <v>25</v>
      </c>
      <c r="M111" s="214" t="s">
        <v>24</v>
      </c>
      <c r="N111" s="214" t="s">
        <v>24</v>
      </c>
      <c r="O111" s="222" t="s">
        <v>1348</v>
      </c>
      <c r="P111" s="214"/>
      <c r="Q111" s="216">
        <f t="shared" si="3"/>
        <v>45908</v>
      </c>
      <c r="R111" s="222" t="s">
        <v>1355</v>
      </c>
      <c r="S111" s="225">
        <v>101775047</v>
      </c>
      <c r="T111" s="214" t="s">
        <v>1039</v>
      </c>
    </row>
    <row r="112" spans="1:20" ht="19" customHeight="1">
      <c r="A112" s="214">
        <v>106</v>
      </c>
      <c r="B112" s="226">
        <v>45909</v>
      </c>
      <c r="C112" s="227" t="s">
        <v>1354</v>
      </c>
      <c r="D112" s="228" t="s">
        <v>1241</v>
      </c>
      <c r="E112" s="227">
        <v>999611839</v>
      </c>
      <c r="F112" s="214" t="s">
        <v>1040</v>
      </c>
      <c r="G112" s="227">
        <v>111000078</v>
      </c>
      <c r="H112" s="215" t="str">
        <f t="shared" si="2"/>
        <v>HLB 8400 FBK HORNO ELEC</v>
      </c>
      <c r="I112" s="214" t="s">
        <v>1550</v>
      </c>
      <c r="J112" s="227" t="s">
        <v>1101</v>
      </c>
      <c r="K112" s="229">
        <v>45747</v>
      </c>
      <c r="L112" s="214" t="s">
        <v>25</v>
      </c>
      <c r="M112" s="214" t="s">
        <v>24</v>
      </c>
      <c r="N112" s="214" t="s">
        <v>24</v>
      </c>
      <c r="O112" s="227" t="s">
        <v>1353</v>
      </c>
      <c r="P112" s="214"/>
      <c r="Q112" s="216">
        <f t="shared" si="3"/>
        <v>45908</v>
      </c>
      <c r="R112" s="227" t="s">
        <v>1355</v>
      </c>
      <c r="S112" s="230">
        <v>101775047</v>
      </c>
      <c r="T112" s="214" t="s">
        <v>1039</v>
      </c>
    </row>
    <row r="113" spans="1:22" ht="19" customHeight="1">
      <c r="A113" s="214">
        <v>107</v>
      </c>
      <c r="B113" s="221">
        <v>45909</v>
      </c>
      <c r="C113" s="222" t="s">
        <v>1354</v>
      </c>
      <c r="D113" s="223" t="s">
        <v>1241</v>
      </c>
      <c r="E113" s="222">
        <v>999611839</v>
      </c>
      <c r="F113" s="214" t="s">
        <v>1040</v>
      </c>
      <c r="G113" s="222">
        <v>112030019</v>
      </c>
      <c r="H113" s="215" t="str">
        <f t="shared" si="2"/>
        <v>ML 8220 BIS FBK- MICROONDAS</v>
      </c>
      <c r="I113" s="214" t="s">
        <v>1550</v>
      </c>
      <c r="J113" s="222" t="s">
        <v>1101</v>
      </c>
      <c r="K113" s="224">
        <v>45747</v>
      </c>
      <c r="L113" s="214" t="s">
        <v>25</v>
      </c>
      <c r="M113" s="214" t="s">
        <v>24</v>
      </c>
      <c r="N113" s="214" t="s">
        <v>24</v>
      </c>
      <c r="O113" s="222" t="s">
        <v>1352</v>
      </c>
      <c r="P113" s="214"/>
      <c r="Q113" s="216">
        <f t="shared" si="3"/>
        <v>45908</v>
      </c>
      <c r="R113" s="222" t="s">
        <v>1355</v>
      </c>
      <c r="S113" s="225">
        <v>101775047</v>
      </c>
      <c r="T113" s="214" t="s">
        <v>1039</v>
      </c>
    </row>
    <row r="114" spans="1:22" ht="19" customHeight="1">
      <c r="A114" s="214">
        <v>108</v>
      </c>
      <c r="B114" s="226">
        <v>45909</v>
      </c>
      <c r="C114" s="227" t="s">
        <v>1354</v>
      </c>
      <c r="D114" s="228" t="s">
        <v>1241</v>
      </c>
      <c r="E114" s="227">
        <v>999611839</v>
      </c>
      <c r="F114" s="214" t="s">
        <v>1040</v>
      </c>
      <c r="G114" s="227">
        <v>112570073</v>
      </c>
      <c r="H114" s="215" t="str">
        <f t="shared" si="2"/>
        <v>GZC 96310 XBB CRISTAL COCINA GAS</v>
      </c>
      <c r="I114" s="214" t="s">
        <v>1550</v>
      </c>
      <c r="J114" s="227" t="s">
        <v>1101</v>
      </c>
      <c r="K114" s="229">
        <v>45747</v>
      </c>
      <c r="L114" s="214" t="s">
        <v>25</v>
      </c>
      <c r="M114" s="214" t="s">
        <v>24</v>
      </c>
      <c r="N114" s="214" t="s">
        <v>24</v>
      </c>
      <c r="O114" s="227" t="s">
        <v>1351</v>
      </c>
      <c r="P114" s="214"/>
      <c r="Q114" s="216">
        <f t="shared" si="3"/>
        <v>45908</v>
      </c>
      <c r="R114" s="227" t="s">
        <v>1355</v>
      </c>
      <c r="S114" s="230">
        <v>101775047</v>
      </c>
      <c r="T114" s="214" t="s">
        <v>1039</v>
      </c>
    </row>
    <row r="115" spans="1:22" ht="19" customHeight="1">
      <c r="A115" s="214">
        <v>109</v>
      </c>
      <c r="B115" s="221">
        <v>45909</v>
      </c>
      <c r="C115" s="222" t="s">
        <v>1354</v>
      </c>
      <c r="D115" s="223" t="s">
        <v>1241</v>
      </c>
      <c r="E115" s="222">
        <v>999611839</v>
      </c>
      <c r="F115" s="214" t="s">
        <v>1040</v>
      </c>
      <c r="G115" s="222">
        <v>113430073</v>
      </c>
      <c r="H115" s="215" t="str">
        <f t="shared" si="2"/>
        <v>RMF 77960 DSS MX REFRIGERADORA DARK INOX</v>
      </c>
      <c r="I115" s="214" t="s">
        <v>1550</v>
      </c>
      <c r="J115" s="222" t="s">
        <v>1101</v>
      </c>
      <c r="K115" s="224">
        <v>45747</v>
      </c>
      <c r="L115" s="214" t="s">
        <v>25</v>
      </c>
      <c r="M115" s="214" t="s">
        <v>24</v>
      </c>
      <c r="N115" s="214" t="s">
        <v>24</v>
      </c>
      <c r="O115" s="222" t="s">
        <v>1350</v>
      </c>
      <c r="P115" s="214"/>
      <c r="Q115" s="216">
        <f t="shared" si="3"/>
        <v>45908</v>
      </c>
      <c r="R115" s="222" t="s">
        <v>1355</v>
      </c>
      <c r="S115" s="225">
        <v>101775047</v>
      </c>
      <c r="T115" s="214" t="s">
        <v>1039</v>
      </c>
    </row>
    <row r="116" spans="1:22" ht="19" customHeight="1">
      <c r="A116" s="214">
        <v>110</v>
      </c>
      <c r="B116" s="226">
        <v>45909</v>
      </c>
      <c r="C116" s="227" t="s">
        <v>1354</v>
      </c>
      <c r="D116" s="228" t="s">
        <v>1241</v>
      </c>
      <c r="E116" s="227">
        <v>999611839</v>
      </c>
      <c r="F116" s="214" t="s">
        <v>1040</v>
      </c>
      <c r="G116" s="227">
        <v>40782127</v>
      </c>
      <c r="H116" s="215" t="str">
        <f t="shared" si="2"/>
        <v>DW8 57 FIM PANELABLE LAVAVAJILLAS</v>
      </c>
      <c r="I116" s="214" t="s">
        <v>1550</v>
      </c>
      <c r="J116" s="227" t="s">
        <v>1101</v>
      </c>
      <c r="K116" s="229">
        <v>45747</v>
      </c>
      <c r="L116" s="214" t="s">
        <v>25</v>
      </c>
      <c r="M116" s="214" t="s">
        <v>24</v>
      </c>
      <c r="N116" s="214" t="s">
        <v>24</v>
      </c>
      <c r="O116" s="227" t="s">
        <v>1349</v>
      </c>
      <c r="P116" s="214"/>
      <c r="Q116" s="216">
        <f t="shared" si="3"/>
        <v>45908</v>
      </c>
      <c r="R116" s="227" t="s">
        <v>1355</v>
      </c>
      <c r="S116" s="230">
        <v>101775047</v>
      </c>
      <c r="T116" s="214" t="s">
        <v>1039</v>
      </c>
    </row>
    <row r="117" spans="1:22" ht="19" customHeight="1">
      <c r="A117" s="214">
        <v>111</v>
      </c>
      <c r="B117" s="226">
        <v>45909</v>
      </c>
      <c r="C117" s="227" t="s">
        <v>1425</v>
      </c>
      <c r="D117" s="228" t="s">
        <v>1426</v>
      </c>
      <c r="E117" s="227">
        <v>997666978</v>
      </c>
      <c r="F117" s="214" t="s">
        <v>1040</v>
      </c>
      <c r="G117" s="227">
        <v>40461543</v>
      </c>
      <c r="H117" s="215" t="str">
        <f t="shared" si="2"/>
        <v>C 6310 INOX CAMPANA (110V-60HZ) C/KIT</v>
      </c>
      <c r="I117" s="214" t="s">
        <v>1550</v>
      </c>
      <c r="J117" s="227" t="s">
        <v>1045</v>
      </c>
      <c r="K117" s="229">
        <v>45905</v>
      </c>
      <c r="L117" s="214" t="s">
        <v>25</v>
      </c>
      <c r="M117" s="214" t="s">
        <v>24</v>
      </c>
      <c r="N117" s="214" t="s">
        <v>24</v>
      </c>
      <c r="O117" s="227" t="s">
        <v>1424</v>
      </c>
      <c r="P117" s="214"/>
      <c r="Q117" s="216">
        <f t="shared" si="3"/>
        <v>45908</v>
      </c>
      <c r="R117" s="227" t="s">
        <v>1394</v>
      </c>
      <c r="S117" s="230">
        <v>1711765261</v>
      </c>
      <c r="T117" s="214" t="s">
        <v>1039</v>
      </c>
    </row>
    <row r="118" spans="1:22" ht="19" customHeight="1">
      <c r="A118" s="214">
        <v>112</v>
      </c>
      <c r="B118" s="221">
        <v>45910</v>
      </c>
      <c r="C118" s="222" t="s">
        <v>1472</v>
      </c>
      <c r="D118" s="223" t="s">
        <v>1569</v>
      </c>
      <c r="E118" s="222">
        <v>984454001</v>
      </c>
      <c r="F118" s="214" t="s">
        <v>1038</v>
      </c>
      <c r="G118" s="222">
        <v>40197255</v>
      </c>
      <c r="H118" s="215" t="str">
        <f t="shared" si="2"/>
        <v>TR 710.1 TRITURADOR</v>
      </c>
      <c r="I118" s="214" t="s">
        <v>1550</v>
      </c>
      <c r="J118" s="222" t="s">
        <v>1563</v>
      </c>
      <c r="K118" s="224">
        <v>45744</v>
      </c>
      <c r="L118" s="214" t="s">
        <v>25</v>
      </c>
      <c r="M118" s="214" t="s">
        <v>24</v>
      </c>
      <c r="N118" s="214" t="s">
        <v>24</v>
      </c>
      <c r="O118" s="222" t="s">
        <v>1138</v>
      </c>
      <c r="P118" s="214"/>
      <c r="Q118" s="216">
        <f t="shared" si="3"/>
        <v>45909</v>
      </c>
      <c r="R118" s="222" t="s">
        <v>1142</v>
      </c>
      <c r="S118" s="225">
        <v>1802871218</v>
      </c>
      <c r="T118" s="214" t="s">
        <v>1564</v>
      </c>
    </row>
    <row r="119" spans="1:22" ht="19" customHeight="1">
      <c r="A119" s="214">
        <v>113</v>
      </c>
      <c r="B119" s="221">
        <v>45910</v>
      </c>
      <c r="C119" s="222" t="s">
        <v>1360</v>
      </c>
      <c r="D119" s="223" t="s">
        <v>1361</v>
      </c>
      <c r="E119" s="222">
        <v>998161675</v>
      </c>
      <c r="F119" s="214" t="s">
        <v>1040</v>
      </c>
      <c r="G119" s="222">
        <v>112500046</v>
      </c>
      <c r="H119" s="215" t="str">
        <f t="shared" si="2"/>
        <v>IZF 88700 MST COCINA INDUCCION</v>
      </c>
      <c r="I119" s="214" t="s">
        <v>1550</v>
      </c>
      <c r="J119" s="222" t="s">
        <v>1356</v>
      </c>
      <c r="K119" s="224">
        <v>45866</v>
      </c>
      <c r="L119" s="214" t="s">
        <v>25</v>
      </c>
      <c r="M119" s="214" t="s">
        <v>24</v>
      </c>
      <c r="N119" s="214" t="s">
        <v>24</v>
      </c>
      <c r="O119" s="222" t="s">
        <v>1358</v>
      </c>
      <c r="P119" s="214"/>
      <c r="Q119" s="216">
        <f t="shared" si="3"/>
        <v>45909</v>
      </c>
      <c r="R119" s="222" t="s">
        <v>1362</v>
      </c>
      <c r="S119" s="225">
        <v>404391713</v>
      </c>
      <c r="T119" s="214" t="s">
        <v>1039</v>
      </c>
    </row>
    <row r="120" spans="1:22" ht="19" customHeight="1">
      <c r="A120" s="214">
        <v>114</v>
      </c>
      <c r="B120" s="226">
        <v>45910</v>
      </c>
      <c r="C120" s="227" t="s">
        <v>1360</v>
      </c>
      <c r="D120" s="228" t="s">
        <v>1361</v>
      </c>
      <c r="E120" s="227">
        <v>998161675</v>
      </c>
      <c r="F120" s="214" t="s">
        <v>1040</v>
      </c>
      <c r="G120" s="227">
        <v>113120010</v>
      </c>
      <c r="H120" s="215" t="str">
        <f t="shared" si="2"/>
        <v>GFI 97350 ECS IX 110/60 CAMPANA</v>
      </c>
      <c r="I120" s="214" t="s">
        <v>1550</v>
      </c>
      <c r="J120" s="227" t="s">
        <v>1356</v>
      </c>
      <c r="K120" s="229">
        <v>45866</v>
      </c>
      <c r="L120" s="214" t="s">
        <v>25</v>
      </c>
      <c r="M120" s="214" t="s">
        <v>24</v>
      </c>
      <c r="N120" s="214" t="s">
        <v>24</v>
      </c>
      <c r="O120" s="227" t="s">
        <v>1359</v>
      </c>
      <c r="P120" s="214"/>
      <c r="Q120" s="216">
        <f t="shared" si="3"/>
        <v>45909</v>
      </c>
      <c r="R120" s="227" t="s">
        <v>1362</v>
      </c>
      <c r="S120" s="230">
        <v>404391713</v>
      </c>
      <c r="T120" s="214" t="s">
        <v>1039</v>
      </c>
      <c r="V120" t="s">
        <v>1042</v>
      </c>
    </row>
    <row r="121" spans="1:22" ht="19" customHeight="1">
      <c r="A121" s="214">
        <v>115</v>
      </c>
      <c r="B121" s="226">
        <v>45910</v>
      </c>
      <c r="C121" s="227" t="s">
        <v>1360</v>
      </c>
      <c r="D121" s="228" t="s">
        <v>1463</v>
      </c>
      <c r="E121" s="227">
        <v>998161675</v>
      </c>
      <c r="F121" s="214" t="s">
        <v>1040</v>
      </c>
      <c r="G121" s="227">
        <v>111570003</v>
      </c>
      <c r="H121" s="215" t="str">
        <f t="shared" si="2"/>
        <v>COCINA GOURMET BBQ 4100 G SS</v>
      </c>
      <c r="I121" s="214" t="s">
        <v>1550</v>
      </c>
      <c r="J121" s="227" t="s">
        <v>1100</v>
      </c>
      <c r="K121" s="229">
        <v>45897</v>
      </c>
      <c r="L121" s="214" t="s">
        <v>25</v>
      </c>
      <c r="M121" s="214" t="s">
        <v>24</v>
      </c>
      <c r="N121" s="214" t="s">
        <v>24</v>
      </c>
      <c r="O121" s="227" t="s">
        <v>1462</v>
      </c>
      <c r="P121" s="214"/>
      <c r="Q121" s="216">
        <f t="shared" si="3"/>
        <v>45909</v>
      </c>
      <c r="R121" s="227" t="s">
        <v>1362</v>
      </c>
      <c r="S121" s="230">
        <v>404391713</v>
      </c>
      <c r="T121" s="214" t="s">
        <v>1039</v>
      </c>
    </row>
    <row r="122" spans="1:22" ht="19" customHeight="1">
      <c r="A122" s="214">
        <v>116</v>
      </c>
      <c r="B122" s="226">
        <v>45910</v>
      </c>
      <c r="C122" s="227" t="s">
        <v>1436</v>
      </c>
      <c r="D122" s="228" t="s">
        <v>1437</v>
      </c>
      <c r="E122" s="227">
        <v>997492234</v>
      </c>
      <c r="F122" s="214" t="s">
        <v>1040</v>
      </c>
      <c r="G122" s="227">
        <v>40467305</v>
      </c>
      <c r="H122" s="215" t="str">
        <f t="shared" si="2"/>
        <v>C 710 NEGRA CAMPANA (110V-60HZ) C/KIT</v>
      </c>
      <c r="I122" s="214" t="s">
        <v>1550</v>
      </c>
      <c r="J122" s="227" t="s">
        <v>1054</v>
      </c>
      <c r="K122" s="229">
        <v>45925</v>
      </c>
      <c r="L122" s="214" t="s">
        <v>25</v>
      </c>
      <c r="M122" s="214" t="s">
        <v>24</v>
      </c>
      <c r="N122" s="214" t="s">
        <v>24</v>
      </c>
      <c r="O122" s="227" t="s">
        <v>1435</v>
      </c>
      <c r="P122" s="214"/>
      <c r="Q122" s="216">
        <f t="shared" si="3"/>
        <v>45909</v>
      </c>
      <c r="R122" s="227" t="s">
        <v>1439</v>
      </c>
      <c r="S122" s="230">
        <v>101304525</v>
      </c>
      <c r="T122" s="214" t="s">
        <v>1039</v>
      </c>
    </row>
    <row r="123" spans="1:22" ht="19" customHeight="1">
      <c r="A123" s="214">
        <v>117</v>
      </c>
      <c r="B123" s="221">
        <v>45910</v>
      </c>
      <c r="C123" s="222" t="s">
        <v>1442</v>
      </c>
      <c r="D123" s="223" t="s">
        <v>1385</v>
      </c>
      <c r="E123" s="222">
        <v>992303061</v>
      </c>
      <c r="F123" s="214" t="s">
        <v>1040</v>
      </c>
      <c r="G123" s="222">
        <v>111000078</v>
      </c>
      <c r="H123" s="215" t="str">
        <f t="shared" si="2"/>
        <v>HLB 8400 FBK HORNO ELEC</v>
      </c>
      <c r="I123" s="214" t="s">
        <v>1550</v>
      </c>
      <c r="J123" s="222" t="s">
        <v>1054</v>
      </c>
      <c r="K123" s="224">
        <v>45906</v>
      </c>
      <c r="L123" s="214" t="s">
        <v>25</v>
      </c>
      <c r="M123" s="214" t="s">
        <v>24</v>
      </c>
      <c r="N123" s="214" t="s">
        <v>24</v>
      </c>
      <c r="O123" s="222" t="s">
        <v>1441</v>
      </c>
      <c r="P123" s="214"/>
      <c r="Q123" s="216">
        <f t="shared" si="3"/>
        <v>45909</v>
      </c>
      <c r="R123" s="222" t="s">
        <v>1444</v>
      </c>
      <c r="S123" s="225">
        <v>101158939</v>
      </c>
      <c r="T123" s="214" t="s">
        <v>1039</v>
      </c>
    </row>
    <row r="124" spans="1:22" ht="19" customHeight="1">
      <c r="A124" s="214">
        <v>118</v>
      </c>
      <c r="B124" s="221">
        <v>45911</v>
      </c>
      <c r="C124" s="222" t="s">
        <v>1367</v>
      </c>
      <c r="D124" s="223" t="s">
        <v>1368</v>
      </c>
      <c r="E124" s="222">
        <v>987666079</v>
      </c>
      <c r="F124" s="214" t="s">
        <v>1040</v>
      </c>
      <c r="G124" s="222">
        <v>112030019</v>
      </c>
      <c r="H124" s="215" t="str">
        <f t="shared" si="2"/>
        <v>ML 8220 BIS FBK- MICROONDAS</v>
      </c>
      <c r="I124" s="214" t="s">
        <v>1550</v>
      </c>
      <c r="J124" s="222" t="s">
        <v>1274</v>
      </c>
      <c r="K124" s="224">
        <v>45870</v>
      </c>
      <c r="L124" s="214" t="s">
        <v>25</v>
      </c>
      <c r="M124" s="214" t="s">
        <v>24</v>
      </c>
      <c r="N124" s="214" t="s">
        <v>24</v>
      </c>
      <c r="O124" s="222" t="s">
        <v>1364</v>
      </c>
      <c r="P124" s="214"/>
      <c r="Q124" s="216">
        <f t="shared" si="3"/>
        <v>45910</v>
      </c>
      <c r="R124" s="222" t="s">
        <v>1369</v>
      </c>
      <c r="S124" s="225">
        <v>151314065</v>
      </c>
      <c r="T124" s="214" t="s">
        <v>1039</v>
      </c>
    </row>
    <row r="125" spans="1:22" ht="19" customHeight="1">
      <c r="A125" s="214">
        <v>119</v>
      </c>
      <c r="B125" s="226">
        <v>45911</v>
      </c>
      <c r="C125" s="227" t="s">
        <v>1367</v>
      </c>
      <c r="D125" s="228" t="s">
        <v>1368</v>
      </c>
      <c r="E125" s="227">
        <v>987666079</v>
      </c>
      <c r="F125" s="214" t="s">
        <v>1040</v>
      </c>
      <c r="G125" s="227">
        <v>111000078</v>
      </c>
      <c r="H125" s="215" t="str">
        <f t="shared" si="2"/>
        <v>HLB 8400 FBK HORNO ELEC</v>
      </c>
      <c r="I125" s="214" t="s">
        <v>1550</v>
      </c>
      <c r="J125" s="227" t="s">
        <v>1274</v>
      </c>
      <c r="K125" s="229">
        <v>45870</v>
      </c>
      <c r="L125" s="214" t="s">
        <v>25</v>
      </c>
      <c r="M125" s="214" t="s">
        <v>24</v>
      </c>
      <c r="N125" s="214" t="s">
        <v>24</v>
      </c>
      <c r="O125" s="227" t="s">
        <v>1365</v>
      </c>
      <c r="P125" s="214"/>
      <c r="Q125" s="216">
        <f t="shared" si="3"/>
        <v>45910</v>
      </c>
      <c r="R125" s="227" t="s">
        <v>1369</v>
      </c>
      <c r="S125" s="230">
        <v>151314065</v>
      </c>
      <c r="T125" s="214" t="s">
        <v>1039</v>
      </c>
    </row>
    <row r="126" spans="1:22" ht="19" customHeight="1">
      <c r="A126" s="214">
        <v>120</v>
      </c>
      <c r="B126" s="221">
        <v>45911</v>
      </c>
      <c r="C126" s="222" t="s">
        <v>1367</v>
      </c>
      <c r="D126" s="223" t="s">
        <v>1368</v>
      </c>
      <c r="E126" s="222">
        <v>987666079</v>
      </c>
      <c r="F126" s="214" t="s">
        <v>1040</v>
      </c>
      <c r="G126" s="222">
        <v>112930048</v>
      </c>
      <c r="H126" s="215" t="str">
        <f t="shared" si="2"/>
        <v>DVT 88660 TRL BK</v>
      </c>
      <c r="I126" s="214" t="s">
        <v>1550</v>
      </c>
      <c r="J126" s="222" t="s">
        <v>1274</v>
      </c>
      <c r="K126" s="224">
        <v>45870</v>
      </c>
      <c r="L126" s="214" t="s">
        <v>25</v>
      </c>
      <c r="M126" s="214" t="s">
        <v>24</v>
      </c>
      <c r="N126" s="214" t="s">
        <v>24</v>
      </c>
      <c r="O126" s="222" t="s">
        <v>1366</v>
      </c>
      <c r="P126" s="214"/>
      <c r="Q126" s="216">
        <f t="shared" si="3"/>
        <v>45910</v>
      </c>
      <c r="R126" s="222" t="s">
        <v>1369</v>
      </c>
      <c r="S126" s="225">
        <v>151314065</v>
      </c>
      <c r="T126" s="214" t="s">
        <v>1039</v>
      </c>
    </row>
    <row r="127" spans="1:22" ht="19" customHeight="1">
      <c r="A127" s="214">
        <v>121</v>
      </c>
      <c r="B127" s="221">
        <v>45911</v>
      </c>
      <c r="C127" s="222" t="s">
        <v>1431</v>
      </c>
      <c r="D127" s="223" t="s">
        <v>1430</v>
      </c>
      <c r="E127" s="222">
        <v>40446712</v>
      </c>
      <c r="F127" s="214" t="s">
        <v>1040</v>
      </c>
      <c r="G127" s="222">
        <v>40446712</v>
      </c>
      <c r="H127" s="215" t="str">
        <f t="shared" si="2"/>
        <v>GFH 73 INOX CAMPANA (110V-60HZ) C/KIT</v>
      </c>
      <c r="I127" s="214" t="s">
        <v>1550</v>
      </c>
      <c r="J127" s="222" t="s">
        <v>1274</v>
      </c>
      <c r="K127" s="224">
        <v>45902</v>
      </c>
      <c r="L127" s="214" t="s">
        <v>25</v>
      </c>
      <c r="M127" s="214" t="s">
        <v>24</v>
      </c>
      <c r="N127" s="214" t="s">
        <v>24</v>
      </c>
      <c r="O127" s="222" t="s">
        <v>1432</v>
      </c>
      <c r="P127" s="214"/>
      <c r="Q127" s="216">
        <f t="shared" si="3"/>
        <v>45910</v>
      </c>
      <c r="R127" s="222" t="s">
        <v>1428</v>
      </c>
      <c r="S127" s="225">
        <v>195096988001</v>
      </c>
      <c r="T127" s="214" t="s">
        <v>1039</v>
      </c>
    </row>
    <row r="128" spans="1:22" ht="19" customHeight="1">
      <c r="A128" s="214">
        <v>122</v>
      </c>
      <c r="B128" s="226">
        <v>45911</v>
      </c>
      <c r="C128" s="227" t="s">
        <v>1447</v>
      </c>
      <c r="D128" s="228" t="s">
        <v>1446</v>
      </c>
      <c r="E128" s="227">
        <v>991307808</v>
      </c>
      <c r="F128" s="214" t="s">
        <v>1040</v>
      </c>
      <c r="G128" s="227">
        <v>111020071</v>
      </c>
      <c r="H128" s="215" t="str">
        <f t="shared" si="2"/>
        <v>HBB 510 BK 220-240  50/60 HORNO ELEC</v>
      </c>
      <c r="I128" s="214" t="s">
        <v>1550</v>
      </c>
      <c r="J128" s="227" t="s">
        <v>1100</v>
      </c>
      <c r="K128" s="229">
        <v>45885</v>
      </c>
      <c r="L128" s="214" t="s">
        <v>25</v>
      </c>
      <c r="M128" s="214" t="s">
        <v>24</v>
      </c>
      <c r="N128" s="214" t="s">
        <v>24</v>
      </c>
      <c r="O128" s="227" t="s">
        <v>1448</v>
      </c>
      <c r="P128" s="214"/>
      <c r="Q128" s="216">
        <f t="shared" si="3"/>
        <v>45910</v>
      </c>
      <c r="R128" s="227" t="s">
        <v>1445</v>
      </c>
      <c r="S128" s="230">
        <v>101021657</v>
      </c>
      <c r="T128" s="214" t="s">
        <v>1039</v>
      </c>
    </row>
    <row r="129" spans="1:20" ht="19" customHeight="1">
      <c r="A129" s="214">
        <v>123</v>
      </c>
      <c r="B129" s="221">
        <v>45911</v>
      </c>
      <c r="C129" s="222" t="s">
        <v>1452</v>
      </c>
      <c r="D129" s="223" t="s">
        <v>1453</v>
      </c>
      <c r="E129" s="222">
        <v>999979686</v>
      </c>
      <c r="F129" s="214" t="s">
        <v>1040</v>
      </c>
      <c r="G129" s="222">
        <v>111010040</v>
      </c>
      <c r="H129" s="215" t="str">
        <f t="shared" si="2"/>
        <v>HSB 610 NEGRO HORNO ELEC</v>
      </c>
      <c r="I129" s="214" t="s">
        <v>1550</v>
      </c>
      <c r="J129" s="222" t="s">
        <v>1054</v>
      </c>
      <c r="K129" s="224">
        <v>45930</v>
      </c>
      <c r="L129" s="214" t="s">
        <v>25</v>
      </c>
      <c r="M129" s="214" t="s">
        <v>24</v>
      </c>
      <c r="N129" s="214" t="s">
        <v>24</v>
      </c>
      <c r="O129" s="222" t="s">
        <v>1451</v>
      </c>
      <c r="P129" s="214"/>
      <c r="Q129" s="216">
        <f t="shared" si="3"/>
        <v>45910</v>
      </c>
      <c r="R129" s="222" t="s">
        <v>1454</v>
      </c>
      <c r="S129" s="225">
        <v>105057996</v>
      </c>
      <c r="T129" s="214" t="s">
        <v>1039</v>
      </c>
    </row>
    <row r="130" spans="1:20" ht="19" customHeight="1">
      <c r="A130" s="214">
        <v>124</v>
      </c>
      <c r="B130" s="226">
        <v>45912</v>
      </c>
      <c r="C130" s="227" t="s">
        <v>1477</v>
      </c>
      <c r="D130" s="228" t="s">
        <v>1555</v>
      </c>
      <c r="E130" s="227">
        <v>991688171</v>
      </c>
      <c r="F130" s="214" t="s">
        <v>1038</v>
      </c>
      <c r="G130" s="227">
        <v>112610071</v>
      </c>
      <c r="H130" s="215" t="str">
        <f t="shared" si="2"/>
        <v>GSC 64320 XBA IX (LAT) COCINA INOX</v>
      </c>
      <c r="I130" s="214" t="s">
        <v>1550</v>
      </c>
      <c r="J130" s="227" t="s">
        <v>1101</v>
      </c>
      <c r="K130" s="229">
        <v>45469</v>
      </c>
      <c r="L130" s="214" t="s">
        <v>25</v>
      </c>
      <c r="M130" s="214" t="s">
        <v>24</v>
      </c>
      <c r="N130" s="214" t="s">
        <v>24</v>
      </c>
      <c r="O130" s="227" t="s">
        <v>1476</v>
      </c>
      <c r="P130" s="214"/>
      <c r="Q130" s="216">
        <f t="shared" si="3"/>
        <v>45911</v>
      </c>
      <c r="R130" s="227" t="s">
        <v>1480</v>
      </c>
      <c r="S130" s="230">
        <v>11034466742</v>
      </c>
      <c r="T130" s="214" t="s">
        <v>1556</v>
      </c>
    </row>
    <row r="131" spans="1:20" ht="19" customHeight="1">
      <c r="A131" s="214">
        <v>125</v>
      </c>
      <c r="B131" s="221">
        <v>45912</v>
      </c>
      <c r="C131" s="222" t="s">
        <v>1484</v>
      </c>
      <c r="D131" s="223" t="s">
        <v>1557</v>
      </c>
      <c r="E131" s="222">
        <v>988243799</v>
      </c>
      <c r="F131" s="214" t="s">
        <v>1038</v>
      </c>
      <c r="G131" s="222">
        <v>40485311</v>
      </c>
      <c r="H131" s="215" t="str">
        <f t="shared" si="2"/>
        <v>DG3 70 CRISTAL CAMPANA (NC: 40485357)</v>
      </c>
      <c r="I131" s="214" t="s">
        <v>1550</v>
      </c>
      <c r="J131" s="222" t="s">
        <v>1156</v>
      </c>
      <c r="K131" s="224">
        <v>45953</v>
      </c>
      <c r="L131" s="214" t="s">
        <v>25</v>
      </c>
      <c r="M131" s="214" t="s">
        <v>24</v>
      </c>
      <c r="N131" s="214" t="s">
        <v>24</v>
      </c>
      <c r="O131" s="222" t="s">
        <v>1483</v>
      </c>
      <c r="P131" s="214"/>
      <c r="Q131" s="216">
        <f t="shared" si="3"/>
        <v>45911</v>
      </c>
      <c r="R131" s="222" t="s">
        <v>1487</v>
      </c>
      <c r="S131" s="225">
        <v>101384519</v>
      </c>
      <c r="T131" s="214" t="s">
        <v>1558</v>
      </c>
    </row>
    <row r="132" spans="1:20" ht="19" customHeight="1">
      <c r="A132" s="214">
        <v>126</v>
      </c>
      <c r="B132" s="226">
        <v>45912</v>
      </c>
      <c r="C132" s="227" t="s">
        <v>1491</v>
      </c>
      <c r="D132" s="228" t="s">
        <v>1559</v>
      </c>
      <c r="E132" s="227">
        <v>987715854</v>
      </c>
      <c r="F132" s="214" t="s">
        <v>1038</v>
      </c>
      <c r="G132" s="227">
        <v>112510035</v>
      </c>
      <c r="H132" s="215" t="str">
        <f t="shared" si="2"/>
        <v>IZF 64440 MSP BK COCINA INDUCCION</v>
      </c>
      <c r="I132" s="214" t="s">
        <v>1550</v>
      </c>
      <c r="J132" s="227" t="s">
        <v>1045</v>
      </c>
      <c r="K132" s="229">
        <v>45985</v>
      </c>
      <c r="L132" s="214" t="s">
        <v>25</v>
      </c>
      <c r="M132" s="214" t="s">
        <v>24</v>
      </c>
      <c r="N132" s="214" t="s">
        <v>24</v>
      </c>
      <c r="O132" s="227" t="s">
        <v>1490</v>
      </c>
      <c r="P132" s="214"/>
      <c r="Q132" s="216">
        <f t="shared" si="3"/>
        <v>45911</v>
      </c>
      <c r="R132" s="227" t="s">
        <v>1494</v>
      </c>
      <c r="S132" s="230">
        <v>104706676</v>
      </c>
      <c r="T132" s="214" t="s">
        <v>1560</v>
      </c>
    </row>
    <row r="133" spans="1:20" ht="19" customHeight="1">
      <c r="A133" s="214">
        <v>127</v>
      </c>
      <c r="B133" s="226">
        <v>45912</v>
      </c>
      <c r="C133" s="227" t="s">
        <v>1467</v>
      </c>
      <c r="D133" s="228" t="s">
        <v>1468</v>
      </c>
      <c r="E133" s="231" t="s">
        <v>1469</v>
      </c>
      <c r="F133" s="214" t="s">
        <v>1040</v>
      </c>
      <c r="G133" s="227">
        <v>40590835</v>
      </c>
      <c r="H133" s="215" t="str">
        <f t="shared" si="2"/>
        <v>MWG 14X - MICROONDAS</v>
      </c>
      <c r="I133" s="214" t="s">
        <v>1550</v>
      </c>
      <c r="J133" s="227" t="s">
        <v>1054</v>
      </c>
      <c r="K133" s="229">
        <v>45856</v>
      </c>
      <c r="L133" s="214" t="s">
        <v>25</v>
      </c>
      <c r="M133" s="214" t="s">
        <v>24</v>
      </c>
      <c r="N133" s="214" t="s">
        <v>24</v>
      </c>
      <c r="O133" s="227" t="s">
        <v>1466</v>
      </c>
      <c r="P133" s="214"/>
      <c r="Q133" s="216">
        <f t="shared" si="3"/>
        <v>45911</v>
      </c>
      <c r="R133" s="227" t="s">
        <v>1470</v>
      </c>
      <c r="S133" s="230">
        <v>1202441992</v>
      </c>
      <c r="T133" s="214" t="s">
        <v>1039</v>
      </c>
    </row>
    <row r="134" spans="1:20" ht="19" customHeight="1">
      <c r="A134" s="214">
        <v>128</v>
      </c>
      <c r="B134" s="221">
        <v>45912</v>
      </c>
      <c r="C134" s="222" t="s">
        <v>1467</v>
      </c>
      <c r="D134" s="223" t="s">
        <v>1468</v>
      </c>
      <c r="E134" s="232" t="s">
        <v>1469</v>
      </c>
      <c r="F134" s="214" t="s">
        <v>1040</v>
      </c>
      <c r="G134" s="222">
        <v>113120010</v>
      </c>
      <c r="H134" s="215" t="str">
        <f t="shared" si="2"/>
        <v>GFI 97350 ECS IX 110/60 CAMPANA</v>
      </c>
      <c r="I134" s="214" t="s">
        <v>1550</v>
      </c>
      <c r="J134" s="222" t="s">
        <v>1054</v>
      </c>
      <c r="K134" s="224">
        <v>45856</v>
      </c>
      <c r="L134" s="214" t="s">
        <v>25</v>
      </c>
      <c r="M134" s="214" t="s">
        <v>24</v>
      </c>
      <c r="N134" s="214" t="s">
        <v>24</v>
      </c>
      <c r="O134" s="222" t="s">
        <v>1466</v>
      </c>
      <c r="P134" s="214"/>
      <c r="Q134" s="216">
        <f t="shared" si="3"/>
        <v>45911</v>
      </c>
      <c r="R134" s="222" t="s">
        <v>1470</v>
      </c>
      <c r="S134" s="225">
        <v>1202441992</v>
      </c>
      <c r="T134" s="214" t="s">
        <v>1039</v>
      </c>
    </row>
    <row r="135" spans="1:20" ht="19" customHeight="1">
      <c r="A135" s="214">
        <v>129</v>
      </c>
      <c r="B135" s="226">
        <v>45912</v>
      </c>
      <c r="C135" s="227" t="s">
        <v>1467</v>
      </c>
      <c r="D135" s="228" t="s">
        <v>1468</v>
      </c>
      <c r="E135" s="231" t="s">
        <v>1469</v>
      </c>
      <c r="F135" s="214" t="s">
        <v>1040</v>
      </c>
      <c r="G135" s="227">
        <v>111010028</v>
      </c>
      <c r="H135" s="215" t="str">
        <f t="shared" ref="H135:H144" si="4">VLOOKUP(G135,PROD,2,FALSE)</f>
        <v>HSB 646 "AIRFRY" - HORNO ELEC</v>
      </c>
      <c r="I135" s="214" t="s">
        <v>1550</v>
      </c>
      <c r="J135" s="227" t="s">
        <v>1054</v>
      </c>
      <c r="K135" s="229">
        <v>45856</v>
      </c>
      <c r="L135" s="214" t="s">
        <v>25</v>
      </c>
      <c r="M135" s="214" t="s">
        <v>24</v>
      </c>
      <c r="N135" s="214" t="s">
        <v>24</v>
      </c>
      <c r="O135" s="227" t="s">
        <v>1466</v>
      </c>
      <c r="P135" s="214"/>
      <c r="Q135" s="216">
        <f t="shared" si="3"/>
        <v>45911</v>
      </c>
      <c r="R135" s="227" t="s">
        <v>1470</v>
      </c>
      <c r="S135" s="230">
        <v>1202441992</v>
      </c>
      <c r="T135" s="214" t="s">
        <v>1039</v>
      </c>
    </row>
    <row r="136" spans="1:20" ht="19" customHeight="1">
      <c r="A136" s="214">
        <v>130</v>
      </c>
      <c r="B136" s="221">
        <v>45912</v>
      </c>
      <c r="C136" s="222" t="s">
        <v>1467</v>
      </c>
      <c r="D136" s="223" t="s">
        <v>1468</v>
      </c>
      <c r="E136" s="232" t="s">
        <v>1469</v>
      </c>
      <c r="F136" s="214" t="s">
        <v>1040</v>
      </c>
      <c r="G136" s="222">
        <v>40219050</v>
      </c>
      <c r="H136" s="215" t="str">
        <f t="shared" si="4"/>
        <v>EW 90 5G AI AL TR COCINA INOX</v>
      </c>
      <c r="I136" s="214" t="s">
        <v>1550</v>
      </c>
      <c r="J136" s="222" t="s">
        <v>1054</v>
      </c>
      <c r="K136" s="224">
        <v>45856</v>
      </c>
      <c r="L136" s="214" t="s">
        <v>25</v>
      </c>
      <c r="M136" s="214" t="s">
        <v>24</v>
      </c>
      <c r="N136" s="214" t="s">
        <v>24</v>
      </c>
      <c r="O136" s="222" t="s">
        <v>1466</v>
      </c>
      <c r="P136" s="214"/>
      <c r="Q136" s="216">
        <f t="shared" ref="Q136:Q182" si="5">B136-1</f>
        <v>45911</v>
      </c>
      <c r="R136" s="222" t="s">
        <v>1470</v>
      </c>
      <c r="S136" s="225">
        <v>1202441992</v>
      </c>
      <c r="T136" s="214" t="s">
        <v>1039</v>
      </c>
    </row>
    <row r="137" spans="1:20" ht="19" customHeight="1">
      <c r="A137" s="214">
        <v>131</v>
      </c>
      <c r="B137" s="226">
        <v>45912</v>
      </c>
      <c r="C137" s="227" t="s">
        <v>1467</v>
      </c>
      <c r="D137" s="228" t="s">
        <v>1468</v>
      </c>
      <c r="E137" s="231" t="s">
        <v>1469</v>
      </c>
      <c r="F137" s="214" t="s">
        <v>1040</v>
      </c>
      <c r="G137" s="227">
        <v>114270008</v>
      </c>
      <c r="H137" s="215" t="str">
        <f t="shared" si="4"/>
        <v>LAVAVAJILLAS DFI 46900 120 60 WH</v>
      </c>
      <c r="I137" s="214" t="s">
        <v>1550</v>
      </c>
      <c r="J137" s="227" t="s">
        <v>1054</v>
      </c>
      <c r="K137" s="229">
        <v>45856</v>
      </c>
      <c r="L137" s="214" t="s">
        <v>25</v>
      </c>
      <c r="M137" s="214" t="s">
        <v>24</v>
      </c>
      <c r="N137" s="214" t="s">
        <v>24</v>
      </c>
      <c r="O137" s="227" t="s">
        <v>1466</v>
      </c>
      <c r="P137" s="214"/>
      <c r="Q137" s="216">
        <f t="shared" si="5"/>
        <v>45911</v>
      </c>
      <c r="R137" s="227" t="s">
        <v>1470</v>
      </c>
      <c r="S137" s="230">
        <v>1202441992</v>
      </c>
      <c r="T137" s="214" t="s">
        <v>1039</v>
      </c>
    </row>
    <row r="138" spans="1:20" ht="19" customHeight="1">
      <c r="A138" s="214">
        <v>132</v>
      </c>
      <c r="B138" s="221">
        <v>45912</v>
      </c>
      <c r="C138" s="222" t="s">
        <v>1512</v>
      </c>
      <c r="D138" s="223" t="s">
        <v>1278</v>
      </c>
      <c r="E138" s="222">
        <v>998810080</v>
      </c>
      <c r="F138" s="214" t="s">
        <v>1040</v>
      </c>
      <c r="G138" s="222">
        <v>111000051</v>
      </c>
      <c r="H138" s="215" t="str">
        <f t="shared" si="4"/>
        <v>HLB 8416 "AIR FRY" - HORNO ELEC</v>
      </c>
      <c r="I138" s="214" t="s">
        <v>1550</v>
      </c>
      <c r="J138" s="222" t="s">
        <v>0</v>
      </c>
      <c r="K138" s="224">
        <v>45744</v>
      </c>
      <c r="L138" s="214" t="s">
        <v>25</v>
      </c>
      <c r="M138" s="214" t="s">
        <v>24</v>
      </c>
      <c r="N138" s="214" t="s">
        <v>24</v>
      </c>
      <c r="O138" s="222" t="s">
        <v>1509</v>
      </c>
      <c r="P138" s="214"/>
      <c r="Q138" s="216">
        <f t="shared" si="5"/>
        <v>45911</v>
      </c>
      <c r="R138" s="222" t="s">
        <v>1513</v>
      </c>
      <c r="S138" s="225">
        <v>103657607</v>
      </c>
      <c r="T138" s="214" t="s">
        <v>1039</v>
      </c>
    </row>
    <row r="139" spans="1:20" ht="19" customHeight="1">
      <c r="A139" s="214">
        <v>133</v>
      </c>
      <c r="B139" s="226">
        <v>45912</v>
      </c>
      <c r="C139" s="227" t="s">
        <v>1512</v>
      </c>
      <c r="D139" s="228" t="s">
        <v>1278</v>
      </c>
      <c r="E139" s="227">
        <v>998810080</v>
      </c>
      <c r="F139" s="214" t="s">
        <v>1040</v>
      </c>
      <c r="G139" s="227">
        <v>112950021</v>
      </c>
      <c r="H139" s="215" t="str">
        <f t="shared" si="4"/>
        <v>DVN 94030 TCL BK CAMPANA (110V-60HZ) C/KIT</v>
      </c>
      <c r="I139" s="214" t="s">
        <v>1550</v>
      </c>
      <c r="J139" s="227" t="s">
        <v>0</v>
      </c>
      <c r="K139" s="229">
        <v>45744</v>
      </c>
      <c r="L139" s="214" t="s">
        <v>25</v>
      </c>
      <c r="M139" s="214" t="s">
        <v>24</v>
      </c>
      <c r="N139" s="214" t="s">
        <v>24</v>
      </c>
      <c r="O139" s="227" t="s">
        <v>1510</v>
      </c>
      <c r="P139" s="214"/>
      <c r="Q139" s="216">
        <f t="shared" si="5"/>
        <v>45911</v>
      </c>
      <c r="R139" s="227" t="s">
        <v>1513</v>
      </c>
      <c r="S139" s="230">
        <v>103657607</v>
      </c>
      <c r="T139" s="214" t="s">
        <v>1039</v>
      </c>
    </row>
    <row r="140" spans="1:20" ht="19" customHeight="1">
      <c r="A140" s="214">
        <v>134</v>
      </c>
      <c r="B140" s="221">
        <v>45912</v>
      </c>
      <c r="C140" s="222" t="s">
        <v>1512</v>
      </c>
      <c r="D140" s="223" t="s">
        <v>1278</v>
      </c>
      <c r="E140" s="222">
        <v>998810080</v>
      </c>
      <c r="F140" s="214" t="s">
        <v>1040</v>
      </c>
      <c r="G140" s="222">
        <v>112570068</v>
      </c>
      <c r="H140" s="215" t="str">
        <f t="shared" si="4"/>
        <v>GZC 95320 XBB CRISTAL COCINA GAS</v>
      </c>
      <c r="I140" s="214" t="s">
        <v>1550</v>
      </c>
      <c r="J140" s="222" t="s">
        <v>0</v>
      </c>
      <c r="K140" s="224">
        <v>45744</v>
      </c>
      <c r="L140" s="214" t="s">
        <v>25</v>
      </c>
      <c r="M140" s="214" t="s">
        <v>24</v>
      </c>
      <c r="N140" s="214" t="s">
        <v>24</v>
      </c>
      <c r="O140" s="222" t="s">
        <v>1511</v>
      </c>
      <c r="P140" s="214"/>
      <c r="Q140" s="216">
        <f t="shared" si="5"/>
        <v>45911</v>
      </c>
      <c r="R140" s="222" t="s">
        <v>1513</v>
      </c>
      <c r="S140" s="225">
        <v>103657607</v>
      </c>
      <c r="T140" s="214" t="s">
        <v>1039</v>
      </c>
    </row>
    <row r="141" spans="1:20" ht="19" customHeight="1">
      <c r="A141" s="214">
        <v>135</v>
      </c>
      <c r="B141" s="221">
        <v>45912</v>
      </c>
      <c r="C141" s="222" t="s">
        <v>1518</v>
      </c>
      <c r="D141" s="223" t="s">
        <v>1068</v>
      </c>
      <c r="E141" s="222">
        <v>999072912</v>
      </c>
      <c r="F141" s="214" t="s">
        <v>1040</v>
      </c>
      <c r="G141" s="222">
        <v>111570003</v>
      </c>
      <c r="H141" s="215" t="str">
        <f t="shared" si="4"/>
        <v>COCINA GOURMET BBQ 4100 G SS</v>
      </c>
      <c r="I141" s="214" t="s">
        <v>1550</v>
      </c>
      <c r="J141" s="222" t="s">
        <v>1156</v>
      </c>
      <c r="K141" s="224">
        <v>45907</v>
      </c>
      <c r="L141" s="214" t="s">
        <v>25</v>
      </c>
      <c r="M141" s="214" t="s">
        <v>24</v>
      </c>
      <c r="N141" s="214" t="s">
        <v>24</v>
      </c>
      <c r="O141" s="222" t="s">
        <v>1517</v>
      </c>
      <c r="P141" s="214"/>
      <c r="Q141" s="216">
        <f t="shared" si="5"/>
        <v>45911</v>
      </c>
      <c r="R141" s="222" t="s">
        <v>1520</v>
      </c>
      <c r="S141" s="225">
        <v>1101091814</v>
      </c>
      <c r="T141" s="214" t="s">
        <v>1039</v>
      </c>
    </row>
    <row r="142" spans="1:20" ht="19">
      <c r="A142" s="214">
        <v>136</v>
      </c>
      <c r="B142" s="226">
        <v>45912</v>
      </c>
      <c r="C142" s="227" t="s">
        <v>1518</v>
      </c>
      <c r="D142" s="228" t="s">
        <v>1068</v>
      </c>
      <c r="E142" s="227">
        <v>999072912</v>
      </c>
      <c r="F142" s="214" t="s">
        <v>1040</v>
      </c>
      <c r="G142" s="227">
        <v>111570003</v>
      </c>
      <c r="H142" s="215" t="str">
        <f t="shared" si="4"/>
        <v>COCINA GOURMET BBQ 4100 G SS</v>
      </c>
      <c r="I142" s="214" t="s">
        <v>1550</v>
      </c>
      <c r="J142" s="227" t="s">
        <v>1156</v>
      </c>
      <c r="K142" s="229">
        <v>45907</v>
      </c>
      <c r="L142" s="214" t="s">
        <v>25</v>
      </c>
      <c r="M142" s="214" t="s">
        <v>24</v>
      </c>
      <c r="N142" s="214" t="s">
        <v>24</v>
      </c>
      <c r="O142" s="227" t="s">
        <v>1517</v>
      </c>
      <c r="P142" s="214"/>
      <c r="Q142" s="216">
        <f t="shared" si="5"/>
        <v>45911</v>
      </c>
      <c r="R142" s="227" t="s">
        <v>1520</v>
      </c>
      <c r="S142" s="230">
        <v>1101091814</v>
      </c>
      <c r="T142" s="214" t="s">
        <v>1039</v>
      </c>
    </row>
    <row r="143" spans="1:20" ht="19">
      <c r="A143" s="214">
        <v>137</v>
      </c>
      <c r="B143" s="221">
        <v>45915</v>
      </c>
      <c r="C143" s="222" t="s">
        <v>1498</v>
      </c>
      <c r="D143" s="223" t="s">
        <v>1565</v>
      </c>
      <c r="E143" s="222">
        <v>982660042</v>
      </c>
      <c r="F143" s="214" t="s">
        <v>1040</v>
      </c>
      <c r="G143" s="222">
        <v>113100004</v>
      </c>
      <c r="H143" s="215" t="str">
        <f t="shared" si="4"/>
        <v>CAMPANA DHT 97670 ROS WH</v>
      </c>
      <c r="I143" s="214" t="s">
        <v>1550</v>
      </c>
      <c r="J143" s="222" t="s">
        <v>1101</v>
      </c>
      <c r="K143" s="224">
        <v>45688</v>
      </c>
      <c r="L143" s="214" t="s">
        <v>25</v>
      </c>
      <c r="M143" s="214" t="s">
        <v>24</v>
      </c>
      <c r="N143" s="214" t="s">
        <v>24</v>
      </c>
      <c r="O143" s="222" t="s">
        <v>1497</v>
      </c>
      <c r="P143" s="214"/>
      <c r="Q143" s="216">
        <f t="shared" si="5"/>
        <v>45914</v>
      </c>
      <c r="R143" s="222" t="s">
        <v>1501</v>
      </c>
      <c r="S143" s="225">
        <v>104435417</v>
      </c>
      <c r="T143" s="214" t="s">
        <v>1566</v>
      </c>
    </row>
    <row r="144" spans="1:20" ht="19">
      <c r="A144" s="214">
        <v>138</v>
      </c>
      <c r="B144" s="226">
        <v>45915</v>
      </c>
      <c r="C144" s="227" t="s">
        <v>1505</v>
      </c>
      <c r="D144" s="228" t="s">
        <v>1068</v>
      </c>
      <c r="E144" s="227">
        <v>999100747</v>
      </c>
      <c r="F144" s="214" t="s">
        <v>1040</v>
      </c>
      <c r="G144" s="227">
        <v>112500047</v>
      </c>
      <c r="H144" s="215" t="str">
        <f t="shared" si="4"/>
        <v>IZF 99700 MST COCINA INDUCCION</v>
      </c>
      <c r="I144" s="214" t="s">
        <v>1550</v>
      </c>
      <c r="J144" s="227" t="s">
        <v>1156</v>
      </c>
      <c r="K144" s="229">
        <v>45806</v>
      </c>
      <c r="L144" s="214" t="s">
        <v>25</v>
      </c>
      <c r="M144" s="214" t="s">
        <v>24</v>
      </c>
      <c r="N144" s="214" t="s">
        <v>24</v>
      </c>
      <c r="O144" s="227" t="s">
        <v>1504</v>
      </c>
      <c r="P144" s="214"/>
      <c r="Q144" s="216">
        <f t="shared" si="5"/>
        <v>45914</v>
      </c>
      <c r="R144" s="227" t="s">
        <v>1507</v>
      </c>
      <c r="S144" s="230">
        <v>103642328</v>
      </c>
      <c r="T144" s="214" t="s">
        <v>1567</v>
      </c>
    </row>
    <row r="145" spans="1:20" ht="19">
      <c r="A145" s="214">
        <v>139</v>
      </c>
      <c r="B145" s="217">
        <v>45912</v>
      </c>
      <c r="C145" s="218" t="s">
        <v>1573</v>
      </c>
      <c r="D145" s="218" t="s">
        <v>1574</v>
      </c>
      <c r="E145" s="241">
        <v>9728982264</v>
      </c>
      <c r="F145" s="240" t="s">
        <v>1040</v>
      </c>
      <c r="G145" s="241">
        <v>40782128</v>
      </c>
      <c r="H145" s="233" t="str">
        <f t="shared" ref="H145:H182" si="6">VLOOKUP(G145,PROD,2,FALSE)</f>
        <v>DW8 57 FIM-D LAVAVAJILLAS</v>
      </c>
      <c r="I145" s="214" t="s">
        <v>1550</v>
      </c>
      <c r="J145" s="219" t="s">
        <v>1100</v>
      </c>
      <c r="K145" s="244">
        <v>45897</v>
      </c>
      <c r="L145" s="240" t="s">
        <v>25</v>
      </c>
      <c r="M145" s="240" t="s">
        <v>24</v>
      </c>
      <c r="N145" s="240" t="s">
        <v>24</v>
      </c>
      <c r="O145" s="219" t="s">
        <v>1572</v>
      </c>
      <c r="P145" s="222"/>
      <c r="Q145" s="216">
        <f t="shared" si="5"/>
        <v>45911</v>
      </c>
      <c r="R145" s="247" t="s">
        <v>1575</v>
      </c>
      <c r="S145" s="248">
        <v>549894062</v>
      </c>
      <c r="T145" s="214" t="s">
        <v>1039</v>
      </c>
    </row>
    <row r="146" spans="1:20" ht="19">
      <c r="A146" s="214">
        <v>140</v>
      </c>
      <c r="B146" s="217">
        <v>45912</v>
      </c>
      <c r="C146" s="218" t="s">
        <v>1580</v>
      </c>
      <c r="D146" s="218" t="s">
        <v>1241</v>
      </c>
      <c r="E146" s="241" t="s">
        <v>1581</v>
      </c>
      <c r="F146" s="240" t="s">
        <v>1040</v>
      </c>
      <c r="G146" s="241">
        <v>112520025</v>
      </c>
      <c r="H146" s="233" t="str">
        <f t="shared" si="6"/>
        <v>IZC 64010 MSS COCINA INDUCCION</v>
      </c>
      <c r="I146" s="214" t="s">
        <v>1550</v>
      </c>
      <c r="J146" s="219" t="s">
        <v>1054</v>
      </c>
      <c r="K146" s="244">
        <v>45901</v>
      </c>
      <c r="L146" s="240" t="s">
        <v>25</v>
      </c>
      <c r="M146" s="240" t="s">
        <v>24</v>
      </c>
      <c r="N146" s="240" t="s">
        <v>24</v>
      </c>
      <c r="O146" s="219" t="s">
        <v>1579</v>
      </c>
      <c r="P146" s="222"/>
      <c r="Q146" s="216">
        <f t="shared" si="5"/>
        <v>45911</v>
      </c>
      <c r="R146" s="247" t="s">
        <v>1582</v>
      </c>
      <c r="S146" s="248">
        <v>45006710</v>
      </c>
      <c r="T146" s="214" t="s">
        <v>1039</v>
      </c>
    </row>
    <row r="147" spans="1:20" ht="19">
      <c r="A147" s="214">
        <v>141</v>
      </c>
      <c r="B147" s="217">
        <v>45912</v>
      </c>
      <c r="C147" s="218" t="s">
        <v>1580</v>
      </c>
      <c r="D147" s="218" t="s">
        <v>1241</v>
      </c>
      <c r="E147" s="241" t="s">
        <v>1581</v>
      </c>
      <c r="F147" s="240" t="s">
        <v>1040</v>
      </c>
      <c r="G147" s="241">
        <v>111000051</v>
      </c>
      <c r="H147" s="233" t="str">
        <f t="shared" si="6"/>
        <v>HLB 8416 "AIR FRY" - HORNO ELEC</v>
      </c>
      <c r="I147" s="214" t="s">
        <v>1550</v>
      </c>
      <c r="J147" s="219" t="s">
        <v>1054</v>
      </c>
      <c r="K147" s="244">
        <v>45901</v>
      </c>
      <c r="L147" s="240" t="s">
        <v>25</v>
      </c>
      <c r="M147" s="240" t="s">
        <v>24</v>
      </c>
      <c r="N147" s="240" t="s">
        <v>24</v>
      </c>
      <c r="O147" s="219" t="s">
        <v>1578</v>
      </c>
      <c r="P147" s="222"/>
      <c r="Q147" s="216">
        <f t="shared" si="5"/>
        <v>45911</v>
      </c>
      <c r="R147" s="247" t="s">
        <v>1582</v>
      </c>
      <c r="S147" s="248">
        <v>45006710</v>
      </c>
      <c r="T147" s="214" t="s">
        <v>1039</v>
      </c>
    </row>
    <row r="148" spans="1:20" ht="19">
      <c r="A148" s="214">
        <v>142</v>
      </c>
      <c r="B148" s="217">
        <v>45912</v>
      </c>
      <c r="C148" s="218" t="s">
        <v>1580</v>
      </c>
      <c r="D148" s="218" t="s">
        <v>1241</v>
      </c>
      <c r="E148" s="241" t="s">
        <v>1581</v>
      </c>
      <c r="F148" s="240" t="s">
        <v>1040</v>
      </c>
      <c r="G148" s="241">
        <v>40461543</v>
      </c>
      <c r="H148" s="233" t="str">
        <f t="shared" si="6"/>
        <v>C 6310 INOX CAMPANA (110V-60HZ) C/KIT</v>
      </c>
      <c r="I148" s="214" t="s">
        <v>1550</v>
      </c>
      <c r="J148" s="219" t="s">
        <v>1054</v>
      </c>
      <c r="K148" s="244">
        <v>45901</v>
      </c>
      <c r="L148" s="240" t="s">
        <v>25</v>
      </c>
      <c r="M148" s="240" t="s">
        <v>24</v>
      </c>
      <c r="N148" s="240" t="s">
        <v>24</v>
      </c>
      <c r="O148" s="219" t="s">
        <v>1577</v>
      </c>
      <c r="P148" s="222"/>
      <c r="Q148" s="216">
        <f t="shared" si="5"/>
        <v>45911</v>
      </c>
      <c r="R148" s="247" t="s">
        <v>1582</v>
      </c>
      <c r="S148" s="248">
        <v>45006710</v>
      </c>
      <c r="T148" s="214" t="s">
        <v>1039</v>
      </c>
    </row>
    <row r="149" spans="1:20" ht="19">
      <c r="A149" s="214">
        <v>143</v>
      </c>
      <c r="B149" s="234">
        <v>45912</v>
      </c>
      <c r="C149" s="235" t="s">
        <v>1528</v>
      </c>
      <c r="D149" s="235" t="s">
        <v>1529</v>
      </c>
      <c r="E149" s="242">
        <v>958620101</v>
      </c>
      <c r="F149" s="240" t="s">
        <v>1040</v>
      </c>
      <c r="G149" s="242">
        <v>112570124</v>
      </c>
      <c r="H149" s="233" t="str">
        <f t="shared" si="6"/>
        <v>JZC 64322 ABB BK (LAT) COCINA MIXTA GAS - INDUCCION</v>
      </c>
      <c r="I149" s="214" t="s">
        <v>1550</v>
      </c>
      <c r="J149" s="235" t="s">
        <v>1274</v>
      </c>
      <c r="K149" s="245">
        <v>45902</v>
      </c>
      <c r="L149" s="240" t="s">
        <v>25</v>
      </c>
      <c r="M149" s="240" t="s">
        <v>24</v>
      </c>
      <c r="N149" s="240" t="s">
        <v>24</v>
      </c>
      <c r="O149" s="235" t="s">
        <v>1527</v>
      </c>
      <c r="P149" s="222"/>
      <c r="Q149" s="216">
        <f t="shared" si="5"/>
        <v>45911</v>
      </c>
      <c r="R149" s="249" t="s">
        <v>1530</v>
      </c>
      <c r="S149" s="250" t="s">
        <v>1532</v>
      </c>
      <c r="T149" s="214" t="s">
        <v>1039</v>
      </c>
    </row>
    <row r="150" spans="1:20" ht="19">
      <c r="A150" s="214">
        <v>144</v>
      </c>
      <c r="B150" s="236">
        <v>45912</v>
      </c>
      <c r="C150" s="237" t="s">
        <v>1535</v>
      </c>
      <c r="D150" s="237" t="s">
        <v>1534</v>
      </c>
      <c r="E150" s="243">
        <v>999977748</v>
      </c>
      <c r="F150" s="240" t="s">
        <v>1040</v>
      </c>
      <c r="G150" s="243">
        <v>112570093</v>
      </c>
      <c r="H150" s="233" t="str">
        <f t="shared" si="6"/>
        <v>GZC 75330 XBB CRISTAL COCINA GAS</v>
      </c>
      <c r="I150" s="214" t="s">
        <v>1550</v>
      </c>
      <c r="J150" s="237" t="s">
        <v>1054</v>
      </c>
      <c r="K150" s="246">
        <v>45906</v>
      </c>
      <c r="L150" s="240" t="s">
        <v>25</v>
      </c>
      <c r="M150" s="240" t="s">
        <v>24</v>
      </c>
      <c r="N150" s="240" t="s">
        <v>24</v>
      </c>
      <c r="O150" s="237" t="s">
        <v>1536</v>
      </c>
      <c r="P150" s="222"/>
      <c r="Q150" s="216">
        <f t="shared" si="5"/>
        <v>45911</v>
      </c>
      <c r="R150" s="249" t="s">
        <v>1531</v>
      </c>
      <c r="S150" s="251" t="s">
        <v>1533</v>
      </c>
      <c r="T150" s="214" t="s">
        <v>1039</v>
      </c>
    </row>
    <row r="151" spans="1:20" ht="19">
      <c r="A151" s="214">
        <v>145</v>
      </c>
      <c r="B151" s="217">
        <v>45915</v>
      </c>
      <c r="C151" s="218" t="s">
        <v>1546</v>
      </c>
      <c r="D151" s="218" t="s">
        <v>1547</v>
      </c>
      <c r="E151" s="241">
        <v>984847325</v>
      </c>
      <c r="F151" s="240" t="s">
        <v>1040</v>
      </c>
      <c r="G151" s="241">
        <v>112600000</v>
      </c>
      <c r="H151" s="233" t="str">
        <f t="shared" si="6"/>
        <v>EX 90.1 5G AI DR CI COCINA INOX</v>
      </c>
      <c r="I151" s="214" t="s">
        <v>1550</v>
      </c>
      <c r="J151" s="219" t="s">
        <v>1156</v>
      </c>
      <c r="K151" s="244">
        <v>45754</v>
      </c>
      <c r="L151" s="240" t="s">
        <v>25</v>
      </c>
      <c r="M151" s="240" t="s">
        <v>24</v>
      </c>
      <c r="N151" s="240" t="s">
        <v>24</v>
      </c>
      <c r="O151" s="219" t="s">
        <v>1544</v>
      </c>
      <c r="P151" s="222"/>
      <c r="Q151" s="216">
        <f t="shared" si="5"/>
        <v>45914</v>
      </c>
      <c r="R151" s="247" t="s">
        <v>1548</v>
      </c>
      <c r="S151" s="248">
        <v>103846556</v>
      </c>
      <c r="T151" s="214" t="s">
        <v>1039</v>
      </c>
    </row>
    <row r="152" spans="1:20" ht="19">
      <c r="A152" s="214">
        <v>146</v>
      </c>
      <c r="B152" s="217">
        <v>45915</v>
      </c>
      <c r="C152" s="218" t="s">
        <v>1546</v>
      </c>
      <c r="D152" s="218" t="s">
        <v>1547</v>
      </c>
      <c r="E152" s="241">
        <v>984847325</v>
      </c>
      <c r="F152" s="240" t="s">
        <v>1040</v>
      </c>
      <c r="G152" s="241">
        <v>111000051</v>
      </c>
      <c r="H152" s="233" t="str">
        <f t="shared" si="6"/>
        <v>HLB 8416 "AIR FRY" - HORNO ELEC</v>
      </c>
      <c r="I152" s="214" t="s">
        <v>1550</v>
      </c>
      <c r="J152" s="219" t="s">
        <v>1156</v>
      </c>
      <c r="K152" s="244">
        <v>45754</v>
      </c>
      <c r="L152" s="240" t="s">
        <v>25</v>
      </c>
      <c r="M152" s="240" t="s">
        <v>24</v>
      </c>
      <c r="N152" s="240" t="s">
        <v>24</v>
      </c>
      <c r="O152" s="219" t="s">
        <v>1545</v>
      </c>
      <c r="P152" s="222"/>
      <c r="Q152" s="216">
        <f t="shared" si="5"/>
        <v>45914</v>
      </c>
      <c r="R152" s="247" t="s">
        <v>1548</v>
      </c>
      <c r="S152" s="248">
        <v>103846556</v>
      </c>
      <c r="T152" s="214" t="s">
        <v>1039</v>
      </c>
    </row>
    <row r="153" spans="1:20" ht="19">
      <c r="A153" s="214">
        <v>147</v>
      </c>
      <c r="B153" s="217">
        <v>45915</v>
      </c>
      <c r="C153" s="218" t="s">
        <v>1585</v>
      </c>
      <c r="D153" s="218" t="s">
        <v>1586</v>
      </c>
      <c r="E153" s="241">
        <v>985070778</v>
      </c>
      <c r="F153" s="240" t="s">
        <v>1040</v>
      </c>
      <c r="G153" s="241">
        <v>111000051</v>
      </c>
      <c r="H153" s="233" t="str">
        <f t="shared" si="6"/>
        <v>HLB 8416 "AIR FRY" - HORNO ELEC</v>
      </c>
      <c r="I153" s="214" t="s">
        <v>1550</v>
      </c>
      <c r="J153" s="219" t="s">
        <v>1085</v>
      </c>
      <c r="K153" s="244">
        <v>45493</v>
      </c>
      <c r="L153" s="240" t="s">
        <v>25</v>
      </c>
      <c r="M153" s="240" t="s">
        <v>24</v>
      </c>
      <c r="N153" s="240" t="s">
        <v>24</v>
      </c>
      <c r="O153" s="219" t="s">
        <v>1584</v>
      </c>
      <c r="P153" s="222"/>
      <c r="Q153" s="216">
        <f t="shared" si="5"/>
        <v>45914</v>
      </c>
      <c r="R153" s="247" t="s">
        <v>1587</v>
      </c>
      <c r="S153" s="248">
        <v>961550209</v>
      </c>
      <c r="T153" s="214" t="s">
        <v>1039</v>
      </c>
    </row>
    <row r="154" spans="1:20" ht="19">
      <c r="A154" s="214">
        <v>148</v>
      </c>
      <c r="B154" s="217">
        <v>45915</v>
      </c>
      <c r="C154" s="218" t="s">
        <v>1585</v>
      </c>
      <c r="D154" s="218" t="s">
        <v>1586</v>
      </c>
      <c r="E154" s="241">
        <v>985070778</v>
      </c>
      <c r="F154" s="240" t="s">
        <v>1040</v>
      </c>
      <c r="G154" s="241">
        <v>112500046</v>
      </c>
      <c r="H154" s="233" t="str">
        <f t="shared" si="6"/>
        <v>IZF 88700 MST COCINA INDUCCION</v>
      </c>
      <c r="I154" s="214" t="s">
        <v>1550</v>
      </c>
      <c r="J154" s="219" t="s">
        <v>1085</v>
      </c>
      <c r="K154" s="244">
        <v>45493</v>
      </c>
      <c r="L154" s="240" t="s">
        <v>25</v>
      </c>
      <c r="M154" s="240" t="s">
        <v>24</v>
      </c>
      <c r="N154" s="240" t="s">
        <v>24</v>
      </c>
      <c r="O154" s="219" t="s">
        <v>1588</v>
      </c>
      <c r="P154" s="222"/>
      <c r="Q154" s="216">
        <f t="shared" si="5"/>
        <v>45914</v>
      </c>
      <c r="R154" s="247" t="s">
        <v>1587</v>
      </c>
      <c r="S154" s="248">
        <v>961550209</v>
      </c>
      <c r="T154" s="214" t="s">
        <v>1039</v>
      </c>
    </row>
    <row r="155" spans="1:20" ht="19">
      <c r="A155" s="214">
        <v>149</v>
      </c>
      <c r="B155" s="217">
        <v>45915</v>
      </c>
      <c r="C155" s="218" t="s">
        <v>1594</v>
      </c>
      <c r="D155" s="218" t="s">
        <v>1595</v>
      </c>
      <c r="E155" s="241">
        <v>987434558</v>
      </c>
      <c r="F155" s="240" t="s">
        <v>1040</v>
      </c>
      <c r="G155" s="241">
        <v>112570124</v>
      </c>
      <c r="H155" s="233" t="str">
        <f t="shared" si="6"/>
        <v>JZC 64322 ABB BK (LAT) COCINA MIXTA GAS - INDUCCION</v>
      </c>
      <c r="I155" s="214" t="s">
        <v>1550</v>
      </c>
      <c r="J155" s="219" t="s">
        <v>1101</v>
      </c>
      <c r="K155" s="244">
        <v>45594</v>
      </c>
      <c r="L155" s="240" t="s">
        <v>25</v>
      </c>
      <c r="M155" s="240" t="s">
        <v>24</v>
      </c>
      <c r="N155" s="240" t="s">
        <v>24</v>
      </c>
      <c r="O155" s="219" t="s">
        <v>1590</v>
      </c>
      <c r="P155" s="222"/>
      <c r="Q155" s="216">
        <f t="shared" si="5"/>
        <v>45914</v>
      </c>
      <c r="R155" s="247" t="s">
        <v>1596</v>
      </c>
      <c r="S155" s="248">
        <v>987434558</v>
      </c>
      <c r="T155" s="214" t="s">
        <v>1039</v>
      </c>
    </row>
    <row r="156" spans="1:20" ht="19">
      <c r="A156" s="214">
        <v>150</v>
      </c>
      <c r="B156" s="217">
        <v>45915</v>
      </c>
      <c r="C156" s="218" t="s">
        <v>1594</v>
      </c>
      <c r="D156" s="218" t="s">
        <v>1595</v>
      </c>
      <c r="E156" s="241">
        <v>987434558</v>
      </c>
      <c r="F156" s="240" t="s">
        <v>1040</v>
      </c>
      <c r="G156" s="241">
        <v>41560074</v>
      </c>
      <c r="H156" s="233" t="str">
        <f t="shared" si="6"/>
        <v>HLB 840 INOX HORNO ELEC</v>
      </c>
      <c r="I156" s="214" t="s">
        <v>1550</v>
      </c>
      <c r="J156" s="219" t="s">
        <v>1101</v>
      </c>
      <c r="K156" s="244">
        <v>45594</v>
      </c>
      <c r="L156" s="240" t="s">
        <v>25</v>
      </c>
      <c r="M156" s="240" t="s">
        <v>24</v>
      </c>
      <c r="N156" s="240" t="s">
        <v>24</v>
      </c>
      <c r="O156" s="219" t="s">
        <v>1591</v>
      </c>
      <c r="P156" s="222"/>
      <c r="Q156" s="216">
        <f t="shared" si="5"/>
        <v>45914</v>
      </c>
      <c r="R156" s="247" t="s">
        <v>1596</v>
      </c>
      <c r="S156" s="248">
        <v>987434558</v>
      </c>
      <c r="T156" s="214" t="s">
        <v>1039</v>
      </c>
    </row>
    <row r="157" spans="1:20" ht="19">
      <c r="A157" s="214">
        <v>151</v>
      </c>
      <c r="B157" s="217">
        <v>45915</v>
      </c>
      <c r="C157" s="218" t="s">
        <v>1594</v>
      </c>
      <c r="D157" s="218" t="s">
        <v>1595</v>
      </c>
      <c r="E157" s="241">
        <v>987434558</v>
      </c>
      <c r="F157" s="240" t="s">
        <v>1040</v>
      </c>
      <c r="G157" s="241">
        <v>40584012</v>
      </c>
      <c r="H157" s="233" t="str">
        <f t="shared" si="6"/>
        <v>MS 620 BIS - MICROONDAS</v>
      </c>
      <c r="I157" s="214" t="s">
        <v>1550</v>
      </c>
      <c r="J157" s="219" t="s">
        <v>1101</v>
      </c>
      <c r="K157" s="244">
        <v>45594</v>
      </c>
      <c r="L157" s="240" t="s">
        <v>25</v>
      </c>
      <c r="M157" s="240" t="s">
        <v>24</v>
      </c>
      <c r="N157" s="240" t="s">
        <v>24</v>
      </c>
      <c r="O157" s="219" t="s">
        <v>1592</v>
      </c>
      <c r="P157" s="222"/>
      <c r="Q157" s="216">
        <f t="shared" si="5"/>
        <v>45914</v>
      </c>
      <c r="R157" s="247" t="s">
        <v>1596</v>
      </c>
      <c r="S157" s="248">
        <v>987434558</v>
      </c>
      <c r="T157" s="214" t="s">
        <v>1039</v>
      </c>
    </row>
    <row r="158" spans="1:20" ht="19">
      <c r="A158" s="214">
        <v>152</v>
      </c>
      <c r="B158" s="217">
        <v>45915</v>
      </c>
      <c r="C158" s="218" t="s">
        <v>1594</v>
      </c>
      <c r="D158" s="218" t="s">
        <v>1595</v>
      </c>
      <c r="E158" s="241">
        <v>987434558</v>
      </c>
      <c r="F158" s="240" t="s">
        <v>1040</v>
      </c>
      <c r="G158" s="241">
        <v>40455334</v>
      </c>
      <c r="H158" s="233" t="str">
        <f t="shared" si="6"/>
        <v>NC 980 CRISTAL CAMPANA (110V-60HZ) C/KIT</v>
      </c>
      <c r="I158" s="214" t="s">
        <v>1550</v>
      </c>
      <c r="J158" s="219" t="s">
        <v>1101</v>
      </c>
      <c r="K158" s="244">
        <v>45594</v>
      </c>
      <c r="L158" s="240" t="s">
        <v>25</v>
      </c>
      <c r="M158" s="240" t="s">
        <v>24</v>
      </c>
      <c r="N158" s="240" t="s">
        <v>24</v>
      </c>
      <c r="O158" s="219" t="s">
        <v>1593</v>
      </c>
      <c r="P158" s="222"/>
      <c r="Q158" s="216">
        <f t="shared" si="5"/>
        <v>45914</v>
      </c>
      <c r="R158" s="247" t="s">
        <v>1596</v>
      </c>
      <c r="S158" s="248">
        <v>987434558</v>
      </c>
      <c r="T158" s="214" t="s">
        <v>1039</v>
      </c>
    </row>
    <row r="159" spans="1:20" ht="19">
      <c r="A159" s="214">
        <v>153</v>
      </c>
      <c r="B159" s="246">
        <v>45915</v>
      </c>
      <c r="C159" s="237" t="s">
        <v>1540</v>
      </c>
      <c r="D159" s="237" t="s">
        <v>1541</v>
      </c>
      <c r="E159" s="243">
        <v>998474535</v>
      </c>
      <c r="F159" s="240" t="s">
        <v>1040</v>
      </c>
      <c r="G159" s="243">
        <v>112510035</v>
      </c>
      <c r="H159" s="233" t="str">
        <f t="shared" si="6"/>
        <v>IZF 64440 MSP BK COCINA INDUCCION</v>
      </c>
      <c r="I159" s="214" t="s">
        <v>1550</v>
      </c>
      <c r="J159" s="237" t="s">
        <v>1054</v>
      </c>
      <c r="K159" s="246">
        <v>45236</v>
      </c>
      <c r="L159" s="240" t="s">
        <v>25</v>
      </c>
      <c r="M159" s="240" t="s">
        <v>24</v>
      </c>
      <c r="N159" s="240" t="s">
        <v>24</v>
      </c>
      <c r="O159" s="237" t="s">
        <v>1539</v>
      </c>
      <c r="P159" s="222"/>
      <c r="Q159" s="216">
        <f t="shared" si="5"/>
        <v>45914</v>
      </c>
      <c r="R159" s="249" t="s">
        <v>1394</v>
      </c>
      <c r="S159" s="251" t="s">
        <v>1542</v>
      </c>
      <c r="T159" s="214" t="s">
        <v>1039</v>
      </c>
    </row>
    <row r="160" spans="1:20" ht="19">
      <c r="A160" s="214">
        <v>154</v>
      </c>
      <c r="B160" s="246">
        <v>45915</v>
      </c>
      <c r="C160" s="237" t="s">
        <v>1621</v>
      </c>
      <c r="D160" s="237" t="s">
        <v>1622</v>
      </c>
      <c r="E160" s="243">
        <v>102929418</v>
      </c>
      <c r="F160" s="240" t="s">
        <v>1040</v>
      </c>
      <c r="G160" s="243">
        <v>40466241</v>
      </c>
      <c r="H160" s="233" t="str">
        <f t="shared" si="6"/>
        <v>C 9310 INOX CAMPANA (110V-60HZ) C/KIT</v>
      </c>
      <c r="I160" s="214" t="s">
        <v>1550</v>
      </c>
      <c r="J160" s="237" t="s">
        <v>1045</v>
      </c>
      <c r="K160" s="246">
        <v>45908</v>
      </c>
      <c r="L160" s="240" t="s">
        <v>25</v>
      </c>
      <c r="M160" s="240" t="s">
        <v>24</v>
      </c>
      <c r="N160" s="240" t="s">
        <v>24</v>
      </c>
      <c r="O160" s="237" t="s">
        <v>1620</v>
      </c>
      <c r="P160" s="222"/>
      <c r="Q160" s="216">
        <f t="shared" si="5"/>
        <v>45914</v>
      </c>
      <c r="R160" s="249" t="s">
        <v>1624</v>
      </c>
      <c r="S160" s="251" t="s">
        <v>1623</v>
      </c>
      <c r="T160" s="214" t="s">
        <v>1039</v>
      </c>
    </row>
    <row r="161" spans="1:20" ht="19">
      <c r="A161" s="214">
        <v>155</v>
      </c>
      <c r="B161" s="217">
        <v>45916</v>
      </c>
      <c r="C161" s="218" t="s">
        <v>1602</v>
      </c>
      <c r="D161" s="218" t="s">
        <v>1603</v>
      </c>
      <c r="E161" s="241">
        <v>987249941</v>
      </c>
      <c r="F161" s="240" t="s">
        <v>1040</v>
      </c>
      <c r="G161" s="241">
        <v>112570124</v>
      </c>
      <c r="H161" s="233" t="str">
        <f t="shared" si="6"/>
        <v>JZC 64322 ABB BK (LAT) COCINA MIXTA GAS - INDUCCION</v>
      </c>
      <c r="I161" s="214" t="s">
        <v>1550</v>
      </c>
      <c r="J161" s="219" t="s">
        <v>1054</v>
      </c>
      <c r="K161" s="244">
        <v>45913</v>
      </c>
      <c r="L161" s="240" t="s">
        <v>25</v>
      </c>
      <c r="M161" s="240" t="s">
        <v>24</v>
      </c>
      <c r="N161" s="240" t="s">
        <v>24</v>
      </c>
      <c r="O161" s="219" t="s">
        <v>1598</v>
      </c>
      <c r="P161" s="222"/>
      <c r="Q161" s="216">
        <f t="shared" si="5"/>
        <v>45915</v>
      </c>
      <c r="R161" s="247" t="s">
        <v>1604</v>
      </c>
      <c r="S161" s="248">
        <v>987249941</v>
      </c>
      <c r="T161" s="214" t="s">
        <v>1039</v>
      </c>
    </row>
    <row r="162" spans="1:20" ht="19">
      <c r="A162" s="214">
        <v>156</v>
      </c>
      <c r="B162" s="217">
        <v>45916</v>
      </c>
      <c r="C162" s="218" t="s">
        <v>1602</v>
      </c>
      <c r="D162" s="218" t="s">
        <v>1603</v>
      </c>
      <c r="E162" s="241">
        <v>987249941</v>
      </c>
      <c r="F162" s="240" t="s">
        <v>1040</v>
      </c>
      <c r="G162" s="241">
        <v>112030019</v>
      </c>
      <c r="H162" s="233" t="str">
        <f t="shared" si="6"/>
        <v>ML 8220 BIS FBK- MICROONDAS</v>
      </c>
      <c r="I162" s="214" t="s">
        <v>1550</v>
      </c>
      <c r="J162" s="219" t="s">
        <v>1054</v>
      </c>
      <c r="K162" s="244">
        <v>45913</v>
      </c>
      <c r="L162" s="240" t="s">
        <v>25</v>
      </c>
      <c r="M162" s="240" t="s">
        <v>24</v>
      </c>
      <c r="N162" s="240" t="s">
        <v>24</v>
      </c>
      <c r="O162" s="219" t="s">
        <v>1599</v>
      </c>
      <c r="P162" s="222"/>
      <c r="Q162" s="216">
        <f t="shared" si="5"/>
        <v>45915</v>
      </c>
      <c r="R162" s="247" t="s">
        <v>1604</v>
      </c>
      <c r="S162" s="248">
        <v>987249941</v>
      </c>
      <c r="T162" s="214" t="s">
        <v>1039</v>
      </c>
    </row>
    <row r="163" spans="1:20" ht="19">
      <c r="A163" s="214">
        <v>157</v>
      </c>
      <c r="B163" s="217">
        <v>45916</v>
      </c>
      <c r="C163" s="218" t="s">
        <v>1602</v>
      </c>
      <c r="D163" s="218" t="s">
        <v>1603</v>
      </c>
      <c r="E163" s="241">
        <v>987249941</v>
      </c>
      <c r="F163" s="240" t="s">
        <v>1040</v>
      </c>
      <c r="G163" s="241">
        <v>111000078</v>
      </c>
      <c r="H163" s="233" t="str">
        <f t="shared" si="6"/>
        <v>HLB 8400 FBK HORNO ELEC</v>
      </c>
      <c r="I163" s="214" t="s">
        <v>1550</v>
      </c>
      <c r="J163" s="219" t="s">
        <v>1054</v>
      </c>
      <c r="K163" s="244">
        <v>45913</v>
      </c>
      <c r="L163" s="240" t="s">
        <v>25</v>
      </c>
      <c r="M163" s="240" t="s">
        <v>24</v>
      </c>
      <c r="N163" s="240" t="s">
        <v>24</v>
      </c>
      <c r="O163" s="219" t="s">
        <v>1600</v>
      </c>
      <c r="P163" s="222"/>
      <c r="Q163" s="216">
        <f t="shared" si="5"/>
        <v>45915</v>
      </c>
      <c r="R163" s="247" t="s">
        <v>1604</v>
      </c>
      <c r="S163" s="248">
        <v>987249941</v>
      </c>
      <c r="T163" s="214" t="s">
        <v>1039</v>
      </c>
    </row>
    <row r="164" spans="1:20" ht="19" customHeight="1">
      <c r="A164" s="214">
        <v>158</v>
      </c>
      <c r="B164" s="217">
        <v>45916</v>
      </c>
      <c r="C164" s="218" t="s">
        <v>1602</v>
      </c>
      <c r="D164" s="218" t="s">
        <v>1603</v>
      </c>
      <c r="E164" s="241">
        <v>987249941</v>
      </c>
      <c r="F164" s="240" t="s">
        <v>1040</v>
      </c>
      <c r="G164" s="241">
        <v>112950019</v>
      </c>
      <c r="H164" s="233" t="str">
        <f t="shared" si="6"/>
        <v>DVN 64030 TCL BK CAMPANA (110V-60HZ) C/KIT</v>
      </c>
      <c r="I164" s="214" t="s">
        <v>1550</v>
      </c>
      <c r="J164" s="219" t="s">
        <v>1054</v>
      </c>
      <c r="K164" s="244">
        <v>45913</v>
      </c>
      <c r="L164" s="240" t="s">
        <v>25</v>
      </c>
      <c r="M164" s="240" t="s">
        <v>24</v>
      </c>
      <c r="N164" s="240" t="s">
        <v>24</v>
      </c>
      <c r="O164" s="219" t="s">
        <v>1601</v>
      </c>
      <c r="P164" s="222"/>
      <c r="Q164" s="216">
        <f t="shared" si="5"/>
        <v>45915</v>
      </c>
      <c r="R164" s="247" t="s">
        <v>1604</v>
      </c>
      <c r="S164" s="248">
        <v>987249941</v>
      </c>
      <c r="T164" s="214" t="s">
        <v>1039</v>
      </c>
    </row>
    <row r="165" spans="1:20" ht="19">
      <c r="A165" s="214">
        <v>159</v>
      </c>
      <c r="B165" s="246">
        <v>45916</v>
      </c>
      <c r="C165" s="237" t="s">
        <v>1627</v>
      </c>
      <c r="D165" s="237" t="s">
        <v>1628</v>
      </c>
      <c r="E165" s="243">
        <v>102185345</v>
      </c>
      <c r="F165" s="240" t="s">
        <v>1040</v>
      </c>
      <c r="G165" s="243">
        <v>112950021</v>
      </c>
      <c r="H165" s="233" t="str">
        <f t="shared" si="6"/>
        <v>DVN 94030 TCL BK CAMPANA (110V-60HZ) C/KIT</v>
      </c>
      <c r="I165" s="214" t="s">
        <v>1550</v>
      </c>
      <c r="J165" s="237" t="s">
        <v>1054</v>
      </c>
      <c r="K165" s="246">
        <v>45835</v>
      </c>
      <c r="L165" s="240" t="s">
        <v>25</v>
      </c>
      <c r="M165" s="240" t="s">
        <v>24</v>
      </c>
      <c r="N165" s="240" t="s">
        <v>24</v>
      </c>
      <c r="O165" s="237" t="s">
        <v>1626</v>
      </c>
      <c r="P165" s="222"/>
      <c r="Q165" s="216">
        <f t="shared" si="5"/>
        <v>45915</v>
      </c>
      <c r="R165" s="249" t="s">
        <v>1630</v>
      </c>
      <c r="S165" s="251" t="s">
        <v>1629</v>
      </c>
      <c r="T165" s="214" t="s">
        <v>1039</v>
      </c>
    </row>
    <row r="166" spans="1:20" ht="19">
      <c r="A166" s="214">
        <v>160</v>
      </c>
      <c r="B166" s="246">
        <v>45916</v>
      </c>
      <c r="C166" s="237" t="s">
        <v>1634</v>
      </c>
      <c r="D166" s="237" t="s">
        <v>1426</v>
      </c>
      <c r="E166" s="243">
        <v>101008829</v>
      </c>
      <c r="F166" s="240" t="s">
        <v>1040</v>
      </c>
      <c r="G166" s="243">
        <v>40466111</v>
      </c>
      <c r="H166" s="233" t="str">
        <f t="shared" si="6"/>
        <v>C 910 NEGRA CAMPANA (110V-60HZ) C/KIT</v>
      </c>
      <c r="I166" s="214" t="s">
        <v>1550</v>
      </c>
      <c r="J166" s="237" t="s">
        <v>1054</v>
      </c>
      <c r="K166" s="246">
        <v>45912</v>
      </c>
      <c r="L166" s="240" t="s">
        <v>25</v>
      </c>
      <c r="M166" s="240" t="s">
        <v>24</v>
      </c>
      <c r="N166" s="240" t="s">
        <v>24</v>
      </c>
      <c r="O166" s="237" t="s">
        <v>1633</v>
      </c>
      <c r="P166" s="222"/>
      <c r="Q166" s="216">
        <f t="shared" si="5"/>
        <v>45915</v>
      </c>
      <c r="R166" s="249" t="s">
        <v>1631</v>
      </c>
      <c r="S166" s="251" t="s">
        <v>1635</v>
      </c>
      <c r="T166" s="214" t="s">
        <v>1039</v>
      </c>
    </row>
    <row r="167" spans="1:20" ht="19">
      <c r="A167" s="214">
        <v>161</v>
      </c>
      <c r="B167" s="246">
        <v>45916</v>
      </c>
      <c r="C167" s="237" t="s">
        <v>1639</v>
      </c>
      <c r="D167" s="237" t="s">
        <v>1640</v>
      </c>
      <c r="E167" s="243">
        <v>100031095</v>
      </c>
      <c r="F167" s="240" t="s">
        <v>1040</v>
      </c>
      <c r="G167" s="243">
        <v>40197255</v>
      </c>
      <c r="H167" s="233" t="str">
        <f t="shared" si="6"/>
        <v>TR 710.1 TRITURADOR</v>
      </c>
      <c r="I167" s="214" t="s">
        <v>1550</v>
      </c>
      <c r="J167" s="237" t="s">
        <v>1636</v>
      </c>
      <c r="K167" s="246">
        <v>45916</v>
      </c>
      <c r="L167" s="240" t="s">
        <v>25</v>
      </c>
      <c r="M167" s="240" t="s">
        <v>24</v>
      </c>
      <c r="N167" s="240" t="s">
        <v>24</v>
      </c>
      <c r="O167" s="237" t="s">
        <v>1638</v>
      </c>
      <c r="P167" s="222"/>
      <c r="Q167" s="216">
        <f t="shared" si="5"/>
        <v>45915</v>
      </c>
      <c r="R167" s="249" t="s">
        <v>1642</v>
      </c>
      <c r="S167" s="251" t="s">
        <v>1641</v>
      </c>
      <c r="T167" s="214" t="s">
        <v>1039</v>
      </c>
    </row>
    <row r="168" spans="1:20" ht="19">
      <c r="A168" s="214">
        <v>162</v>
      </c>
      <c r="B168" s="246">
        <v>45916</v>
      </c>
      <c r="C168" s="237" t="s">
        <v>1645</v>
      </c>
      <c r="D168" s="237" t="s">
        <v>1646</v>
      </c>
      <c r="E168" s="243">
        <v>703744532</v>
      </c>
      <c r="F168" s="240" t="s">
        <v>1040</v>
      </c>
      <c r="G168" s="243">
        <v>40466241</v>
      </c>
      <c r="H168" s="233" t="str">
        <f t="shared" si="6"/>
        <v>C 9310 INOX CAMPANA (110V-60HZ) C/KIT</v>
      </c>
      <c r="I168" s="214" t="s">
        <v>1550</v>
      </c>
      <c r="J168" s="237" t="s">
        <v>1045</v>
      </c>
      <c r="K168" s="246">
        <v>45910</v>
      </c>
      <c r="L168" s="240" t="s">
        <v>25</v>
      </c>
      <c r="M168" s="240" t="s">
        <v>24</v>
      </c>
      <c r="N168" s="240" t="s">
        <v>24</v>
      </c>
      <c r="O168" s="237" t="s">
        <v>1644</v>
      </c>
      <c r="P168" s="222"/>
      <c r="Q168" s="216">
        <f t="shared" si="5"/>
        <v>45915</v>
      </c>
      <c r="R168" s="249" t="s">
        <v>1648</v>
      </c>
      <c r="S168" s="251" t="s">
        <v>1647</v>
      </c>
      <c r="T168" s="214" t="s">
        <v>1039</v>
      </c>
    </row>
    <row r="169" spans="1:20" ht="19">
      <c r="A169" s="214">
        <v>163</v>
      </c>
      <c r="B169" s="286">
        <v>45916</v>
      </c>
      <c r="C169" s="238" t="s">
        <v>1523</v>
      </c>
      <c r="D169" s="238" t="s">
        <v>1524</v>
      </c>
      <c r="E169" s="254">
        <v>998077046</v>
      </c>
      <c r="F169" s="240" t="s">
        <v>1661</v>
      </c>
      <c r="G169" s="243">
        <v>111570002</v>
      </c>
      <c r="H169" s="233" t="str">
        <f t="shared" si="6"/>
        <v>COCINA GOURMET BBQ 3100 G BK-SS</v>
      </c>
      <c r="I169" s="214" t="s">
        <v>1550</v>
      </c>
      <c r="J169" s="237" t="s">
        <v>1045</v>
      </c>
      <c r="K169" s="224">
        <v>45911</v>
      </c>
      <c r="L169" s="240"/>
      <c r="M169" s="240"/>
      <c r="N169" s="240"/>
      <c r="O169" s="239" t="s">
        <v>1522</v>
      </c>
      <c r="P169" s="222"/>
      <c r="Q169" s="216">
        <f t="shared" si="5"/>
        <v>45915</v>
      </c>
      <c r="R169" s="252" t="s">
        <v>1526</v>
      </c>
      <c r="S169" s="253" t="s">
        <v>1525</v>
      </c>
      <c r="T169" s="214" t="s">
        <v>1039</v>
      </c>
    </row>
    <row r="170" spans="1:20" ht="19">
      <c r="A170" s="214">
        <v>164</v>
      </c>
      <c r="B170" s="217">
        <v>45917</v>
      </c>
      <c r="C170" s="218" t="s">
        <v>1608</v>
      </c>
      <c r="D170" s="218" t="s">
        <v>1609</v>
      </c>
      <c r="E170" s="241">
        <v>998676831</v>
      </c>
      <c r="F170" s="240" t="s">
        <v>1040</v>
      </c>
      <c r="G170" s="241">
        <v>111000051</v>
      </c>
      <c r="H170" s="233" t="str">
        <f t="shared" si="6"/>
        <v>HLB 8416 "AIR FRY" - HORNO ELEC</v>
      </c>
      <c r="I170" s="214" t="s">
        <v>1550</v>
      </c>
      <c r="J170" s="219" t="s">
        <v>1054</v>
      </c>
      <c r="K170" s="244">
        <v>45822</v>
      </c>
      <c r="L170" s="240" t="s">
        <v>25</v>
      </c>
      <c r="M170" s="240" t="s">
        <v>24</v>
      </c>
      <c r="N170" s="240" t="s">
        <v>24</v>
      </c>
      <c r="O170" s="219" t="s">
        <v>1606</v>
      </c>
      <c r="P170" s="222"/>
      <c r="Q170" s="216">
        <f t="shared" si="5"/>
        <v>45916</v>
      </c>
      <c r="R170" s="247" t="s">
        <v>1610</v>
      </c>
      <c r="S170" s="248">
        <v>998676831</v>
      </c>
      <c r="T170" s="214" t="s">
        <v>1039</v>
      </c>
    </row>
    <row r="171" spans="1:20" ht="19">
      <c r="A171" s="214">
        <v>165</v>
      </c>
      <c r="B171" s="217">
        <v>45917</v>
      </c>
      <c r="C171" s="218" t="s">
        <v>1608</v>
      </c>
      <c r="D171" s="218" t="s">
        <v>1609</v>
      </c>
      <c r="E171" s="241">
        <v>998676831</v>
      </c>
      <c r="F171" s="240" t="s">
        <v>1040</v>
      </c>
      <c r="G171" s="241">
        <v>40584305</v>
      </c>
      <c r="H171" s="233" t="str">
        <f t="shared" si="6"/>
        <v>ML 822 BIS - MICROONDAS (112030008)</v>
      </c>
      <c r="I171" s="214" t="s">
        <v>1550</v>
      </c>
      <c r="J171" s="219" t="s">
        <v>1054</v>
      </c>
      <c r="K171" s="244">
        <v>45822</v>
      </c>
      <c r="L171" s="240" t="s">
        <v>25</v>
      </c>
      <c r="M171" s="240" t="s">
        <v>24</v>
      </c>
      <c r="N171" s="240" t="s">
        <v>24</v>
      </c>
      <c r="O171" s="219" t="s">
        <v>1607</v>
      </c>
      <c r="P171" s="222"/>
      <c r="Q171" s="216">
        <f t="shared" si="5"/>
        <v>45916</v>
      </c>
      <c r="R171" s="247" t="s">
        <v>1610</v>
      </c>
      <c r="S171" s="248">
        <v>998676831</v>
      </c>
      <c r="T171" s="214" t="s">
        <v>1039</v>
      </c>
    </row>
    <row r="172" spans="1:20" ht="19">
      <c r="A172" s="214">
        <v>166</v>
      </c>
      <c r="B172" s="217">
        <v>45917</v>
      </c>
      <c r="C172" s="218" t="s">
        <v>1616</v>
      </c>
      <c r="D172" s="218" t="s">
        <v>1617</v>
      </c>
      <c r="E172" s="241">
        <v>979125666</v>
      </c>
      <c r="F172" s="240" t="s">
        <v>1040</v>
      </c>
      <c r="G172" s="241">
        <v>111010028</v>
      </c>
      <c r="H172" s="233" t="str">
        <f t="shared" si="6"/>
        <v>HSB 646 "AIRFRY" - HORNO ELEC</v>
      </c>
      <c r="I172" s="214" t="s">
        <v>1550</v>
      </c>
      <c r="J172" s="219" t="s">
        <v>1054</v>
      </c>
      <c r="K172" s="244">
        <v>45517</v>
      </c>
      <c r="L172" s="240" t="s">
        <v>25</v>
      </c>
      <c r="M172" s="240" t="s">
        <v>24</v>
      </c>
      <c r="N172" s="240" t="s">
        <v>24</v>
      </c>
      <c r="O172" s="219" t="s">
        <v>1612</v>
      </c>
      <c r="P172" s="222"/>
      <c r="Q172" s="216">
        <f t="shared" si="5"/>
        <v>45916</v>
      </c>
      <c r="R172" s="247" t="s">
        <v>1618</v>
      </c>
      <c r="S172" s="248">
        <v>566886093</v>
      </c>
      <c r="T172" s="214" t="s">
        <v>1039</v>
      </c>
    </row>
    <row r="173" spans="1:20" ht="19">
      <c r="A173" s="214">
        <v>167</v>
      </c>
      <c r="B173" s="217">
        <v>45917</v>
      </c>
      <c r="C173" s="218" t="s">
        <v>1616</v>
      </c>
      <c r="D173" s="218" t="s">
        <v>1617</v>
      </c>
      <c r="E173" s="241">
        <v>979125666</v>
      </c>
      <c r="F173" s="240" t="s">
        <v>1040</v>
      </c>
      <c r="G173" s="241">
        <v>112520025</v>
      </c>
      <c r="H173" s="233" t="str">
        <f t="shared" si="6"/>
        <v>IZC 64010 MSS COCINA INDUCCION</v>
      </c>
      <c r="I173" s="214" t="s">
        <v>1550</v>
      </c>
      <c r="J173" s="219" t="s">
        <v>1054</v>
      </c>
      <c r="K173" s="244">
        <v>45517</v>
      </c>
      <c r="L173" s="240" t="s">
        <v>25</v>
      </c>
      <c r="M173" s="240" t="s">
        <v>24</v>
      </c>
      <c r="N173" s="240" t="s">
        <v>24</v>
      </c>
      <c r="O173" s="219" t="s">
        <v>1613</v>
      </c>
      <c r="P173" s="222"/>
      <c r="Q173" s="216">
        <f t="shared" si="5"/>
        <v>45916</v>
      </c>
      <c r="R173" s="247" t="s">
        <v>1618</v>
      </c>
      <c r="S173" s="248">
        <v>566886093</v>
      </c>
      <c r="T173" s="214" t="s">
        <v>1039</v>
      </c>
    </row>
    <row r="174" spans="1:20" ht="19">
      <c r="A174" s="214">
        <v>168</v>
      </c>
      <c r="B174" s="217">
        <v>45917</v>
      </c>
      <c r="C174" s="218" t="s">
        <v>1616</v>
      </c>
      <c r="D174" s="218" t="s">
        <v>1617</v>
      </c>
      <c r="E174" s="241">
        <v>979125666</v>
      </c>
      <c r="F174" s="240" t="s">
        <v>1040</v>
      </c>
      <c r="G174" s="241">
        <v>40460410</v>
      </c>
      <c r="H174" s="233" t="str">
        <f t="shared" si="6"/>
        <v>DBB 60 INOX CAMPANA (110V-60HZ) C/KIT</v>
      </c>
      <c r="I174" s="214" t="s">
        <v>1550</v>
      </c>
      <c r="J174" s="219" t="s">
        <v>1054</v>
      </c>
      <c r="K174" s="244">
        <v>45517</v>
      </c>
      <c r="L174" s="240" t="s">
        <v>25</v>
      </c>
      <c r="M174" s="240" t="s">
        <v>24</v>
      </c>
      <c r="N174" s="240" t="s">
        <v>24</v>
      </c>
      <c r="O174" s="219" t="s">
        <v>1614</v>
      </c>
      <c r="P174" s="222"/>
      <c r="Q174" s="216">
        <f t="shared" si="5"/>
        <v>45916</v>
      </c>
      <c r="R174" s="247" t="s">
        <v>1618</v>
      </c>
      <c r="S174" s="248">
        <v>566886093</v>
      </c>
      <c r="T174" s="214" t="s">
        <v>1039</v>
      </c>
    </row>
    <row r="175" spans="1:20" ht="19">
      <c r="A175" s="214">
        <v>169</v>
      </c>
      <c r="B175" s="217">
        <v>45917</v>
      </c>
      <c r="C175" s="218" t="s">
        <v>1616</v>
      </c>
      <c r="D175" s="218" t="s">
        <v>1617</v>
      </c>
      <c r="E175" s="241">
        <v>979125666</v>
      </c>
      <c r="F175" s="240" t="s">
        <v>1040</v>
      </c>
      <c r="G175" s="241">
        <v>40782128</v>
      </c>
      <c r="H175" s="233" t="str">
        <f t="shared" si="6"/>
        <v>DW8 57 FIM-D LAVAVAJILLAS</v>
      </c>
      <c r="I175" s="214" t="s">
        <v>1550</v>
      </c>
      <c r="J175" s="219" t="s">
        <v>1054</v>
      </c>
      <c r="K175" s="244">
        <v>45517</v>
      </c>
      <c r="L175" s="240" t="s">
        <v>25</v>
      </c>
      <c r="M175" s="240" t="s">
        <v>24</v>
      </c>
      <c r="N175" s="240" t="s">
        <v>24</v>
      </c>
      <c r="O175" s="219" t="s">
        <v>1615</v>
      </c>
      <c r="P175" s="222"/>
      <c r="Q175" s="216">
        <f t="shared" si="5"/>
        <v>45916</v>
      </c>
      <c r="R175" s="247" t="s">
        <v>1618</v>
      </c>
      <c r="S175" s="248">
        <v>566886093</v>
      </c>
      <c r="T175" s="214" t="s">
        <v>1039</v>
      </c>
    </row>
    <row r="176" spans="1:20" ht="19">
      <c r="A176" s="214">
        <v>170</v>
      </c>
      <c r="B176" s="272">
        <v>45917</v>
      </c>
      <c r="C176" s="269" t="s">
        <v>1651</v>
      </c>
      <c r="D176" s="269" t="s">
        <v>1652</v>
      </c>
      <c r="E176" s="270">
        <v>105762637</v>
      </c>
      <c r="F176" s="240" t="s">
        <v>1040</v>
      </c>
      <c r="G176" s="270">
        <v>112580017</v>
      </c>
      <c r="H176" s="271" t="str">
        <f t="shared" si="6"/>
        <v>GBC 64000 KBB CRISTAL COCINA GAS</v>
      </c>
      <c r="I176" s="214" t="s">
        <v>1550</v>
      </c>
      <c r="J176" s="269" t="s">
        <v>1045</v>
      </c>
      <c r="K176" s="272">
        <v>45896</v>
      </c>
      <c r="L176" s="240" t="s">
        <v>25</v>
      </c>
      <c r="M176" s="240" t="s">
        <v>24</v>
      </c>
      <c r="N176" s="240" t="s">
        <v>24</v>
      </c>
      <c r="O176" s="269" t="s">
        <v>1650</v>
      </c>
      <c r="P176" s="222"/>
      <c r="Q176" s="216">
        <f t="shared" si="5"/>
        <v>45916</v>
      </c>
      <c r="R176" s="249" t="s">
        <v>1654</v>
      </c>
      <c r="S176" s="251" t="s">
        <v>1653</v>
      </c>
      <c r="T176" s="214" t="s">
        <v>1039</v>
      </c>
    </row>
    <row r="177" spans="1:20" ht="19">
      <c r="A177" s="214">
        <v>171</v>
      </c>
      <c r="B177" s="273">
        <v>45918</v>
      </c>
      <c r="C177" s="274" t="s">
        <v>1676</v>
      </c>
      <c r="D177" s="274" t="s">
        <v>1677</v>
      </c>
      <c r="E177" s="275">
        <v>987220702</v>
      </c>
      <c r="F177" s="240" t="s">
        <v>1040</v>
      </c>
      <c r="G177" s="275">
        <v>112580058</v>
      </c>
      <c r="H177" s="271" t="str">
        <f t="shared" si="6"/>
        <v>GBC 95030 KBB BK COCINA GAS</v>
      </c>
      <c r="I177" s="214" t="s">
        <v>1550</v>
      </c>
      <c r="J177" s="276" t="s">
        <v>1054</v>
      </c>
      <c r="K177" s="244">
        <v>45911</v>
      </c>
      <c r="L177" s="240" t="s">
        <v>25</v>
      </c>
      <c r="M177" s="240" t="s">
        <v>24</v>
      </c>
      <c r="N177" s="240" t="s">
        <v>24</v>
      </c>
      <c r="O177" s="276" t="s">
        <v>1674</v>
      </c>
      <c r="P177" s="214"/>
      <c r="Q177" s="216">
        <f t="shared" si="5"/>
        <v>45917</v>
      </c>
      <c r="R177" s="247" t="s">
        <v>1678</v>
      </c>
      <c r="S177" s="277">
        <v>104645924</v>
      </c>
      <c r="T177" s="214" t="s">
        <v>1039</v>
      </c>
    </row>
    <row r="178" spans="1:20" ht="19">
      <c r="A178" s="214">
        <v>172</v>
      </c>
      <c r="B178" s="273">
        <v>45918</v>
      </c>
      <c r="C178" s="274" t="s">
        <v>1676</v>
      </c>
      <c r="D178" s="274" t="s">
        <v>1677</v>
      </c>
      <c r="E178" s="275">
        <v>987220702</v>
      </c>
      <c r="F178" s="240" t="s">
        <v>1040</v>
      </c>
      <c r="G178" s="275">
        <v>111010040</v>
      </c>
      <c r="H178" s="271" t="str">
        <f t="shared" si="6"/>
        <v>HSB 610 NEGRO HORNO ELEC</v>
      </c>
      <c r="I178" s="214" t="s">
        <v>1550</v>
      </c>
      <c r="J178" s="276" t="s">
        <v>1054</v>
      </c>
      <c r="K178" s="244">
        <v>45911</v>
      </c>
      <c r="L178" s="240" t="s">
        <v>25</v>
      </c>
      <c r="M178" s="240" t="s">
        <v>24</v>
      </c>
      <c r="N178" s="240" t="s">
        <v>24</v>
      </c>
      <c r="O178" s="276" t="s">
        <v>1675</v>
      </c>
      <c r="P178" s="214"/>
      <c r="Q178" s="216">
        <f t="shared" si="5"/>
        <v>45917</v>
      </c>
      <c r="R178" s="247" t="s">
        <v>1678</v>
      </c>
      <c r="S178" s="277">
        <v>104645924</v>
      </c>
      <c r="T178" s="214" t="s">
        <v>1039</v>
      </c>
    </row>
    <row r="179" spans="1:20" ht="19">
      <c r="A179" s="214">
        <v>173</v>
      </c>
      <c r="B179" s="273">
        <v>45918</v>
      </c>
      <c r="C179" s="274" t="s">
        <v>1682</v>
      </c>
      <c r="D179" s="274" t="s">
        <v>1557</v>
      </c>
      <c r="E179" s="275">
        <v>984428725</v>
      </c>
      <c r="F179" s="240" t="s">
        <v>1040</v>
      </c>
      <c r="G179" s="275">
        <v>111010041</v>
      </c>
      <c r="H179" s="271" t="str">
        <f t="shared" si="6"/>
        <v>HSB 630 NEGRO HORNO ELEC</v>
      </c>
      <c r="I179" s="214" t="s">
        <v>1550</v>
      </c>
      <c r="J179" s="276" t="s">
        <v>1054</v>
      </c>
      <c r="K179" s="244">
        <v>45803</v>
      </c>
      <c r="L179" s="240" t="s">
        <v>25</v>
      </c>
      <c r="M179" s="240" t="s">
        <v>24</v>
      </c>
      <c r="N179" s="240" t="s">
        <v>24</v>
      </c>
      <c r="O179" s="278" t="s">
        <v>1680</v>
      </c>
      <c r="P179" s="214"/>
      <c r="Q179" s="216">
        <f t="shared" si="5"/>
        <v>45917</v>
      </c>
      <c r="R179" s="247" t="s">
        <v>1683</v>
      </c>
      <c r="S179" s="277">
        <v>104919964</v>
      </c>
      <c r="T179" s="214" t="s">
        <v>1039</v>
      </c>
    </row>
    <row r="180" spans="1:20" ht="19">
      <c r="A180" s="214">
        <v>174</v>
      </c>
      <c r="B180" s="273">
        <v>45918</v>
      </c>
      <c r="C180" s="274" t="s">
        <v>1682</v>
      </c>
      <c r="D180" s="274" t="s">
        <v>1557</v>
      </c>
      <c r="E180" s="275">
        <v>984428725</v>
      </c>
      <c r="F180" s="240" t="s">
        <v>1040</v>
      </c>
      <c r="G180" s="275">
        <v>112580058</v>
      </c>
      <c r="H180" s="271" t="str">
        <f t="shared" si="6"/>
        <v>GBC 95030 KBB BK COCINA GAS</v>
      </c>
      <c r="I180" s="214" t="s">
        <v>1550</v>
      </c>
      <c r="J180" s="276" t="s">
        <v>1054</v>
      </c>
      <c r="K180" s="244">
        <v>45803</v>
      </c>
      <c r="L180" s="240" t="s">
        <v>25</v>
      </c>
      <c r="M180" s="240" t="s">
        <v>24</v>
      </c>
      <c r="N180" s="240" t="s">
        <v>24</v>
      </c>
      <c r="O180" s="276" t="s">
        <v>1681</v>
      </c>
      <c r="P180" s="214"/>
      <c r="Q180" s="216">
        <f t="shared" si="5"/>
        <v>45917</v>
      </c>
      <c r="R180" s="247" t="s">
        <v>1683</v>
      </c>
      <c r="S180" s="277">
        <v>104919964</v>
      </c>
      <c r="T180" s="214" t="s">
        <v>1039</v>
      </c>
    </row>
    <row r="181" spans="1:20" ht="19">
      <c r="A181" s="214">
        <v>175</v>
      </c>
      <c r="B181" s="216">
        <v>45918</v>
      </c>
      <c r="C181" s="220" t="s">
        <v>1669</v>
      </c>
      <c r="D181" s="220" t="s">
        <v>1670</v>
      </c>
      <c r="E181" s="279" t="s">
        <v>1671</v>
      </c>
      <c r="F181" s="240" t="s">
        <v>1040</v>
      </c>
      <c r="G181" s="282">
        <v>112610068</v>
      </c>
      <c r="H181" s="271" t="str">
        <f t="shared" si="6"/>
        <v>GSC 95330 XBA IX (LAT) COCINA INOX</v>
      </c>
      <c r="I181" s="214" t="s">
        <v>1550</v>
      </c>
      <c r="J181" s="220" t="s">
        <v>1045</v>
      </c>
      <c r="K181" s="216">
        <v>45914</v>
      </c>
      <c r="L181" s="240" t="s">
        <v>25</v>
      </c>
      <c r="M181" s="240" t="s">
        <v>24</v>
      </c>
      <c r="N181" s="240" t="s">
        <v>24</v>
      </c>
      <c r="O181" s="220" t="s">
        <v>1668</v>
      </c>
      <c r="P181" s="214"/>
      <c r="Q181" s="216">
        <f t="shared" si="5"/>
        <v>45917</v>
      </c>
      <c r="R181" s="280" t="s">
        <v>1672</v>
      </c>
      <c r="S181" s="281" t="s">
        <v>1671</v>
      </c>
      <c r="T181" s="214" t="s">
        <v>1039</v>
      </c>
    </row>
    <row r="182" spans="1:20" ht="19">
      <c r="A182" s="214">
        <v>176</v>
      </c>
      <c r="B182" s="216">
        <v>45918</v>
      </c>
      <c r="C182" s="220" t="s">
        <v>1686</v>
      </c>
      <c r="D182" s="220" t="s">
        <v>1687</v>
      </c>
      <c r="E182" s="279" t="s">
        <v>1671</v>
      </c>
      <c r="F182" s="240" t="s">
        <v>1040</v>
      </c>
      <c r="G182" s="282">
        <v>112580017</v>
      </c>
      <c r="H182" s="271" t="str">
        <f t="shared" si="6"/>
        <v>GBC 64000 KBB CRISTAL COCINA GAS</v>
      </c>
      <c r="I182" s="214" t="s">
        <v>1550</v>
      </c>
      <c r="J182" s="220" t="s">
        <v>1045</v>
      </c>
      <c r="K182" s="216">
        <v>45884</v>
      </c>
      <c r="L182" s="240" t="s">
        <v>25</v>
      </c>
      <c r="M182" s="240" t="s">
        <v>24</v>
      </c>
      <c r="N182" s="240" t="s">
        <v>24</v>
      </c>
      <c r="O182" s="220" t="s">
        <v>1685</v>
      </c>
      <c r="P182" s="214"/>
      <c r="Q182" s="216">
        <f t="shared" si="5"/>
        <v>45917</v>
      </c>
      <c r="R182" s="280" t="s">
        <v>1672</v>
      </c>
      <c r="S182" s="281" t="s">
        <v>1671</v>
      </c>
      <c r="T182" s="214" t="s">
        <v>1039</v>
      </c>
    </row>
    <row r="183" spans="1:20" ht="19">
      <c r="A183" s="214">
        <v>177</v>
      </c>
      <c r="B183" s="216">
        <v>45918</v>
      </c>
      <c r="C183" s="220" t="s">
        <v>1695</v>
      </c>
      <c r="D183" s="220" t="s">
        <v>1696</v>
      </c>
      <c r="E183" s="279" t="s">
        <v>1126</v>
      </c>
      <c r="F183" s="240" t="s">
        <v>1693</v>
      </c>
      <c r="G183" s="285">
        <v>111570003</v>
      </c>
      <c r="H183" s="271" t="str">
        <f t="shared" ref="H183:H184" si="7">VLOOKUP(G183,PROD,2,FALSE)</f>
        <v>COCINA GOURMET BBQ 4100 G SS</v>
      </c>
      <c r="I183" s="214" t="s">
        <v>1550</v>
      </c>
      <c r="J183" s="276" t="s">
        <v>1054</v>
      </c>
      <c r="K183" s="216" t="s">
        <v>1694</v>
      </c>
      <c r="L183" s="240" t="s">
        <v>25</v>
      </c>
      <c r="M183" s="240" t="s">
        <v>24</v>
      </c>
      <c r="N183" s="240" t="s">
        <v>24</v>
      </c>
      <c r="O183" s="58" t="s">
        <v>1688</v>
      </c>
      <c r="P183" s="214"/>
      <c r="Q183" s="216">
        <v>45915</v>
      </c>
      <c r="R183" s="288" t="s">
        <v>1553</v>
      </c>
      <c r="S183" s="287" t="s">
        <v>1692</v>
      </c>
      <c r="T183" s="214" t="s">
        <v>1697</v>
      </c>
    </row>
    <row r="184" spans="1:20" ht="19">
      <c r="A184" s="214">
        <v>178</v>
      </c>
      <c r="B184" s="216">
        <v>45918</v>
      </c>
      <c r="C184" s="220" t="s">
        <v>1695</v>
      </c>
      <c r="D184" s="220" t="s">
        <v>1696</v>
      </c>
      <c r="E184" s="279" t="s">
        <v>1126</v>
      </c>
      <c r="F184" s="240" t="s">
        <v>1693</v>
      </c>
      <c r="G184" s="285">
        <v>112610067</v>
      </c>
      <c r="H184" s="271" t="str">
        <f t="shared" si="7"/>
        <v>GSC 96320 XBA IX (LAT) COCINA INOX</v>
      </c>
      <c r="I184" s="214" t="s">
        <v>1550</v>
      </c>
      <c r="J184" s="276" t="s">
        <v>1054</v>
      </c>
      <c r="K184" s="216">
        <v>45918</v>
      </c>
      <c r="L184" s="240" t="s">
        <v>25</v>
      </c>
      <c r="M184" s="240" t="s">
        <v>24</v>
      </c>
      <c r="N184" s="240" t="s">
        <v>24</v>
      </c>
      <c r="O184" s="58" t="s">
        <v>1689</v>
      </c>
      <c r="P184" s="214"/>
      <c r="Q184" s="216">
        <v>45915</v>
      </c>
      <c r="R184" s="288" t="s">
        <v>1553</v>
      </c>
      <c r="S184" s="287" t="s">
        <v>1692</v>
      </c>
      <c r="T184" s="214" t="s">
        <v>1697</v>
      </c>
    </row>
    <row r="185" spans="1:20">
      <c r="C185" s="193"/>
      <c r="D185" s="191"/>
    </row>
    <row r="186" spans="1:20">
      <c r="C186" s="193"/>
      <c r="D186" s="191"/>
    </row>
    <row r="187" spans="1:20">
      <c r="C187" s="193"/>
      <c r="D187" s="191"/>
    </row>
    <row r="188" spans="1:20">
      <c r="C188" s="193"/>
      <c r="D188" s="191"/>
    </row>
    <row r="189" spans="1:20">
      <c r="C189" s="193"/>
      <c r="D189" s="191"/>
    </row>
    <row r="190" spans="1:20">
      <c r="C190" s="194"/>
      <c r="D190" s="192"/>
    </row>
  </sheetData>
  <hyperlinks>
    <hyperlink ref="R47" r:id="rId1" xr:uid="{0DB04FB9-AD71-E14C-A980-FC20422B8F8B}"/>
    <hyperlink ref="R48:R52" r:id="rId2" display="VENTAS@COMERCIALSOLIS.COM.EC" xr:uid="{2390DD3C-EEB3-4949-8011-8B0EBE0D5E7C}"/>
    <hyperlink ref="R36" r:id="rId3" xr:uid="{714AA418-6722-3A44-928E-81A3F5860713}"/>
    <hyperlink ref="R151" r:id="rId4" xr:uid="{58CEC37C-5A4D-7744-8B4A-B9E563DF2AB8}"/>
    <hyperlink ref="R152" r:id="rId5" xr:uid="{4DF0853A-F994-E545-8B19-8D60566EC9B7}"/>
    <hyperlink ref="R145" r:id="rId6" xr:uid="{75AB1285-4868-9541-A35D-10B505757AD4}"/>
    <hyperlink ref="R146" r:id="rId7" xr:uid="{DC3893D3-75F3-654A-84E2-F47823F0AFEF}"/>
    <hyperlink ref="R147" r:id="rId8" xr:uid="{32C1B0AF-07AE-5845-8E08-DF8E60C203D0}"/>
    <hyperlink ref="R148" r:id="rId9" xr:uid="{8A836D6A-5412-3140-B9EF-BA5E3A6D8E3B}"/>
    <hyperlink ref="R153" r:id="rId10" xr:uid="{E194D5EF-1C85-4540-A337-98A78B0E85B0}"/>
    <hyperlink ref="R154" r:id="rId11" xr:uid="{247C9D08-3B58-494B-B88B-E76C1B2CF179}"/>
    <hyperlink ref="R155" r:id="rId12" xr:uid="{76939250-C409-CA47-AECD-0C562E837550}"/>
    <hyperlink ref="R156" r:id="rId13" xr:uid="{28F7A572-5737-6946-874E-EC45C37B2283}"/>
    <hyperlink ref="R157" r:id="rId14" xr:uid="{A2087B12-2EA2-364C-BAB0-22813A5EA07F}"/>
    <hyperlink ref="R158" r:id="rId15" xr:uid="{3ABAE461-188F-4349-B73B-BCF96CA73EEF}"/>
    <hyperlink ref="R161" r:id="rId16" xr:uid="{0904B7E1-9262-B944-AAD1-14E09BA46382}"/>
    <hyperlink ref="R162" r:id="rId17" xr:uid="{513C8933-343A-AC41-8EAE-16EF70153244}"/>
    <hyperlink ref="R163" r:id="rId18" xr:uid="{EBE90DB0-10E3-0241-A088-4D9EBD160D1A}"/>
    <hyperlink ref="R164" r:id="rId19" xr:uid="{8545DF92-462F-6B4D-8DC0-D9D58A19B81F}"/>
    <hyperlink ref="R170" r:id="rId20" xr:uid="{AB0EF075-6F50-8C47-BFAB-7AAF499813AB}"/>
    <hyperlink ref="R171" r:id="rId21" xr:uid="{9C0F4926-B55F-FC45-8F61-3467C4504F3C}"/>
    <hyperlink ref="R172" r:id="rId22" xr:uid="{15387864-CD74-3343-A4DC-1237406F200F}"/>
    <hyperlink ref="R173" r:id="rId23" xr:uid="{FD66B826-EEA3-0D4A-A65F-F11C6DFA71B1}"/>
    <hyperlink ref="R174" r:id="rId24" xr:uid="{F223BEBF-8FB9-4648-9ED4-AACA5ED1B34C}"/>
    <hyperlink ref="R175" r:id="rId25" xr:uid="{DC7E9215-48B0-254E-9A77-5402CE06E2D9}"/>
    <hyperlink ref="R149" r:id="rId26" xr:uid="{68F4A241-D58E-4048-8585-3F3245552E1F}"/>
    <hyperlink ref="R160" r:id="rId27" xr:uid="{05ABD0E2-8837-5D4E-A0B1-E8BA59177C27}"/>
    <hyperlink ref="R165" r:id="rId28" xr:uid="{3B25B129-8407-B446-BE53-EB9B23C954AB}"/>
    <hyperlink ref="R166" r:id="rId29" xr:uid="{4DF98536-59B3-3D4F-B7F1-BB2C30E38B54}"/>
    <hyperlink ref="R167" r:id="rId30" xr:uid="{F19EB65D-4622-D94D-9554-24DC7E74F0E3}"/>
    <hyperlink ref="R168" r:id="rId31" xr:uid="{53A47363-5EE8-C543-8B4E-8A86071F384C}"/>
    <hyperlink ref="R176" r:id="rId32" xr:uid="{AC9CEA7D-872A-E040-9ADB-769DB0B4CB5F}"/>
    <hyperlink ref="R169" r:id="rId33" xr:uid="{E8BB2D44-BFB5-3A4D-AC2C-19C5BB1E7B80}"/>
    <hyperlink ref="R60" r:id="rId34" xr:uid="{860A916A-0082-5049-A498-2FB1E41DCF7F}"/>
    <hyperlink ref="R61:R63" r:id="rId35" display="T.GONZALES@ICLOUD.COM" xr:uid="{5B3E6788-7D55-514D-812A-7137B5075FD4}"/>
    <hyperlink ref="R177" r:id="rId36" xr:uid="{273E8FB8-643F-B647-8CDC-0D97EAAF8B05}"/>
    <hyperlink ref="R178" r:id="rId37" xr:uid="{28B68637-13BB-EE4E-A412-D5265B2B91D7}"/>
    <hyperlink ref="R179" r:id="rId38" xr:uid="{003BEEF9-5189-0540-A261-70FFD0F358BC}"/>
    <hyperlink ref="R180" r:id="rId39" xr:uid="{1451D5BF-74E5-A340-9BDF-AA6945A57F3D}"/>
    <hyperlink ref="R181" r:id="rId40" xr:uid="{6956076A-1B10-EE4F-BCDE-A78E3CD69774}"/>
    <hyperlink ref="R182" r:id="rId41" xr:uid="{0A08B4EC-10B4-5A4C-ADE5-2FE56697C479}"/>
    <hyperlink ref="R183" r:id="rId42" xr:uid="{4BE1B59C-1CCC-DD44-8330-4AFB1DF12CAE}"/>
    <hyperlink ref="R184" r:id="rId43" xr:uid="{605B9F97-0BA1-8B4C-B715-DCC846D3351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56"/>
  <sheetViews>
    <sheetView zoomScaleNormal="100" workbookViewId="0">
      <selection activeCell="A48" sqref="A48"/>
    </sheetView>
  </sheetViews>
  <sheetFormatPr baseColWidth="10" defaultRowHeight="15"/>
  <cols>
    <col min="1" max="1" width="4.1640625" customWidth="1"/>
    <col min="2" max="2" width="11.83203125" customWidth="1"/>
    <col min="3" max="3" width="23.5" customWidth="1"/>
    <col min="4" max="4" width="24.6640625" bestFit="1" customWidth="1"/>
    <col min="5" max="5" width="16.1640625" customWidth="1"/>
    <col min="6" max="6" width="48.1640625" customWidth="1"/>
    <col min="7" max="7" width="22.66406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40.5" customWidth="1"/>
    <col min="14" max="14" width="17.5" customWidth="1"/>
    <col min="15" max="15" width="13.83203125" customWidth="1"/>
    <col min="16" max="16" width="20.1640625" customWidth="1"/>
    <col min="17" max="17" width="11.5" customWidth="1"/>
    <col min="18" max="18" width="6" customWidth="1"/>
    <col min="19" max="19" width="25" customWidth="1"/>
    <col min="20" max="20" width="23.33203125" customWidth="1"/>
    <col min="21" max="21" width="33.83203125" customWidth="1"/>
  </cols>
  <sheetData>
    <row r="2" spans="1:21" ht="18">
      <c r="C2" s="65"/>
      <c r="D2" s="65"/>
      <c r="E2" s="65"/>
      <c r="F2" s="65"/>
      <c r="G2" s="65"/>
      <c r="H2" s="65"/>
      <c r="I2" s="65"/>
      <c r="J2" s="65"/>
      <c r="K2" s="66"/>
      <c r="L2" s="65"/>
      <c r="M2" s="65"/>
      <c r="N2" s="65"/>
      <c r="O2" s="65"/>
      <c r="P2" s="65"/>
      <c r="Q2" s="65"/>
      <c r="R2" s="65"/>
      <c r="S2" s="65"/>
    </row>
    <row r="3" spans="1:21" ht="18">
      <c r="A3" s="67"/>
      <c r="C3" s="68" t="s">
        <v>0</v>
      </c>
      <c r="D3" s="65"/>
      <c r="E3" s="69"/>
      <c r="F3" s="65"/>
      <c r="G3" s="70"/>
      <c r="H3" s="66"/>
      <c r="I3" s="71"/>
      <c r="J3" s="72"/>
      <c r="K3" s="66"/>
      <c r="L3" s="73"/>
      <c r="M3" s="73"/>
      <c r="N3" s="66"/>
      <c r="O3" s="74"/>
      <c r="P3" s="65"/>
      <c r="Q3" s="65"/>
      <c r="R3" s="65"/>
      <c r="S3" s="65"/>
    </row>
    <row r="4" spans="1:21" ht="18">
      <c r="A4" s="67"/>
      <c r="C4" s="75" t="s">
        <v>1</v>
      </c>
      <c r="D4" s="65"/>
      <c r="E4" s="66"/>
      <c r="F4" s="65"/>
      <c r="G4" s="76"/>
      <c r="H4" s="77"/>
      <c r="I4" s="78"/>
      <c r="J4" s="79" t="s">
        <v>1037</v>
      </c>
      <c r="K4" s="77"/>
      <c r="L4" s="80"/>
      <c r="M4" s="81"/>
      <c r="N4" s="66" t="s">
        <v>1044</v>
      </c>
      <c r="O4" s="74"/>
      <c r="P4" s="82"/>
      <c r="Q4" s="65"/>
      <c r="R4" s="65"/>
      <c r="S4" s="65"/>
    </row>
    <row r="5" spans="1:21" s="1" customFormat="1" ht="58" customHeight="1">
      <c r="A5" s="83"/>
      <c r="B5" s="136" t="s">
        <v>28</v>
      </c>
      <c r="C5" s="136" t="s">
        <v>29</v>
      </c>
      <c r="D5" s="136" t="s">
        <v>30</v>
      </c>
      <c r="E5" s="136" t="s">
        <v>31</v>
      </c>
      <c r="F5" s="157" t="s">
        <v>32</v>
      </c>
      <c r="G5" s="136" t="s">
        <v>33</v>
      </c>
      <c r="H5" s="136" t="s">
        <v>34</v>
      </c>
      <c r="I5" s="136" t="s">
        <v>35</v>
      </c>
      <c r="J5" s="136" t="s">
        <v>36</v>
      </c>
      <c r="K5" s="136" t="s">
        <v>37</v>
      </c>
      <c r="L5" s="158" t="s">
        <v>38</v>
      </c>
      <c r="M5" s="158" t="s">
        <v>39</v>
      </c>
      <c r="N5" s="136" t="s">
        <v>40</v>
      </c>
      <c r="O5" s="159" t="s">
        <v>41</v>
      </c>
      <c r="P5" s="136" t="s">
        <v>42</v>
      </c>
      <c r="Q5" s="136" t="s">
        <v>43</v>
      </c>
      <c r="R5" s="136" t="s">
        <v>22</v>
      </c>
      <c r="S5" s="136" t="s">
        <v>23</v>
      </c>
      <c r="T5" s="136" t="s">
        <v>44</v>
      </c>
      <c r="U5" s="136" t="s">
        <v>45</v>
      </c>
    </row>
    <row r="6" spans="1:21" s="2" customFormat="1" ht="21">
      <c r="A6" s="2">
        <v>1</v>
      </c>
      <c r="B6" s="160">
        <v>45875</v>
      </c>
      <c r="C6" s="160" t="s">
        <v>1045</v>
      </c>
      <c r="D6" s="160" t="s">
        <v>1136</v>
      </c>
      <c r="E6" s="164">
        <v>112520025</v>
      </c>
      <c r="F6" s="165" t="str">
        <f t="shared" ref="F6:F40" si="0">VLOOKUP(E6,PROD,2,FALSE)</f>
        <v>IZC 64010 MSS COCINA INDUCCION</v>
      </c>
      <c r="G6" s="166" t="s">
        <v>1080</v>
      </c>
      <c r="H6" s="162" t="s">
        <v>24</v>
      </c>
      <c r="I6" s="160" t="s">
        <v>25</v>
      </c>
      <c r="J6" s="160" t="s">
        <v>1017</v>
      </c>
      <c r="K6" s="160">
        <v>45890</v>
      </c>
      <c r="L6" s="160" t="s">
        <v>1081</v>
      </c>
      <c r="M6" s="160" t="s">
        <v>1082</v>
      </c>
      <c r="N6" s="189">
        <v>984820269</v>
      </c>
      <c r="O6" s="167">
        <v>25</v>
      </c>
      <c r="P6" s="160" t="s">
        <v>59</v>
      </c>
      <c r="Q6" s="160" t="s">
        <v>25</v>
      </c>
      <c r="R6" s="160"/>
      <c r="S6" s="160" t="str">
        <f>D6</f>
        <v>023-903+B6-000356725</v>
      </c>
      <c r="T6" s="161" t="s">
        <v>1083</v>
      </c>
      <c r="U6" s="188" t="s">
        <v>1084</v>
      </c>
    </row>
    <row r="7" spans="1:21" s="2" customFormat="1" ht="21">
      <c r="A7" s="2">
        <v>2</v>
      </c>
      <c r="B7" s="160">
        <v>45827</v>
      </c>
      <c r="C7" s="160" t="s">
        <v>1085</v>
      </c>
      <c r="D7" s="160" t="s">
        <v>1086</v>
      </c>
      <c r="E7" s="164">
        <v>112580027</v>
      </c>
      <c r="F7" s="165" t="str">
        <f t="shared" si="0"/>
        <v>GBC 75030 KBB CRISTAL COCINA GAS</v>
      </c>
      <c r="G7" s="166" t="s">
        <v>1087</v>
      </c>
      <c r="H7" s="162" t="s">
        <v>24</v>
      </c>
      <c r="I7" s="160" t="s">
        <v>25</v>
      </c>
      <c r="J7" s="160" t="s">
        <v>1017</v>
      </c>
      <c r="K7" s="160">
        <v>45890</v>
      </c>
      <c r="L7" s="160" t="s">
        <v>1088</v>
      </c>
      <c r="M7" s="160" t="s">
        <v>1089</v>
      </c>
      <c r="N7" s="189">
        <v>978198535</v>
      </c>
      <c r="O7" s="167">
        <v>29</v>
      </c>
      <c r="P7" s="160" t="s">
        <v>59</v>
      </c>
      <c r="Q7" s="160" t="s">
        <v>25</v>
      </c>
      <c r="R7" s="160"/>
      <c r="S7" s="160" t="str">
        <f t="shared" ref="S7:S34" si="1">D7</f>
        <v>040-104-000011836</v>
      </c>
      <c r="T7" s="161" t="s">
        <v>1090</v>
      </c>
      <c r="U7" s="188" t="s">
        <v>1091</v>
      </c>
    </row>
    <row r="8" spans="1:21" s="2" customFormat="1" ht="21">
      <c r="A8" s="2">
        <v>3</v>
      </c>
      <c r="B8" s="160">
        <v>45889</v>
      </c>
      <c r="C8" s="160" t="s">
        <v>1045</v>
      </c>
      <c r="D8" s="160" t="s">
        <v>1092</v>
      </c>
      <c r="E8" s="164">
        <v>40467320</v>
      </c>
      <c r="F8" s="165" t="str">
        <f t="shared" si="0"/>
        <v>C 7310 INOX CAMPANA (110V-60HZ) C/KIT</v>
      </c>
      <c r="G8" s="168" t="s">
        <v>1093</v>
      </c>
      <c r="H8" s="162" t="s">
        <v>24</v>
      </c>
      <c r="I8" s="160" t="s">
        <v>25</v>
      </c>
      <c r="J8" s="160" t="s">
        <v>1017</v>
      </c>
      <c r="K8" s="160">
        <v>45890</v>
      </c>
      <c r="L8" s="160" t="s">
        <v>1094</v>
      </c>
      <c r="M8" s="160" t="s">
        <v>1095</v>
      </c>
      <c r="N8" s="189">
        <v>992440918</v>
      </c>
      <c r="O8" s="167">
        <v>15</v>
      </c>
      <c r="P8" s="160" t="s">
        <v>59</v>
      </c>
      <c r="Q8" s="160" t="s">
        <v>25</v>
      </c>
      <c r="R8" s="160"/>
      <c r="S8" s="160" t="str">
        <f t="shared" si="1"/>
        <v>016-907-000264585</v>
      </c>
      <c r="T8" s="161" t="s">
        <v>1096</v>
      </c>
      <c r="U8" s="188" t="s">
        <v>1097</v>
      </c>
    </row>
    <row r="9" spans="1:21" s="2" customFormat="1" ht="21">
      <c r="A9" s="2">
        <v>4</v>
      </c>
      <c r="B9" s="160">
        <v>45744</v>
      </c>
      <c r="C9" s="160" t="s">
        <v>1054</v>
      </c>
      <c r="D9" s="160" t="s">
        <v>1137</v>
      </c>
      <c r="E9" s="164">
        <v>40197255</v>
      </c>
      <c r="F9" s="165" t="str">
        <f t="shared" si="0"/>
        <v>TR 710.1 TRITURADOR</v>
      </c>
      <c r="G9" s="166" t="s">
        <v>1138</v>
      </c>
      <c r="H9" s="162" t="s">
        <v>24</v>
      </c>
      <c r="I9" s="160" t="s">
        <v>25</v>
      </c>
      <c r="J9" s="160" t="s">
        <v>1017</v>
      </c>
      <c r="K9" s="160">
        <v>45890</v>
      </c>
      <c r="L9" s="160" t="s">
        <v>1139</v>
      </c>
      <c r="M9" s="160" t="s">
        <v>1140</v>
      </c>
      <c r="N9" s="189">
        <v>984459007</v>
      </c>
      <c r="O9" s="167">
        <v>15</v>
      </c>
      <c r="P9" s="160" t="s">
        <v>59</v>
      </c>
      <c r="Q9" s="160" t="s">
        <v>25</v>
      </c>
      <c r="R9" s="160"/>
      <c r="S9" s="160" t="str">
        <f t="shared" si="1"/>
        <v>001-500-000071956</v>
      </c>
      <c r="T9" s="161" t="s">
        <v>1141</v>
      </c>
      <c r="U9" s="188" t="s">
        <v>1142</v>
      </c>
    </row>
    <row r="10" spans="1:21" s="2" customFormat="1" ht="21">
      <c r="A10" s="2">
        <v>5</v>
      </c>
      <c r="B10" s="160">
        <v>45893</v>
      </c>
      <c r="C10" s="160" t="s">
        <v>1045</v>
      </c>
      <c r="D10" s="160" t="s">
        <v>1222</v>
      </c>
      <c r="E10" s="164">
        <v>40446712</v>
      </c>
      <c r="F10" s="165" t="str">
        <f t="shared" si="0"/>
        <v>GFH 73 INOX CAMPANA (110V-60HZ) C/KIT</v>
      </c>
      <c r="G10" s="166" t="s">
        <v>1219</v>
      </c>
      <c r="H10" s="162" t="s">
        <v>24</v>
      </c>
      <c r="I10" s="160" t="s">
        <v>25</v>
      </c>
      <c r="J10" s="160" t="s">
        <v>1017</v>
      </c>
      <c r="K10" s="160">
        <v>45893</v>
      </c>
      <c r="L10" s="160" t="s">
        <v>1223</v>
      </c>
      <c r="M10" s="160" t="s">
        <v>1224</v>
      </c>
      <c r="N10" s="189">
        <v>994654432</v>
      </c>
      <c r="O10" s="167">
        <v>15</v>
      </c>
      <c r="P10" s="160" t="s">
        <v>59</v>
      </c>
      <c r="Q10" s="160" t="s">
        <v>25</v>
      </c>
      <c r="R10" s="160"/>
      <c r="S10" s="160" t="str">
        <f t="shared" si="1"/>
        <v>043-904-00052090</v>
      </c>
      <c r="T10" s="161" t="s">
        <v>1225</v>
      </c>
      <c r="U10" s="188" t="s">
        <v>1226</v>
      </c>
    </row>
    <row r="11" spans="1:21" s="2" customFormat="1" ht="21">
      <c r="A11" s="2">
        <v>6</v>
      </c>
      <c r="B11" s="160">
        <v>45891</v>
      </c>
      <c r="C11" s="160" t="s">
        <v>1054</v>
      </c>
      <c r="D11" s="160" t="s">
        <v>1227</v>
      </c>
      <c r="E11" s="164">
        <v>40466241</v>
      </c>
      <c r="F11" s="165" t="str">
        <f t="shared" si="0"/>
        <v>C 9310 INOX CAMPANA (110V-60HZ) C/KIT</v>
      </c>
      <c r="G11" s="166" t="s">
        <v>1228</v>
      </c>
      <c r="H11" s="162" t="s">
        <v>24</v>
      </c>
      <c r="I11" s="160" t="s">
        <v>25</v>
      </c>
      <c r="J11" s="160" t="s">
        <v>1017</v>
      </c>
      <c r="K11" s="160">
        <v>45895</v>
      </c>
      <c r="L11" s="160" t="s">
        <v>1229</v>
      </c>
      <c r="M11" s="160" t="s">
        <v>1230</v>
      </c>
      <c r="N11" s="189">
        <v>984182299</v>
      </c>
      <c r="O11" s="167">
        <v>15</v>
      </c>
      <c r="P11" s="160" t="s">
        <v>59</v>
      </c>
      <c r="Q11" s="160" t="s">
        <v>25</v>
      </c>
      <c r="R11" s="160"/>
      <c r="S11" s="160" t="str">
        <f t="shared" si="1"/>
        <v>001-500-000076240</v>
      </c>
      <c r="T11" s="161" t="s">
        <v>1231</v>
      </c>
      <c r="U11" s="188" t="s">
        <v>1232</v>
      </c>
    </row>
    <row r="12" spans="1:21" s="2" customFormat="1" ht="21">
      <c r="A12" s="2">
        <v>7</v>
      </c>
      <c r="B12" s="160">
        <v>45856</v>
      </c>
      <c r="C12" s="160" t="s">
        <v>1045</v>
      </c>
      <c r="D12" s="160" t="s">
        <v>1233</v>
      </c>
      <c r="E12" s="164">
        <v>112570124</v>
      </c>
      <c r="F12" s="165" t="str">
        <f t="shared" si="0"/>
        <v>JZC 64322 ABB BK (LAT) COCINA MIXTA GAS - INDUCCION</v>
      </c>
      <c r="G12" s="166" t="s">
        <v>1234</v>
      </c>
      <c r="H12" s="162" t="s">
        <v>24</v>
      </c>
      <c r="I12" s="160" t="s">
        <v>25</v>
      </c>
      <c r="J12" s="160" t="s">
        <v>1017</v>
      </c>
      <c r="K12" s="160">
        <v>45896</v>
      </c>
      <c r="L12" s="160" t="s">
        <v>1235</v>
      </c>
      <c r="M12" s="160" t="s">
        <v>1236</v>
      </c>
      <c r="N12" s="189">
        <v>980125803</v>
      </c>
      <c r="O12" s="167">
        <v>25</v>
      </c>
      <c r="P12" s="160" t="s">
        <v>59</v>
      </c>
      <c r="Q12" s="160" t="s">
        <v>25</v>
      </c>
      <c r="R12" s="160"/>
      <c r="S12" s="160" t="str">
        <f t="shared" si="1"/>
        <v>017-901-000117904</v>
      </c>
      <c r="T12" s="161" t="s">
        <v>1237</v>
      </c>
      <c r="U12" s="188" t="s">
        <v>1238</v>
      </c>
    </row>
    <row r="13" spans="1:21" s="2" customFormat="1" ht="21">
      <c r="A13" s="2">
        <v>8</v>
      </c>
      <c r="B13" s="160">
        <v>45894</v>
      </c>
      <c r="C13" s="160" t="s">
        <v>1054</v>
      </c>
      <c r="D13" s="160" t="s">
        <v>1239</v>
      </c>
      <c r="E13" s="164">
        <v>111000078</v>
      </c>
      <c r="F13" s="165" t="str">
        <f t="shared" si="0"/>
        <v>HLB 8400 FBK HORNO ELEC</v>
      </c>
      <c r="G13" s="166" t="s">
        <v>1240</v>
      </c>
      <c r="H13" s="162" t="s">
        <v>24</v>
      </c>
      <c r="I13" s="160" t="s">
        <v>25</v>
      </c>
      <c r="J13" s="160" t="s">
        <v>1017</v>
      </c>
      <c r="K13" s="160">
        <v>45897</v>
      </c>
      <c r="L13" s="160" t="s">
        <v>1245</v>
      </c>
      <c r="M13" s="160" t="s">
        <v>1241</v>
      </c>
      <c r="N13" s="189" t="s">
        <v>1242</v>
      </c>
      <c r="O13" s="167">
        <v>29</v>
      </c>
      <c r="P13" s="160" t="s">
        <v>59</v>
      </c>
      <c r="Q13" s="160" t="s">
        <v>25</v>
      </c>
      <c r="R13" s="160"/>
      <c r="S13" s="160" t="str">
        <f t="shared" si="1"/>
        <v>001-500-000076324</v>
      </c>
      <c r="T13" s="161" t="s">
        <v>1243</v>
      </c>
      <c r="U13" s="188" t="s">
        <v>1244</v>
      </c>
    </row>
    <row r="14" spans="1:21" s="2" customFormat="1" ht="21">
      <c r="A14" s="2">
        <v>9</v>
      </c>
      <c r="B14" s="160">
        <v>45897</v>
      </c>
      <c r="C14" s="160" t="s">
        <v>1085</v>
      </c>
      <c r="D14" s="160" t="s">
        <v>1246</v>
      </c>
      <c r="E14" s="164">
        <v>112570068</v>
      </c>
      <c r="F14" s="165" t="str">
        <f t="shared" si="0"/>
        <v>GZC 95320 XBB CRISTAL COCINA GAS</v>
      </c>
      <c r="G14" s="166" t="s">
        <v>1247</v>
      </c>
      <c r="H14" s="162" t="s">
        <v>24</v>
      </c>
      <c r="I14" s="160" t="s">
        <v>25</v>
      </c>
      <c r="J14" s="160" t="s">
        <v>1017</v>
      </c>
      <c r="K14" s="160">
        <v>45897</v>
      </c>
      <c r="L14" s="160" t="s">
        <v>1248</v>
      </c>
      <c r="M14" s="160" t="s">
        <v>1249</v>
      </c>
      <c r="N14" s="189">
        <v>990234053</v>
      </c>
      <c r="O14" s="167">
        <v>29</v>
      </c>
      <c r="P14" s="160" t="s">
        <v>59</v>
      </c>
      <c r="Q14" s="160" t="s">
        <v>25</v>
      </c>
      <c r="R14" s="160"/>
      <c r="S14" s="160" t="str">
        <f t="shared" si="1"/>
        <v>040-104-000013072</v>
      </c>
      <c r="T14" s="161" t="s">
        <v>1250</v>
      </c>
      <c r="U14" s="188" t="s">
        <v>1251</v>
      </c>
    </row>
    <row r="15" spans="1:21" s="2" customFormat="1" ht="21">
      <c r="A15" s="2">
        <v>10</v>
      </c>
      <c r="B15" s="160">
        <v>45622</v>
      </c>
      <c r="C15" s="160" t="s">
        <v>1085</v>
      </c>
      <c r="D15" s="160" t="s">
        <v>1252</v>
      </c>
      <c r="E15" s="164">
        <v>112570126</v>
      </c>
      <c r="F15" s="165" t="str">
        <f t="shared" ref="F15" si="2">VLOOKUP(E15,PROD,2,FALSE)</f>
        <v>JZC 96324 ABB BK (LAT) COCINA MIXTA GAS - INDUCCION (40213042)</v>
      </c>
      <c r="G15" s="166" t="s">
        <v>1253</v>
      </c>
      <c r="H15" s="162" t="s">
        <v>24</v>
      </c>
      <c r="I15" s="160" t="s">
        <v>25</v>
      </c>
      <c r="J15" s="160" t="s">
        <v>1017</v>
      </c>
      <c r="K15" s="160">
        <v>45898</v>
      </c>
      <c r="L15" s="160" t="s">
        <v>1254</v>
      </c>
      <c r="M15" s="160" t="s">
        <v>1191</v>
      </c>
      <c r="N15" s="189">
        <v>984670770</v>
      </c>
      <c r="O15" s="167">
        <v>25</v>
      </c>
      <c r="P15" s="160" t="s">
        <v>59</v>
      </c>
      <c r="Q15" s="160" t="s">
        <v>25</v>
      </c>
      <c r="R15" s="160"/>
      <c r="S15" s="160" t="str">
        <f t="shared" si="1"/>
        <v>040-103-000009765</v>
      </c>
      <c r="T15" s="161" t="s">
        <v>1255</v>
      </c>
      <c r="U15" s="188" t="s">
        <v>1192</v>
      </c>
    </row>
    <row r="16" spans="1:21" s="2" customFormat="1" ht="21">
      <c r="A16" s="2">
        <v>11</v>
      </c>
      <c r="B16" s="160">
        <v>45897</v>
      </c>
      <c r="C16" s="160" t="s">
        <v>1045</v>
      </c>
      <c r="D16" s="160" t="s">
        <v>1256</v>
      </c>
      <c r="E16" s="164">
        <v>40212014</v>
      </c>
      <c r="F16" s="165" t="str">
        <f t="shared" si="0"/>
        <v>EX 60.1 4G AI DR CI COCINA INOX</v>
      </c>
      <c r="G16" s="166" t="s">
        <v>1257</v>
      </c>
      <c r="H16" s="162" t="s">
        <v>24</v>
      </c>
      <c r="I16" s="160" t="s">
        <v>25</v>
      </c>
      <c r="J16" s="160" t="s">
        <v>1017</v>
      </c>
      <c r="K16" s="160">
        <v>45898</v>
      </c>
      <c r="L16" s="160" t="s">
        <v>1258</v>
      </c>
      <c r="M16" s="160" t="s">
        <v>1259</v>
      </c>
      <c r="N16" s="189">
        <v>923466874</v>
      </c>
      <c r="O16" s="167">
        <v>29</v>
      </c>
      <c r="P16" s="160" t="s">
        <v>59</v>
      </c>
      <c r="Q16" s="160" t="s">
        <v>25</v>
      </c>
      <c r="R16" s="160"/>
      <c r="S16" s="160" t="str">
        <f t="shared" si="1"/>
        <v>043-907-000029887</v>
      </c>
      <c r="T16" s="161" t="s">
        <v>1260</v>
      </c>
      <c r="U16" s="188" t="s">
        <v>1261</v>
      </c>
    </row>
    <row r="17" spans="1:21" s="2" customFormat="1" ht="21">
      <c r="A17" s="2">
        <v>12</v>
      </c>
      <c r="B17" s="160">
        <v>45890</v>
      </c>
      <c r="C17" s="160" t="s">
        <v>1156</v>
      </c>
      <c r="D17" s="160" t="s">
        <v>1267</v>
      </c>
      <c r="E17" s="164">
        <v>112500047</v>
      </c>
      <c r="F17" s="165" t="str">
        <f t="shared" si="0"/>
        <v>IZF 99700 MST COCINA INDUCCION</v>
      </c>
      <c r="G17" s="166" t="s">
        <v>1266</v>
      </c>
      <c r="H17" s="162" t="s">
        <v>24</v>
      </c>
      <c r="I17" s="160" t="s">
        <v>25</v>
      </c>
      <c r="J17" s="160" t="s">
        <v>1017</v>
      </c>
      <c r="K17" s="160">
        <v>45898</v>
      </c>
      <c r="L17" s="160" t="s">
        <v>1265</v>
      </c>
      <c r="M17" s="160" t="s">
        <v>1264</v>
      </c>
      <c r="N17" s="189">
        <v>993350149</v>
      </c>
      <c r="O17" s="167">
        <v>25</v>
      </c>
      <c r="P17" s="160" t="s">
        <v>59</v>
      </c>
      <c r="Q17" s="160" t="s">
        <v>25</v>
      </c>
      <c r="R17" s="160"/>
      <c r="S17" s="160" t="str">
        <f t="shared" si="1"/>
        <v>040-103-000015566</v>
      </c>
      <c r="T17" s="161" t="s">
        <v>1263</v>
      </c>
      <c r="U17" s="188" t="s">
        <v>1262</v>
      </c>
    </row>
    <row r="18" spans="1:21" s="2" customFormat="1" ht="21">
      <c r="A18" s="2">
        <v>13</v>
      </c>
      <c r="B18" s="160">
        <v>45894</v>
      </c>
      <c r="C18" s="160" t="s">
        <v>1045</v>
      </c>
      <c r="D18" s="160" t="s">
        <v>1268</v>
      </c>
      <c r="E18" s="164">
        <v>40466241</v>
      </c>
      <c r="F18" s="165" t="str">
        <f t="shared" si="0"/>
        <v>C 9310 INOX CAMPANA (110V-60HZ) C/KIT</v>
      </c>
      <c r="G18" s="166" t="s">
        <v>1269</v>
      </c>
      <c r="H18" s="162" t="s">
        <v>24</v>
      </c>
      <c r="I18" s="160" t="s">
        <v>25</v>
      </c>
      <c r="J18" s="160" t="s">
        <v>1017</v>
      </c>
      <c r="K18" s="160">
        <v>45898</v>
      </c>
      <c r="L18" s="160" t="s">
        <v>1270</v>
      </c>
      <c r="M18" s="160" t="s">
        <v>1271</v>
      </c>
      <c r="N18" s="189">
        <v>982211396</v>
      </c>
      <c r="O18" s="167">
        <v>15</v>
      </c>
      <c r="P18" s="160" t="s">
        <v>59</v>
      </c>
      <c r="Q18" s="160" t="s">
        <v>25</v>
      </c>
      <c r="R18" s="160"/>
      <c r="S18" s="160" t="str">
        <f t="shared" si="1"/>
        <v>016-907-000268448</v>
      </c>
      <c r="T18" s="161" t="s">
        <v>1272</v>
      </c>
      <c r="U18" s="188" t="s">
        <v>1273</v>
      </c>
    </row>
    <row r="19" spans="1:21" s="2" customFormat="1" ht="21">
      <c r="A19" s="2">
        <v>14</v>
      </c>
      <c r="B19" s="160">
        <v>45897</v>
      </c>
      <c r="C19" s="160" t="s">
        <v>1274</v>
      </c>
      <c r="D19" s="160" t="s">
        <v>1275</v>
      </c>
      <c r="E19" s="164">
        <v>40297052</v>
      </c>
      <c r="F19" s="165" t="str">
        <f t="shared" si="0"/>
        <v>COCINA A GAS FS3RL966GGX</v>
      </c>
      <c r="G19" s="166" t="s">
        <v>1276</v>
      </c>
      <c r="H19" s="162" t="s">
        <v>24</v>
      </c>
      <c r="I19" s="160" t="s">
        <v>25</v>
      </c>
      <c r="J19" s="160" t="s">
        <v>1017</v>
      </c>
      <c r="K19" s="160">
        <v>45898</v>
      </c>
      <c r="L19" s="160" t="s">
        <v>1277</v>
      </c>
      <c r="M19" s="160" t="s">
        <v>1278</v>
      </c>
      <c r="N19" s="189">
        <v>997067264</v>
      </c>
      <c r="O19" s="167">
        <v>29</v>
      </c>
      <c r="P19" s="160" t="s">
        <v>59</v>
      </c>
      <c r="Q19" s="160" t="s">
        <v>25</v>
      </c>
      <c r="R19" s="160"/>
      <c r="S19" s="160" t="str">
        <f t="shared" si="1"/>
        <v>007-006-000139425</v>
      </c>
      <c r="T19" s="161" t="s">
        <v>1279</v>
      </c>
      <c r="U19" s="188" t="s">
        <v>1280</v>
      </c>
    </row>
    <row r="20" spans="1:21" s="2" customFormat="1" ht="21">
      <c r="A20" s="2">
        <v>15</v>
      </c>
      <c r="B20" s="160">
        <v>45887</v>
      </c>
      <c r="C20" s="160" t="s">
        <v>1054</v>
      </c>
      <c r="D20" s="160" t="s">
        <v>1281</v>
      </c>
      <c r="E20" s="164">
        <v>112950019</v>
      </c>
      <c r="F20" s="165" t="str">
        <f t="shared" si="0"/>
        <v>DVN 64030 TCL BK CAMPANA (110V-60HZ) C/KIT</v>
      </c>
      <c r="G20" s="166" t="s">
        <v>1282</v>
      </c>
      <c r="H20" s="162" t="s">
        <v>24</v>
      </c>
      <c r="I20" s="160" t="s">
        <v>25</v>
      </c>
      <c r="J20" s="160" t="s">
        <v>1017</v>
      </c>
      <c r="K20" s="160">
        <v>45901</v>
      </c>
      <c r="L20" s="160" t="s">
        <v>1283</v>
      </c>
      <c r="M20" s="160" t="s">
        <v>1284</v>
      </c>
      <c r="N20" s="189">
        <v>987216968</v>
      </c>
      <c r="O20" s="167">
        <v>36</v>
      </c>
      <c r="P20" s="160" t="s">
        <v>59</v>
      </c>
      <c r="Q20" s="160" t="s">
        <v>25</v>
      </c>
      <c r="R20" s="160"/>
      <c r="S20" s="160" t="str">
        <f t="shared" si="1"/>
        <v>001-500-000076137</v>
      </c>
      <c r="T20" s="161" t="s">
        <v>1285</v>
      </c>
      <c r="U20" s="188" t="s">
        <v>1286</v>
      </c>
    </row>
    <row r="21" spans="1:21" s="2" customFormat="1" ht="21">
      <c r="A21" s="2">
        <v>16</v>
      </c>
      <c r="B21" s="160">
        <v>45886</v>
      </c>
      <c r="C21" s="160" t="s">
        <v>1045</v>
      </c>
      <c r="D21" s="160" t="s">
        <v>1287</v>
      </c>
      <c r="E21" s="164">
        <v>40466241</v>
      </c>
      <c r="F21" s="165" t="str">
        <f t="shared" si="0"/>
        <v>C 9310 INOX CAMPANA (110V-60HZ) C/KIT</v>
      </c>
      <c r="G21" s="166" t="s">
        <v>1288</v>
      </c>
      <c r="H21" s="162" t="s">
        <v>24</v>
      </c>
      <c r="I21" s="160" t="s">
        <v>25</v>
      </c>
      <c r="J21" s="160" t="s">
        <v>1017</v>
      </c>
      <c r="K21" s="160">
        <v>45901</v>
      </c>
      <c r="L21" s="160" t="s">
        <v>1289</v>
      </c>
      <c r="M21" s="160" t="s">
        <v>1290</v>
      </c>
      <c r="N21" s="189">
        <v>990273271</v>
      </c>
      <c r="O21" s="167">
        <v>15</v>
      </c>
      <c r="P21" s="160" t="s">
        <v>59</v>
      </c>
      <c r="Q21" s="160" t="s">
        <v>25</v>
      </c>
      <c r="R21" s="160"/>
      <c r="S21" s="160" t="str">
        <f t="shared" si="1"/>
        <v>043-903-000029121</v>
      </c>
      <c r="T21" s="161" t="s">
        <v>1291</v>
      </c>
      <c r="U21" s="188" t="s">
        <v>1292</v>
      </c>
    </row>
    <row r="22" spans="1:21" s="2" customFormat="1" ht="21">
      <c r="A22" s="2">
        <v>17</v>
      </c>
      <c r="B22" s="163">
        <v>45900</v>
      </c>
      <c r="C22" s="149" t="s">
        <v>1045</v>
      </c>
      <c r="D22" s="149" t="s">
        <v>1293</v>
      </c>
      <c r="E22" s="164">
        <v>40590830</v>
      </c>
      <c r="F22" s="165" t="str">
        <f t="shared" si="0"/>
        <v>MWG 11X - MICROONDAS</v>
      </c>
      <c r="G22" s="164" t="s">
        <v>1294</v>
      </c>
      <c r="H22" s="162" t="s">
        <v>24</v>
      </c>
      <c r="I22" s="160" t="s">
        <v>25</v>
      </c>
      <c r="J22" s="160" t="s">
        <v>1017</v>
      </c>
      <c r="K22" s="163">
        <v>45902</v>
      </c>
      <c r="L22" s="149" t="s">
        <v>1295</v>
      </c>
      <c r="M22" s="149" t="s">
        <v>1296</v>
      </c>
      <c r="N22" s="164">
        <v>987166171</v>
      </c>
      <c r="O22" s="169">
        <v>25</v>
      </c>
      <c r="P22" s="160" t="s">
        <v>59</v>
      </c>
      <c r="Q22" s="160" t="s">
        <v>25</v>
      </c>
      <c r="R22" s="160"/>
      <c r="S22" s="160" t="str">
        <f t="shared" si="1"/>
        <v>043-903-000092241</v>
      </c>
      <c r="T22" s="161" t="s">
        <v>1297</v>
      </c>
      <c r="U22" s="170" t="s">
        <v>1298</v>
      </c>
    </row>
    <row r="23" spans="1:21" s="2" customFormat="1" ht="21">
      <c r="A23" s="2">
        <v>18</v>
      </c>
      <c r="B23" s="160">
        <v>45873</v>
      </c>
      <c r="C23" s="160" t="s">
        <v>1101</v>
      </c>
      <c r="D23" s="160" t="s">
        <v>1370</v>
      </c>
      <c r="E23" s="164">
        <v>41560074</v>
      </c>
      <c r="F23" s="165" t="str">
        <f t="shared" ref="F23" si="3">VLOOKUP(E23,PROD,2,FALSE)</f>
        <v>HLB 840 INOX HORNO ELEC</v>
      </c>
      <c r="G23" s="168" t="s">
        <v>1371</v>
      </c>
      <c r="H23" s="162" t="s">
        <v>24</v>
      </c>
      <c r="I23" s="160" t="s">
        <v>25</v>
      </c>
      <c r="J23" s="160" t="s">
        <v>1017</v>
      </c>
      <c r="K23" s="160">
        <v>45902</v>
      </c>
      <c r="L23" s="160" t="s">
        <v>1372</v>
      </c>
      <c r="M23" s="160" t="s">
        <v>1108</v>
      </c>
      <c r="N23" s="189">
        <v>994748668</v>
      </c>
      <c r="O23" s="167">
        <v>25</v>
      </c>
      <c r="P23" s="160" t="s">
        <v>59</v>
      </c>
      <c r="Q23" s="160" t="s">
        <v>25</v>
      </c>
      <c r="R23" s="160"/>
      <c r="S23" s="160" t="str">
        <f t="shared" si="1"/>
        <v>003-000024615</v>
      </c>
      <c r="T23" s="161" t="s">
        <v>1373</v>
      </c>
      <c r="U23" s="188" t="s">
        <v>1374</v>
      </c>
    </row>
    <row r="24" spans="1:21" s="2" customFormat="1" ht="21">
      <c r="A24" s="2">
        <v>19</v>
      </c>
      <c r="B24" s="163">
        <v>45902</v>
      </c>
      <c r="C24" s="149" t="s">
        <v>1045</v>
      </c>
      <c r="D24" s="149" t="s">
        <v>1375</v>
      </c>
      <c r="E24" s="164">
        <v>40467320</v>
      </c>
      <c r="F24" s="165" t="str">
        <f t="shared" si="0"/>
        <v>C 7310 INOX CAMPANA (110V-60HZ) C/KIT</v>
      </c>
      <c r="G24" s="164" t="s">
        <v>1376</v>
      </c>
      <c r="H24" s="162" t="s">
        <v>24</v>
      </c>
      <c r="I24" s="160" t="s">
        <v>25</v>
      </c>
      <c r="J24" s="160" t="s">
        <v>1017</v>
      </c>
      <c r="K24" s="163">
        <v>45903</v>
      </c>
      <c r="L24" s="149" t="s">
        <v>1377</v>
      </c>
      <c r="M24" s="149" t="s">
        <v>1378</v>
      </c>
      <c r="N24" s="164">
        <v>984373282</v>
      </c>
      <c r="O24" s="169">
        <v>15</v>
      </c>
      <c r="P24" s="160" t="s">
        <v>59</v>
      </c>
      <c r="Q24" s="160" t="s">
        <v>25</v>
      </c>
      <c r="R24" s="160"/>
      <c r="S24" s="160" t="str">
        <f t="shared" si="1"/>
        <v>043-907-000030320</v>
      </c>
      <c r="T24" s="161" t="s">
        <v>1379</v>
      </c>
      <c r="U24" s="170" t="s">
        <v>1380</v>
      </c>
    </row>
    <row r="25" spans="1:21" s="2" customFormat="1" ht="21">
      <c r="A25" s="2">
        <v>20</v>
      </c>
      <c r="B25" s="163">
        <v>45900</v>
      </c>
      <c r="C25" s="149" t="s">
        <v>1381</v>
      </c>
      <c r="D25" s="149" t="s">
        <v>1382</v>
      </c>
      <c r="E25" s="164">
        <v>113430018</v>
      </c>
      <c r="F25" s="165" t="str">
        <f t="shared" si="0"/>
        <v>RLF 74920 SS SBS REFRIGERADORA</v>
      </c>
      <c r="G25" s="164" t="s">
        <v>1383</v>
      </c>
      <c r="H25" s="162" t="s">
        <v>24</v>
      </c>
      <c r="I25" s="160" t="s">
        <v>25</v>
      </c>
      <c r="J25" s="160" t="s">
        <v>1017</v>
      </c>
      <c r="K25" s="163">
        <v>45903</v>
      </c>
      <c r="L25" s="149" t="s">
        <v>1384</v>
      </c>
      <c r="M25" s="149" t="s">
        <v>1385</v>
      </c>
      <c r="N25" s="164">
        <v>995139439</v>
      </c>
      <c r="O25" s="169">
        <v>30</v>
      </c>
      <c r="P25" s="160" t="s">
        <v>59</v>
      </c>
      <c r="Q25" s="160" t="s">
        <v>25</v>
      </c>
      <c r="R25" s="160"/>
      <c r="S25" s="160" t="str">
        <f t="shared" si="1"/>
        <v>242-129-000003698</v>
      </c>
      <c r="T25" s="161" t="s">
        <v>1386</v>
      </c>
      <c r="U25" s="170" t="s">
        <v>1387</v>
      </c>
    </row>
    <row r="26" spans="1:21" s="2" customFormat="1" ht="21">
      <c r="A26" s="2">
        <v>21</v>
      </c>
      <c r="B26" s="163">
        <v>45901</v>
      </c>
      <c r="C26" s="149" t="s">
        <v>1388</v>
      </c>
      <c r="D26" s="149" t="s">
        <v>1389</v>
      </c>
      <c r="E26" s="164">
        <v>112610068</v>
      </c>
      <c r="F26" s="165" t="str">
        <f t="shared" si="0"/>
        <v>GSC 95330 XBA IX (LAT) COCINA INOX</v>
      </c>
      <c r="G26" s="164" t="s">
        <v>1390</v>
      </c>
      <c r="H26" s="162" t="s">
        <v>24</v>
      </c>
      <c r="I26" s="160" t="s">
        <v>25</v>
      </c>
      <c r="J26" s="160" t="s">
        <v>1017</v>
      </c>
      <c r="K26" s="163">
        <v>45903</v>
      </c>
      <c r="L26" s="149" t="s">
        <v>1391</v>
      </c>
      <c r="M26" s="149" t="s">
        <v>1385</v>
      </c>
      <c r="N26" s="164">
        <v>999855619</v>
      </c>
      <c r="O26" s="169">
        <v>25</v>
      </c>
      <c r="P26" s="160" t="s">
        <v>59</v>
      </c>
      <c r="Q26" s="160" t="s">
        <v>25</v>
      </c>
      <c r="R26" s="160"/>
      <c r="S26" s="160" t="str">
        <f t="shared" si="1"/>
        <v>044-013-000025779</v>
      </c>
      <c r="T26" s="161" t="s">
        <v>1392</v>
      </c>
      <c r="U26" s="170" t="s">
        <v>1393</v>
      </c>
    </row>
    <row r="27" spans="1:21" s="2" customFormat="1" ht="21">
      <c r="A27" s="2">
        <v>22</v>
      </c>
      <c r="B27" s="163">
        <v>45220</v>
      </c>
      <c r="C27" s="149" t="s">
        <v>1045</v>
      </c>
      <c r="D27" s="149" t="s">
        <v>1399</v>
      </c>
      <c r="E27" s="164">
        <v>112570041</v>
      </c>
      <c r="F27" s="165" t="str">
        <f t="shared" si="0"/>
        <v>GZC 64320 XBB CRISTAL COCINA GAS</v>
      </c>
      <c r="G27" s="164" t="s">
        <v>1398</v>
      </c>
      <c r="H27" s="162" t="s">
        <v>24</v>
      </c>
      <c r="I27" s="160" t="s">
        <v>25</v>
      </c>
      <c r="J27" s="160" t="s">
        <v>1017</v>
      </c>
      <c r="K27" s="163">
        <v>45903</v>
      </c>
      <c r="L27" s="149" t="s">
        <v>1397</v>
      </c>
      <c r="M27" s="149" t="s">
        <v>1396</v>
      </c>
      <c r="N27" s="164">
        <v>987094737</v>
      </c>
      <c r="O27" s="169">
        <v>25</v>
      </c>
      <c r="P27" s="160" t="s">
        <v>59</v>
      </c>
      <c r="Q27" s="160" t="s">
        <v>25</v>
      </c>
      <c r="R27" s="160"/>
      <c r="S27" s="160" t="str">
        <f t="shared" si="1"/>
        <v>016-906-000101268</v>
      </c>
      <c r="T27" s="161" t="s">
        <v>1395</v>
      </c>
      <c r="U27" s="170" t="s">
        <v>1394</v>
      </c>
    </row>
    <row r="28" spans="1:21" s="2" customFormat="1" ht="21">
      <c r="A28" s="2">
        <v>23</v>
      </c>
      <c r="B28" s="163">
        <v>45824</v>
      </c>
      <c r="C28" s="149" t="s">
        <v>1045</v>
      </c>
      <c r="D28" s="149" t="s">
        <v>1400</v>
      </c>
      <c r="E28" s="164">
        <v>113430073</v>
      </c>
      <c r="F28" s="165" t="str">
        <f t="shared" si="0"/>
        <v>RMF 77960 DSS MX REFRIGERADORA DARK INOX</v>
      </c>
      <c r="G28" s="164" t="s">
        <v>1401</v>
      </c>
      <c r="H28" s="162" t="s">
        <v>24</v>
      </c>
      <c r="I28" s="160" t="s">
        <v>25</v>
      </c>
      <c r="J28" s="160" t="s">
        <v>1017</v>
      </c>
      <c r="K28" s="163">
        <v>45904</v>
      </c>
      <c r="L28" s="149" t="s">
        <v>1402</v>
      </c>
      <c r="M28" s="149" t="s">
        <v>1403</v>
      </c>
      <c r="N28" s="164">
        <v>992911505</v>
      </c>
      <c r="O28" s="169">
        <v>30</v>
      </c>
      <c r="P28" s="160" t="s">
        <v>59</v>
      </c>
      <c r="Q28" s="160" t="s">
        <v>25</v>
      </c>
      <c r="R28" s="160"/>
      <c r="S28" s="160" t="str">
        <f t="shared" si="1"/>
        <v>043-903-000078415</v>
      </c>
      <c r="T28" s="161" t="s">
        <v>1404</v>
      </c>
      <c r="U28" s="170" t="s">
        <v>1405</v>
      </c>
    </row>
    <row r="29" spans="1:21" s="2" customFormat="1" ht="21">
      <c r="A29" s="2">
        <v>24</v>
      </c>
      <c r="B29" s="163">
        <v>45901</v>
      </c>
      <c r="C29" s="149" t="s">
        <v>1045</v>
      </c>
      <c r="D29" s="149" t="s">
        <v>1406</v>
      </c>
      <c r="E29" s="164">
        <v>112570073</v>
      </c>
      <c r="F29" s="165" t="str">
        <f t="shared" si="0"/>
        <v>GZC 96310 XBB CRISTAL COCINA GAS</v>
      </c>
      <c r="G29" s="164" t="s">
        <v>1407</v>
      </c>
      <c r="H29" s="162" t="s">
        <v>24</v>
      </c>
      <c r="I29" s="160" t="s">
        <v>25</v>
      </c>
      <c r="J29" s="160" t="s">
        <v>1017</v>
      </c>
      <c r="K29" s="163">
        <v>45904</v>
      </c>
      <c r="L29" s="149" t="s">
        <v>1408</v>
      </c>
      <c r="M29" s="149" t="s">
        <v>1409</v>
      </c>
      <c r="N29" s="164">
        <v>981590060</v>
      </c>
      <c r="O29" s="169">
        <v>29</v>
      </c>
      <c r="P29" s="160" t="s">
        <v>59</v>
      </c>
      <c r="Q29" s="160" t="s">
        <v>25</v>
      </c>
      <c r="R29" s="160"/>
      <c r="S29" s="160" t="str">
        <f t="shared" si="1"/>
        <v>016-902-000528784</v>
      </c>
      <c r="T29" s="161" t="s">
        <v>1410</v>
      </c>
      <c r="U29" s="170" t="s">
        <v>1411</v>
      </c>
    </row>
    <row r="30" spans="1:21" s="2" customFormat="1" ht="21">
      <c r="A30" s="2">
        <v>25</v>
      </c>
      <c r="B30" s="163">
        <v>45903</v>
      </c>
      <c r="C30" s="149" t="s">
        <v>1045</v>
      </c>
      <c r="D30" s="149" t="s">
        <v>1417</v>
      </c>
      <c r="E30" s="164">
        <v>40466241</v>
      </c>
      <c r="F30" s="165" t="str">
        <f t="shared" si="0"/>
        <v>C 9310 INOX CAMPANA (110V-60HZ) C/KIT</v>
      </c>
      <c r="G30" s="164" t="s">
        <v>1416</v>
      </c>
      <c r="H30" s="162" t="s">
        <v>24</v>
      </c>
      <c r="I30" s="160" t="s">
        <v>25</v>
      </c>
      <c r="J30" s="160" t="s">
        <v>1017</v>
      </c>
      <c r="K30" s="163">
        <v>45905</v>
      </c>
      <c r="L30" s="149" t="s">
        <v>1415</v>
      </c>
      <c r="M30" s="149" t="s">
        <v>1414</v>
      </c>
      <c r="N30" s="164">
        <v>987187169</v>
      </c>
      <c r="O30" s="169">
        <v>15</v>
      </c>
      <c r="P30" s="160" t="s">
        <v>59</v>
      </c>
      <c r="Q30" s="160" t="s">
        <v>25</v>
      </c>
      <c r="R30" s="160"/>
      <c r="S30" s="160" t="str">
        <f t="shared" si="1"/>
        <v>043-902-000000691</v>
      </c>
      <c r="T30" s="161" t="s">
        <v>1413</v>
      </c>
      <c r="U30" s="170" t="s">
        <v>1412</v>
      </c>
    </row>
    <row r="31" spans="1:21" s="2" customFormat="1" ht="21">
      <c r="A31" s="2">
        <v>26</v>
      </c>
      <c r="B31" s="163">
        <v>45902</v>
      </c>
      <c r="C31" s="149" t="s">
        <v>1054</v>
      </c>
      <c r="D31" s="149" t="s">
        <v>1418</v>
      </c>
      <c r="E31" s="164">
        <v>113430051</v>
      </c>
      <c r="F31" s="165" t="str">
        <f t="shared" si="0"/>
        <v>RMF 77960 GBK MX REFRIGERADORA</v>
      </c>
      <c r="G31" s="164" t="s">
        <v>1419</v>
      </c>
      <c r="H31" s="162" t="s">
        <v>24</v>
      </c>
      <c r="I31" s="160" t="s">
        <v>25</v>
      </c>
      <c r="J31" s="160" t="s">
        <v>1017</v>
      </c>
      <c r="K31" s="163">
        <v>45905</v>
      </c>
      <c r="L31" s="149" t="s">
        <v>1420</v>
      </c>
      <c r="M31" s="149" t="s">
        <v>1052</v>
      </c>
      <c r="N31" s="164">
        <v>982759252</v>
      </c>
      <c r="O31" s="169">
        <v>30</v>
      </c>
      <c r="P31" s="160" t="s">
        <v>59</v>
      </c>
      <c r="Q31" s="160" t="s">
        <v>25</v>
      </c>
      <c r="R31" s="160"/>
      <c r="S31" s="160" t="str">
        <f t="shared" si="1"/>
        <v>001-502-000000448</v>
      </c>
      <c r="T31" s="161" t="s">
        <v>1421</v>
      </c>
      <c r="U31" s="170" t="s">
        <v>1422</v>
      </c>
    </row>
    <row r="32" spans="1:21" s="2" customFormat="1" ht="21">
      <c r="A32" s="2">
        <v>27</v>
      </c>
      <c r="B32" s="163">
        <v>45905</v>
      </c>
      <c r="C32" s="149" t="s">
        <v>1045</v>
      </c>
      <c r="D32" s="149" t="s">
        <v>1423</v>
      </c>
      <c r="E32" s="164">
        <v>40461543</v>
      </c>
      <c r="F32" s="165" t="str">
        <f t="shared" si="0"/>
        <v>C 6310 INOX CAMPANA (110V-60HZ) C/KIT</v>
      </c>
      <c r="G32" s="164" t="s">
        <v>1424</v>
      </c>
      <c r="H32" s="162" t="s">
        <v>24</v>
      </c>
      <c r="I32" s="160" t="s">
        <v>25</v>
      </c>
      <c r="J32" s="160" t="s">
        <v>1017</v>
      </c>
      <c r="K32" s="163">
        <v>45909</v>
      </c>
      <c r="L32" s="149" t="s">
        <v>1425</v>
      </c>
      <c r="M32" s="149" t="s">
        <v>1426</v>
      </c>
      <c r="N32" s="164">
        <v>997666978</v>
      </c>
      <c r="O32" s="169">
        <v>15</v>
      </c>
      <c r="P32" s="160" t="s">
        <v>59</v>
      </c>
      <c r="Q32" s="160" t="s">
        <v>25</v>
      </c>
      <c r="R32" s="160"/>
      <c r="S32" s="160" t="str">
        <f t="shared" si="1"/>
        <v>043-907-000030653</v>
      </c>
      <c r="T32" s="161" t="s">
        <v>1427</v>
      </c>
      <c r="U32" s="170" t="s">
        <v>1394</v>
      </c>
    </row>
    <row r="33" spans="1:21" s="197" customFormat="1" ht="21">
      <c r="A33" s="2">
        <v>28</v>
      </c>
      <c r="B33" s="163">
        <v>45902</v>
      </c>
      <c r="C33" s="201" t="s">
        <v>1274</v>
      </c>
      <c r="D33" s="201" t="s">
        <v>1433</v>
      </c>
      <c r="E33" s="164">
        <v>40446712</v>
      </c>
      <c r="F33" s="204" t="str">
        <f t="shared" si="0"/>
        <v>GFH 73 INOX CAMPANA (110V-60HZ) C/KIT</v>
      </c>
      <c r="G33" s="164" t="s">
        <v>1432</v>
      </c>
      <c r="H33" s="162" t="s">
        <v>24</v>
      </c>
      <c r="I33" s="160" t="s">
        <v>25</v>
      </c>
      <c r="J33" s="160" t="s">
        <v>1017</v>
      </c>
      <c r="K33" s="163">
        <v>45911</v>
      </c>
      <c r="L33" s="201" t="s">
        <v>1431</v>
      </c>
      <c r="M33" s="201" t="s">
        <v>1430</v>
      </c>
      <c r="N33" s="164">
        <v>40446712</v>
      </c>
      <c r="O33" s="169">
        <v>15</v>
      </c>
      <c r="P33" s="160" t="s">
        <v>59</v>
      </c>
      <c r="Q33" s="160" t="s">
        <v>25</v>
      </c>
      <c r="R33" s="160"/>
      <c r="S33" s="160" t="str">
        <f t="shared" si="1"/>
        <v>007-007-000035560</v>
      </c>
      <c r="T33" s="161" t="s">
        <v>1429</v>
      </c>
      <c r="U33" s="202" t="s">
        <v>1428</v>
      </c>
    </row>
    <row r="34" spans="1:21" s="197" customFormat="1" ht="21">
      <c r="A34" s="2">
        <v>29</v>
      </c>
      <c r="B34" s="163">
        <v>45925</v>
      </c>
      <c r="C34" s="201" t="s">
        <v>1054</v>
      </c>
      <c r="D34" s="201" t="s">
        <v>1434</v>
      </c>
      <c r="E34" s="164">
        <v>40467305</v>
      </c>
      <c r="F34" s="204" t="str">
        <f t="shared" si="0"/>
        <v>C 710 NEGRA CAMPANA (110V-60HZ) C/KIT</v>
      </c>
      <c r="G34" s="164" t="s">
        <v>1435</v>
      </c>
      <c r="H34" s="162" t="s">
        <v>24</v>
      </c>
      <c r="I34" s="160" t="s">
        <v>25</v>
      </c>
      <c r="J34" s="160" t="s">
        <v>1017</v>
      </c>
      <c r="K34" s="163">
        <v>45910</v>
      </c>
      <c r="L34" s="201" t="s">
        <v>1436</v>
      </c>
      <c r="M34" s="201" t="s">
        <v>1437</v>
      </c>
      <c r="N34" s="164">
        <v>997492234</v>
      </c>
      <c r="O34" s="169">
        <v>15</v>
      </c>
      <c r="P34" s="160" t="s">
        <v>59</v>
      </c>
      <c r="Q34" s="160" t="s">
        <v>25</v>
      </c>
      <c r="R34" s="160"/>
      <c r="S34" s="160" t="str">
        <f t="shared" si="1"/>
        <v>001-500-000076297</v>
      </c>
      <c r="T34" s="161" t="s">
        <v>1438</v>
      </c>
      <c r="U34" s="202" t="s">
        <v>1439</v>
      </c>
    </row>
    <row r="35" spans="1:21" s="2" customFormat="1" ht="21">
      <c r="A35" s="2">
        <v>30</v>
      </c>
      <c r="B35" s="163">
        <v>45906</v>
      </c>
      <c r="C35" s="149" t="s">
        <v>1054</v>
      </c>
      <c r="D35" s="149" t="s">
        <v>1440</v>
      </c>
      <c r="E35" s="164">
        <v>111000078</v>
      </c>
      <c r="F35" s="204" t="str">
        <f t="shared" ref="F35" si="4">VLOOKUP(E35,PROD,2,FALSE)</f>
        <v>HLB 8400 FBK HORNO ELEC</v>
      </c>
      <c r="G35" s="164" t="s">
        <v>1441</v>
      </c>
      <c r="H35" s="162" t="s">
        <v>24</v>
      </c>
      <c r="I35" s="160" t="s">
        <v>25</v>
      </c>
      <c r="J35" s="160" t="s">
        <v>1017</v>
      </c>
      <c r="K35" s="163">
        <v>45910</v>
      </c>
      <c r="L35" s="149" t="s">
        <v>1442</v>
      </c>
      <c r="M35" s="149" t="s">
        <v>1385</v>
      </c>
      <c r="N35" s="164">
        <v>992303061</v>
      </c>
      <c r="O35" s="169">
        <v>29</v>
      </c>
      <c r="P35" s="160" t="s">
        <v>59</v>
      </c>
      <c r="Q35" s="160" t="s">
        <v>25</v>
      </c>
      <c r="R35" s="160"/>
      <c r="S35" s="160" t="str">
        <f t="shared" ref="S35:S40" si="5">D35</f>
        <v>001-601-000007796</v>
      </c>
      <c r="T35" s="161" t="s">
        <v>1443</v>
      </c>
      <c r="U35" s="170" t="s">
        <v>1444</v>
      </c>
    </row>
    <row r="36" spans="1:21" s="197" customFormat="1" ht="21">
      <c r="A36" s="2">
        <v>31</v>
      </c>
      <c r="B36" s="196">
        <v>45885</v>
      </c>
      <c r="C36" s="197" t="s">
        <v>1100</v>
      </c>
      <c r="D36" s="197" t="s">
        <v>1449</v>
      </c>
      <c r="E36" s="200">
        <v>111020071</v>
      </c>
      <c r="F36" s="204" t="str">
        <f t="shared" si="0"/>
        <v>HBB 510 BK 220-240  50/60 HORNO ELEC</v>
      </c>
      <c r="G36" s="200" t="s">
        <v>1448</v>
      </c>
      <c r="H36" s="162" t="s">
        <v>24</v>
      </c>
      <c r="I36" s="160" t="s">
        <v>25</v>
      </c>
      <c r="J36" s="160" t="s">
        <v>1017</v>
      </c>
      <c r="K36" s="196">
        <v>45911</v>
      </c>
      <c r="L36" s="197" t="s">
        <v>1447</v>
      </c>
      <c r="M36" s="197" t="s">
        <v>1446</v>
      </c>
      <c r="N36" s="200">
        <v>991307808</v>
      </c>
      <c r="O36" s="199">
        <v>25</v>
      </c>
      <c r="P36" s="160" t="s">
        <v>59</v>
      </c>
      <c r="Q36" s="160" t="s">
        <v>25</v>
      </c>
      <c r="S36" s="160" t="str">
        <f t="shared" si="5"/>
        <v>001-001-000001212</v>
      </c>
      <c r="T36" s="197">
        <v>101021657</v>
      </c>
      <c r="U36" s="198" t="s">
        <v>1445</v>
      </c>
    </row>
    <row r="37" spans="1:21" s="197" customFormat="1" ht="21">
      <c r="A37" s="2">
        <v>32</v>
      </c>
      <c r="B37" s="196">
        <v>45930</v>
      </c>
      <c r="C37" s="197" t="s">
        <v>1054</v>
      </c>
      <c r="D37" s="197" t="s">
        <v>1450</v>
      </c>
      <c r="E37" s="200">
        <v>111010040</v>
      </c>
      <c r="F37" s="204" t="str">
        <f t="shared" si="0"/>
        <v>HSB 610 NEGRO HORNO ELEC</v>
      </c>
      <c r="G37" s="200" t="s">
        <v>1451</v>
      </c>
      <c r="H37" s="162" t="s">
        <v>24</v>
      </c>
      <c r="I37" s="160" t="s">
        <v>25</v>
      </c>
      <c r="J37" s="160" t="s">
        <v>1017</v>
      </c>
      <c r="K37" s="196">
        <v>45911</v>
      </c>
      <c r="L37" s="197" t="s">
        <v>1452</v>
      </c>
      <c r="M37" s="197" t="s">
        <v>1453</v>
      </c>
      <c r="N37" s="200">
        <v>999979686</v>
      </c>
      <c r="O37" s="199">
        <v>25</v>
      </c>
      <c r="P37" s="160" t="s">
        <v>59</v>
      </c>
      <c r="Q37" s="160" t="s">
        <v>25</v>
      </c>
      <c r="S37" s="160" t="str">
        <f t="shared" si="5"/>
        <v>001-500-000076468</v>
      </c>
      <c r="T37" s="197">
        <v>105057996</v>
      </c>
      <c r="U37" s="198" t="s">
        <v>1454</v>
      </c>
    </row>
    <row r="38" spans="1:21" s="256" customFormat="1" ht="21">
      <c r="A38" s="2">
        <v>33</v>
      </c>
      <c r="B38" s="255">
        <v>45902</v>
      </c>
      <c r="C38" s="256" t="s">
        <v>1274</v>
      </c>
      <c r="D38" s="256" t="s">
        <v>1433</v>
      </c>
      <c r="E38" s="257">
        <v>112570124</v>
      </c>
      <c r="F38" s="258" t="str">
        <f t="shared" si="0"/>
        <v>JZC 64322 ABB BK (LAT) COCINA MIXTA GAS - INDUCCION</v>
      </c>
      <c r="G38" s="257" t="s">
        <v>1527</v>
      </c>
      <c r="H38" s="162" t="s">
        <v>24</v>
      </c>
      <c r="I38" s="160" t="s">
        <v>25</v>
      </c>
      <c r="J38" s="160" t="s">
        <v>1017</v>
      </c>
      <c r="K38" s="255">
        <v>45912</v>
      </c>
      <c r="L38" s="256" t="s">
        <v>1528</v>
      </c>
      <c r="M38" s="256" t="s">
        <v>1529</v>
      </c>
      <c r="N38" s="257">
        <v>958620101</v>
      </c>
      <c r="O38" s="259">
        <v>29</v>
      </c>
      <c r="P38" s="160" t="s">
        <v>59</v>
      </c>
      <c r="Q38" s="160" t="s">
        <v>25</v>
      </c>
      <c r="S38" s="160" t="str">
        <f t="shared" si="5"/>
        <v>007-007-000035560</v>
      </c>
      <c r="T38" s="260" t="s">
        <v>1532</v>
      </c>
      <c r="U38" s="261" t="s">
        <v>1530</v>
      </c>
    </row>
    <row r="39" spans="1:21" s="197" customFormat="1" ht="21">
      <c r="A39" s="2">
        <v>34</v>
      </c>
      <c r="B39" s="196">
        <v>45906</v>
      </c>
      <c r="C39" s="197" t="s">
        <v>1054</v>
      </c>
      <c r="D39" s="197" t="s">
        <v>1537</v>
      </c>
      <c r="E39" s="200">
        <v>112570093</v>
      </c>
      <c r="F39" s="204" t="str">
        <f t="shared" si="0"/>
        <v>GZC 75330 XBB CRISTAL COCINA GAS</v>
      </c>
      <c r="G39" s="200" t="s">
        <v>1536</v>
      </c>
      <c r="H39" s="162" t="s">
        <v>24</v>
      </c>
      <c r="I39" s="160" t="s">
        <v>25</v>
      </c>
      <c r="J39" s="160" t="s">
        <v>1017</v>
      </c>
      <c r="K39" s="196">
        <v>45912</v>
      </c>
      <c r="L39" s="197" t="s">
        <v>1535</v>
      </c>
      <c r="M39" s="197" t="s">
        <v>1534</v>
      </c>
      <c r="N39" s="200">
        <v>999977748</v>
      </c>
      <c r="O39" s="199">
        <v>29</v>
      </c>
      <c r="P39" s="160" t="s">
        <v>59</v>
      </c>
      <c r="Q39" s="160" t="s">
        <v>25</v>
      </c>
      <c r="S39" s="160" t="str">
        <f t="shared" si="5"/>
        <v>001-500-00007748</v>
      </c>
      <c r="T39" s="212" t="s">
        <v>1533</v>
      </c>
      <c r="U39" s="198" t="s">
        <v>1531</v>
      </c>
    </row>
    <row r="40" spans="1:21" s="197" customFormat="1" ht="21">
      <c r="A40" s="2">
        <v>35</v>
      </c>
      <c r="B40" s="196">
        <v>45236</v>
      </c>
      <c r="C40" s="197" t="s">
        <v>1054</v>
      </c>
      <c r="D40" s="197" t="s">
        <v>1538</v>
      </c>
      <c r="E40" s="200">
        <v>112510035</v>
      </c>
      <c r="F40" s="204" t="str">
        <f t="shared" si="0"/>
        <v>IZF 64440 MSP BK COCINA INDUCCION</v>
      </c>
      <c r="G40" s="200" t="s">
        <v>1539</v>
      </c>
      <c r="H40" s="162" t="s">
        <v>24</v>
      </c>
      <c r="I40" s="160" t="s">
        <v>25</v>
      </c>
      <c r="J40" s="160" t="s">
        <v>1017</v>
      </c>
      <c r="K40" s="196">
        <v>45915</v>
      </c>
      <c r="L40" s="197" t="s">
        <v>1540</v>
      </c>
      <c r="M40" s="197" t="s">
        <v>1541</v>
      </c>
      <c r="N40" s="200">
        <v>9984745385</v>
      </c>
      <c r="O40" s="199">
        <v>29</v>
      </c>
      <c r="P40" s="160" t="s">
        <v>59</v>
      </c>
      <c r="Q40" s="160" t="s">
        <v>25</v>
      </c>
      <c r="S40" s="160" t="str">
        <f t="shared" si="5"/>
        <v>001-500-000057023</v>
      </c>
      <c r="T40" s="212" t="s">
        <v>1542</v>
      </c>
      <c r="U40" s="198" t="s">
        <v>1394</v>
      </c>
    </row>
    <row r="41" spans="1:21" s="197" customFormat="1" ht="21">
      <c r="A41" s="2">
        <v>36</v>
      </c>
      <c r="B41" s="196">
        <v>45908</v>
      </c>
      <c r="C41" s="197" t="s">
        <v>1045</v>
      </c>
      <c r="D41" s="197" t="s">
        <v>1619</v>
      </c>
      <c r="E41" s="200">
        <v>40466241</v>
      </c>
      <c r="F41" s="204" t="str">
        <f t="shared" ref="F41:F47" si="6">VLOOKUP(E41,PROD,2,FALSE)</f>
        <v>C 9310 INOX CAMPANA (110V-60HZ) C/KIT</v>
      </c>
      <c r="G41" s="200" t="s">
        <v>1620</v>
      </c>
      <c r="H41" s="162" t="s">
        <v>24</v>
      </c>
      <c r="I41" s="160" t="s">
        <v>25</v>
      </c>
      <c r="J41" s="160" t="s">
        <v>1017</v>
      </c>
      <c r="K41" s="196">
        <v>45915</v>
      </c>
      <c r="L41" s="197" t="s">
        <v>1621</v>
      </c>
      <c r="M41" s="197" t="s">
        <v>1622</v>
      </c>
      <c r="N41" s="200">
        <v>102929418</v>
      </c>
      <c r="O41" s="199">
        <v>15</v>
      </c>
      <c r="P41" s="160" t="s">
        <v>59</v>
      </c>
      <c r="Q41" s="160" t="s">
        <v>25</v>
      </c>
      <c r="S41" s="160" t="str">
        <f t="shared" ref="S41:S47" si="7">D41</f>
        <v>016-907-000270410</v>
      </c>
      <c r="T41" s="212" t="s">
        <v>1623</v>
      </c>
      <c r="U41" s="198" t="s">
        <v>1624</v>
      </c>
    </row>
    <row r="42" spans="1:21" s="197" customFormat="1" ht="21">
      <c r="A42" s="2">
        <v>37</v>
      </c>
      <c r="B42" s="196">
        <v>45835</v>
      </c>
      <c r="C42" s="197" t="s">
        <v>1054</v>
      </c>
      <c r="D42" s="197" t="s">
        <v>1625</v>
      </c>
      <c r="E42" s="200">
        <v>112950021</v>
      </c>
      <c r="F42" s="204" t="str">
        <f t="shared" si="6"/>
        <v>DVN 94030 TCL BK CAMPANA (110V-60HZ) C/KIT</v>
      </c>
      <c r="G42" s="200" t="s">
        <v>1626</v>
      </c>
      <c r="H42" s="162" t="s">
        <v>24</v>
      </c>
      <c r="I42" s="160" t="s">
        <v>25</v>
      </c>
      <c r="J42" s="160" t="s">
        <v>1017</v>
      </c>
      <c r="K42" s="196">
        <v>45916</v>
      </c>
      <c r="L42" s="197" t="s">
        <v>1627</v>
      </c>
      <c r="M42" s="197" t="s">
        <v>1628</v>
      </c>
      <c r="N42" s="200">
        <v>102185345</v>
      </c>
      <c r="O42" s="199">
        <v>36</v>
      </c>
      <c r="P42" s="160" t="s">
        <v>59</v>
      </c>
      <c r="Q42" s="160" t="s">
        <v>25</v>
      </c>
      <c r="S42" s="160" t="str">
        <f t="shared" si="7"/>
        <v>001-500-000074556</v>
      </c>
      <c r="T42" s="212" t="s">
        <v>1629</v>
      </c>
      <c r="U42" s="198" t="s">
        <v>1630</v>
      </c>
    </row>
    <row r="43" spans="1:21" s="197" customFormat="1" ht="21">
      <c r="A43" s="2">
        <v>38</v>
      </c>
      <c r="B43" s="196">
        <v>45912</v>
      </c>
      <c r="C43" s="197" t="s">
        <v>1054</v>
      </c>
      <c r="D43" s="197" t="s">
        <v>1632</v>
      </c>
      <c r="E43" s="200">
        <v>40466111</v>
      </c>
      <c r="F43" s="204" t="str">
        <f t="shared" si="6"/>
        <v>C 910 NEGRA CAMPANA (110V-60HZ) C/KIT</v>
      </c>
      <c r="G43" s="200" t="s">
        <v>1633</v>
      </c>
      <c r="H43" s="162" t="s">
        <v>24</v>
      </c>
      <c r="I43" s="160" t="s">
        <v>25</v>
      </c>
      <c r="J43" s="160" t="s">
        <v>1017</v>
      </c>
      <c r="K43" s="196">
        <v>45916</v>
      </c>
      <c r="L43" s="197" t="s">
        <v>1634</v>
      </c>
      <c r="M43" s="197" t="s">
        <v>1426</v>
      </c>
      <c r="N43" s="200">
        <v>101008829</v>
      </c>
      <c r="O43" s="199">
        <v>15</v>
      </c>
      <c r="P43" s="160" t="s">
        <v>59</v>
      </c>
      <c r="Q43" s="160" t="s">
        <v>25</v>
      </c>
      <c r="S43" s="160" t="str">
        <f t="shared" si="7"/>
        <v>001-500-000076827</v>
      </c>
      <c r="T43" s="212" t="s">
        <v>1635</v>
      </c>
      <c r="U43" s="198" t="s">
        <v>1631</v>
      </c>
    </row>
    <row r="44" spans="1:21" s="197" customFormat="1" ht="21">
      <c r="A44" s="2">
        <v>39</v>
      </c>
      <c r="B44" s="196">
        <v>45916</v>
      </c>
      <c r="C44" s="197" t="s">
        <v>1636</v>
      </c>
      <c r="D44" s="197" t="s">
        <v>1637</v>
      </c>
      <c r="E44" s="200">
        <v>40197255</v>
      </c>
      <c r="F44" s="204" t="str">
        <f t="shared" si="6"/>
        <v>TR 710.1 TRITURADOR</v>
      </c>
      <c r="G44" s="200" t="s">
        <v>1638</v>
      </c>
      <c r="H44" s="162" t="s">
        <v>24</v>
      </c>
      <c r="I44" s="160" t="s">
        <v>25</v>
      </c>
      <c r="J44" s="160" t="s">
        <v>1017</v>
      </c>
      <c r="K44" s="196">
        <v>45916</v>
      </c>
      <c r="L44" s="197" t="s">
        <v>1639</v>
      </c>
      <c r="M44" s="197" t="s">
        <v>1640</v>
      </c>
      <c r="N44" s="200">
        <v>100031095</v>
      </c>
      <c r="O44" s="199">
        <v>15</v>
      </c>
      <c r="P44" s="160" t="s">
        <v>59</v>
      </c>
      <c r="Q44" s="160" t="s">
        <v>25</v>
      </c>
      <c r="S44" s="160" t="str">
        <f t="shared" si="7"/>
        <v>043-903-00009416</v>
      </c>
      <c r="T44" s="212" t="s">
        <v>1641</v>
      </c>
      <c r="U44" s="198" t="s">
        <v>1642</v>
      </c>
    </row>
    <row r="45" spans="1:21" s="197" customFormat="1" ht="21">
      <c r="A45" s="2">
        <v>40</v>
      </c>
      <c r="B45" s="196">
        <v>45910</v>
      </c>
      <c r="C45" s="197" t="s">
        <v>1045</v>
      </c>
      <c r="D45" s="197" t="s">
        <v>1643</v>
      </c>
      <c r="E45" s="200">
        <v>40466241</v>
      </c>
      <c r="F45" s="204" t="str">
        <f t="shared" si="6"/>
        <v>C 9310 INOX CAMPANA (110V-60HZ) C/KIT</v>
      </c>
      <c r="G45" s="200" t="s">
        <v>1644</v>
      </c>
      <c r="H45" s="162" t="s">
        <v>24</v>
      </c>
      <c r="I45" s="160" t="s">
        <v>25</v>
      </c>
      <c r="J45" s="160" t="s">
        <v>1017</v>
      </c>
      <c r="K45" s="196">
        <v>45916</v>
      </c>
      <c r="L45" s="197" t="s">
        <v>1645</v>
      </c>
      <c r="M45" s="197" t="s">
        <v>1646</v>
      </c>
      <c r="N45" s="200">
        <v>703744532</v>
      </c>
      <c r="O45" s="199">
        <v>15</v>
      </c>
      <c r="P45" s="160" t="s">
        <v>59</v>
      </c>
      <c r="Q45" s="160" t="s">
        <v>25</v>
      </c>
      <c r="S45" s="160" t="str">
        <f t="shared" si="7"/>
        <v>016-907-000270719</v>
      </c>
      <c r="T45" s="212" t="s">
        <v>1647</v>
      </c>
      <c r="U45" s="198" t="s">
        <v>1648</v>
      </c>
    </row>
    <row r="46" spans="1:21" s="197" customFormat="1" ht="21">
      <c r="A46" s="2">
        <v>41</v>
      </c>
      <c r="B46" s="196">
        <v>45896</v>
      </c>
      <c r="C46" s="197" t="s">
        <v>1045</v>
      </c>
      <c r="D46" s="197" t="s">
        <v>1649</v>
      </c>
      <c r="E46" s="200">
        <v>112580017</v>
      </c>
      <c r="F46" s="204" t="str">
        <f t="shared" si="6"/>
        <v>GBC 64000 KBB CRISTAL COCINA GAS</v>
      </c>
      <c r="G46" s="200" t="s">
        <v>1650</v>
      </c>
      <c r="H46" s="162" t="s">
        <v>24</v>
      </c>
      <c r="I46" s="160" t="s">
        <v>25</v>
      </c>
      <c r="J46" s="160" t="s">
        <v>1017</v>
      </c>
      <c r="K46" s="196">
        <v>45917</v>
      </c>
      <c r="L46" s="197" t="s">
        <v>1651</v>
      </c>
      <c r="M46" s="197" t="s">
        <v>1652</v>
      </c>
      <c r="N46" s="200">
        <v>105762637</v>
      </c>
      <c r="O46" s="199">
        <v>29</v>
      </c>
      <c r="P46" s="160" t="s">
        <v>59</v>
      </c>
      <c r="Q46" s="160" t="s">
        <v>25</v>
      </c>
      <c r="S46" s="160" t="str">
        <f t="shared" si="7"/>
        <v>043-903-000091392</v>
      </c>
      <c r="T46" s="212" t="s">
        <v>1653</v>
      </c>
      <c r="U46" s="198" t="s">
        <v>1654</v>
      </c>
    </row>
    <row r="47" spans="1:21" s="197" customFormat="1" ht="21">
      <c r="A47" s="2">
        <v>42</v>
      </c>
      <c r="B47" s="196">
        <v>45914</v>
      </c>
      <c r="C47" s="197" t="s">
        <v>1045</v>
      </c>
      <c r="D47" s="197" t="s">
        <v>1667</v>
      </c>
      <c r="E47" s="200">
        <v>112610068</v>
      </c>
      <c r="F47" s="204" t="str">
        <f t="shared" si="6"/>
        <v>GSC 95330 XBA IX (LAT) COCINA INOX</v>
      </c>
      <c r="G47" s="200" t="s">
        <v>1668</v>
      </c>
      <c r="H47" s="162" t="s">
        <v>24</v>
      </c>
      <c r="I47" s="160" t="s">
        <v>25</v>
      </c>
      <c r="J47" s="160" t="s">
        <v>1017</v>
      </c>
      <c r="K47" s="196">
        <v>45918</v>
      </c>
      <c r="L47" s="197" t="s">
        <v>1669</v>
      </c>
      <c r="M47" s="197" t="s">
        <v>1670</v>
      </c>
      <c r="N47" s="200">
        <v>1104479645</v>
      </c>
      <c r="O47" s="199">
        <v>29</v>
      </c>
      <c r="P47" s="160" t="s">
        <v>59</v>
      </c>
      <c r="Q47" s="160" t="s">
        <v>25</v>
      </c>
      <c r="S47" s="160" t="str">
        <f t="shared" si="7"/>
        <v>043-902-000061561</v>
      </c>
      <c r="T47" s="212" t="s">
        <v>1671</v>
      </c>
      <c r="U47" s="198" t="s">
        <v>1672</v>
      </c>
    </row>
    <row r="48" spans="1:21" s="197" customFormat="1" ht="21">
      <c r="A48" s="2">
        <v>43</v>
      </c>
      <c r="B48" s="196">
        <v>45884</v>
      </c>
      <c r="C48" s="197" t="s">
        <v>1045</v>
      </c>
      <c r="D48" s="197" t="s">
        <v>1684</v>
      </c>
      <c r="E48" s="200">
        <v>112580017</v>
      </c>
      <c r="F48" s="204" t="str">
        <f t="shared" ref="F48" si="8">VLOOKUP(E48,PROD,2,FALSE)</f>
        <v>GBC 64000 KBB CRISTAL COCINA GAS</v>
      </c>
      <c r="G48" s="200" t="s">
        <v>1685</v>
      </c>
      <c r="H48" s="162" t="s">
        <v>24</v>
      </c>
      <c r="I48" s="160" t="s">
        <v>25</v>
      </c>
      <c r="J48" s="160" t="s">
        <v>1017</v>
      </c>
      <c r="K48" s="196">
        <v>45918</v>
      </c>
      <c r="L48" s="197" t="s">
        <v>1686</v>
      </c>
      <c r="M48" s="197" t="s">
        <v>1687</v>
      </c>
      <c r="N48" s="200">
        <v>112580017</v>
      </c>
      <c r="O48" s="199">
        <v>29</v>
      </c>
      <c r="P48" s="160" t="s">
        <v>59</v>
      </c>
      <c r="Q48" s="160" t="s">
        <v>25</v>
      </c>
      <c r="S48" s="160" t="str">
        <f t="shared" ref="S48" si="9">D48</f>
        <v>043-901-000026899</v>
      </c>
      <c r="T48" s="212" t="s">
        <v>1671</v>
      </c>
      <c r="U48" s="198" t="s">
        <v>1672</v>
      </c>
    </row>
    <row r="49" spans="15:15" s="2" customFormat="1" ht="21">
      <c r="O49" s="171">
        <f>SUM(O6:O48)</f>
        <v>1014</v>
      </c>
    </row>
    <row r="50" spans="15:15" s="2" customFormat="1" ht="21"/>
    <row r="51" spans="15:15" s="2" customFormat="1" ht="21"/>
    <row r="52" spans="15:15" s="2" customFormat="1" ht="21"/>
    <row r="53" spans="15:15" s="2" customFormat="1" ht="21">
      <c r="O53" s="171"/>
    </row>
    <row r="54" spans="15:15" s="2" customFormat="1" ht="21"/>
    <row r="55" spans="15:15" s="2" customFormat="1" ht="21"/>
    <row r="56" spans="15:15" s="2" customFormat="1" ht="21"/>
  </sheetData>
  <hyperlinks>
    <hyperlink ref="U6" r:id="rId1" xr:uid="{8CF8EA0A-5898-D840-9E61-F2D190059674}"/>
    <hyperlink ref="U7" r:id="rId2" xr:uid="{902CB486-A397-C346-AC47-0727BFB12FFC}"/>
    <hyperlink ref="U8" r:id="rId3" xr:uid="{17D05F26-D11B-DB41-82BB-4BF5693FC856}"/>
    <hyperlink ref="U9" r:id="rId4" xr:uid="{14465FEE-236B-7D4C-82F4-DC370301FBAE}"/>
    <hyperlink ref="U10" r:id="rId5" xr:uid="{88600D82-42F4-E241-9794-D94F8B3F27CC}"/>
    <hyperlink ref="U11" r:id="rId6" xr:uid="{DC35D72F-0332-854B-BFEE-75177F660F11}"/>
    <hyperlink ref="U12" r:id="rId7" xr:uid="{CC7382FA-D252-1E42-B91B-C05DC8753E09}"/>
    <hyperlink ref="U13" r:id="rId8" xr:uid="{64D6E282-0315-A34D-94B8-717535150697}"/>
    <hyperlink ref="U14" r:id="rId9" xr:uid="{FC0A5212-423C-5B45-A1DC-6E9905FB7ACD}"/>
    <hyperlink ref="U15" r:id="rId10" xr:uid="{A40CD95B-0263-6147-8B20-83BFAF3B75C0}"/>
    <hyperlink ref="U16" r:id="rId11" xr:uid="{988D3098-3A57-A84F-BC46-21D433B00A8E}"/>
    <hyperlink ref="U17" r:id="rId12" xr:uid="{30A44CF6-DF44-0045-8BBF-785B85D9BD66}"/>
    <hyperlink ref="U18" r:id="rId13" xr:uid="{69792017-F095-8840-9FA7-217DB2D478BA}"/>
    <hyperlink ref="U19" r:id="rId14" xr:uid="{DB210772-3D26-0A49-81A1-3FF58A2B0D0E}"/>
    <hyperlink ref="U20" r:id="rId15" xr:uid="{7AD53F44-1C12-D542-B80C-ADF57510E809}"/>
    <hyperlink ref="U21" r:id="rId16" xr:uid="{E80838A4-1221-3B4B-A449-6BA0F5E9A6EB}"/>
    <hyperlink ref="U22" r:id="rId17" xr:uid="{AE9DEE45-8D67-084F-820B-96010778DF04}"/>
    <hyperlink ref="U23" r:id="rId18" xr:uid="{39ECA1EE-50C5-1541-9B03-9474B74AC30F}"/>
    <hyperlink ref="U25" r:id="rId19" xr:uid="{49327FE0-572E-0847-8185-CCB01A87E374}"/>
    <hyperlink ref="U26" r:id="rId20" xr:uid="{099DBE24-AE0D-FF41-A5CE-EAAB628E3B8A}"/>
    <hyperlink ref="U28" r:id="rId21" xr:uid="{7277E30D-F2CD-484C-8623-A3FB29C57009}"/>
    <hyperlink ref="U29" r:id="rId22" xr:uid="{89C17C49-B12D-B542-8C1D-3A69398D96C8}"/>
    <hyperlink ref="U30" r:id="rId23" xr:uid="{8CAF4056-DD35-5A4E-A7AF-E8AD0FDE48CD}"/>
    <hyperlink ref="U31" r:id="rId24" xr:uid="{1461BAD7-7732-EE44-B4D3-EFA8B8FD87C8}"/>
    <hyperlink ref="U33" r:id="rId25" xr:uid="{90879F47-FFDA-2F4A-AC66-31D90404F8DE}"/>
    <hyperlink ref="U34" r:id="rId26" xr:uid="{4E294137-ACE0-C849-81BD-57267D1CFED5}"/>
    <hyperlink ref="U35" r:id="rId27" xr:uid="{9D7D1F3E-D6CF-474E-9A98-27AF8886D20B}"/>
    <hyperlink ref="U36" r:id="rId28" xr:uid="{AE6965B6-A925-114A-B930-12FA2CA7ECD8}"/>
    <hyperlink ref="U37" r:id="rId29" xr:uid="{BC687F04-1499-B44C-ACF6-CA66D07C2A6B}"/>
    <hyperlink ref="U38" r:id="rId30" xr:uid="{6ABF1DAA-272C-9B47-B60A-3F383E1F0E11}"/>
    <hyperlink ref="U41" r:id="rId31" xr:uid="{F9B1E699-66BC-7E47-8936-9C525446B508}"/>
    <hyperlink ref="U42" r:id="rId32" xr:uid="{286C2A96-2380-154B-88B3-7CF1F0BBEAFE}"/>
    <hyperlink ref="U43" r:id="rId33" xr:uid="{C6CB2317-0D3E-6D41-93D5-BFECC5409E3A}"/>
    <hyperlink ref="U44" r:id="rId34" xr:uid="{26208B96-A462-D944-90E4-7FF455120A09}"/>
    <hyperlink ref="U45" r:id="rId35" xr:uid="{020ED885-C3A5-2B4B-9749-72E858A720D1}"/>
    <hyperlink ref="U46" r:id="rId36" xr:uid="{A492E93C-B347-D24B-804C-B250C1A0119A}"/>
    <hyperlink ref="U47" r:id="rId37" xr:uid="{ABB537A8-9086-5F43-B108-91D04892BFBE}"/>
    <hyperlink ref="U48" r:id="rId38" xr:uid="{97258188-2EF9-9A44-933C-D7ED5D2078F5}"/>
  </hyperlinks>
  <pageMargins left="0.7" right="0.7" top="0.75" bottom="0.75" header="0.3" footer="0.3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GARANTIAS</vt:lpstr>
      <vt:lpstr>PROMOCION</vt:lpstr>
      <vt:lpstr>PROMOCION SANTA ELENA</vt:lpstr>
      <vt:lpstr>BBQ</vt:lpstr>
      <vt:lpstr>BASE </vt:lpstr>
      <vt:lpstr>ALMACEN</vt:lpstr>
      <vt:lpstr>CONSOLIDADO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2025-09-19T20:59:03Z</dcterms:modified>
</cp:coreProperties>
</file>