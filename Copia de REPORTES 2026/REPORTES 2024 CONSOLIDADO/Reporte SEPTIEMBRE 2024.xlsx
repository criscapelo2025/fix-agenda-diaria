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4 CONSOLIDADO/"/>
    </mc:Choice>
  </mc:AlternateContent>
  <xr:revisionPtr revIDLastSave="0" documentId="13_ncr:1_{E8AF7D5C-566E-184C-8BAB-021FC819DF0C}" xr6:coauthVersionLast="47" xr6:coauthVersionMax="47" xr10:uidLastSave="{00000000-0000-0000-0000-000000000000}"/>
  <bookViews>
    <workbookView xWindow="0" yWindow="500" windowWidth="44800" windowHeight="22540" activeTab="5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6" l="1"/>
  <c r="O10" i="4"/>
  <c r="N17" i="5" l="1"/>
  <c r="M94" i="1" l="1"/>
  <c r="O27" i="2" l="1"/>
  <c r="O26" i="2"/>
  <c r="O25" i="2"/>
  <c r="O24" i="2"/>
  <c r="O23" i="2"/>
  <c r="O29" i="2" s="1"/>
  <c r="N22" i="2" l="1"/>
  <c r="M96" i="1" l="1"/>
  <c r="M95" i="1"/>
  <c r="M97" i="1" l="1"/>
  <c r="O93" i="1"/>
</calcChain>
</file>

<file path=xl/sharedStrings.xml><?xml version="1.0" encoding="utf-8"?>
<sst xmlns="http://schemas.openxmlformats.org/spreadsheetml/2006/main" count="1872" uniqueCount="607">
  <si>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</si>
  <si>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</si>
  <si>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</si>
  <si>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</si>
  <si>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</si>
  <si>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</si>
  <si>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</si>
  <si>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</si>
  <si>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</si>
  <si>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</si>
  <si>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</si>
  <si>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</si>
  <si>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</si>
  <si>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</si>
  <si>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</si>
  <si>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</si>
  <si>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</si>
  <si>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</si>
  <si>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</si>
  <si>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</si>
  <si>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</si>
  <si>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</si>
  <si>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</si>
  <si>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</si>
  <si>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</si>
  <si>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</si>
  <si>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</si>
  <si>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</si>
  <si>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</si>
  <si>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</si>
  <si>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</si>
  <si>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</si>
  <si>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</si>
  <si>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</si>
  <si>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</si>
  <si>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</si>
  <si>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</si>
  <si>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</si>
  <si>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</si>
  <si>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</si>
  <si>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</si>
  <si>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</si>
  <si>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</si>
  <si>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</si>
  <si>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</si>
  <si>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</si>
  <si>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</si>
  <si>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</si>
  <si>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</si>
  <si>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</si>
  <si>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</si>
  <si>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Cliente Final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</si>
  <si>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</si>
  <si>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</si>
  <si>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</si>
  <si>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</si>
  <si>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</si>
  <si>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</si>
  <si>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</si>
  <si>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</si>
  <si>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</si>
  <si>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</si>
  <si>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</si>
  <si>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>STOCK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</si>
  <si>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</si>
  <si>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</si>
  <si>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</si>
  <si>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</si>
  <si>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</si>
  <si>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</si>
  <si>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</si>
  <si>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</si>
  <si>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</si>
  <si>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</si>
  <si>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</si>
  <si>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</si>
  <si>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</si>
  <si>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</si>
  <si>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Comercial Solis</t>
  </si>
  <si>
    <t>CAPELO</t>
  </si>
  <si>
    <t>CUENCA</t>
  </si>
  <si>
    <t>Barbacoa a Gas T-BBQ 4100 SS</t>
  </si>
  <si>
    <t>De Cristian Capelo</t>
  </si>
  <si>
    <t>UN SOLO PRODUCTO</t>
  </si>
  <si>
    <t>CLIENTE FINAL</t>
  </si>
  <si>
    <t>Cristian Capelo</t>
  </si>
  <si>
    <t>Llamada Cliente</t>
  </si>
  <si>
    <t>Cocinas</t>
  </si>
  <si>
    <t>CORREO ELECTRONICO</t>
  </si>
  <si>
    <t xml:space="preserve"> </t>
  </si>
  <si>
    <t>Septiembre 2024</t>
  </si>
  <si>
    <t>Al 20 de SEPTIEMBRE del 2024</t>
  </si>
  <si>
    <t>CAPELO SEPTIEMBRE 2024</t>
  </si>
  <si>
    <t>Capelo Septiembre 2024</t>
  </si>
  <si>
    <t xml:space="preserve">CAPELO SEPTIEMBRE 2024 </t>
  </si>
  <si>
    <t>CAPELO - SEPTIEMBRE 2024</t>
  </si>
  <si>
    <t>Sukasa</t>
  </si>
  <si>
    <t>040-103-000006508</t>
  </si>
  <si>
    <t>112580058</t>
  </si>
  <si>
    <t>Cocina GBC 95030 KBB</t>
  </si>
  <si>
    <t>ZP245H00398</t>
  </si>
  <si>
    <t>Ruth Astudillo</t>
  </si>
  <si>
    <t>Av. 10 de Agosto</t>
  </si>
  <si>
    <t>amparig@hotmail.com</t>
  </si>
  <si>
    <t>111010040</t>
  </si>
  <si>
    <t>TZ244V25778</t>
  </si>
  <si>
    <t>Campana C910</t>
  </si>
  <si>
    <t>TP243B00135</t>
  </si>
  <si>
    <t>Almacenes España</t>
  </si>
  <si>
    <t>008-501-000007510</t>
  </si>
  <si>
    <t>111000051</t>
  </si>
  <si>
    <t>Horno HSB 610 BK</t>
  </si>
  <si>
    <t>Horno HLB 8416 BK</t>
  </si>
  <si>
    <t>TZ234521243</t>
  </si>
  <si>
    <t>0399288</t>
  </si>
  <si>
    <t>Esteban Cordero</t>
  </si>
  <si>
    <t>Edificio Ager</t>
  </si>
  <si>
    <t>estebancorderovazquez@gmail.com</t>
  </si>
  <si>
    <t>40446702</t>
  </si>
  <si>
    <t>Campana GFH 55</t>
  </si>
  <si>
    <t>TP22C706852</t>
  </si>
  <si>
    <t xml:space="preserve">Boyaca </t>
  </si>
  <si>
    <t>014-004-000061549</t>
  </si>
  <si>
    <t>Juan Pablo Galindo</t>
  </si>
  <si>
    <t>Rio Amarillo</t>
  </si>
  <si>
    <t>ti_fis@hotmail.com</t>
  </si>
  <si>
    <t>111000050</t>
  </si>
  <si>
    <t>Horno HLB 8510 P BK</t>
  </si>
  <si>
    <t>TZ241Q23700</t>
  </si>
  <si>
    <t>001-500-000061304</t>
  </si>
  <si>
    <t>40446712</t>
  </si>
  <si>
    <t>Campana GFH 73</t>
  </si>
  <si>
    <t>TP23B306639</t>
  </si>
  <si>
    <t>Mateo Jaramillo</t>
  </si>
  <si>
    <t>Av. De los Migrantes</t>
  </si>
  <si>
    <t>ZP244900316</t>
  </si>
  <si>
    <t>mateojaan8930@hotmail.com</t>
  </si>
  <si>
    <t>ZP241R00364</t>
  </si>
  <si>
    <t>001-500-000061347</t>
  </si>
  <si>
    <t>Kywi</t>
  </si>
  <si>
    <t>043-901-000003864</t>
  </si>
  <si>
    <t>111000030</t>
  </si>
  <si>
    <t>Horno STEAKMASTER BK-SS</t>
  </si>
  <si>
    <t>TZ224N24142</t>
  </si>
  <si>
    <t>Traicy Fajardo</t>
  </si>
  <si>
    <t>Isabela Catolica</t>
  </si>
  <si>
    <t>carmencampoverdeh@gmail.com</t>
  </si>
  <si>
    <t>40584305</t>
  </si>
  <si>
    <t>Microondas ML 822 BIS L</t>
  </si>
  <si>
    <t>TP235C09470</t>
  </si>
  <si>
    <t>Mercard</t>
  </si>
  <si>
    <t>001-101-000003318</t>
  </si>
  <si>
    <t>TZ238P07433</t>
  </si>
  <si>
    <t>Maria Nieves</t>
  </si>
  <si>
    <t>San Joaquin</t>
  </si>
  <si>
    <t>samper78@hotmail.com</t>
  </si>
  <si>
    <t>TP233M03023</t>
  </si>
  <si>
    <t>040-103-000006003</t>
  </si>
  <si>
    <t>TP242209353</t>
  </si>
  <si>
    <t>Oswaldo Zuñiga</t>
  </si>
  <si>
    <t>Machangara</t>
  </si>
  <si>
    <t>o.zuniga@live.com</t>
  </si>
  <si>
    <t>112610069</t>
  </si>
  <si>
    <t>Cocina GSC 75330 SBA IX</t>
  </si>
  <si>
    <t>ZP241X00198</t>
  </si>
  <si>
    <t>0422153</t>
  </si>
  <si>
    <t>043-901-000011138</t>
  </si>
  <si>
    <t>112610068</t>
  </si>
  <si>
    <t>Cocina GSC 95330 SBA IX</t>
  </si>
  <si>
    <t>ZP242100680</t>
  </si>
  <si>
    <t>Claudio Guevara</t>
  </si>
  <si>
    <t>fermandog.120@hotmail.com</t>
  </si>
  <si>
    <t>40466241</t>
  </si>
  <si>
    <t>Campana C9310</t>
  </si>
  <si>
    <t>TP242F04665</t>
  </si>
  <si>
    <t>Luna Pazmiño</t>
  </si>
  <si>
    <t>002-101-000107102</t>
  </si>
  <si>
    <t>40466111</t>
  </si>
  <si>
    <t>TP241A03877</t>
  </si>
  <si>
    <t>Nelly Quintuña</t>
  </si>
  <si>
    <t>Paseo de los Cañaris</t>
  </si>
  <si>
    <t>nelliquintuna2015@gmail.com</t>
  </si>
  <si>
    <t>ZP23AC00460</t>
  </si>
  <si>
    <t>001-101-000003630</t>
  </si>
  <si>
    <t>40455334</t>
  </si>
  <si>
    <t>Campana NC 980</t>
  </si>
  <si>
    <t>PX226P00292</t>
  </si>
  <si>
    <t>0412353</t>
  </si>
  <si>
    <t>Silvia Ramirez</t>
  </si>
  <si>
    <t>El Calvario</t>
  </si>
  <si>
    <t>ramirezsilvia20@hotmail.com</t>
  </si>
  <si>
    <t>111020071</t>
  </si>
  <si>
    <t>Horno HBB 510 BK</t>
  </si>
  <si>
    <t>ZP23BE00619</t>
  </si>
  <si>
    <t>TZ241R25294</t>
  </si>
  <si>
    <t>001-500-000065666</t>
  </si>
  <si>
    <t>Microondas MS 620 BIS</t>
  </si>
  <si>
    <t>TP243R02003</t>
  </si>
  <si>
    <t>Gabriela Gomez</t>
  </si>
  <si>
    <t>gabigu-87@hotmail.com</t>
  </si>
  <si>
    <t>Cocina GBC 75030 KBB</t>
  </si>
  <si>
    <t>ZP242N00458</t>
  </si>
  <si>
    <t>016-907-000218034</t>
  </si>
  <si>
    <t>Campana DVN 94030 TCL BK</t>
  </si>
  <si>
    <t>EK241B00106</t>
  </si>
  <si>
    <t>Klever Palomeque</t>
  </si>
  <si>
    <t>El Cebollar</t>
  </si>
  <si>
    <t>kwpz@hotmail.com</t>
  </si>
  <si>
    <t>Cocina GBC 64000KBB</t>
  </si>
  <si>
    <t xml:space="preserve">Horno HLB 760 G LPG </t>
  </si>
  <si>
    <t>TZ243C10716</t>
  </si>
  <si>
    <t>ZP232N00343</t>
  </si>
  <si>
    <t>Home Vega</t>
  </si>
  <si>
    <t>006-002-000155442</t>
  </si>
  <si>
    <t>Horno HSB 646 SS</t>
  </si>
  <si>
    <t>TZ241C12478</t>
  </si>
  <si>
    <t>Mauricio Suarez</t>
  </si>
  <si>
    <t>Calle Federico Proaño</t>
  </si>
  <si>
    <t>nany-01208@hotmail.com</t>
  </si>
  <si>
    <t>Cocina GSC 96320 SBA IX</t>
  </si>
  <si>
    <t>Lavavajillas DFI 46950</t>
  </si>
  <si>
    <t>AW233800571</t>
  </si>
  <si>
    <t>40197255</t>
  </si>
  <si>
    <t>112500048</t>
  </si>
  <si>
    <t>Triturador TR 710.1</t>
  </si>
  <si>
    <t>240115AF1211</t>
  </si>
  <si>
    <t>Cocina IZC 97630 MST BK</t>
  </si>
  <si>
    <t>ZP243N00398</t>
  </si>
  <si>
    <t>40480321</t>
  </si>
  <si>
    <t>Campana CC480</t>
  </si>
  <si>
    <t>PX241J000024</t>
  </si>
  <si>
    <t>007-006-000129378</t>
  </si>
  <si>
    <t>COCINA IZC 64010 MSS BK</t>
  </si>
  <si>
    <t>ZP241W00263</t>
  </si>
  <si>
    <t>Estefania Altamirano</t>
  </si>
  <si>
    <t>Edificio Horizonte</t>
  </si>
  <si>
    <t>te.fa96@hotmail.com</t>
  </si>
  <si>
    <t>TP245703619</t>
  </si>
  <si>
    <t>040-103-000000396</t>
  </si>
  <si>
    <t>Cocina JZC 96342</t>
  </si>
  <si>
    <t>ZP244400253</t>
  </si>
  <si>
    <t>Campana DLH 982 T</t>
  </si>
  <si>
    <t>TP243L04591</t>
  </si>
  <si>
    <t>Monica Orellana</t>
  </si>
  <si>
    <t>Ricardo Duran y Los Columpios</t>
  </si>
  <si>
    <t>esteticatubienestar@gmail.com</t>
  </si>
  <si>
    <t>EK241B00007</t>
  </si>
  <si>
    <t>Mall del Rio</t>
  </si>
  <si>
    <t>0982655835</t>
  </si>
  <si>
    <t>006-002-000155660</t>
  </si>
  <si>
    <t>TP241R06450</t>
  </si>
  <si>
    <t>Sandra Narvaez</t>
  </si>
  <si>
    <t>Yunguilla</t>
  </si>
  <si>
    <t>s_narvaez.palacios@hotmail.com</t>
  </si>
  <si>
    <t>ZP241F00027</t>
  </si>
  <si>
    <t>040-105-000001016</t>
  </si>
  <si>
    <t>TP236E04105</t>
  </si>
  <si>
    <t>Emilio Heredia</t>
  </si>
  <si>
    <t>Edif. Ager</t>
  </si>
  <si>
    <t>heredia.emilio95@gmail.com</t>
  </si>
  <si>
    <t>Cocina IBC 64000TTCBK</t>
  </si>
  <si>
    <t>ZP234700378</t>
  </si>
  <si>
    <t>Horno HSB 630 BK</t>
  </si>
  <si>
    <t>TZ23AW21254</t>
  </si>
  <si>
    <t>Microondas MWG 14X</t>
  </si>
  <si>
    <t>001-501-000002191</t>
  </si>
  <si>
    <t>TZ244J19312</t>
  </si>
  <si>
    <t>Alejandra Astudillo</t>
  </si>
  <si>
    <t>Sinincay</t>
  </si>
  <si>
    <t>aleastudillol.28@gmail.com</t>
  </si>
  <si>
    <t>TP243K04140</t>
  </si>
  <si>
    <t>001-501-000001333</t>
  </si>
  <si>
    <t>Horno HLB 85-61 PBM</t>
  </si>
  <si>
    <t>TZ22BU29187</t>
  </si>
  <si>
    <t>Francisco Galarza</t>
  </si>
  <si>
    <t>ocabrera@homedeko.com.ec</t>
  </si>
  <si>
    <t>Microondas ML 82 GI BIS L</t>
  </si>
  <si>
    <t>043-902-000011394</t>
  </si>
  <si>
    <t>Cocina AFF 87601MST BK</t>
  </si>
  <si>
    <t>ZP23BM00336</t>
  </si>
  <si>
    <t>Fernando Silva</t>
  </si>
  <si>
    <t>Chaullabamba</t>
  </si>
  <si>
    <t>nando_silva54@htmail.com</t>
  </si>
  <si>
    <t>TZ241C12469</t>
  </si>
  <si>
    <t>Microondas ML 820 BIS</t>
  </si>
  <si>
    <t>TP241Q04887</t>
  </si>
  <si>
    <t>Paola Peñaherrera</t>
  </si>
  <si>
    <t>Cambio de Producto</t>
  </si>
  <si>
    <t>Juego de Ollas</t>
  </si>
  <si>
    <t>sap</t>
  </si>
  <si>
    <t>Ximena Leon</t>
  </si>
  <si>
    <t>Juego de Ollas Manchado</t>
  </si>
  <si>
    <t>ximenaleonr@yahoo.com</t>
  </si>
  <si>
    <t>001-101-000003515</t>
  </si>
  <si>
    <t>2 Quemadores no encienden</t>
  </si>
  <si>
    <t>T-BBQ 4100 SS</t>
  </si>
  <si>
    <t>CO225R00742</t>
  </si>
  <si>
    <t>Javier Patiño</t>
  </si>
  <si>
    <t>016-902-000418900</t>
  </si>
  <si>
    <t>Horno no enciende</t>
  </si>
  <si>
    <t>Horno HGL 824</t>
  </si>
  <si>
    <t>TZ181N19510</t>
  </si>
  <si>
    <t>Ximena Tamayo</t>
  </si>
  <si>
    <t>bahamondeelena@gmail.com</t>
  </si>
  <si>
    <t>001-001-000018356</t>
  </si>
  <si>
    <t>No Enfria</t>
  </si>
  <si>
    <t>Vinera RVF 10032 GBK</t>
  </si>
  <si>
    <t>TH233L00105</t>
  </si>
  <si>
    <t>Ericka Sangurima</t>
  </si>
  <si>
    <t>Motor Ventilador Trabado</t>
  </si>
  <si>
    <t>reicka39@gmail.com</t>
  </si>
  <si>
    <t>016-907-000203780</t>
  </si>
  <si>
    <t>Placa Potencia i100 izda 2b</t>
  </si>
  <si>
    <t>Cocina IZF 64440 MSP BK</t>
  </si>
  <si>
    <t>ZP23BW00484</t>
  </si>
  <si>
    <t>Luis Alvarado</t>
  </si>
  <si>
    <t>Reemplazo de pieza</t>
  </si>
  <si>
    <t>lalvarado@makolecuador.com</t>
  </si>
  <si>
    <t>040-103-000004825</t>
  </si>
  <si>
    <t>Vinera</t>
  </si>
  <si>
    <t>Horno</t>
  </si>
  <si>
    <t>Juan Palacios Toledo</t>
  </si>
  <si>
    <t>002-101-000016747</t>
  </si>
  <si>
    <t>Horno IOVEN SS</t>
  </si>
  <si>
    <t>TZ20CF08516</t>
  </si>
  <si>
    <t>Paul Vilavicencio</t>
  </si>
  <si>
    <t>Microondas MLC 844</t>
  </si>
  <si>
    <t>TP188F00353</t>
  </si>
  <si>
    <t>Lavavajillas DW 857 FIM-D</t>
  </si>
  <si>
    <t>MD20BL00805</t>
  </si>
  <si>
    <t>001-500-000064640</t>
  </si>
  <si>
    <t>Cocina EFX 90.1 5G AI AL DRLE</t>
  </si>
  <si>
    <t>ZP217R00031</t>
  </si>
  <si>
    <t>Colegio Santa Ana</t>
  </si>
  <si>
    <t>gabrielgarcia64@hotmail.com</t>
  </si>
  <si>
    <t>Gabriel Garcia</t>
  </si>
  <si>
    <t>TZ241K18339</t>
  </si>
  <si>
    <t>Cafetera CLC 855 GM INOX</t>
  </si>
  <si>
    <t>P24050980067</t>
  </si>
  <si>
    <t>SUKASA</t>
  </si>
  <si>
    <t>WAYRA</t>
  </si>
  <si>
    <t>0999715425</t>
  </si>
  <si>
    <t>006-002-000155669</t>
  </si>
  <si>
    <t>Cocina IZF 99700 MST BK</t>
  </si>
  <si>
    <t>ZP23BW00545</t>
  </si>
  <si>
    <t>Jeniffer Valdiviezo</t>
  </si>
  <si>
    <t>TZ243604754</t>
  </si>
  <si>
    <t>Microodas ML 820 BIS</t>
  </si>
  <si>
    <t>TP241Q04829</t>
  </si>
  <si>
    <t>001-101-000003382</t>
  </si>
  <si>
    <t>TZ246R19767</t>
  </si>
  <si>
    <t>Juan Alvarez</t>
  </si>
  <si>
    <t>facturaspedroc@gmaial.com</t>
  </si>
  <si>
    <t>TP238Q04892</t>
  </si>
  <si>
    <t>001-501-000002517</t>
  </si>
  <si>
    <t>ZP245H00004</t>
  </si>
  <si>
    <t>Fernando Herrera</t>
  </si>
  <si>
    <t>Don Bosco y Loja</t>
  </si>
  <si>
    <t>faherrera2 @gmail.com</t>
  </si>
  <si>
    <t>TP241A03943</t>
  </si>
  <si>
    <t>Miguel Corral</t>
  </si>
  <si>
    <t>Tarqui 15-29 y Rafael Maria Ariza</t>
  </si>
  <si>
    <t>miguelcorralserrano@gmail.com</t>
  </si>
  <si>
    <t>TP232 A10339</t>
  </si>
  <si>
    <t>Vanessa Moscoso</t>
  </si>
  <si>
    <t>Edicio Rubik</t>
  </si>
  <si>
    <t>vanemoscoso_26@hotmail.com</t>
  </si>
  <si>
    <t>Quemador Triple corona se apaga</t>
  </si>
  <si>
    <t>Cocina GZC 96310 XBB</t>
  </si>
  <si>
    <t>Se ajusta Bujias</t>
  </si>
  <si>
    <t>Se ajusta sensor termopar</t>
  </si>
  <si>
    <t>caty.palacios140@gmail.com</t>
  </si>
  <si>
    <t>001-500-000055494</t>
  </si>
  <si>
    <t>001-500-000047487</t>
  </si>
  <si>
    <t>Cocina IZC 64010 MSS BK</t>
  </si>
  <si>
    <t>ZP222R00007</t>
  </si>
  <si>
    <t>014-004-000041909</t>
  </si>
  <si>
    <t>016-907-000214261</t>
  </si>
  <si>
    <t>TP242F04730</t>
  </si>
  <si>
    <t>Joffre Madesco</t>
  </si>
  <si>
    <t>Miraflores</t>
  </si>
  <si>
    <t>joffre2403madesco@hotmail.com</t>
  </si>
  <si>
    <t>001-500-000065683</t>
  </si>
  <si>
    <t>40590835</t>
  </si>
  <si>
    <t>MW243T01954</t>
  </si>
  <si>
    <t xml:space="preserve">Andres Guamán </t>
  </si>
  <si>
    <t>Todos Santos</t>
  </si>
  <si>
    <t>andresguaman182@gmail.com</t>
  </si>
  <si>
    <t>016-902-000471979</t>
  </si>
  <si>
    <t>40467320</t>
  </si>
  <si>
    <t>Campana C7310</t>
  </si>
  <si>
    <t>TP242E03258</t>
  </si>
  <si>
    <t>Cristian Parra</t>
  </si>
  <si>
    <t>Cimarrones y Puruvin</t>
  </si>
  <si>
    <t>chriss3009@hotmail.com</t>
  </si>
  <si>
    <t>006-000156184</t>
  </si>
  <si>
    <t>Cocina IZS 97630 MST BK</t>
  </si>
  <si>
    <t>ZP241C00408</t>
  </si>
  <si>
    <t xml:space="preserve">Zoila Moscoso </t>
  </si>
  <si>
    <t>Edf. Alqamari</t>
  </si>
  <si>
    <t>faustozoilam@gmailcom</t>
  </si>
  <si>
    <t>043-901-000008526</t>
  </si>
  <si>
    <t>112570068</t>
  </si>
  <si>
    <t>Cocina GZC 95320 XBB</t>
  </si>
  <si>
    <t>ZP242500258</t>
  </si>
  <si>
    <t>Veronica Contreras</t>
  </si>
  <si>
    <t>Baguanchi</t>
  </si>
  <si>
    <t>carmen_344@msn.com</t>
  </si>
  <si>
    <t>Alm. España</t>
  </si>
  <si>
    <t>009-501-000026407</t>
  </si>
  <si>
    <t>112610067</t>
  </si>
  <si>
    <t>ZP23BV00094</t>
  </si>
  <si>
    <t xml:space="preserve">Ivan Guaman </t>
  </si>
  <si>
    <t>Calle Roma</t>
  </si>
  <si>
    <t>1(646)6432835</t>
  </si>
  <si>
    <t>guaman.ivan@yahoo.com</t>
  </si>
  <si>
    <t>043-903-000029573</t>
  </si>
  <si>
    <t>240115AF1298</t>
  </si>
  <si>
    <t>Diana Lopez</t>
  </si>
  <si>
    <t>lopezdiana60@hotmail.com</t>
  </si>
  <si>
    <t>230710AF1810</t>
  </si>
  <si>
    <t>Alm. Chordeleg</t>
  </si>
  <si>
    <t>001-001-000020602</t>
  </si>
  <si>
    <t>112580027</t>
  </si>
  <si>
    <t>TR 710.1</t>
  </si>
  <si>
    <t>ZP244800224</t>
  </si>
  <si>
    <t>Diana Garcia</t>
  </si>
  <si>
    <t>Cultura Cotocollao</t>
  </si>
  <si>
    <t>dianag17@hotmail.com</t>
  </si>
  <si>
    <t>Sensor Termopar desajustado</t>
  </si>
  <si>
    <t>ZP23BP00112</t>
  </si>
  <si>
    <t>Isabel Rivadeneira</t>
  </si>
  <si>
    <t>isarivaflor5@hotmail.com</t>
  </si>
  <si>
    <t>008-501-000007965</t>
  </si>
  <si>
    <t>043-905-000031925</t>
  </si>
  <si>
    <t>ZP242P00694</t>
  </si>
  <si>
    <t>Sandra Molina</t>
  </si>
  <si>
    <t>Gregorio Marañon y Jose Ortega</t>
  </si>
  <si>
    <t>Chordeleg</t>
  </si>
  <si>
    <t>001-001-000020652</t>
  </si>
  <si>
    <t>TP242C00866</t>
  </si>
  <si>
    <t>Bolivar Ochoa</t>
  </si>
  <si>
    <t>Batan 8-30</t>
  </si>
  <si>
    <t>consultarq@hotmail.com</t>
  </si>
  <si>
    <t>043-901-000011826</t>
  </si>
  <si>
    <t>111030002</t>
  </si>
  <si>
    <t>TZ246502712</t>
  </si>
  <si>
    <t>Bradley Andersen</t>
  </si>
  <si>
    <t>Edf. Soho 174</t>
  </si>
  <si>
    <t>016-902-000475978</t>
  </si>
  <si>
    <t>Campana C 9310</t>
  </si>
  <si>
    <t>TP245P06874</t>
  </si>
  <si>
    <t>Manuel J. Calle</t>
  </si>
  <si>
    <t>gregory.moran.1989@gmail.com</t>
  </si>
  <si>
    <t>Stalin Moran</t>
  </si>
  <si>
    <t>Comercial Luna Pazmiño</t>
  </si>
  <si>
    <t>002-101-000100830</t>
  </si>
  <si>
    <t>114270004</t>
  </si>
  <si>
    <t>AW233800642</t>
  </si>
  <si>
    <t>Lia Pintado</t>
  </si>
  <si>
    <t>Santa Maria de Sayausi</t>
  </si>
  <si>
    <t>liamarz@yahoo.com</t>
  </si>
  <si>
    <t>043-905-000034274</t>
  </si>
  <si>
    <t>40584012</t>
  </si>
  <si>
    <t>TP238Q04840</t>
  </si>
  <si>
    <t>Gabriel Galvan</t>
  </si>
  <si>
    <t>Charibamba</t>
  </si>
  <si>
    <t>galvan.gabriela@outlook.com</t>
  </si>
  <si>
    <t>001-500-000065915</t>
  </si>
  <si>
    <t>112950021</t>
  </si>
  <si>
    <t>EK241B00032</t>
  </si>
  <si>
    <t>Maribel Argudo</t>
  </si>
  <si>
    <t>San Blas</t>
  </si>
  <si>
    <t>repcar_repuestos@hotmail.com</t>
  </si>
  <si>
    <t>016-907-000198467</t>
  </si>
  <si>
    <t>40212070</t>
  </si>
  <si>
    <t>Cocina EX 90.1 5G AI DR LEFT CI</t>
  </si>
  <si>
    <t>ZP234C00006</t>
  </si>
  <si>
    <t>0398059</t>
  </si>
  <si>
    <t>Marcia Alvarez</t>
  </si>
  <si>
    <t>Rio Orinoco Y Av. Ricardo Duran</t>
  </si>
  <si>
    <t>fernandoriera20@hotmail.com</t>
  </si>
  <si>
    <t>007-006-000129766</t>
  </si>
  <si>
    <t>41560142</t>
  </si>
  <si>
    <t>Horno HSB 635 SS</t>
  </si>
  <si>
    <t>TZ241B10462</t>
  </si>
  <si>
    <t>Mariana Cruz</t>
  </si>
  <si>
    <t>Pencas Altas</t>
  </si>
  <si>
    <t xml:space="preserve">marianadesaa@hotmail.com </t>
  </si>
  <si>
    <t>006-002-000156656</t>
  </si>
  <si>
    <t>ZP243N00415</t>
  </si>
  <si>
    <t>Fabian Vega</t>
  </si>
  <si>
    <t>Edif. Los Sauces</t>
  </si>
  <si>
    <t>001-500-000065495</t>
  </si>
  <si>
    <t>TP242209382</t>
  </si>
  <si>
    <t>Willian Tonato</t>
  </si>
  <si>
    <t>Maria Auxiliadora</t>
  </si>
  <si>
    <t>williamelec90@hotmail.com</t>
  </si>
  <si>
    <t>001-501-000001650</t>
  </si>
  <si>
    <t>Cocina IZF 88700 MST</t>
  </si>
  <si>
    <t>ZP229100014</t>
  </si>
  <si>
    <t>001-101-0000003010</t>
  </si>
  <si>
    <t>TZ234K15951</t>
  </si>
  <si>
    <t>Ana Corral</t>
  </si>
  <si>
    <t xml:space="preserve">Microondas ML 820 BIS </t>
  </si>
  <si>
    <t>TP245L01877</t>
  </si>
  <si>
    <t>TZ241K18332</t>
  </si>
  <si>
    <t>006-002-000154459</t>
  </si>
  <si>
    <t>AW233800455</t>
  </si>
  <si>
    <t>Esteban Bernal</t>
  </si>
  <si>
    <t>Valle del Sol</t>
  </si>
  <si>
    <t>estebanbernan2099@hotmail.com</t>
  </si>
  <si>
    <t>TP232A10311</t>
  </si>
  <si>
    <t>006-002-000154458</t>
  </si>
  <si>
    <t>TZ222J26703</t>
  </si>
  <si>
    <t>AP23032880002</t>
  </si>
  <si>
    <t>YH232A00032</t>
  </si>
  <si>
    <t>006-002-000154457</t>
  </si>
  <si>
    <t>ZP22BG00039</t>
  </si>
  <si>
    <t>PX22BH00660</t>
  </si>
  <si>
    <t>Refrigeradora RFD 77820 GBK</t>
  </si>
  <si>
    <t>001-500-000062944</t>
  </si>
  <si>
    <t>Campana C 7310</t>
  </si>
  <si>
    <t>TP23AP01819</t>
  </si>
  <si>
    <t>Jose Zumba</t>
  </si>
  <si>
    <t>Daniel Alvarado 3-72</t>
  </si>
  <si>
    <t>h2ozumbaehijos@hotmail.com</t>
  </si>
  <si>
    <t>MD232L00144</t>
  </si>
  <si>
    <t>ZP241F00003</t>
  </si>
  <si>
    <t>ZP221M00068</t>
  </si>
  <si>
    <t>Bernarda Quintanilla</t>
  </si>
  <si>
    <t>008-501-000005456</t>
  </si>
  <si>
    <t>006-002-000155922</t>
  </si>
  <si>
    <t>ZP242100619</t>
  </si>
  <si>
    <t>Victor Loja</t>
  </si>
  <si>
    <t>Sigsig</t>
  </si>
  <si>
    <t>victor_l69@hotmail.com</t>
  </si>
  <si>
    <t>007-006-000129845</t>
  </si>
  <si>
    <t>112580017</t>
  </si>
  <si>
    <t>Cocina GBC 64000 KBB</t>
  </si>
  <si>
    <t>ZP245G00378</t>
  </si>
  <si>
    <t>Juan Pablo Davalos</t>
  </si>
  <si>
    <t>Av. Gonzalo Cordero y Remigio</t>
  </si>
  <si>
    <t>jpdavalos1@hotmail.com</t>
  </si>
  <si>
    <t>001-001-0000207011</t>
  </si>
  <si>
    <t>111910000</t>
  </si>
  <si>
    <t>Micro Campana MLH 845 SS</t>
  </si>
  <si>
    <t>Carlos Salamea</t>
  </si>
  <si>
    <t>Cdla. Catolica</t>
  </si>
  <si>
    <t>carlosalamea@hotmail.com</t>
  </si>
  <si>
    <t>001-500-000065634</t>
  </si>
  <si>
    <t>Campana C 6310</t>
  </si>
  <si>
    <t>TP203G00716</t>
  </si>
  <si>
    <t>Nancy Alvarez</t>
  </si>
  <si>
    <t>Mutualista Azuay</t>
  </si>
  <si>
    <t>nalvarezv69@gmail.com</t>
  </si>
  <si>
    <t>Cocina GSC 64320 SBA IX</t>
  </si>
  <si>
    <t>ZP241B00137</t>
  </si>
  <si>
    <t>001-500-000066500</t>
  </si>
  <si>
    <t>ZP23C101492</t>
  </si>
  <si>
    <t>Lorena Figueroa</t>
  </si>
  <si>
    <t>Tena</t>
  </si>
  <si>
    <t>estebantapia17@gmail.com</t>
  </si>
  <si>
    <t>Cocina GZC32300 XBB</t>
  </si>
  <si>
    <t>ZP237K00358</t>
  </si>
  <si>
    <t>SEPTIEMBRE 2024</t>
  </si>
  <si>
    <t>ZP227L00043</t>
  </si>
  <si>
    <t>0405902</t>
  </si>
  <si>
    <t>Liliana Verdugo</t>
  </si>
  <si>
    <t>Charasol</t>
  </si>
  <si>
    <t>elyvp17@hotmail.com</t>
  </si>
  <si>
    <t>016-907-000196886</t>
  </si>
  <si>
    <t>Campana C6310</t>
  </si>
  <si>
    <t>TP233V06923</t>
  </si>
  <si>
    <t>Luis Mejia</t>
  </si>
  <si>
    <t>mejianarvaez1979@gmail.com</t>
  </si>
  <si>
    <t>Calle Heroes del Cenepa</t>
  </si>
  <si>
    <t>TP233V06896</t>
  </si>
  <si>
    <t>TP233V06780</t>
  </si>
  <si>
    <t>TP233V06902</t>
  </si>
  <si>
    <t>TP233V06776</t>
  </si>
  <si>
    <t>TP233V06775</t>
  </si>
  <si>
    <t>TP233V06934</t>
  </si>
  <si>
    <t>TP233V06789</t>
  </si>
  <si>
    <t>TP233V06779</t>
  </si>
  <si>
    <t>TP241A03968</t>
  </si>
  <si>
    <t>Modulo de encendido y bujias falso contacto</t>
  </si>
  <si>
    <t>Se Calibra la regulación de aire</t>
  </si>
  <si>
    <t>Se pulen las ollas con Brazzo Brillametal y se le asiste al cliente sobre limpieza y mantenimiento de los productos</t>
  </si>
  <si>
    <t>CO225R00803</t>
  </si>
  <si>
    <t>ZP226Q00008</t>
  </si>
  <si>
    <t>Quemador no enciende</t>
  </si>
  <si>
    <t>Ajuste en el sensor termopar</t>
  </si>
  <si>
    <t>Motor DVN 64030 TCL BK</t>
  </si>
  <si>
    <t>EK2300004</t>
  </si>
  <si>
    <t>Diego Beltran</t>
  </si>
  <si>
    <t>No enciende, cambio de motor</t>
  </si>
  <si>
    <t>diegobeltrani@hotmail.com</t>
  </si>
  <si>
    <t>002-101-000098246</t>
  </si>
  <si>
    <t>Junta Embocadura H900 510 HGE 930</t>
  </si>
  <si>
    <t>Horno HLF 924 G</t>
  </si>
  <si>
    <t>TZ232125176</t>
  </si>
  <si>
    <t>Diana Castillo</t>
  </si>
  <si>
    <t>Ricaurte</t>
  </si>
  <si>
    <t>dianacastillo18ec@hotmail.com</t>
  </si>
  <si>
    <t>040-1014-000000133</t>
  </si>
  <si>
    <t>Campana Decorativa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</si>
</sst>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</numFmts>
  <fonts count="6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u/>
      <sz val="13"/>
      <color theme="4"/>
      <name val="Aptos Narrow"/>
      <family val="2"/>
      <scheme val="minor"/>
    </font>
    <font>
      <u/>
      <sz val="13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13"/>
      <name val="Arial"/>
      <family val="2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  <font>
      <u/>
      <sz val="13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2">
    <xf numFmtId="0" fontId="0" fillId="0" borderId="0"/>
    <xf numFmtId="0" fontId="9" fillId="0" borderId="0"/>
    <xf numFmtId="0" fontId="9" fillId="2" borderId="0">
      <alignment horizontal="left"/>
    </xf>
    <xf numFmtId="0" fontId="1" fillId="0" borderId="0"/>
    <xf numFmtId="0" fontId="2" fillId="0" borderId="0" applyNumberForma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167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1" fillId="0" borderId="0"/>
    <xf numFmtId="43" fontId="24" fillId="0" borderId="0" applyFont="0" applyFill="0" applyBorder="0" applyAlignment="0" applyProtection="0"/>
    <xf numFmtId="0" fontId="47" fillId="0" borderId="0"/>
    <xf numFmtId="0" fontId="24" fillId="0" borderId="0"/>
    <xf numFmtId="0" fontId="1" fillId="0" borderId="0"/>
    <xf numFmtId="0" fontId="2" fillId="0" borderId="0" applyNumberFormat="0" applyFill="0" applyBorder="0" applyAlignment="0" applyProtection="0"/>
    <xf numFmtId="0" fontId="24" fillId="0" borderId="0"/>
    <xf numFmtId="0" fontId="9" fillId="0" borderId="0"/>
  </cellStyleXfs>
  <cellXfs count="244">
    <xf numFmtId="0" fontId="0" fillId="0" borderId="0" xfId="0"/>
    <xf numFmtId="0" fontId="3" fillId="0" borderId="0" xfId="0" applyFont="1" applyAlignment="1">
      <alignment horizontal="right"/>
    </xf>
    <xf numFmtId="4" fontId="4" fillId="0" borderId="0" xfId="0" applyNumberFormat="1" applyFont="1"/>
    <xf numFmtId="0" fontId="5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1" fontId="0" fillId="0" borderId="0" xfId="0" applyNumberFormat="1"/>
    <xf numFmtId="2" fontId="7" fillId="0" borderId="0" xfId="0" applyNumberFormat="1" applyFont="1" applyAlignment="1">
      <alignment horizontal="right" indent="1"/>
    </xf>
    <xf numFmtId="4" fontId="8" fillId="0" borderId="0" xfId="0" applyNumberFormat="1" applyFont="1" applyAlignment="1">
      <alignment horizontal="left" vertical="center"/>
    </xf>
    <xf numFmtId="0" fontId="10" fillId="0" borderId="0" xfId="1" applyFont="1"/>
    <xf numFmtId="0" fontId="11" fillId="2" borderId="0" xfId="2" applyFont="1" applyAlignment="1">
      <alignment horizontal="center" vertical="center"/>
    </xf>
    <xf numFmtId="1" fontId="11" fillId="2" borderId="0" xfId="2" applyNumberFormat="1" applyFont="1" applyAlignment="1">
      <alignment horizontal="right" vertical="center"/>
    </xf>
    <xf numFmtId="1" fontId="11" fillId="2" borderId="0" xfId="2" applyNumberFormat="1" applyFont="1" applyAlignment="1">
      <alignment horizontal="center" vertical="center"/>
    </xf>
    <xf numFmtId="2" fontId="11" fillId="2" borderId="0" xfId="2" applyNumberFormat="1" applyFont="1" applyAlignment="1">
      <alignment vertical="center"/>
    </xf>
    <xf numFmtId="49" fontId="0" fillId="0" borderId="0" xfId="0" quotePrefix="1" applyNumberFormat="1"/>
    <xf numFmtId="17" fontId="7" fillId="0" borderId="0" xfId="0" quotePrefix="1" applyNumberFormat="1" applyFont="1" applyAlignment="1">
      <alignment horizontal="left"/>
    </xf>
    <xf numFmtId="0" fontId="12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" fontId="13" fillId="3" borderId="1" xfId="0" applyNumberFormat="1" applyFont="1" applyFill="1" applyBorder="1" applyAlignment="1">
      <alignment horizontal="center" vertical="center" wrapText="1"/>
    </xf>
    <xf numFmtId="2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4" fillId="0" borderId="0" xfId="3" applyFont="1" applyAlignment="1">
      <alignment horizontal="right"/>
    </xf>
    <xf numFmtId="164" fontId="14" fillId="5" borderId="2" xfId="3" applyNumberFormat="1" applyFont="1" applyFill="1" applyBorder="1" applyAlignment="1">
      <alignment horizontal="left"/>
    </xf>
    <xf numFmtId="0" fontId="14" fillId="5" borderId="2" xfId="3" applyFont="1" applyFill="1" applyBorder="1"/>
    <xf numFmtId="0" fontId="14" fillId="0" borderId="2" xfId="3" applyFont="1" applyBorder="1" applyAlignment="1">
      <alignment horizontal="center" vertical="center"/>
    </xf>
    <xf numFmtId="0" fontId="14" fillId="0" borderId="2" xfId="3" applyFont="1" applyBorder="1"/>
    <xf numFmtId="0" fontId="14" fillId="5" borderId="2" xfId="3" applyFont="1" applyFill="1" applyBorder="1" applyAlignment="1">
      <alignment horizontal="left"/>
    </xf>
    <xf numFmtId="0" fontId="14" fillId="5" borderId="2" xfId="3" applyFont="1" applyFill="1" applyBorder="1" applyAlignment="1">
      <alignment horizontal="left" vertical="center"/>
    </xf>
    <xf numFmtId="14" fontId="14" fillId="5" borderId="2" xfId="3" applyNumberFormat="1" applyFont="1" applyFill="1" applyBorder="1" applyAlignment="1">
      <alignment horizontal="left"/>
    </xf>
    <xf numFmtId="1" fontId="14" fillId="5" borderId="2" xfId="3" applyNumberFormat="1" applyFont="1" applyFill="1" applyBorder="1"/>
    <xf numFmtId="2" fontId="14" fillId="5" borderId="2" xfId="3" applyNumberFormat="1" applyFont="1" applyFill="1" applyBorder="1" applyAlignment="1">
      <alignment horizontal="center"/>
    </xf>
    <xf numFmtId="0" fontId="14" fillId="5" borderId="2" xfId="3" applyFont="1" applyFill="1" applyBorder="1" applyAlignment="1">
      <alignment horizontal="center" vertical="center"/>
    </xf>
    <xf numFmtId="0" fontId="15" fillId="5" borderId="2" xfId="4" applyNumberFormat="1" applyFont="1" applyFill="1" applyBorder="1"/>
    <xf numFmtId="0" fontId="16" fillId="5" borderId="2" xfId="4" applyNumberFormat="1" applyFont="1" applyFill="1" applyBorder="1"/>
    <xf numFmtId="0" fontId="17" fillId="0" borderId="3" xfId="3" applyFont="1" applyBorder="1"/>
    <xf numFmtId="0" fontId="17" fillId="0" borderId="0" xfId="0" applyFont="1"/>
    <xf numFmtId="0" fontId="18" fillId="0" borderId="0" xfId="0" applyFont="1"/>
    <xf numFmtId="0" fontId="0" fillId="0" borderId="0" xfId="0" applyAlignment="1">
      <alignment horizontal="left" vertical="top"/>
    </xf>
    <xf numFmtId="0" fontId="19" fillId="6" borderId="0" xfId="0" applyFont="1" applyFill="1" applyAlignment="1">
      <alignment horizontal="left"/>
    </xf>
    <xf numFmtId="0" fontId="21" fillId="0" borderId="0" xfId="5" applyFont="1"/>
    <xf numFmtId="0" fontId="20" fillId="0" borderId="0" xfId="5" applyAlignment="1">
      <alignment horizontal="right"/>
    </xf>
    <xf numFmtId="4" fontId="8" fillId="0" borderId="0" xfId="6" applyNumberFormat="1" applyFont="1" applyAlignment="1">
      <alignment horizontal="left"/>
    </xf>
    <xf numFmtId="0" fontId="22" fillId="0" borderId="0" xfId="6" applyFont="1" applyAlignment="1">
      <alignment horizontal="center"/>
    </xf>
    <xf numFmtId="0" fontId="23" fillId="0" borderId="0" xfId="6" applyFont="1" applyAlignment="1">
      <alignment vertical="center"/>
    </xf>
    <xf numFmtId="0" fontId="22" fillId="0" borderId="0" xfId="6" applyFont="1"/>
    <xf numFmtId="2" fontId="24" fillId="0" borderId="0" xfId="6" applyNumberFormat="1" applyFont="1" applyAlignment="1">
      <alignment horizontal="left"/>
    </xf>
    <xf numFmtId="0" fontId="20" fillId="0" borderId="0" xfId="5"/>
    <xf numFmtId="0" fontId="25" fillId="0" borderId="0" xfId="5" applyFont="1"/>
    <xf numFmtId="4" fontId="8" fillId="0" borderId="0" xfId="6" applyNumberFormat="1" applyFont="1" applyAlignment="1">
      <alignment horizontal="left" vertical="center"/>
    </xf>
    <xf numFmtId="0" fontId="24" fillId="0" borderId="0" xfId="6" applyFont="1" applyAlignment="1">
      <alignment horizontal="center"/>
    </xf>
    <xf numFmtId="0" fontId="24" fillId="0" borderId="0" xfId="6" applyFont="1"/>
    <xf numFmtId="166" fontId="26" fillId="0" borderId="4" xfId="7" applyNumberFormat="1" applyFont="1" applyBorder="1" applyAlignment="1">
      <alignment horizontal="left"/>
    </xf>
    <xf numFmtId="0" fontId="26" fillId="0" borderId="5" xfId="7" applyFont="1" applyBorder="1" applyAlignment="1">
      <alignment horizontal="left"/>
    </xf>
    <xf numFmtId="0" fontId="25" fillId="0" borderId="5" xfId="7" applyFont="1" applyBorder="1" applyAlignment="1">
      <alignment horizontal="left"/>
    </xf>
    <xf numFmtId="0" fontId="27" fillId="0" borderId="5" xfId="7" applyFont="1" applyBorder="1" applyAlignment="1">
      <alignment horizontal="left"/>
    </xf>
    <xf numFmtId="0" fontId="28" fillId="0" borderId="5" xfId="7" applyFont="1" applyBorder="1" applyAlignment="1">
      <alignment horizontal="left" wrapText="1" readingOrder="1"/>
    </xf>
    <xf numFmtId="0" fontId="27" fillId="0" borderId="5" xfId="7" applyFont="1" applyBorder="1" applyAlignment="1">
      <alignment horizontal="left" wrapText="1"/>
    </xf>
    <xf numFmtId="0" fontId="29" fillId="0" borderId="5" xfId="7" applyFont="1" applyBorder="1" applyAlignment="1">
      <alignment horizontal="left" wrapText="1"/>
    </xf>
    <xf numFmtId="17" fontId="30" fillId="0" borderId="5" xfId="7" quotePrefix="1" applyNumberFormat="1" applyFont="1" applyBorder="1" applyAlignment="1">
      <alignment horizontal="left"/>
    </xf>
    <xf numFmtId="0" fontId="24" fillId="0" borderId="5" xfId="7" applyFont="1" applyBorder="1" applyAlignment="1">
      <alignment horizontal="left"/>
    </xf>
    <xf numFmtId="49" fontId="31" fillId="0" borderId="6" xfId="7" quotePrefix="1" applyNumberFormat="1" applyFont="1" applyBorder="1" applyAlignment="1">
      <alignment horizontal="left"/>
    </xf>
    <xf numFmtId="0" fontId="21" fillId="0" borderId="0" xfId="0" applyFont="1"/>
    <xf numFmtId="166" fontId="26" fillId="0" borderId="7" xfId="7" applyNumberFormat="1" applyFont="1" applyBorder="1" applyAlignment="1">
      <alignment horizontal="left"/>
    </xf>
    <xf numFmtId="0" fontId="26" fillId="0" borderId="0" xfId="7" applyFont="1" applyAlignment="1">
      <alignment horizontal="left"/>
    </xf>
    <xf numFmtId="0" fontId="25" fillId="0" borderId="0" xfId="7" applyFont="1" applyAlignment="1">
      <alignment horizontal="left"/>
    </xf>
    <xf numFmtId="0" fontId="25" fillId="0" borderId="8" xfId="7" applyFont="1" applyBorder="1" applyAlignment="1">
      <alignment horizontal="left"/>
    </xf>
    <xf numFmtId="166" fontId="32" fillId="0" borderId="9" xfId="7" applyNumberFormat="1" applyFont="1" applyBorder="1" applyAlignment="1">
      <alignment horizontal="left"/>
    </xf>
    <xf numFmtId="0" fontId="25" fillId="0" borderId="10" xfId="7" applyFont="1" applyBorder="1" applyAlignment="1">
      <alignment horizontal="left"/>
    </xf>
    <xf numFmtId="0" fontId="25" fillId="0" borderId="11" xfId="7" applyFont="1" applyBorder="1" applyAlignment="1">
      <alignment horizontal="left"/>
    </xf>
    <xf numFmtId="0" fontId="35" fillId="0" borderId="0" xfId="0" applyFont="1"/>
    <xf numFmtId="0" fontId="14" fillId="0" borderId="0" xfId="0" applyFont="1" applyAlignment="1">
      <alignment horizontal="right"/>
    </xf>
    <xf numFmtId="0" fontId="37" fillId="0" borderId="0" xfId="9" applyFont="1"/>
    <xf numFmtId="0" fontId="1" fillId="0" borderId="0" xfId="14"/>
    <xf numFmtId="4" fontId="4" fillId="0" borderId="0" xfId="14" applyNumberFormat="1" applyFont="1"/>
    <xf numFmtId="0" fontId="5" fillId="0" borderId="0" xfId="14" applyFont="1" applyAlignment="1">
      <alignment vertical="center"/>
    </xf>
    <xf numFmtId="2" fontId="1" fillId="0" borderId="0" xfId="14" applyNumberFormat="1" applyAlignment="1">
      <alignment horizontal="left"/>
    </xf>
    <xf numFmtId="0" fontId="1" fillId="0" borderId="0" xfId="14" applyAlignment="1">
      <alignment horizontal="left"/>
    </xf>
    <xf numFmtId="43" fontId="1" fillId="0" borderId="0" xfId="15" applyFont="1" applyFill="1"/>
    <xf numFmtId="0" fontId="38" fillId="0" borderId="0" xfId="14" applyFont="1"/>
    <xf numFmtId="4" fontId="8" fillId="0" borderId="0" xfId="14" applyNumberFormat="1" applyFont="1" applyAlignment="1">
      <alignment horizontal="left" vertical="center"/>
    </xf>
    <xf numFmtId="0" fontId="24" fillId="0" borderId="0" xfId="9"/>
    <xf numFmtId="17" fontId="1" fillId="0" borderId="0" xfId="14" quotePrefix="1" applyNumberFormat="1"/>
    <xf numFmtId="17" fontId="38" fillId="0" borderId="0" xfId="14" quotePrefix="1" applyNumberFormat="1" applyFont="1"/>
    <xf numFmtId="0" fontId="39" fillId="7" borderId="14" xfId="14" applyFont="1" applyFill="1" applyBorder="1" applyAlignment="1">
      <alignment horizontal="center" wrapText="1"/>
    </xf>
    <xf numFmtId="0" fontId="40" fillId="7" borderId="14" xfId="9" applyFont="1" applyFill="1" applyBorder="1" applyAlignment="1">
      <alignment horizontal="left" wrapText="1"/>
    </xf>
    <xf numFmtId="43" fontId="40" fillId="7" borderId="14" xfId="15" applyFont="1" applyFill="1" applyBorder="1" applyAlignment="1">
      <alignment horizontal="left" wrapText="1"/>
    </xf>
    <xf numFmtId="0" fontId="40" fillId="7" borderId="14" xfId="9" applyFont="1" applyFill="1" applyBorder="1" applyAlignment="1">
      <alignment horizontal="center" wrapText="1"/>
    </xf>
    <xf numFmtId="0" fontId="40" fillId="7" borderId="0" xfId="9" applyFont="1" applyFill="1" applyAlignment="1">
      <alignment horizontal="left" wrapText="1"/>
    </xf>
    <xf numFmtId="0" fontId="39" fillId="7" borderId="14" xfId="9" applyFont="1" applyFill="1" applyBorder="1" applyAlignment="1">
      <alignment horizontal="left" wrapText="1"/>
    </xf>
    <xf numFmtId="0" fontId="17" fillId="0" borderId="0" xfId="14" applyFont="1" applyAlignment="1">
      <alignment horizontal="right"/>
    </xf>
    <xf numFmtId="0" fontId="41" fillId="0" borderId="0" xfId="9" applyFont="1"/>
    <xf numFmtId="0" fontId="17" fillId="0" borderId="10" xfId="14" applyFont="1" applyBorder="1" applyAlignment="1">
      <alignment horizontal="left"/>
    </xf>
    <xf numFmtId="0" fontId="17" fillId="0" borderId="16" xfId="14" applyFont="1" applyBorder="1" applyAlignment="1">
      <alignment horizontal="left"/>
    </xf>
    <xf numFmtId="0" fontId="17" fillId="0" borderId="16" xfId="14" applyFont="1" applyBorder="1"/>
    <xf numFmtId="0" fontId="17" fillId="0" borderId="10" xfId="14" applyFont="1" applyBorder="1" applyAlignment="1">
      <alignment horizontal="left" vertical="center"/>
    </xf>
    <xf numFmtId="14" fontId="17" fillId="0" borderId="15" xfId="14" applyNumberFormat="1" applyFont="1" applyBorder="1" applyAlignment="1">
      <alignment horizontal="left"/>
    </xf>
    <xf numFmtId="0" fontId="17" fillId="0" borderId="15" xfId="14" applyFont="1" applyBorder="1" applyAlignment="1">
      <alignment horizontal="left" vertical="center"/>
    </xf>
    <xf numFmtId="0" fontId="17" fillId="0" borderId="15" xfId="14" applyFont="1" applyBorder="1" applyAlignment="1">
      <alignment horizontal="left"/>
    </xf>
    <xf numFmtId="0" fontId="17" fillId="0" borderId="15" xfId="14" quotePrefix="1" applyFont="1" applyBorder="1" applyAlignment="1">
      <alignment horizontal="left"/>
    </xf>
    <xf numFmtId="14" fontId="17" fillId="0" borderId="15" xfId="14" applyNumberFormat="1" applyFont="1" applyBorder="1" applyAlignment="1">
      <alignment horizontal="left" vertical="center"/>
    </xf>
    <xf numFmtId="43" fontId="17" fillId="0" borderId="15" xfId="15" applyFont="1" applyBorder="1"/>
    <xf numFmtId="43" fontId="17" fillId="0" borderId="15" xfId="15" applyFont="1" applyBorder="1" applyAlignment="1">
      <alignment horizontal="left" vertical="center"/>
    </xf>
    <xf numFmtId="0" fontId="17" fillId="0" borderId="15" xfId="14" quotePrefix="1" applyFont="1" applyBorder="1" applyAlignment="1">
      <alignment horizontal="left" vertical="center"/>
    </xf>
    <xf numFmtId="0" fontId="42" fillId="0" borderId="0" xfId="0" applyFont="1" applyAlignment="1">
      <alignment vertical="center"/>
    </xf>
    <xf numFmtId="0" fontId="43" fillId="0" borderId="0" xfId="0" applyFont="1"/>
    <xf numFmtId="0" fontId="44" fillId="0" borderId="17" xfId="0" applyFont="1" applyBorder="1" applyAlignment="1">
      <alignment vertical="center"/>
    </xf>
    <xf numFmtId="0" fontId="12" fillId="0" borderId="0" xfId="0" quotePrefix="1" applyFont="1"/>
    <xf numFmtId="0" fontId="46" fillId="7" borderId="14" xfId="0" applyFont="1" applyFill="1" applyBorder="1" applyAlignment="1">
      <alignment horizontal="center" wrapText="1"/>
    </xf>
    <xf numFmtId="0" fontId="46" fillId="7" borderId="14" xfId="0" applyFont="1" applyFill="1" applyBorder="1" applyAlignment="1">
      <alignment wrapText="1"/>
    </xf>
    <xf numFmtId="0" fontId="46" fillId="7" borderId="14" xfId="0" applyFont="1" applyFill="1" applyBorder="1" applyAlignment="1">
      <alignment horizontal="center" vertical="center" wrapText="1"/>
    </xf>
    <xf numFmtId="0" fontId="46" fillId="7" borderId="18" xfId="0" applyFont="1" applyFill="1" applyBorder="1" applyAlignment="1">
      <alignment wrapText="1"/>
    </xf>
    <xf numFmtId="0" fontId="46" fillId="7" borderId="18" xfId="0" applyFont="1" applyFill="1" applyBorder="1" applyAlignment="1">
      <alignment horizontal="center" wrapText="1"/>
    </xf>
    <xf numFmtId="17" fontId="45" fillId="0" borderId="0" xfId="0" quotePrefix="1" applyNumberFormat="1" applyFont="1" applyAlignment="1">
      <alignment horizontal="left"/>
    </xf>
    <xf numFmtId="0" fontId="37" fillId="0" borderId="0" xfId="0" applyFont="1"/>
    <xf numFmtId="0" fontId="30" fillId="0" borderId="0" xfId="17" applyFont="1"/>
    <xf numFmtId="4" fontId="30" fillId="0" borderId="0" xfId="17" applyNumberFormat="1" applyFont="1"/>
    <xf numFmtId="0" fontId="25" fillId="0" borderId="0" xfId="17" applyFont="1"/>
    <xf numFmtId="0" fontId="24" fillId="0" borderId="0" xfId="17"/>
    <xf numFmtId="49" fontId="24" fillId="0" borderId="0" xfId="17" applyNumberFormat="1"/>
    <xf numFmtId="17" fontId="30" fillId="0" borderId="0" xfId="17" quotePrefix="1" applyNumberFormat="1" applyFont="1"/>
    <xf numFmtId="4" fontId="25" fillId="0" borderId="0" xfId="17" applyNumberFormat="1" applyFont="1"/>
    <xf numFmtId="0" fontId="37" fillId="0" borderId="0" xfId="17" applyFont="1"/>
    <xf numFmtId="4" fontId="4" fillId="0" borderId="0" xfId="17" applyNumberFormat="1" applyFont="1"/>
    <xf numFmtId="0" fontId="38" fillId="0" borderId="0" xfId="8" applyFont="1"/>
    <xf numFmtId="49" fontId="38" fillId="0" borderId="0" xfId="8" applyNumberFormat="1" applyFont="1"/>
    <xf numFmtId="0" fontId="5" fillId="0" borderId="0" xfId="17" applyFont="1" applyAlignment="1">
      <alignment vertical="center"/>
    </xf>
    <xf numFmtId="2" fontId="24" fillId="0" borderId="0" xfId="17" applyNumberFormat="1" applyAlignment="1">
      <alignment horizontal="left"/>
    </xf>
    <xf numFmtId="4" fontId="8" fillId="0" borderId="0" xfId="17" applyNumberFormat="1" applyFont="1" applyAlignment="1">
      <alignment horizontal="left" vertical="center"/>
    </xf>
    <xf numFmtId="0" fontId="39" fillId="7" borderId="14" xfId="18" applyFont="1" applyFill="1" applyBorder="1" applyAlignment="1">
      <alignment wrapText="1"/>
    </xf>
    <xf numFmtId="0" fontId="48" fillId="7" borderId="14" xfId="18" applyFont="1" applyFill="1" applyBorder="1" applyAlignment="1">
      <alignment wrapText="1"/>
    </xf>
    <xf numFmtId="49" fontId="39" fillId="7" borderId="14" xfId="18" applyNumberFormat="1" applyFont="1" applyFill="1" applyBorder="1" applyAlignment="1">
      <alignment wrapText="1"/>
    </xf>
    <xf numFmtId="164" fontId="49" fillId="0" borderId="2" xfId="0" applyNumberFormat="1" applyFont="1" applyBorder="1" applyAlignment="1">
      <alignment horizontal="left"/>
    </xf>
    <xf numFmtId="0" fontId="49" fillId="0" borderId="2" xfId="0" applyFont="1" applyBorder="1"/>
    <xf numFmtId="0" fontId="49" fillId="0" borderId="2" xfId="0" applyFont="1" applyBorder="1" applyAlignment="1">
      <alignment horizontal="center" vertical="center"/>
    </xf>
    <xf numFmtId="2" fontId="49" fillId="0" borderId="2" xfId="0" applyNumberFormat="1" applyFont="1" applyBorder="1" applyAlignment="1">
      <alignment horizontal="left"/>
    </xf>
    <xf numFmtId="0" fontId="49" fillId="0" borderId="2" xfId="0" quotePrefix="1" applyFont="1" applyBorder="1" applyAlignment="1">
      <alignment horizontal="left" vertical="center"/>
    </xf>
    <xf numFmtId="49" fontId="49" fillId="0" borderId="2" xfId="0" applyNumberFormat="1" applyFont="1" applyBorder="1" applyAlignment="1">
      <alignment horizontal="left"/>
    </xf>
    <xf numFmtId="14" fontId="49" fillId="0" borderId="2" xfId="0" applyNumberFormat="1" applyFont="1" applyBorder="1" applyAlignment="1">
      <alignment horizontal="left"/>
    </xf>
    <xf numFmtId="1" fontId="49" fillId="0" borderId="2" xfId="0" applyNumberFormat="1" applyFont="1" applyBorder="1"/>
    <xf numFmtId="2" fontId="49" fillId="8" borderId="2" xfId="0" applyNumberFormat="1" applyFont="1" applyFill="1" applyBorder="1" applyAlignment="1">
      <alignment horizontal="right"/>
    </xf>
    <xf numFmtId="2" fontId="49" fillId="0" borderId="2" xfId="0" applyNumberFormat="1" applyFont="1" applyBorder="1" applyAlignment="1">
      <alignment horizontal="center"/>
    </xf>
    <xf numFmtId="49" fontId="49" fillId="0" borderId="2" xfId="0" applyNumberFormat="1" applyFont="1" applyBorder="1"/>
    <xf numFmtId="165" fontId="49" fillId="0" borderId="2" xfId="0" applyNumberFormat="1" applyFont="1" applyBorder="1" applyAlignment="1">
      <alignment horizontal="center"/>
    </xf>
    <xf numFmtId="2" fontId="0" fillId="0" borderId="0" xfId="0" applyNumberFormat="1"/>
    <xf numFmtId="0" fontId="50" fillId="7" borderId="1" xfId="8" applyFont="1" applyFill="1" applyBorder="1" applyAlignment="1">
      <alignment horizontal="center" wrapText="1"/>
    </xf>
    <xf numFmtId="0" fontId="51" fillId="7" borderId="1" xfId="0" applyFont="1" applyFill="1" applyBorder="1" applyAlignment="1">
      <alignment horizontal="center" vertical="center" wrapText="1"/>
    </xf>
    <xf numFmtId="0" fontId="51" fillId="7" borderId="1" xfId="0" applyFont="1" applyFill="1" applyBorder="1" applyAlignment="1">
      <alignment vertical="center" wrapText="1"/>
    </xf>
    <xf numFmtId="0" fontId="2" fillId="0" borderId="15" xfId="19" applyBorder="1" applyAlignment="1">
      <alignment horizontal="left" vertical="center"/>
    </xf>
    <xf numFmtId="0" fontId="0" fillId="0" borderId="0" xfId="14" applyFont="1"/>
    <xf numFmtId="0" fontId="52" fillId="0" borderId="0" xfId="0" applyFont="1" applyAlignment="1">
      <alignment horizontal="left"/>
    </xf>
    <xf numFmtId="4" fontId="53" fillId="0" borderId="0" xfId="0" applyNumberFormat="1" applyFont="1"/>
    <xf numFmtId="0" fontId="54" fillId="0" borderId="0" xfId="0" applyFont="1" applyAlignment="1">
      <alignment horizontal="left" vertical="center"/>
    </xf>
    <xf numFmtId="0" fontId="55" fillId="0" borderId="0" xfId="0" applyFont="1"/>
    <xf numFmtId="2" fontId="52" fillId="0" borderId="0" xfId="0" applyNumberFormat="1" applyFont="1" applyAlignment="1">
      <alignment horizontal="left"/>
    </xf>
    <xf numFmtId="0" fontId="52" fillId="0" borderId="0" xfId="0" applyFont="1" applyAlignment="1">
      <alignment horizontal="right"/>
    </xf>
    <xf numFmtId="0" fontId="56" fillId="0" borderId="0" xfId="0" applyFont="1"/>
    <xf numFmtId="49" fontId="56" fillId="0" borderId="0" xfId="0" applyNumberFormat="1" applyFont="1" applyAlignment="1">
      <alignment horizontal="left"/>
    </xf>
    <xf numFmtId="1" fontId="52" fillId="0" borderId="0" xfId="0" applyNumberFormat="1" applyFont="1"/>
    <xf numFmtId="2" fontId="57" fillId="0" borderId="0" xfId="0" applyNumberFormat="1" applyFont="1" applyAlignment="1">
      <alignment horizontal="right"/>
    </xf>
    <xf numFmtId="0" fontId="52" fillId="0" borderId="0" xfId="0" applyFont="1" applyAlignment="1">
      <alignment horizontal="center"/>
    </xf>
    <xf numFmtId="4" fontId="58" fillId="0" borderId="0" xfId="0" applyNumberFormat="1" applyFont="1" applyAlignment="1">
      <alignment horizontal="left" vertical="center"/>
    </xf>
    <xf numFmtId="0" fontId="54" fillId="0" borderId="0" xfId="0" applyFont="1" applyAlignment="1">
      <alignment horizontal="left"/>
    </xf>
    <xf numFmtId="49" fontId="52" fillId="0" borderId="0" xfId="0" applyNumberFormat="1" applyFont="1"/>
    <xf numFmtId="0" fontId="59" fillId="0" borderId="0" xfId="0" applyFont="1" applyAlignment="1">
      <alignment horizontal="left"/>
    </xf>
    <xf numFmtId="17" fontId="57" fillId="0" borderId="0" xfId="0" applyNumberFormat="1" applyFont="1" applyAlignment="1">
      <alignment horizontal="left"/>
    </xf>
    <xf numFmtId="0" fontId="60" fillId="3" borderId="19" xfId="0" applyFont="1" applyFill="1" applyBorder="1" applyAlignment="1">
      <alignment horizontal="left" vertical="center" wrapText="1"/>
    </xf>
    <xf numFmtId="1" fontId="60" fillId="3" borderId="19" xfId="0" applyNumberFormat="1" applyFont="1" applyFill="1" applyBorder="1" applyAlignment="1">
      <alignment horizontal="left" vertical="center" wrapText="1"/>
    </xf>
    <xf numFmtId="2" fontId="60" fillId="3" borderId="19" xfId="0" applyNumberFormat="1" applyFont="1" applyFill="1" applyBorder="1" applyAlignment="1">
      <alignment horizontal="left" vertical="center" wrapText="1"/>
    </xf>
    <xf numFmtId="0" fontId="60" fillId="3" borderId="20" xfId="0" applyFont="1" applyFill="1" applyBorder="1" applyAlignment="1">
      <alignment horizontal="left" vertical="center" wrapText="1"/>
    </xf>
    <xf numFmtId="0" fontId="60" fillId="3" borderId="21" xfId="0" applyFont="1" applyFill="1" applyBorder="1" applyAlignment="1">
      <alignment horizontal="left" vertical="center" wrapText="1"/>
    </xf>
    <xf numFmtId="14" fontId="61" fillId="9" borderId="22" xfId="0" applyNumberFormat="1" applyFont="1" applyFill="1" applyBorder="1" applyAlignment="1">
      <alignment horizontal="left" vertical="center"/>
    </xf>
    <xf numFmtId="49" fontId="61" fillId="9" borderId="22" xfId="0" applyNumberFormat="1" applyFont="1" applyFill="1" applyBorder="1" applyAlignment="1">
      <alignment horizontal="left" vertical="center"/>
    </xf>
    <xf numFmtId="0" fontId="61" fillId="9" borderId="22" xfId="0" applyFont="1" applyFill="1" applyBorder="1" applyAlignment="1">
      <alignment horizontal="left" vertical="center"/>
    </xf>
    <xf numFmtId="2" fontId="61" fillId="9" borderId="22" xfId="0" applyNumberFormat="1" applyFont="1" applyFill="1" applyBorder="1" applyAlignment="1">
      <alignment horizontal="left" vertical="center"/>
    </xf>
    <xf numFmtId="0" fontId="61" fillId="10" borderId="22" xfId="0" applyFont="1" applyFill="1" applyBorder="1" applyAlignment="1">
      <alignment horizontal="left" vertical="center"/>
    </xf>
    <xf numFmtId="0" fontId="49" fillId="5" borderId="15" xfId="0" applyFont="1" applyFill="1" applyBorder="1" applyAlignment="1">
      <alignment horizontal="center" vertical="center"/>
    </xf>
    <xf numFmtId="0" fontId="36" fillId="0" borderId="0" xfId="9" applyFont="1" applyAlignment="1">
      <alignment vertical="center"/>
    </xf>
    <xf numFmtId="0" fontId="35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5" fillId="8" borderId="1" xfId="0" applyFont="1" applyFill="1" applyBorder="1" applyAlignment="1">
      <alignment vertical="center"/>
    </xf>
    <xf numFmtId="49" fontId="18" fillId="8" borderId="1" xfId="0" applyNumberFormat="1" applyFont="1" applyFill="1" applyBorder="1" applyAlignment="1">
      <alignment horizontal="center"/>
    </xf>
    <xf numFmtId="49" fontId="2" fillId="0" borderId="2" xfId="19" applyNumberFormat="1" applyBorder="1"/>
    <xf numFmtId="0" fontId="62" fillId="8" borderId="15" xfId="21" applyFont="1" applyFill="1" applyBorder="1" applyAlignment="1">
      <alignment horizontal="left"/>
    </xf>
    <xf numFmtId="165" fontId="2" fillId="5" borderId="2" xfId="19" applyNumberFormat="1" applyFill="1" applyBorder="1" applyAlignment="1">
      <alignment horizontal="left"/>
    </xf>
    <xf numFmtId="0" fontId="36" fillId="8" borderId="0" xfId="9" applyFont="1" applyFill="1" applyAlignment="1">
      <alignment vertical="center"/>
    </xf>
    <xf numFmtId="14" fontId="36" fillId="8" borderId="2" xfId="10" applyNumberFormat="1" applyFont="1" applyFill="1" applyBorder="1" applyAlignment="1">
      <alignment vertical="center" wrapText="1"/>
    </xf>
    <xf numFmtId="14" fontId="36" fillId="8" borderId="2" xfId="10" applyNumberFormat="1" applyFont="1" applyFill="1" applyBorder="1" applyAlignment="1">
      <alignment horizontal="left" vertical="center" wrapText="1"/>
    </xf>
    <xf numFmtId="0" fontId="36" fillId="8" borderId="2" xfId="10" applyFont="1" applyFill="1" applyBorder="1" applyAlignment="1">
      <alignment horizontal="center" vertical="center" wrapText="1"/>
    </xf>
    <xf numFmtId="0" fontId="35" fillId="8" borderId="2" xfId="0" applyFont="1" applyFill="1" applyBorder="1" applyAlignment="1">
      <alignment horizontal="left" vertical="center" wrapText="1"/>
    </xf>
    <xf numFmtId="0" fontId="36" fillId="8" borderId="2" xfId="10" applyFont="1" applyFill="1" applyBorder="1" applyAlignment="1">
      <alignment horizontal="left" vertical="center" wrapText="1"/>
    </xf>
    <xf numFmtId="0" fontId="36" fillId="8" borderId="12" xfId="10" applyFont="1" applyFill="1" applyBorder="1" applyAlignment="1">
      <alignment vertical="center" wrapText="1"/>
    </xf>
    <xf numFmtId="0" fontId="36" fillId="8" borderId="2" xfId="10" quotePrefix="1" applyFont="1" applyFill="1" applyBorder="1" applyAlignment="1">
      <alignment horizontal="left" vertical="center" wrapText="1"/>
    </xf>
    <xf numFmtId="1" fontId="36" fillId="8" borderId="2" xfId="11" quotePrefix="1" applyNumberFormat="1" applyFont="1" applyFill="1" applyBorder="1" applyAlignment="1">
      <alignment horizontal="left" vertical="center"/>
    </xf>
    <xf numFmtId="43" fontId="36" fillId="8" borderId="2" xfId="12" applyFont="1" applyFill="1" applyBorder="1" applyAlignment="1">
      <alignment vertical="center"/>
    </xf>
    <xf numFmtId="43" fontId="36" fillId="8" borderId="2" xfId="12" quotePrefix="1" applyFont="1" applyFill="1" applyBorder="1" applyAlignment="1">
      <alignment horizontal="left" vertical="center"/>
    </xf>
    <xf numFmtId="43" fontId="2" fillId="8" borderId="13" xfId="19" applyNumberFormat="1" applyFill="1" applyBorder="1" applyAlignment="1">
      <alignment horizontal="left" vertical="center"/>
    </xf>
    <xf numFmtId="0" fontId="2" fillId="8" borderId="0" xfId="19" applyFill="1" applyAlignment="1">
      <alignment vertical="center"/>
    </xf>
    <xf numFmtId="0" fontId="35" fillId="8" borderId="0" xfId="0" applyFont="1" applyFill="1" applyAlignment="1">
      <alignment vertical="center"/>
    </xf>
    <xf numFmtId="0" fontId="36" fillId="8" borderId="0" xfId="10" applyFont="1" applyFill="1" applyAlignment="1">
      <alignment horizontal="left" vertical="center" wrapText="1"/>
    </xf>
    <xf numFmtId="43" fontId="0" fillId="0" borderId="0" xfId="0" applyNumberFormat="1"/>
    <xf numFmtId="0" fontId="14" fillId="8" borderId="0" xfId="3" applyFont="1" applyFill="1" applyAlignment="1">
      <alignment horizontal="right"/>
    </xf>
    <xf numFmtId="0" fontId="14" fillId="8" borderId="2" xfId="3" applyFont="1" applyFill="1" applyBorder="1" applyAlignment="1">
      <alignment horizontal="center" vertical="center"/>
    </xf>
    <xf numFmtId="0" fontId="14" fillId="8" borderId="2" xfId="3" applyFont="1" applyFill="1" applyBorder="1" applyAlignment="1">
      <alignment horizontal="left"/>
    </xf>
    <xf numFmtId="2" fontId="14" fillId="8" borderId="2" xfId="3" applyNumberFormat="1" applyFont="1" applyFill="1" applyBorder="1" applyAlignment="1">
      <alignment horizontal="center"/>
    </xf>
    <xf numFmtId="165" fontId="14" fillId="8" borderId="2" xfId="3" applyNumberFormat="1" applyFont="1" applyFill="1" applyBorder="1" applyAlignment="1">
      <alignment horizontal="center"/>
    </xf>
    <xf numFmtId="0" fontId="35" fillId="8" borderId="0" xfId="0" applyFont="1" applyFill="1"/>
    <xf numFmtId="14" fontId="36" fillId="8" borderId="0" xfId="10" applyNumberFormat="1" applyFont="1" applyFill="1" applyAlignment="1">
      <alignment vertical="center" wrapText="1"/>
    </xf>
    <xf numFmtId="14" fontId="36" fillId="8" borderId="0" xfId="10" applyNumberFormat="1" applyFont="1" applyFill="1" applyAlignment="1">
      <alignment horizontal="left" vertical="center" wrapText="1"/>
    </xf>
    <xf numFmtId="0" fontId="36" fillId="8" borderId="0" xfId="10" applyFont="1" applyFill="1" applyAlignment="1">
      <alignment horizontal="center" vertical="center" wrapText="1"/>
    </xf>
    <xf numFmtId="0" fontId="35" fillId="8" borderId="0" xfId="0" applyFont="1" applyFill="1" applyAlignment="1">
      <alignment horizontal="left" vertical="center" wrapText="1"/>
    </xf>
    <xf numFmtId="0" fontId="36" fillId="8" borderId="0" xfId="10" applyFont="1" applyFill="1" applyAlignment="1">
      <alignment vertical="center" wrapText="1"/>
    </xf>
    <xf numFmtId="0" fontId="36" fillId="8" borderId="0" xfId="10" quotePrefix="1" applyFont="1" applyFill="1" applyAlignment="1">
      <alignment horizontal="left" vertical="center" wrapText="1"/>
    </xf>
    <xf numFmtId="1" fontId="36" fillId="8" borderId="0" xfId="11" quotePrefix="1" applyNumberFormat="1" applyFont="1" applyFill="1" applyBorder="1" applyAlignment="1">
      <alignment horizontal="left" vertical="center"/>
    </xf>
    <xf numFmtId="43" fontId="36" fillId="8" borderId="0" xfId="12" applyFont="1" applyFill="1" applyBorder="1" applyAlignment="1">
      <alignment vertical="center"/>
    </xf>
    <xf numFmtId="43" fontId="36" fillId="8" borderId="0" xfId="12" quotePrefix="1" applyFont="1" applyFill="1" applyBorder="1" applyAlignment="1">
      <alignment horizontal="left" vertical="center"/>
    </xf>
    <xf numFmtId="43" fontId="2" fillId="8" borderId="0" xfId="19" applyNumberFormat="1" applyFill="1" applyBorder="1" applyAlignment="1">
      <alignment horizontal="left" vertical="center"/>
    </xf>
    <xf numFmtId="14" fontId="35" fillId="9" borderId="22" xfId="0" applyNumberFormat="1" applyFont="1" applyFill="1" applyBorder="1" applyAlignment="1">
      <alignment horizontal="left" vertical="center"/>
    </xf>
    <xf numFmtId="0" fontId="63" fillId="10" borderId="22" xfId="19" applyFont="1" applyFill="1" applyBorder="1" applyAlignment="1">
      <alignment horizontal="left" vertical="center"/>
    </xf>
    <xf numFmtId="14" fontId="35" fillId="9" borderId="22" xfId="0" applyNumberFormat="1" applyFont="1" applyFill="1" applyBorder="1" applyAlignment="1">
      <alignment horizontal="center" vertical="center"/>
    </xf>
    <xf numFmtId="49" fontId="35" fillId="9" borderId="22" xfId="0" applyNumberFormat="1" applyFont="1" applyFill="1" applyBorder="1" applyAlignment="1">
      <alignment horizontal="center" vertical="center"/>
    </xf>
    <xf numFmtId="0" fontId="14" fillId="8" borderId="2" xfId="3" applyFont="1" applyFill="1" applyBorder="1" applyAlignment="1">
      <alignment horizontal="center"/>
    </xf>
    <xf numFmtId="0" fontId="35" fillId="9" borderId="22" xfId="0" applyFont="1" applyFill="1" applyBorder="1" applyAlignment="1">
      <alignment horizontal="center" vertical="center"/>
    </xf>
    <xf numFmtId="2" fontId="35" fillId="9" borderId="22" xfId="0" applyNumberFormat="1" applyFont="1" applyFill="1" applyBorder="1" applyAlignment="1">
      <alignment horizontal="center" vertical="center"/>
    </xf>
    <xf numFmtId="0" fontId="35" fillId="10" borderId="22" xfId="0" applyFont="1" applyFill="1" applyBorder="1" applyAlignment="1">
      <alignment horizontal="center" vertical="center"/>
    </xf>
    <xf numFmtId="14" fontId="14" fillId="8" borderId="2" xfId="3" applyNumberFormat="1" applyFont="1" applyFill="1" applyBorder="1" applyAlignment="1">
      <alignment horizontal="center"/>
    </xf>
    <xf numFmtId="0" fontId="34" fillId="8" borderId="2" xfId="4" applyNumberFormat="1" applyFont="1" applyFill="1" applyBorder="1" applyAlignment="1">
      <alignment horizontal="center"/>
    </xf>
    <xf numFmtId="0" fontId="35" fillId="8" borderId="3" xfId="3" applyFont="1" applyFill="1" applyBorder="1" applyAlignment="1">
      <alignment horizontal="left"/>
    </xf>
    <xf numFmtId="0" fontId="35" fillId="0" borderId="0" xfId="3" applyFont="1" applyAlignment="1">
      <alignment horizontal="left"/>
    </xf>
    <xf numFmtId="0" fontId="35" fillId="0" borderId="0" xfId="0" applyFont="1" applyAlignment="1">
      <alignment horizontal="left"/>
    </xf>
    <xf numFmtId="0" fontId="2" fillId="8" borderId="2" xfId="19" applyNumberFormat="1" applyFill="1" applyBorder="1" applyAlignment="1">
      <alignment horizontal="left"/>
    </xf>
    <xf numFmtId="1" fontId="14" fillId="8" borderId="2" xfId="3" applyNumberFormat="1" applyFont="1" applyFill="1" applyBorder="1" applyAlignment="1">
      <alignment horizontal="left"/>
    </xf>
    <xf numFmtId="14" fontId="35" fillId="9" borderId="22" xfId="0" applyNumberFormat="1" applyFont="1" applyFill="1" applyBorder="1" applyAlignment="1">
      <alignment horizontal="left"/>
    </xf>
    <xf numFmtId="0" fontId="14" fillId="8" borderId="22" xfId="3" applyFont="1" applyFill="1" applyBorder="1" applyAlignment="1">
      <alignment horizontal="left"/>
    </xf>
    <xf numFmtId="0" fontId="14" fillId="8" borderId="22" xfId="3" applyFont="1" applyFill="1" applyBorder="1" applyAlignment="1">
      <alignment horizontal="center" vertical="center"/>
    </xf>
    <xf numFmtId="14" fontId="14" fillId="8" borderId="22" xfId="3" applyNumberFormat="1" applyFont="1" applyFill="1" applyBorder="1" applyAlignment="1">
      <alignment horizontal="center"/>
    </xf>
    <xf numFmtId="1" fontId="14" fillId="8" borderId="22" xfId="3" applyNumberFormat="1" applyFont="1" applyFill="1" applyBorder="1" applyAlignment="1">
      <alignment horizontal="left"/>
    </xf>
    <xf numFmtId="0" fontId="14" fillId="8" borderId="22" xfId="3" applyFont="1" applyFill="1" applyBorder="1" applyAlignment="1">
      <alignment horizontal="center"/>
    </xf>
    <xf numFmtId="2" fontId="14" fillId="8" borderId="22" xfId="3" applyNumberFormat="1" applyFont="1" applyFill="1" applyBorder="1" applyAlignment="1">
      <alignment horizontal="center"/>
    </xf>
    <xf numFmtId="0" fontId="34" fillId="8" borderId="22" xfId="4" applyNumberFormat="1" applyFont="1" applyFill="1" applyBorder="1" applyAlignment="1">
      <alignment horizontal="center"/>
    </xf>
    <xf numFmtId="0" fontId="2" fillId="8" borderId="22" xfId="19" applyNumberFormat="1" applyFill="1" applyBorder="1" applyAlignment="1">
      <alignment horizontal="left"/>
    </xf>
    <xf numFmtId="0" fontId="2" fillId="10" borderId="22" xfId="19" applyFill="1" applyBorder="1" applyAlignment="1">
      <alignment horizontal="left" vertical="center"/>
    </xf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wpz@hotmail.com" TargetMode="External"/><Relationship Id="rId21" Type="http://schemas.openxmlformats.org/officeDocument/2006/relationships/hyperlink" Target="mailto:ramirezsilvia20@hotmail.com" TargetMode="External"/><Relationship Id="rId42" Type="http://schemas.openxmlformats.org/officeDocument/2006/relationships/hyperlink" Target="mailto:heredia.emilio95@gmail.com" TargetMode="External"/><Relationship Id="rId47" Type="http://schemas.openxmlformats.org/officeDocument/2006/relationships/hyperlink" Target="mailto:ocabrera@homedeko.com.ec" TargetMode="External"/><Relationship Id="rId63" Type="http://schemas.openxmlformats.org/officeDocument/2006/relationships/hyperlink" Target="mailto:estebanbernan2099@hotmail.com" TargetMode="External"/><Relationship Id="rId68" Type="http://schemas.openxmlformats.org/officeDocument/2006/relationships/hyperlink" Target="mailto:estebanbernan2099@hotmail.com" TargetMode="External"/><Relationship Id="rId16" Type="http://schemas.openxmlformats.org/officeDocument/2006/relationships/hyperlink" Target="mailto:fermandog.120@hotmail.com" TargetMode="External"/><Relationship Id="rId11" Type="http://schemas.openxmlformats.org/officeDocument/2006/relationships/hyperlink" Target="mailto:carmencampoverdeh@gmail.com" TargetMode="External"/><Relationship Id="rId24" Type="http://schemas.openxmlformats.org/officeDocument/2006/relationships/hyperlink" Target="mailto:gabigu-87@hotmail.com" TargetMode="External"/><Relationship Id="rId32" Type="http://schemas.openxmlformats.org/officeDocument/2006/relationships/hyperlink" Target="mailto:samper78@hotmail.com" TargetMode="External"/><Relationship Id="rId37" Type="http://schemas.openxmlformats.org/officeDocument/2006/relationships/hyperlink" Target="mailto:esteticatubienestar@gmail.com" TargetMode="External"/><Relationship Id="rId40" Type="http://schemas.openxmlformats.org/officeDocument/2006/relationships/hyperlink" Target="mailto:s_narvaez.palacios@hotmail.com" TargetMode="External"/><Relationship Id="rId45" Type="http://schemas.openxmlformats.org/officeDocument/2006/relationships/hyperlink" Target="mailto:aleastudillol.28@gmail.com" TargetMode="External"/><Relationship Id="rId53" Type="http://schemas.openxmlformats.org/officeDocument/2006/relationships/hyperlink" Target="mailto:gabrielgarcia64@hotmail.com" TargetMode="External"/><Relationship Id="rId58" Type="http://schemas.openxmlformats.org/officeDocument/2006/relationships/hyperlink" Target="mailto:miguelcorralserrano@gmail.com" TargetMode="External"/><Relationship Id="rId66" Type="http://schemas.openxmlformats.org/officeDocument/2006/relationships/hyperlink" Target="mailto:estebanbernan2099@hotmail.com" TargetMode="External"/><Relationship Id="rId74" Type="http://schemas.openxmlformats.org/officeDocument/2006/relationships/hyperlink" Target="mailto:nalvarezv69@gmail.com" TargetMode="External"/><Relationship Id="rId5" Type="http://schemas.openxmlformats.org/officeDocument/2006/relationships/hyperlink" Target="mailto:estebancorderovazquez@gmail.com" TargetMode="External"/><Relationship Id="rId61" Type="http://schemas.openxmlformats.org/officeDocument/2006/relationships/hyperlink" Target="mailto:miguelcorralserrano@gmail.com" TargetMode="External"/><Relationship Id="rId19" Type="http://schemas.openxmlformats.org/officeDocument/2006/relationships/hyperlink" Target="mailto:nelliquintuna2015@gmail.com" TargetMode="External"/><Relationship Id="rId14" Type="http://schemas.openxmlformats.org/officeDocument/2006/relationships/hyperlink" Target="mailto:o.zuniga@live.com" TargetMode="External"/><Relationship Id="rId22" Type="http://schemas.openxmlformats.org/officeDocument/2006/relationships/hyperlink" Target="mailto:ramirezsilvia20@hotmail.com" TargetMode="External"/><Relationship Id="rId27" Type="http://schemas.openxmlformats.org/officeDocument/2006/relationships/hyperlink" Target="mailto:kwpz@hotmail.com" TargetMode="External"/><Relationship Id="rId30" Type="http://schemas.openxmlformats.org/officeDocument/2006/relationships/hyperlink" Target="mailto:nany-01208@hotmail.com" TargetMode="External"/><Relationship Id="rId35" Type="http://schemas.openxmlformats.org/officeDocument/2006/relationships/hyperlink" Target="mailto:te.fa96@hotmail.com" TargetMode="External"/><Relationship Id="rId43" Type="http://schemas.openxmlformats.org/officeDocument/2006/relationships/hyperlink" Target="mailto:heredia.emilio95@gmail.com" TargetMode="External"/><Relationship Id="rId48" Type="http://schemas.openxmlformats.org/officeDocument/2006/relationships/hyperlink" Target="mailto:ocabrera@homedeko.com.ec" TargetMode="External"/><Relationship Id="rId56" Type="http://schemas.openxmlformats.org/officeDocument/2006/relationships/hyperlink" Target="mailto:miguelcorralserrano@gmail.com" TargetMode="External"/><Relationship Id="rId64" Type="http://schemas.openxmlformats.org/officeDocument/2006/relationships/hyperlink" Target="mailto:estebanbernan2099@hotmail.com" TargetMode="External"/><Relationship Id="rId69" Type="http://schemas.openxmlformats.org/officeDocument/2006/relationships/hyperlink" Target="mailto:estebanbernan2099@hotmail.com" TargetMode="External"/><Relationship Id="rId77" Type="http://schemas.openxmlformats.org/officeDocument/2006/relationships/printerSettings" Target="../printerSettings/printerSettings1.bin"/><Relationship Id="rId8" Type="http://schemas.openxmlformats.org/officeDocument/2006/relationships/hyperlink" Target="mailto:mateojaan8930@hotmail.com" TargetMode="External"/><Relationship Id="rId51" Type="http://schemas.openxmlformats.org/officeDocument/2006/relationships/hyperlink" Target="mailto:nando_silva54@htmail.com" TargetMode="External"/><Relationship Id="rId72" Type="http://schemas.openxmlformats.org/officeDocument/2006/relationships/hyperlink" Target="mailto:h2ozumbaehijos@hotmail.com" TargetMode="External"/><Relationship Id="rId3" Type="http://schemas.openxmlformats.org/officeDocument/2006/relationships/hyperlink" Target="mailto:amparig@hotmail.com" TargetMode="External"/><Relationship Id="rId12" Type="http://schemas.openxmlformats.org/officeDocument/2006/relationships/hyperlink" Target="mailto:samper78@hotmail.com" TargetMode="External"/><Relationship Id="rId17" Type="http://schemas.openxmlformats.org/officeDocument/2006/relationships/hyperlink" Target="mailto:fermandog.120@hotmail.com" TargetMode="External"/><Relationship Id="rId25" Type="http://schemas.openxmlformats.org/officeDocument/2006/relationships/hyperlink" Target="mailto:gabigu-87@hotmail.com" TargetMode="External"/><Relationship Id="rId33" Type="http://schemas.openxmlformats.org/officeDocument/2006/relationships/hyperlink" Target="mailto:samper78@hotmail.com" TargetMode="External"/><Relationship Id="rId38" Type="http://schemas.openxmlformats.org/officeDocument/2006/relationships/hyperlink" Target="mailto:esteticatubienestar@gmail.com" TargetMode="External"/><Relationship Id="rId46" Type="http://schemas.openxmlformats.org/officeDocument/2006/relationships/hyperlink" Target="mailto:aleastudillol.28@gmail.com" TargetMode="External"/><Relationship Id="rId59" Type="http://schemas.openxmlformats.org/officeDocument/2006/relationships/hyperlink" Target="mailto:vanemoscoso_26@hotmail.com" TargetMode="External"/><Relationship Id="rId67" Type="http://schemas.openxmlformats.org/officeDocument/2006/relationships/hyperlink" Target="mailto:estebanbernan2099@hotmail.com" TargetMode="External"/><Relationship Id="rId20" Type="http://schemas.openxmlformats.org/officeDocument/2006/relationships/hyperlink" Target="mailto:ramirezsilvia20@hotmail.com" TargetMode="External"/><Relationship Id="rId41" Type="http://schemas.openxmlformats.org/officeDocument/2006/relationships/hyperlink" Target="mailto:heredia.emilio95@gmail.com" TargetMode="External"/><Relationship Id="rId54" Type="http://schemas.openxmlformats.org/officeDocument/2006/relationships/hyperlink" Target="mailto:facturaspedroc@gmaial.com" TargetMode="External"/><Relationship Id="rId62" Type="http://schemas.openxmlformats.org/officeDocument/2006/relationships/hyperlink" Target="mailto:estebanbernan2099@hotmail.com" TargetMode="External"/><Relationship Id="rId70" Type="http://schemas.openxmlformats.org/officeDocument/2006/relationships/hyperlink" Target="mailto:h2ozumbaehijos@hotmail.com" TargetMode="External"/><Relationship Id="rId75" Type="http://schemas.openxmlformats.org/officeDocument/2006/relationships/hyperlink" Target="mailto:estebantapia17@gmail.com" TargetMode="External"/><Relationship Id="rId1" Type="http://schemas.openxmlformats.org/officeDocument/2006/relationships/hyperlink" Target="mailto:amparig@hotmail.com" TargetMode="External"/><Relationship Id="rId6" Type="http://schemas.openxmlformats.org/officeDocument/2006/relationships/hyperlink" Target="mailto:ti_fis@hotmail.com" TargetMode="External"/><Relationship Id="rId15" Type="http://schemas.openxmlformats.org/officeDocument/2006/relationships/hyperlink" Target="mailto:o.zuniga@live.com" TargetMode="External"/><Relationship Id="rId23" Type="http://schemas.openxmlformats.org/officeDocument/2006/relationships/hyperlink" Target="mailto:gabigu-87@hotmail.com" TargetMode="External"/><Relationship Id="rId28" Type="http://schemas.openxmlformats.org/officeDocument/2006/relationships/hyperlink" Target="mailto:kwpz@hotmail.com" TargetMode="External"/><Relationship Id="rId36" Type="http://schemas.openxmlformats.org/officeDocument/2006/relationships/hyperlink" Target="mailto:te.fa96@hotmail.com" TargetMode="External"/><Relationship Id="rId49" Type="http://schemas.openxmlformats.org/officeDocument/2006/relationships/hyperlink" Target="mailto:nando_silva54@htmail.com" TargetMode="External"/><Relationship Id="rId57" Type="http://schemas.openxmlformats.org/officeDocument/2006/relationships/hyperlink" Target="mailto:vanemoscoso_26@hotmail.com" TargetMode="External"/><Relationship Id="rId10" Type="http://schemas.openxmlformats.org/officeDocument/2006/relationships/hyperlink" Target="mailto:carmencampoverdeh@gmail.com" TargetMode="External"/><Relationship Id="rId31" Type="http://schemas.openxmlformats.org/officeDocument/2006/relationships/hyperlink" Target="mailto:nany-01208@hotmail.com" TargetMode="External"/><Relationship Id="rId44" Type="http://schemas.openxmlformats.org/officeDocument/2006/relationships/hyperlink" Target="mailto:heredia.emilio95@gmail.com" TargetMode="External"/><Relationship Id="rId52" Type="http://schemas.openxmlformats.org/officeDocument/2006/relationships/hyperlink" Target="mailto:gabrielgarcia64@hotmail.com" TargetMode="External"/><Relationship Id="rId60" Type="http://schemas.openxmlformats.org/officeDocument/2006/relationships/hyperlink" Target="mailto:miguelcorralserrano@gmail.com" TargetMode="External"/><Relationship Id="rId65" Type="http://schemas.openxmlformats.org/officeDocument/2006/relationships/hyperlink" Target="mailto:estebanbernan2099@hotmail.com" TargetMode="External"/><Relationship Id="rId73" Type="http://schemas.openxmlformats.org/officeDocument/2006/relationships/hyperlink" Target="mailto:nalvarezv69@gmail.com" TargetMode="External"/><Relationship Id="rId78" Type="http://schemas.openxmlformats.org/officeDocument/2006/relationships/drawing" Target="../drawings/drawing1.xml"/><Relationship Id="rId4" Type="http://schemas.openxmlformats.org/officeDocument/2006/relationships/hyperlink" Target="mailto:estebancorderovazquez@gmail.com" TargetMode="External"/><Relationship Id="rId9" Type="http://schemas.openxmlformats.org/officeDocument/2006/relationships/hyperlink" Target="mailto:mateojaan8930@hotmail.com" TargetMode="External"/><Relationship Id="rId13" Type="http://schemas.openxmlformats.org/officeDocument/2006/relationships/hyperlink" Target="mailto:samper78@hotmail.com" TargetMode="External"/><Relationship Id="rId18" Type="http://schemas.openxmlformats.org/officeDocument/2006/relationships/hyperlink" Target="mailto:nelliquintuna2015@gmail.com" TargetMode="External"/><Relationship Id="rId39" Type="http://schemas.openxmlformats.org/officeDocument/2006/relationships/hyperlink" Target="mailto:s_narvaez.palacios@hotmail.com" TargetMode="External"/><Relationship Id="rId34" Type="http://schemas.openxmlformats.org/officeDocument/2006/relationships/hyperlink" Target="mailto:samper78@hotmail.com" TargetMode="External"/><Relationship Id="rId50" Type="http://schemas.openxmlformats.org/officeDocument/2006/relationships/hyperlink" Target="mailto:nando_silva54@htmail.com" TargetMode="External"/><Relationship Id="rId55" Type="http://schemas.openxmlformats.org/officeDocument/2006/relationships/hyperlink" Target="mailto:facturaspedroc@gmaial.com" TargetMode="External"/><Relationship Id="rId76" Type="http://schemas.openxmlformats.org/officeDocument/2006/relationships/hyperlink" Target="mailto:estebantapia17@gmail.com" TargetMode="External"/><Relationship Id="rId7" Type="http://schemas.openxmlformats.org/officeDocument/2006/relationships/hyperlink" Target="mailto:ti_fis@hotmail.com" TargetMode="External"/><Relationship Id="rId71" Type="http://schemas.openxmlformats.org/officeDocument/2006/relationships/hyperlink" Target="mailto:h2ozumbaehijos@hotmail.com" TargetMode="External"/><Relationship Id="rId2" Type="http://schemas.openxmlformats.org/officeDocument/2006/relationships/hyperlink" Target="mailto:amparig@hotmail.com" TargetMode="External"/><Relationship Id="rId29" Type="http://schemas.openxmlformats.org/officeDocument/2006/relationships/hyperlink" Target="mailto:nany-01208@hot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isarivaflor5@hotmail.com" TargetMode="External"/><Relationship Id="rId3" Type="http://schemas.openxmlformats.org/officeDocument/2006/relationships/hyperlink" Target="mailto:bahamondeelena@gmail.com" TargetMode="External"/><Relationship Id="rId7" Type="http://schemas.openxmlformats.org/officeDocument/2006/relationships/hyperlink" Target="mailto:caty.palacios140@gmail.com" TargetMode="External"/><Relationship Id="rId12" Type="http://schemas.openxmlformats.org/officeDocument/2006/relationships/drawing" Target="../drawings/drawing2.xml"/><Relationship Id="rId2" Type="http://schemas.openxmlformats.org/officeDocument/2006/relationships/hyperlink" Target="mailto:ximenaleonr@yahoo.com" TargetMode="External"/><Relationship Id="rId1" Type="http://schemas.openxmlformats.org/officeDocument/2006/relationships/hyperlink" Target="mailto:santiago2217@icloud.com" TargetMode="External"/><Relationship Id="rId6" Type="http://schemas.openxmlformats.org/officeDocument/2006/relationships/hyperlink" Target="mailto:caty.palacios140@gmail.com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lalvarado@makolecuador.com" TargetMode="External"/><Relationship Id="rId10" Type="http://schemas.openxmlformats.org/officeDocument/2006/relationships/hyperlink" Target="mailto:dianacastillo18ec@hotmail.com" TargetMode="External"/><Relationship Id="rId4" Type="http://schemas.openxmlformats.org/officeDocument/2006/relationships/hyperlink" Target="mailto:reicka39@gmail.com" TargetMode="External"/><Relationship Id="rId9" Type="http://schemas.openxmlformats.org/officeDocument/2006/relationships/hyperlink" Target="mailto:diegobeltrani@hot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mejianarvaez1979@gmail.com" TargetMode="External"/><Relationship Id="rId3" Type="http://schemas.openxmlformats.org/officeDocument/2006/relationships/hyperlink" Target="mailto:mejianarvaez1979@gmail.com" TargetMode="External"/><Relationship Id="rId7" Type="http://schemas.openxmlformats.org/officeDocument/2006/relationships/hyperlink" Target="mailto:mejianarvaez1979@gmail.com" TargetMode="External"/><Relationship Id="rId2" Type="http://schemas.openxmlformats.org/officeDocument/2006/relationships/hyperlink" Target="mailto:mejianarvaez1979@gmail.com" TargetMode="External"/><Relationship Id="rId1" Type="http://schemas.openxmlformats.org/officeDocument/2006/relationships/hyperlink" Target="mailto:mejianarvaez1979@gmail.com" TargetMode="External"/><Relationship Id="rId6" Type="http://schemas.openxmlformats.org/officeDocument/2006/relationships/hyperlink" Target="mailto:mejianarvaez1979@gmail.com" TargetMode="External"/><Relationship Id="rId11" Type="http://schemas.openxmlformats.org/officeDocument/2006/relationships/drawing" Target="../drawings/drawing5.xml"/><Relationship Id="rId5" Type="http://schemas.openxmlformats.org/officeDocument/2006/relationships/hyperlink" Target="mailto:mejianarvaez1979@gmail.com" TargetMode="External"/><Relationship Id="rId10" Type="http://schemas.openxmlformats.org/officeDocument/2006/relationships/hyperlink" Target="mailto:mejianarvaez1979@gmail.com" TargetMode="External"/><Relationship Id="rId4" Type="http://schemas.openxmlformats.org/officeDocument/2006/relationships/hyperlink" Target="mailto:mejianarvaez1979@gmail.com" TargetMode="External"/><Relationship Id="rId9" Type="http://schemas.openxmlformats.org/officeDocument/2006/relationships/hyperlink" Target="mailto:mejianarvaez1979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lopezdiana60@hotmail.com" TargetMode="External"/><Relationship Id="rId13" Type="http://schemas.openxmlformats.org/officeDocument/2006/relationships/hyperlink" Target="mailto:galvan.gabriela@outlook.com" TargetMode="External"/><Relationship Id="rId18" Type="http://schemas.openxmlformats.org/officeDocument/2006/relationships/hyperlink" Target="mailto:victor_l69@hotmail.com" TargetMode="External"/><Relationship Id="rId3" Type="http://schemas.openxmlformats.org/officeDocument/2006/relationships/hyperlink" Target="mailto:chriss3009@hotmail.com" TargetMode="External"/><Relationship Id="rId21" Type="http://schemas.openxmlformats.org/officeDocument/2006/relationships/hyperlink" Target="mailto:elyvp17@hotmail.com" TargetMode="External"/><Relationship Id="rId7" Type="http://schemas.openxmlformats.org/officeDocument/2006/relationships/hyperlink" Target="mailto:lopezdiana60@hotmail.com" TargetMode="External"/><Relationship Id="rId12" Type="http://schemas.openxmlformats.org/officeDocument/2006/relationships/hyperlink" Target="mailto:liamarz@yahoo.com" TargetMode="External"/><Relationship Id="rId17" Type="http://schemas.openxmlformats.org/officeDocument/2006/relationships/hyperlink" Target="mailto:williamelec90@hotmail.com" TargetMode="External"/><Relationship Id="rId2" Type="http://schemas.openxmlformats.org/officeDocument/2006/relationships/hyperlink" Target="mailto:andresguaman182@gmail.com" TargetMode="External"/><Relationship Id="rId16" Type="http://schemas.openxmlformats.org/officeDocument/2006/relationships/hyperlink" Target="mailto:marianadesaa@hotmail.com" TargetMode="External"/><Relationship Id="rId20" Type="http://schemas.openxmlformats.org/officeDocument/2006/relationships/hyperlink" Target="mailto:carlosalamea@hotmail.com" TargetMode="External"/><Relationship Id="rId1" Type="http://schemas.openxmlformats.org/officeDocument/2006/relationships/hyperlink" Target="mailto:joffre2403madesco@hotmail.com" TargetMode="External"/><Relationship Id="rId6" Type="http://schemas.openxmlformats.org/officeDocument/2006/relationships/hyperlink" Target="mailto:guaman.ivan@yahoo.com" TargetMode="External"/><Relationship Id="rId11" Type="http://schemas.openxmlformats.org/officeDocument/2006/relationships/hyperlink" Target="mailto:gregory.moran.1989@gmail.com" TargetMode="External"/><Relationship Id="rId5" Type="http://schemas.openxmlformats.org/officeDocument/2006/relationships/hyperlink" Target="mailto:carmen_344@msn.com" TargetMode="External"/><Relationship Id="rId15" Type="http://schemas.openxmlformats.org/officeDocument/2006/relationships/hyperlink" Target="mailto:fernandoriera20@hotmail.com" TargetMode="External"/><Relationship Id="rId10" Type="http://schemas.openxmlformats.org/officeDocument/2006/relationships/hyperlink" Target="mailto:consultarq@hotmail.com" TargetMode="External"/><Relationship Id="rId19" Type="http://schemas.openxmlformats.org/officeDocument/2006/relationships/hyperlink" Target="mailto:jpdavalos1@hotmail.com" TargetMode="External"/><Relationship Id="rId4" Type="http://schemas.openxmlformats.org/officeDocument/2006/relationships/hyperlink" Target="mailto:faustozoilam@gmailcom" TargetMode="External"/><Relationship Id="rId9" Type="http://schemas.openxmlformats.org/officeDocument/2006/relationships/hyperlink" Target="mailto:dianag17@hotmail.com" TargetMode="External"/><Relationship Id="rId14" Type="http://schemas.openxmlformats.org/officeDocument/2006/relationships/hyperlink" Target="mailto:repcar_repuestos@hotmail.com" TargetMode="External"/><Relationship Id="rId22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97"/>
  <sheetViews>
    <sheetView topLeftCell="A75" zoomScale="178" zoomScaleNormal="178" workbookViewId="0">
      <selection activeCell="N102" sqref="N102"/>
    </sheetView>
  </sheetViews>
  <sheetFormatPr baseColWidth="10" defaultRowHeight="15"/>
  <cols>
    <col min="1" max="1" width="11.6640625" bestFit="1" customWidth="1"/>
    <col min="2" max="2" width="11.83203125" bestFit="1" customWidth="1"/>
    <col min="4" max="4" width="11.6640625" bestFit="1" customWidth="1"/>
    <col min="5" max="5" width="18" customWidth="1"/>
    <col min="6" max="6" width="26.6640625" customWidth="1"/>
    <col min="7" max="7" width="11.1640625" bestFit="1" customWidth="1"/>
    <col min="8" max="8" width="11.6640625" bestFit="1" customWidth="1"/>
    <col min="11" max="11" width="14.5" customWidth="1"/>
    <col min="12" max="12" width="17.1640625" customWidth="1"/>
    <col min="13" max="13" width="11.6640625" bestFit="1" customWidth="1"/>
    <col min="14" max="14" width="13.5" bestFit="1" customWidth="1"/>
    <col min="15" max="15" width="11.6640625" bestFit="1" customWidth="1"/>
    <col min="16" max="16" width="23.1640625" customWidth="1"/>
    <col min="18" max="18" width="11.6640625" bestFit="1" customWidth="1"/>
    <col min="19" max="19" width="11.1640625" bestFit="1" customWidth="1"/>
    <col min="20" max="20" width="16.6640625" customWidth="1"/>
  </cols>
  <sheetData>
    <row r="3" spans="1:22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2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92</v>
      </c>
      <c r="O4" s="9"/>
      <c r="P4" s="17"/>
    </row>
    <row r="5" spans="1:22" s="23" customFormat="1" ht="45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2" s="208" customFormat="1" ht="33" customHeight="1">
      <c r="A6" s="203">
        <v>1</v>
      </c>
      <c r="B6" s="221">
        <v>45493</v>
      </c>
      <c r="C6" s="219" t="s">
        <v>96</v>
      </c>
      <c r="D6" s="219" t="s">
        <v>97</v>
      </c>
      <c r="E6" s="222" t="s">
        <v>98</v>
      </c>
      <c r="F6" s="219" t="s">
        <v>99</v>
      </c>
      <c r="G6" s="219" t="s">
        <v>100</v>
      </c>
      <c r="H6" s="222" t="s">
        <v>42</v>
      </c>
      <c r="I6" s="223" t="s">
        <v>76</v>
      </c>
      <c r="J6" s="223" t="s">
        <v>77</v>
      </c>
      <c r="K6" s="221">
        <v>45524</v>
      </c>
      <c r="L6" s="219" t="s">
        <v>101</v>
      </c>
      <c r="M6" s="219" t="s">
        <v>102</v>
      </c>
      <c r="N6" s="224">
        <v>995124144</v>
      </c>
      <c r="O6" s="225">
        <v>15</v>
      </c>
      <c r="P6" s="223" t="s">
        <v>22</v>
      </c>
      <c r="Q6" s="223" t="s">
        <v>76</v>
      </c>
      <c r="R6" s="207"/>
      <c r="S6" s="219" t="s">
        <v>97</v>
      </c>
      <c r="T6" s="226">
        <v>100699651</v>
      </c>
      <c r="U6" s="220" t="s">
        <v>103</v>
      </c>
      <c r="V6" s="229"/>
    </row>
    <row r="7" spans="1:22" s="72" customFormat="1" ht="33" customHeight="1">
      <c r="A7">
        <v>2</v>
      </c>
      <c r="B7" s="221">
        <v>45493</v>
      </c>
      <c r="C7" s="219" t="s">
        <v>96</v>
      </c>
      <c r="D7" s="219" t="s">
        <v>97</v>
      </c>
      <c r="E7" s="222" t="s">
        <v>104</v>
      </c>
      <c r="F7" s="219" t="s">
        <v>111</v>
      </c>
      <c r="G7" s="219" t="s">
        <v>105</v>
      </c>
      <c r="H7" s="222" t="s">
        <v>42</v>
      </c>
      <c r="I7" s="223" t="s">
        <v>76</v>
      </c>
      <c r="J7" s="223" t="s">
        <v>77</v>
      </c>
      <c r="K7" s="221">
        <v>45524</v>
      </c>
      <c r="L7" s="219" t="s">
        <v>101</v>
      </c>
      <c r="M7" s="219" t="s">
        <v>102</v>
      </c>
      <c r="N7" s="224">
        <v>995124144</v>
      </c>
      <c r="O7" s="225">
        <v>15</v>
      </c>
      <c r="P7" s="223" t="s">
        <v>22</v>
      </c>
      <c r="Q7" s="223" t="s">
        <v>76</v>
      </c>
      <c r="R7" s="207"/>
      <c r="S7" s="219" t="s">
        <v>97</v>
      </c>
      <c r="T7" s="226">
        <v>100699651</v>
      </c>
      <c r="U7" s="220" t="s">
        <v>103</v>
      </c>
      <c r="V7" s="230"/>
    </row>
    <row r="8" spans="1:22" s="72" customFormat="1" ht="33" customHeight="1">
      <c r="A8">
        <v>3</v>
      </c>
      <c r="B8" s="221">
        <v>45493</v>
      </c>
      <c r="C8" s="219" t="s">
        <v>96</v>
      </c>
      <c r="D8" s="219" t="s">
        <v>97</v>
      </c>
      <c r="E8" s="222" t="s">
        <v>98</v>
      </c>
      <c r="F8" s="219" t="s">
        <v>106</v>
      </c>
      <c r="G8" s="219" t="s">
        <v>107</v>
      </c>
      <c r="H8" s="222" t="s">
        <v>42</v>
      </c>
      <c r="I8" s="223" t="s">
        <v>76</v>
      </c>
      <c r="J8" s="223" t="s">
        <v>77</v>
      </c>
      <c r="K8" s="221">
        <v>45524</v>
      </c>
      <c r="L8" s="219" t="s">
        <v>101</v>
      </c>
      <c r="M8" s="219" t="s">
        <v>102</v>
      </c>
      <c r="N8" s="224">
        <v>995124144</v>
      </c>
      <c r="O8" s="225">
        <v>15</v>
      </c>
      <c r="P8" s="223" t="s">
        <v>22</v>
      </c>
      <c r="Q8" s="223" t="s">
        <v>76</v>
      </c>
      <c r="R8" s="207"/>
      <c r="S8" s="219" t="s">
        <v>97</v>
      </c>
      <c r="T8" s="226">
        <v>100699651</v>
      </c>
      <c r="U8" s="220" t="s">
        <v>103</v>
      </c>
      <c r="V8" s="230"/>
    </row>
    <row r="9" spans="1:22" s="72" customFormat="1" ht="33" customHeight="1">
      <c r="A9" s="203">
        <v>4</v>
      </c>
      <c r="B9" s="221">
        <v>45254</v>
      </c>
      <c r="C9" s="219" t="s">
        <v>108</v>
      </c>
      <c r="D9" s="219" t="s">
        <v>109</v>
      </c>
      <c r="E9" s="222" t="s">
        <v>110</v>
      </c>
      <c r="F9" s="219" t="s">
        <v>112</v>
      </c>
      <c r="G9" s="219" t="s">
        <v>113</v>
      </c>
      <c r="H9" s="222" t="s">
        <v>114</v>
      </c>
      <c r="I9" s="223" t="s">
        <v>76</v>
      </c>
      <c r="J9" s="223" t="s">
        <v>77</v>
      </c>
      <c r="K9" s="221">
        <v>45527</v>
      </c>
      <c r="L9" s="219" t="s">
        <v>115</v>
      </c>
      <c r="M9" s="219" t="s">
        <v>116</v>
      </c>
      <c r="N9" s="224">
        <v>999863001</v>
      </c>
      <c r="O9" s="225">
        <v>20</v>
      </c>
      <c r="P9" s="223" t="s">
        <v>22</v>
      </c>
      <c r="Q9" s="223" t="s">
        <v>76</v>
      </c>
      <c r="R9" s="207"/>
      <c r="S9" s="219" t="s">
        <v>109</v>
      </c>
      <c r="T9" s="226">
        <v>105688493</v>
      </c>
      <c r="U9" s="220" t="s">
        <v>117</v>
      </c>
      <c r="V9" s="230"/>
    </row>
    <row r="10" spans="1:22" s="72" customFormat="1" ht="33" customHeight="1">
      <c r="A10">
        <v>5</v>
      </c>
      <c r="B10" s="221">
        <v>45254</v>
      </c>
      <c r="C10" s="219" t="s">
        <v>108</v>
      </c>
      <c r="D10" s="219" t="s">
        <v>109</v>
      </c>
      <c r="E10" s="222" t="s">
        <v>118</v>
      </c>
      <c r="F10" s="219" t="s">
        <v>119</v>
      </c>
      <c r="G10" s="219" t="s">
        <v>120</v>
      </c>
      <c r="H10" s="222" t="s">
        <v>42</v>
      </c>
      <c r="I10" s="223" t="s">
        <v>76</v>
      </c>
      <c r="J10" s="223" t="s">
        <v>77</v>
      </c>
      <c r="K10" s="221">
        <v>45527</v>
      </c>
      <c r="L10" s="219" t="s">
        <v>115</v>
      </c>
      <c r="M10" s="219" t="s">
        <v>116</v>
      </c>
      <c r="N10" s="224">
        <v>999863001</v>
      </c>
      <c r="O10" s="225">
        <v>20</v>
      </c>
      <c r="P10" s="223" t="s">
        <v>22</v>
      </c>
      <c r="Q10" s="223" t="s">
        <v>76</v>
      </c>
      <c r="R10" s="207"/>
      <c r="S10" s="219" t="s">
        <v>109</v>
      </c>
      <c r="T10" s="226">
        <v>105688493</v>
      </c>
      <c r="U10" s="220" t="s">
        <v>117</v>
      </c>
      <c r="V10" s="230"/>
    </row>
    <row r="11" spans="1:22" s="72" customFormat="1" ht="33" customHeight="1">
      <c r="A11">
        <v>6</v>
      </c>
      <c r="B11" s="221">
        <v>45518</v>
      </c>
      <c r="C11" s="219" t="s">
        <v>121</v>
      </c>
      <c r="D11" s="219" t="s">
        <v>122</v>
      </c>
      <c r="E11" s="222" t="s">
        <v>98</v>
      </c>
      <c r="F11" s="219" t="s">
        <v>99</v>
      </c>
      <c r="G11" s="219" t="s">
        <v>135</v>
      </c>
      <c r="H11" s="222" t="s">
        <v>42</v>
      </c>
      <c r="I11" s="223" t="s">
        <v>76</v>
      </c>
      <c r="J11" s="223" t="s">
        <v>77</v>
      </c>
      <c r="K11" s="221">
        <v>45527</v>
      </c>
      <c r="L11" s="219" t="s">
        <v>123</v>
      </c>
      <c r="M11" s="219" t="s">
        <v>124</v>
      </c>
      <c r="N11" s="224">
        <v>984677410</v>
      </c>
      <c r="O11" s="225">
        <v>20</v>
      </c>
      <c r="P11" s="223" t="s">
        <v>22</v>
      </c>
      <c r="Q11" s="223" t="s">
        <v>76</v>
      </c>
      <c r="R11" s="207"/>
      <c r="S11" s="219" t="s">
        <v>122</v>
      </c>
      <c r="T11" s="226">
        <v>104458211</v>
      </c>
      <c r="U11" s="220" t="s">
        <v>125</v>
      </c>
      <c r="V11" s="231"/>
    </row>
    <row r="12" spans="1:22" s="72" customFormat="1" ht="33" customHeight="1">
      <c r="A12" s="203">
        <v>7</v>
      </c>
      <c r="B12" s="221">
        <v>45518</v>
      </c>
      <c r="C12" s="219" t="s">
        <v>121</v>
      </c>
      <c r="D12" s="219" t="s">
        <v>122</v>
      </c>
      <c r="E12" s="222" t="s">
        <v>126</v>
      </c>
      <c r="F12" s="219" t="s">
        <v>127</v>
      </c>
      <c r="G12" s="219" t="s">
        <v>128</v>
      </c>
      <c r="H12" s="222" t="s">
        <v>42</v>
      </c>
      <c r="I12" s="223" t="s">
        <v>76</v>
      </c>
      <c r="J12" s="223" t="s">
        <v>77</v>
      </c>
      <c r="K12" s="221">
        <v>45527</v>
      </c>
      <c r="L12" s="219" t="s">
        <v>123</v>
      </c>
      <c r="M12" s="219" t="s">
        <v>124</v>
      </c>
      <c r="N12" s="224">
        <v>984677410</v>
      </c>
      <c r="O12" s="225">
        <v>20</v>
      </c>
      <c r="P12" s="223" t="s">
        <v>22</v>
      </c>
      <c r="Q12" s="223" t="s">
        <v>76</v>
      </c>
      <c r="R12" s="207"/>
      <c r="S12" s="219" t="s">
        <v>122</v>
      </c>
      <c r="T12" s="226">
        <v>104458211</v>
      </c>
      <c r="U12" s="220" t="s">
        <v>125</v>
      </c>
      <c r="V12" s="231"/>
    </row>
    <row r="13" spans="1:22" s="72" customFormat="1" ht="33" customHeight="1">
      <c r="A13">
        <v>8</v>
      </c>
      <c r="B13" s="221">
        <v>45371</v>
      </c>
      <c r="C13" s="219" t="s">
        <v>78</v>
      </c>
      <c r="D13" s="219" t="s">
        <v>129</v>
      </c>
      <c r="E13" s="222" t="s">
        <v>130</v>
      </c>
      <c r="F13" s="219" t="s">
        <v>131</v>
      </c>
      <c r="G13" s="219" t="s">
        <v>132</v>
      </c>
      <c r="H13" s="222" t="s">
        <v>42</v>
      </c>
      <c r="I13" s="223" t="s">
        <v>76</v>
      </c>
      <c r="J13" s="223" t="s">
        <v>77</v>
      </c>
      <c r="K13" s="221">
        <v>45527</v>
      </c>
      <c r="L13" s="219" t="s">
        <v>133</v>
      </c>
      <c r="M13" s="219" t="s">
        <v>134</v>
      </c>
      <c r="N13" s="224">
        <v>2831575</v>
      </c>
      <c r="O13" s="225">
        <v>20</v>
      </c>
      <c r="P13" s="223" t="s">
        <v>22</v>
      </c>
      <c r="Q13" s="223" t="s">
        <v>76</v>
      </c>
      <c r="R13" s="207"/>
      <c r="S13" s="219" t="s">
        <v>129</v>
      </c>
      <c r="T13" s="226">
        <v>104807710</v>
      </c>
      <c r="U13" s="220" t="s">
        <v>136</v>
      </c>
      <c r="V13" s="231"/>
    </row>
    <row r="14" spans="1:22" s="72" customFormat="1" ht="33" customHeight="1">
      <c r="A14">
        <v>9</v>
      </c>
      <c r="B14" s="221">
        <v>45371</v>
      </c>
      <c r="C14" s="219" t="s">
        <v>78</v>
      </c>
      <c r="D14" s="219" t="s">
        <v>138</v>
      </c>
      <c r="E14" s="222" t="s">
        <v>98</v>
      </c>
      <c r="F14" s="219" t="s">
        <v>99</v>
      </c>
      <c r="G14" s="219" t="s">
        <v>137</v>
      </c>
      <c r="H14" s="222" t="s">
        <v>42</v>
      </c>
      <c r="I14" s="223" t="s">
        <v>76</v>
      </c>
      <c r="J14" s="223" t="s">
        <v>77</v>
      </c>
      <c r="K14" s="221">
        <v>45527</v>
      </c>
      <c r="L14" s="219" t="s">
        <v>133</v>
      </c>
      <c r="M14" s="219" t="s">
        <v>134</v>
      </c>
      <c r="N14" s="224">
        <v>2831575</v>
      </c>
      <c r="O14" s="225">
        <v>20</v>
      </c>
      <c r="P14" s="223" t="s">
        <v>22</v>
      </c>
      <c r="Q14" s="223" t="s">
        <v>76</v>
      </c>
      <c r="R14" s="207"/>
      <c r="S14" s="219" t="s">
        <v>138</v>
      </c>
      <c r="T14" s="226">
        <v>104807710</v>
      </c>
      <c r="U14" s="220" t="s">
        <v>136</v>
      </c>
      <c r="V14" s="231"/>
    </row>
    <row r="15" spans="1:22" s="72" customFormat="1" ht="33" customHeight="1">
      <c r="A15" s="203">
        <v>10</v>
      </c>
      <c r="B15" s="221">
        <v>45377</v>
      </c>
      <c r="C15" s="219" t="s">
        <v>139</v>
      </c>
      <c r="D15" s="219" t="s">
        <v>140</v>
      </c>
      <c r="E15" s="222" t="s">
        <v>141</v>
      </c>
      <c r="F15" s="219" t="s">
        <v>142</v>
      </c>
      <c r="G15" s="219" t="s">
        <v>143</v>
      </c>
      <c r="H15" s="222" t="s">
        <v>42</v>
      </c>
      <c r="I15" s="223" t="s">
        <v>76</v>
      </c>
      <c r="J15" s="223" t="s">
        <v>77</v>
      </c>
      <c r="K15" s="221">
        <v>45528</v>
      </c>
      <c r="L15" s="219" t="s">
        <v>144</v>
      </c>
      <c r="M15" s="219" t="s">
        <v>145</v>
      </c>
      <c r="N15" s="224">
        <v>959904529</v>
      </c>
      <c r="O15" s="225">
        <v>20</v>
      </c>
      <c r="P15" s="223" t="s">
        <v>22</v>
      </c>
      <c r="Q15" s="223" t="s">
        <v>76</v>
      </c>
      <c r="R15" s="207"/>
      <c r="S15" s="219" t="s">
        <v>140</v>
      </c>
      <c r="T15" s="226">
        <v>101184315</v>
      </c>
      <c r="U15" s="220" t="s">
        <v>146</v>
      </c>
      <c r="V15" s="231"/>
    </row>
    <row r="16" spans="1:22" s="72" customFormat="1" ht="33" customHeight="1">
      <c r="A16">
        <v>11</v>
      </c>
      <c r="B16" s="221">
        <v>45377</v>
      </c>
      <c r="C16" s="219" t="s">
        <v>139</v>
      </c>
      <c r="D16" s="219" t="s">
        <v>140</v>
      </c>
      <c r="E16" s="222" t="s">
        <v>147</v>
      </c>
      <c r="F16" s="219" t="s">
        <v>148</v>
      </c>
      <c r="G16" s="219" t="s">
        <v>149</v>
      </c>
      <c r="H16" s="222" t="s">
        <v>42</v>
      </c>
      <c r="I16" s="223" t="s">
        <v>76</v>
      </c>
      <c r="J16" s="223" t="s">
        <v>77</v>
      </c>
      <c r="K16" s="221">
        <v>45528</v>
      </c>
      <c r="L16" s="219" t="s">
        <v>144</v>
      </c>
      <c r="M16" s="219" t="s">
        <v>145</v>
      </c>
      <c r="N16" s="224">
        <v>959904529</v>
      </c>
      <c r="O16" s="225">
        <v>20</v>
      </c>
      <c r="P16" s="223" t="s">
        <v>22</v>
      </c>
      <c r="Q16" s="223" t="s">
        <v>76</v>
      </c>
      <c r="R16" s="207"/>
      <c r="S16" s="219" t="s">
        <v>140</v>
      </c>
      <c r="T16" s="226">
        <v>101184315</v>
      </c>
      <c r="U16" s="220" t="s">
        <v>146</v>
      </c>
      <c r="V16" s="231"/>
    </row>
    <row r="17" spans="1:22" ht="32.25" customHeight="1">
      <c r="A17">
        <v>12</v>
      </c>
      <c r="B17" s="221">
        <v>45400</v>
      </c>
      <c r="C17" s="219" t="s">
        <v>150</v>
      </c>
      <c r="D17" s="219" t="s">
        <v>151</v>
      </c>
      <c r="E17" s="222" t="s">
        <v>110</v>
      </c>
      <c r="F17" s="219" t="s">
        <v>112</v>
      </c>
      <c r="G17" s="219" t="s">
        <v>152</v>
      </c>
      <c r="H17" s="222" t="s">
        <v>42</v>
      </c>
      <c r="I17" s="223" t="s">
        <v>76</v>
      </c>
      <c r="J17" s="223" t="s">
        <v>77</v>
      </c>
      <c r="K17" s="221">
        <v>45530</v>
      </c>
      <c r="L17" s="219" t="s">
        <v>153</v>
      </c>
      <c r="M17" s="219" t="s">
        <v>154</v>
      </c>
      <c r="N17" s="224">
        <v>9173307695</v>
      </c>
      <c r="O17" s="225">
        <v>20</v>
      </c>
      <c r="P17" s="223" t="s">
        <v>22</v>
      </c>
      <c r="Q17" s="223" t="s">
        <v>76</v>
      </c>
      <c r="R17" s="207"/>
      <c r="S17" s="219" t="s">
        <v>151</v>
      </c>
      <c r="T17" s="226">
        <v>102461175</v>
      </c>
      <c r="U17" s="220" t="s">
        <v>155</v>
      </c>
      <c r="V17" s="5"/>
    </row>
    <row r="18" spans="1:22" ht="35.25" customHeight="1">
      <c r="A18" s="203">
        <v>13</v>
      </c>
      <c r="B18" s="221">
        <v>45400</v>
      </c>
      <c r="C18" s="219" t="s">
        <v>150</v>
      </c>
      <c r="D18" s="219" t="s">
        <v>151</v>
      </c>
      <c r="E18" s="222" t="s">
        <v>147</v>
      </c>
      <c r="F18" s="219" t="s">
        <v>148</v>
      </c>
      <c r="G18" s="219" t="s">
        <v>156</v>
      </c>
      <c r="H18" s="222" t="s">
        <v>42</v>
      </c>
      <c r="I18" s="223" t="s">
        <v>76</v>
      </c>
      <c r="J18" s="223" t="s">
        <v>77</v>
      </c>
      <c r="K18" s="221">
        <v>45530</v>
      </c>
      <c r="L18" s="219" t="s">
        <v>153</v>
      </c>
      <c r="M18" s="219" t="s">
        <v>154</v>
      </c>
      <c r="N18" s="224">
        <v>9173307695</v>
      </c>
      <c r="O18" s="225">
        <v>20</v>
      </c>
      <c r="P18" s="223" t="s">
        <v>22</v>
      </c>
      <c r="Q18" s="223" t="s">
        <v>76</v>
      </c>
      <c r="R18" s="207"/>
      <c r="S18" s="219" t="s">
        <v>151</v>
      </c>
      <c r="T18" s="226">
        <v>102461175</v>
      </c>
      <c r="U18" s="220" t="s">
        <v>155</v>
      </c>
      <c r="V18" s="5"/>
    </row>
    <row r="19" spans="1:22" ht="31.5" customHeight="1">
      <c r="A19">
        <v>14</v>
      </c>
      <c r="B19" s="221">
        <v>45466</v>
      </c>
      <c r="C19" s="219" t="s">
        <v>96</v>
      </c>
      <c r="D19" s="219" t="s">
        <v>157</v>
      </c>
      <c r="E19" s="222" t="s">
        <v>130</v>
      </c>
      <c r="F19" s="219" t="s">
        <v>131</v>
      </c>
      <c r="G19" s="219" t="s">
        <v>158</v>
      </c>
      <c r="H19" s="222" t="s">
        <v>42</v>
      </c>
      <c r="I19" s="223" t="s">
        <v>76</v>
      </c>
      <c r="J19" s="223" t="s">
        <v>77</v>
      </c>
      <c r="K19" s="221">
        <v>45530</v>
      </c>
      <c r="L19" s="219" t="s">
        <v>159</v>
      </c>
      <c r="M19" s="219" t="s">
        <v>160</v>
      </c>
      <c r="N19" s="224">
        <v>999424672</v>
      </c>
      <c r="O19" s="225">
        <v>20</v>
      </c>
      <c r="P19" s="223" t="s">
        <v>22</v>
      </c>
      <c r="Q19" s="223" t="s">
        <v>76</v>
      </c>
      <c r="R19" s="207"/>
      <c r="S19" s="219" t="s">
        <v>157</v>
      </c>
      <c r="T19" s="226">
        <v>101796043</v>
      </c>
      <c r="U19" s="220" t="s">
        <v>161</v>
      </c>
      <c r="V19" s="5"/>
    </row>
    <row r="20" spans="1:22" ht="36" customHeight="1">
      <c r="A20">
        <v>15</v>
      </c>
      <c r="B20" s="221">
        <v>45466</v>
      </c>
      <c r="C20" s="219" t="s">
        <v>96</v>
      </c>
      <c r="D20" s="219" t="s">
        <v>157</v>
      </c>
      <c r="E20" s="222" t="s">
        <v>162</v>
      </c>
      <c r="F20" s="219" t="s">
        <v>163</v>
      </c>
      <c r="G20" s="219" t="s">
        <v>164</v>
      </c>
      <c r="H20" s="222" t="s">
        <v>165</v>
      </c>
      <c r="I20" s="223" t="s">
        <v>76</v>
      </c>
      <c r="J20" s="223" t="s">
        <v>77</v>
      </c>
      <c r="K20" s="221">
        <v>45530</v>
      </c>
      <c r="L20" s="219" t="s">
        <v>159</v>
      </c>
      <c r="M20" s="219" t="s">
        <v>160</v>
      </c>
      <c r="N20" s="224">
        <v>999424672</v>
      </c>
      <c r="O20" s="225">
        <v>20</v>
      </c>
      <c r="P20" s="223" t="s">
        <v>22</v>
      </c>
      <c r="Q20" s="223" t="s">
        <v>76</v>
      </c>
      <c r="R20" s="207"/>
      <c r="S20" s="219" t="s">
        <v>157</v>
      </c>
      <c r="T20" s="226">
        <v>101796043</v>
      </c>
      <c r="U20" s="220" t="s">
        <v>161</v>
      </c>
      <c r="V20" s="5"/>
    </row>
    <row r="21" spans="1:22" ht="38.25" customHeight="1">
      <c r="A21" s="203">
        <v>16</v>
      </c>
      <c r="B21" s="221">
        <v>45515</v>
      </c>
      <c r="C21" s="219" t="s">
        <v>139</v>
      </c>
      <c r="D21" s="219" t="s">
        <v>166</v>
      </c>
      <c r="E21" s="222" t="s">
        <v>167</v>
      </c>
      <c r="F21" s="219" t="s">
        <v>168</v>
      </c>
      <c r="G21" s="219" t="s">
        <v>169</v>
      </c>
      <c r="H21" s="222" t="s">
        <v>42</v>
      </c>
      <c r="I21" s="223" t="s">
        <v>76</v>
      </c>
      <c r="J21" s="223" t="s">
        <v>77</v>
      </c>
      <c r="K21" s="221">
        <v>45531</v>
      </c>
      <c r="L21" s="219" t="s">
        <v>170</v>
      </c>
      <c r="M21" s="219" t="s">
        <v>124</v>
      </c>
      <c r="N21" s="224">
        <v>994384416</v>
      </c>
      <c r="O21" s="225">
        <v>20</v>
      </c>
      <c r="P21" s="223" t="s">
        <v>22</v>
      </c>
      <c r="Q21" s="223" t="s">
        <v>76</v>
      </c>
      <c r="R21" s="207"/>
      <c r="S21" s="219" t="s">
        <v>166</v>
      </c>
      <c r="T21" s="226">
        <v>104946876</v>
      </c>
      <c r="U21" s="220" t="s">
        <v>171</v>
      </c>
      <c r="V21" s="5"/>
    </row>
    <row r="22" spans="1:22" ht="31.5" customHeight="1">
      <c r="A22">
        <v>17</v>
      </c>
      <c r="B22" s="221">
        <v>45515</v>
      </c>
      <c r="C22" s="219" t="s">
        <v>139</v>
      </c>
      <c r="D22" s="219" t="s">
        <v>166</v>
      </c>
      <c r="E22" s="222" t="s">
        <v>172</v>
      </c>
      <c r="F22" s="219" t="s">
        <v>173</v>
      </c>
      <c r="G22" s="219" t="s">
        <v>174</v>
      </c>
      <c r="H22" s="222" t="s">
        <v>42</v>
      </c>
      <c r="I22" s="223" t="s">
        <v>76</v>
      </c>
      <c r="J22" s="223" t="s">
        <v>77</v>
      </c>
      <c r="K22" s="221">
        <v>45531</v>
      </c>
      <c r="L22" s="219" t="s">
        <v>170</v>
      </c>
      <c r="M22" s="219" t="s">
        <v>124</v>
      </c>
      <c r="N22" s="224">
        <v>994384416</v>
      </c>
      <c r="O22" s="225">
        <v>20</v>
      </c>
      <c r="P22" s="223" t="s">
        <v>22</v>
      </c>
      <c r="Q22" s="223" t="s">
        <v>76</v>
      </c>
      <c r="R22" s="207"/>
      <c r="S22" s="219" t="s">
        <v>166</v>
      </c>
      <c r="T22" s="226">
        <v>104946876</v>
      </c>
      <c r="U22" s="220" t="s">
        <v>171</v>
      </c>
      <c r="V22" s="5"/>
    </row>
    <row r="23" spans="1:22" ht="35.25" customHeight="1">
      <c r="A23">
        <v>18</v>
      </c>
      <c r="B23" s="221">
        <v>45475</v>
      </c>
      <c r="C23" s="219" t="s">
        <v>175</v>
      </c>
      <c r="D23" s="219" t="s">
        <v>176</v>
      </c>
      <c r="E23" s="222" t="s">
        <v>177</v>
      </c>
      <c r="F23" s="219" t="s">
        <v>106</v>
      </c>
      <c r="G23" s="219" t="s">
        <v>178</v>
      </c>
      <c r="H23" s="222" t="s">
        <v>42</v>
      </c>
      <c r="I23" s="223" t="s">
        <v>76</v>
      </c>
      <c r="J23" s="223" t="s">
        <v>77</v>
      </c>
      <c r="K23" s="221">
        <v>45531</v>
      </c>
      <c r="L23" s="219" t="s">
        <v>179</v>
      </c>
      <c r="M23" s="219" t="s">
        <v>180</v>
      </c>
      <c r="N23" s="224">
        <v>992985155</v>
      </c>
      <c r="O23" s="225">
        <v>20</v>
      </c>
      <c r="P23" s="223" t="s">
        <v>22</v>
      </c>
      <c r="Q23" s="223" t="s">
        <v>76</v>
      </c>
      <c r="R23" s="207"/>
      <c r="S23" s="219" t="s">
        <v>176</v>
      </c>
      <c r="T23" s="226">
        <v>100549070</v>
      </c>
      <c r="U23" s="220" t="s">
        <v>181</v>
      </c>
      <c r="V23" s="5"/>
    </row>
    <row r="24" spans="1:22" ht="34.5" customHeight="1">
      <c r="A24" s="203">
        <v>19</v>
      </c>
      <c r="B24" s="221">
        <v>45475</v>
      </c>
      <c r="C24" s="219" t="s">
        <v>175</v>
      </c>
      <c r="D24" s="219" t="s">
        <v>176</v>
      </c>
      <c r="E24" s="222" t="s">
        <v>98</v>
      </c>
      <c r="F24" s="219" t="s">
        <v>99</v>
      </c>
      <c r="G24" s="219" t="s">
        <v>182</v>
      </c>
      <c r="H24" s="222" t="s">
        <v>187</v>
      </c>
      <c r="I24" s="223" t="s">
        <v>76</v>
      </c>
      <c r="J24" s="223" t="s">
        <v>77</v>
      </c>
      <c r="K24" s="221">
        <v>45531</v>
      </c>
      <c r="L24" s="219" t="s">
        <v>179</v>
      </c>
      <c r="M24" s="219" t="s">
        <v>180</v>
      </c>
      <c r="N24" s="224">
        <v>992985155</v>
      </c>
      <c r="O24" s="225">
        <v>20</v>
      </c>
      <c r="P24" s="223" t="s">
        <v>22</v>
      </c>
      <c r="Q24" s="223" t="s">
        <v>76</v>
      </c>
      <c r="R24" s="207"/>
      <c r="S24" s="219" t="s">
        <v>176</v>
      </c>
      <c r="T24" s="226">
        <v>100549070</v>
      </c>
      <c r="U24" s="220" t="s">
        <v>181</v>
      </c>
      <c r="V24" s="5"/>
    </row>
    <row r="25" spans="1:22" ht="34.5" customHeight="1">
      <c r="A25">
        <v>20</v>
      </c>
      <c r="B25" s="221">
        <v>45506</v>
      </c>
      <c r="C25" s="219" t="s">
        <v>150</v>
      </c>
      <c r="D25" s="219" t="s">
        <v>183</v>
      </c>
      <c r="E25" s="222" t="s">
        <v>184</v>
      </c>
      <c r="F25" s="219" t="s">
        <v>185</v>
      </c>
      <c r="G25" s="219" t="s">
        <v>186</v>
      </c>
      <c r="H25" s="222" t="s">
        <v>42</v>
      </c>
      <c r="I25" s="223" t="s">
        <v>76</v>
      </c>
      <c r="J25" s="223" t="s">
        <v>77</v>
      </c>
      <c r="K25" s="221">
        <v>45534</v>
      </c>
      <c r="L25" s="219" t="s">
        <v>188</v>
      </c>
      <c r="M25" s="219" t="s">
        <v>189</v>
      </c>
      <c r="N25" s="224">
        <v>985539645</v>
      </c>
      <c r="O25" s="225">
        <v>20</v>
      </c>
      <c r="P25" s="223" t="s">
        <v>22</v>
      </c>
      <c r="Q25" s="223" t="s">
        <v>76</v>
      </c>
      <c r="R25" s="207"/>
      <c r="S25" s="219" t="s">
        <v>183</v>
      </c>
      <c r="T25" s="226">
        <v>104231402</v>
      </c>
      <c r="U25" s="220" t="s">
        <v>190</v>
      </c>
      <c r="V25" s="5"/>
    </row>
    <row r="26" spans="1:22" ht="33" customHeight="1">
      <c r="A26">
        <v>21</v>
      </c>
      <c r="B26" s="221">
        <v>45506</v>
      </c>
      <c r="C26" s="219" t="s">
        <v>150</v>
      </c>
      <c r="D26" s="219" t="s">
        <v>183</v>
      </c>
      <c r="E26" s="222" t="s">
        <v>191</v>
      </c>
      <c r="F26" s="219" t="s">
        <v>192</v>
      </c>
      <c r="G26" s="219" t="s">
        <v>194</v>
      </c>
      <c r="H26" s="222" t="s">
        <v>42</v>
      </c>
      <c r="I26" s="223" t="s">
        <v>76</v>
      </c>
      <c r="J26" s="223" t="s">
        <v>77</v>
      </c>
      <c r="K26" s="221">
        <v>45534</v>
      </c>
      <c r="L26" s="219" t="s">
        <v>188</v>
      </c>
      <c r="M26" s="219" t="s">
        <v>189</v>
      </c>
      <c r="N26" s="224">
        <v>985539645</v>
      </c>
      <c r="O26" s="225">
        <v>20</v>
      </c>
      <c r="P26" s="223" t="s">
        <v>22</v>
      </c>
      <c r="Q26" s="223" t="s">
        <v>76</v>
      </c>
      <c r="R26" s="207"/>
      <c r="S26" s="219" t="s">
        <v>183</v>
      </c>
      <c r="T26" s="226">
        <v>104231402</v>
      </c>
      <c r="U26" s="220" t="s">
        <v>190</v>
      </c>
      <c r="V26" s="5"/>
    </row>
    <row r="27" spans="1:22" ht="33" customHeight="1">
      <c r="A27" s="203">
        <v>22</v>
      </c>
      <c r="B27" s="221">
        <v>45506</v>
      </c>
      <c r="C27" s="219" t="s">
        <v>150</v>
      </c>
      <c r="D27" s="219" t="s">
        <v>183</v>
      </c>
      <c r="E27" s="222" t="s">
        <v>184</v>
      </c>
      <c r="F27" s="219" t="s">
        <v>99</v>
      </c>
      <c r="G27" s="219" t="s">
        <v>193</v>
      </c>
      <c r="H27" s="222" t="s">
        <v>42</v>
      </c>
      <c r="I27" s="223" t="s">
        <v>76</v>
      </c>
      <c r="J27" s="223" t="s">
        <v>77</v>
      </c>
      <c r="K27" s="221">
        <v>45534</v>
      </c>
      <c r="L27" s="219" t="s">
        <v>188</v>
      </c>
      <c r="M27" s="219" t="s">
        <v>189</v>
      </c>
      <c r="N27" s="224">
        <v>985539645</v>
      </c>
      <c r="O27" s="225">
        <v>20</v>
      </c>
      <c r="P27" s="223" t="s">
        <v>22</v>
      </c>
      <c r="Q27" s="223" t="s">
        <v>76</v>
      </c>
      <c r="R27" s="207"/>
      <c r="S27" s="219" t="s">
        <v>183</v>
      </c>
      <c r="T27" s="226">
        <v>104231402</v>
      </c>
      <c r="U27" s="220" t="s">
        <v>190</v>
      </c>
      <c r="V27" s="5"/>
    </row>
    <row r="28" spans="1:22" ht="28.5" customHeight="1">
      <c r="A28">
        <v>23</v>
      </c>
      <c r="B28" s="221">
        <v>45521</v>
      </c>
      <c r="C28" s="205" t="s">
        <v>78</v>
      </c>
      <c r="D28" s="205" t="s">
        <v>195</v>
      </c>
      <c r="E28" s="204">
        <v>40584012</v>
      </c>
      <c r="F28" s="205" t="s">
        <v>196</v>
      </c>
      <c r="G28" s="205" t="s">
        <v>197</v>
      </c>
      <c r="H28" s="204" t="s">
        <v>42</v>
      </c>
      <c r="I28" s="223" t="s">
        <v>76</v>
      </c>
      <c r="J28" s="223" t="s">
        <v>77</v>
      </c>
      <c r="K28" s="227">
        <v>45534</v>
      </c>
      <c r="L28" s="233" t="s">
        <v>198</v>
      </c>
      <c r="M28" s="233" t="s">
        <v>102</v>
      </c>
      <c r="N28" s="223">
        <v>987326532</v>
      </c>
      <c r="O28" s="206">
        <v>15</v>
      </c>
      <c r="P28" s="223" t="s">
        <v>22</v>
      </c>
      <c r="Q28" s="223" t="s">
        <v>76</v>
      </c>
      <c r="R28" s="207"/>
      <c r="S28" s="205" t="s">
        <v>195</v>
      </c>
      <c r="T28" s="228">
        <v>104823810</v>
      </c>
      <c r="U28" s="232" t="s">
        <v>199</v>
      </c>
      <c r="V28" s="5"/>
    </row>
    <row r="29" spans="1:22" ht="36" customHeight="1">
      <c r="A29">
        <v>24</v>
      </c>
      <c r="B29" s="221">
        <v>45521</v>
      </c>
      <c r="C29" s="205" t="s">
        <v>78</v>
      </c>
      <c r="D29" s="205" t="s">
        <v>195</v>
      </c>
      <c r="E29" s="204">
        <v>111020071</v>
      </c>
      <c r="F29" s="205" t="s">
        <v>192</v>
      </c>
      <c r="G29" s="205" t="s">
        <v>197</v>
      </c>
      <c r="H29" s="204" t="s">
        <v>42</v>
      </c>
      <c r="I29" s="223" t="s">
        <v>76</v>
      </c>
      <c r="J29" s="223" t="s">
        <v>77</v>
      </c>
      <c r="K29" s="227">
        <v>45534</v>
      </c>
      <c r="L29" s="233" t="s">
        <v>198</v>
      </c>
      <c r="M29" s="233" t="s">
        <v>102</v>
      </c>
      <c r="N29" s="223">
        <v>987326532</v>
      </c>
      <c r="O29" s="206">
        <v>15</v>
      </c>
      <c r="P29" s="223" t="s">
        <v>22</v>
      </c>
      <c r="Q29" s="223" t="s">
        <v>76</v>
      </c>
      <c r="R29" s="207"/>
      <c r="S29" s="205" t="s">
        <v>195</v>
      </c>
      <c r="T29" s="228">
        <v>104823810</v>
      </c>
      <c r="U29" s="232" t="s">
        <v>199</v>
      </c>
      <c r="V29" s="5"/>
    </row>
    <row r="30" spans="1:22" ht="34.5" customHeight="1">
      <c r="A30" s="203">
        <v>25</v>
      </c>
      <c r="B30" s="221">
        <v>45521</v>
      </c>
      <c r="C30" s="205" t="s">
        <v>78</v>
      </c>
      <c r="D30" s="205" t="s">
        <v>195</v>
      </c>
      <c r="E30" s="204">
        <v>112580027</v>
      </c>
      <c r="F30" s="205" t="s">
        <v>200</v>
      </c>
      <c r="G30" s="205" t="s">
        <v>201</v>
      </c>
      <c r="H30" s="204" t="s">
        <v>42</v>
      </c>
      <c r="I30" s="223" t="s">
        <v>76</v>
      </c>
      <c r="J30" s="223" t="s">
        <v>77</v>
      </c>
      <c r="K30" s="227">
        <v>45534</v>
      </c>
      <c r="L30" s="233" t="s">
        <v>198</v>
      </c>
      <c r="M30" s="233" t="s">
        <v>102</v>
      </c>
      <c r="N30" s="223">
        <v>987326532</v>
      </c>
      <c r="O30" s="206">
        <v>15</v>
      </c>
      <c r="P30" s="223" t="s">
        <v>22</v>
      </c>
      <c r="Q30" s="223" t="s">
        <v>76</v>
      </c>
      <c r="R30" s="207"/>
      <c r="S30" s="205" t="s">
        <v>195</v>
      </c>
      <c r="T30" s="228">
        <v>104823810</v>
      </c>
      <c r="U30" s="232" t="s">
        <v>199</v>
      </c>
      <c r="V30" s="5"/>
    </row>
    <row r="31" spans="1:22" ht="30.75" customHeight="1">
      <c r="A31">
        <v>26</v>
      </c>
      <c r="B31" s="221">
        <v>45539</v>
      </c>
      <c r="C31" s="205" t="s">
        <v>139</v>
      </c>
      <c r="D31" s="205" t="s">
        <v>202</v>
      </c>
      <c r="E31" s="204">
        <v>112950021</v>
      </c>
      <c r="F31" s="205" t="s">
        <v>203</v>
      </c>
      <c r="G31" s="205" t="s">
        <v>204</v>
      </c>
      <c r="H31" s="204" t="s">
        <v>42</v>
      </c>
      <c r="I31" s="223" t="s">
        <v>76</v>
      </c>
      <c r="J31" s="223" t="s">
        <v>77</v>
      </c>
      <c r="K31" s="227">
        <v>45539</v>
      </c>
      <c r="L31" s="233" t="s">
        <v>205</v>
      </c>
      <c r="M31" s="233" t="s">
        <v>206</v>
      </c>
      <c r="N31" s="223">
        <v>997142441</v>
      </c>
      <c r="O31" s="206">
        <v>15</v>
      </c>
      <c r="P31" s="223" t="s">
        <v>22</v>
      </c>
      <c r="Q31" s="223" t="s">
        <v>76</v>
      </c>
      <c r="R31" s="207"/>
      <c r="S31" s="205" t="s">
        <v>202</v>
      </c>
      <c r="T31" s="228">
        <v>102523750</v>
      </c>
      <c r="U31" s="232" t="s">
        <v>207</v>
      </c>
      <c r="V31" s="5"/>
    </row>
    <row r="32" spans="1:22" ht="31.5" customHeight="1">
      <c r="A32">
        <v>27</v>
      </c>
      <c r="B32" s="221">
        <v>45539</v>
      </c>
      <c r="C32" s="205" t="s">
        <v>139</v>
      </c>
      <c r="D32" s="205" t="s">
        <v>202</v>
      </c>
      <c r="E32" s="204">
        <v>112580017</v>
      </c>
      <c r="F32" s="205" t="s">
        <v>208</v>
      </c>
      <c r="G32" s="205" t="s">
        <v>211</v>
      </c>
      <c r="H32" s="204" t="s">
        <v>42</v>
      </c>
      <c r="I32" s="223" t="s">
        <v>76</v>
      </c>
      <c r="J32" s="223" t="s">
        <v>77</v>
      </c>
      <c r="K32" s="227">
        <v>45539</v>
      </c>
      <c r="L32" s="233" t="s">
        <v>205</v>
      </c>
      <c r="M32" s="233" t="s">
        <v>206</v>
      </c>
      <c r="N32" s="223">
        <v>997142441</v>
      </c>
      <c r="O32" s="206">
        <v>15</v>
      </c>
      <c r="P32" s="223" t="s">
        <v>22</v>
      </c>
      <c r="Q32" s="223" t="s">
        <v>76</v>
      </c>
      <c r="R32" s="207"/>
      <c r="S32" s="205" t="s">
        <v>202</v>
      </c>
      <c r="T32" s="228">
        <v>102523750</v>
      </c>
      <c r="U32" s="232" t="s">
        <v>207</v>
      </c>
      <c r="V32" s="5"/>
    </row>
    <row r="33" spans="1:22" ht="34.5" customHeight="1">
      <c r="A33">
        <v>28</v>
      </c>
      <c r="B33" s="221">
        <v>45539</v>
      </c>
      <c r="C33" s="205" t="s">
        <v>139</v>
      </c>
      <c r="D33" s="205" t="s">
        <v>202</v>
      </c>
      <c r="E33" s="204">
        <v>111030002</v>
      </c>
      <c r="F33" s="205" t="s">
        <v>209</v>
      </c>
      <c r="G33" s="205" t="s">
        <v>210</v>
      </c>
      <c r="H33" s="204" t="s">
        <v>42</v>
      </c>
      <c r="I33" s="223" t="s">
        <v>76</v>
      </c>
      <c r="J33" s="223" t="s">
        <v>77</v>
      </c>
      <c r="K33" s="227">
        <v>45539</v>
      </c>
      <c r="L33" s="233" t="s">
        <v>205</v>
      </c>
      <c r="M33" s="233" t="s">
        <v>206</v>
      </c>
      <c r="N33" s="223">
        <v>997142441</v>
      </c>
      <c r="O33" s="206">
        <v>15</v>
      </c>
      <c r="P33" s="223" t="s">
        <v>22</v>
      </c>
      <c r="Q33" s="223" t="s">
        <v>76</v>
      </c>
      <c r="R33" s="207"/>
      <c r="S33" s="205" t="s">
        <v>202</v>
      </c>
      <c r="T33" s="228">
        <v>102523750</v>
      </c>
      <c r="U33" s="232" t="s">
        <v>207</v>
      </c>
      <c r="V33" s="5"/>
    </row>
    <row r="34" spans="1:22" ht="31.5" customHeight="1">
      <c r="A34" s="203">
        <v>29</v>
      </c>
      <c r="B34" s="219">
        <v>45349</v>
      </c>
      <c r="C34" s="205" t="s">
        <v>212</v>
      </c>
      <c r="D34" s="205" t="s">
        <v>213</v>
      </c>
      <c r="E34" s="204">
        <v>111010028</v>
      </c>
      <c r="F34" s="205" t="s">
        <v>214</v>
      </c>
      <c r="G34" s="205" t="s">
        <v>215</v>
      </c>
      <c r="H34" s="204" t="s">
        <v>42</v>
      </c>
      <c r="I34" s="223" t="s">
        <v>76</v>
      </c>
      <c r="J34" s="223" t="s">
        <v>77</v>
      </c>
      <c r="K34" s="227">
        <v>45541</v>
      </c>
      <c r="L34" s="233" t="s">
        <v>216</v>
      </c>
      <c r="M34" s="233" t="s">
        <v>217</v>
      </c>
      <c r="N34" s="223">
        <v>967242802</v>
      </c>
      <c r="O34" s="206">
        <v>15</v>
      </c>
      <c r="P34" s="223" t="s">
        <v>22</v>
      </c>
      <c r="Q34" s="223" t="s">
        <v>76</v>
      </c>
      <c r="R34" s="207"/>
      <c r="S34" s="205" t="s">
        <v>213</v>
      </c>
      <c r="T34" s="228">
        <v>102148368</v>
      </c>
      <c r="U34" s="232" t="s">
        <v>218</v>
      </c>
      <c r="V34" s="5"/>
    </row>
    <row r="35" spans="1:22" ht="30.75" customHeight="1">
      <c r="A35">
        <v>30</v>
      </c>
      <c r="B35" s="219">
        <v>45349</v>
      </c>
      <c r="C35" s="205" t="s">
        <v>212</v>
      </c>
      <c r="D35" s="205" t="s">
        <v>213</v>
      </c>
      <c r="E35" s="204">
        <v>112610067</v>
      </c>
      <c r="F35" s="205" t="s">
        <v>219</v>
      </c>
      <c r="G35" s="205" t="s">
        <v>215</v>
      </c>
      <c r="H35" s="204" t="s">
        <v>42</v>
      </c>
      <c r="I35" s="223" t="s">
        <v>76</v>
      </c>
      <c r="J35" s="223" t="s">
        <v>77</v>
      </c>
      <c r="K35" s="227">
        <v>45541</v>
      </c>
      <c r="L35" s="233" t="s">
        <v>216</v>
      </c>
      <c r="M35" s="233" t="s">
        <v>217</v>
      </c>
      <c r="N35" s="223">
        <v>967242802</v>
      </c>
      <c r="O35" s="206">
        <v>15</v>
      </c>
      <c r="P35" s="223" t="s">
        <v>22</v>
      </c>
      <c r="Q35" s="223" t="s">
        <v>76</v>
      </c>
      <c r="R35" s="207"/>
      <c r="S35" s="205" t="s">
        <v>213</v>
      </c>
      <c r="T35" s="228">
        <v>102148368</v>
      </c>
      <c r="U35" s="232" t="s">
        <v>218</v>
      </c>
      <c r="V35" s="5"/>
    </row>
    <row r="36" spans="1:22" ht="32.25" customHeight="1">
      <c r="A36">
        <v>31</v>
      </c>
      <c r="B36" s="219">
        <v>45349</v>
      </c>
      <c r="C36" s="205" t="s">
        <v>212</v>
      </c>
      <c r="D36" s="205" t="s">
        <v>213</v>
      </c>
      <c r="E36" s="204">
        <v>114270004</v>
      </c>
      <c r="F36" s="205" t="s">
        <v>220</v>
      </c>
      <c r="G36" s="205" t="s">
        <v>221</v>
      </c>
      <c r="H36" s="204" t="s">
        <v>42</v>
      </c>
      <c r="I36" s="223" t="s">
        <v>76</v>
      </c>
      <c r="J36" s="223" t="s">
        <v>77</v>
      </c>
      <c r="K36" s="227">
        <v>45541</v>
      </c>
      <c r="L36" s="233" t="s">
        <v>216</v>
      </c>
      <c r="M36" s="233" t="s">
        <v>217</v>
      </c>
      <c r="N36" s="223">
        <v>967242802</v>
      </c>
      <c r="O36" s="206">
        <v>15</v>
      </c>
      <c r="P36" s="223" t="s">
        <v>22</v>
      </c>
      <c r="Q36" s="223" t="s">
        <v>76</v>
      </c>
      <c r="R36" s="207"/>
      <c r="S36" s="205" t="s">
        <v>213</v>
      </c>
      <c r="T36" s="228">
        <v>102148368</v>
      </c>
      <c r="U36" s="232" t="s">
        <v>218</v>
      </c>
      <c r="V36" s="5"/>
    </row>
    <row r="37" spans="1:22" ht="32.25" customHeight="1">
      <c r="A37">
        <v>32</v>
      </c>
      <c r="B37" s="219">
        <v>45367</v>
      </c>
      <c r="C37" s="235" t="s">
        <v>139</v>
      </c>
      <c r="D37" s="235" t="s">
        <v>277</v>
      </c>
      <c r="E37" s="236">
        <v>112730000</v>
      </c>
      <c r="F37" s="235" t="s">
        <v>278</v>
      </c>
      <c r="G37" s="235" t="s">
        <v>279</v>
      </c>
      <c r="H37" s="204" t="s">
        <v>42</v>
      </c>
      <c r="I37" s="223" t="s">
        <v>76</v>
      </c>
      <c r="J37" s="223" t="s">
        <v>77</v>
      </c>
      <c r="K37" s="237">
        <v>45541</v>
      </c>
      <c r="L37" s="238" t="s">
        <v>280</v>
      </c>
      <c r="M37" s="238" t="s">
        <v>281</v>
      </c>
      <c r="N37" s="239">
        <v>999440846</v>
      </c>
      <c r="O37" s="240">
        <v>15</v>
      </c>
      <c r="P37" s="223" t="s">
        <v>22</v>
      </c>
      <c r="Q37" s="223" t="s">
        <v>76</v>
      </c>
      <c r="R37" s="207"/>
      <c r="S37" s="235" t="s">
        <v>277</v>
      </c>
      <c r="T37" s="241">
        <v>1707397723</v>
      </c>
      <c r="U37" s="242" t="s">
        <v>282</v>
      </c>
      <c r="V37" s="5"/>
    </row>
    <row r="38" spans="1:22" ht="32.25" customHeight="1">
      <c r="A38">
        <v>33</v>
      </c>
      <c r="B38" s="219">
        <v>45367</v>
      </c>
      <c r="C38" s="235" t="s">
        <v>139</v>
      </c>
      <c r="D38" s="235" t="s">
        <v>277</v>
      </c>
      <c r="E38" s="236">
        <v>111010028</v>
      </c>
      <c r="F38" s="235" t="s">
        <v>214</v>
      </c>
      <c r="G38" s="235" t="s">
        <v>283</v>
      </c>
      <c r="H38" s="204" t="s">
        <v>42</v>
      </c>
      <c r="I38" s="223" t="s">
        <v>76</v>
      </c>
      <c r="J38" s="223" t="s">
        <v>77</v>
      </c>
      <c r="K38" s="237">
        <v>45541</v>
      </c>
      <c r="L38" s="238" t="s">
        <v>280</v>
      </c>
      <c r="M38" s="238" t="s">
        <v>281</v>
      </c>
      <c r="N38" s="239">
        <v>999440846</v>
      </c>
      <c r="O38" s="240">
        <v>15</v>
      </c>
      <c r="P38" s="223" t="s">
        <v>22</v>
      </c>
      <c r="Q38" s="223" t="s">
        <v>76</v>
      </c>
      <c r="R38" s="207"/>
      <c r="S38" s="235" t="s">
        <v>277</v>
      </c>
      <c r="T38" s="241">
        <v>1707397723</v>
      </c>
      <c r="U38" s="242" t="s">
        <v>282</v>
      </c>
      <c r="V38" s="5"/>
    </row>
    <row r="39" spans="1:22" ht="32.25" customHeight="1">
      <c r="A39">
        <v>34</v>
      </c>
      <c r="B39" s="219">
        <v>45367</v>
      </c>
      <c r="C39" s="235" t="s">
        <v>139</v>
      </c>
      <c r="D39" s="235" t="s">
        <v>277</v>
      </c>
      <c r="E39" s="236">
        <v>112730000</v>
      </c>
      <c r="F39" s="235" t="s">
        <v>284</v>
      </c>
      <c r="G39" s="235" t="s">
        <v>285</v>
      </c>
      <c r="H39" s="204" t="s">
        <v>42</v>
      </c>
      <c r="I39" s="223" t="s">
        <v>76</v>
      </c>
      <c r="J39" s="223" t="s">
        <v>77</v>
      </c>
      <c r="K39" s="237">
        <v>45541</v>
      </c>
      <c r="L39" s="238" t="s">
        <v>280</v>
      </c>
      <c r="M39" s="238" t="s">
        <v>281</v>
      </c>
      <c r="N39" s="239">
        <v>999440846</v>
      </c>
      <c r="O39" s="240">
        <v>15</v>
      </c>
      <c r="P39" s="223" t="s">
        <v>22</v>
      </c>
      <c r="Q39" s="223" t="s">
        <v>76</v>
      </c>
      <c r="R39" s="207"/>
      <c r="S39" s="235" t="s">
        <v>277</v>
      </c>
      <c r="T39" s="241">
        <v>1707397723</v>
      </c>
      <c r="U39" s="242" t="s">
        <v>282</v>
      </c>
      <c r="V39" s="5"/>
    </row>
    <row r="40" spans="1:22" ht="32.25" customHeight="1">
      <c r="A40">
        <v>35</v>
      </c>
      <c r="B40" s="221">
        <v>45400</v>
      </c>
      <c r="C40" s="234" t="s">
        <v>150</v>
      </c>
      <c r="D40" s="219" t="s">
        <v>151</v>
      </c>
      <c r="E40" s="222" t="s">
        <v>228</v>
      </c>
      <c r="F40" s="219" t="s">
        <v>229</v>
      </c>
      <c r="G40" s="219" t="s">
        <v>230</v>
      </c>
      <c r="H40" s="222" t="s">
        <v>42</v>
      </c>
      <c r="I40" s="223" t="s">
        <v>76</v>
      </c>
      <c r="J40" s="223" t="s">
        <v>77</v>
      </c>
      <c r="K40" s="221">
        <v>45530</v>
      </c>
      <c r="L40" s="219" t="s">
        <v>153</v>
      </c>
      <c r="M40" s="219" t="s">
        <v>154</v>
      </c>
      <c r="N40" s="224">
        <v>9173307695</v>
      </c>
      <c r="O40" s="225">
        <v>20</v>
      </c>
      <c r="P40" s="223" t="s">
        <v>22</v>
      </c>
      <c r="Q40" s="223" t="s">
        <v>76</v>
      </c>
      <c r="R40" s="207"/>
      <c r="S40" s="219" t="s">
        <v>151</v>
      </c>
      <c r="T40" s="226">
        <v>102461175</v>
      </c>
      <c r="U40" s="220" t="s">
        <v>155</v>
      </c>
      <c r="V40" s="5"/>
    </row>
    <row r="41" spans="1:22" ht="30.75" customHeight="1">
      <c r="A41">
        <v>36</v>
      </c>
      <c r="B41" s="221">
        <v>45400</v>
      </c>
      <c r="C41" s="234" t="s">
        <v>150</v>
      </c>
      <c r="D41" s="219" t="s">
        <v>151</v>
      </c>
      <c r="E41" s="222" t="s">
        <v>222</v>
      </c>
      <c r="F41" s="219" t="s">
        <v>224</v>
      </c>
      <c r="G41" s="219" t="s">
        <v>225</v>
      </c>
      <c r="H41" s="222" t="s">
        <v>42</v>
      </c>
      <c r="I41" s="223" t="s">
        <v>76</v>
      </c>
      <c r="J41" s="223" t="s">
        <v>77</v>
      </c>
      <c r="K41" s="221">
        <v>45530</v>
      </c>
      <c r="L41" s="219" t="s">
        <v>153</v>
      </c>
      <c r="M41" s="219" t="s">
        <v>154</v>
      </c>
      <c r="N41" s="224">
        <v>9173307695</v>
      </c>
      <c r="O41" s="225">
        <v>20</v>
      </c>
      <c r="P41" s="223" t="s">
        <v>22</v>
      </c>
      <c r="Q41" s="223" t="s">
        <v>76</v>
      </c>
      <c r="R41" s="207"/>
      <c r="S41" s="219" t="s">
        <v>151</v>
      </c>
      <c r="T41" s="226">
        <v>102461175</v>
      </c>
      <c r="U41" s="220" t="s">
        <v>155</v>
      </c>
      <c r="V41" s="5"/>
    </row>
    <row r="42" spans="1:22" ht="30.75" customHeight="1">
      <c r="A42">
        <v>37</v>
      </c>
      <c r="B42" s="221">
        <v>45400</v>
      </c>
      <c r="C42" s="234" t="s">
        <v>150</v>
      </c>
      <c r="D42" s="219" t="s">
        <v>151</v>
      </c>
      <c r="E42" s="222" t="s">
        <v>223</v>
      </c>
      <c r="F42" s="219" t="s">
        <v>226</v>
      </c>
      <c r="G42" s="219" t="s">
        <v>227</v>
      </c>
      <c r="H42" s="222" t="s">
        <v>42</v>
      </c>
      <c r="I42" s="223" t="s">
        <v>76</v>
      </c>
      <c r="J42" s="223" t="s">
        <v>77</v>
      </c>
      <c r="K42" s="221">
        <v>45530</v>
      </c>
      <c r="L42" s="219" t="s">
        <v>153</v>
      </c>
      <c r="M42" s="219" t="s">
        <v>154</v>
      </c>
      <c r="N42" s="224">
        <v>9173307695</v>
      </c>
      <c r="O42" s="225">
        <v>20</v>
      </c>
      <c r="P42" s="223" t="s">
        <v>22</v>
      </c>
      <c r="Q42" s="223" t="s">
        <v>76</v>
      </c>
      <c r="R42" s="207"/>
      <c r="S42" s="219" t="s">
        <v>151</v>
      </c>
      <c r="T42" s="226">
        <v>102461175</v>
      </c>
      <c r="U42" s="220" t="s">
        <v>155</v>
      </c>
      <c r="V42" s="5"/>
    </row>
    <row r="43" spans="1:22" ht="31.5" customHeight="1">
      <c r="A43">
        <v>38</v>
      </c>
      <c r="B43" s="219">
        <v>45520</v>
      </c>
      <c r="C43" s="205" t="s">
        <v>121</v>
      </c>
      <c r="D43" s="205" t="s">
        <v>231</v>
      </c>
      <c r="E43" s="204">
        <v>112520025</v>
      </c>
      <c r="F43" s="205" t="s">
        <v>232</v>
      </c>
      <c r="G43" s="205" t="s">
        <v>233</v>
      </c>
      <c r="H43" s="204" t="s">
        <v>42</v>
      </c>
      <c r="I43" s="223" t="s">
        <v>76</v>
      </c>
      <c r="J43" s="223" t="s">
        <v>77</v>
      </c>
      <c r="K43" s="227">
        <v>45544</v>
      </c>
      <c r="L43" s="233" t="s">
        <v>234</v>
      </c>
      <c r="M43" s="233" t="s">
        <v>235</v>
      </c>
      <c r="N43" s="205">
        <v>987573081</v>
      </c>
      <c r="O43" s="206">
        <v>20</v>
      </c>
      <c r="P43" s="223" t="s">
        <v>22</v>
      </c>
      <c r="Q43" s="223" t="s">
        <v>76</v>
      </c>
      <c r="R43" s="207"/>
      <c r="S43" s="205" t="s">
        <v>231</v>
      </c>
      <c r="T43" s="228">
        <v>105844179</v>
      </c>
      <c r="U43" s="232" t="s">
        <v>236</v>
      </c>
      <c r="V43" s="5"/>
    </row>
    <row r="44" spans="1:22" ht="31.5" customHeight="1">
      <c r="A44">
        <v>39</v>
      </c>
      <c r="B44" s="219">
        <v>45520</v>
      </c>
      <c r="C44" s="205" t="s">
        <v>121</v>
      </c>
      <c r="D44" s="205" t="s">
        <v>231</v>
      </c>
      <c r="E44" s="204">
        <v>40446712</v>
      </c>
      <c r="F44" s="205" t="s">
        <v>131</v>
      </c>
      <c r="G44" s="205" t="s">
        <v>237</v>
      </c>
      <c r="H44" s="204" t="s">
        <v>42</v>
      </c>
      <c r="I44" s="223" t="s">
        <v>76</v>
      </c>
      <c r="J44" s="223" t="s">
        <v>77</v>
      </c>
      <c r="K44" s="227">
        <v>45544</v>
      </c>
      <c r="L44" s="233" t="s">
        <v>234</v>
      </c>
      <c r="M44" s="233" t="s">
        <v>235</v>
      </c>
      <c r="N44" s="205">
        <v>987573081</v>
      </c>
      <c r="O44" s="206">
        <v>20</v>
      </c>
      <c r="P44" s="223" t="s">
        <v>22</v>
      </c>
      <c r="Q44" s="223" t="s">
        <v>76</v>
      </c>
      <c r="R44" s="207"/>
      <c r="S44" s="205" t="s">
        <v>231</v>
      </c>
      <c r="T44" s="228">
        <v>105844179</v>
      </c>
      <c r="U44" s="232" t="s">
        <v>236</v>
      </c>
      <c r="V44" s="5"/>
    </row>
    <row r="45" spans="1:22" ht="34.5" customHeight="1">
      <c r="A45">
        <v>40</v>
      </c>
      <c r="B45" s="219">
        <v>44390</v>
      </c>
      <c r="C45" s="205" t="s">
        <v>96</v>
      </c>
      <c r="D45" s="205" t="s">
        <v>238</v>
      </c>
      <c r="E45" s="204">
        <v>112570128</v>
      </c>
      <c r="F45" s="205" t="s">
        <v>239</v>
      </c>
      <c r="G45" s="205" t="s">
        <v>240</v>
      </c>
      <c r="H45" s="204" t="s">
        <v>42</v>
      </c>
      <c r="I45" s="223" t="s">
        <v>76</v>
      </c>
      <c r="J45" s="223" t="s">
        <v>77</v>
      </c>
      <c r="K45" s="227">
        <v>45544</v>
      </c>
      <c r="L45" s="233" t="s">
        <v>243</v>
      </c>
      <c r="M45" s="233" t="s">
        <v>244</v>
      </c>
      <c r="N45" s="205">
        <v>2892010</v>
      </c>
      <c r="O45" s="206">
        <v>20</v>
      </c>
      <c r="P45" s="223" t="s">
        <v>22</v>
      </c>
      <c r="Q45" s="223" t="s">
        <v>76</v>
      </c>
      <c r="R45" s="207"/>
      <c r="S45" s="205" t="s">
        <v>238</v>
      </c>
      <c r="T45" s="228">
        <v>102461167</v>
      </c>
      <c r="U45" s="232" t="s">
        <v>245</v>
      </c>
    </row>
    <row r="46" spans="1:22" ht="34.5" customHeight="1">
      <c r="A46">
        <v>41</v>
      </c>
      <c r="B46" s="219">
        <v>44390</v>
      </c>
      <c r="C46" s="205" t="s">
        <v>96</v>
      </c>
      <c r="D46" s="205" t="s">
        <v>238</v>
      </c>
      <c r="E46" s="204">
        <v>40487192</v>
      </c>
      <c r="F46" s="205" t="s">
        <v>241</v>
      </c>
      <c r="G46" s="205" t="s">
        <v>242</v>
      </c>
      <c r="H46" s="204" t="s">
        <v>42</v>
      </c>
      <c r="I46" s="223" t="s">
        <v>76</v>
      </c>
      <c r="J46" s="223" t="s">
        <v>77</v>
      </c>
      <c r="K46" s="227">
        <v>45544</v>
      </c>
      <c r="L46" s="233" t="s">
        <v>243</v>
      </c>
      <c r="M46" s="233" t="s">
        <v>244</v>
      </c>
      <c r="N46" s="205">
        <v>2892010</v>
      </c>
      <c r="O46" s="206">
        <v>20</v>
      </c>
      <c r="P46" s="223" t="s">
        <v>22</v>
      </c>
      <c r="Q46" s="223" t="s">
        <v>76</v>
      </c>
      <c r="R46" s="207"/>
      <c r="S46" s="205" t="s">
        <v>238</v>
      </c>
      <c r="T46" s="228">
        <v>102461167</v>
      </c>
      <c r="U46" s="232" t="s">
        <v>245</v>
      </c>
    </row>
    <row r="47" spans="1:22" ht="32.25" customHeight="1">
      <c r="A47">
        <v>42</v>
      </c>
      <c r="B47" s="219">
        <v>45379</v>
      </c>
      <c r="C47" s="205" t="s">
        <v>212</v>
      </c>
      <c r="D47" s="205" t="s">
        <v>249</v>
      </c>
      <c r="E47" s="204">
        <v>40446712</v>
      </c>
      <c r="F47" s="205" t="s">
        <v>131</v>
      </c>
      <c r="G47" s="205" t="s">
        <v>250</v>
      </c>
      <c r="H47" s="204" t="s">
        <v>42</v>
      </c>
      <c r="I47" s="223" t="s">
        <v>76</v>
      </c>
      <c r="J47" s="223" t="s">
        <v>77</v>
      </c>
      <c r="K47" s="227">
        <v>45545</v>
      </c>
      <c r="L47" s="233" t="s">
        <v>251</v>
      </c>
      <c r="M47" s="233" t="s">
        <v>252</v>
      </c>
      <c r="N47" s="205">
        <v>998435843</v>
      </c>
      <c r="O47" s="206">
        <v>20</v>
      </c>
      <c r="P47" s="223" t="s">
        <v>22</v>
      </c>
      <c r="Q47" s="223" t="s">
        <v>76</v>
      </c>
      <c r="R47" s="207"/>
      <c r="S47" s="205" t="s">
        <v>249</v>
      </c>
      <c r="T47" s="228">
        <v>10320322</v>
      </c>
      <c r="U47" s="232" t="s">
        <v>253</v>
      </c>
    </row>
    <row r="48" spans="1:22" ht="32.25" customHeight="1">
      <c r="A48">
        <v>43</v>
      </c>
      <c r="B48" s="219">
        <v>45379</v>
      </c>
      <c r="C48" s="205" t="s">
        <v>212</v>
      </c>
      <c r="D48" s="205" t="s">
        <v>249</v>
      </c>
      <c r="E48" s="204">
        <v>112610068</v>
      </c>
      <c r="F48" s="205" t="s">
        <v>168</v>
      </c>
      <c r="G48" s="205" t="s">
        <v>254</v>
      </c>
      <c r="H48" s="204" t="s">
        <v>42</v>
      </c>
      <c r="I48" s="223" t="s">
        <v>76</v>
      </c>
      <c r="J48" s="223" t="s">
        <v>77</v>
      </c>
      <c r="K48" s="227">
        <v>45545</v>
      </c>
      <c r="L48" s="233" t="s">
        <v>251</v>
      </c>
      <c r="M48" s="233" t="s">
        <v>252</v>
      </c>
      <c r="N48" s="205">
        <v>998435843</v>
      </c>
      <c r="O48" s="206">
        <v>20</v>
      </c>
      <c r="P48" s="223" t="s">
        <v>22</v>
      </c>
      <c r="Q48" s="223" t="s">
        <v>76</v>
      </c>
      <c r="R48" s="207"/>
      <c r="S48" s="205" t="s">
        <v>249</v>
      </c>
      <c r="T48" s="228">
        <v>10320322</v>
      </c>
      <c r="U48" s="232" t="s">
        <v>253</v>
      </c>
    </row>
    <row r="49" spans="1:21" ht="32.25" customHeight="1">
      <c r="A49">
        <v>44</v>
      </c>
      <c r="B49" s="219">
        <v>45276</v>
      </c>
      <c r="C49" s="205" t="s">
        <v>96</v>
      </c>
      <c r="D49" s="205" t="s">
        <v>255</v>
      </c>
      <c r="E49" s="204">
        <v>40446712</v>
      </c>
      <c r="F49" s="205" t="s">
        <v>131</v>
      </c>
      <c r="G49" s="205" t="s">
        <v>256</v>
      </c>
      <c r="H49" s="204">
        <v>407415</v>
      </c>
      <c r="I49" s="223" t="s">
        <v>76</v>
      </c>
      <c r="J49" s="223" t="s">
        <v>77</v>
      </c>
      <c r="K49" s="227">
        <v>45545</v>
      </c>
      <c r="L49" s="233" t="s">
        <v>257</v>
      </c>
      <c r="M49" s="233" t="s">
        <v>258</v>
      </c>
      <c r="N49" s="205">
        <v>987946949</v>
      </c>
      <c r="O49" s="206">
        <v>15</v>
      </c>
      <c r="P49" s="223" t="s">
        <v>22</v>
      </c>
      <c r="Q49" s="223" t="s">
        <v>76</v>
      </c>
      <c r="R49" s="207"/>
      <c r="S49" s="205" t="s">
        <v>255</v>
      </c>
      <c r="T49" s="228">
        <v>105999296</v>
      </c>
      <c r="U49" s="232" t="s">
        <v>259</v>
      </c>
    </row>
    <row r="50" spans="1:21" ht="32.25" customHeight="1">
      <c r="A50">
        <v>45</v>
      </c>
      <c r="B50" s="219">
        <v>45276</v>
      </c>
      <c r="C50" s="205" t="s">
        <v>96</v>
      </c>
      <c r="D50" s="205" t="s">
        <v>255</v>
      </c>
      <c r="E50" s="204">
        <v>112520024</v>
      </c>
      <c r="F50" s="205" t="s">
        <v>260</v>
      </c>
      <c r="G50" s="205" t="s">
        <v>261</v>
      </c>
      <c r="H50" s="204">
        <v>410943</v>
      </c>
      <c r="I50" s="223" t="s">
        <v>76</v>
      </c>
      <c r="J50" s="223" t="s">
        <v>77</v>
      </c>
      <c r="K50" s="227">
        <v>45545</v>
      </c>
      <c r="L50" s="233" t="s">
        <v>257</v>
      </c>
      <c r="M50" s="233" t="s">
        <v>258</v>
      </c>
      <c r="N50" s="205">
        <v>987946949</v>
      </c>
      <c r="O50" s="206">
        <v>15</v>
      </c>
      <c r="P50" s="223" t="s">
        <v>22</v>
      </c>
      <c r="Q50" s="223" t="s">
        <v>76</v>
      </c>
      <c r="R50" s="207"/>
      <c r="S50" s="205" t="s">
        <v>255</v>
      </c>
      <c r="T50" s="228">
        <v>105999296</v>
      </c>
      <c r="U50" s="232" t="s">
        <v>259</v>
      </c>
    </row>
    <row r="51" spans="1:21" ht="32.25" customHeight="1">
      <c r="A51">
        <v>46</v>
      </c>
      <c r="B51" s="219">
        <v>45276</v>
      </c>
      <c r="C51" s="205" t="s">
        <v>96</v>
      </c>
      <c r="D51" s="205" t="s">
        <v>255</v>
      </c>
      <c r="E51" s="204">
        <v>111010041</v>
      </c>
      <c r="F51" s="205" t="s">
        <v>262</v>
      </c>
      <c r="G51" s="205" t="s">
        <v>263</v>
      </c>
      <c r="H51" s="204" t="s">
        <v>42</v>
      </c>
      <c r="I51" s="223" t="s">
        <v>76</v>
      </c>
      <c r="J51" s="223" t="s">
        <v>77</v>
      </c>
      <c r="K51" s="227">
        <v>45545</v>
      </c>
      <c r="L51" s="233" t="s">
        <v>257</v>
      </c>
      <c r="M51" s="233" t="s">
        <v>258</v>
      </c>
      <c r="N51" s="205">
        <v>987946949</v>
      </c>
      <c r="O51" s="206">
        <v>15</v>
      </c>
      <c r="P51" s="223" t="s">
        <v>22</v>
      </c>
      <c r="Q51" s="223" t="s">
        <v>76</v>
      </c>
      <c r="R51" s="207"/>
      <c r="S51" s="205" t="s">
        <v>255</v>
      </c>
      <c r="T51" s="228">
        <v>105999296</v>
      </c>
      <c r="U51" s="232" t="s">
        <v>259</v>
      </c>
    </row>
    <row r="52" spans="1:21" ht="32.25" customHeight="1">
      <c r="A52">
        <v>47</v>
      </c>
      <c r="B52" s="219">
        <v>45276</v>
      </c>
      <c r="C52" s="205" t="s">
        <v>96</v>
      </c>
      <c r="D52" s="205" t="s">
        <v>255</v>
      </c>
      <c r="E52" s="204">
        <v>40590835</v>
      </c>
      <c r="F52" s="205" t="s">
        <v>264</v>
      </c>
      <c r="G52" s="205" t="s">
        <v>256</v>
      </c>
      <c r="H52" s="204" t="s">
        <v>42</v>
      </c>
      <c r="I52" s="223" t="s">
        <v>76</v>
      </c>
      <c r="J52" s="223" t="s">
        <v>77</v>
      </c>
      <c r="K52" s="227">
        <v>45545</v>
      </c>
      <c r="L52" s="233" t="s">
        <v>257</v>
      </c>
      <c r="M52" s="233" t="s">
        <v>258</v>
      </c>
      <c r="N52" s="205">
        <v>987946949</v>
      </c>
      <c r="O52" s="206">
        <v>15</v>
      </c>
      <c r="P52" s="223" t="s">
        <v>22</v>
      </c>
      <c r="Q52" s="223" t="s">
        <v>76</v>
      </c>
      <c r="R52" s="207"/>
      <c r="S52" s="205" t="s">
        <v>255</v>
      </c>
      <c r="T52" s="228">
        <v>105999296</v>
      </c>
      <c r="U52" s="232" t="s">
        <v>259</v>
      </c>
    </row>
    <row r="53" spans="1:21" ht="32.25" customHeight="1">
      <c r="A53">
        <v>48</v>
      </c>
      <c r="B53" s="219">
        <v>45532</v>
      </c>
      <c r="C53" s="205" t="s">
        <v>78</v>
      </c>
      <c r="D53" s="205" t="s">
        <v>265</v>
      </c>
      <c r="E53" s="204">
        <v>111000051</v>
      </c>
      <c r="F53" s="205" t="s">
        <v>112</v>
      </c>
      <c r="G53" s="205" t="s">
        <v>266</v>
      </c>
      <c r="H53" s="204" t="s">
        <v>42</v>
      </c>
      <c r="I53" s="223" t="s">
        <v>76</v>
      </c>
      <c r="J53" s="223" t="s">
        <v>77</v>
      </c>
      <c r="K53" s="227">
        <v>45546</v>
      </c>
      <c r="L53" s="233" t="s">
        <v>267</v>
      </c>
      <c r="M53" s="233" t="s">
        <v>268</v>
      </c>
      <c r="N53" s="205">
        <v>980399392</v>
      </c>
      <c r="O53" s="206">
        <v>20</v>
      </c>
      <c r="P53" s="223" t="s">
        <v>22</v>
      </c>
      <c r="Q53" s="223" t="s">
        <v>76</v>
      </c>
      <c r="R53" s="207"/>
      <c r="S53" s="205" t="s">
        <v>265</v>
      </c>
      <c r="T53" s="228">
        <v>104621115</v>
      </c>
      <c r="U53" s="232" t="s">
        <v>269</v>
      </c>
    </row>
    <row r="54" spans="1:21" ht="32.25" customHeight="1">
      <c r="A54">
        <v>49</v>
      </c>
      <c r="B54" s="219">
        <v>45532</v>
      </c>
      <c r="C54" s="205" t="s">
        <v>78</v>
      </c>
      <c r="D54" s="205" t="s">
        <v>265</v>
      </c>
      <c r="E54" s="204">
        <v>40584012</v>
      </c>
      <c r="F54" s="205" t="s">
        <v>196</v>
      </c>
      <c r="G54" s="205" t="s">
        <v>270</v>
      </c>
      <c r="H54" s="204" t="s">
        <v>42</v>
      </c>
      <c r="I54" s="223" t="s">
        <v>76</v>
      </c>
      <c r="J54" s="223" t="s">
        <v>77</v>
      </c>
      <c r="K54" s="227">
        <v>45546</v>
      </c>
      <c r="L54" s="233" t="s">
        <v>267</v>
      </c>
      <c r="M54" s="233" t="s">
        <v>268</v>
      </c>
      <c r="N54" s="205">
        <v>980399392</v>
      </c>
      <c r="O54" s="206">
        <v>20</v>
      </c>
      <c r="P54" s="223" t="s">
        <v>22</v>
      </c>
      <c r="Q54" s="223" t="s">
        <v>76</v>
      </c>
      <c r="R54" s="207"/>
      <c r="S54" s="205" t="s">
        <v>265</v>
      </c>
      <c r="T54" s="228">
        <v>104621115</v>
      </c>
      <c r="U54" s="232" t="s">
        <v>269</v>
      </c>
    </row>
    <row r="55" spans="1:21" ht="32.25" customHeight="1">
      <c r="A55">
        <v>50</v>
      </c>
      <c r="B55" s="219">
        <v>45381</v>
      </c>
      <c r="C55" s="205" t="s">
        <v>78</v>
      </c>
      <c r="D55" s="205" t="s">
        <v>271</v>
      </c>
      <c r="E55" s="204">
        <v>111000059</v>
      </c>
      <c r="F55" s="205" t="s">
        <v>272</v>
      </c>
      <c r="G55" s="205" t="s">
        <v>273</v>
      </c>
      <c r="H55" s="204" t="s">
        <v>42</v>
      </c>
      <c r="I55" s="223" t="s">
        <v>76</v>
      </c>
      <c r="J55" s="223" t="s">
        <v>77</v>
      </c>
      <c r="K55" s="227">
        <v>45546</v>
      </c>
      <c r="L55" s="233" t="s">
        <v>274</v>
      </c>
      <c r="M55" s="233" t="s">
        <v>258</v>
      </c>
      <c r="N55" s="205">
        <v>984361859</v>
      </c>
      <c r="O55" s="206">
        <v>20</v>
      </c>
      <c r="P55" s="223" t="s">
        <v>22</v>
      </c>
      <c r="Q55" s="223" t="s">
        <v>76</v>
      </c>
      <c r="R55" s="207"/>
      <c r="S55" s="205" t="s">
        <v>271</v>
      </c>
      <c r="T55" s="228">
        <v>190380475</v>
      </c>
      <c r="U55" s="232" t="s">
        <v>275</v>
      </c>
    </row>
    <row r="56" spans="1:21" ht="32.25" customHeight="1">
      <c r="A56">
        <v>51</v>
      </c>
      <c r="B56" s="219">
        <v>45381</v>
      </c>
      <c r="C56" s="205" t="s">
        <v>78</v>
      </c>
      <c r="D56" s="205" t="s">
        <v>271</v>
      </c>
      <c r="E56" s="204">
        <v>11203009</v>
      </c>
      <c r="F56" s="205" t="s">
        <v>276</v>
      </c>
      <c r="G56" s="205" t="s">
        <v>273</v>
      </c>
      <c r="H56" s="204" t="s">
        <v>42</v>
      </c>
      <c r="I56" s="223" t="s">
        <v>76</v>
      </c>
      <c r="J56" s="223" t="s">
        <v>77</v>
      </c>
      <c r="K56" s="227">
        <v>45546</v>
      </c>
      <c r="L56" s="233" t="s">
        <v>274</v>
      </c>
      <c r="M56" s="233" t="s">
        <v>258</v>
      </c>
      <c r="N56" s="205">
        <v>984361859</v>
      </c>
      <c r="O56" s="206">
        <v>20</v>
      </c>
      <c r="P56" s="223" t="s">
        <v>22</v>
      </c>
      <c r="Q56" s="223" t="s">
        <v>76</v>
      </c>
      <c r="R56" s="207"/>
      <c r="S56" s="205" t="s">
        <v>271</v>
      </c>
      <c r="T56" s="228">
        <v>190380475</v>
      </c>
      <c r="U56" s="232" t="s">
        <v>275</v>
      </c>
    </row>
    <row r="57" spans="1:21" ht="32.25" customHeight="1">
      <c r="A57">
        <v>52</v>
      </c>
      <c r="B57" s="219">
        <v>44257</v>
      </c>
      <c r="C57" s="205" t="s">
        <v>96</v>
      </c>
      <c r="D57" s="205" t="s">
        <v>322</v>
      </c>
      <c r="E57" s="204">
        <v>41560166</v>
      </c>
      <c r="F57" s="205" t="s">
        <v>323</v>
      </c>
      <c r="G57" s="205" t="s">
        <v>324</v>
      </c>
      <c r="H57" s="204" t="s">
        <v>42</v>
      </c>
      <c r="I57" s="223" t="s">
        <v>76</v>
      </c>
      <c r="J57" s="223" t="s">
        <v>77</v>
      </c>
      <c r="K57" s="227">
        <v>45547</v>
      </c>
      <c r="L57" s="233" t="s">
        <v>325</v>
      </c>
      <c r="M57" s="233" t="s">
        <v>116</v>
      </c>
      <c r="N57" s="205">
        <v>993414174</v>
      </c>
      <c r="O57" s="206">
        <v>15</v>
      </c>
      <c r="P57" s="223" t="s">
        <v>22</v>
      </c>
      <c r="Q57" s="223" t="s">
        <v>76</v>
      </c>
      <c r="R57" s="207"/>
      <c r="S57" s="205" t="s">
        <v>322</v>
      </c>
      <c r="T57" s="228">
        <v>105322812</v>
      </c>
      <c r="U57" s="232"/>
    </row>
    <row r="58" spans="1:21" ht="32.25" customHeight="1">
      <c r="A58">
        <v>53</v>
      </c>
      <c r="B58" s="219">
        <v>44257</v>
      </c>
      <c r="C58" s="205" t="s">
        <v>96</v>
      </c>
      <c r="D58" s="205" t="s">
        <v>322</v>
      </c>
      <c r="E58" s="204">
        <v>40584401</v>
      </c>
      <c r="F58" s="205" t="s">
        <v>326</v>
      </c>
      <c r="G58" s="205" t="s">
        <v>327</v>
      </c>
      <c r="H58" s="204" t="s">
        <v>42</v>
      </c>
      <c r="I58" s="223" t="s">
        <v>76</v>
      </c>
      <c r="J58" s="223" t="s">
        <v>77</v>
      </c>
      <c r="K58" s="227">
        <v>45547</v>
      </c>
      <c r="L58" s="233" t="s">
        <v>325</v>
      </c>
      <c r="M58" s="233" t="s">
        <v>116</v>
      </c>
      <c r="N58" s="205">
        <v>993414174</v>
      </c>
      <c r="O58" s="206">
        <v>15</v>
      </c>
      <c r="P58" s="223" t="s">
        <v>22</v>
      </c>
      <c r="Q58" s="223" t="s">
        <v>76</v>
      </c>
      <c r="R58" s="207"/>
      <c r="S58" s="205" t="s">
        <v>322</v>
      </c>
      <c r="T58" s="228">
        <v>105322812</v>
      </c>
      <c r="U58" s="232"/>
    </row>
    <row r="59" spans="1:21" ht="32.25" customHeight="1">
      <c r="A59">
        <v>54</v>
      </c>
      <c r="B59" s="219">
        <v>44257</v>
      </c>
      <c r="C59" s="205" t="s">
        <v>96</v>
      </c>
      <c r="D59" s="205" t="s">
        <v>322</v>
      </c>
      <c r="E59" s="204">
        <v>40782128</v>
      </c>
      <c r="F59" s="205" t="s">
        <v>328</v>
      </c>
      <c r="G59" s="205" t="s">
        <v>329</v>
      </c>
      <c r="H59" s="204" t="s">
        <v>42</v>
      </c>
      <c r="I59" s="223" t="s">
        <v>76</v>
      </c>
      <c r="J59" s="223" t="s">
        <v>77</v>
      </c>
      <c r="K59" s="227">
        <v>45547</v>
      </c>
      <c r="L59" s="233" t="s">
        <v>325</v>
      </c>
      <c r="M59" s="233" t="s">
        <v>116</v>
      </c>
      <c r="N59" s="205">
        <v>993414174</v>
      </c>
      <c r="O59" s="206">
        <v>15</v>
      </c>
      <c r="P59" s="223" t="s">
        <v>22</v>
      </c>
      <c r="Q59" s="223" t="s">
        <v>76</v>
      </c>
      <c r="R59" s="207"/>
      <c r="S59" s="205" t="s">
        <v>322</v>
      </c>
      <c r="T59" s="228">
        <v>105322812</v>
      </c>
      <c r="U59" s="232"/>
    </row>
    <row r="60" spans="1:21" ht="32.25" customHeight="1">
      <c r="A60">
        <v>55</v>
      </c>
      <c r="B60" s="219">
        <v>45482</v>
      </c>
      <c r="C60" s="205" t="s">
        <v>78</v>
      </c>
      <c r="D60" s="205" t="s">
        <v>330</v>
      </c>
      <c r="E60" s="204">
        <v>40211632</v>
      </c>
      <c r="F60" s="205" t="s">
        <v>331</v>
      </c>
      <c r="G60" s="205" t="s">
        <v>332</v>
      </c>
      <c r="H60" s="204" t="s">
        <v>42</v>
      </c>
      <c r="I60" s="223" t="s">
        <v>76</v>
      </c>
      <c r="J60" s="223" t="s">
        <v>77</v>
      </c>
      <c r="K60" s="227">
        <v>45547</v>
      </c>
      <c r="L60" s="233" t="s">
        <v>335</v>
      </c>
      <c r="M60" s="233" t="s">
        <v>333</v>
      </c>
      <c r="N60" s="205">
        <v>995408829</v>
      </c>
      <c r="O60" s="206">
        <v>20</v>
      </c>
      <c r="P60" s="223" t="s">
        <v>22</v>
      </c>
      <c r="Q60" s="223" t="s">
        <v>76</v>
      </c>
      <c r="R60" s="207"/>
      <c r="S60" s="205" t="s">
        <v>330</v>
      </c>
      <c r="T60" s="228">
        <v>1706742945</v>
      </c>
      <c r="U60" s="232" t="s">
        <v>334</v>
      </c>
    </row>
    <row r="61" spans="1:21" ht="32.25" customHeight="1">
      <c r="A61">
        <v>56</v>
      </c>
      <c r="B61" s="219">
        <v>45482</v>
      </c>
      <c r="C61" s="205" t="s">
        <v>78</v>
      </c>
      <c r="D61" s="205" t="s">
        <v>330</v>
      </c>
      <c r="E61" s="204">
        <v>111000051</v>
      </c>
      <c r="F61" s="205" t="s">
        <v>112</v>
      </c>
      <c r="G61" s="205" t="s">
        <v>336</v>
      </c>
      <c r="H61" s="204" t="s">
        <v>42</v>
      </c>
      <c r="I61" s="223" t="s">
        <v>76</v>
      </c>
      <c r="J61" s="223" t="s">
        <v>77</v>
      </c>
      <c r="K61" s="227">
        <v>45547</v>
      </c>
      <c r="L61" s="233" t="s">
        <v>335</v>
      </c>
      <c r="M61" s="233" t="s">
        <v>333</v>
      </c>
      <c r="N61" s="205">
        <v>995408829</v>
      </c>
      <c r="O61" s="206">
        <v>20</v>
      </c>
      <c r="P61" s="223" t="s">
        <v>22</v>
      </c>
      <c r="Q61" s="223" t="s">
        <v>76</v>
      </c>
      <c r="R61" s="207"/>
      <c r="S61" s="205" t="s">
        <v>330</v>
      </c>
      <c r="T61" s="228">
        <v>1706742945</v>
      </c>
      <c r="U61" s="232" t="s">
        <v>334</v>
      </c>
    </row>
    <row r="62" spans="1:21" ht="32.25" customHeight="1">
      <c r="A62">
        <v>57</v>
      </c>
      <c r="B62" s="219">
        <v>45381</v>
      </c>
      <c r="C62" s="205" t="s">
        <v>212</v>
      </c>
      <c r="D62" s="205" t="s">
        <v>342</v>
      </c>
      <c r="E62" s="204">
        <v>112500047</v>
      </c>
      <c r="F62" s="205" t="s">
        <v>343</v>
      </c>
      <c r="G62" s="205" t="s">
        <v>344</v>
      </c>
      <c r="H62" s="204">
        <v>421106</v>
      </c>
      <c r="I62" s="223" t="s">
        <v>76</v>
      </c>
      <c r="J62" s="223" t="s">
        <v>77</v>
      </c>
      <c r="K62" s="227">
        <v>45548</v>
      </c>
      <c r="L62" s="233" t="s">
        <v>345</v>
      </c>
      <c r="M62" s="233" t="s">
        <v>154</v>
      </c>
      <c r="N62" s="205">
        <v>980913525</v>
      </c>
      <c r="O62" s="206">
        <v>15</v>
      </c>
      <c r="P62" s="223" t="s">
        <v>22</v>
      </c>
      <c r="Q62" s="223" t="s">
        <v>76</v>
      </c>
      <c r="R62" s="207"/>
      <c r="S62" s="205" t="s">
        <v>342</v>
      </c>
      <c r="T62" s="228">
        <v>103318341</v>
      </c>
      <c r="U62" s="232"/>
    </row>
    <row r="63" spans="1:21" ht="32.25" customHeight="1">
      <c r="A63">
        <v>58</v>
      </c>
      <c r="B63" s="219">
        <v>45381</v>
      </c>
      <c r="C63" s="205" t="s">
        <v>212</v>
      </c>
      <c r="D63" s="205" t="s">
        <v>342</v>
      </c>
      <c r="E63" s="204">
        <v>111000051</v>
      </c>
      <c r="F63" s="205" t="s">
        <v>112</v>
      </c>
      <c r="G63" s="205" t="s">
        <v>346</v>
      </c>
      <c r="H63" s="204">
        <v>422621</v>
      </c>
      <c r="I63" s="223" t="s">
        <v>76</v>
      </c>
      <c r="J63" s="223" t="s">
        <v>77</v>
      </c>
      <c r="K63" s="227">
        <v>45548</v>
      </c>
      <c r="L63" s="233" t="s">
        <v>345</v>
      </c>
      <c r="M63" s="233" t="s">
        <v>154</v>
      </c>
      <c r="N63" s="205">
        <v>980913525</v>
      </c>
      <c r="O63" s="206">
        <v>15</v>
      </c>
      <c r="P63" s="223" t="s">
        <v>22</v>
      </c>
      <c r="Q63" s="223" t="s">
        <v>76</v>
      </c>
      <c r="R63" s="207"/>
      <c r="S63" s="205" t="s">
        <v>342</v>
      </c>
      <c r="T63" s="228">
        <v>103318341</v>
      </c>
      <c r="U63" s="232"/>
    </row>
    <row r="64" spans="1:21" ht="32.25" customHeight="1">
      <c r="A64">
        <v>59</v>
      </c>
      <c r="B64" s="219">
        <v>45381</v>
      </c>
      <c r="C64" s="205" t="s">
        <v>212</v>
      </c>
      <c r="D64" s="205" t="s">
        <v>342</v>
      </c>
      <c r="E64" s="204">
        <v>40584202</v>
      </c>
      <c r="F64" s="205" t="s">
        <v>347</v>
      </c>
      <c r="G64" s="205" t="s">
        <v>348</v>
      </c>
      <c r="H64" s="204" t="s">
        <v>42</v>
      </c>
      <c r="I64" s="223" t="s">
        <v>76</v>
      </c>
      <c r="J64" s="223" t="s">
        <v>77</v>
      </c>
      <c r="K64" s="227">
        <v>45548</v>
      </c>
      <c r="L64" s="233" t="s">
        <v>345</v>
      </c>
      <c r="M64" s="233" t="s">
        <v>154</v>
      </c>
      <c r="N64" s="205">
        <v>980913525</v>
      </c>
      <c r="O64" s="206">
        <v>15</v>
      </c>
      <c r="P64" s="223" t="s">
        <v>22</v>
      </c>
      <c r="Q64" s="223" t="s">
        <v>76</v>
      </c>
      <c r="R64" s="207"/>
      <c r="S64" s="205" t="s">
        <v>342</v>
      </c>
      <c r="T64" s="228">
        <v>103318341</v>
      </c>
      <c r="U64" s="232"/>
    </row>
    <row r="65" spans="1:21" ht="32.25" customHeight="1">
      <c r="A65">
        <v>60</v>
      </c>
      <c r="B65" s="219">
        <v>45419</v>
      </c>
      <c r="C65" s="205" t="s">
        <v>150</v>
      </c>
      <c r="D65" s="205" t="s">
        <v>349</v>
      </c>
      <c r="E65" s="204">
        <v>111010028</v>
      </c>
      <c r="F65" s="205" t="s">
        <v>214</v>
      </c>
      <c r="G65" s="205" t="s">
        <v>350</v>
      </c>
      <c r="H65" s="204" t="s">
        <v>42</v>
      </c>
      <c r="I65" s="223" t="s">
        <v>76</v>
      </c>
      <c r="J65" s="223" t="s">
        <v>77</v>
      </c>
      <c r="K65" s="227">
        <v>45548</v>
      </c>
      <c r="L65" s="233" t="s">
        <v>351</v>
      </c>
      <c r="M65" s="233" t="s">
        <v>281</v>
      </c>
      <c r="N65" s="205">
        <v>984763975</v>
      </c>
      <c r="O65" s="206">
        <v>20</v>
      </c>
      <c r="P65" s="223" t="s">
        <v>22</v>
      </c>
      <c r="Q65" s="223" t="s">
        <v>76</v>
      </c>
      <c r="R65" s="207"/>
      <c r="S65" s="205" t="s">
        <v>349</v>
      </c>
      <c r="T65" s="228">
        <v>103789335</v>
      </c>
      <c r="U65" s="232" t="s">
        <v>352</v>
      </c>
    </row>
    <row r="66" spans="1:21" ht="32.25" customHeight="1">
      <c r="A66">
        <v>61</v>
      </c>
      <c r="B66" s="219">
        <v>45419</v>
      </c>
      <c r="C66" s="205" t="s">
        <v>150</v>
      </c>
      <c r="D66" s="205" t="s">
        <v>349</v>
      </c>
      <c r="E66" s="204">
        <v>40584012</v>
      </c>
      <c r="F66" s="205" t="s">
        <v>196</v>
      </c>
      <c r="G66" s="205" t="s">
        <v>353</v>
      </c>
      <c r="H66" s="204" t="s">
        <v>42</v>
      </c>
      <c r="I66" s="223" t="s">
        <v>76</v>
      </c>
      <c r="J66" s="223" t="s">
        <v>77</v>
      </c>
      <c r="K66" s="227">
        <v>45548</v>
      </c>
      <c r="L66" s="233" t="s">
        <v>351</v>
      </c>
      <c r="M66" s="233" t="s">
        <v>281</v>
      </c>
      <c r="N66" s="205">
        <v>984763975</v>
      </c>
      <c r="O66" s="206">
        <v>20</v>
      </c>
      <c r="P66" s="223" t="s">
        <v>22</v>
      </c>
      <c r="Q66" s="223" t="s">
        <v>76</v>
      </c>
      <c r="R66" s="207"/>
      <c r="S66" s="205" t="s">
        <v>349</v>
      </c>
      <c r="T66" s="228">
        <v>103789335</v>
      </c>
      <c r="U66" s="232" t="s">
        <v>352</v>
      </c>
    </row>
    <row r="67" spans="1:21" ht="32.25" customHeight="1">
      <c r="A67">
        <v>62</v>
      </c>
      <c r="B67" s="219">
        <v>45546</v>
      </c>
      <c r="C67" s="205" t="s">
        <v>78</v>
      </c>
      <c r="D67" s="205" t="s">
        <v>354</v>
      </c>
      <c r="E67" s="204">
        <v>112580027</v>
      </c>
      <c r="F67" s="205" t="s">
        <v>200</v>
      </c>
      <c r="G67" s="205" t="s">
        <v>355</v>
      </c>
      <c r="H67" s="204" t="s">
        <v>42</v>
      </c>
      <c r="I67" s="223" t="s">
        <v>76</v>
      </c>
      <c r="J67" s="223" t="s">
        <v>77</v>
      </c>
      <c r="K67" s="227">
        <v>45548</v>
      </c>
      <c r="L67" s="233" t="s">
        <v>356</v>
      </c>
      <c r="M67" s="233" t="s">
        <v>357</v>
      </c>
      <c r="N67" s="205">
        <v>991801457</v>
      </c>
      <c r="O67" s="206">
        <v>20</v>
      </c>
      <c r="P67" s="223" t="s">
        <v>22</v>
      </c>
      <c r="Q67" s="223" t="s">
        <v>76</v>
      </c>
      <c r="R67" s="207"/>
      <c r="S67" s="205" t="s">
        <v>354</v>
      </c>
      <c r="T67" s="228">
        <v>2300078744</v>
      </c>
      <c r="U67" s="232" t="s">
        <v>358</v>
      </c>
    </row>
    <row r="68" spans="1:21" ht="32.25" customHeight="1">
      <c r="A68">
        <v>63</v>
      </c>
      <c r="B68" s="219">
        <v>45546</v>
      </c>
      <c r="C68" s="205" t="s">
        <v>78</v>
      </c>
      <c r="D68" s="205" t="s">
        <v>354</v>
      </c>
      <c r="E68" s="204">
        <v>112580027</v>
      </c>
      <c r="F68" s="205" t="s">
        <v>200</v>
      </c>
      <c r="G68" s="205" t="s">
        <v>355</v>
      </c>
      <c r="H68" s="204" t="s">
        <v>42</v>
      </c>
      <c r="I68" s="223" t="s">
        <v>76</v>
      </c>
      <c r="J68" s="223" t="s">
        <v>77</v>
      </c>
      <c r="K68" s="227">
        <v>45548</v>
      </c>
      <c r="L68" s="233" t="s">
        <v>356</v>
      </c>
      <c r="M68" s="233" t="s">
        <v>357</v>
      </c>
      <c r="N68" s="205">
        <v>991801457</v>
      </c>
      <c r="O68" s="206">
        <v>20</v>
      </c>
      <c r="P68" s="223" t="s">
        <v>22</v>
      </c>
      <c r="Q68" s="223" t="s">
        <v>76</v>
      </c>
      <c r="R68" s="207"/>
      <c r="S68" s="205" t="s">
        <v>354</v>
      </c>
      <c r="T68" s="228">
        <v>2300078744</v>
      </c>
      <c r="U68" s="232" t="s">
        <v>358</v>
      </c>
    </row>
    <row r="69" spans="1:21" ht="32.25" customHeight="1">
      <c r="A69">
        <v>64</v>
      </c>
      <c r="B69" s="219">
        <v>45435</v>
      </c>
      <c r="C69" s="205" t="s">
        <v>78</v>
      </c>
      <c r="D69" s="205" t="s">
        <v>498</v>
      </c>
      <c r="E69" s="204">
        <v>40460111</v>
      </c>
      <c r="F69" s="205" t="s">
        <v>106</v>
      </c>
      <c r="G69" s="205" t="s">
        <v>359</v>
      </c>
      <c r="H69" s="204" t="s">
        <v>42</v>
      </c>
      <c r="I69" s="223" t="s">
        <v>76</v>
      </c>
      <c r="J69" s="223" t="s">
        <v>77</v>
      </c>
      <c r="K69" s="227">
        <v>45548</v>
      </c>
      <c r="L69" s="233" t="s">
        <v>360</v>
      </c>
      <c r="M69" s="233" t="s">
        <v>361</v>
      </c>
      <c r="N69" s="205">
        <v>2836362</v>
      </c>
      <c r="O69" s="206">
        <v>20</v>
      </c>
      <c r="P69" s="223" t="s">
        <v>22</v>
      </c>
      <c r="Q69" s="223" t="s">
        <v>76</v>
      </c>
      <c r="R69" s="207"/>
      <c r="S69" s="205" t="s">
        <v>498</v>
      </c>
      <c r="T69" s="228">
        <v>101096519</v>
      </c>
      <c r="U69" s="232" t="s">
        <v>362</v>
      </c>
    </row>
    <row r="70" spans="1:21" ht="32.25" customHeight="1">
      <c r="A70">
        <v>65</v>
      </c>
      <c r="B70" s="219">
        <v>45435</v>
      </c>
      <c r="C70" s="205" t="s">
        <v>78</v>
      </c>
      <c r="D70" s="205" t="s">
        <v>498</v>
      </c>
      <c r="E70" s="204">
        <v>112500046</v>
      </c>
      <c r="F70" s="205" t="s">
        <v>499</v>
      </c>
      <c r="G70" s="205" t="s">
        <v>500</v>
      </c>
      <c r="H70" s="204">
        <v>584879</v>
      </c>
      <c r="I70" s="223" t="s">
        <v>76</v>
      </c>
      <c r="J70" s="223" t="s">
        <v>77</v>
      </c>
      <c r="K70" s="227">
        <v>45548</v>
      </c>
      <c r="L70" s="233" t="s">
        <v>360</v>
      </c>
      <c r="M70" s="233" t="s">
        <v>361</v>
      </c>
      <c r="N70" s="205">
        <v>2836362</v>
      </c>
      <c r="O70" s="206">
        <v>20</v>
      </c>
      <c r="P70" s="223" t="s">
        <v>22</v>
      </c>
      <c r="Q70" s="223" t="s">
        <v>76</v>
      </c>
      <c r="R70" s="207"/>
      <c r="S70" s="205" t="s">
        <v>498</v>
      </c>
      <c r="T70" s="228">
        <v>101096519</v>
      </c>
      <c r="U70" s="232" t="s">
        <v>362</v>
      </c>
    </row>
    <row r="71" spans="1:21" ht="32.25" customHeight="1">
      <c r="A71">
        <v>66</v>
      </c>
      <c r="B71" s="219">
        <v>45304</v>
      </c>
      <c r="C71" s="205" t="s">
        <v>150</v>
      </c>
      <c r="D71" s="205" t="s">
        <v>501</v>
      </c>
      <c r="E71" s="204">
        <v>111000051</v>
      </c>
      <c r="F71" s="205" t="s">
        <v>112</v>
      </c>
      <c r="G71" s="205" t="s">
        <v>502</v>
      </c>
      <c r="H71" s="204" t="s">
        <v>42</v>
      </c>
      <c r="I71" s="223" t="s">
        <v>76</v>
      </c>
      <c r="J71" s="223" t="s">
        <v>77</v>
      </c>
      <c r="K71" s="227">
        <v>47374</v>
      </c>
      <c r="L71" s="233" t="s">
        <v>364</v>
      </c>
      <c r="M71" s="233" t="s">
        <v>365</v>
      </c>
      <c r="N71" s="205">
        <v>939083684</v>
      </c>
      <c r="O71" s="206">
        <v>20</v>
      </c>
      <c r="P71" s="223" t="s">
        <v>22</v>
      </c>
      <c r="Q71" s="223" t="s">
        <v>76</v>
      </c>
      <c r="R71" s="207"/>
      <c r="S71" s="205" t="s">
        <v>501</v>
      </c>
      <c r="T71" s="228">
        <v>104640966</v>
      </c>
      <c r="U71" s="232" t="s">
        <v>366</v>
      </c>
    </row>
    <row r="72" spans="1:21" ht="32.25" customHeight="1">
      <c r="A72">
        <v>67</v>
      </c>
      <c r="B72" s="219">
        <v>45304</v>
      </c>
      <c r="C72" s="205" t="s">
        <v>150</v>
      </c>
      <c r="D72" s="205" t="s">
        <v>501</v>
      </c>
      <c r="E72" s="204">
        <v>40584202</v>
      </c>
      <c r="F72" s="205" t="s">
        <v>284</v>
      </c>
      <c r="G72" s="205" t="s">
        <v>363</v>
      </c>
      <c r="H72" s="204" t="s">
        <v>42</v>
      </c>
      <c r="I72" s="223" t="s">
        <v>76</v>
      </c>
      <c r="J72" s="223" t="s">
        <v>77</v>
      </c>
      <c r="K72" s="227">
        <v>47374</v>
      </c>
      <c r="L72" s="233" t="s">
        <v>364</v>
      </c>
      <c r="M72" s="233" t="s">
        <v>365</v>
      </c>
      <c r="N72" s="205">
        <v>939083684</v>
      </c>
      <c r="O72" s="206">
        <v>20</v>
      </c>
      <c r="P72" s="223" t="s">
        <v>22</v>
      </c>
      <c r="Q72" s="223" t="s">
        <v>76</v>
      </c>
      <c r="R72" s="207"/>
      <c r="S72" s="205" t="s">
        <v>501</v>
      </c>
      <c r="T72" s="228">
        <v>104640966</v>
      </c>
      <c r="U72" s="232" t="s">
        <v>366</v>
      </c>
    </row>
    <row r="73" spans="1:21" ht="32.25" customHeight="1">
      <c r="A73">
        <v>68</v>
      </c>
      <c r="B73" s="219">
        <v>45435</v>
      </c>
      <c r="C73" s="205" t="s">
        <v>78</v>
      </c>
      <c r="D73" s="205" t="s">
        <v>498</v>
      </c>
      <c r="E73" s="204">
        <v>40584202</v>
      </c>
      <c r="F73" s="205" t="s">
        <v>504</v>
      </c>
      <c r="G73" s="205" t="s">
        <v>505</v>
      </c>
      <c r="H73" s="204" t="s">
        <v>42</v>
      </c>
      <c r="I73" s="223" t="s">
        <v>76</v>
      </c>
      <c r="J73" s="223" t="s">
        <v>77</v>
      </c>
      <c r="K73" s="227">
        <v>45548</v>
      </c>
      <c r="L73" s="233" t="s">
        <v>503</v>
      </c>
      <c r="M73" s="233" t="s">
        <v>361</v>
      </c>
      <c r="N73" s="205">
        <v>2836362</v>
      </c>
      <c r="O73" s="206">
        <v>20</v>
      </c>
      <c r="P73" s="223" t="s">
        <v>22</v>
      </c>
      <c r="Q73" s="223" t="s">
        <v>76</v>
      </c>
      <c r="R73" s="207"/>
      <c r="S73" s="205" t="s">
        <v>498</v>
      </c>
      <c r="T73" s="228">
        <v>101096519</v>
      </c>
      <c r="U73" s="232" t="s">
        <v>362</v>
      </c>
    </row>
    <row r="74" spans="1:21" ht="32.25" customHeight="1">
      <c r="A74">
        <v>69</v>
      </c>
      <c r="B74" s="219">
        <v>45435</v>
      </c>
      <c r="C74" s="205" t="s">
        <v>78</v>
      </c>
      <c r="D74" s="205" t="s">
        <v>498</v>
      </c>
      <c r="E74" s="204">
        <v>111000051</v>
      </c>
      <c r="F74" s="205" t="s">
        <v>112</v>
      </c>
      <c r="G74" s="205" t="s">
        <v>506</v>
      </c>
      <c r="H74" s="204">
        <v>419094</v>
      </c>
      <c r="I74" s="223" t="s">
        <v>76</v>
      </c>
      <c r="J74" s="223" t="s">
        <v>77</v>
      </c>
      <c r="K74" s="227">
        <v>45548</v>
      </c>
      <c r="L74" s="233" t="s">
        <v>503</v>
      </c>
      <c r="M74" s="233" t="s">
        <v>361</v>
      </c>
      <c r="N74" s="205">
        <v>2836362</v>
      </c>
      <c r="O74" s="206">
        <v>20</v>
      </c>
      <c r="P74" s="223" t="s">
        <v>22</v>
      </c>
      <c r="Q74" s="223" t="s">
        <v>76</v>
      </c>
      <c r="R74" s="207"/>
      <c r="S74" s="205" t="s">
        <v>498</v>
      </c>
      <c r="T74" s="228">
        <v>101096519</v>
      </c>
      <c r="U74" s="232" t="s">
        <v>362</v>
      </c>
    </row>
    <row r="75" spans="1:21" ht="32.25" customHeight="1">
      <c r="A75">
        <v>70</v>
      </c>
      <c r="B75" s="219">
        <v>45199</v>
      </c>
      <c r="C75" s="205" t="s">
        <v>212</v>
      </c>
      <c r="D75" s="205" t="s">
        <v>507</v>
      </c>
      <c r="E75" s="204">
        <v>114270004</v>
      </c>
      <c r="F75" s="205" t="s">
        <v>220</v>
      </c>
      <c r="G75" s="205" t="s">
        <v>508</v>
      </c>
      <c r="H75" s="204" t="s">
        <v>42</v>
      </c>
      <c r="I75" s="223" t="s">
        <v>76</v>
      </c>
      <c r="J75" s="223" t="s">
        <v>77</v>
      </c>
      <c r="K75" s="227">
        <v>45553</v>
      </c>
      <c r="L75" s="233" t="s">
        <v>509</v>
      </c>
      <c r="M75" s="233" t="s">
        <v>510</v>
      </c>
      <c r="N75" s="205">
        <v>984170726</v>
      </c>
      <c r="O75" s="206">
        <v>15</v>
      </c>
      <c r="P75" s="223" t="s">
        <v>22</v>
      </c>
      <c r="Q75" s="223" t="s">
        <v>76</v>
      </c>
      <c r="R75" s="207"/>
      <c r="S75" s="205" t="s">
        <v>507</v>
      </c>
      <c r="T75" s="228">
        <v>102497807</v>
      </c>
      <c r="U75" s="232" t="s">
        <v>511</v>
      </c>
    </row>
    <row r="76" spans="1:21" ht="32.25" customHeight="1">
      <c r="A76">
        <v>71</v>
      </c>
      <c r="B76" s="219">
        <v>45199</v>
      </c>
      <c r="C76" s="205" t="s">
        <v>212</v>
      </c>
      <c r="D76" s="205" t="s">
        <v>507</v>
      </c>
      <c r="E76" s="204">
        <v>40584202</v>
      </c>
      <c r="F76" s="205" t="s">
        <v>284</v>
      </c>
      <c r="G76" s="205" t="s">
        <v>512</v>
      </c>
      <c r="H76" s="204" t="s">
        <v>42</v>
      </c>
      <c r="I76" s="223" t="s">
        <v>76</v>
      </c>
      <c r="J76" s="223" t="s">
        <v>77</v>
      </c>
      <c r="K76" s="227">
        <v>45553</v>
      </c>
      <c r="L76" s="233" t="s">
        <v>509</v>
      </c>
      <c r="M76" s="233" t="s">
        <v>510</v>
      </c>
      <c r="N76" s="205">
        <v>984170726</v>
      </c>
      <c r="O76" s="206">
        <v>15</v>
      </c>
      <c r="P76" s="223" t="s">
        <v>22</v>
      </c>
      <c r="Q76" s="223" t="s">
        <v>76</v>
      </c>
      <c r="R76" s="207"/>
      <c r="S76" s="205" t="s">
        <v>507</v>
      </c>
      <c r="T76" s="228">
        <v>102497807</v>
      </c>
      <c r="U76" s="232" t="s">
        <v>511</v>
      </c>
    </row>
    <row r="77" spans="1:21" ht="32.25" customHeight="1">
      <c r="A77">
        <v>72</v>
      </c>
      <c r="B77" s="219">
        <v>45199</v>
      </c>
      <c r="C77" s="205" t="s">
        <v>212</v>
      </c>
      <c r="D77" s="205" t="s">
        <v>513</v>
      </c>
      <c r="E77" s="204">
        <v>111000030</v>
      </c>
      <c r="F77" s="205" t="s">
        <v>142</v>
      </c>
      <c r="G77" s="205" t="s">
        <v>514</v>
      </c>
      <c r="H77" s="204" t="s">
        <v>42</v>
      </c>
      <c r="I77" s="223" t="s">
        <v>76</v>
      </c>
      <c r="J77" s="223" t="s">
        <v>77</v>
      </c>
      <c r="K77" s="227">
        <v>45553</v>
      </c>
      <c r="L77" s="233" t="s">
        <v>509</v>
      </c>
      <c r="M77" s="233" t="s">
        <v>510</v>
      </c>
      <c r="N77" s="205">
        <v>984170726</v>
      </c>
      <c r="O77" s="206">
        <v>15</v>
      </c>
      <c r="P77" s="223" t="s">
        <v>22</v>
      </c>
      <c r="Q77" s="223" t="s">
        <v>76</v>
      </c>
      <c r="R77" s="207"/>
      <c r="S77" s="205" t="s">
        <v>513</v>
      </c>
      <c r="T77" s="228">
        <v>102497807</v>
      </c>
      <c r="U77" s="232" t="s">
        <v>511</v>
      </c>
    </row>
    <row r="78" spans="1:21" ht="32.25" customHeight="1">
      <c r="A78">
        <v>73</v>
      </c>
      <c r="B78" s="219">
        <v>45199</v>
      </c>
      <c r="C78" s="205" t="s">
        <v>212</v>
      </c>
      <c r="D78" s="205" t="s">
        <v>513</v>
      </c>
      <c r="E78" s="204">
        <v>41598031</v>
      </c>
      <c r="F78" s="205" t="s">
        <v>337</v>
      </c>
      <c r="G78" s="205" t="s">
        <v>515</v>
      </c>
      <c r="H78" s="204" t="s">
        <v>42</v>
      </c>
      <c r="I78" s="223" t="s">
        <v>76</v>
      </c>
      <c r="J78" s="223" t="s">
        <v>77</v>
      </c>
      <c r="K78" s="227">
        <v>45553</v>
      </c>
      <c r="L78" s="233" t="s">
        <v>509</v>
      </c>
      <c r="M78" s="233" t="s">
        <v>510</v>
      </c>
      <c r="N78" s="205">
        <v>984170726</v>
      </c>
      <c r="O78" s="206">
        <v>15</v>
      </c>
      <c r="P78" s="223" t="s">
        <v>22</v>
      </c>
      <c r="Q78" s="223" t="s">
        <v>76</v>
      </c>
      <c r="R78" s="207"/>
      <c r="S78" s="205" t="s">
        <v>513</v>
      </c>
      <c r="T78" s="228">
        <v>102497807</v>
      </c>
      <c r="U78" s="232" t="s">
        <v>511</v>
      </c>
    </row>
    <row r="79" spans="1:21" ht="32.25" customHeight="1">
      <c r="A79">
        <v>74</v>
      </c>
      <c r="B79" s="219">
        <v>45199</v>
      </c>
      <c r="C79" s="205" t="s">
        <v>212</v>
      </c>
      <c r="D79" s="205" t="s">
        <v>513</v>
      </c>
      <c r="E79" s="204">
        <v>113610005</v>
      </c>
      <c r="F79" s="205" t="s">
        <v>306</v>
      </c>
      <c r="G79" s="205" t="s">
        <v>516</v>
      </c>
      <c r="H79" s="204" t="s">
        <v>42</v>
      </c>
      <c r="I79" s="223" t="s">
        <v>76</v>
      </c>
      <c r="J79" s="223" t="s">
        <v>77</v>
      </c>
      <c r="K79" s="227">
        <v>45553</v>
      </c>
      <c r="L79" s="233" t="s">
        <v>509</v>
      </c>
      <c r="M79" s="233" t="s">
        <v>510</v>
      </c>
      <c r="N79" s="205">
        <v>984170726</v>
      </c>
      <c r="O79" s="206">
        <v>15</v>
      </c>
      <c r="P79" s="223" t="s">
        <v>22</v>
      </c>
      <c r="Q79" s="223" t="s">
        <v>76</v>
      </c>
      <c r="R79" s="207"/>
      <c r="S79" s="205" t="s">
        <v>513</v>
      </c>
      <c r="T79" s="228">
        <v>102497807</v>
      </c>
      <c r="U79" s="232" t="s">
        <v>511</v>
      </c>
    </row>
    <row r="80" spans="1:21" ht="32.25" customHeight="1">
      <c r="A80">
        <v>75</v>
      </c>
      <c r="B80" s="219">
        <v>45199</v>
      </c>
      <c r="C80" s="205" t="s">
        <v>212</v>
      </c>
      <c r="D80" s="205" t="s">
        <v>517</v>
      </c>
      <c r="E80" s="204">
        <v>112500048</v>
      </c>
      <c r="F80" s="205" t="s">
        <v>396</v>
      </c>
      <c r="G80" s="205" t="s">
        <v>518</v>
      </c>
      <c r="H80" s="204" t="s">
        <v>42</v>
      </c>
      <c r="I80" s="223" t="s">
        <v>76</v>
      </c>
      <c r="J80" s="223" t="s">
        <v>77</v>
      </c>
      <c r="K80" s="227">
        <v>45553</v>
      </c>
      <c r="L80" s="233" t="s">
        <v>509</v>
      </c>
      <c r="M80" s="233" t="s">
        <v>510</v>
      </c>
      <c r="N80" s="205">
        <v>984170726</v>
      </c>
      <c r="O80" s="206">
        <v>15</v>
      </c>
      <c r="P80" s="223" t="s">
        <v>22</v>
      </c>
      <c r="Q80" s="223" t="s">
        <v>76</v>
      </c>
      <c r="R80" s="207"/>
      <c r="S80" s="205" t="s">
        <v>517</v>
      </c>
      <c r="T80" s="228">
        <v>102497807</v>
      </c>
      <c r="U80" s="232" t="s">
        <v>511</v>
      </c>
    </row>
    <row r="81" spans="1:21" ht="32.25" customHeight="1">
      <c r="A81">
        <v>76</v>
      </c>
      <c r="B81" s="219">
        <v>45199</v>
      </c>
      <c r="C81" s="205" t="s">
        <v>212</v>
      </c>
      <c r="D81" s="205" t="s">
        <v>517</v>
      </c>
      <c r="E81" s="204">
        <v>40480321</v>
      </c>
      <c r="F81" s="205" t="s">
        <v>229</v>
      </c>
      <c r="G81" s="205" t="s">
        <v>519</v>
      </c>
      <c r="H81" s="204" t="s">
        <v>42</v>
      </c>
      <c r="I81" s="223" t="s">
        <v>76</v>
      </c>
      <c r="J81" s="223" t="s">
        <v>77</v>
      </c>
      <c r="K81" s="227">
        <v>45553</v>
      </c>
      <c r="L81" s="233" t="s">
        <v>509</v>
      </c>
      <c r="M81" s="233" t="s">
        <v>510</v>
      </c>
      <c r="N81" s="205">
        <v>984170726</v>
      </c>
      <c r="O81" s="206">
        <v>30</v>
      </c>
      <c r="P81" s="223" t="s">
        <v>22</v>
      </c>
      <c r="Q81" s="223" t="s">
        <v>76</v>
      </c>
      <c r="R81" s="207"/>
      <c r="S81" s="205" t="s">
        <v>517</v>
      </c>
      <c r="T81" s="228">
        <v>102497807</v>
      </c>
      <c r="U81" s="232" t="s">
        <v>511</v>
      </c>
    </row>
    <row r="82" spans="1:21" ht="32.25" customHeight="1">
      <c r="A82">
        <v>77</v>
      </c>
      <c r="B82" s="219">
        <v>45199</v>
      </c>
      <c r="C82" s="205" t="s">
        <v>212</v>
      </c>
      <c r="D82" s="205" t="s">
        <v>517</v>
      </c>
      <c r="E82" s="204">
        <v>113430016</v>
      </c>
      <c r="F82" s="205" t="s">
        <v>520</v>
      </c>
      <c r="G82" s="205" t="s">
        <v>508</v>
      </c>
      <c r="H82" s="204" t="s">
        <v>42</v>
      </c>
      <c r="I82" s="223" t="s">
        <v>76</v>
      </c>
      <c r="J82" s="223" t="s">
        <v>77</v>
      </c>
      <c r="K82" s="227">
        <v>45553</v>
      </c>
      <c r="L82" s="233" t="s">
        <v>509</v>
      </c>
      <c r="M82" s="233" t="s">
        <v>510</v>
      </c>
      <c r="N82" s="205">
        <v>984170726</v>
      </c>
      <c r="O82" s="206">
        <v>15</v>
      </c>
      <c r="P82" s="223" t="s">
        <v>22</v>
      </c>
      <c r="Q82" s="223" t="s">
        <v>76</v>
      </c>
      <c r="R82" s="207"/>
      <c r="S82" s="205" t="s">
        <v>517</v>
      </c>
      <c r="T82" s="228">
        <v>102497807</v>
      </c>
      <c r="U82" s="232" t="s">
        <v>511</v>
      </c>
    </row>
    <row r="83" spans="1:21" ht="32.25" customHeight="1">
      <c r="A83">
        <v>78</v>
      </c>
      <c r="B83" s="219">
        <v>45421</v>
      </c>
      <c r="C83" s="205" t="s">
        <v>78</v>
      </c>
      <c r="D83" s="205" t="s">
        <v>521</v>
      </c>
      <c r="E83" s="204">
        <v>40467320</v>
      </c>
      <c r="F83" s="205" t="s">
        <v>522</v>
      </c>
      <c r="G83" s="205" t="s">
        <v>523</v>
      </c>
      <c r="H83" s="204">
        <v>415691</v>
      </c>
      <c r="I83" s="223" t="s">
        <v>76</v>
      </c>
      <c r="J83" s="223" t="s">
        <v>77</v>
      </c>
      <c r="K83" s="227">
        <v>45553</v>
      </c>
      <c r="L83" s="233" t="s">
        <v>524</v>
      </c>
      <c r="M83" s="233" t="s">
        <v>525</v>
      </c>
      <c r="N83" s="205">
        <v>987397165</v>
      </c>
      <c r="O83" s="206">
        <v>15</v>
      </c>
      <c r="P83" s="223" t="s">
        <v>22</v>
      </c>
      <c r="Q83" s="223" t="s">
        <v>76</v>
      </c>
      <c r="R83" s="207"/>
      <c r="S83" s="205" t="s">
        <v>521</v>
      </c>
      <c r="T83" s="228">
        <v>101702348</v>
      </c>
      <c r="U83" s="232" t="s">
        <v>526</v>
      </c>
    </row>
    <row r="84" spans="1:21" ht="32.25" customHeight="1">
      <c r="A84">
        <v>79</v>
      </c>
      <c r="B84" s="219">
        <v>45421</v>
      </c>
      <c r="C84" s="205" t="s">
        <v>78</v>
      </c>
      <c r="D84" s="205" t="s">
        <v>521</v>
      </c>
      <c r="E84" s="204">
        <v>40782128</v>
      </c>
      <c r="F84" s="205" t="s">
        <v>328</v>
      </c>
      <c r="G84" s="205" t="s">
        <v>527</v>
      </c>
      <c r="H84" s="204" t="s">
        <v>42</v>
      </c>
      <c r="I84" s="223" t="s">
        <v>76</v>
      </c>
      <c r="J84" s="223" t="s">
        <v>77</v>
      </c>
      <c r="K84" s="227">
        <v>45553</v>
      </c>
      <c r="L84" s="233" t="s">
        <v>524</v>
      </c>
      <c r="M84" s="233" t="s">
        <v>525</v>
      </c>
      <c r="N84" s="205">
        <v>987397165</v>
      </c>
      <c r="O84" s="206">
        <v>15</v>
      </c>
      <c r="P84" s="223" t="s">
        <v>22</v>
      </c>
      <c r="Q84" s="223" t="s">
        <v>76</v>
      </c>
      <c r="R84" s="207"/>
      <c r="S84" s="205" t="s">
        <v>521</v>
      </c>
      <c r="T84" s="228">
        <v>101702348</v>
      </c>
      <c r="U84" s="232" t="s">
        <v>526</v>
      </c>
    </row>
    <row r="85" spans="1:21" ht="32.25" customHeight="1">
      <c r="A85">
        <v>80</v>
      </c>
      <c r="B85" s="219">
        <v>45421</v>
      </c>
      <c r="C85" s="205" t="s">
        <v>78</v>
      </c>
      <c r="D85" s="205" t="s">
        <v>521</v>
      </c>
      <c r="E85" s="204">
        <v>112610067</v>
      </c>
      <c r="F85" s="205" t="s">
        <v>219</v>
      </c>
      <c r="G85" s="205" t="s">
        <v>528</v>
      </c>
      <c r="H85" s="204" t="s">
        <v>42</v>
      </c>
      <c r="I85" s="223" t="s">
        <v>76</v>
      </c>
      <c r="J85" s="223" t="s">
        <v>77</v>
      </c>
      <c r="K85" s="227">
        <v>45553</v>
      </c>
      <c r="L85" s="233" t="s">
        <v>524</v>
      </c>
      <c r="M85" s="233" t="s">
        <v>525</v>
      </c>
      <c r="N85" s="205">
        <v>987397165</v>
      </c>
      <c r="O85" s="206">
        <v>15</v>
      </c>
      <c r="P85" s="223" t="s">
        <v>22</v>
      </c>
      <c r="Q85" s="223" t="s">
        <v>76</v>
      </c>
      <c r="R85" s="207"/>
      <c r="S85" s="205" t="s">
        <v>521</v>
      </c>
      <c r="T85" s="228">
        <v>101702348</v>
      </c>
      <c r="U85" s="232" t="s">
        <v>526</v>
      </c>
    </row>
    <row r="86" spans="1:21" ht="32.25" customHeight="1">
      <c r="A86">
        <v>81</v>
      </c>
      <c r="B86" s="219">
        <v>45520</v>
      </c>
      <c r="C86" s="205" t="s">
        <v>78</v>
      </c>
      <c r="D86" s="205" t="s">
        <v>550</v>
      </c>
      <c r="E86" s="204">
        <v>40461543</v>
      </c>
      <c r="F86" s="205" t="s">
        <v>551</v>
      </c>
      <c r="G86" s="205" t="s">
        <v>552</v>
      </c>
      <c r="H86" s="204" t="s">
        <v>42</v>
      </c>
      <c r="I86" s="223" t="s">
        <v>76</v>
      </c>
      <c r="J86" s="223" t="s">
        <v>77</v>
      </c>
      <c r="K86" s="227">
        <v>45551</v>
      </c>
      <c r="L86" s="233" t="s">
        <v>553</v>
      </c>
      <c r="M86" s="233" t="s">
        <v>554</v>
      </c>
      <c r="N86" s="205">
        <v>992526510</v>
      </c>
      <c r="O86" s="206">
        <v>20</v>
      </c>
      <c r="P86" s="223" t="s">
        <v>22</v>
      </c>
      <c r="Q86" s="223" t="s">
        <v>76</v>
      </c>
      <c r="R86" s="207"/>
      <c r="S86" s="205" t="s">
        <v>550</v>
      </c>
      <c r="T86" s="228">
        <v>105812762</v>
      </c>
      <c r="U86" s="232" t="s">
        <v>555</v>
      </c>
    </row>
    <row r="87" spans="1:21" ht="32.25" customHeight="1">
      <c r="A87">
        <v>82</v>
      </c>
      <c r="B87" s="219">
        <v>45520</v>
      </c>
      <c r="C87" s="205" t="s">
        <v>78</v>
      </c>
      <c r="D87" s="205" t="s">
        <v>550</v>
      </c>
      <c r="E87" s="204">
        <v>112610071</v>
      </c>
      <c r="F87" s="205" t="s">
        <v>556</v>
      </c>
      <c r="G87" s="205" t="s">
        <v>557</v>
      </c>
      <c r="H87" s="204" t="s">
        <v>42</v>
      </c>
      <c r="I87" s="223" t="s">
        <v>76</v>
      </c>
      <c r="J87" s="223" t="s">
        <v>77</v>
      </c>
      <c r="K87" s="227">
        <v>45551</v>
      </c>
      <c r="L87" s="233" t="s">
        <v>553</v>
      </c>
      <c r="M87" s="233" t="s">
        <v>554</v>
      </c>
      <c r="N87" s="205">
        <v>992526510</v>
      </c>
      <c r="O87" s="206">
        <v>20</v>
      </c>
      <c r="P87" s="223" t="s">
        <v>22</v>
      </c>
      <c r="Q87" s="223" t="s">
        <v>76</v>
      </c>
      <c r="R87" s="207"/>
      <c r="S87" s="205" t="s">
        <v>550</v>
      </c>
      <c r="T87" s="228">
        <v>105812762</v>
      </c>
      <c r="U87" s="232" t="s">
        <v>555</v>
      </c>
    </row>
    <row r="88" spans="1:21" ht="32.25" customHeight="1">
      <c r="A88">
        <v>83</v>
      </c>
      <c r="B88" s="219">
        <v>45553</v>
      </c>
      <c r="C88" s="205" t="s">
        <v>78</v>
      </c>
      <c r="D88" s="205" t="s">
        <v>558</v>
      </c>
      <c r="E88" s="204">
        <v>112520025</v>
      </c>
      <c r="F88" s="205" t="s">
        <v>374</v>
      </c>
      <c r="G88" s="205" t="s">
        <v>559</v>
      </c>
      <c r="H88" s="204" t="s">
        <v>42</v>
      </c>
      <c r="I88" s="223" t="s">
        <v>76</v>
      </c>
      <c r="J88" s="223" t="s">
        <v>77</v>
      </c>
      <c r="K88" s="227">
        <v>45554</v>
      </c>
      <c r="L88" s="233" t="s">
        <v>560</v>
      </c>
      <c r="M88" s="233" t="s">
        <v>561</v>
      </c>
      <c r="N88" s="205">
        <v>991891219</v>
      </c>
      <c r="O88" s="206">
        <v>20</v>
      </c>
      <c r="P88" s="223" t="s">
        <v>22</v>
      </c>
      <c r="Q88" s="223" t="s">
        <v>76</v>
      </c>
      <c r="R88" s="207"/>
      <c r="S88" s="205" t="s">
        <v>558</v>
      </c>
      <c r="T88" s="228">
        <v>102795051</v>
      </c>
      <c r="U88" s="232" t="s">
        <v>562</v>
      </c>
    </row>
    <row r="89" spans="1:21" ht="32.25" customHeight="1">
      <c r="A89">
        <v>84</v>
      </c>
      <c r="B89" s="219">
        <v>45553</v>
      </c>
      <c r="C89" s="205" t="s">
        <v>78</v>
      </c>
      <c r="D89" s="205" t="s">
        <v>558</v>
      </c>
      <c r="E89" s="204">
        <v>112570016</v>
      </c>
      <c r="F89" s="205" t="s">
        <v>563</v>
      </c>
      <c r="G89" s="205" t="s">
        <v>564</v>
      </c>
      <c r="H89" s="204" t="s">
        <v>42</v>
      </c>
      <c r="I89" s="223" t="s">
        <v>76</v>
      </c>
      <c r="J89" s="223" t="s">
        <v>77</v>
      </c>
      <c r="K89" s="227">
        <v>45554</v>
      </c>
      <c r="L89" s="233" t="s">
        <v>560</v>
      </c>
      <c r="M89" s="233" t="s">
        <v>561</v>
      </c>
      <c r="N89" s="205">
        <v>991891219</v>
      </c>
      <c r="O89" s="206">
        <v>20</v>
      </c>
      <c r="P89" s="223" t="s">
        <v>22</v>
      </c>
      <c r="Q89" s="223" t="s">
        <v>76</v>
      </c>
      <c r="R89" s="207"/>
      <c r="S89" s="205" t="s">
        <v>558</v>
      </c>
      <c r="T89" s="228">
        <v>102795051</v>
      </c>
      <c r="U89" s="232" t="s">
        <v>562</v>
      </c>
    </row>
    <row r="90" spans="1:21" ht="32.25" customHeight="1">
      <c r="A90">
        <v>85</v>
      </c>
      <c r="B90" s="219"/>
      <c r="C90" s="205"/>
      <c r="D90" s="205"/>
      <c r="E90" s="204"/>
      <c r="F90" s="205"/>
      <c r="G90" s="205"/>
      <c r="H90" s="204" t="s">
        <v>42</v>
      </c>
      <c r="I90" s="223" t="s">
        <v>76</v>
      </c>
      <c r="J90" s="223" t="s">
        <v>77</v>
      </c>
      <c r="K90" s="227"/>
      <c r="L90" s="233"/>
      <c r="M90" s="233"/>
      <c r="N90" s="205"/>
      <c r="O90" s="206"/>
      <c r="P90" s="223" t="s">
        <v>22</v>
      </c>
      <c r="Q90" s="223" t="s">
        <v>76</v>
      </c>
      <c r="R90" s="207"/>
      <c r="S90" s="205"/>
      <c r="T90" s="228"/>
      <c r="U90" s="232"/>
    </row>
    <row r="91" spans="1:21" ht="29.25" customHeight="1">
      <c r="A91">
        <v>86</v>
      </c>
      <c r="B91" s="219"/>
      <c r="C91" s="205"/>
      <c r="D91" s="205"/>
      <c r="E91" s="204"/>
      <c r="F91" s="205"/>
      <c r="G91" s="205"/>
      <c r="H91" s="204" t="s">
        <v>42</v>
      </c>
      <c r="I91" s="223" t="s">
        <v>76</v>
      </c>
      <c r="J91" s="223" t="s">
        <v>77</v>
      </c>
      <c r="K91" s="227"/>
      <c r="L91" s="233"/>
      <c r="M91" s="233"/>
      <c r="N91" s="205"/>
      <c r="O91" s="206"/>
      <c r="P91" s="223" t="s">
        <v>22</v>
      </c>
      <c r="Q91" s="223" t="s">
        <v>76</v>
      </c>
      <c r="R91" s="207"/>
      <c r="S91" s="205"/>
      <c r="T91" s="228"/>
      <c r="U91" s="232"/>
    </row>
    <row r="93" spans="1:21">
      <c r="O93" s="146">
        <f>SUM(O6:O92)</f>
        <v>1515</v>
      </c>
    </row>
    <row r="94" spans="1:21">
      <c r="K94">
        <v>1</v>
      </c>
      <c r="L94">
        <v>30</v>
      </c>
      <c r="M94">
        <f>K94*L94</f>
        <v>30</v>
      </c>
    </row>
    <row r="95" spans="1:21">
      <c r="K95">
        <v>35</v>
      </c>
      <c r="L95">
        <v>15</v>
      </c>
      <c r="M95">
        <f>K95*L95</f>
        <v>525</v>
      </c>
    </row>
    <row r="96" spans="1:21">
      <c r="K96">
        <v>48</v>
      </c>
      <c r="L96">
        <v>20</v>
      </c>
      <c r="M96">
        <f>K96*L96</f>
        <v>960</v>
      </c>
    </row>
    <row r="97" spans="13:13">
      <c r="M97">
        <f>SUM(M94:M96)</f>
        <v>1515</v>
      </c>
    </row>
  </sheetData>
  <hyperlinks>
    <hyperlink ref="U6" r:id="rId1" xr:uid="{00000000-0004-0000-0000-000000000000}"/>
    <hyperlink ref="U7" r:id="rId2" xr:uid="{00000000-0004-0000-0000-000001000000}"/>
    <hyperlink ref="U8" r:id="rId3" xr:uid="{00000000-0004-0000-0000-000002000000}"/>
    <hyperlink ref="U9" r:id="rId4" xr:uid="{00000000-0004-0000-0000-000003000000}"/>
    <hyperlink ref="U10" r:id="rId5" xr:uid="{00000000-0004-0000-0000-000004000000}"/>
    <hyperlink ref="U11" r:id="rId6" xr:uid="{00000000-0004-0000-0000-000005000000}"/>
    <hyperlink ref="U12" r:id="rId7" xr:uid="{00000000-0004-0000-0000-000006000000}"/>
    <hyperlink ref="U13" r:id="rId8" xr:uid="{00000000-0004-0000-0000-000007000000}"/>
    <hyperlink ref="U14" r:id="rId9" xr:uid="{00000000-0004-0000-0000-000008000000}"/>
    <hyperlink ref="U15" r:id="rId10" xr:uid="{00000000-0004-0000-0000-000009000000}"/>
    <hyperlink ref="U16" r:id="rId11" xr:uid="{00000000-0004-0000-0000-00000A000000}"/>
    <hyperlink ref="U17" r:id="rId12" xr:uid="{00000000-0004-0000-0000-00000B000000}"/>
    <hyperlink ref="U18" r:id="rId13" xr:uid="{00000000-0004-0000-0000-00000C000000}"/>
    <hyperlink ref="U19" r:id="rId14" xr:uid="{00000000-0004-0000-0000-00000D000000}"/>
    <hyperlink ref="U20" r:id="rId15" xr:uid="{00000000-0004-0000-0000-00000E000000}"/>
    <hyperlink ref="U21" r:id="rId16" xr:uid="{00000000-0004-0000-0000-00000F000000}"/>
    <hyperlink ref="U22" r:id="rId17" xr:uid="{00000000-0004-0000-0000-000010000000}"/>
    <hyperlink ref="U23" r:id="rId18" xr:uid="{00000000-0004-0000-0000-000011000000}"/>
    <hyperlink ref="U24" r:id="rId19" xr:uid="{00000000-0004-0000-0000-000012000000}"/>
    <hyperlink ref="U25" r:id="rId20" xr:uid="{00000000-0004-0000-0000-000013000000}"/>
    <hyperlink ref="U26" r:id="rId21" xr:uid="{00000000-0004-0000-0000-000014000000}"/>
    <hyperlink ref="U27" r:id="rId22" xr:uid="{00000000-0004-0000-0000-000015000000}"/>
    <hyperlink ref="U28" r:id="rId23" xr:uid="{00000000-0004-0000-0000-000016000000}"/>
    <hyperlink ref="U29" r:id="rId24" xr:uid="{00000000-0004-0000-0000-000017000000}"/>
    <hyperlink ref="U30" r:id="rId25" xr:uid="{00000000-0004-0000-0000-000018000000}"/>
    <hyperlink ref="U31" r:id="rId26" xr:uid="{00000000-0004-0000-0000-000019000000}"/>
    <hyperlink ref="U32" r:id="rId27" xr:uid="{00000000-0004-0000-0000-00001A000000}"/>
    <hyperlink ref="U33" r:id="rId28" xr:uid="{00000000-0004-0000-0000-00001B000000}"/>
    <hyperlink ref="U34" r:id="rId29" xr:uid="{00000000-0004-0000-0000-00001C000000}"/>
    <hyperlink ref="U35" r:id="rId30" xr:uid="{00000000-0004-0000-0000-00001D000000}"/>
    <hyperlink ref="U36" r:id="rId31" xr:uid="{00000000-0004-0000-0000-00001E000000}"/>
    <hyperlink ref="U40" r:id="rId32" xr:uid="{00000000-0004-0000-0000-00001F000000}"/>
    <hyperlink ref="U41" r:id="rId33" xr:uid="{00000000-0004-0000-0000-000020000000}"/>
    <hyperlink ref="U42" r:id="rId34" xr:uid="{00000000-0004-0000-0000-000021000000}"/>
    <hyperlink ref="U43" r:id="rId35" xr:uid="{00000000-0004-0000-0000-000022000000}"/>
    <hyperlink ref="U44" r:id="rId36" xr:uid="{00000000-0004-0000-0000-000023000000}"/>
    <hyperlink ref="U45" r:id="rId37" xr:uid="{00000000-0004-0000-0000-000024000000}"/>
    <hyperlink ref="U46" r:id="rId38" xr:uid="{00000000-0004-0000-0000-000025000000}"/>
    <hyperlink ref="U47" r:id="rId39" xr:uid="{00000000-0004-0000-0000-000026000000}"/>
    <hyperlink ref="U48" r:id="rId40" xr:uid="{00000000-0004-0000-0000-000027000000}"/>
    <hyperlink ref="U49" r:id="rId41" xr:uid="{00000000-0004-0000-0000-000028000000}"/>
    <hyperlink ref="U50" r:id="rId42" xr:uid="{00000000-0004-0000-0000-000029000000}"/>
    <hyperlink ref="U51" r:id="rId43" xr:uid="{00000000-0004-0000-0000-00002A000000}"/>
    <hyperlink ref="U52" r:id="rId44" xr:uid="{00000000-0004-0000-0000-00002B000000}"/>
    <hyperlink ref="U53" r:id="rId45" xr:uid="{00000000-0004-0000-0000-00002C000000}"/>
    <hyperlink ref="U54" r:id="rId46" xr:uid="{00000000-0004-0000-0000-00002D000000}"/>
    <hyperlink ref="U55" r:id="rId47" xr:uid="{00000000-0004-0000-0000-00002E000000}"/>
    <hyperlink ref="U56" r:id="rId48" xr:uid="{00000000-0004-0000-0000-00002F000000}"/>
    <hyperlink ref="U37" r:id="rId49" xr:uid="{00000000-0004-0000-0000-000030000000}"/>
    <hyperlink ref="U38" r:id="rId50" xr:uid="{00000000-0004-0000-0000-000031000000}"/>
    <hyperlink ref="U39" r:id="rId51" xr:uid="{00000000-0004-0000-0000-000032000000}"/>
    <hyperlink ref="U60" r:id="rId52" xr:uid="{00000000-0004-0000-0000-000033000000}"/>
    <hyperlink ref="U61" r:id="rId53" xr:uid="{00000000-0004-0000-0000-000034000000}"/>
    <hyperlink ref="U65" r:id="rId54" xr:uid="{00000000-0004-0000-0000-000035000000}"/>
    <hyperlink ref="U66" r:id="rId55" xr:uid="{00000000-0004-0000-0000-000036000000}"/>
    <hyperlink ref="U69" r:id="rId56" xr:uid="{00000000-0004-0000-0000-000037000000}"/>
    <hyperlink ref="U71" r:id="rId57" xr:uid="{00000000-0004-0000-0000-000038000000}"/>
    <hyperlink ref="U70" r:id="rId58" xr:uid="{00000000-0004-0000-0000-000039000000}"/>
    <hyperlink ref="U72" r:id="rId59" xr:uid="{00000000-0004-0000-0000-00003A000000}"/>
    <hyperlink ref="U73" r:id="rId60" xr:uid="{00000000-0004-0000-0000-00003B000000}"/>
    <hyperlink ref="U74" r:id="rId61" xr:uid="{00000000-0004-0000-0000-00003C000000}"/>
    <hyperlink ref="U75" r:id="rId62" xr:uid="{00000000-0004-0000-0000-00003D000000}"/>
    <hyperlink ref="U76" r:id="rId63" xr:uid="{00000000-0004-0000-0000-00003E000000}"/>
    <hyperlink ref="U77" r:id="rId64" xr:uid="{00000000-0004-0000-0000-00003F000000}"/>
    <hyperlink ref="U78" r:id="rId65" xr:uid="{00000000-0004-0000-0000-000040000000}"/>
    <hyperlink ref="U79" r:id="rId66" xr:uid="{00000000-0004-0000-0000-000041000000}"/>
    <hyperlink ref="U80" r:id="rId67" xr:uid="{00000000-0004-0000-0000-000042000000}"/>
    <hyperlink ref="U81" r:id="rId68" xr:uid="{00000000-0004-0000-0000-000043000000}"/>
    <hyperlink ref="U82" r:id="rId69" xr:uid="{00000000-0004-0000-0000-000044000000}"/>
    <hyperlink ref="U83" r:id="rId70" xr:uid="{00000000-0004-0000-0000-000045000000}"/>
    <hyperlink ref="U84" r:id="rId71" xr:uid="{00000000-0004-0000-0000-000046000000}"/>
    <hyperlink ref="U85" r:id="rId72" xr:uid="{00000000-0004-0000-0000-000047000000}"/>
    <hyperlink ref="U86" r:id="rId73" xr:uid="{00000000-0004-0000-0000-000048000000}"/>
    <hyperlink ref="U87" r:id="rId74" xr:uid="{00000000-0004-0000-0000-000049000000}"/>
    <hyperlink ref="U88" r:id="rId75" xr:uid="{00000000-0004-0000-0000-00004A000000}"/>
    <hyperlink ref="U89" r:id="rId76" xr:uid="{00000000-0004-0000-0000-00004B000000}"/>
  </hyperlinks>
  <pageMargins left="0.7" right="0.7" top="0.75" bottom="0.75" header="0.3" footer="0.3"/>
  <pageSetup paperSize="9" orientation="portrait" horizontalDpi="0" verticalDpi="0" r:id="rId77"/>
  <drawing r:id="rId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52"/>
  <sheetViews>
    <sheetView topLeftCell="G22" zoomScale="69" zoomScaleNormal="69" workbookViewId="0">
      <selection activeCell="R28" sqref="R28"/>
    </sheetView>
  </sheetViews>
  <sheetFormatPr baseColWidth="10" defaultRowHeight="15"/>
  <cols>
    <col min="1" max="1" width="11.6640625" bestFit="1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17.6640625" customWidth="1"/>
    <col min="17" max="17" width="11.1640625" bestFit="1" customWidth="1"/>
    <col min="18" max="18" width="11.6640625" bestFit="1" customWidth="1"/>
    <col min="19" max="19" width="12.1640625" bestFit="1" customWidth="1"/>
  </cols>
  <sheetData>
    <row r="2" spans="1:20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20">
      <c r="A3" s="42"/>
      <c r="B3" s="43"/>
      <c r="C3" s="44" t="s">
        <v>0</v>
      </c>
      <c r="D3" s="45"/>
      <c r="E3" s="46"/>
      <c r="F3" s="47"/>
      <c r="G3" s="48"/>
      <c r="H3" s="49"/>
      <c r="I3" s="49"/>
      <c r="J3" s="49"/>
      <c r="K3" s="49"/>
      <c r="L3" s="49"/>
      <c r="M3" s="50"/>
      <c r="N3" s="49"/>
      <c r="O3" s="42"/>
      <c r="P3" s="49"/>
      <c r="Q3" s="49"/>
      <c r="R3" s="49"/>
      <c r="S3" s="49"/>
    </row>
    <row r="4" spans="1:20">
      <c r="A4" s="42"/>
      <c r="B4" s="43"/>
      <c r="C4" s="51" t="s">
        <v>1</v>
      </c>
      <c r="D4" s="52"/>
      <c r="E4" s="53"/>
      <c r="F4" s="53"/>
      <c r="G4" s="48"/>
      <c r="H4" s="49"/>
      <c r="I4" s="49"/>
      <c r="J4" s="49"/>
      <c r="K4" s="49"/>
      <c r="L4" s="49"/>
      <c r="M4" s="50"/>
      <c r="N4" s="49"/>
      <c r="O4" s="42"/>
      <c r="P4" s="49"/>
      <c r="Q4" s="49"/>
      <c r="R4" s="49"/>
      <c r="S4" s="49"/>
    </row>
    <row r="5" spans="1:20" ht="28.5" customHeight="1">
      <c r="B5" s="54" t="s">
        <v>82</v>
      </c>
      <c r="C5" s="55"/>
      <c r="D5" s="56"/>
      <c r="E5" s="57" t="s">
        <v>24</v>
      </c>
      <c r="F5" s="58"/>
      <c r="G5" s="59"/>
      <c r="H5" s="60"/>
      <c r="I5" s="56"/>
      <c r="J5" s="61"/>
      <c r="K5" s="61"/>
      <c r="L5" s="62"/>
      <c r="M5" s="63" t="s">
        <v>90</v>
      </c>
      <c r="O5" s="64"/>
    </row>
    <row r="6" spans="1:20">
      <c r="B6" s="65" t="s">
        <v>25</v>
      </c>
      <c r="C6" s="66"/>
      <c r="D6" s="67"/>
      <c r="E6" s="67"/>
      <c r="F6" s="67"/>
      <c r="G6" s="67"/>
      <c r="H6" s="67"/>
      <c r="I6" s="67"/>
      <c r="J6" s="67"/>
      <c r="K6" s="67"/>
      <c r="L6" s="67"/>
      <c r="M6" s="68"/>
      <c r="O6" s="64"/>
    </row>
    <row r="7" spans="1:20">
      <c r="B7" s="69" t="s">
        <v>91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  <c r="O7" s="64"/>
    </row>
    <row r="8" spans="1:20" s="39" customFormat="1" ht="34">
      <c r="A8"/>
      <c r="B8" s="147" t="s">
        <v>26</v>
      </c>
      <c r="C8" s="147" t="s">
        <v>27</v>
      </c>
      <c r="D8" s="147" t="s">
        <v>28</v>
      </c>
      <c r="E8" s="147" t="s">
        <v>29</v>
      </c>
      <c r="F8" s="147" t="s">
        <v>30</v>
      </c>
      <c r="G8" s="147" t="s">
        <v>31</v>
      </c>
      <c r="H8" s="147" t="s">
        <v>32</v>
      </c>
      <c r="I8" s="147" t="s">
        <v>33</v>
      </c>
      <c r="J8" s="147" t="s">
        <v>34</v>
      </c>
      <c r="K8" s="147" t="s">
        <v>35</v>
      </c>
      <c r="L8" s="147" t="s">
        <v>36</v>
      </c>
      <c r="M8" s="147" t="s">
        <v>37</v>
      </c>
      <c r="N8" s="147" t="s">
        <v>38</v>
      </c>
      <c r="O8" s="147" t="s">
        <v>39</v>
      </c>
      <c r="P8" s="147" t="s">
        <v>40</v>
      </c>
      <c r="Q8" s="147" t="s">
        <v>41</v>
      </c>
      <c r="R8" s="148" t="s">
        <v>18</v>
      </c>
      <c r="S8" s="149" t="s">
        <v>19</v>
      </c>
    </row>
    <row r="9" spans="1:20" s="200" customFormat="1" ht="56.25" customHeight="1">
      <c r="A9" s="187">
        <v>1</v>
      </c>
      <c r="B9" s="188">
        <v>44725</v>
      </c>
      <c r="C9" s="189">
        <v>45537</v>
      </c>
      <c r="D9" s="190"/>
      <c r="E9" s="190"/>
      <c r="F9" s="191" t="s">
        <v>287</v>
      </c>
      <c r="G9" s="192">
        <v>112520025</v>
      </c>
      <c r="H9" s="193" t="s">
        <v>374</v>
      </c>
      <c r="I9" s="194" t="s">
        <v>375</v>
      </c>
      <c r="J9" s="195" t="s">
        <v>289</v>
      </c>
      <c r="K9" s="192" t="s">
        <v>85</v>
      </c>
      <c r="L9" s="192" t="s">
        <v>286</v>
      </c>
      <c r="M9" s="191" t="s">
        <v>287</v>
      </c>
      <c r="N9" s="196">
        <v>12.5</v>
      </c>
      <c r="O9" s="197">
        <v>171389651001</v>
      </c>
      <c r="P9" s="198"/>
      <c r="Q9" s="182">
        <v>94408935</v>
      </c>
      <c r="R9" s="182"/>
      <c r="S9" s="182" t="s">
        <v>376</v>
      </c>
      <c r="T9" s="199"/>
    </row>
    <row r="10" spans="1:20" s="200" customFormat="1" ht="56.25" customHeight="1">
      <c r="A10" s="187">
        <v>2</v>
      </c>
      <c r="B10" s="188">
        <v>45464</v>
      </c>
      <c r="C10" s="189">
        <v>45545</v>
      </c>
      <c r="D10" s="190">
        <v>1</v>
      </c>
      <c r="E10" s="190"/>
      <c r="F10" s="191" t="s">
        <v>291</v>
      </c>
      <c r="G10" s="192"/>
      <c r="H10" s="193" t="s">
        <v>288</v>
      </c>
      <c r="I10" s="194"/>
      <c r="J10" s="195" t="s">
        <v>289</v>
      </c>
      <c r="K10" s="192" t="s">
        <v>85</v>
      </c>
      <c r="L10" s="192" t="s">
        <v>290</v>
      </c>
      <c r="M10" s="191" t="s">
        <v>588</v>
      </c>
      <c r="N10" s="196">
        <v>12.5</v>
      </c>
      <c r="O10" s="197">
        <v>101790871</v>
      </c>
      <c r="P10" s="198" t="s">
        <v>292</v>
      </c>
      <c r="Q10" s="182">
        <v>987630563</v>
      </c>
      <c r="R10" s="182"/>
      <c r="S10" s="182" t="s">
        <v>293</v>
      </c>
      <c r="T10" s="199"/>
    </row>
    <row r="11" spans="1:20" s="200" customFormat="1" ht="56.25" customHeight="1">
      <c r="A11" s="187">
        <v>3</v>
      </c>
      <c r="B11" s="188">
        <v>45067</v>
      </c>
      <c r="C11" s="189">
        <v>45540</v>
      </c>
      <c r="D11" s="190">
        <v>1</v>
      </c>
      <c r="E11" s="190"/>
      <c r="F11" s="191" t="s">
        <v>294</v>
      </c>
      <c r="G11" s="192">
        <v>111570003</v>
      </c>
      <c r="H11" s="193" t="s">
        <v>295</v>
      </c>
      <c r="I11" s="194" t="s">
        <v>296</v>
      </c>
      <c r="J11" s="195" t="s">
        <v>289</v>
      </c>
      <c r="K11" s="192" t="s">
        <v>85</v>
      </c>
      <c r="L11" s="192" t="s">
        <v>297</v>
      </c>
      <c r="M11" s="191" t="s">
        <v>586</v>
      </c>
      <c r="N11" s="196">
        <v>12.5</v>
      </c>
      <c r="O11" s="197">
        <v>102260346</v>
      </c>
      <c r="P11" s="198"/>
      <c r="Q11" s="182">
        <v>984910846</v>
      </c>
      <c r="R11" s="182"/>
      <c r="S11" s="182" t="s">
        <v>298</v>
      </c>
      <c r="T11" s="199"/>
    </row>
    <row r="12" spans="1:20" s="200" customFormat="1" ht="56.25" customHeight="1">
      <c r="A12" s="187">
        <v>4</v>
      </c>
      <c r="B12" s="188">
        <v>45110</v>
      </c>
      <c r="C12" s="189">
        <v>45540</v>
      </c>
      <c r="D12" s="190">
        <v>1</v>
      </c>
      <c r="E12" s="190"/>
      <c r="F12" s="191" t="s">
        <v>299</v>
      </c>
      <c r="G12" s="192">
        <v>41596001</v>
      </c>
      <c r="H12" s="193" t="s">
        <v>300</v>
      </c>
      <c r="I12" s="194" t="s">
        <v>301</v>
      </c>
      <c r="J12" s="195" t="s">
        <v>289</v>
      </c>
      <c r="K12" s="192" t="s">
        <v>85</v>
      </c>
      <c r="L12" s="192" t="s">
        <v>302</v>
      </c>
      <c r="M12" s="191" t="s">
        <v>587</v>
      </c>
      <c r="N12" s="196">
        <v>18.75</v>
      </c>
      <c r="O12" s="197">
        <v>100154152</v>
      </c>
      <c r="P12" s="198" t="s">
        <v>303</v>
      </c>
      <c r="Q12" s="182">
        <v>997499200</v>
      </c>
      <c r="R12" s="182"/>
      <c r="S12" s="182" t="s">
        <v>304</v>
      </c>
      <c r="T12" s="199"/>
    </row>
    <row r="13" spans="1:20" s="200" customFormat="1" ht="56.25" customHeight="1">
      <c r="A13" s="187">
        <v>5</v>
      </c>
      <c r="B13" s="188">
        <v>45426</v>
      </c>
      <c r="C13" s="189">
        <v>45533</v>
      </c>
      <c r="D13" s="190">
        <v>1</v>
      </c>
      <c r="E13" s="190"/>
      <c r="F13" s="191" t="s">
        <v>305</v>
      </c>
      <c r="G13" s="192">
        <v>113610005</v>
      </c>
      <c r="H13" s="193" t="s">
        <v>306</v>
      </c>
      <c r="I13" s="194" t="s">
        <v>307</v>
      </c>
      <c r="J13" s="195" t="s">
        <v>289</v>
      </c>
      <c r="K13" s="192" t="s">
        <v>85</v>
      </c>
      <c r="L13" s="192" t="s">
        <v>308</v>
      </c>
      <c r="M13" s="191" t="s">
        <v>309</v>
      </c>
      <c r="N13" s="196">
        <v>18.75</v>
      </c>
      <c r="O13" s="197">
        <v>703104703</v>
      </c>
      <c r="P13" s="198" t="s">
        <v>310</v>
      </c>
      <c r="Q13" s="182">
        <v>962520611</v>
      </c>
      <c r="R13" s="182"/>
      <c r="S13" s="182" t="s">
        <v>311</v>
      </c>
      <c r="T13" s="199"/>
    </row>
    <row r="14" spans="1:20" s="200" customFormat="1" ht="56.25" customHeight="1">
      <c r="A14" s="187">
        <v>6</v>
      </c>
      <c r="B14" s="188">
        <v>45414</v>
      </c>
      <c r="C14" s="189">
        <v>45548</v>
      </c>
      <c r="D14" s="190">
        <v>1</v>
      </c>
      <c r="E14" s="190">
        <v>60803269</v>
      </c>
      <c r="F14" s="191" t="s">
        <v>312</v>
      </c>
      <c r="G14" s="192">
        <v>112510035</v>
      </c>
      <c r="H14" s="193" t="s">
        <v>313</v>
      </c>
      <c r="I14" s="194" t="s">
        <v>314</v>
      </c>
      <c r="J14" s="195" t="s">
        <v>289</v>
      </c>
      <c r="K14" s="192" t="s">
        <v>85</v>
      </c>
      <c r="L14" s="192" t="s">
        <v>315</v>
      </c>
      <c r="M14" s="191" t="s">
        <v>316</v>
      </c>
      <c r="N14" s="196">
        <v>12.5</v>
      </c>
      <c r="O14" s="197">
        <v>104076773</v>
      </c>
      <c r="P14" s="198" t="s">
        <v>317</v>
      </c>
      <c r="Q14" s="182">
        <v>984311595</v>
      </c>
      <c r="R14" s="182"/>
      <c r="S14" s="182" t="s">
        <v>318</v>
      </c>
      <c r="T14" s="199"/>
    </row>
    <row r="15" spans="1:20" s="200" customFormat="1" ht="56.25" customHeight="1">
      <c r="A15" s="187">
        <v>8</v>
      </c>
      <c r="B15" s="188">
        <v>45174</v>
      </c>
      <c r="C15" s="189">
        <v>45547</v>
      </c>
      <c r="D15" s="190"/>
      <c r="E15" s="190"/>
      <c r="F15" s="191" t="s">
        <v>294</v>
      </c>
      <c r="G15" s="192">
        <v>111570003</v>
      </c>
      <c r="H15" s="193" t="s">
        <v>295</v>
      </c>
      <c r="I15" s="194" t="s">
        <v>589</v>
      </c>
      <c r="J15" s="195" t="s">
        <v>289</v>
      </c>
      <c r="K15" s="192" t="s">
        <v>85</v>
      </c>
      <c r="L15" s="192" t="s">
        <v>321</v>
      </c>
      <c r="M15" s="191" t="s">
        <v>369</v>
      </c>
      <c r="N15" s="196">
        <v>12.5</v>
      </c>
      <c r="O15" s="197">
        <v>102924420</v>
      </c>
      <c r="P15" s="198" t="s">
        <v>371</v>
      </c>
      <c r="Q15" s="182">
        <v>989324361</v>
      </c>
      <c r="R15" s="182"/>
      <c r="S15" s="182" t="s">
        <v>372</v>
      </c>
      <c r="T15" s="199"/>
    </row>
    <row r="16" spans="1:20" s="200" customFormat="1" ht="56.25" customHeight="1">
      <c r="A16" s="187">
        <v>9</v>
      </c>
      <c r="B16" s="188">
        <v>44893</v>
      </c>
      <c r="C16" s="189">
        <v>45547</v>
      </c>
      <c r="D16" s="190"/>
      <c r="E16" s="190"/>
      <c r="F16" s="191" t="s">
        <v>367</v>
      </c>
      <c r="G16" s="192">
        <v>112570073</v>
      </c>
      <c r="H16" s="193" t="s">
        <v>368</v>
      </c>
      <c r="I16" s="194" t="s">
        <v>590</v>
      </c>
      <c r="J16" s="195" t="s">
        <v>289</v>
      </c>
      <c r="K16" s="192" t="s">
        <v>85</v>
      </c>
      <c r="L16" s="192" t="s">
        <v>321</v>
      </c>
      <c r="M16" s="191" t="s">
        <v>370</v>
      </c>
      <c r="N16" s="196">
        <v>12.5</v>
      </c>
      <c r="O16" s="197">
        <v>102924420</v>
      </c>
      <c r="P16" s="198" t="s">
        <v>371</v>
      </c>
      <c r="Q16" s="182">
        <v>989324361</v>
      </c>
      <c r="R16" s="182"/>
      <c r="S16" s="182" t="s">
        <v>373</v>
      </c>
      <c r="T16" s="199"/>
    </row>
    <row r="17" spans="1:20" s="200" customFormat="1" ht="56.25" customHeight="1">
      <c r="A17" s="187">
        <v>10</v>
      </c>
      <c r="B17" s="188">
        <v>45372</v>
      </c>
      <c r="C17" s="189">
        <v>45535</v>
      </c>
      <c r="D17" s="190"/>
      <c r="E17" s="190"/>
      <c r="F17" s="191" t="s">
        <v>429</v>
      </c>
      <c r="G17" s="192">
        <v>112580027</v>
      </c>
      <c r="H17" s="193" t="s">
        <v>200</v>
      </c>
      <c r="I17" s="194" t="s">
        <v>430</v>
      </c>
      <c r="J17" s="195" t="s">
        <v>289</v>
      </c>
      <c r="K17" s="192" t="s">
        <v>85</v>
      </c>
      <c r="L17" s="192" t="s">
        <v>431</v>
      </c>
      <c r="M17" s="191" t="s">
        <v>370</v>
      </c>
      <c r="N17" s="196">
        <v>12.5</v>
      </c>
      <c r="O17" s="197">
        <v>1400135966</v>
      </c>
      <c r="P17" s="198" t="s">
        <v>432</v>
      </c>
      <c r="Q17" s="182">
        <v>995812779</v>
      </c>
      <c r="R17" s="182"/>
      <c r="S17" s="182" t="s">
        <v>433</v>
      </c>
      <c r="T17" s="199"/>
    </row>
    <row r="18" spans="1:20" s="200" customFormat="1" ht="56.25" customHeight="1">
      <c r="A18" s="187">
        <v>11</v>
      </c>
      <c r="B18" s="188">
        <v>44667</v>
      </c>
      <c r="C18" s="189">
        <v>45553</v>
      </c>
      <c r="D18" s="190"/>
      <c r="E18" s="190"/>
      <c r="F18" s="191" t="s">
        <v>591</v>
      </c>
      <c r="G18" s="192">
        <v>112580027</v>
      </c>
      <c r="H18" s="193" t="s">
        <v>200</v>
      </c>
      <c r="I18" s="194" t="s">
        <v>529</v>
      </c>
      <c r="J18" s="195" t="s">
        <v>289</v>
      </c>
      <c r="K18" s="192" t="s">
        <v>85</v>
      </c>
      <c r="L18" s="192" t="s">
        <v>530</v>
      </c>
      <c r="M18" s="191" t="s">
        <v>592</v>
      </c>
      <c r="N18" s="196">
        <v>12.5</v>
      </c>
      <c r="O18" s="197">
        <v>102988285</v>
      </c>
      <c r="P18" s="198"/>
      <c r="Q18" s="182">
        <v>992700122</v>
      </c>
      <c r="R18" s="182"/>
      <c r="S18" s="182" t="s">
        <v>531</v>
      </c>
      <c r="T18" s="199"/>
    </row>
    <row r="19" spans="1:20" s="200" customFormat="1" ht="56.25" customHeight="1">
      <c r="A19" s="187">
        <v>12</v>
      </c>
      <c r="B19" s="188">
        <v>45307</v>
      </c>
      <c r="C19" s="189">
        <v>45554</v>
      </c>
      <c r="D19" s="190">
        <v>1</v>
      </c>
      <c r="E19" s="190">
        <v>81489259</v>
      </c>
      <c r="F19" s="191" t="s">
        <v>593</v>
      </c>
      <c r="G19" s="192">
        <v>112950021</v>
      </c>
      <c r="H19" s="193" t="s">
        <v>203</v>
      </c>
      <c r="I19" s="194" t="s">
        <v>594</v>
      </c>
      <c r="J19" s="195" t="s">
        <v>289</v>
      </c>
      <c r="K19" s="192" t="s">
        <v>85</v>
      </c>
      <c r="L19" s="192" t="s">
        <v>595</v>
      </c>
      <c r="M19" s="191" t="s">
        <v>596</v>
      </c>
      <c r="N19" s="196">
        <v>15</v>
      </c>
      <c r="O19" s="197">
        <v>10301663001</v>
      </c>
      <c r="P19" s="198" t="s">
        <v>597</v>
      </c>
      <c r="Q19" s="182">
        <v>984606415</v>
      </c>
      <c r="R19" s="182"/>
      <c r="S19" s="182" t="s">
        <v>598</v>
      </c>
      <c r="T19" s="199"/>
    </row>
    <row r="20" spans="1:20" s="200" customFormat="1" ht="56.25" customHeight="1">
      <c r="A20" s="187">
        <v>13</v>
      </c>
      <c r="B20" s="188">
        <v>45256</v>
      </c>
      <c r="C20" s="189">
        <v>45544</v>
      </c>
      <c r="D20" s="190">
        <v>1</v>
      </c>
      <c r="E20" s="190">
        <v>83130681</v>
      </c>
      <c r="F20" s="191" t="s">
        <v>599</v>
      </c>
      <c r="G20" s="192">
        <v>41596121</v>
      </c>
      <c r="H20" s="193" t="s">
        <v>600</v>
      </c>
      <c r="I20" s="194" t="s">
        <v>601</v>
      </c>
      <c r="J20" s="195" t="s">
        <v>289</v>
      </c>
      <c r="K20" s="192" t="s">
        <v>85</v>
      </c>
      <c r="L20" s="192" t="s">
        <v>602</v>
      </c>
      <c r="M20" s="191" t="s">
        <v>603</v>
      </c>
      <c r="N20" s="196">
        <v>18.75</v>
      </c>
      <c r="O20" s="197">
        <v>103017125</v>
      </c>
      <c r="P20" s="198" t="s">
        <v>604</v>
      </c>
      <c r="Q20" s="182">
        <v>74209318</v>
      </c>
      <c r="R20" s="182"/>
      <c r="S20" s="182" t="s">
        <v>605</v>
      </c>
      <c r="T20" s="199"/>
    </row>
    <row r="21" spans="1:20" s="200" customFormat="1" ht="56.25" customHeight="1">
      <c r="A21" s="187">
        <v>14</v>
      </c>
      <c r="B21" s="188"/>
      <c r="C21" s="189"/>
      <c r="D21" s="190"/>
      <c r="E21" s="190"/>
      <c r="F21" s="191"/>
      <c r="G21" s="192"/>
      <c r="H21" s="193"/>
      <c r="I21" s="194"/>
      <c r="J21" s="195"/>
      <c r="K21" s="192"/>
      <c r="L21" s="192"/>
      <c r="M21" s="191"/>
      <c r="N21" s="196"/>
      <c r="O21" s="197"/>
      <c r="P21" s="198"/>
      <c r="Q21" s="182"/>
      <c r="R21" s="182"/>
      <c r="S21" s="182"/>
      <c r="T21" s="199"/>
    </row>
    <row r="22" spans="1:20" s="200" customFormat="1" ht="56.25" customHeight="1">
      <c r="A22" s="187"/>
      <c r="B22" s="209"/>
      <c r="C22" s="210"/>
      <c r="D22" s="211"/>
      <c r="E22" s="211"/>
      <c r="F22" s="212"/>
      <c r="G22" s="201"/>
      <c r="H22" s="213"/>
      <c r="I22" s="214"/>
      <c r="J22" s="215"/>
      <c r="K22" s="201"/>
      <c r="L22" s="201"/>
      <c r="M22" s="212"/>
      <c r="N22" s="216">
        <f>SUM(N9:N21)</f>
        <v>171.25</v>
      </c>
      <c r="O22" s="217"/>
      <c r="P22" s="218"/>
      <c r="T22" s="199"/>
    </row>
    <row r="23" spans="1:20" s="200" customFormat="1" ht="56.25" customHeight="1">
      <c r="A23" s="187"/>
      <c r="B23" s="209"/>
      <c r="C23" s="210"/>
      <c r="D23" s="211"/>
      <c r="E23" s="211"/>
      <c r="F23" s="212"/>
      <c r="G23" s="201"/>
      <c r="H23" s="213"/>
      <c r="I23" s="214"/>
      <c r="J23" s="215"/>
      <c r="K23" s="201"/>
      <c r="L23" s="201">
        <v>5</v>
      </c>
      <c r="M23" s="212" t="s">
        <v>87</v>
      </c>
      <c r="N23" s="216">
        <v>12.5</v>
      </c>
      <c r="O23" s="217">
        <f t="shared" ref="O23:O27" si="0">L23*N23</f>
        <v>62.5</v>
      </c>
      <c r="P23" s="218"/>
      <c r="T23" s="199"/>
    </row>
    <row r="24" spans="1:20" s="200" customFormat="1" ht="56.25" customHeight="1">
      <c r="A24" s="187"/>
      <c r="B24" s="209"/>
      <c r="C24" s="210"/>
      <c r="D24" s="211"/>
      <c r="E24" s="211"/>
      <c r="F24" s="212"/>
      <c r="G24" s="201"/>
      <c r="H24" s="213"/>
      <c r="I24" s="214"/>
      <c r="J24" s="215"/>
      <c r="K24" s="201"/>
      <c r="L24" s="201">
        <v>2</v>
      </c>
      <c r="M24" s="212" t="s">
        <v>320</v>
      </c>
      <c r="N24" s="216">
        <v>18.75</v>
      </c>
      <c r="O24" s="217">
        <f t="shared" si="0"/>
        <v>37.5</v>
      </c>
      <c r="P24" s="218"/>
      <c r="T24" s="199"/>
    </row>
    <row r="25" spans="1:20" s="200" customFormat="1" ht="56.25" customHeight="1">
      <c r="A25" s="187"/>
      <c r="B25" s="209"/>
      <c r="C25" s="210"/>
      <c r="D25" s="211"/>
      <c r="E25" s="211"/>
      <c r="F25" s="212"/>
      <c r="G25" s="201"/>
      <c r="H25" s="213"/>
      <c r="I25" s="214"/>
      <c r="J25" s="215"/>
      <c r="K25" s="201"/>
      <c r="L25" s="201">
        <v>1</v>
      </c>
      <c r="M25" s="212" t="s">
        <v>319</v>
      </c>
      <c r="N25" s="216">
        <v>18.75</v>
      </c>
      <c r="O25" s="217">
        <f t="shared" si="0"/>
        <v>18.75</v>
      </c>
      <c r="P25" s="218"/>
      <c r="T25" s="199"/>
    </row>
    <row r="26" spans="1:20" s="200" customFormat="1" ht="56.25" customHeight="1">
      <c r="A26" s="187"/>
      <c r="B26" s="209"/>
      <c r="C26" s="210"/>
      <c r="D26" s="211"/>
      <c r="E26" s="211"/>
      <c r="F26" s="212"/>
      <c r="G26" s="201"/>
      <c r="H26" s="213"/>
      <c r="I26" s="214"/>
      <c r="J26" s="215"/>
      <c r="K26" s="201"/>
      <c r="L26" s="201">
        <v>2</v>
      </c>
      <c r="M26" s="212" t="s">
        <v>45</v>
      </c>
      <c r="N26" s="216">
        <v>12.5</v>
      </c>
      <c r="O26" s="217">
        <f t="shared" si="0"/>
        <v>25</v>
      </c>
      <c r="P26" s="218"/>
      <c r="T26" s="199"/>
    </row>
    <row r="27" spans="1:20" s="200" customFormat="1" ht="56.25" customHeight="1">
      <c r="A27" s="187"/>
      <c r="B27" s="209"/>
      <c r="C27" s="210"/>
      <c r="D27" s="211"/>
      <c r="E27" s="211"/>
      <c r="F27" s="212"/>
      <c r="G27" s="201"/>
      <c r="H27" s="213"/>
      <c r="I27" s="214"/>
      <c r="J27" s="215"/>
      <c r="K27" s="201"/>
      <c r="L27" s="201">
        <v>1</v>
      </c>
      <c r="M27" s="212" t="s">
        <v>288</v>
      </c>
      <c r="N27" s="216">
        <v>12.5</v>
      </c>
      <c r="O27" s="217">
        <f t="shared" si="0"/>
        <v>12.5</v>
      </c>
      <c r="P27" s="218"/>
      <c r="T27" s="199"/>
    </row>
    <row r="28" spans="1:20" s="200" customFormat="1" ht="56.25" customHeight="1">
      <c r="A28" s="187"/>
      <c r="B28" s="209"/>
      <c r="C28" s="210"/>
      <c r="D28" s="211"/>
      <c r="E28" s="211"/>
      <c r="F28" s="212"/>
      <c r="G28" s="201"/>
      <c r="H28" s="213"/>
      <c r="I28" s="214"/>
      <c r="J28" s="215"/>
      <c r="K28" s="201"/>
      <c r="L28" s="201">
        <v>1</v>
      </c>
      <c r="M28" s="212" t="s">
        <v>606</v>
      </c>
      <c r="N28" s="216">
        <v>15</v>
      </c>
      <c r="O28" s="217">
        <v>15</v>
      </c>
      <c r="P28" s="218"/>
      <c r="T28" s="199"/>
    </row>
    <row r="29" spans="1:20" s="200" customFormat="1" ht="56.25" customHeight="1">
      <c r="A29" s="187"/>
      <c r="B29" s="209"/>
      <c r="C29" s="210"/>
      <c r="D29" s="211"/>
      <c r="E29" s="211"/>
      <c r="F29" s="212"/>
      <c r="G29" s="201"/>
      <c r="H29" s="213"/>
      <c r="I29" s="214"/>
      <c r="J29" s="215"/>
      <c r="K29" s="201"/>
      <c r="L29" s="201"/>
      <c r="M29" s="212"/>
      <c r="N29" s="216"/>
      <c r="O29" s="217">
        <f>SUM(O23:O28)</f>
        <v>171.25</v>
      </c>
      <c r="P29" s="218"/>
      <c r="T29" s="199"/>
    </row>
    <row r="30" spans="1:20" s="200" customFormat="1" ht="56.25" customHeight="1">
      <c r="A30" s="187"/>
      <c r="B30" s="209"/>
      <c r="C30" s="210"/>
      <c r="D30" s="211"/>
      <c r="E30" s="211"/>
      <c r="F30" s="212"/>
      <c r="G30" s="201"/>
      <c r="H30" s="213"/>
      <c r="I30" s="214"/>
      <c r="J30" s="215"/>
      <c r="K30"/>
      <c r="L30"/>
      <c r="M30"/>
      <c r="N30" s="199"/>
      <c r="P30" s="218"/>
      <c r="T30" s="199"/>
    </row>
    <row r="31" spans="1:20" s="200" customFormat="1" ht="56.25" customHeight="1">
      <c r="A31" s="187">
        <v>2</v>
      </c>
      <c r="B31"/>
      <c r="C31"/>
      <c r="D31"/>
      <c r="E31"/>
      <c r="F31"/>
      <c r="G31"/>
      <c r="H31"/>
      <c r="I31"/>
      <c r="J31"/>
      <c r="K31"/>
      <c r="L31"/>
      <c r="M31"/>
      <c r="N31" s="199"/>
    </row>
    <row r="32" spans="1:20" s="200" customFormat="1" ht="56.25" customHeight="1">
      <c r="A32" s="187">
        <v>3</v>
      </c>
      <c r="B32"/>
      <c r="C32"/>
      <c r="D32"/>
      <c r="E32"/>
      <c r="F32"/>
      <c r="G32"/>
      <c r="H32"/>
      <c r="I32"/>
      <c r="J32"/>
      <c r="K32"/>
      <c r="L32"/>
      <c r="M32"/>
      <c r="N32" s="199"/>
    </row>
    <row r="33" spans="1:19" s="200" customFormat="1" ht="56.25" customHeight="1">
      <c r="A33" s="187">
        <v>4</v>
      </c>
      <c r="B33"/>
      <c r="C33"/>
      <c r="D33"/>
      <c r="E33"/>
      <c r="F33"/>
      <c r="G33"/>
      <c r="H33"/>
      <c r="I33"/>
      <c r="J33">
        <v>3</v>
      </c>
      <c r="K33"/>
      <c r="L33"/>
      <c r="M33"/>
      <c r="N33" s="199"/>
    </row>
    <row r="34" spans="1:19" s="200" customFormat="1" ht="56.25" customHeight="1">
      <c r="A34" s="187">
        <v>5</v>
      </c>
      <c r="B34"/>
      <c r="C34"/>
      <c r="D34"/>
      <c r="E34"/>
      <c r="F34"/>
      <c r="G34"/>
      <c r="H34"/>
      <c r="I34"/>
      <c r="J34"/>
      <c r="K34"/>
      <c r="L34"/>
      <c r="M34"/>
      <c r="N34" s="199"/>
    </row>
    <row r="35" spans="1:19" s="200" customFormat="1" ht="56.25" customHeight="1">
      <c r="A35" s="187">
        <v>6</v>
      </c>
      <c r="B35"/>
      <c r="C35"/>
      <c r="D35"/>
      <c r="E35"/>
      <c r="F35"/>
      <c r="G35"/>
      <c r="H35"/>
      <c r="I35"/>
      <c r="J35"/>
      <c r="K35"/>
      <c r="L35"/>
      <c r="M35"/>
    </row>
    <row r="36" spans="1:19" s="200" customFormat="1" ht="56.25" customHeight="1">
      <c r="A36" s="187">
        <v>7</v>
      </c>
      <c r="B36"/>
      <c r="C36"/>
      <c r="D36"/>
      <c r="E36"/>
      <c r="F36"/>
      <c r="G36"/>
      <c r="H36"/>
      <c r="I36"/>
      <c r="J36"/>
      <c r="K36"/>
      <c r="L36"/>
      <c r="M36"/>
    </row>
    <row r="37" spans="1:19" s="200" customFormat="1" ht="56.25" customHeight="1">
      <c r="A37" s="187">
        <v>8</v>
      </c>
      <c r="B37"/>
      <c r="C37"/>
      <c r="D37"/>
      <c r="E37"/>
      <c r="F37"/>
      <c r="G37"/>
      <c r="H37"/>
      <c r="I37"/>
      <c r="J37"/>
      <c r="K37"/>
      <c r="L37"/>
      <c r="M37"/>
    </row>
    <row r="38" spans="1:19" s="200" customFormat="1" ht="51" customHeight="1">
      <c r="A38" s="187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9" s="200" customFormat="1" ht="56.25" customHeight="1">
      <c r="A39" s="187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s="200" customFormat="1" ht="36.75" customHeight="1">
      <c r="A40" s="187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 s="180"/>
      <c r="Q40" s="180"/>
      <c r="R40" s="180"/>
      <c r="S40" s="180"/>
    </row>
    <row r="41" spans="1:19" s="180" customFormat="1" ht="56.25" customHeight="1">
      <c r="A41" s="179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 s="72"/>
      <c r="Q41" s="72"/>
      <c r="R41" s="72"/>
      <c r="S41" s="72"/>
    </row>
    <row r="42" spans="1:19" s="180" customFormat="1" ht="31.5" customHeight="1">
      <c r="A42" s="179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 s="72"/>
      <c r="Q42" s="72"/>
      <c r="R42" s="72"/>
      <c r="S42" s="72"/>
    </row>
    <row r="43" spans="1:19" s="180" customFormat="1" ht="30" customHeight="1">
      <c r="A43" s="179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s="180" customFormat="1" ht="30" customHeight="1">
      <c r="A44" s="179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s="180" customFormat="1" ht="24.75" customHeight="1">
      <c r="A45" s="179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s="180" customFormat="1" ht="56.25" customHeight="1">
      <c r="A46" s="179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s="180" customFormat="1" ht="56.25" customHeight="1">
      <c r="A47" s="179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s="180" customFormat="1" ht="56.25" customHeight="1">
      <c r="A48" s="179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s="180" customFormat="1" ht="17">
      <c r="A49" s="181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s="180" customFormat="1" ht="17">
      <c r="A50" s="181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s="72" customFormat="1" ht="17">
      <c r="A51" s="73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s="72" customFormat="1" ht="17">
      <c r="A52" s="73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</sheetData>
  <hyperlinks>
    <hyperlink ref="V48" r:id="rId1" display="santiago2217@icloud.com" xr:uid="{00000000-0004-0000-0100-000000000000}"/>
    <hyperlink ref="P10" r:id="rId2" xr:uid="{00000000-0004-0000-0100-000001000000}"/>
    <hyperlink ref="P12" r:id="rId3" xr:uid="{00000000-0004-0000-0100-000002000000}"/>
    <hyperlink ref="P13" r:id="rId4" xr:uid="{00000000-0004-0000-0100-000003000000}"/>
    <hyperlink ref="P14" r:id="rId5" xr:uid="{00000000-0004-0000-0100-000004000000}"/>
    <hyperlink ref="P15" r:id="rId6" xr:uid="{00000000-0004-0000-0100-000005000000}"/>
    <hyperlink ref="P16" r:id="rId7" xr:uid="{00000000-0004-0000-0100-000006000000}"/>
    <hyperlink ref="P17" r:id="rId8" xr:uid="{00000000-0004-0000-0100-000007000000}"/>
    <hyperlink ref="P19" r:id="rId9" xr:uid="{00000000-0004-0000-0100-000008000000}"/>
    <hyperlink ref="P20" r:id="rId10" xr:uid="{00000000-0004-0000-0100-000009000000}"/>
  </hyperlinks>
  <pageMargins left="0.7" right="0.7" top="0.75" bottom="0.75" header="0.3" footer="0.3"/>
  <pageSetup paperSize="9" orientation="portrait" horizontalDpi="0" verticalDpi="0" r:id="rId11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25"/>
  <sheetViews>
    <sheetView topLeftCell="H1" workbookViewId="0">
      <selection activeCell="L14" sqref="L14"/>
    </sheetView>
  </sheetViews>
  <sheetFormatPr baseColWidth="10" defaultRowHeight="15"/>
  <cols>
    <col min="2" max="2" width="11.33203125" bestFit="1" customWidth="1"/>
    <col min="5" max="5" width="16.6640625" customWidth="1"/>
    <col min="6" max="6" width="26.1640625" customWidth="1"/>
    <col min="7" max="7" width="16" customWidth="1"/>
    <col min="11" max="11" width="11.33203125" bestFit="1" customWidth="1"/>
    <col min="14" max="14" width="11.1640625" bestFit="1" customWidth="1"/>
    <col min="16" max="16" width="13.33203125" bestFit="1" customWidth="1"/>
    <col min="20" max="20" width="13.83203125" bestFit="1" customWidth="1"/>
  </cols>
  <sheetData>
    <row r="3" spans="1:21">
      <c r="A3" s="74"/>
      <c r="B3" s="75"/>
      <c r="C3" s="76" t="s">
        <v>43</v>
      </c>
      <c r="D3" s="75"/>
      <c r="E3" s="77"/>
      <c r="F3" s="75"/>
      <c r="G3" s="78"/>
      <c r="H3" s="75"/>
      <c r="I3" s="75"/>
      <c r="J3" s="75"/>
      <c r="K3" s="79"/>
      <c r="L3" s="79"/>
      <c r="M3" s="75"/>
      <c r="N3" s="75"/>
      <c r="O3" s="80"/>
      <c r="P3" s="75"/>
      <c r="Q3" s="75"/>
      <c r="R3" s="75"/>
      <c r="S3" s="75"/>
      <c r="T3" s="75"/>
      <c r="U3" s="81"/>
    </row>
    <row r="4" spans="1:21">
      <c r="A4" s="74"/>
      <c r="B4" s="75"/>
      <c r="C4" s="82" t="s">
        <v>44</v>
      </c>
      <c r="D4" s="75"/>
      <c r="E4" s="75"/>
      <c r="F4" s="75"/>
      <c r="G4" s="78"/>
      <c r="H4" s="75"/>
      <c r="I4" s="75" t="s">
        <v>45</v>
      </c>
      <c r="J4" s="75"/>
      <c r="K4" s="79"/>
      <c r="L4" s="79"/>
      <c r="M4" s="151" t="s">
        <v>93</v>
      </c>
      <c r="N4" s="75"/>
      <c r="O4" s="80"/>
      <c r="P4" s="75"/>
      <c r="Q4" s="83"/>
      <c r="R4" s="75"/>
      <c r="S4" s="75"/>
      <c r="T4" s="84"/>
      <c r="U4" s="85">
        <v>45536</v>
      </c>
    </row>
    <row r="5" spans="1:21" ht="37">
      <c r="A5" s="81"/>
      <c r="B5" s="86" t="s">
        <v>2</v>
      </c>
      <c r="C5" s="86" t="s">
        <v>3</v>
      </c>
      <c r="D5" s="86" t="s">
        <v>4</v>
      </c>
      <c r="E5" s="86" t="s">
        <v>5</v>
      </c>
      <c r="F5" s="86" t="s">
        <v>6</v>
      </c>
      <c r="G5" s="86" t="s">
        <v>7</v>
      </c>
      <c r="H5" s="86" t="s">
        <v>8</v>
      </c>
      <c r="I5" s="86" t="s">
        <v>9</v>
      </c>
      <c r="J5" s="86" t="s">
        <v>10</v>
      </c>
      <c r="K5" s="87" t="s">
        <v>46</v>
      </c>
      <c r="L5" s="87" t="s">
        <v>12</v>
      </c>
      <c r="M5" s="87" t="s">
        <v>13</v>
      </c>
      <c r="N5" s="87" t="s">
        <v>14</v>
      </c>
      <c r="O5" s="88" t="s">
        <v>15</v>
      </c>
      <c r="P5" s="87" t="s">
        <v>47</v>
      </c>
      <c r="Q5" s="87" t="s">
        <v>48</v>
      </c>
      <c r="R5" s="89" t="s">
        <v>49</v>
      </c>
      <c r="S5" s="89" t="s">
        <v>19</v>
      </c>
      <c r="T5" s="90" t="s">
        <v>20</v>
      </c>
      <c r="U5" s="91" t="s">
        <v>50</v>
      </c>
    </row>
    <row r="6" spans="1:21" s="38" customFormat="1" ht="23.25" customHeight="1">
      <c r="A6" s="92">
        <v>1</v>
      </c>
      <c r="B6" s="98"/>
      <c r="C6" s="99"/>
      <c r="D6" s="94"/>
      <c r="E6" s="95"/>
      <c r="F6" s="96" t="s">
        <v>81</v>
      </c>
      <c r="G6" s="100"/>
      <c r="H6" s="101"/>
      <c r="I6" s="102" t="s">
        <v>76</v>
      </c>
      <c r="J6" s="102" t="s">
        <v>77</v>
      </c>
      <c r="K6" s="98"/>
      <c r="L6" s="99"/>
      <c r="M6" s="97"/>
      <c r="N6" s="185"/>
      <c r="O6" s="103">
        <v>29</v>
      </c>
      <c r="P6" s="99" t="s">
        <v>51</v>
      </c>
      <c r="Q6" s="99" t="s">
        <v>76</v>
      </c>
      <c r="R6" s="104">
        <v>0</v>
      </c>
      <c r="S6" s="104">
        <v>0</v>
      </c>
      <c r="T6" s="105"/>
      <c r="U6" s="150"/>
    </row>
    <row r="7" spans="1:21" ht="17">
      <c r="H7" s="93">
        <v>1</v>
      </c>
      <c r="I7" t="s">
        <v>45</v>
      </c>
      <c r="J7" s="93"/>
      <c r="K7" s="93"/>
      <c r="N7" s="202"/>
    </row>
    <row r="25" spans="4:4">
      <c r="D25" t="s">
        <v>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10"/>
  <sheetViews>
    <sheetView topLeftCell="G1" workbookViewId="0">
      <selection activeCell="O7" sqref="O7:O10"/>
    </sheetView>
  </sheetViews>
  <sheetFormatPr baseColWidth="10" defaultRowHeight="15"/>
  <cols>
    <col min="5" max="5" width="15.33203125" customWidth="1"/>
    <col min="6" max="6" width="39.33203125" bestFit="1" customWidth="1"/>
    <col min="7" max="7" width="15.6640625" bestFit="1" customWidth="1"/>
    <col min="10" max="10" width="15.6640625" customWidth="1"/>
    <col min="11" max="11" width="18.6640625" customWidth="1"/>
    <col min="14" max="14" width="16" customWidth="1"/>
  </cols>
  <sheetData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2">
      <c r="A4" s="5"/>
      <c r="B4" s="5"/>
      <c r="C4" s="106" t="s">
        <v>52</v>
      </c>
      <c r="D4" s="107"/>
      <c r="E4" s="107"/>
      <c r="F4" s="5"/>
      <c r="G4" s="107"/>
      <c r="H4" s="107"/>
      <c r="I4" s="107"/>
      <c r="J4" s="107"/>
      <c r="K4" s="107"/>
      <c r="L4" s="107"/>
      <c r="M4" s="107"/>
      <c r="N4" s="107"/>
      <c r="O4" s="107"/>
      <c r="P4" s="5"/>
    </row>
    <row r="5" spans="1:22" ht="16" thickBot="1">
      <c r="A5" s="5"/>
      <c r="B5" s="107"/>
      <c r="C5" s="108" t="s">
        <v>1</v>
      </c>
      <c r="D5" s="108"/>
      <c r="E5" s="108"/>
      <c r="F5" s="5"/>
      <c r="J5" t="s">
        <v>64</v>
      </c>
      <c r="K5" s="5"/>
      <c r="L5" s="115" t="s">
        <v>92</v>
      </c>
      <c r="P5" s="5"/>
    </row>
    <row r="6" spans="1:22" s="23" customFormat="1" ht="58.5" customHeight="1">
      <c r="A6" s="109"/>
      <c r="B6" s="110" t="s">
        <v>53</v>
      </c>
      <c r="C6" s="111" t="s">
        <v>54</v>
      </c>
      <c r="D6" s="111" t="s">
        <v>4</v>
      </c>
      <c r="E6" s="112" t="s">
        <v>55</v>
      </c>
      <c r="F6" s="111" t="s">
        <v>56</v>
      </c>
      <c r="G6" s="111" t="s">
        <v>57</v>
      </c>
      <c r="H6" s="110" t="s">
        <v>8</v>
      </c>
      <c r="I6" s="111" t="s">
        <v>58</v>
      </c>
      <c r="J6" s="111" t="s">
        <v>59</v>
      </c>
      <c r="K6" s="111" t="s">
        <v>60</v>
      </c>
      <c r="L6" s="111" t="s">
        <v>12</v>
      </c>
      <c r="M6" s="113" t="s">
        <v>61</v>
      </c>
      <c r="N6" s="111" t="s">
        <v>14</v>
      </c>
      <c r="O6" s="114" t="s">
        <v>15</v>
      </c>
      <c r="P6" s="111" t="s">
        <v>62</v>
      </c>
      <c r="Q6" s="113"/>
      <c r="R6" s="113"/>
    </row>
    <row r="7" spans="1:22" s="38" customFormat="1" ht="24" customHeight="1">
      <c r="A7" s="24">
        <v>1</v>
      </c>
      <c r="B7" s="25">
        <v>45525</v>
      </c>
      <c r="C7" s="26" t="s">
        <v>78</v>
      </c>
      <c r="D7" s="26" t="s">
        <v>63</v>
      </c>
      <c r="E7" s="27">
        <v>112950021</v>
      </c>
      <c r="F7" s="28" t="s">
        <v>203</v>
      </c>
      <c r="G7" s="29" t="s">
        <v>246</v>
      </c>
      <c r="H7" s="30" t="s">
        <v>42</v>
      </c>
      <c r="I7" s="26" t="s">
        <v>79</v>
      </c>
      <c r="J7" s="29" t="s">
        <v>80</v>
      </c>
      <c r="K7" s="31">
        <v>45525</v>
      </c>
      <c r="L7" s="32" t="s">
        <v>78</v>
      </c>
      <c r="M7" s="32" t="s">
        <v>247</v>
      </c>
      <c r="N7" s="183" t="s">
        <v>248</v>
      </c>
      <c r="O7" s="33">
        <v>15</v>
      </c>
      <c r="P7" s="26" t="s">
        <v>88</v>
      </c>
      <c r="Q7" s="26"/>
      <c r="R7" s="186"/>
      <c r="S7" s="34"/>
      <c r="T7" s="35"/>
      <c r="U7" s="36"/>
      <c r="V7" s="37"/>
    </row>
    <row r="8" spans="1:22" ht="17">
      <c r="A8">
        <v>2</v>
      </c>
      <c r="B8" s="25">
        <v>45525</v>
      </c>
      <c r="C8" s="26" t="s">
        <v>78</v>
      </c>
      <c r="D8" s="26" t="s">
        <v>63</v>
      </c>
      <c r="E8" s="27">
        <v>112950021</v>
      </c>
      <c r="F8" s="28" t="s">
        <v>203</v>
      </c>
      <c r="G8" s="29" t="s">
        <v>246</v>
      </c>
      <c r="H8" s="30" t="s">
        <v>42</v>
      </c>
      <c r="I8" s="26" t="s">
        <v>79</v>
      </c>
      <c r="J8" s="29" t="s">
        <v>80</v>
      </c>
      <c r="K8" s="31">
        <v>45541</v>
      </c>
      <c r="L8" s="32" t="s">
        <v>78</v>
      </c>
      <c r="M8" s="32" t="s">
        <v>247</v>
      </c>
      <c r="N8" s="183" t="s">
        <v>248</v>
      </c>
      <c r="O8" s="33">
        <v>15</v>
      </c>
      <c r="P8" s="26" t="s">
        <v>88</v>
      </c>
      <c r="Q8" s="26"/>
      <c r="R8" s="186"/>
    </row>
    <row r="9" spans="1:22" ht="17">
      <c r="A9">
        <v>3</v>
      </c>
      <c r="B9" s="25">
        <v>45547</v>
      </c>
      <c r="C9" s="26" t="s">
        <v>96</v>
      </c>
      <c r="D9" s="26" t="s">
        <v>63</v>
      </c>
      <c r="E9" s="27">
        <v>41598031</v>
      </c>
      <c r="F9" s="28" t="s">
        <v>337</v>
      </c>
      <c r="G9" s="29" t="s">
        <v>338</v>
      </c>
      <c r="H9" s="30" t="s">
        <v>42</v>
      </c>
      <c r="I9" s="26" t="s">
        <v>79</v>
      </c>
      <c r="J9" s="29" t="s">
        <v>80</v>
      </c>
      <c r="K9" s="31">
        <v>45547</v>
      </c>
      <c r="L9" s="32" t="s">
        <v>339</v>
      </c>
      <c r="M9" s="32" t="s">
        <v>340</v>
      </c>
      <c r="N9" s="183" t="s">
        <v>341</v>
      </c>
      <c r="O9" s="33">
        <v>15</v>
      </c>
      <c r="P9" s="26" t="s">
        <v>88</v>
      </c>
      <c r="Q9" s="26"/>
      <c r="R9" s="186"/>
    </row>
    <row r="10" spans="1:22">
      <c r="O10" s="146">
        <f>SUM(O7:O9)</f>
        <v>45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topLeftCell="F5" workbookViewId="0">
      <selection activeCell="R18" sqref="R18"/>
    </sheetView>
  </sheetViews>
  <sheetFormatPr baseColWidth="10" defaultRowHeight="15"/>
  <cols>
    <col min="3" max="3" width="11.33203125" customWidth="1"/>
    <col min="6" max="6" width="13.33203125" customWidth="1"/>
    <col min="11" max="11" width="20" customWidth="1"/>
  </cols>
  <sheetData>
    <row r="1" spans="1:21">
      <c r="A1" s="116"/>
      <c r="B1" s="117" t="s">
        <v>65</v>
      </c>
      <c r="C1" s="118"/>
      <c r="D1" s="117"/>
      <c r="E1" s="119"/>
      <c r="F1" s="119"/>
      <c r="G1" s="120"/>
      <c r="H1" s="120"/>
      <c r="I1" s="120"/>
      <c r="J1" s="120"/>
      <c r="K1" s="120"/>
      <c r="L1" s="120"/>
      <c r="M1" s="121"/>
      <c r="N1" s="120"/>
      <c r="O1" s="120"/>
      <c r="P1" s="120"/>
    </row>
    <row r="2" spans="1:21">
      <c r="A2" s="116"/>
      <c r="B2" s="122" t="s">
        <v>565</v>
      </c>
      <c r="C2" s="123"/>
      <c r="D2" s="119"/>
      <c r="E2" s="119"/>
      <c r="F2" s="119"/>
      <c r="G2" s="120"/>
      <c r="H2" s="120"/>
      <c r="I2" s="120"/>
      <c r="J2" s="120"/>
      <c r="K2" s="120"/>
      <c r="L2" s="120"/>
      <c r="M2" s="121"/>
      <c r="N2" s="120"/>
      <c r="O2" s="120"/>
      <c r="P2" s="120"/>
    </row>
    <row r="3" spans="1:21">
      <c r="A3" s="116"/>
      <c r="B3" s="124"/>
      <c r="C3" s="125"/>
      <c r="D3" s="124"/>
      <c r="E3" s="124"/>
      <c r="F3" s="124"/>
      <c r="G3" s="124"/>
      <c r="H3" s="124"/>
      <c r="I3" s="126"/>
      <c r="J3" s="124"/>
      <c r="K3" s="119"/>
      <c r="L3" s="119"/>
      <c r="M3" s="127"/>
      <c r="N3" s="120"/>
      <c r="O3" s="120"/>
      <c r="P3" s="124"/>
    </row>
    <row r="4" spans="1:21">
      <c r="A4" s="116"/>
      <c r="B4" s="120"/>
      <c r="C4" s="125" t="s">
        <v>0</v>
      </c>
      <c r="D4" s="120"/>
      <c r="E4" s="128"/>
      <c r="F4" s="120"/>
      <c r="G4" s="129"/>
      <c r="H4" s="120"/>
      <c r="I4" s="120"/>
      <c r="J4" s="120"/>
      <c r="K4" s="119"/>
      <c r="L4" s="123"/>
      <c r="M4" s="121"/>
      <c r="N4" s="120"/>
      <c r="O4" s="120"/>
      <c r="P4" s="120"/>
    </row>
    <row r="5" spans="1:21">
      <c r="A5" s="116"/>
      <c r="B5" s="120"/>
      <c r="C5" s="130" t="s">
        <v>1</v>
      </c>
      <c r="D5" s="130" t="s">
        <v>1</v>
      </c>
      <c r="E5" s="120"/>
      <c r="G5" s="120"/>
      <c r="H5" s="120"/>
      <c r="I5" s="120"/>
      <c r="J5" s="120" t="s">
        <v>75</v>
      </c>
      <c r="K5" s="120"/>
      <c r="L5" s="120"/>
      <c r="M5" s="120" t="s">
        <v>94</v>
      </c>
    </row>
    <row r="6" spans="1:21" ht="37">
      <c r="A6" s="116"/>
      <c r="B6" s="131" t="s">
        <v>2</v>
      </c>
      <c r="C6" s="131" t="s">
        <v>3</v>
      </c>
      <c r="D6" s="131" t="s">
        <v>4</v>
      </c>
      <c r="E6" s="131" t="s">
        <v>5</v>
      </c>
      <c r="F6" s="132" t="s">
        <v>6</v>
      </c>
      <c r="G6" s="131" t="s">
        <v>7</v>
      </c>
      <c r="H6" s="131" t="s">
        <v>8</v>
      </c>
      <c r="I6" s="131" t="s">
        <v>9</v>
      </c>
      <c r="J6" s="131" t="s">
        <v>10</v>
      </c>
      <c r="K6" s="131" t="s">
        <v>11</v>
      </c>
      <c r="L6" s="131" t="s">
        <v>67</v>
      </c>
      <c r="M6" s="133" t="s">
        <v>68</v>
      </c>
      <c r="N6" s="131" t="s">
        <v>69</v>
      </c>
      <c r="O6" s="131" t="s">
        <v>66</v>
      </c>
      <c r="P6" s="131" t="s">
        <v>70</v>
      </c>
      <c r="Q6" s="131" t="s">
        <v>71</v>
      </c>
      <c r="R6" s="131" t="s">
        <v>72</v>
      </c>
      <c r="S6" s="131" t="s">
        <v>73</v>
      </c>
      <c r="T6" s="133" t="s">
        <v>74</v>
      </c>
      <c r="U6" s="131" t="s">
        <v>13</v>
      </c>
    </row>
    <row r="7" spans="1:21" s="39" customFormat="1" ht="24" customHeight="1">
      <c r="A7" s="39">
        <v>1</v>
      </c>
      <c r="B7" s="134">
        <v>45369</v>
      </c>
      <c r="C7" s="135" t="s">
        <v>139</v>
      </c>
      <c r="D7" s="135" t="s">
        <v>571</v>
      </c>
      <c r="E7" s="136">
        <v>40461543</v>
      </c>
      <c r="F7" s="135" t="s">
        <v>572</v>
      </c>
      <c r="G7" s="137" t="s">
        <v>573</v>
      </c>
      <c r="H7" s="138">
        <v>418425</v>
      </c>
      <c r="I7" s="139" t="s">
        <v>85</v>
      </c>
      <c r="J7" s="139" t="s">
        <v>77</v>
      </c>
      <c r="K7" s="140">
        <v>45554</v>
      </c>
      <c r="L7" s="141" t="s">
        <v>574</v>
      </c>
      <c r="M7" s="141">
        <v>968424772</v>
      </c>
      <c r="N7" s="142">
        <v>15</v>
      </c>
      <c r="O7" s="143" t="s">
        <v>86</v>
      </c>
      <c r="P7" s="135">
        <v>103269056</v>
      </c>
      <c r="Q7" s="184" t="s">
        <v>575</v>
      </c>
      <c r="R7" s="145"/>
      <c r="S7" s="141" t="s">
        <v>574</v>
      </c>
      <c r="T7" s="141">
        <v>103269056</v>
      </c>
      <c r="U7" s="144" t="s">
        <v>576</v>
      </c>
    </row>
    <row r="8" spans="1:21" s="39" customFormat="1" ht="24" customHeight="1">
      <c r="A8">
        <v>2</v>
      </c>
      <c r="B8" s="134">
        <v>45369</v>
      </c>
      <c r="C8" s="135" t="s">
        <v>139</v>
      </c>
      <c r="D8" s="135" t="s">
        <v>571</v>
      </c>
      <c r="E8" s="136">
        <v>40461543</v>
      </c>
      <c r="F8" s="135" t="s">
        <v>572</v>
      </c>
      <c r="G8" s="137" t="s">
        <v>577</v>
      </c>
      <c r="H8" s="138">
        <v>418433</v>
      </c>
      <c r="I8" s="139" t="s">
        <v>85</v>
      </c>
      <c r="J8" s="139" t="s">
        <v>77</v>
      </c>
      <c r="K8" s="140">
        <v>45554</v>
      </c>
      <c r="L8" s="141" t="s">
        <v>574</v>
      </c>
      <c r="M8" s="141">
        <v>968424772</v>
      </c>
      <c r="N8" s="142">
        <v>15</v>
      </c>
      <c r="O8" s="143" t="s">
        <v>86</v>
      </c>
      <c r="P8" s="135">
        <v>103269056</v>
      </c>
      <c r="Q8" s="184" t="s">
        <v>575</v>
      </c>
      <c r="R8" s="145"/>
      <c r="S8" s="141" t="s">
        <v>574</v>
      </c>
      <c r="T8" s="141">
        <v>103269056</v>
      </c>
      <c r="U8" s="144" t="s">
        <v>576</v>
      </c>
    </row>
    <row r="9" spans="1:21" s="39" customFormat="1" ht="24" customHeight="1">
      <c r="A9">
        <v>3</v>
      </c>
      <c r="B9" s="134">
        <v>45369</v>
      </c>
      <c r="C9" s="135" t="s">
        <v>139</v>
      </c>
      <c r="D9" s="135" t="s">
        <v>571</v>
      </c>
      <c r="E9" s="136">
        <v>40461543</v>
      </c>
      <c r="F9" s="135" t="s">
        <v>572</v>
      </c>
      <c r="G9" s="137" t="s">
        <v>578</v>
      </c>
      <c r="H9" s="138">
        <v>418724</v>
      </c>
      <c r="I9" s="139" t="s">
        <v>85</v>
      </c>
      <c r="J9" s="139" t="s">
        <v>77</v>
      </c>
      <c r="K9" s="140">
        <v>45554</v>
      </c>
      <c r="L9" s="141" t="s">
        <v>574</v>
      </c>
      <c r="M9" s="141">
        <v>968424772</v>
      </c>
      <c r="N9" s="142">
        <v>15</v>
      </c>
      <c r="O9" s="143" t="s">
        <v>86</v>
      </c>
      <c r="P9" s="135">
        <v>103269056</v>
      </c>
      <c r="Q9" s="184" t="s">
        <v>575</v>
      </c>
      <c r="R9" s="145"/>
      <c r="S9" s="141" t="s">
        <v>574</v>
      </c>
      <c r="T9" s="141">
        <v>103269056</v>
      </c>
      <c r="U9" s="144" t="s">
        <v>576</v>
      </c>
    </row>
    <row r="10" spans="1:21" s="39" customFormat="1" ht="24" customHeight="1">
      <c r="A10" s="39">
        <v>4</v>
      </c>
      <c r="B10" s="134">
        <v>45369</v>
      </c>
      <c r="C10" s="135" t="s">
        <v>139</v>
      </c>
      <c r="D10" s="135" t="s">
        <v>571</v>
      </c>
      <c r="E10" s="136">
        <v>40461543</v>
      </c>
      <c r="F10" s="135" t="s">
        <v>572</v>
      </c>
      <c r="G10" s="137" t="s">
        <v>579</v>
      </c>
      <c r="H10" s="138">
        <v>418720</v>
      </c>
      <c r="I10" s="139" t="s">
        <v>85</v>
      </c>
      <c r="J10" s="139" t="s">
        <v>77</v>
      </c>
      <c r="K10" s="140">
        <v>45554</v>
      </c>
      <c r="L10" s="141" t="s">
        <v>574</v>
      </c>
      <c r="M10" s="141">
        <v>968424772</v>
      </c>
      <c r="N10" s="142">
        <v>15</v>
      </c>
      <c r="O10" s="143" t="s">
        <v>86</v>
      </c>
      <c r="P10" s="135">
        <v>103269056</v>
      </c>
      <c r="Q10" s="184" t="s">
        <v>575</v>
      </c>
      <c r="R10" s="145"/>
      <c r="S10" s="141" t="s">
        <v>574</v>
      </c>
      <c r="T10" s="141">
        <v>103269056</v>
      </c>
      <c r="U10" s="144" t="s">
        <v>576</v>
      </c>
    </row>
    <row r="11" spans="1:21" s="39" customFormat="1" ht="24" customHeight="1">
      <c r="A11">
        <v>5</v>
      </c>
      <c r="B11" s="134">
        <v>45369</v>
      </c>
      <c r="C11" s="135" t="s">
        <v>139</v>
      </c>
      <c r="D11" s="135" t="s">
        <v>571</v>
      </c>
      <c r="E11" s="136">
        <v>40461543</v>
      </c>
      <c r="F11" s="135" t="s">
        <v>572</v>
      </c>
      <c r="G11" s="137" t="s">
        <v>580</v>
      </c>
      <c r="H11" s="138">
        <v>418722</v>
      </c>
      <c r="I11" s="139" t="s">
        <v>85</v>
      </c>
      <c r="J11" s="139" t="s">
        <v>77</v>
      </c>
      <c r="K11" s="140">
        <v>45554</v>
      </c>
      <c r="L11" s="141" t="s">
        <v>574</v>
      </c>
      <c r="M11" s="141">
        <v>968424772</v>
      </c>
      <c r="N11" s="142">
        <v>15</v>
      </c>
      <c r="O11" s="143" t="s">
        <v>86</v>
      </c>
      <c r="P11" s="135">
        <v>103269056</v>
      </c>
      <c r="Q11" s="184" t="s">
        <v>575</v>
      </c>
      <c r="R11" s="145"/>
      <c r="S11" s="141" t="s">
        <v>574</v>
      </c>
      <c r="T11" s="141">
        <v>103269056</v>
      </c>
      <c r="U11" s="144" t="s">
        <v>576</v>
      </c>
    </row>
    <row r="12" spans="1:21" s="39" customFormat="1" ht="24" customHeight="1">
      <c r="A12">
        <v>6</v>
      </c>
      <c r="B12" s="134">
        <v>45369</v>
      </c>
      <c r="C12" s="135" t="s">
        <v>139</v>
      </c>
      <c r="D12" s="135" t="s">
        <v>571</v>
      </c>
      <c r="E12" s="136">
        <v>40461543</v>
      </c>
      <c r="F12" s="135" t="s">
        <v>572</v>
      </c>
      <c r="G12" s="137" t="s">
        <v>581</v>
      </c>
      <c r="H12" s="138">
        <v>418725</v>
      </c>
      <c r="I12" s="139" t="s">
        <v>85</v>
      </c>
      <c r="J12" s="139" t="s">
        <v>77</v>
      </c>
      <c r="K12" s="140">
        <v>45554</v>
      </c>
      <c r="L12" s="141" t="s">
        <v>574</v>
      </c>
      <c r="M12" s="141">
        <v>968424772</v>
      </c>
      <c r="N12" s="142">
        <v>15</v>
      </c>
      <c r="O12" s="143" t="s">
        <v>86</v>
      </c>
      <c r="P12" s="135">
        <v>103269056</v>
      </c>
      <c r="Q12" s="184" t="s">
        <v>575</v>
      </c>
      <c r="R12" s="145"/>
      <c r="S12" s="141" t="s">
        <v>574</v>
      </c>
      <c r="T12" s="141">
        <v>103269056</v>
      </c>
      <c r="U12" s="144" t="s">
        <v>576</v>
      </c>
    </row>
    <row r="13" spans="1:21" s="39" customFormat="1" ht="24" customHeight="1">
      <c r="A13" s="39">
        <v>7</v>
      </c>
      <c r="B13" s="134">
        <v>45369</v>
      </c>
      <c r="C13" s="135" t="s">
        <v>139</v>
      </c>
      <c r="D13" s="135" t="s">
        <v>571</v>
      </c>
      <c r="E13" s="136">
        <v>40461543</v>
      </c>
      <c r="F13" s="135" t="s">
        <v>572</v>
      </c>
      <c r="G13" s="137" t="s">
        <v>582</v>
      </c>
      <c r="H13" s="138">
        <v>418719</v>
      </c>
      <c r="I13" s="139" t="s">
        <v>85</v>
      </c>
      <c r="J13" s="139" t="s">
        <v>77</v>
      </c>
      <c r="K13" s="140">
        <v>45554</v>
      </c>
      <c r="L13" s="141" t="s">
        <v>574</v>
      </c>
      <c r="M13" s="141">
        <v>968424772</v>
      </c>
      <c r="N13" s="142">
        <v>15</v>
      </c>
      <c r="O13" s="143" t="s">
        <v>86</v>
      </c>
      <c r="P13" s="135">
        <v>103269056</v>
      </c>
      <c r="Q13" s="184" t="s">
        <v>575</v>
      </c>
      <c r="R13" s="145"/>
      <c r="S13" s="141" t="s">
        <v>574</v>
      </c>
      <c r="T13" s="141">
        <v>103269056</v>
      </c>
      <c r="U13" s="144" t="s">
        <v>576</v>
      </c>
    </row>
    <row r="14" spans="1:21" s="39" customFormat="1" ht="24" customHeight="1">
      <c r="A14">
        <v>8</v>
      </c>
      <c r="B14" s="134">
        <v>45369</v>
      </c>
      <c r="C14" s="135" t="s">
        <v>139</v>
      </c>
      <c r="D14" s="135" t="s">
        <v>571</v>
      </c>
      <c r="E14" s="136">
        <v>40461543</v>
      </c>
      <c r="F14" s="135" t="s">
        <v>572</v>
      </c>
      <c r="G14" s="137" t="s">
        <v>583</v>
      </c>
      <c r="H14" s="138">
        <v>418726</v>
      </c>
      <c r="I14" s="139" t="s">
        <v>85</v>
      </c>
      <c r="J14" s="139" t="s">
        <v>77</v>
      </c>
      <c r="K14" s="140">
        <v>45554</v>
      </c>
      <c r="L14" s="141" t="s">
        <v>574</v>
      </c>
      <c r="M14" s="141">
        <v>968424772</v>
      </c>
      <c r="N14" s="142">
        <v>15</v>
      </c>
      <c r="O14" s="143" t="s">
        <v>86</v>
      </c>
      <c r="P14" s="135">
        <v>103269056</v>
      </c>
      <c r="Q14" s="184" t="s">
        <v>575</v>
      </c>
      <c r="R14" s="145"/>
      <c r="S14" s="141" t="s">
        <v>574</v>
      </c>
      <c r="T14" s="141">
        <v>103269056</v>
      </c>
      <c r="U14" s="144" t="s">
        <v>576</v>
      </c>
    </row>
    <row r="15" spans="1:21" s="39" customFormat="1" ht="24" customHeight="1">
      <c r="A15">
        <v>9</v>
      </c>
      <c r="B15" s="134">
        <v>45369</v>
      </c>
      <c r="C15" s="135" t="s">
        <v>139</v>
      </c>
      <c r="D15" s="135" t="s">
        <v>571</v>
      </c>
      <c r="E15" s="136">
        <v>40461543</v>
      </c>
      <c r="F15" s="135" t="s">
        <v>572</v>
      </c>
      <c r="G15" s="137" t="s">
        <v>584</v>
      </c>
      <c r="H15" s="138">
        <v>418429</v>
      </c>
      <c r="I15" s="139" t="s">
        <v>85</v>
      </c>
      <c r="J15" s="139" t="s">
        <v>77</v>
      </c>
      <c r="K15" s="140">
        <v>45554</v>
      </c>
      <c r="L15" s="141" t="s">
        <v>574</v>
      </c>
      <c r="M15" s="141">
        <v>968424772</v>
      </c>
      <c r="N15" s="142">
        <v>15</v>
      </c>
      <c r="O15" s="143" t="s">
        <v>86</v>
      </c>
      <c r="P15" s="135">
        <v>103269056</v>
      </c>
      <c r="Q15" s="184" t="s">
        <v>575</v>
      </c>
      <c r="R15" s="145"/>
      <c r="S15" s="141" t="s">
        <v>574</v>
      </c>
      <c r="T15" s="141">
        <v>103269056</v>
      </c>
      <c r="U15" s="144" t="s">
        <v>576</v>
      </c>
    </row>
    <row r="16" spans="1:21" s="39" customFormat="1" ht="24" customHeight="1">
      <c r="A16" s="39">
        <v>10</v>
      </c>
      <c r="B16" s="134">
        <v>45369</v>
      </c>
      <c r="C16" s="135" t="s">
        <v>139</v>
      </c>
      <c r="D16" s="135" t="s">
        <v>571</v>
      </c>
      <c r="E16" s="136">
        <v>40466111</v>
      </c>
      <c r="F16" s="135" t="s">
        <v>106</v>
      </c>
      <c r="G16" s="137" t="s">
        <v>585</v>
      </c>
      <c r="H16" s="138" t="s">
        <v>42</v>
      </c>
      <c r="I16" s="139" t="s">
        <v>85</v>
      </c>
      <c r="J16" s="139" t="s">
        <v>77</v>
      </c>
      <c r="K16" s="140">
        <v>45554</v>
      </c>
      <c r="L16" s="141" t="s">
        <v>574</v>
      </c>
      <c r="M16" s="141">
        <v>968424772</v>
      </c>
      <c r="N16" s="142">
        <v>15</v>
      </c>
      <c r="O16" s="143" t="s">
        <v>86</v>
      </c>
      <c r="P16" s="135">
        <v>103269056</v>
      </c>
      <c r="Q16" s="184" t="s">
        <v>575</v>
      </c>
      <c r="R16" s="145"/>
      <c r="S16" s="141" t="s">
        <v>574</v>
      </c>
      <c r="T16" s="141">
        <v>103269056</v>
      </c>
      <c r="U16" s="144" t="s">
        <v>576</v>
      </c>
    </row>
    <row r="17" spans="1:21" s="39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 s="146">
        <f>SUM(N7:N16)</f>
        <v>150</v>
      </c>
      <c r="O17"/>
      <c r="P17"/>
      <c r="Q17"/>
      <c r="R17"/>
      <c r="S17"/>
      <c r="T17"/>
      <c r="U17"/>
    </row>
    <row r="18" spans="1:21" s="39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39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39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39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39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39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39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39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9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39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39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39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39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39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39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39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39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39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39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39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39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39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39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39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39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hyperlinks>
    <hyperlink ref="Q7" r:id="rId1" xr:uid="{00000000-0004-0000-0400-000000000000}"/>
    <hyperlink ref="Q8" r:id="rId2" xr:uid="{00000000-0004-0000-0400-000001000000}"/>
    <hyperlink ref="Q9" r:id="rId3" xr:uid="{00000000-0004-0000-0400-000002000000}"/>
    <hyperlink ref="Q10" r:id="rId4" xr:uid="{00000000-0004-0000-0400-000003000000}"/>
    <hyperlink ref="Q11" r:id="rId5" xr:uid="{00000000-0004-0000-0400-000004000000}"/>
    <hyperlink ref="Q12" r:id="rId6" xr:uid="{00000000-0004-0000-0400-000005000000}"/>
    <hyperlink ref="Q13" r:id="rId7" xr:uid="{00000000-0004-0000-0400-000006000000}"/>
    <hyperlink ref="Q14" r:id="rId8" xr:uid="{00000000-0004-0000-0400-000007000000}"/>
    <hyperlink ref="Q15" r:id="rId9" xr:uid="{00000000-0004-0000-0400-000008000000}"/>
    <hyperlink ref="Q16" r:id="rId10" xr:uid="{00000000-0004-0000-0400-000009000000}"/>
  </hyperlinks>
  <pageMargins left="0.7" right="0.7" top="0.75" bottom="0.75" header="0.3" footer="0.3"/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tabSelected="1" topLeftCell="A3" zoomScale="218" zoomScaleNormal="218" workbookViewId="0">
      <selection activeCell="G20" sqref="G20"/>
    </sheetView>
  </sheetViews>
  <sheetFormatPr baseColWidth="10" defaultRowHeight="15"/>
  <cols>
    <col min="1" max="1" width="3.83203125" customWidth="1"/>
    <col min="5" max="5" width="13.5" customWidth="1"/>
    <col min="7" max="7" width="25.5" customWidth="1"/>
    <col min="8" max="8" width="13.83203125" bestFit="1" customWidth="1"/>
  </cols>
  <sheetData>
    <row r="1" spans="1:21" ht="16">
      <c r="G1" s="178"/>
    </row>
    <row r="2" spans="1:21">
      <c r="B2" s="152"/>
      <c r="C2" s="153" t="s">
        <v>0</v>
      </c>
      <c r="F2" s="154"/>
      <c r="G2" s="155"/>
      <c r="H2" s="156"/>
      <c r="I2" s="157"/>
      <c r="J2" s="158"/>
      <c r="K2" s="159"/>
      <c r="L2" s="160"/>
      <c r="M2" s="160"/>
      <c r="N2" s="152"/>
      <c r="O2" s="161"/>
      <c r="T2" s="162"/>
    </row>
    <row r="3" spans="1:21">
      <c r="B3" s="152"/>
      <c r="C3" s="163" t="s">
        <v>1</v>
      </c>
      <c r="F3" s="164"/>
      <c r="G3" s="155"/>
      <c r="H3" s="156"/>
      <c r="I3" s="157"/>
      <c r="J3" s="158" t="s">
        <v>83</v>
      </c>
      <c r="K3" s="159"/>
      <c r="L3" s="160"/>
      <c r="M3" s="165"/>
      <c r="N3" s="166" t="s">
        <v>95</v>
      </c>
      <c r="O3" s="161"/>
      <c r="P3" s="167"/>
      <c r="T3" s="162"/>
    </row>
    <row r="4" spans="1:21" ht="20">
      <c r="B4" s="168" t="s">
        <v>11</v>
      </c>
      <c r="C4" s="168" t="s">
        <v>2</v>
      </c>
      <c r="D4" s="168" t="s">
        <v>3</v>
      </c>
      <c r="E4" s="168" t="s">
        <v>4</v>
      </c>
      <c r="F4" s="168" t="s">
        <v>5</v>
      </c>
      <c r="G4" s="168" t="s">
        <v>6</v>
      </c>
      <c r="H4" s="168" t="s">
        <v>7</v>
      </c>
      <c r="I4" s="168" t="s">
        <v>8</v>
      </c>
      <c r="J4" s="168" t="s">
        <v>9</v>
      </c>
      <c r="K4" s="168" t="s">
        <v>10</v>
      </c>
      <c r="L4" s="169" t="s">
        <v>12</v>
      </c>
      <c r="M4" s="169" t="s">
        <v>13</v>
      </c>
      <c r="N4" s="168" t="s">
        <v>14</v>
      </c>
      <c r="O4" s="170" t="s">
        <v>15</v>
      </c>
      <c r="P4" s="168" t="s">
        <v>16</v>
      </c>
      <c r="Q4" s="168" t="s">
        <v>17</v>
      </c>
      <c r="R4" s="171" t="s">
        <v>18</v>
      </c>
      <c r="S4" s="168" t="s">
        <v>19</v>
      </c>
      <c r="T4" s="168" t="s">
        <v>20</v>
      </c>
      <c r="U4" s="172" t="s">
        <v>21</v>
      </c>
    </row>
    <row r="5" spans="1:21">
      <c r="A5">
        <v>1</v>
      </c>
      <c r="B5" s="173">
        <v>45524</v>
      </c>
      <c r="C5" s="173">
        <v>45510</v>
      </c>
      <c r="D5" s="173" t="s">
        <v>139</v>
      </c>
      <c r="E5" s="173" t="s">
        <v>377</v>
      </c>
      <c r="F5" s="174" t="s">
        <v>172</v>
      </c>
      <c r="G5" s="173" t="s">
        <v>173</v>
      </c>
      <c r="H5" s="173" t="s">
        <v>378</v>
      </c>
      <c r="I5" s="174" t="s">
        <v>42</v>
      </c>
      <c r="J5" s="173" t="s">
        <v>79</v>
      </c>
      <c r="K5" s="173" t="s">
        <v>80</v>
      </c>
      <c r="L5" s="173" t="s">
        <v>379</v>
      </c>
      <c r="M5" s="173" t="s">
        <v>380</v>
      </c>
      <c r="N5" s="175">
        <v>939502950</v>
      </c>
      <c r="O5" s="176">
        <v>15</v>
      </c>
      <c r="P5" s="173" t="s">
        <v>84</v>
      </c>
      <c r="Q5" s="173" t="s">
        <v>79</v>
      </c>
      <c r="R5" s="173"/>
      <c r="S5" s="173" t="s">
        <v>377</v>
      </c>
      <c r="T5" s="177">
        <v>702524273</v>
      </c>
      <c r="U5" s="243" t="s">
        <v>381</v>
      </c>
    </row>
    <row r="6" spans="1:21">
      <c r="A6">
        <v>2</v>
      </c>
      <c r="B6" s="173">
        <v>45525</v>
      </c>
      <c r="C6" s="173">
        <v>45521</v>
      </c>
      <c r="D6" s="173" t="s">
        <v>78</v>
      </c>
      <c r="E6" s="173" t="s">
        <v>382</v>
      </c>
      <c r="F6" s="174" t="s">
        <v>383</v>
      </c>
      <c r="G6" s="173" t="s">
        <v>264</v>
      </c>
      <c r="H6" s="173" t="s">
        <v>384</v>
      </c>
      <c r="I6" s="174" t="s">
        <v>42</v>
      </c>
      <c r="J6" s="173" t="s">
        <v>79</v>
      </c>
      <c r="K6" s="173" t="s">
        <v>80</v>
      </c>
      <c r="L6" s="173" t="s">
        <v>385</v>
      </c>
      <c r="M6" s="173" t="s">
        <v>386</v>
      </c>
      <c r="N6" s="175">
        <v>984455429</v>
      </c>
      <c r="O6" s="176">
        <v>25</v>
      </c>
      <c r="P6" s="173" t="s">
        <v>84</v>
      </c>
      <c r="Q6" s="173" t="s">
        <v>79</v>
      </c>
      <c r="R6" s="173"/>
      <c r="S6" s="173" t="s">
        <v>382</v>
      </c>
      <c r="T6" s="177">
        <v>104504337</v>
      </c>
      <c r="U6" s="243" t="s">
        <v>387</v>
      </c>
    </row>
    <row r="7" spans="1:21">
      <c r="A7">
        <v>3</v>
      </c>
      <c r="B7" s="173">
        <v>45525</v>
      </c>
      <c r="C7" s="173">
        <v>45504</v>
      </c>
      <c r="D7" s="173" t="s">
        <v>139</v>
      </c>
      <c r="E7" s="173" t="s">
        <v>388</v>
      </c>
      <c r="F7" s="174" t="s">
        <v>389</v>
      </c>
      <c r="G7" s="173" t="s">
        <v>390</v>
      </c>
      <c r="H7" s="173" t="s">
        <v>391</v>
      </c>
      <c r="I7" s="174" t="s">
        <v>42</v>
      </c>
      <c r="J7" s="173" t="s">
        <v>79</v>
      </c>
      <c r="K7" s="173" t="s">
        <v>80</v>
      </c>
      <c r="L7" s="173" t="s">
        <v>392</v>
      </c>
      <c r="M7" s="173" t="s">
        <v>393</v>
      </c>
      <c r="N7" s="175">
        <v>995836091</v>
      </c>
      <c r="O7" s="176">
        <v>15</v>
      </c>
      <c r="P7" s="173" t="s">
        <v>84</v>
      </c>
      <c r="Q7" s="173" t="s">
        <v>79</v>
      </c>
      <c r="R7" s="173"/>
      <c r="S7" s="173" t="s">
        <v>388</v>
      </c>
      <c r="T7" s="177">
        <v>102659315</v>
      </c>
      <c r="U7" s="243" t="s">
        <v>394</v>
      </c>
    </row>
    <row r="8" spans="1:21">
      <c r="A8">
        <v>4</v>
      </c>
      <c r="B8" s="173">
        <v>45526</v>
      </c>
      <c r="C8" s="173">
        <v>45467</v>
      </c>
      <c r="D8" s="173" t="s">
        <v>212</v>
      </c>
      <c r="E8" s="173" t="s">
        <v>395</v>
      </c>
      <c r="F8" s="174" t="s">
        <v>223</v>
      </c>
      <c r="G8" s="173" t="s">
        <v>396</v>
      </c>
      <c r="H8" s="173" t="s">
        <v>397</v>
      </c>
      <c r="I8" s="174" t="s">
        <v>42</v>
      </c>
      <c r="J8" s="173" t="s">
        <v>79</v>
      </c>
      <c r="K8" s="173" t="s">
        <v>80</v>
      </c>
      <c r="L8" s="173" t="s">
        <v>398</v>
      </c>
      <c r="M8" s="173" t="s">
        <v>399</v>
      </c>
      <c r="N8" s="175">
        <v>994474174</v>
      </c>
      <c r="O8" s="176">
        <v>25</v>
      </c>
      <c r="P8" s="173" t="s">
        <v>84</v>
      </c>
      <c r="Q8" s="173" t="s">
        <v>79</v>
      </c>
      <c r="R8" s="173"/>
      <c r="S8" s="173" t="s">
        <v>395</v>
      </c>
      <c r="T8" s="177">
        <v>100883925</v>
      </c>
      <c r="U8" s="243" t="s">
        <v>400</v>
      </c>
    </row>
    <row r="9" spans="1:21">
      <c r="A9">
        <v>5</v>
      </c>
      <c r="B9" s="173">
        <v>45526</v>
      </c>
      <c r="C9" s="173">
        <v>45459</v>
      </c>
      <c r="D9" s="173" t="s">
        <v>139</v>
      </c>
      <c r="E9" s="173" t="s">
        <v>401</v>
      </c>
      <c r="F9" s="174" t="s">
        <v>402</v>
      </c>
      <c r="G9" s="173" t="s">
        <v>403</v>
      </c>
      <c r="H9" s="173" t="s">
        <v>404</v>
      </c>
      <c r="I9" s="174" t="s">
        <v>42</v>
      </c>
      <c r="J9" s="173" t="s">
        <v>79</v>
      </c>
      <c r="K9" s="173" t="s">
        <v>80</v>
      </c>
      <c r="L9" s="173" t="s">
        <v>405</v>
      </c>
      <c r="M9" s="173" t="s">
        <v>406</v>
      </c>
      <c r="N9" s="175">
        <v>998585707</v>
      </c>
      <c r="O9" s="176">
        <v>29</v>
      </c>
      <c r="P9" s="173" t="s">
        <v>84</v>
      </c>
      <c r="Q9" s="173" t="s">
        <v>79</v>
      </c>
      <c r="R9" s="173"/>
      <c r="S9" s="173" t="s">
        <v>401</v>
      </c>
      <c r="T9" s="177">
        <v>302450218</v>
      </c>
      <c r="U9" s="243" t="s">
        <v>407</v>
      </c>
    </row>
    <row r="10" spans="1:21">
      <c r="A10">
        <v>6</v>
      </c>
      <c r="B10" s="173">
        <v>45526</v>
      </c>
      <c r="C10" s="173">
        <v>45524</v>
      </c>
      <c r="D10" s="173" t="s">
        <v>408</v>
      </c>
      <c r="E10" s="173" t="s">
        <v>409</v>
      </c>
      <c r="F10" s="174" t="s">
        <v>410</v>
      </c>
      <c r="G10" s="173" t="s">
        <v>219</v>
      </c>
      <c r="H10" s="173" t="s">
        <v>411</v>
      </c>
      <c r="I10" s="174" t="s">
        <v>42</v>
      </c>
      <c r="J10" s="173" t="s">
        <v>79</v>
      </c>
      <c r="K10" s="173" t="s">
        <v>80</v>
      </c>
      <c r="L10" s="173" t="s">
        <v>412</v>
      </c>
      <c r="M10" s="173" t="s">
        <v>413</v>
      </c>
      <c r="N10" s="175" t="s">
        <v>414</v>
      </c>
      <c r="O10" s="176">
        <v>29</v>
      </c>
      <c r="P10" s="173" t="s">
        <v>84</v>
      </c>
      <c r="Q10" s="173" t="s">
        <v>79</v>
      </c>
      <c r="R10" s="173"/>
      <c r="S10" s="173" t="s">
        <v>409</v>
      </c>
      <c r="T10" s="177">
        <v>101524775</v>
      </c>
      <c r="U10" s="243" t="s">
        <v>415</v>
      </c>
    </row>
    <row r="11" spans="1:21">
      <c r="A11">
        <v>7</v>
      </c>
      <c r="B11" s="173">
        <v>45528</v>
      </c>
      <c r="C11" s="173">
        <v>45532</v>
      </c>
      <c r="D11" s="173" t="s">
        <v>139</v>
      </c>
      <c r="E11" s="173" t="s">
        <v>416</v>
      </c>
      <c r="F11" s="174" t="s">
        <v>222</v>
      </c>
      <c r="G11" s="173" t="s">
        <v>424</v>
      </c>
      <c r="H11" s="173" t="s">
        <v>417</v>
      </c>
      <c r="I11" s="174" t="s">
        <v>42</v>
      </c>
      <c r="J11" s="173" t="s">
        <v>79</v>
      </c>
      <c r="K11" s="173" t="s">
        <v>80</v>
      </c>
      <c r="L11" s="173" t="s">
        <v>418</v>
      </c>
      <c r="M11" s="173" t="s">
        <v>252</v>
      </c>
      <c r="N11" s="175">
        <v>994500056</v>
      </c>
      <c r="O11" s="176">
        <v>15</v>
      </c>
      <c r="P11" s="173" t="s">
        <v>84</v>
      </c>
      <c r="Q11" s="173" t="s">
        <v>79</v>
      </c>
      <c r="R11" s="173"/>
      <c r="S11" s="173" t="s">
        <v>416</v>
      </c>
      <c r="T11" s="177">
        <v>101629038</v>
      </c>
      <c r="U11" s="243" t="s">
        <v>419</v>
      </c>
    </row>
    <row r="12" spans="1:21">
      <c r="A12">
        <v>8</v>
      </c>
      <c r="B12" s="173">
        <v>45533</v>
      </c>
      <c r="C12" s="173">
        <v>45532</v>
      </c>
      <c r="D12" s="173" t="s">
        <v>139</v>
      </c>
      <c r="E12" s="173" t="s">
        <v>416</v>
      </c>
      <c r="F12" s="174" t="s">
        <v>222</v>
      </c>
      <c r="G12" s="173" t="s">
        <v>424</v>
      </c>
      <c r="H12" s="173" t="s">
        <v>420</v>
      </c>
      <c r="I12" s="174" t="s">
        <v>42</v>
      </c>
      <c r="J12" s="173" t="s">
        <v>79</v>
      </c>
      <c r="K12" s="173" t="s">
        <v>80</v>
      </c>
      <c r="L12" s="173" t="s">
        <v>418</v>
      </c>
      <c r="M12" s="173" t="s">
        <v>252</v>
      </c>
      <c r="N12" s="175">
        <v>994500056</v>
      </c>
      <c r="O12" s="176">
        <v>15</v>
      </c>
      <c r="P12" s="173" t="s">
        <v>84</v>
      </c>
      <c r="Q12" s="173" t="s">
        <v>79</v>
      </c>
      <c r="R12" s="173"/>
      <c r="S12" s="173" t="s">
        <v>416</v>
      </c>
      <c r="T12" s="177">
        <v>101629038</v>
      </c>
      <c r="U12" s="243" t="s">
        <v>419</v>
      </c>
    </row>
    <row r="13" spans="1:21">
      <c r="A13">
        <v>9</v>
      </c>
      <c r="B13" s="173">
        <v>45534</v>
      </c>
      <c r="C13" s="173">
        <v>45530</v>
      </c>
      <c r="D13" s="173" t="s">
        <v>421</v>
      </c>
      <c r="E13" s="173" t="s">
        <v>422</v>
      </c>
      <c r="F13" s="174" t="s">
        <v>423</v>
      </c>
      <c r="G13" s="173" t="s">
        <v>200</v>
      </c>
      <c r="H13" s="173" t="s">
        <v>425</v>
      </c>
      <c r="I13" s="174" t="s">
        <v>42</v>
      </c>
      <c r="J13" s="173" t="s">
        <v>79</v>
      </c>
      <c r="K13" s="173" t="s">
        <v>80</v>
      </c>
      <c r="L13" s="173" t="s">
        <v>426</v>
      </c>
      <c r="M13" s="173" t="s">
        <v>427</v>
      </c>
      <c r="N13" s="175">
        <v>984373084</v>
      </c>
      <c r="O13" s="176">
        <v>29</v>
      </c>
      <c r="P13" s="173" t="s">
        <v>84</v>
      </c>
      <c r="Q13" s="173" t="s">
        <v>79</v>
      </c>
      <c r="R13" s="173"/>
      <c r="S13" s="173" t="s">
        <v>422</v>
      </c>
      <c r="T13" s="177">
        <v>104476403</v>
      </c>
      <c r="U13" s="243" t="s">
        <v>428</v>
      </c>
    </row>
    <row r="14" spans="1:21">
      <c r="A14">
        <v>10</v>
      </c>
      <c r="B14" s="173">
        <v>45535</v>
      </c>
      <c r="C14" s="173">
        <v>45530</v>
      </c>
      <c r="D14" s="173" t="s">
        <v>139</v>
      </c>
      <c r="E14" s="173" t="s">
        <v>434</v>
      </c>
      <c r="F14" s="174" t="s">
        <v>402</v>
      </c>
      <c r="G14" s="173" t="s">
        <v>403</v>
      </c>
      <c r="H14" s="173" t="s">
        <v>435</v>
      </c>
      <c r="I14" s="174" t="s">
        <v>42</v>
      </c>
      <c r="J14" s="173" t="s">
        <v>79</v>
      </c>
      <c r="K14" s="173" t="s">
        <v>80</v>
      </c>
      <c r="L14" s="173" t="s">
        <v>436</v>
      </c>
      <c r="M14" s="173" t="s">
        <v>437</v>
      </c>
      <c r="N14" s="175">
        <v>993110321</v>
      </c>
      <c r="O14" s="176">
        <v>29</v>
      </c>
      <c r="P14" s="173" t="s">
        <v>84</v>
      </c>
      <c r="Q14" s="173" t="s">
        <v>79</v>
      </c>
      <c r="R14" s="173"/>
      <c r="S14" s="173" t="s">
        <v>434</v>
      </c>
      <c r="T14" s="177">
        <v>1400303937</v>
      </c>
      <c r="U14" s="177"/>
    </row>
    <row r="15" spans="1:21">
      <c r="A15">
        <v>11</v>
      </c>
      <c r="B15" s="173">
        <v>45537</v>
      </c>
      <c r="C15" s="173">
        <v>45534</v>
      </c>
      <c r="D15" s="173" t="s">
        <v>438</v>
      </c>
      <c r="E15" s="173" t="s">
        <v>439</v>
      </c>
      <c r="F15" s="174" t="s">
        <v>172</v>
      </c>
      <c r="G15" s="173" t="s">
        <v>173</v>
      </c>
      <c r="H15" s="173" t="s">
        <v>440</v>
      </c>
      <c r="I15" s="174" t="s">
        <v>42</v>
      </c>
      <c r="J15" s="173" t="s">
        <v>79</v>
      </c>
      <c r="K15" s="173" t="s">
        <v>80</v>
      </c>
      <c r="L15" s="173" t="s">
        <v>441</v>
      </c>
      <c r="M15" s="173" t="s">
        <v>442</v>
      </c>
      <c r="N15" s="175">
        <v>998403755</v>
      </c>
      <c r="O15" s="176">
        <v>15</v>
      </c>
      <c r="P15" s="173" t="s">
        <v>84</v>
      </c>
      <c r="Q15" s="173" t="s">
        <v>79</v>
      </c>
      <c r="R15" s="173"/>
      <c r="S15" s="173" t="s">
        <v>439</v>
      </c>
      <c r="T15" s="177">
        <v>300279007</v>
      </c>
      <c r="U15" s="243" t="s">
        <v>443</v>
      </c>
    </row>
    <row r="16" spans="1:21">
      <c r="A16">
        <v>12</v>
      </c>
      <c r="B16" s="173">
        <v>45537</v>
      </c>
      <c r="C16" s="173">
        <v>45527</v>
      </c>
      <c r="D16" s="173" t="s">
        <v>139</v>
      </c>
      <c r="E16" s="173" t="s">
        <v>444</v>
      </c>
      <c r="F16" s="174" t="s">
        <v>445</v>
      </c>
      <c r="G16" s="173" t="s">
        <v>209</v>
      </c>
      <c r="H16" s="173" t="s">
        <v>446</v>
      </c>
      <c r="I16" s="174" t="s">
        <v>42</v>
      </c>
      <c r="J16" s="173" t="s">
        <v>79</v>
      </c>
      <c r="K16" s="173" t="s">
        <v>80</v>
      </c>
      <c r="L16" s="173" t="s">
        <v>447</v>
      </c>
      <c r="M16" s="173" t="s">
        <v>448</v>
      </c>
      <c r="N16" s="175">
        <v>962982188</v>
      </c>
      <c r="O16" s="176">
        <v>29</v>
      </c>
      <c r="P16" s="173" t="s">
        <v>84</v>
      </c>
      <c r="Q16" s="173" t="s">
        <v>79</v>
      </c>
      <c r="R16" s="173"/>
      <c r="S16" s="173" t="s">
        <v>444</v>
      </c>
      <c r="T16" s="177">
        <v>152622882</v>
      </c>
      <c r="U16" s="177"/>
    </row>
    <row r="17" spans="1:21">
      <c r="A17">
        <v>13</v>
      </c>
      <c r="B17" s="173">
        <v>45539</v>
      </c>
      <c r="C17" s="173">
        <v>45537</v>
      </c>
      <c r="D17" s="173" t="s">
        <v>139</v>
      </c>
      <c r="E17" s="173" t="s">
        <v>449</v>
      </c>
      <c r="F17" s="174" t="s">
        <v>172</v>
      </c>
      <c r="G17" s="173" t="s">
        <v>450</v>
      </c>
      <c r="H17" s="173" t="s">
        <v>451</v>
      </c>
      <c r="I17" s="174" t="s">
        <v>42</v>
      </c>
      <c r="J17" s="173" t="s">
        <v>79</v>
      </c>
      <c r="K17" s="173" t="s">
        <v>80</v>
      </c>
      <c r="L17" s="173" t="s">
        <v>454</v>
      </c>
      <c r="M17" s="173" t="s">
        <v>452</v>
      </c>
      <c r="N17" s="175">
        <v>984334901</v>
      </c>
      <c r="O17" s="176">
        <v>15</v>
      </c>
      <c r="P17" s="173" t="s">
        <v>84</v>
      </c>
      <c r="Q17" s="173" t="s">
        <v>79</v>
      </c>
      <c r="R17" s="173"/>
      <c r="S17" s="173" t="s">
        <v>449</v>
      </c>
      <c r="T17" s="177">
        <v>1600560856</v>
      </c>
      <c r="U17" s="243" t="s">
        <v>453</v>
      </c>
    </row>
    <row r="18" spans="1:21">
      <c r="A18">
        <v>14</v>
      </c>
      <c r="B18" s="173">
        <v>45544</v>
      </c>
      <c r="C18" s="173">
        <v>45357</v>
      </c>
      <c r="D18" s="173" t="s">
        <v>455</v>
      </c>
      <c r="E18" s="173" t="s">
        <v>456</v>
      </c>
      <c r="F18" s="174" t="s">
        <v>457</v>
      </c>
      <c r="G18" s="173" t="s">
        <v>220</v>
      </c>
      <c r="H18" s="173" t="s">
        <v>458</v>
      </c>
      <c r="I18" s="174" t="s">
        <v>42</v>
      </c>
      <c r="J18" s="173" t="s">
        <v>79</v>
      </c>
      <c r="K18" s="173" t="s">
        <v>80</v>
      </c>
      <c r="L18" s="173" t="s">
        <v>459</v>
      </c>
      <c r="M18" s="173" t="s">
        <v>460</v>
      </c>
      <c r="N18" s="175">
        <v>9988011228</v>
      </c>
      <c r="O18" s="176">
        <v>25</v>
      </c>
      <c r="P18" s="173" t="s">
        <v>84</v>
      </c>
      <c r="Q18" s="173" t="s">
        <v>79</v>
      </c>
      <c r="R18" s="173"/>
      <c r="S18" s="173" t="s">
        <v>456</v>
      </c>
      <c r="T18" s="177">
        <v>101292084</v>
      </c>
      <c r="U18" s="243" t="s">
        <v>461</v>
      </c>
    </row>
    <row r="19" spans="1:21">
      <c r="A19">
        <v>15</v>
      </c>
      <c r="B19" s="173">
        <v>45544</v>
      </c>
      <c r="C19" s="173">
        <v>45544</v>
      </c>
      <c r="D19" s="173" t="s">
        <v>139</v>
      </c>
      <c r="E19" s="173" t="s">
        <v>462</v>
      </c>
      <c r="F19" s="174" t="s">
        <v>463</v>
      </c>
      <c r="G19" s="173" t="s">
        <v>196</v>
      </c>
      <c r="H19" s="173" t="s">
        <v>464</v>
      </c>
      <c r="I19" s="174" t="s">
        <v>42</v>
      </c>
      <c r="J19" s="173" t="s">
        <v>79</v>
      </c>
      <c r="K19" s="173" t="s">
        <v>80</v>
      </c>
      <c r="L19" s="173" t="s">
        <v>465</v>
      </c>
      <c r="M19" s="173" t="s">
        <v>466</v>
      </c>
      <c r="N19" s="175">
        <v>996300856</v>
      </c>
      <c r="O19" s="176">
        <v>25</v>
      </c>
      <c r="P19" s="173" t="s">
        <v>84</v>
      </c>
      <c r="Q19" s="173" t="s">
        <v>79</v>
      </c>
      <c r="R19" s="173"/>
      <c r="S19" s="173" t="s">
        <v>462</v>
      </c>
      <c r="T19" s="177">
        <v>102898152</v>
      </c>
      <c r="U19" s="243" t="s">
        <v>467</v>
      </c>
    </row>
    <row r="20" spans="1:21">
      <c r="A20">
        <v>16</v>
      </c>
      <c r="B20" s="173">
        <v>45545</v>
      </c>
      <c r="C20" s="173">
        <v>45531</v>
      </c>
      <c r="D20" s="173" t="s">
        <v>78</v>
      </c>
      <c r="E20" s="173" t="s">
        <v>468</v>
      </c>
      <c r="F20" s="174" t="s">
        <v>469</v>
      </c>
      <c r="G20" s="173" t="s">
        <v>203</v>
      </c>
      <c r="H20" s="173" t="s">
        <v>470</v>
      </c>
      <c r="I20" s="174" t="s">
        <v>42</v>
      </c>
      <c r="J20" s="173" t="s">
        <v>79</v>
      </c>
      <c r="K20" s="173" t="s">
        <v>80</v>
      </c>
      <c r="L20" s="173" t="s">
        <v>471</v>
      </c>
      <c r="M20" s="173" t="s">
        <v>472</v>
      </c>
      <c r="N20" s="175">
        <v>995400229</v>
      </c>
      <c r="O20" s="176">
        <v>36</v>
      </c>
      <c r="P20" s="173" t="s">
        <v>84</v>
      </c>
      <c r="Q20" s="173" t="s">
        <v>79</v>
      </c>
      <c r="R20" s="173"/>
      <c r="S20" s="173" t="s">
        <v>468</v>
      </c>
      <c r="T20" s="177">
        <v>10367871</v>
      </c>
      <c r="U20" s="243" t="s">
        <v>473</v>
      </c>
    </row>
    <row r="21" spans="1:21">
      <c r="A21">
        <v>17</v>
      </c>
      <c r="B21" s="173">
        <v>45545</v>
      </c>
      <c r="C21" s="173">
        <v>45381</v>
      </c>
      <c r="D21" s="173" t="s">
        <v>139</v>
      </c>
      <c r="E21" s="173" t="s">
        <v>474</v>
      </c>
      <c r="F21" s="174" t="s">
        <v>475</v>
      </c>
      <c r="G21" s="173" t="s">
        <v>476</v>
      </c>
      <c r="H21" s="173" t="s">
        <v>477</v>
      </c>
      <c r="I21" s="174" t="s">
        <v>478</v>
      </c>
      <c r="J21" s="173" t="s">
        <v>79</v>
      </c>
      <c r="K21" s="173" t="s">
        <v>80</v>
      </c>
      <c r="L21" s="173" t="s">
        <v>479</v>
      </c>
      <c r="M21" s="173" t="s">
        <v>480</v>
      </c>
      <c r="N21" s="175">
        <v>963960845</v>
      </c>
      <c r="O21" s="176">
        <v>29</v>
      </c>
      <c r="P21" s="173" t="s">
        <v>84</v>
      </c>
      <c r="Q21" s="173" t="s">
        <v>79</v>
      </c>
      <c r="R21" s="173"/>
      <c r="S21" s="173" t="s">
        <v>474</v>
      </c>
      <c r="T21" s="177">
        <v>104858535</v>
      </c>
      <c r="U21" s="243" t="s">
        <v>481</v>
      </c>
    </row>
    <row r="22" spans="1:21">
      <c r="A22">
        <v>18</v>
      </c>
      <c r="B22" s="173">
        <v>45545</v>
      </c>
      <c r="C22" s="173">
        <v>45532</v>
      </c>
      <c r="D22" s="173" t="s">
        <v>121</v>
      </c>
      <c r="E22" s="173" t="s">
        <v>482</v>
      </c>
      <c r="F22" s="174" t="s">
        <v>483</v>
      </c>
      <c r="G22" s="173" t="s">
        <v>484</v>
      </c>
      <c r="H22" s="173" t="s">
        <v>485</v>
      </c>
      <c r="I22" s="174" t="s">
        <v>42</v>
      </c>
      <c r="J22" s="173" t="s">
        <v>79</v>
      </c>
      <c r="K22" s="173" t="s">
        <v>80</v>
      </c>
      <c r="L22" s="173" t="s">
        <v>486</v>
      </c>
      <c r="M22" s="173" t="s">
        <v>487</v>
      </c>
      <c r="N22" s="175">
        <v>998559160</v>
      </c>
      <c r="O22" s="176">
        <v>25</v>
      </c>
      <c r="P22" s="173" t="s">
        <v>84</v>
      </c>
      <c r="Q22" s="173" t="s">
        <v>79</v>
      </c>
      <c r="R22" s="173"/>
      <c r="S22" s="173" t="s">
        <v>482</v>
      </c>
      <c r="T22" s="177">
        <v>100914654</v>
      </c>
      <c r="U22" s="243" t="s">
        <v>488</v>
      </c>
    </row>
    <row r="23" spans="1:21">
      <c r="A23">
        <v>19</v>
      </c>
      <c r="B23" s="173">
        <v>45547</v>
      </c>
      <c r="C23" s="173">
        <v>45546</v>
      </c>
      <c r="D23" s="173" t="s">
        <v>212</v>
      </c>
      <c r="E23" s="173" t="s">
        <v>489</v>
      </c>
      <c r="F23" s="174" t="s">
        <v>223</v>
      </c>
      <c r="G23" s="173" t="s">
        <v>396</v>
      </c>
      <c r="H23" s="173" t="s">
        <v>490</v>
      </c>
      <c r="I23" s="174" t="s">
        <v>42</v>
      </c>
      <c r="J23" s="173" t="s">
        <v>79</v>
      </c>
      <c r="K23" s="173" t="s">
        <v>80</v>
      </c>
      <c r="L23" s="173" t="s">
        <v>491</v>
      </c>
      <c r="M23" s="173" t="s">
        <v>492</v>
      </c>
      <c r="N23" s="175">
        <v>992671971</v>
      </c>
      <c r="O23" s="176">
        <v>25</v>
      </c>
      <c r="P23" s="173" t="s">
        <v>84</v>
      </c>
      <c r="Q23" s="173" t="s">
        <v>79</v>
      </c>
      <c r="R23" s="173"/>
      <c r="S23" s="173" t="s">
        <v>489</v>
      </c>
      <c r="T23" s="177">
        <v>101408136</v>
      </c>
      <c r="U23" s="177"/>
    </row>
    <row r="24" spans="1:21">
      <c r="A24">
        <v>20</v>
      </c>
      <c r="B24" s="173">
        <v>45548</v>
      </c>
      <c r="C24" s="173">
        <v>45514</v>
      </c>
      <c r="D24" s="173" t="s">
        <v>78</v>
      </c>
      <c r="E24" s="173" t="s">
        <v>493</v>
      </c>
      <c r="F24" s="174" t="s">
        <v>130</v>
      </c>
      <c r="G24" s="173" t="s">
        <v>131</v>
      </c>
      <c r="H24" s="173" t="s">
        <v>494</v>
      </c>
      <c r="I24" s="174" t="s">
        <v>42</v>
      </c>
      <c r="J24" s="173" t="s">
        <v>79</v>
      </c>
      <c r="K24" s="173" t="s">
        <v>80</v>
      </c>
      <c r="L24" s="173" t="s">
        <v>495</v>
      </c>
      <c r="M24" s="173" t="s">
        <v>496</v>
      </c>
      <c r="N24" s="175">
        <v>983420506</v>
      </c>
      <c r="O24" s="176">
        <v>15</v>
      </c>
      <c r="P24" s="173" t="s">
        <v>84</v>
      </c>
      <c r="Q24" s="173" t="s">
        <v>79</v>
      </c>
      <c r="R24" s="173"/>
      <c r="S24" s="173" t="s">
        <v>493</v>
      </c>
      <c r="T24" s="177">
        <v>1724600869</v>
      </c>
      <c r="U24" s="243" t="s">
        <v>497</v>
      </c>
    </row>
    <row r="25" spans="1:21">
      <c r="A25">
        <v>21</v>
      </c>
      <c r="B25" s="173">
        <v>45552</v>
      </c>
      <c r="C25" s="173">
        <v>45426</v>
      </c>
      <c r="D25" s="173" t="s">
        <v>212</v>
      </c>
      <c r="E25" s="173" t="s">
        <v>532</v>
      </c>
      <c r="F25" s="174" t="s">
        <v>410</v>
      </c>
      <c r="G25" s="173" t="s">
        <v>219</v>
      </c>
      <c r="H25" s="173" t="s">
        <v>533</v>
      </c>
      <c r="I25" s="174" t="s">
        <v>42</v>
      </c>
      <c r="J25" s="173" t="s">
        <v>79</v>
      </c>
      <c r="K25" s="173" t="s">
        <v>80</v>
      </c>
      <c r="L25" s="173" t="s">
        <v>534</v>
      </c>
      <c r="M25" s="173" t="s">
        <v>535</v>
      </c>
      <c r="N25" s="175">
        <v>998822092</v>
      </c>
      <c r="O25" s="176">
        <v>29</v>
      </c>
      <c r="P25" s="173" t="s">
        <v>84</v>
      </c>
      <c r="Q25" s="173" t="s">
        <v>79</v>
      </c>
      <c r="R25" s="173"/>
      <c r="S25" s="173" t="s">
        <v>532</v>
      </c>
      <c r="T25" s="177">
        <v>190492125</v>
      </c>
      <c r="U25" s="243" t="s">
        <v>536</v>
      </c>
    </row>
    <row r="26" spans="1:21">
      <c r="A26">
        <v>22</v>
      </c>
      <c r="B26" s="173">
        <v>45552</v>
      </c>
      <c r="C26" s="173">
        <v>45535</v>
      </c>
      <c r="D26" s="173" t="s">
        <v>121</v>
      </c>
      <c r="E26" s="173" t="s">
        <v>537</v>
      </c>
      <c r="F26" s="174" t="s">
        <v>538</v>
      </c>
      <c r="G26" s="173" t="s">
        <v>539</v>
      </c>
      <c r="H26" s="173" t="s">
        <v>540</v>
      </c>
      <c r="I26" s="174" t="s">
        <v>42</v>
      </c>
      <c r="J26" s="173" t="s">
        <v>79</v>
      </c>
      <c r="K26" s="173" t="s">
        <v>80</v>
      </c>
      <c r="L26" s="173" t="s">
        <v>541</v>
      </c>
      <c r="M26" s="173" t="s">
        <v>542</v>
      </c>
      <c r="N26" s="175">
        <v>99075184</v>
      </c>
      <c r="O26" s="176">
        <v>29</v>
      </c>
      <c r="P26" s="173" t="s">
        <v>84</v>
      </c>
      <c r="Q26" s="173" t="s">
        <v>79</v>
      </c>
      <c r="R26" s="173"/>
      <c r="S26" s="173" t="s">
        <v>537</v>
      </c>
      <c r="T26" s="177">
        <v>105183016</v>
      </c>
      <c r="U26" s="243" t="s">
        <v>543</v>
      </c>
    </row>
    <row r="27" spans="1:21">
      <c r="A27">
        <v>23</v>
      </c>
      <c r="B27" s="173">
        <v>45552</v>
      </c>
      <c r="C27" s="173">
        <v>45574</v>
      </c>
      <c r="D27" s="173" t="s">
        <v>438</v>
      </c>
      <c r="E27" s="173" t="s">
        <v>544</v>
      </c>
      <c r="F27" s="174" t="s">
        <v>545</v>
      </c>
      <c r="G27" s="173" t="s">
        <v>546</v>
      </c>
      <c r="H27" s="176">
        <v>11191000000084</v>
      </c>
      <c r="I27" s="174" t="s">
        <v>42</v>
      </c>
      <c r="J27" s="173" t="s">
        <v>79</v>
      </c>
      <c r="K27" s="173" t="s">
        <v>80</v>
      </c>
      <c r="L27" s="173" t="s">
        <v>547</v>
      </c>
      <c r="M27" s="173" t="s">
        <v>548</v>
      </c>
      <c r="N27" s="175">
        <v>998226766</v>
      </c>
      <c r="O27" s="176">
        <v>40</v>
      </c>
      <c r="P27" s="173" t="s">
        <v>84</v>
      </c>
      <c r="Q27" s="173" t="s">
        <v>79</v>
      </c>
      <c r="R27" s="173"/>
      <c r="S27" s="173" t="s">
        <v>544</v>
      </c>
      <c r="T27" s="177">
        <v>300886025001</v>
      </c>
      <c r="U27" s="243" t="s">
        <v>549</v>
      </c>
    </row>
    <row r="28" spans="1:21">
      <c r="A28">
        <v>24</v>
      </c>
      <c r="B28" s="173">
        <v>45554</v>
      </c>
      <c r="C28" s="173"/>
      <c r="D28" s="173"/>
      <c r="E28" s="173"/>
      <c r="F28" s="174" t="s">
        <v>223</v>
      </c>
      <c r="G28" s="173" t="s">
        <v>396</v>
      </c>
      <c r="H28" s="173" t="s">
        <v>566</v>
      </c>
      <c r="I28" s="174" t="s">
        <v>567</v>
      </c>
      <c r="J28" s="173" t="s">
        <v>79</v>
      </c>
      <c r="K28" s="173" t="s">
        <v>80</v>
      </c>
      <c r="L28" s="173" t="s">
        <v>568</v>
      </c>
      <c r="M28" s="173" t="s">
        <v>569</v>
      </c>
      <c r="N28" s="175">
        <v>987495337</v>
      </c>
      <c r="O28" s="176">
        <v>25</v>
      </c>
      <c r="P28" s="173" t="s">
        <v>84</v>
      </c>
      <c r="Q28" s="173" t="s">
        <v>79</v>
      </c>
      <c r="R28" s="173"/>
      <c r="S28" s="173"/>
      <c r="T28" s="177">
        <v>301621173</v>
      </c>
      <c r="U28" s="243" t="s">
        <v>570</v>
      </c>
    </row>
    <row r="29" spans="1:21">
      <c r="A29">
        <v>25</v>
      </c>
      <c r="B29" s="173"/>
      <c r="C29" s="173"/>
      <c r="D29" s="173"/>
      <c r="E29" s="173"/>
      <c r="F29" s="174"/>
      <c r="G29" s="173"/>
      <c r="H29" s="173"/>
      <c r="I29" s="174"/>
      <c r="J29" s="173" t="s">
        <v>79</v>
      </c>
      <c r="K29" s="173" t="s">
        <v>80</v>
      </c>
      <c r="L29" s="173"/>
      <c r="M29" s="173"/>
      <c r="N29" s="175"/>
      <c r="O29" s="176"/>
      <c r="P29" s="173" t="s">
        <v>84</v>
      </c>
      <c r="Q29" s="173" t="s">
        <v>79</v>
      </c>
      <c r="R29" s="173"/>
      <c r="S29" s="173"/>
      <c r="T29" s="177"/>
      <c r="U29" s="177"/>
    </row>
    <row r="30" spans="1:21">
      <c r="A30">
        <v>26</v>
      </c>
      <c r="B30" s="173"/>
      <c r="C30" s="173"/>
      <c r="D30" s="173"/>
      <c r="E30" s="173"/>
      <c r="F30" s="174"/>
      <c r="G30" s="173"/>
      <c r="H30" s="173"/>
      <c r="I30" s="174"/>
      <c r="J30" s="173" t="s">
        <v>79</v>
      </c>
      <c r="K30" s="173" t="s">
        <v>80</v>
      </c>
      <c r="L30" s="173"/>
      <c r="M30" s="173"/>
      <c r="N30" s="175"/>
      <c r="O30" s="176"/>
      <c r="P30" s="173" t="s">
        <v>84</v>
      </c>
      <c r="Q30" s="173" t="s">
        <v>79</v>
      </c>
      <c r="R30" s="173"/>
      <c r="S30" s="173"/>
      <c r="T30" s="177"/>
      <c r="U30" s="177"/>
    </row>
    <row r="31" spans="1:21">
      <c r="A31">
        <v>27</v>
      </c>
      <c r="B31" s="173"/>
      <c r="C31" s="173"/>
      <c r="D31" s="173"/>
      <c r="E31" s="173"/>
      <c r="F31" s="174"/>
      <c r="G31" s="173"/>
      <c r="H31" s="173"/>
      <c r="I31" s="174"/>
      <c r="J31" s="173" t="s">
        <v>79</v>
      </c>
      <c r="K31" s="173" t="s">
        <v>80</v>
      </c>
      <c r="L31" s="173"/>
      <c r="M31" s="173"/>
      <c r="N31" s="175"/>
      <c r="O31" s="176"/>
      <c r="P31" s="173" t="s">
        <v>84</v>
      </c>
      <c r="Q31" s="173" t="s">
        <v>79</v>
      </c>
      <c r="R31" s="173"/>
      <c r="S31" s="173"/>
      <c r="T31" s="177"/>
      <c r="U31" s="177"/>
    </row>
    <row r="32" spans="1:21">
      <c r="A32">
        <v>28</v>
      </c>
      <c r="B32" s="173"/>
      <c r="C32" s="173"/>
      <c r="D32" s="173"/>
      <c r="E32" s="173"/>
      <c r="F32" s="174"/>
      <c r="G32" s="173"/>
      <c r="H32" s="173"/>
      <c r="I32" s="174"/>
      <c r="J32" s="173" t="s">
        <v>79</v>
      </c>
      <c r="K32" s="173" t="s">
        <v>80</v>
      </c>
      <c r="L32" s="173"/>
      <c r="M32" s="173"/>
      <c r="N32" s="175"/>
      <c r="O32" s="176"/>
      <c r="P32" s="173" t="s">
        <v>84</v>
      </c>
      <c r="Q32" s="173" t="s">
        <v>79</v>
      </c>
      <c r="R32" s="173"/>
      <c r="S32" s="173"/>
      <c r="T32" s="177"/>
      <c r="U32" s="177"/>
    </row>
    <row r="33" spans="2:21">
      <c r="B33" s="173"/>
      <c r="C33" s="173"/>
      <c r="D33" s="173"/>
      <c r="E33" s="173"/>
      <c r="F33" s="174"/>
      <c r="G33" s="173"/>
      <c r="H33" s="173"/>
      <c r="I33" s="174"/>
      <c r="J33" s="173" t="s">
        <v>79</v>
      </c>
      <c r="K33" s="173" t="s">
        <v>80</v>
      </c>
      <c r="L33" s="173"/>
      <c r="M33" s="173"/>
      <c r="N33" s="175"/>
      <c r="O33" s="176"/>
      <c r="P33" s="173" t="s">
        <v>84</v>
      </c>
      <c r="Q33" s="173" t="s">
        <v>79</v>
      </c>
      <c r="R33" s="173"/>
      <c r="S33" s="173"/>
      <c r="T33" s="177"/>
      <c r="U33" s="177"/>
    </row>
    <row r="34" spans="2:21">
      <c r="B34" s="173"/>
      <c r="C34" s="173"/>
      <c r="D34" s="173"/>
      <c r="E34" s="173"/>
      <c r="F34" s="174"/>
      <c r="G34" s="173"/>
      <c r="H34" s="173"/>
      <c r="I34" s="174"/>
      <c r="J34" s="173" t="s">
        <v>79</v>
      </c>
      <c r="K34" s="173" t="s">
        <v>80</v>
      </c>
      <c r="L34" s="173"/>
      <c r="M34" s="173"/>
      <c r="N34" s="175"/>
      <c r="O34" s="176"/>
      <c r="P34" s="173" t="s">
        <v>84</v>
      </c>
      <c r="Q34" s="173" t="s">
        <v>79</v>
      </c>
      <c r="R34" s="173"/>
      <c r="S34" s="173"/>
      <c r="T34" s="177"/>
      <c r="U34" s="177"/>
    </row>
    <row r="35" spans="2:21">
      <c r="O35" s="146">
        <f>SUM(O5:O34)</f>
        <v>588</v>
      </c>
    </row>
  </sheetData>
  <hyperlinks>
    <hyperlink ref="U5" r:id="rId1" xr:uid="{00000000-0004-0000-0500-000000000000}"/>
    <hyperlink ref="U6" r:id="rId2" xr:uid="{00000000-0004-0000-0500-000001000000}"/>
    <hyperlink ref="U7" r:id="rId3" xr:uid="{00000000-0004-0000-0500-000002000000}"/>
    <hyperlink ref="U8" r:id="rId4" xr:uid="{00000000-0004-0000-0500-000003000000}"/>
    <hyperlink ref="U9" r:id="rId5" xr:uid="{00000000-0004-0000-0500-000004000000}"/>
    <hyperlink ref="U10" r:id="rId6" xr:uid="{00000000-0004-0000-0500-000005000000}"/>
    <hyperlink ref="U11" r:id="rId7" xr:uid="{00000000-0004-0000-0500-000006000000}"/>
    <hyperlink ref="U12" r:id="rId8" xr:uid="{00000000-0004-0000-0500-000007000000}"/>
    <hyperlink ref="U13" r:id="rId9" xr:uid="{00000000-0004-0000-0500-000008000000}"/>
    <hyperlink ref="U15" r:id="rId10" xr:uid="{00000000-0004-0000-0500-000009000000}"/>
    <hyperlink ref="U17" r:id="rId11" xr:uid="{00000000-0004-0000-0500-00000A000000}"/>
    <hyperlink ref="U18" r:id="rId12" xr:uid="{00000000-0004-0000-0500-00000B000000}"/>
    <hyperlink ref="U19" r:id="rId13" xr:uid="{00000000-0004-0000-0500-00000C000000}"/>
    <hyperlink ref="U20" r:id="rId14" xr:uid="{00000000-0004-0000-0500-00000D000000}"/>
    <hyperlink ref="U21" r:id="rId15" xr:uid="{00000000-0004-0000-0500-00000E000000}"/>
    <hyperlink ref="U22" r:id="rId16" xr:uid="{00000000-0004-0000-0500-00000F000000}"/>
    <hyperlink ref="U24" r:id="rId17" xr:uid="{00000000-0004-0000-0500-000010000000}"/>
    <hyperlink ref="U25" r:id="rId18" xr:uid="{00000000-0004-0000-0500-000011000000}"/>
    <hyperlink ref="U26" r:id="rId19" xr:uid="{00000000-0004-0000-0500-000012000000}"/>
    <hyperlink ref="U27" r:id="rId20" xr:uid="{00000000-0004-0000-0500-000013000000}"/>
    <hyperlink ref="U28" r:id="rId21" xr:uid="{00000000-0004-0000-0500-000014000000}"/>
  </hyperlinks>
  <pageMargins left="0.7" right="0.7" top="0.75" bottom="0.75" header="0.3" footer="0.3"/>
  <pageSetup paperSize="9" orientation="portrait" horizontalDpi="0" verticalDpi="0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Juani Pao Cardenas Quinde</cp:lastModifiedBy>
  <dcterms:created xsi:type="dcterms:W3CDTF">2024-01-22T20:29:31Z</dcterms:created>
  <dcterms:modified xsi:type="dcterms:W3CDTF">2025-08-25T15:20:49Z</dcterms:modified>
</cp:coreProperties>
</file>