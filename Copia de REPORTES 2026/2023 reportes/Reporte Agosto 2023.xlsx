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4"/>
  </bookViews>
  <sheets>
    <sheet name="ALMACEN" sheetId="1" r:id="rId1"/>
    <sheet name="BBQ" sheetId="2" r:id="rId2"/>
    <sheet name="1 PRODUCTO" sheetId="3" r:id="rId3"/>
    <sheet name="PROMOCION" sheetId="4" r:id="rId4"/>
    <sheet name="GARANTIAS" sheetId="5" r:id="rId5"/>
    <sheet name="CONSOLIDADO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  <c r="O46" i="4" l="1"/>
  <c r="J17" i="5" l="1"/>
  <c r="J19" i="5" s="1"/>
  <c r="O10" i="1"/>
</calcChain>
</file>

<file path=xl/sharedStrings.xml><?xml version="1.0" encoding="utf-8"?>
<sst xmlns="http://schemas.openxmlformats.org/spreadsheetml/2006/main" count="1506" uniqueCount="427">
  <si>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</si>
  <si>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</si>
  <si>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</si>
  <si>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</si>
  <si>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</si>
  <si>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</si>
  <si>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</si>
  <si>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</si>
  <si>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</si>
  <si>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</si>
  <si>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</si>
  <si>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</si>
  <si>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</si>
  <si>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</si>
  <si>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</si>
  <si>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</si>
  <si>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</si>
  <si>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</si>
  <si>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</si>
  <si>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</si>
  <si>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</si>
  <si>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</si>
  <si>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Excibicion</t>
  </si>
  <si>
    <t>Correo</t>
  </si>
  <si>
    <t>Capelo</t>
  </si>
  <si>
    <t>SAP</t>
  </si>
  <si>
    <t>BBQ</t>
  </si>
  <si>
    <t xml:space="preserve">TBBQ 3100 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</si>
  <si>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</si>
  <si>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</si>
  <si>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</si>
  <si>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</si>
  <si>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</si>
  <si>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</si>
  <si>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</si>
  <si>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</si>
  <si>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</si>
  <si>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</si>
  <si>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</si>
  <si>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</si>
  <si>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</si>
  <si>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</si>
  <si>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</si>
  <si>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</si>
  <si>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</si>
  <si>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</si>
  <si>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….</t>
  </si>
  <si>
    <t>PROMOCION</t>
  </si>
  <si>
    <t>Kywi</t>
  </si>
  <si>
    <t>Cliente final</t>
  </si>
  <si>
    <t>De Victor Cobo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</si>
  <si>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</si>
  <si>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</si>
  <si>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</si>
  <si>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</si>
  <si>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</si>
  <si>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</si>
  <si>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</si>
  <si>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</si>
  <si>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</si>
  <si>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</si>
  <si>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</si>
  <si>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</si>
  <si>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</si>
  <si>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</si>
  <si>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</si>
  <si>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</si>
  <si>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telefono del cliente</t>
  </si>
  <si>
    <t>Técnico:  Marcelo  Tipán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</si>
  <si>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</si>
  <si>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</si>
  <si>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</si>
  <si>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</si>
  <si>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</si>
  <si>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</si>
  <si>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</si>
  <si>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</si>
  <si>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</si>
  <si>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</si>
  <si>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</si>
  <si>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</si>
  <si>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</si>
  <si>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</si>
  <si>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</si>
  <si>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</si>
  <si>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</si>
  <si>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</si>
  <si>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</si>
  <si>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</si>
  <si>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</si>
  <si>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Instalado</t>
  </si>
  <si>
    <t>CAPELO AGOSTO  2023</t>
  </si>
  <si>
    <t>CUENCA</t>
  </si>
  <si>
    <t>CAPELO - AGOSTO 2023</t>
  </si>
  <si>
    <t>CAPELO Agosto 2023</t>
  </si>
  <si>
    <t>AGOSTO 2023</t>
  </si>
  <si>
    <t>Al 20 de Agosto del 2023</t>
  </si>
  <si>
    <t>TEKA</t>
  </si>
  <si>
    <t>AGOSTO 2023*</t>
  </si>
  <si>
    <t>COMERCIAL SOLIS</t>
  </si>
  <si>
    <t>001-500-000054257</t>
  </si>
  <si>
    <t>Cocina GZC 96310XBB</t>
  </si>
  <si>
    <t>ZP23K100445</t>
  </si>
  <si>
    <t>Julia Garcia</t>
  </si>
  <si>
    <t>Control Sur</t>
  </si>
  <si>
    <t>0101331114</t>
  </si>
  <si>
    <t>jorgedu1005@hotmail.com</t>
  </si>
  <si>
    <t>Campana DVF97670TBLBK</t>
  </si>
  <si>
    <t>FB214900232</t>
  </si>
  <si>
    <t>Luna Pazmiño</t>
  </si>
  <si>
    <t>002-101-000087586</t>
  </si>
  <si>
    <t>Cocina EFX 90.1 GG</t>
  </si>
  <si>
    <t>ZP214500025</t>
  </si>
  <si>
    <t>Luisa Campoverde</t>
  </si>
  <si>
    <t>Av. Loja y Fray Mancheno</t>
  </si>
  <si>
    <t>0101191559</t>
  </si>
  <si>
    <t>Horno HSB 635 SS</t>
  </si>
  <si>
    <t>TZ234J15152</t>
  </si>
  <si>
    <t>Campana C9310</t>
  </si>
  <si>
    <t>TP23QW02397</t>
  </si>
  <si>
    <t>Blanca Sangurima</t>
  </si>
  <si>
    <t>001-500-000053531</t>
  </si>
  <si>
    <t>Horno HSB 646 SS</t>
  </si>
  <si>
    <t>TZ232023814</t>
  </si>
  <si>
    <t>San Pedro Cebollar</t>
  </si>
  <si>
    <t>0103196085</t>
  </si>
  <si>
    <t>josecrespovz@gmail.com</t>
  </si>
  <si>
    <t>Microondas MW614X</t>
  </si>
  <si>
    <t>233012050</t>
  </si>
  <si>
    <t>Sukasa</t>
  </si>
  <si>
    <t>002-103-000005357</t>
  </si>
  <si>
    <t>Campana DPL ISLA 1180</t>
  </si>
  <si>
    <t>PX224600050</t>
  </si>
  <si>
    <t>Estefani Chalco</t>
  </si>
  <si>
    <t>Paseo Rio Tomebamba</t>
  </si>
  <si>
    <t>0104050521</t>
  </si>
  <si>
    <t>echalcosalgado@gmail.com</t>
  </si>
  <si>
    <t>Cocina JZC 96324 ABB</t>
  </si>
  <si>
    <t>ZP23N00020</t>
  </si>
  <si>
    <t>Almacenes España</t>
  </si>
  <si>
    <t>009-501-000019907</t>
  </si>
  <si>
    <t>Cocina GSC 75330 SBAIX</t>
  </si>
  <si>
    <t>ZP232A00543</t>
  </si>
  <si>
    <t>Juan Diego Moscoso</t>
  </si>
  <si>
    <t>Canton Gualaceo y Americas</t>
  </si>
  <si>
    <t>0102054798</t>
  </si>
  <si>
    <t>juandiegomoscoso@hotmail.com</t>
  </si>
  <si>
    <t>Horno HLB 760 G</t>
  </si>
  <si>
    <t>TZ233908942</t>
  </si>
  <si>
    <t>Lavavajillas LP8850 M</t>
  </si>
  <si>
    <t>MD219L01965</t>
  </si>
  <si>
    <t>Refrigeradora RFD 7782 GBK</t>
  </si>
  <si>
    <t>MC232N00019</t>
  </si>
  <si>
    <t>Oswaldo Lucero</t>
  </si>
  <si>
    <t>Saraurco 5-200 y Antisana</t>
  </si>
  <si>
    <t>0301578399</t>
  </si>
  <si>
    <t>waldo807@hotmail.com</t>
  </si>
  <si>
    <t>Cocina GZC 96310 XBB</t>
  </si>
  <si>
    <t>ZP23K100452</t>
  </si>
  <si>
    <t>001-500-000047635</t>
  </si>
  <si>
    <t>Microondas ML 820 BIS</t>
  </si>
  <si>
    <t>TP226P06127</t>
  </si>
  <si>
    <t>Jorge Torres</t>
  </si>
  <si>
    <t>Azogues</t>
  </si>
  <si>
    <t>0300028750</t>
  </si>
  <si>
    <t>danielacarolinasilvatorres@gmail.com</t>
  </si>
  <si>
    <t>Horno HLB 8416</t>
  </si>
  <si>
    <t>TZ22AR22464</t>
  </si>
  <si>
    <t>Cocina JZC 96342BBB</t>
  </si>
  <si>
    <t>ZP219C00008</t>
  </si>
  <si>
    <t>Campana Isla DG3</t>
  </si>
  <si>
    <t>PX209W00051</t>
  </si>
  <si>
    <t>Cocina GBC 7503 KBB</t>
  </si>
  <si>
    <t>ZP231P00581</t>
  </si>
  <si>
    <t>Silvia Molina</t>
  </si>
  <si>
    <t>Chaullabamaba</t>
  </si>
  <si>
    <t>01012922118</t>
  </si>
  <si>
    <t>diegogutierreza1975@gmail.com</t>
  </si>
  <si>
    <t>TP232Q06207</t>
  </si>
  <si>
    <t>Horno HLB 85-61 PBM</t>
  </si>
  <si>
    <t>TZ233706213</t>
  </si>
  <si>
    <t>Patricia Rivadeneira</t>
  </si>
  <si>
    <t>Microondas ML 8261BIS L</t>
  </si>
  <si>
    <t>Lavavajillas DW8 57 FIM-D</t>
  </si>
  <si>
    <t>Alm. España</t>
  </si>
  <si>
    <t>Cocina GZC 95320 XBB</t>
  </si>
  <si>
    <t>MD232L00029</t>
  </si>
  <si>
    <t>TZ233308998</t>
  </si>
  <si>
    <t>ZP233M00681</t>
  </si>
  <si>
    <t>Dora Gonzalez</t>
  </si>
  <si>
    <t>Prado Alto</t>
  </si>
  <si>
    <t>0300604071</t>
  </si>
  <si>
    <t>TP2321N02400</t>
  </si>
  <si>
    <t>Horno HLB 8416 BK E10</t>
  </si>
  <si>
    <t>TZ21BR28337</t>
  </si>
  <si>
    <t>002-103-000008644</t>
  </si>
  <si>
    <t>Cocina IZF 64440</t>
  </si>
  <si>
    <t>ZP22CD00036</t>
  </si>
  <si>
    <t>Marjorie Letamendi</t>
  </si>
  <si>
    <t>Puertas del Sol</t>
  </si>
  <si>
    <t>0944370840</t>
  </si>
  <si>
    <t>edificiopicudo@gmail.com</t>
  </si>
  <si>
    <t>Horno HLB 840</t>
  </si>
  <si>
    <t>TZ233E12982</t>
  </si>
  <si>
    <t>Microondas ML 822 BIS L</t>
  </si>
  <si>
    <t>TP231P00584</t>
  </si>
  <si>
    <t>Lourdes Coello</t>
  </si>
  <si>
    <t>Narancay</t>
  </si>
  <si>
    <t>0101501419</t>
  </si>
  <si>
    <t>gueco59@hotmail.com</t>
  </si>
  <si>
    <t>Horno HLB 8416 BK</t>
  </si>
  <si>
    <t>TZ233A10097</t>
  </si>
  <si>
    <t>Campana C910</t>
  </si>
  <si>
    <t>TP233M03407</t>
  </si>
  <si>
    <t>ZP233M00674</t>
  </si>
  <si>
    <t>TP232N02411</t>
  </si>
  <si>
    <t>Pietro Palomeque</t>
  </si>
  <si>
    <t>Via a zumbahuayco</t>
  </si>
  <si>
    <t>0301463733</t>
  </si>
  <si>
    <t>pietromks87@hotmail.com</t>
  </si>
  <si>
    <t>Horno HLB 830 SS</t>
  </si>
  <si>
    <t>Cocina IZC 64010 MSS BK</t>
  </si>
  <si>
    <t>TZ231L15320</t>
  </si>
  <si>
    <t>ZP22BG00015</t>
  </si>
  <si>
    <t>MC22CF00178</t>
  </si>
  <si>
    <t>Campana C6310</t>
  </si>
  <si>
    <t>TP225A03664</t>
  </si>
  <si>
    <t>Karina Prado</t>
  </si>
  <si>
    <t>Urb. Mallorca</t>
  </si>
  <si>
    <t>0102140563</t>
  </si>
  <si>
    <t>karlinaprado@hotmail.com</t>
  </si>
  <si>
    <t>Cocina GBC 75030 KBB</t>
  </si>
  <si>
    <t>ZP23N00252</t>
  </si>
  <si>
    <t>MANDO Electronico</t>
  </si>
  <si>
    <t>TP213CO1426</t>
  </si>
  <si>
    <t>Cambio de mando</t>
  </si>
  <si>
    <t>mariaaugustaespinoza@gmail.com</t>
  </si>
  <si>
    <t>Maria Augusta Espinoza</t>
  </si>
  <si>
    <t>Circuito Conmutador</t>
  </si>
  <si>
    <t>Campana C710</t>
  </si>
  <si>
    <t>TP224V10602</t>
  </si>
  <si>
    <t>Frank Ferreteria</t>
  </si>
  <si>
    <t>fabianguaman@kywi.com</t>
  </si>
  <si>
    <t>Cocina IZS86630MSTBK</t>
  </si>
  <si>
    <t>ZP228600001</t>
  </si>
  <si>
    <t>Wisthon Moreira</t>
  </si>
  <si>
    <t>wisthgonmoreira@hotmail.com</t>
  </si>
  <si>
    <t>Fusible</t>
  </si>
  <si>
    <t>Microondas MWG 14X</t>
  </si>
  <si>
    <t>MW22600900</t>
  </si>
  <si>
    <t xml:space="preserve">Gabriel Santiesteban </t>
  </si>
  <si>
    <t>Fusible quemado</t>
  </si>
  <si>
    <t>Cocinas</t>
  </si>
  <si>
    <t>Microondas</t>
  </si>
  <si>
    <t>002-103-0000006765</t>
  </si>
  <si>
    <t>MD22BL00422</t>
  </si>
  <si>
    <t>Karina Ojeda</t>
  </si>
  <si>
    <t>El Salado y Miguelo Cabello</t>
  </si>
  <si>
    <t>TP231W02412</t>
  </si>
  <si>
    <t>Jorge Samaniego</t>
  </si>
  <si>
    <t>General Torres</t>
  </si>
  <si>
    <t>Home Vega</t>
  </si>
  <si>
    <t>Yunguilla</t>
  </si>
  <si>
    <t>Cocina EX 90.1 5GAIDRCI</t>
  </si>
  <si>
    <t>ZP234B00195</t>
  </si>
  <si>
    <t>Gloria Toral</t>
  </si>
  <si>
    <t>gloriatoral@icloud.com</t>
  </si>
  <si>
    <t>008-501-000007017</t>
  </si>
  <si>
    <t>Lavavajillas LP8850M</t>
  </si>
  <si>
    <t>MD226L00281</t>
  </si>
  <si>
    <t>Ivan Alvarez</t>
  </si>
  <si>
    <t>Tarqui</t>
  </si>
  <si>
    <t>juan_alvares2008@hotm ail.com</t>
  </si>
  <si>
    <t>001-500-000054276</t>
  </si>
  <si>
    <t>TZ233A10122</t>
  </si>
  <si>
    <t>Marco Gonzalez</t>
  </si>
  <si>
    <t>greendesign88@yahoo.com</t>
  </si>
  <si>
    <t>001-500-000053567</t>
  </si>
  <si>
    <t>Cocina GBC75030 KBB</t>
  </si>
  <si>
    <t>ZP231P00592</t>
  </si>
  <si>
    <t>Isabel Wilches</t>
  </si>
  <si>
    <t>Vista Linda</t>
  </si>
  <si>
    <t>iswilches@yahoo.com</t>
  </si>
  <si>
    <t>001-500-000054380</t>
  </si>
  <si>
    <t>TP231W00394</t>
  </si>
  <si>
    <t>Lupe Guacho</t>
  </si>
  <si>
    <t>Batan y Remigio Tamariz</t>
  </si>
  <si>
    <t>luppis_g@hotmail.com</t>
  </si>
  <si>
    <t>001-500-000054405</t>
  </si>
  <si>
    <t>Cocina GBC 95030 KBB</t>
  </si>
  <si>
    <t>ZP234301039</t>
  </si>
  <si>
    <t>Liseth Zambrano</t>
  </si>
  <si>
    <t>Av. Del Chofer</t>
  </si>
  <si>
    <t>lyseth09@gmail.com</t>
  </si>
  <si>
    <t>Mercard</t>
  </si>
  <si>
    <t>001-001-0000002006</t>
  </si>
  <si>
    <t>Campana GFM 73</t>
  </si>
  <si>
    <t>TP23A09543</t>
  </si>
  <si>
    <t>Neomuebles</t>
  </si>
  <si>
    <t>1 de Mayo</t>
  </si>
  <si>
    <t>neomueblefc@gmail.com</t>
  </si>
  <si>
    <t>Boyaca</t>
  </si>
  <si>
    <t>007-007-000024082</t>
  </si>
  <si>
    <t>Campana C7310</t>
  </si>
  <si>
    <t>TP231509053</t>
  </si>
  <si>
    <t>Jose Vivar</t>
  </si>
  <si>
    <t>Manuel Estrella</t>
  </si>
  <si>
    <t>vivardaniel@hotmail.com</t>
  </si>
  <si>
    <t>Cocina IZS 97630 MSTBK</t>
  </si>
  <si>
    <t>ZP22BG00063</t>
  </si>
  <si>
    <t>Angelica Siguencia</t>
  </si>
  <si>
    <t>Gran Colombia</t>
  </si>
  <si>
    <t>angelicasiguencia@gmail.com</t>
  </si>
  <si>
    <t>002-109-000025849</t>
  </si>
  <si>
    <t>Cocina JZC 64322ABB</t>
  </si>
  <si>
    <t>ZP231H00041</t>
  </si>
  <si>
    <t>Eduardo Baculima</t>
  </si>
  <si>
    <t>Rocas de Misicata</t>
  </si>
  <si>
    <t>Refrigeradora RLF  74920SS</t>
  </si>
  <si>
    <t>MC232S00070</t>
  </si>
  <si>
    <t>Ruben Mogrovejo</t>
  </si>
  <si>
    <t>Av. Don Bosco</t>
  </si>
  <si>
    <t>ferriaustral@hotmail.com</t>
  </si>
  <si>
    <t>Cocina GBC 64000KB</t>
  </si>
  <si>
    <t>ZP235B00099</t>
  </si>
  <si>
    <t>Freddy Morales</t>
  </si>
  <si>
    <t>fmoralescarpio@hotmail.com</t>
  </si>
  <si>
    <t>008-501-00006841</t>
  </si>
  <si>
    <t>Cocina EFX 90.1 6GAIAL</t>
  </si>
  <si>
    <t>ZP21A400001</t>
  </si>
  <si>
    <t>Daniela Sanmartin</t>
  </si>
  <si>
    <t>Panamericana Norte</t>
  </si>
  <si>
    <t>0391016992</t>
  </si>
  <si>
    <t>contabilidad@vipesa.net</t>
  </si>
  <si>
    <t>CIN000052200116</t>
  </si>
  <si>
    <t>Cocina GZC 64320 XBB</t>
  </si>
  <si>
    <t>ZP22CB00009</t>
  </si>
  <si>
    <t>Diana Rodriguez</t>
  </si>
  <si>
    <t>Porton Carapungo</t>
  </si>
  <si>
    <t>diana.ri55@hotmail.com</t>
  </si>
  <si>
    <t>001-001-000002513</t>
  </si>
  <si>
    <t>Triturador TR 710.1</t>
  </si>
  <si>
    <t>221225AF0344</t>
  </si>
  <si>
    <t>Ligia Delgado</t>
  </si>
  <si>
    <t>Retamas 2-30</t>
  </si>
  <si>
    <t>ligiadelgadoldc@hotmail.com</t>
  </si>
  <si>
    <t>Campana Isla DPL 1180</t>
  </si>
  <si>
    <t>PX22AT0016</t>
  </si>
  <si>
    <t>Patamarca</t>
  </si>
  <si>
    <t>tc_construcciones2014@hotmail.com</t>
  </si>
  <si>
    <t>002-101-000088006</t>
  </si>
  <si>
    <t>Cocina EFX 70.1 5G AI</t>
  </si>
  <si>
    <t>ZP222R00029</t>
  </si>
  <si>
    <t>Urb. Carapungo</t>
  </si>
  <si>
    <t>marcelacam@live.com</t>
  </si>
  <si>
    <t>001-500-000054693</t>
  </si>
  <si>
    <t>001-001-000002225</t>
  </si>
  <si>
    <t>001-500-000053870</t>
  </si>
  <si>
    <t>001-101-000002483</t>
  </si>
  <si>
    <t>008-501-000007030</t>
  </si>
  <si>
    <t>001-500-000042771</t>
  </si>
  <si>
    <t>001-500-000052793</t>
  </si>
  <si>
    <t>Cambio circuito</t>
  </si>
  <si>
    <t>Conjunto Induccion</t>
  </si>
  <si>
    <t>Cambio repuesto</t>
  </si>
  <si>
    <t>Instalacion Lavavajillas LP8850M</t>
  </si>
  <si>
    <t>Instalacion Cocina GZC 96310XBB</t>
  </si>
  <si>
    <t>Instalacion Campana DVF97670TBLBK</t>
  </si>
  <si>
    <t xml:space="preserve"> Instalacion Campana C9310</t>
  </si>
  <si>
    <t>Instalacion Cocina EX 90.1 5GAIDRCI</t>
  </si>
  <si>
    <t>Edificio Alameda</t>
  </si>
  <si>
    <t>Reparacion cambio Conjunto Induccion</t>
  </si>
  <si>
    <t>Reparacion</t>
  </si>
  <si>
    <t>wisthonmoreira@hotmail.com</t>
  </si>
  <si>
    <t xml:space="preserve"> Instalacion Horno HLB 8416</t>
  </si>
  <si>
    <t>Instalacion Cocina EFX 90.1 GG</t>
  </si>
  <si>
    <t>Instalacion Horno HSB 635 SS</t>
  </si>
  <si>
    <t>Instalacion Campana C9310</t>
  </si>
  <si>
    <t>Instalacion Horno HSB 646 SS</t>
  </si>
  <si>
    <t>Instalacion Microondas MW614X</t>
  </si>
  <si>
    <t>Instalacion Campana DPL ISLA 1180</t>
  </si>
  <si>
    <t>Instalacion Cocina JZC 96324 ABB</t>
  </si>
  <si>
    <t>Rio Amarillo</t>
  </si>
  <si>
    <t>Reparacion Microondas ML 820 BIS</t>
  </si>
  <si>
    <t>Bath&amp;Home Center</t>
  </si>
  <si>
    <t>TP213C014202</t>
  </si>
  <si>
    <t>0102902483</t>
  </si>
  <si>
    <t>Mariscal Lamar</t>
  </si>
  <si>
    <t>Armado</t>
  </si>
  <si>
    <t>Instalacion Cocina GBC75030 KBB</t>
  </si>
  <si>
    <t>Instalacion Campana C710</t>
  </si>
  <si>
    <t>Circunvalacion</t>
  </si>
  <si>
    <t>Reparacion Campana C710</t>
  </si>
  <si>
    <t>C0224J02401</t>
  </si>
  <si>
    <t>C0224J00698</t>
  </si>
  <si>
    <t>Llamada Almacen</t>
  </si>
  <si>
    <t>001-500-000043579</t>
  </si>
  <si>
    <t>Campana DG3 ISLA 980</t>
  </si>
  <si>
    <t>010-007-000160625</t>
  </si>
  <si>
    <t>Freddy Carrion</t>
  </si>
  <si>
    <t>002-103-000008580</t>
  </si>
  <si>
    <t>001-101-000002494</t>
  </si>
  <si>
    <t>002-103-000008180</t>
  </si>
  <si>
    <t>001-500-000052926</t>
  </si>
  <si>
    <t>006-002-000133957</t>
  </si>
  <si>
    <t>Roberto Crespo</t>
  </si>
  <si>
    <t>0190425886</t>
  </si>
  <si>
    <t>Gabriel Santiesteban</t>
  </si>
  <si>
    <t>Santiago Carrasco 1-357</t>
  </si>
  <si>
    <t>Reparacion Microondas MWG 14X</t>
  </si>
  <si>
    <t>gabrielsantiestebanpodio@gmail.com</t>
  </si>
  <si>
    <t>Marcela Campoverde</t>
  </si>
  <si>
    <t xml:space="preserve">Instalado Promocion </t>
  </si>
  <si>
    <t>Armado BBQ 3100</t>
  </si>
  <si>
    <t xml:space="preserve"> </t>
  </si>
  <si>
    <t>CO224J02401</t>
  </si>
  <si>
    <t>CO224J00698</t>
  </si>
  <si>
    <t>doris.chicaiza@hotmail.com</t>
  </si>
  <si>
    <t>0104088265</t>
  </si>
  <si>
    <t>003-501-000016835</t>
  </si>
  <si>
    <t>Cambio de Reloj</t>
  </si>
  <si>
    <t>Hornos</t>
  </si>
  <si>
    <t>Magiorie Letamendi</t>
  </si>
  <si>
    <t>Cambio Reloj</t>
  </si>
  <si>
    <t>001-101-000002341</t>
  </si>
  <si>
    <t>008-501-000006814</t>
  </si>
  <si>
    <t>002-101-000083997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</si>
</sst>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 * #,##0.00_ ;_ * \-#,##0.00_ ;_ * &quot;-&quot;??_ ;_ @_ "/>
    <numFmt numFmtId="171" formatCode="00"/>
    <numFmt numFmtId="172" formatCode="d/m/yy;@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u/>
      <sz val="12.65"/>
      <color theme="1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4"/>
      <name val="Arial"/>
      <family val="2"/>
    </font>
    <font>
      <u/>
      <sz val="10"/>
      <color theme="4"/>
      <name val="Arial"/>
      <family val="2"/>
    </font>
    <font>
      <sz val="11"/>
      <color theme="4"/>
      <name val="Calibri"/>
      <family val="2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sz val="10"/>
      <color theme="9" tint="-0.499984740745262"/>
      <name val="Arial"/>
      <family val="2"/>
    </font>
    <font>
      <u/>
      <sz val="10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sz val="10"/>
      <color rgb="FFFF0000"/>
      <name val="Arial"/>
      <family val="2"/>
    </font>
    <font>
      <u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170" fontId="47" fillId="0" borderId="0" applyFont="0" applyFill="0" applyBorder="0" applyAlignment="0" applyProtection="0"/>
    <xf numFmtId="0" fontId="47" fillId="0" borderId="0"/>
    <xf numFmtId="0" fontId="58" fillId="0" borderId="0" applyNumberFormat="0" applyFill="0" applyBorder="0" applyAlignment="0" applyProtection="0">
      <alignment vertical="top"/>
      <protection locked="0"/>
    </xf>
  </cellStyleXfs>
  <cellXfs count="382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164" fontId="10" fillId="3" borderId="6" xfId="0" applyNumberFormat="1" applyFont="1" applyFill="1" applyBorder="1" applyAlignment="1">
      <alignment horizontal="left" wrapText="1"/>
    </xf>
    <xf numFmtId="165" fontId="10" fillId="3" borderId="6" xfId="0" applyNumberFormat="1" applyFont="1" applyFill="1" applyBorder="1" applyAlignment="1">
      <alignment wrapText="1"/>
    </xf>
    <xf numFmtId="3" fontId="10" fillId="3" borderId="6" xfId="0" applyNumberFormat="1" applyFont="1" applyFill="1" applyBorder="1"/>
    <xf numFmtId="0" fontId="10" fillId="3" borderId="6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left" wrapText="1"/>
    </xf>
    <xf numFmtId="0" fontId="10" fillId="0" borderId="6" xfId="0" applyFont="1" applyBorder="1" applyAlignment="1">
      <alignment wrapText="1"/>
    </xf>
    <xf numFmtId="4" fontId="11" fillId="3" borderId="6" xfId="0" applyNumberFormat="1" applyFont="1" applyFill="1" applyBorder="1" applyAlignment="1">
      <alignment horizontal="right" wrapText="1"/>
    </xf>
    <xf numFmtId="49" fontId="10" fillId="3" borderId="6" xfId="0" applyNumberFormat="1" applyFont="1" applyFill="1" applyBorder="1" applyAlignment="1">
      <alignment wrapText="1"/>
    </xf>
    <xf numFmtId="164" fontId="10" fillId="3" borderId="7" xfId="0" applyNumberFormat="1" applyFont="1" applyFill="1" applyBorder="1" applyAlignment="1">
      <alignment horizontal="left" wrapText="1"/>
    </xf>
    <xf numFmtId="165" fontId="10" fillId="3" borderId="7" xfId="0" applyNumberFormat="1" applyFont="1" applyFill="1" applyBorder="1" applyAlignment="1">
      <alignment wrapText="1"/>
    </xf>
    <xf numFmtId="3" fontId="10" fillId="3" borderId="7" xfId="0" applyNumberFormat="1" applyFont="1" applyFill="1" applyBorder="1"/>
    <xf numFmtId="0" fontId="10" fillId="3" borderId="7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0" fillId="3" borderId="7" xfId="0" applyFont="1" applyFill="1" applyBorder="1" applyAlignment="1">
      <alignment horizontal="left" wrapText="1"/>
    </xf>
    <xf numFmtId="0" fontId="11" fillId="3" borderId="7" xfId="0" applyFont="1" applyFill="1" applyBorder="1" applyAlignment="1">
      <alignment horizontal="left" wrapText="1"/>
    </xf>
    <xf numFmtId="0" fontId="10" fillId="0" borderId="7" xfId="0" applyFont="1" applyBorder="1" applyAlignment="1">
      <alignment wrapText="1"/>
    </xf>
    <xf numFmtId="4" fontId="11" fillId="3" borderId="7" xfId="0" applyNumberFormat="1" applyFont="1" applyFill="1" applyBorder="1" applyAlignment="1">
      <alignment horizontal="right" wrapText="1"/>
    </xf>
    <xf numFmtId="49" fontId="10" fillId="3" borderId="7" xfId="0" applyNumberFormat="1" applyFont="1" applyFill="1" applyBorder="1" applyAlignment="1">
      <alignment wrapText="1"/>
    </xf>
    <xf numFmtId="4" fontId="0" fillId="0" borderId="0" xfId="0" applyNumberFormat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8" xfId="4" applyNumberFormat="1" applyFont="1" applyFill="1" applyBorder="1" applyAlignment="1">
      <alignment horizontal="left" vertical="center" wrapText="1"/>
    </xf>
    <xf numFmtId="0" fontId="20" fillId="5" borderId="8" xfId="4" applyFont="1" applyFill="1" applyBorder="1" applyAlignment="1">
      <alignment horizontal="left" vertical="center" wrapText="1"/>
    </xf>
    <xf numFmtId="0" fontId="21" fillId="5" borderId="8" xfId="4" applyFont="1" applyFill="1" applyBorder="1" applyAlignment="1">
      <alignment horizontal="left" vertical="center" wrapText="1"/>
    </xf>
    <xf numFmtId="2" fontId="21" fillId="5" borderId="8" xfId="4" applyNumberFormat="1" applyFont="1" applyFill="1" applyBorder="1" applyAlignment="1">
      <alignment horizontal="left" vertical="center" wrapText="1"/>
    </xf>
    <xf numFmtId="0" fontId="22" fillId="0" borderId="0" xfId="2" applyFont="1"/>
    <xf numFmtId="167" fontId="22" fillId="0" borderId="5" xfId="2" applyNumberFormat="1" applyFont="1" applyBorder="1" applyAlignment="1">
      <alignment horizontal="left"/>
    </xf>
    <xf numFmtId="0" fontId="22" fillId="0" borderId="5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3" borderId="5" xfId="2" applyFont="1" applyFill="1" applyBorder="1" applyAlignment="1">
      <alignment horizontal="left"/>
    </xf>
    <xf numFmtId="14" fontId="22" fillId="0" borderId="5" xfId="2" applyNumberFormat="1" applyFont="1" applyBorder="1" applyAlignment="1">
      <alignment horizontal="left"/>
    </xf>
    <xf numFmtId="2" fontId="22" fillId="0" borderId="5" xfId="2" applyNumberFormat="1" applyFont="1" applyBorder="1" applyAlignment="1">
      <alignment horizontal="left"/>
    </xf>
    <xf numFmtId="167" fontId="22" fillId="0" borderId="6" xfId="2" applyNumberFormat="1" applyFont="1" applyBorder="1" applyAlignment="1">
      <alignment horizontal="left"/>
    </xf>
    <xf numFmtId="0" fontId="22" fillId="0" borderId="6" xfId="2" applyFont="1" applyBorder="1" applyAlignment="1">
      <alignment horizontal="left"/>
    </xf>
    <xf numFmtId="0" fontId="23" fillId="0" borderId="6" xfId="2" applyFont="1" applyBorder="1" applyAlignment="1">
      <alignment horizontal="left"/>
    </xf>
    <xf numFmtId="0" fontId="23" fillId="3" borderId="6" xfId="2" applyFont="1" applyFill="1" applyBorder="1" applyAlignment="1">
      <alignment horizontal="left"/>
    </xf>
    <xf numFmtId="2" fontId="22" fillId="0" borderId="6" xfId="2" applyNumberFormat="1" applyFont="1" applyBorder="1" applyAlignment="1">
      <alignment horizontal="left"/>
    </xf>
    <xf numFmtId="2" fontId="10" fillId="0" borderId="0" xfId="0" applyNumberFormat="1" applyFont="1"/>
    <xf numFmtId="0" fontId="24" fillId="0" borderId="0" xfId="2" applyFont="1"/>
    <xf numFmtId="2" fontId="24" fillId="0" borderId="0" xfId="2" applyNumberFormat="1" applyFont="1"/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9" xfId="0" applyFont="1" applyFill="1" applyBorder="1" applyAlignment="1">
      <alignment horizontal="left" vertical="center" wrapText="1"/>
    </xf>
    <xf numFmtId="1" fontId="33" fillId="6" borderId="9" xfId="0" applyNumberFormat="1" applyFont="1" applyFill="1" applyBorder="1" applyAlignment="1">
      <alignment horizontal="left" vertical="center" wrapText="1"/>
    </xf>
    <xf numFmtId="2" fontId="33" fillId="6" borderId="9" xfId="0" applyNumberFormat="1" applyFont="1" applyFill="1" applyBorder="1" applyAlignment="1">
      <alignment horizontal="left" vertical="center" wrapText="1"/>
    </xf>
    <xf numFmtId="0" fontId="33" fillId="6" borderId="10" xfId="0" applyFont="1" applyFill="1" applyBorder="1" applyAlignment="1">
      <alignment horizontal="left" vertical="center" wrapText="1"/>
    </xf>
    <xf numFmtId="0" fontId="33" fillId="6" borderId="11" xfId="0" applyFont="1" applyFill="1" applyBorder="1" applyAlignment="1">
      <alignment horizontal="left" vertical="center" wrapText="1"/>
    </xf>
    <xf numFmtId="0" fontId="34" fillId="0" borderId="0" xfId="0" applyFont="1"/>
    <xf numFmtId="49" fontId="35" fillId="7" borderId="5" xfId="0" applyNumberFormat="1" applyFont="1" applyFill="1" applyBorder="1" applyAlignment="1">
      <alignment horizontal="left" vertical="center"/>
    </xf>
    <xf numFmtId="49" fontId="35" fillId="7" borderId="5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left" vertical="center"/>
    </xf>
    <xf numFmtId="0" fontId="35" fillId="7" borderId="12" xfId="0" quotePrefix="1" applyFont="1" applyFill="1" applyBorder="1" applyAlignment="1">
      <alignment horizontal="left" vertical="center"/>
    </xf>
    <xf numFmtId="0" fontId="35" fillId="8" borderId="12" xfId="0" applyFont="1" applyFill="1" applyBorder="1" applyAlignment="1">
      <alignment horizontal="left" vertical="center"/>
    </xf>
    <xf numFmtId="49" fontId="35" fillId="7" borderId="12" xfId="0" applyNumberFormat="1" applyFont="1" applyFill="1" applyBorder="1" applyAlignment="1">
      <alignment horizontal="left" vertical="center"/>
    </xf>
    <xf numFmtId="49" fontId="35" fillId="7" borderId="6" xfId="0" applyNumberFormat="1" applyFont="1" applyFill="1" applyBorder="1" applyAlignment="1">
      <alignment horizontal="left" vertical="center"/>
    </xf>
    <xf numFmtId="1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center" vertical="center"/>
    </xf>
    <xf numFmtId="2" fontId="35" fillId="7" borderId="12" xfId="0" applyNumberFormat="1" applyFont="1" applyFill="1" applyBorder="1" applyAlignment="1">
      <alignment horizontal="center" vertical="center"/>
    </xf>
    <xf numFmtId="49" fontId="35" fillId="7" borderId="6" xfId="0" applyNumberFormat="1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14" fontId="35" fillId="7" borderId="6" xfId="0" applyNumberFormat="1" applyFont="1" applyFill="1" applyBorder="1" applyAlignment="1">
      <alignment horizontal="center" vertical="center"/>
    </xf>
    <xf numFmtId="14" fontId="35" fillId="7" borderId="6" xfId="0" applyNumberFormat="1" applyFont="1" applyFill="1" applyBorder="1" applyAlignment="1">
      <alignment horizontal="left" vertical="center"/>
    </xf>
    <xf numFmtId="0" fontId="35" fillId="7" borderId="6" xfId="0" applyFont="1" applyFill="1" applyBorder="1" applyAlignment="1">
      <alignment horizontal="left" vertical="center"/>
    </xf>
    <xf numFmtId="0" fontId="35" fillId="7" borderId="6" xfId="0" quotePrefix="1" applyFont="1" applyFill="1" applyBorder="1" applyAlignment="1">
      <alignment horizontal="left" vertical="center"/>
    </xf>
    <xf numFmtId="0" fontId="35" fillId="8" borderId="6" xfId="0" applyFont="1" applyFill="1" applyBorder="1" applyAlignment="1">
      <alignment horizontal="left" vertical="center"/>
    </xf>
    <xf numFmtId="1" fontId="35" fillId="7" borderId="6" xfId="0" applyNumberFormat="1" applyFont="1" applyFill="1" applyBorder="1" applyAlignment="1">
      <alignment horizontal="left" vertical="center"/>
    </xf>
    <xf numFmtId="2" fontId="35" fillId="7" borderId="6" xfId="0" applyNumberFormat="1" applyFont="1" applyFill="1" applyBorder="1" applyAlignment="1">
      <alignment horizontal="center" vertical="center"/>
    </xf>
    <xf numFmtId="0" fontId="35" fillId="9" borderId="6" xfId="0" applyFont="1" applyFill="1" applyBorder="1" applyAlignment="1">
      <alignment horizontal="center" vertical="center"/>
    </xf>
    <xf numFmtId="14" fontId="35" fillId="7" borderId="13" xfId="0" applyNumberFormat="1" applyFont="1" applyFill="1" applyBorder="1" applyAlignment="1">
      <alignment horizontal="left" vertical="center"/>
    </xf>
    <xf numFmtId="0" fontId="35" fillId="7" borderId="13" xfId="0" applyFont="1" applyFill="1" applyBorder="1" applyAlignment="1">
      <alignment horizontal="left" vertical="center"/>
    </xf>
    <xf numFmtId="0" fontId="35" fillId="7" borderId="13" xfId="0" quotePrefix="1" applyFont="1" applyFill="1" applyBorder="1" applyAlignment="1">
      <alignment horizontal="left" vertical="center"/>
    </xf>
    <xf numFmtId="0" fontId="35" fillId="8" borderId="13" xfId="0" applyFont="1" applyFill="1" applyBorder="1" applyAlignment="1">
      <alignment horizontal="left" vertical="center"/>
    </xf>
    <xf numFmtId="49" fontId="35" fillId="7" borderId="13" xfId="0" applyNumberFormat="1" applyFont="1" applyFill="1" applyBorder="1" applyAlignment="1">
      <alignment horizontal="left" vertical="center"/>
    </xf>
    <xf numFmtId="1" fontId="35" fillId="7" borderId="13" xfId="0" applyNumberFormat="1" applyFont="1" applyFill="1" applyBorder="1" applyAlignment="1">
      <alignment horizontal="left" vertical="center"/>
    </xf>
    <xf numFmtId="0" fontId="35" fillId="7" borderId="13" xfId="0" applyFont="1" applyFill="1" applyBorder="1" applyAlignment="1">
      <alignment horizontal="center" vertical="center"/>
    </xf>
    <xf numFmtId="2" fontId="35" fillId="7" borderId="13" xfId="0" applyNumberFormat="1" applyFont="1" applyFill="1" applyBorder="1" applyAlignment="1">
      <alignment horizontal="center" vertical="center"/>
    </xf>
    <xf numFmtId="49" fontId="35" fillId="7" borderId="12" xfId="0" applyNumberFormat="1" applyFont="1" applyFill="1" applyBorder="1" applyAlignment="1">
      <alignment horizontal="center" vertical="center"/>
    </xf>
    <xf numFmtId="0" fontId="35" fillId="9" borderId="13" xfId="0" applyFont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14" fontId="35" fillId="7" borderId="7" xfId="0" applyNumberFormat="1" applyFont="1" applyFill="1" applyBorder="1" applyAlignment="1">
      <alignment horizontal="center" vertical="center"/>
    </xf>
    <xf numFmtId="14" fontId="35" fillId="7" borderId="7" xfId="0" applyNumberFormat="1" applyFont="1" applyFill="1" applyBorder="1" applyAlignment="1">
      <alignment horizontal="left" vertical="center"/>
    </xf>
    <xf numFmtId="0" fontId="35" fillId="7" borderId="7" xfId="0" applyFont="1" applyFill="1" applyBorder="1" applyAlignment="1">
      <alignment horizontal="left" vertical="center"/>
    </xf>
    <xf numFmtId="0" fontId="35" fillId="7" borderId="7" xfId="0" quotePrefix="1" applyFont="1" applyFill="1" applyBorder="1" applyAlignment="1">
      <alignment horizontal="left" vertical="center"/>
    </xf>
    <xf numFmtId="0" fontId="35" fillId="8" borderId="7" xfId="0" applyFont="1" applyFill="1" applyBorder="1" applyAlignment="1">
      <alignment horizontal="left" vertical="center"/>
    </xf>
    <xf numFmtId="49" fontId="35" fillId="7" borderId="7" xfId="0" applyNumberFormat="1" applyFont="1" applyFill="1" applyBorder="1" applyAlignment="1">
      <alignment horizontal="left" vertical="center"/>
    </xf>
    <xf numFmtId="1" fontId="35" fillId="7" borderId="7" xfId="0" applyNumberFormat="1" applyFont="1" applyFill="1" applyBorder="1" applyAlignment="1">
      <alignment horizontal="left" vertical="center"/>
    </xf>
    <xf numFmtId="0" fontId="35" fillId="7" borderId="7" xfId="0" applyFont="1" applyFill="1" applyBorder="1" applyAlignment="1">
      <alignment horizontal="center" vertical="center"/>
    </xf>
    <xf numFmtId="2" fontId="35" fillId="7" borderId="7" xfId="0" applyNumberFormat="1" applyFont="1" applyFill="1" applyBorder="1" applyAlignment="1">
      <alignment horizontal="center" vertical="center"/>
    </xf>
    <xf numFmtId="49" fontId="35" fillId="7" borderId="7" xfId="0" applyNumberFormat="1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10" borderId="14" xfId="0" applyFont="1" applyFill="1" applyBorder="1" applyAlignment="1">
      <alignment horizontal="center" vertical="center" wrapText="1"/>
    </xf>
    <xf numFmtId="0" fontId="43" fillId="10" borderId="14" xfId="0" applyFont="1" applyFill="1" applyBorder="1" applyAlignment="1">
      <alignment vertical="center" wrapText="1"/>
    </xf>
    <xf numFmtId="0" fontId="43" fillId="10" borderId="14" xfId="0" applyFont="1" applyFill="1" applyBorder="1" applyAlignment="1">
      <alignment horizontal="left" vertical="center" wrapText="1"/>
    </xf>
    <xf numFmtId="1" fontId="43" fillId="10" borderId="14" xfId="0" applyNumberFormat="1" applyFont="1" applyFill="1" applyBorder="1" applyAlignment="1">
      <alignment vertical="center" wrapText="1"/>
    </xf>
    <xf numFmtId="2" fontId="43" fillId="10" borderId="14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1" borderId="5" xfId="0" applyNumberFormat="1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left"/>
    </xf>
    <xf numFmtId="49" fontId="22" fillId="11" borderId="5" xfId="0" applyNumberFormat="1" applyFont="1" applyFill="1" applyBorder="1" applyAlignment="1">
      <alignment horizontal="center"/>
    </xf>
    <xf numFmtId="164" fontId="22" fillId="3" borderId="5" xfId="0" applyNumberFormat="1" applyFont="1" applyFill="1" applyBorder="1" applyAlignment="1">
      <alignment horizontal="center"/>
    </xf>
    <xf numFmtId="1" fontId="22" fillId="11" borderId="5" xfId="0" applyNumberFormat="1" applyFont="1" applyFill="1" applyBorder="1" applyAlignment="1">
      <alignment horizontal="left"/>
    </xf>
    <xf numFmtId="2" fontId="22" fillId="11" borderId="5" xfId="0" applyNumberFormat="1" applyFont="1" applyFill="1" applyBorder="1"/>
    <xf numFmtId="168" fontId="22" fillId="11" borderId="5" xfId="0" applyNumberFormat="1" applyFont="1" applyFill="1" applyBorder="1" applyAlignment="1">
      <alignment horizontal="center"/>
    </xf>
    <xf numFmtId="164" fontId="22" fillId="11" borderId="6" xfId="0" applyNumberFormat="1" applyFont="1" applyFill="1" applyBorder="1" applyAlignment="1">
      <alignment horizontal="center"/>
    </xf>
    <xf numFmtId="0" fontId="22" fillId="11" borderId="6" xfId="0" applyFont="1" applyFill="1" applyBorder="1" applyAlignment="1">
      <alignment horizontal="center"/>
    </xf>
    <xf numFmtId="0" fontId="22" fillId="11" borderId="6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left"/>
    </xf>
    <xf numFmtId="49" fontId="22" fillId="11" borderId="6" xfId="0" applyNumberFormat="1" applyFont="1" applyFill="1" applyBorder="1" applyAlignment="1">
      <alignment horizontal="center"/>
    </xf>
    <xf numFmtId="164" fontId="22" fillId="3" borderId="6" xfId="0" applyNumberFormat="1" applyFont="1" applyFill="1" applyBorder="1" applyAlignment="1">
      <alignment horizontal="center"/>
    </xf>
    <xf numFmtId="1" fontId="22" fillId="11" borderId="6" xfId="0" applyNumberFormat="1" applyFont="1" applyFill="1" applyBorder="1" applyAlignment="1">
      <alignment horizontal="left"/>
    </xf>
    <xf numFmtId="2" fontId="22" fillId="11" borderId="6" xfId="0" applyNumberFormat="1" applyFont="1" applyFill="1" applyBorder="1"/>
    <xf numFmtId="168" fontId="22" fillId="11" borderId="6" xfId="0" applyNumberFormat="1" applyFont="1" applyFill="1" applyBorder="1" applyAlignment="1">
      <alignment horizontal="center"/>
    </xf>
    <xf numFmtId="49" fontId="12" fillId="11" borderId="6" xfId="1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5" xfId="7" applyNumberFormat="1" applyFont="1" applyBorder="1" applyAlignment="1">
      <alignment horizontal="left"/>
    </xf>
    <xf numFmtId="0" fontId="48" fillId="0" borderId="16" xfId="7" applyFont="1" applyBorder="1" applyAlignment="1">
      <alignment horizontal="left"/>
    </xf>
    <xf numFmtId="0" fontId="49" fillId="0" borderId="16" xfId="7" applyFont="1" applyBorder="1" applyAlignment="1">
      <alignment horizontal="left"/>
    </xf>
    <xf numFmtId="0" fontId="50" fillId="0" borderId="16" xfId="7" applyFont="1" applyBorder="1" applyAlignment="1">
      <alignment horizontal="left" readingOrder="1"/>
    </xf>
    <xf numFmtId="0" fontId="51" fillId="0" borderId="16" xfId="7" applyFont="1" applyBorder="1" applyAlignment="1">
      <alignment horizontal="left"/>
    </xf>
    <xf numFmtId="17" fontId="52" fillId="0" borderId="16" xfId="7" applyNumberFormat="1" applyFont="1" applyBorder="1" applyAlignment="1">
      <alignment horizontal="left"/>
    </xf>
    <xf numFmtId="0" fontId="47" fillId="0" borderId="16" xfId="7" applyFont="1" applyBorder="1" applyAlignment="1">
      <alignment horizontal="left"/>
    </xf>
    <xf numFmtId="49" fontId="45" fillId="0" borderId="17" xfId="7" applyNumberFormat="1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9" xfId="7" applyFont="1" applyBorder="1" applyAlignment="1">
      <alignment horizontal="left"/>
    </xf>
    <xf numFmtId="169" fontId="48" fillId="0" borderId="20" xfId="7" applyNumberFormat="1" applyFont="1" applyBorder="1" applyAlignment="1">
      <alignment horizontal="left"/>
    </xf>
    <xf numFmtId="0" fontId="48" fillId="0" borderId="21" xfId="7" applyFont="1" applyBorder="1" applyAlignment="1">
      <alignment horizontal="left"/>
    </xf>
    <xf numFmtId="0" fontId="48" fillId="0" borderId="22" xfId="7" applyFont="1" applyBorder="1" applyAlignment="1">
      <alignment horizontal="left"/>
    </xf>
    <xf numFmtId="0" fontId="53" fillId="12" borderId="8" xfId="8" applyFont="1" applyFill="1" applyBorder="1" applyAlignment="1">
      <alignment horizontal="center" wrapText="1"/>
    </xf>
    <xf numFmtId="0" fontId="11" fillId="0" borderId="0" xfId="8" applyFont="1" applyAlignment="1">
      <alignment horizontal="right" vertical="top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170" fontId="11" fillId="0" borderId="5" xfId="9" applyFont="1" applyBorder="1" applyAlignment="1">
      <alignment vertical="top"/>
    </xf>
    <xf numFmtId="170" fontId="11" fillId="0" borderId="6" xfId="9" applyFont="1" applyBorder="1" applyAlignment="1">
      <alignment horizontal="left" vertical="top"/>
    </xf>
    <xf numFmtId="14" fontId="11" fillId="0" borderId="6" xfId="8" applyNumberFormat="1" applyFont="1" applyBorder="1" applyAlignment="1">
      <alignment horizontal="left" vertical="top"/>
    </xf>
    <xf numFmtId="0" fontId="11" fillId="0" borderId="6" xfId="8" applyFont="1" applyBorder="1" applyAlignment="1">
      <alignment horizontal="center" vertical="top"/>
    </xf>
    <xf numFmtId="0" fontId="11" fillId="0" borderId="6" xfId="8" applyFont="1" applyBorder="1" applyAlignment="1">
      <alignment horizontal="left" vertical="top"/>
    </xf>
    <xf numFmtId="0" fontId="11" fillId="0" borderId="6" xfId="8" applyFont="1" applyBorder="1" applyAlignment="1">
      <alignment vertical="top"/>
    </xf>
    <xf numFmtId="0" fontId="11" fillId="0" borderId="6" xfId="8" quotePrefix="1" applyFont="1" applyBorder="1" applyAlignment="1">
      <alignment horizontal="left" vertical="top"/>
    </xf>
    <xf numFmtId="170" fontId="11" fillId="0" borderId="6" xfId="9" applyFont="1" applyBorder="1" applyAlignment="1">
      <alignment vertical="top"/>
    </xf>
    <xf numFmtId="14" fontId="11" fillId="0" borderId="7" xfId="8" applyNumberFormat="1" applyFont="1" applyBorder="1" applyAlignment="1">
      <alignment horizontal="left" vertical="top"/>
    </xf>
    <xf numFmtId="0" fontId="11" fillId="0" borderId="7" xfId="8" applyFont="1" applyBorder="1" applyAlignment="1">
      <alignment horizontal="center" vertical="top"/>
    </xf>
    <xf numFmtId="0" fontId="11" fillId="0" borderId="7" xfId="8" applyFont="1" applyBorder="1" applyAlignment="1">
      <alignment horizontal="left" vertical="top"/>
    </xf>
    <xf numFmtId="0" fontId="11" fillId="0" borderId="7" xfId="8" applyFont="1" applyBorder="1" applyAlignment="1">
      <alignment vertical="top"/>
    </xf>
    <xf numFmtId="0" fontId="11" fillId="0" borderId="7" xfId="8" quotePrefix="1" applyFont="1" applyBorder="1" applyAlignment="1">
      <alignment horizontal="left" vertical="top"/>
    </xf>
    <xf numFmtId="170" fontId="11" fillId="0" borderId="7" xfId="9" applyFont="1" applyBorder="1" applyAlignment="1">
      <alignment vertical="top"/>
    </xf>
    <xf numFmtId="0" fontId="11" fillId="0" borderId="0" xfId="8" applyFont="1" applyAlignment="1">
      <alignment horizontal="center" vertical="top"/>
    </xf>
    <xf numFmtId="0" fontId="11" fillId="0" borderId="0" xfId="8" applyFont="1" applyAlignment="1">
      <alignment horizontal="left" vertical="top"/>
    </xf>
    <xf numFmtId="0" fontId="3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4" fillId="0" borderId="0" xfId="0" applyFont="1" applyAlignment="1">
      <alignment wrapText="1"/>
    </xf>
    <xf numFmtId="164" fontId="45" fillId="0" borderId="0" xfId="10" applyNumberFormat="1" applyFont="1" applyAlignment="1">
      <alignment horizontal="left"/>
    </xf>
    <xf numFmtId="0" fontId="45" fillId="0" borderId="0" xfId="10" applyFont="1" applyAlignment="1">
      <alignment horizontal="left" wrapText="1"/>
    </xf>
    <xf numFmtId="49" fontId="45" fillId="0" borderId="0" xfId="10" applyNumberFormat="1" applyFont="1" applyAlignment="1">
      <alignment horizontal="left" wrapText="1"/>
    </xf>
    <xf numFmtId="0" fontId="47" fillId="0" borderId="0" xfId="10" applyAlignment="1">
      <alignment horizontal="left" wrapText="1"/>
    </xf>
    <xf numFmtId="0" fontId="47" fillId="0" borderId="0" xfId="10" applyAlignment="1">
      <alignment wrapText="1"/>
    </xf>
    <xf numFmtId="164" fontId="47" fillId="0" borderId="0" xfId="10" applyNumberFormat="1" applyAlignment="1">
      <alignment horizontal="left" wrapText="1"/>
    </xf>
    <xf numFmtId="0" fontId="47" fillId="0" borderId="0" xfId="10" applyAlignment="1">
      <alignment horizontal="center" wrapText="1"/>
    </xf>
    <xf numFmtId="49" fontId="47" fillId="0" borderId="0" xfId="10" applyNumberFormat="1" applyAlignment="1">
      <alignment horizontal="left" wrapText="1"/>
    </xf>
    <xf numFmtId="171" fontId="54" fillId="0" borderId="0" xfId="0" applyNumberFormat="1" applyFont="1" applyAlignment="1">
      <alignment horizontal="left" wrapText="1"/>
    </xf>
    <xf numFmtId="171" fontId="47" fillId="0" borderId="0" xfId="10" applyNumberFormat="1" applyAlignment="1">
      <alignment horizontal="left" wrapText="1"/>
    </xf>
    <xf numFmtId="164" fontId="55" fillId="12" borderId="14" xfId="10" applyNumberFormat="1" applyFont="1" applyFill="1" applyBorder="1" applyAlignment="1">
      <alignment horizontal="left" wrapText="1"/>
    </xf>
    <xf numFmtId="0" fontId="55" fillId="12" borderId="14" xfId="10" applyFont="1" applyFill="1" applyBorder="1" applyAlignment="1">
      <alignment horizontal="left" wrapText="1"/>
    </xf>
    <xf numFmtId="49" fontId="55" fillId="12" borderId="15" xfId="10" applyNumberFormat="1" applyFont="1" applyFill="1" applyBorder="1" applyAlignment="1">
      <alignment horizontal="left" wrapText="1"/>
    </xf>
    <xf numFmtId="0" fontId="56" fillId="12" borderId="14" xfId="10" applyFont="1" applyFill="1" applyBorder="1" applyAlignment="1">
      <alignment horizontal="center" wrapText="1"/>
    </xf>
    <xf numFmtId="0" fontId="55" fillId="12" borderId="17" xfId="10" applyFont="1" applyFill="1" applyBorder="1" applyAlignment="1">
      <alignment wrapText="1"/>
    </xf>
    <xf numFmtId="0" fontId="55" fillId="12" borderId="15" xfId="10" applyFont="1" applyFill="1" applyBorder="1" applyAlignment="1">
      <alignment horizontal="center" wrapText="1"/>
    </xf>
    <xf numFmtId="164" fontId="55" fillId="12" borderId="14" xfId="10" applyNumberFormat="1" applyFont="1" applyFill="1" applyBorder="1" applyAlignment="1">
      <alignment horizontal="center" wrapText="1"/>
    </xf>
    <xf numFmtId="49" fontId="55" fillId="12" borderId="17" xfId="10" applyNumberFormat="1" applyFont="1" applyFill="1" applyBorder="1" applyAlignment="1">
      <alignment horizontal="center" wrapText="1"/>
    </xf>
    <xf numFmtId="49" fontId="55" fillId="12" borderId="14" xfId="10" applyNumberFormat="1" applyFont="1" applyFill="1" applyBorder="1" applyAlignment="1">
      <alignment horizontal="left" wrapText="1"/>
    </xf>
    <xf numFmtId="171" fontId="55" fillId="12" borderId="17" xfId="10" applyNumberFormat="1" applyFont="1" applyFill="1" applyBorder="1" applyAlignment="1" applyProtection="1">
      <alignment horizontal="left" wrapText="1"/>
      <protection locked="0"/>
    </xf>
    <xf numFmtId="0" fontId="57" fillId="13" borderId="14" xfId="0" applyFont="1" applyFill="1" applyBorder="1" applyAlignment="1">
      <alignment wrapText="1"/>
    </xf>
    <xf numFmtId="0" fontId="55" fillId="12" borderId="17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left" wrapText="1"/>
    </xf>
    <xf numFmtId="49" fontId="55" fillId="12" borderId="18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center" wrapText="1"/>
    </xf>
    <xf numFmtId="0" fontId="55" fillId="12" borderId="19" xfId="10" applyFont="1" applyFill="1" applyBorder="1" applyAlignment="1">
      <alignment wrapText="1"/>
    </xf>
    <xf numFmtId="0" fontId="55" fillId="12" borderId="18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center" wrapText="1"/>
    </xf>
    <xf numFmtId="49" fontId="55" fillId="12" borderId="19" xfId="10" applyNumberFormat="1" applyFont="1" applyFill="1" applyBorder="1" applyAlignment="1">
      <alignment horizontal="center" wrapText="1"/>
    </xf>
    <xf numFmtId="49" fontId="55" fillId="12" borderId="13" xfId="10" applyNumberFormat="1" applyFont="1" applyFill="1" applyBorder="1" applyAlignment="1">
      <alignment horizontal="left" wrapText="1"/>
    </xf>
    <xf numFmtId="171" fontId="55" fillId="12" borderId="19" xfId="10" applyNumberFormat="1" applyFont="1" applyFill="1" applyBorder="1" applyAlignment="1" applyProtection="1">
      <alignment horizontal="left" wrapText="1"/>
      <protection locked="0"/>
    </xf>
    <xf numFmtId="0" fontId="55" fillId="13" borderId="13" xfId="0" applyFont="1" applyFill="1" applyBorder="1" applyAlignment="1">
      <alignment wrapText="1"/>
    </xf>
    <xf numFmtId="0" fontId="55" fillId="12" borderId="19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left" wrapText="1"/>
    </xf>
    <xf numFmtId="0" fontId="55" fillId="12" borderId="23" xfId="10" applyFont="1" applyFill="1" applyBorder="1" applyAlignment="1">
      <alignment horizontal="left" wrapText="1"/>
    </xf>
    <xf numFmtId="49" fontId="55" fillId="12" borderId="20" xfId="10" applyNumberFormat="1" applyFont="1" applyFill="1" applyBorder="1" applyAlignment="1">
      <alignment horizontal="left" wrapText="1"/>
    </xf>
    <xf numFmtId="0" fontId="56" fillId="12" borderId="23" xfId="10" applyFont="1" applyFill="1" applyBorder="1" applyAlignment="1">
      <alignment horizontal="center" wrapText="1"/>
    </xf>
    <xf numFmtId="0" fontId="55" fillId="12" borderId="22" xfId="10" applyFont="1" applyFill="1" applyBorder="1" applyAlignment="1">
      <alignment wrapText="1"/>
    </xf>
    <xf numFmtId="0" fontId="55" fillId="12" borderId="20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center" wrapText="1"/>
    </xf>
    <xf numFmtId="49" fontId="55" fillId="12" borderId="22" xfId="10" applyNumberFormat="1" applyFont="1" applyFill="1" applyBorder="1" applyAlignment="1">
      <alignment horizontal="center" wrapText="1"/>
    </xf>
    <xf numFmtId="49" fontId="55" fillId="12" borderId="23" xfId="10" applyNumberFormat="1" applyFont="1" applyFill="1" applyBorder="1" applyAlignment="1">
      <alignment horizontal="left" wrapText="1"/>
    </xf>
    <xf numFmtId="171" fontId="55" fillId="12" borderId="22" xfId="10" applyNumberFormat="1" applyFont="1" applyFill="1" applyBorder="1" applyAlignment="1" applyProtection="1">
      <alignment horizontal="left" wrapText="1"/>
      <protection locked="0"/>
    </xf>
    <xf numFmtId="0" fontId="57" fillId="13" borderId="23" xfId="0" applyFont="1" applyFill="1" applyBorder="1" applyAlignment="1">
      <alignment wrapText="1"/>
    </xf>
    <xf numFmtId="0" fontId="55" fillId="12" borderId="22" xfId="10" applyFont="1" applyFill="1" applyBorder="1" applyAlignment="1">
      <alignment horizontal="center" wrapText="1"/>
    </xf>
    <xf numFmtId="0" fontId="9" fillId="2" borderId="0" xfId="2" applyFont="1" applyFill="1" applyBorder="1" applyAlignment="1">
      <alignment vertical="center" wrapText="1"/>
    </xf>
    <xf numFmtId="0" fontId="2" fillId="3" borderId="6" xfId="1" applyFill="1" applyBorder="1" applyAlignment="1">
      <alignment horizontal="left" vertical="center"/>
    </xf>
    <xf numFmtId="49" fontId="22" fillId="11" borderId="5" xfId="0" applyNumberFormat="1" applyFont="1" applyFill="1" applyBorder="1" applyAlignment="1">
      <alignment horizontal="left"/>
    </xf>
    <xf numFmtId="49" fontId="2" fillId="11" borderId="5" xfId="1" applyNumberFormat="1" applyFill="1" applyBorder="1" applyAlignment="1">
      <alignment horizontal="center"/>
    </xf>
    <xf numFmtId="49" fontId="2" fillId="11" borderId="6" xfId="1" applyNumberFormat="1" applyFill="1" applyBorder="1" applyAlignment="1">
      <alignment horizontal="center"/>
    </xf>
    <xf numFmtId="14" fontId="22" fillId="11" borderId="6" xfId="0" applyNumberFormat="1" applyFon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0" fontId="2" fillId="0" borderId="6" xfId="1" applyBorder="1" applyAlignment="1">
      <alignment horizontal="left" vertical="top"/>
    </xf>
    <xf numFmtId="0" fontId="59" fillId="0" borderId="8" xfId="0" applyFont="1" applyBorder="1" applyAlignment="1">
      <alignment wrapText="1"/>
    </xf>
    <xf numFmtId="0" fontId="59" fillId="0" borderId="8" xfId="0" applyFont="1" applyBorder="1" applyAlignment="1">
      <alignment horizontal="center" wrapText="1"/>
    </xf>
    <xf numFmtId="0" fontId="59" fillId="0" borderId="8" xfId="0" quotePrefix="1" applyFont="1" applyBorder="1" applyAlignment="1">
      <alignment wrapText="1"/>
    </xf>
    <xf numFmtId="172" fontId="59" fillId="0" borderId="8" xfId="0" applyNumberFormat="1" applyFont="1" applyBorder="1" applyAlignment="1">
      <alignment horizontal="left" wrapText="1"/>
    </xf>
    <xf numFmtId="0" fontId="59" fillId="0" borderId="8" xfId="0" quotePrefix="1" applyFont="1" applyBorder="1" applyAlignment="1">
      <alignment horizontal="center" wrapText="1"/>
    </xf>
    <xf numFmtId="172" fontId="59" fillId="0" borderId="8" xfId="0" applyNumberFormat="1" applyFont="1" applyBorder="1" applyAlignment="1">
      <alignment wrapText="1"/>
    </xf>
    <xf numFmtId="0" fontId="61" fillId="0" borderId="8" xfId="0" applyFont="1" applyBorder="1" applyAlignment="1">
      <alignment wrapText="1"/>
    </xf>
    <xf numFmtId="0" fontId="61" fillId="0" borderId="8" xfId="0" applyFont="1" applyBorder="1" applyAlignment="1">
      <alignment horizontal="center" wrapText="1"/>
    </xf>
    <xf numFmtId="0" fontId="61" fillId="0" borderId="8" xfId="0" quotePrefix="1" applyFont="1" applyBorder="1" applyAlignment="1">
      <alignment wrapText="1"/>
    </xf>
    <xf numFmtId="0" fontId="63" fillId="0" borderId="0" xfId="0" applyFont="1"/>
    <xf numFmtId="0" fontId="61" fillId="0" borderId="8" xfId="0" quotePrefix="1" applyFont="1" applyBorder="1" applyAlignment="1">
      <alignment horizontal="left" wrapText="1"/>
    </xf>
    <xf numFmtId="172" fontId="61" fillId="0" borderId="8" xfId="0" applyNumberFormat="1" applyFont="1" applyBorder="1" applyAlignment="1">
      <alignment wrapText="1"/>
    </xf>
    <xf numFmtId="172" fontId="61" fillId="0" borderId="8" xfId="0" applyNumberFormat="1" applyFont="1" applyBorder="1" applyAlignment="1">
      <alignment horizontal="left" wrapText="1"/>
    </xf>
    <xf numFmtId="172" fontId="62" fillId="0" borderId="8" xfId="1" applyNumberFormat="1" applyFont="1" applyBorder="1" applyAlignment="1">
      <alignment horizontal="left" wrapText="1"/>
    </xf>
    <xf numFmtId="1" fontId="61" fillId="0" borderId="8" xfId="0" applyNumberFormat="1" applyFont="1" applyBorder="1" applyAlignment="1">
      <alignment horizontal="left" wrapText="1"/>
    </xf>
    <xf numFmtId="14" fontId="59" fillId="7" borderId="8" xfId="0" applyNumberFormat="1" applyFont="1" applyFill="1" applyBorder="1" applyAlignment="1">
      <alignment horizontal="center" vertical="center"/>
    </xf>
    <xf numFmtId="0" fontId="59" fillId="7" borderId="8" xfId="0" applyFont="1" applyFill="1" applyBorder="1" applyAlignment="1">
      <alignment horizontal="left" vertical="center"/>
    </xf>
    <xf numFmtId="1" fontId="59" fillId="7" borderId="8" xfId="0" applyNumberFormat="1" applyFont="1" applyFill="1" applyBorder="1" applyAlignment="1">
      <alignment horizontal="left" vertical="center"/>
    </xf>
    <xf numFmtId="0" fontId="59" fillId="7" borderId="8" xfId="0" applyFont="1" applyFill="1" applyBorder="1" applyAlignment="1">
      <alignment horizontal="center" vertical="center"/>
    </xf>
    <xf numFmtId="14" fontId="59" fillId="7" borderId="8" xfId="0" applyNumberFormat="1" applyFont="1" applyFill="1" applyBorder="1" applyAlignment="1">
      <alignment horizontal="left" vertical="center"/>
    </xf>
    <xf numFmtId="0" fontId="59" fillId="7" borderId="8" xfId="0" quotePrefix="1" applyFont="1" applyFill="1" applyBorder="1" applyAlignment="1">
      <alignment horizontal="center" vertical="center"/>
    </xf>
    <xf numFmtId="0" fontId="59" fillId="9" borderId="8" xfId="0" applyFont="1" applyFill="1" applyBorder="1" applyAlignment="1">
      <alignment horizontal="center" vertical="center"/>
    </xf>
    <xf numFmtId="0" fontId="61" fillId="0" borderId="8" xfId="8" applyFont="1" applyBorder="1" applyAlignment="1">
      <alignment horizontal="left" vertical="top"/>
    </xf>
    <xf numFmtId="1" fontId="61" fillId="7" borderId="8" xfId="0" applyNumberFormat="1" applyFont="1" applyFill="1" applyBorder="1" applyAlignment="1">
      <alignment horizontal="left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left" vertical="center"/>
    </xf>
    <xf numFmtId="14" fontId="61" fillId="7" borderId="8" xfId="0" applyNumberFormat="1" applyFont="1" applyFill="1" applyBorder="1" applyAlignment="1">
      <alignment horizontal="left" vertical="center"/>
    </xf>
    <xf numFmtId="0" fontId="61" fillId="7" borderId="8" xfId="0" quotePrefix="1" applyFont="1" applyFill="1" applyBorder="1" applyAlignment="1">
      <alignment horizontal="center" vertical="center"/>
    </xf>
    <xf numFmtId="14" fontId="61" fillId="7" borderId="8" xfId="0" applyNumberFormat="1" applyFont="1" applyFill="1" applyBorder="1" applyAlignment="1">
      <alignment horizontal="center" vertical="center"/>
    </xf>
    <xf numFmtId="0" fontId="61" fillId="9" borderId="8" xfId="0" applyFont="1" applyFill="1" applyBorder="1" applyAlignment="1">
      <alignment horizontal="center" vertical="center"/>
    </xf>
    <xf numFmtId="1" fontId="61" fillId="11" borderId="8" xfId="0" applyNumberFormat="1" applyFont="1" applyFill="1" applyBorder="1" applyAlignment="1">
      <alignment horizontal="left"/>
    </xf>
    <xf numFmtId="0" fontId="61" fillId="11" borderId="8" xfId="0" applyFont="1" applyFill="1" applyBorder="1" applyAlignment="1">
      <alignment horizontal="center"/>
    </xf>
    <xf numFmtId="164" fontId="61" fillId="11" borderId="8" xfId="0" applyNumberFormat="1" applyFont="1" applyFill="1" applyBorder="1" applyAlignment="1">
      <alignment horizontal="center"/>
    </xf>
    <xf numFmtId="49" fontId="61" fillId="11" borderId="8" xfId="0" applyNumberFormat="1" applyFont="1" applyFill="1" applyBorder="1" applyAlignment="1">
      <alignment horizontal="center"/>
    </xf>
    <xf numFmtId="164" fontId="61" fillId="3" borderId="8" xfId="0" applyNumberFormat="1" applyFont="1" applyFill="1" applyBorder="1" applyAlignment="1">
      <alignment horizontal="center"/>
    </xf>
    <xf numFmtId="49" fontId="62" fillId="11" borderId="8" xfId="1" applyNumberFormat="1" applyFont="1" applyFill="1" applyBorder="1" applyAlignment="1">
      <alignment horizontal="center"/>
    </xf>
    <xf numFmtId="49" fontId="61" fillId="11" borderId="8" xfId="0" applyNumberFormat="1" applyFont="1" applyFill="1" applyBorder="1" applyAlignment="1">
      <alignment horizontal="left"/>
    </xf>
    <xf numFmtId="0" fontId="60" fillId="3" borderId="8" xfId="1" applyFont="1" applyFill="1" applyBorder="1" applyAlignment="1">
      <alignment horizontal="center" vertical="center"/>
    </xf>
    <xf numFmtId="0" fontId="60" fillId="3" borderId="8" xfId="1" applyFont="1" applyFill="1" applyBorder="1" applyAlignment="1">
      <alignment horizontal="left" vertical="center"/>
    </xf>
    <xf numFmtId="14" fontId="61" fillId="0" borderId="8" xfId="8" applyNumberFormat="1" applyFont="1" applyBorder="1" applyAlignment="1">
      <alignment horizontal="center" vertical="top"/>
    </xf>
    <xf numFmtId="0" fontId="47" fillId="0" borderId="0" xfId="0" applyFont="1" applyAlignment="1">
      <alignment wrapText="1"/>
    </xf>
    <xf numFmtId="172" fontId="64" fillId="0" borderId="8" xfId="0" applyNumberFormat="1" applyFont="1" applyBorder="1" applyAlignment="1">
      <alignment horizontal="center" wrapText="1"/>
    </xf>
    <xf numFmtId="0" fontId="64" fillId="0" borderId="8" xfId="2" applyFont="1" applyBorder="1" applyAlignment="1">
      <alignment horizontal="left"/>
    </xf>
    <xf numFmtId="0" fontId="64" fillId="0" borderId="8" xfId="0" applyFont="1" applyBorder="1" applyAlignment="1">
      <alignment wrapText="1"/>
    </xf>
    <xf numFmtId="172" fontId="64" fillId="0" borderId="8" xfId="0" applyNumberFormat="1" applyFont="1" applyBorder="1" applyAlignment="1">
      <alignment wrapText="1"/>
    </xf>
    <xf numFmtId="0" fontId="64" fillId="0" borderId="8" xfId="0" applyFont="1" applyBorder="1" applyAlignment="1">
      <alignment horizontal="center" wrapText="1"/>
    </xf>
    <xf numFmtId="0" fontId="65" fillId="0" borderId="0" xfId="0" applyFont="1"/>
    <xf numFmtId="164" fontId="66" fillId="11" borderId="8" xfId="0" applyNumberFormat="1" applyFont="1" applyFill="1" applyBorder="1" applyAlignment="1">
      <alignment horizontal="center"/>
    </xf>
    <xf numFmtId="1" fontId="66" fillId="11" borderId="8" xfId="0" applyNumberFormat="1" applyFont="1" applyFill="1" applyBorder="1" applyAlignment="1">
      <alignment horizontal="left"/>
    </xf>
    <xf numFmtId="0" fontId="66" fillId="11" borderId="8" xfId="0" applyFont="1" applyFill="1" applyBorder="1" applyAlignment="1">
      <alignment horizontal="center"/>
    </xf>
    <xf numFmtId="0" fontId="66" fillId="0" borderId="8" xfId="0" applyFont="1" applyBorder="1" applyAlignment="1">
      <alignment wrapText="1"/>
    </xf>
    <xf numFmtId="0" fontId="66" fillId="0" borderId="8" xfId="0" applyFont="1" applyBorder="1" applyAlignment="1">
      <alignment horizontal="center" wrapText="1"/>
    </xf>
    <xf numFmtId="49" fontId="66" fillId="11" borderId="8" xfId="0" applyNumberFormat="1" applyFont="1" applyFill="1" applyBorder="1" applyAlignment="1">
      <alignment horizontal="center"/>
    </xf>
    <xf numFmtId="0" fontId="66" fillId="0" borderId="8" xfId="0" quotePrefix="1" applyFont="1" applyBorder="1" applyAlignment="1">
      <alignment wrapText="1"/>
    </xf>
    <xf numFmtId="164" fontId="66" fillId="3" borderId="8" xfId="0" applyNumberFormat="1" applyFont="1" applyFill="1" applyBorder="1" applyAlignment="1">
      <alignment horizontal="center"/>
    </xf>
    <xf numFmtId="49" fontId="67" fillId="11" borderId="8" xfId="1" applyNumberFormat="1" applyFont="1" applyFill="1" applyBorder="1" applyAlignment="1">
      <alignment horizontal="center"/>
    </xf>
    <xf numFmtId="49" fontId="66" fillId="11" borderId="8" xfId="0" applyNumberFormat="1" applyFont="1" applyFill="1" applyBorder="1" applyAlignment="1">
      <alignment horizontal="left"/>
    </xf>
    <xf numFmtId="0" fontId="68" fillId="0" borderId="0" xfId="0" applyFont="1"/>
    <xf numFmtId="172" fontId="66" fillId="0" borderId="8" xfId="11" applyNumberFormat="1" applyFont="1" applyBorder="1" applyAlignment="1" applyProtection="1">
      <alignment horizontal="left" wrapText="1"/>
    </xf>
    <xf numFmtId="172" fontId="66" fillId="0" borderId="8" xfId="0" applyNumberFormat="1" applyFont="1" applyBorder="1" applyAlignment="1">
      <alignment horizontal="left" wrapText="1"/>
    </xf>
    <xf numFmtId="14" fontId="66" fillId="11" borderId="8" xfId="0" applyNumberFormat="1" applyFont="1" applyFill="1" applyBorder="1" applyAlignment="1">
      <alignment horizontal="center"/>
    </xf>
    <xf numFmtId="164" fontId="66" fillId="3" borderId="6" xfId="0" applyNumberFormat="1" applyFont="1" applyFill="1" applyBorder="1" applyAlignment="1">
      <alignment horizontal="center"/>
    </xf>
    <xf numFmtId="1" fontId="66" fillId="11" borderId="6" xfId="0" applyNumberFormat="1" applyFont="1" applyFill="1" applyBorder="1" applyAlignment="1">
      <alignment horizontal="left"/>
    </xf>
    <xf numFmtId="0" fontId="66" fillId="11" borderId="6" xfId="0" applyFont="1" applyFill="1" applyBorder="1" applyAlignment="1">
      <alignment horizontal="center"/>
    </xf>
    <xf numFmtId="164" fontId="66" fillId="11" borderId="6" xfId="0" applyNumberFormat="1" applyFont="1" applyFill="1" applyBorder="1" applyAlignment="1">
      <alignment horizontal="center"/>
    </xf>
    <xf numFmtId="49" fontId="66" fillId="11" borderId="6" xfId="0" applyNumberFormat="1" applyFont="1" applyFill="1" applyBorder="1" applyAlignment="1">
      <alignment horizontal="center"/>
    </xf>
    <xf numFmtId="49" fontId="67" fillId="11" borderId="6" xfId="1" applyNumberFormat="1" applyFont="1" applyFill="1" applyBorder="1" applyAlignment="1">
      <alignment horizontal="center"/>
    </xf>
    <xf numFmtId="0" fontId="69" fillId="11" borderId="8" xfId="0" applyFont="1" applyFill="1" applyBorder="1" applyAlignment="1">
      <alignment horizontal="center"/>
    </xf>
    <xf numFmtId="49" fontId="69" fillId="11" borderId="8" xfId="0" applyNumberFormat="1" applyFont="1" applyFill="1" applyBorder="1" applyAlignment="1">
      <alignment horizontal="center"/>
    </xf>
    <xf numFmtId="164" fontId="69" fillId="3" borderId="8" xfId="0" applyNumberFormat="1" applyFont="1" applyFill="1" applyBorder="1" applyAlignment="1">
      <alignment horizontal="center"/>
    </xf>
    <xf numFmtId="49" fontId="70" fillId="11" borderId="8" xfId="1" applyNumberFormat="1" applyFont="1" applyFill="1" applyBorder="1" applyAlignment="1">
      <alignment horizontal="center"/>
    </xf>
    <xf numFmtId="0" fontId="69" fillId="0" borderId="8" xfId="0" quotePrefix="1" applyFont="1" applyBorder="1" applyAlignment="1">
      <alignment horizontal="center" wrapText="1"/>
    </xf>
    <xf numFmtId="1" fontId="69" fillId="0" borderId="8" xfId="0" applyNumberFormat="1" applyFont="1" applyBorder="1" applyAlignment="1">
      <alignment horizontal="center" wrapText="1"/>
    </xf>
    <xf numFmtId="172" fontId="69" fillId="0" borderId="8" xfId="0" applyNumberFormat="1" applyFont="1" applyBorder="1" applyAlignment="1">
      <alignment horizontal="center" wrapText="1"/>
    </xf>
    <xf numFmtId="49" fontId="59" fillId="7" borderId="8" xfId="0" applyNumberFormat="1" applyFont="1" applyFill="1" applyBorder="1" applyAlignment="1">
      <alignment horizontal="center" vertical="center"/>
    </xf>
    <xf numFmtId="49" fontId="61" fillId="7" borderId="8" xfId="0" applyNumberFormat="1" applyFont="1" applyFill="1" applyBorder="1" applyAlignment="1">
      <alignment horizontal="center" vertical="center"/>
    </xf>
    <xf numFmtId="0" fontId="61" fillId="0" borderId="8" xfId="0" quotePrefix="1" applyFont="1" applyBorder="1" applyAlignment="1">
      <alignment horizontal="center" wrapText="1"/>
    </xf>
    <xf numFmtId="1" fontId="61" fillId="0" borderId="8" xfId="0" applyNumberFormat="1" applyFont="1" applyBorder="1" applyAlignment="1">
      <alignment horizontal="center" wrapText="1"/>
    </xf>
    <xf numFmtId="0" fontId="59" fillId="8" borderId="8" xfId="0" applyFont="1" applyFill="1" applyBorder="1" applyAlignment="1">
      <alignment horizontal="center" vertical="center"/>
    </xf>
    <xf numFmtId="0" fontId="61" fillId="8" borderId="8" xfId="0" applyFont="1" applyFill="1" applyBorder="1" applyAlignment="1">
      <alignment horizontal="center" vertical="center"/>
    </xf>
    <xf numFmtId="0" fontId="11" fillId="0" borderId="0" xfId="8" applyFont="1" applyFill="1" applyBorder="1" applyAlignment="1">
      <alignment horizontal="left" vertical="top"/>
    </xf>
    <xf numFmtId="0" fontId="2" fillId="0" borderId="7" xfId="1" applyBorder="1" applyAlignment="1">
      <alignment horizontal="left" vertical="top"/>
    </xf>
  </cellXfs>
  <cellStyles count="12">
    <cellStyle name="Hipervínculo" xfId="1" builtinId="8"/>
    <cellStyle name="Hipervínculo 3" xfId="11"/>
    <cellStyle name="Millares 10 15" xfId="9"/>
    <cellStyle name="Normal" xfId="0" builtinId="0"/>
    <cellStyle name="Normal 104" xfId="7"/>
    <cellStyle name="Normal 104 5" xfId="2"/>
    <cellStyle name="Normal 2 2 2" xfId="10"/>
    <cellStyle name="Normal 2 2 2 2" xfId="3"/>
    <cellStyle name="Normal 34 5 8" xfId="8"/>
    <cellStyle name="Normal 34 5 8 5" xfId="5"/>
    <cellStyle name="Normal 38 4 7" xfId="6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=""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omueblefc@gmail.com" TargetMode="External"/><Relationship Id="rId13" Type="http://schemas.openxmlformats.org/officeDocument/2006/relationships/hyperlink" Target="mailto:diana.ri55@hotmail.com" TargetMode="External"/><Relationship Id="rId3" Type="http://schemas.openxmlformats.org/officeDocument/2006/relationships/hyperlink" Target="mailto:juan_alvares2008@hotm%20ail.com" TargetMode="External"/><Relationship Id="rId7" Type="http://schemas.openxmlformats.org/officeDocument/2006/relationships/hyperlink" Target="mailto:lyseth09@gmail.com" TargetMode="External"/><Relationship Id="rId12" Type="http://schemas.openxmlformats.org/officeDocument/2006/relationships/hyperlink" Target="mailto:fmoralescarpio@hotmail.com" TargetMode="External"/><Relationship Id="rId2" Type="http://schemas.openxmlformats.org/officeDocument/2006/relationships/hyperlink" Target="mailto:gloriatoral@icloud.com" TargetMode="External"/><Relationship Id="rId16" Type="http://schemas.openxmlformats.org/officeDocument/2006/relationships/hyperlink" Target="mailto:marcelacam@live.com" TargetMode="External"/><Relationship Id="rId1" Type="http://schemas.openxmlformats.org/officeDocument/2006/relationships/hyperlink" Target="mailto:jorgedu1005@hotmail.com" TargetMode="External"/><Relationship Id="rId6" Type="http://schemas.openxmlformats.org/officeDocument/2006/relationships/hyperlink" Target="mailto:luppis_g@hotmail.com" TargetMode="External"/><Relationship Id="rId11" Type="http://schemas.openxmlformats.org/officeDocument/2006/relationships/hyperlink" Target="mailto:ferriaustral@hotmail.com" TargetMode="External"/><Relationship Id="rId5" Type="http://schemas.openxmlformats.org/officeDocument/2006/relationships/hyperlink" Target="mailto:iswilches@yahoo.com" TargetMode="External"/><Relationship Id="rId15" Type="http://schemas.openxmlformats.org/officeDocument/2006/relationships/hyperlink" Target="mailto:tc_construcciones2014@hotmail.com" TargetMode="External"/><Relationship Id="rId10" Type="http://schemas.openxmlformats.org/officeDocument/2006/relationships/hyperlink" Target="mailto:angelicasiguencia@gmail.com" TargetMode="External"/><Relationship Id="rId4" Type="http://schemas.openxmlformats.org/officeDocument/2006/relationships/hyperlink" Target="mailto:greendesign88@yahoo.com" TargetMode="External"/><Relationship Id="rId9" Type="http://schemas.openxmlformats.org/officeDocument/2006/relationships/hyperlink" Target="mailto:vivardaniel@hotmail.com" TargetMode="External"/><Relationship Id="rId14" Type="http://schemas.openxmlformats.org/officeDocument/2006/relationships/hyperlink" Target="mailto:ligiadelgadoldc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uandiegomoscoso@hotmail.com" TargetMode="External"/><Relationship Id="rId13" Type="http://schemas.openxmlformats.org/officeDocument/2006/relationships/hyperlink" Target="mailto:danielacarolinasilvatorres@gmail.com" TargetMode="External"/><Relationship Id="rId18" Type="http://schemas.openxmlformats.org/officeDocument/2006/relationships/hyperlink" Target="mailto:edificiopicudo@gmail.com" TargetMode="External"/><Relationship Id="rId26" Type="http://schemas.openxmlformats.org/officeDocument/2006/relationships/hyperlink" Target="mailto:pietromks87@hotmail.com" TargetMode="External"/><Relationship Id="rId3" Type="http://schemas.openxmlformats.org/officeDocument/2006/relationships/hyperlink" Target="mailto:josecrespovz@gmail.com" TargetMode="External"/><Relationship Id="rId21" Type="http://schemas.openxmlformats.org/officeDocument/2006/relationships/hyperlink" Target="mailto:gueco59@hotmail.com" TargetMode="External"/><Relationship Id="rId7" Type="http://schemas.openxmlformats.org/officeDocument/2006/relationships/hyperlink" Target="mailto:juandiegomoscoso@hotmail.com" TargetMode="External"/><Relationship Id="rId12" Type="http://schemas.openxmlformats.org/officeDocument/2006/relationships/hyperlink" Target="mailto:danielacarolinasilvatorres@gmail.com" TargetMode="External"/><Relationship Id="rId17" Type="http://schemas.openxmlformats.org/officeDocument/2006/relationships/hyperlink" Target="mailto:diegogutierreza1975@gmail.com" TargetMode="External"/><Relationship Id="rId25" Type="http://schemas.openxmlformats.org/officeDocument/2006/relationships/hyperlink" Target="mailto:pietromks87@hotmail.com" TargetMode="External"/><Relationship Id="rId2" Type="http://schemas.openxmlformats.org/officeDocument/2006/relationships/hyperlink" Target="mailto:jorgedu1005@hotmail.com" TargetMode="External"/><Relationship Id="rId16" Type="http://schemas.openxmlformats.org/officeDocument/2006/relationships/hyperlink" Target="mailto:diegogutierreza1975@gmail.com" TargetMode="External"/><Relationship Id="rId20" Type="http://schemas.openxmlformats.org/officeDocument/2006/relationships/hyperlink" Target="mailto:gueco59@hotmail.com" TargetMode="External"/><Relationship Id="rId29" Type="http://schemas.openxmlformats.org/officeDocument/2006/relationships/hyperlink" Target="mailto:karlinaprado@hotmail.com" TargetMode="External"/><Relationship Id="rId1" Type="http://schemas.openxmlformats.org/officeDocument/2006/relationships/hyperlink" Target="mailto:jorgedu1005@hotmail.com" TargetMode="External"/><Relationship Id="rId6" Type="http://schemas.openxmlformats.org/officeDocument/2006/relationships/hyperlink" Target="mailto:echalcosalgado@gmail.com" TargetMode="External"/><Relationship Id="rId11" Type="http://schemas.openxmlformats.org/officeDocument/2006/relationships/hyperlink" Target="mailto:waldo807@hotmail.com" TargetMode="External"/><Relationship Id="rId24" Type="http://schemas.openxmlformats.org/officeDocument/2006/relationships/hyperlink" Target="mailto:pietromks87@hotmail.com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mailto:echalcosalgado@gmail.com" TargetMode="External"/><Relationship Id="rId15" Type="http://schemas.openxmlformats.org/officeDocument/2006/relationships/hyperlink" Target="mailto:danielacarolinasilvatorres@gmail.com" TargetMode="External"/><Relationship Id="rId23" Type="http://schemas.openxmlformats.org/officeDocument/2006/relationships/hyperlink" Target="mailto:gueco59@hotmail.com" TargetMode="External"/><Relationship Id="rId28" Type="http://schemas.openxmlformats.org/officeDocument/2006/relationships/hyperlink" Target="mailto:karlinaprado@hotmail.com" TargetMode="External"/><Relationship Id="rId10" Type="http://schemas.openxmlformats.org/officeDocument/2006/relationships/hyperlink" Target="mailto:waldo807@hotmail.com" TargetMode="External"/><Relationship Id="rId19" Type="http://schemas.openxmlformats.org/officeDocument/2006/relationships/hyperlink" Target="mailto:edificiopicudo@gmail.com" TargetMode="External"/><Relationship Id="rId31" Type="http://schemas.openxmlformats.org/officeDocument/2006/relationships/hyperlink" Target="mailto:contabilidad@vipesa.net" TargetMode="External"/><Relationship Id="rId4" Type="http://schemas.openxmlformats.org/officeDocument/2006/relationships/hyperlink" Target="mailto:josecrespovz@gmail.com" TargetMode="External"/><Relationship Id="rId9" Type="http://schemas.openxmlformats.org/officeDocument/2006/relationships/hyperlink" Target="mailto:juandiegomoscoso@hotmail.com" TargetMode="External"/><Relationship Id="rId14" Type="http://schemas.openxmlformats.org/officeDocument/2006/relationships/hyperlink" Target="mailto:danielacarolinasilvatorres@gmail.com" TargetMode="External"/><Relationship Id="rId22" Type="http://schemas.openxmlformats.org/officeDocument/2006/relationships/hyperlink" Target="mailto:gueco59@hotmail.com" TargetMode="External"/><Relationship Id="rId27" Type="http://schemas.openxmlformats.org/officeDocument/2006/relationships/hyperlink" Target="mailto:pietromks87@hotmail.com" TargetMode="External"/><Relationship Id="rId30" Type="http://schemas.openxmlformats.org/officeDocument/2006/relationships/hyperlink" Target="mailto:contabilidad@vipesa.ne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wisthgonmoreira@hotmail.com" TargetMode="External"/><Relationship Id="rId2" Type="http://schemas.openxmlformats.org/officeDocument/2006/relationships/hyperlink" Target="mailto:fabianguaman@kywi.com" TargetMode="External"/><Relationship Id="rId1" Type="http://schemas.openxmlformats.org/officeDocument/2006/relationships/hyperlink" Target="mailto:mariaaugustaespinoza@gmail.com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mailto:edificiopicudo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iswilches@yahoo.com" TargetMode="External"/><Relationship Id="rId18" Type="http://schemas.openxmlformats.org/officeDocument/2006/relationships/hyperlink" Target="mailto:waldo807@hotmail.com" TargetMode="External"/><Relationship Id="rId26" Type="http://schemas.openxmlformats.org/officeDocument/2006/relationships/hyperlink" Target="mailto:diegogutierreza1975@gmail.com" TargetMode="External"/><Relationship Id="rId39" Type="http://schemas.openxmlformats.org/officeDocument/2006/relationships/hyperlink" Target="mailto:gueco59@hotmail.com" TargetMode="External"/><Relationship Id="rId3" Type="http://schemas.openxmlformats.org/officeDocument/2006/relationships/hyperlink" Target="mailto:jorgedu1005@hotmail.com" TargetMode="External"/><Relationship Id="rId21" Type="http://schemas.openxmlformats.org/officeDocument/2006/relationships/hyperlink" Target="mailto:fabianguaman@kywi.com" TargetMode="External"/><Relationship Id="rId34" Type="http://schemas.openxmlformats.org/officeDocument/2006/relationships/hyperlink" Target="mailto:contabilidad@vipesa.net" TargetMode="External"/><Relationship Id="rId42" Type="http://schemas.openxmlformats.org/officeDocument/2006/relationships/hyperlink" Target="mailto:pietromks87@hotmail.com" TargetMode="External"/><Relationship Id="rId47" Type="http://schemas.openxmlformats.org/officeDocument/2006/relationships/hyperlink" Target="mailto:karlinaprado@hotmail.com" TargetMode="External"/><Relationship Id="rId50" Type="http://schemas.openxmlformats.org/officeDocument/2006/relationships/hyperlink" Target="mailto:juandiegomoscoso@hotmail.com" TargetMode="External"/><Relationship Id="rId7" Type="http://schemas.openxmlformats.org/officeDocument/2006/relationships/hyperlink" Target="mailto:greendesign88@yahoo.com" TargetMode="External"/><Relationship Id="rId12" Type="http://schemas.openxmlformats.org/officeDocument/2006/relationships/hyperlink" Target="mailto:echalcosalgado@gmail.com" TargetMode="External"/><Relationship Id="rId17" Type="http://schemas.openxmlformats.org/officeDocument/2006/relationships/hyperlink" Target="mailto:vivardaniel@hotmail.com" TargetMode="External"/><Relationship Id="rId25" Type="http://schemas.openxmlformats.org/officeDocument/2006/relationships/hyperlink" Target="mailto:danielacarolinasilvatorres@gmail.com" TargetMode="External"/><Relationship Id="rId33" Type="http://schemas.openxmlformats.org/officeDocument/2006/relationships/hyperlink" Target="mailto:tc_construcciones2014@hotmail.com" TargetMode="External"/><Relationship Id="rId38" Type="http://schemas.openxmlformats.org/officeDocument/2006/relationships/hyperlink" Target="mailto:gueco59@hotmail.com" TargetMode="External"/><Relationship Id="rId46" Type="http://schemas.openxmlformats.org/officeDocument/2006/relationships/hyperlink" Target="mailto:karlinaprado@hotmail.com" TargetMode="External"/><Relationship Id="rId2" Type="http://schemas.openxmlformats.org/officeDocument/2006/relationships/hyperlink" Target="mailto:jorgedu1005@hotmail.com" TargetMode="External"/><Relationship Id="rId16" Type="http://schemas.openxmlformats.org/officeDocument/2006/relationships/hyperlink" Target="mailto:neomueblefc@gmail.com" TargetMode="External"/><Relationship Id="rId20" Type="http://schemas.openxmlformats.org/officeDocument/2006/relationships/hyperlink" Target="mailto:angelicasiguencia@gmail.com" TargetMode="External"/><Relationship Id="rId29" Type="http://schemas.openxmlformats.org/officeDocument/2006/relationships/hyperlink" Target="mailto:fmoralescarpio@hotmail.com" TargetMode="External"/><Relationship Id="rId41" Type="http://schemas.openxmlformats.org/officeDocument/2006/relationships/hyperlink" Target="mailto:gueco59@hot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jorgedu1005@hotmail.com" TargetMode="External"/><Relationship Id="rId6" Type="http://schemas.openxmlformats.org/officeDocument/2006/relationships/hyperlink" Target="mailto:wisthonmoreira@hotmail.com" TargetMode="External"/><Relationship Id="rId11" Type="http://schemas.openxmlformats.org/officeDocument/2006/relationships/hyperlink" Target="mailto:echalcosalgado@gmail.com" TargetMode="External"/><Relationship Id="rId24" Type="http://schemas.openxmlformats.org/officeDocument/2006/relationships/hyperlink" Target="mailto:danielacarolinasilvatorres@gmail.com" TargetMode="External"/><Relationship Id="rId32" Type="http://schemas.openxmlformats.org/officeDocument/2006/relationships/hyperlink" Target="mailto:ligiadelgadoldc@hotmail.com" TargetMode="External"/><Relationship Id="rId37" Type="http://schemas.openxmlformats.org/officeDocument/2006/relationships/hyperlink" Target="mailto:edificiopicudo@gmail.com" TargetMode="External"/><Relationship Id="rId40" Type="http://schemas.openxmlformats.org/officeDocument/2006/relationships/hyperlink" Target="mailto:gueco59@hotmail.com" TargetMode="External"/><Relationship Id="rId45" Type="http://schemas.openxmlformats.org/officeDocument/2006/relationships/hyperlink" Target="mailto:pietromks87@hotmail.com" TargetMode="External"/><Relationship Id="rId53" Type="http://schemas.openxmlformats.org/officeDocument/2006/relationships/hyperlink" Target="mailto:doris.chicaiza@hotmail.com" TargetMode="External"/><Relationship Id="rId5" Type="http://schemas.openxmlformats.org/officeDocument/2006/relationships/hyperlink" Target="mailto:juan_alvares2008@hotm%20ail.com" TargetMode="External"/><Relationship Id="rId15" Type="http://schemas.openxmlformats.org/officeDocument/2006/relationships/hyperlink" Target="mailto:lyseth09@gmail.com" TargetMode="External"/><Relationship Id="rId23" Type="http://schemas.openxmlformats.org/officeDocument/2006/relationships/hyperlink" Target="mailto:danielacarolinasilvatorres@gmail.com" TargetMode="External"/><Relationship Id="rId28" Type="http://schemas.openxmlformats.org/officeDocument/2006/relationships/hyperlink" Target="mailto:ferriaustral@hotmail.com" TargetMode="External"/><Relationship Id="rId36" Type="http://schemas.openxmlformats.org/officeDocument/2006/relationships/hyperlink" Target="mailto:edificiopicudo@gmail.com" TargetMode="External"/><Relationship Id="rId49" Type="http://schemas.openxmlformats.org/officeDocument/2006/relationships/hyperlink" Target="mailto:juandiegomoscoso@hotmail.com" TargetMode="External"/><Relationship Id="rId10" Type="http://schemas.openxmlformats.org/officeDocument/2006/relationships/hyperlink" Target="mailto:mariaaugustaespinoza@gmail.com" TargetMode="External"/><Relationship Id="rId19" Type="http://schemas.openxmlformats.org/officeDocument/2006/relationships/hyperlink" Target="mailto:waldo807@hotmail.com" TargetMode="External"/><Relationship Id="rId31" Type="http://schemas.openxmlformats.org/officeDocument/2006/relationships/hyperlink" Target="mailto:diana.ri55@hotmail.com" TargetMode="External"/><Relationship Id="rId44" Type="http://schemas.openxmlformats.org/officeDocument/2006/relationships/hyperlink" Target="mailto:pietromks87@hotmail.com" TargetMode="External"/><Relationship Id="rId52" Type="http://schemas.openxmlformats.org/officeDocument/2006/relationships/hyperlink" Target="mailto:doris.chicaiza@hotmail.com" TargetMode="External"/><Relationship Id="rId4" Type="http://schemas.openxmlformats.org/officeDocument/2006/relationships/hyperlink" Target="mailto:gloriatoral@icloud.com" TargetMode="External"/><Relationship Id="rId9" Type="http://schemas.openxmlformats.org/officeDocument/2006/relationships/hyperlink" Target="mailto:josecrespovz@gmail.com" TargetMode="External"/><Relationship Id="rId14" Type="http://schemas.openxmlformats.org/officeDocument/2006/relationships/hyperlink" Target="mailto:luppis_g@hotmail.com" TargetMode="External"/><Relationship Id="rId22" Type="http://schemas.openxmlformats.org/officeDocument/2006/relationships/hyperlink" Target="mailto:danielacarolinasilvatorres@gmail.com" TargetMode="External"/><Relationship Id="rId27" Type="http://schemas.openxmlformats.org/officeDocument/2006/relationships/hyperlink" Target="mailto:diegogutierreza1975@gmail.com" TargetMode="External"/><Relationship Id="rId30" Type="http://schemas.openxmlformats.org/officeDocument/2006/relationships/hyperlink" Target="mailto:gabrielsantiestebanpodio@gmail.com" TargetMode="External"/><Relationship Id="rId35" Type="http://schemas.openxmlformats.org/officeDocument/2006/relationships/hyperlink" Target="mailto:contabilidad@vipesa.net" TargetMode="External"/><Relationship Id="rId43" Type="http://schemas.openxmlformats.org/officeDocument/2006/relationships/hyperlink" Target="mailto:pietromks87@hotmail.com" TargetMode="External"/><Relationship Id="rId48" Type="http://schemas.openxmlformats.org/officeDocument/2006/relationships/hyperlink" Target="mailto:marcelacam@live.com" TargetMode="External"/><Relationship Id="rId8" Type="http://schemas.openxmlformats.org/officeDocument/2006/relationships/hyperlink" Target="mailto:josecrespovz@gmail.com" TargetMode="External"/><Relationship Id="rId51" Type="http://schemas.openxmlformats.org/officeDocument/2006/relationships/hyperlink" Target="mailto:juandiegomoscos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0"/>
  <sheetViews>
    <sheetView workbookViewId="0">
      <selection activeCell="M15" sqref="M15"/>
    </sheetView>
  </sheetViews>
  <sheetFormatPr baseColWidth="10" defaultRowHeight="15"/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5.75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5" t="s">
        <v>98</v>
      </c>
      <c r="M4" s="6"/>
      <c r="N4" s="6"/>
      <c r="O4" s="6"/>
      <c r="P4" s="1"/>
    </row>
    <row r="5" spans="1:22" ht="33.75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292"/>
      <c r="T5" s="292" t="s">
        <v>84</v>
      </c>
    </row>
    <row r="6" spans="1:22" ht="15.75">
      <c r="A6" s="11">
        <v>1</v>
      </c>
      <c r="B6" s="12" t="s">
        <v>97</v>
      </c>
      <c r="C6" s="13"/>
      <c r="D6" s="14" t="s">
        <v>97</v>
      </c>
      <c r="E6" s="15"/>
      <c r="F6" s="16"/>
      <c r="G6" s="15"/>
      <c r="H6" s="17"/>
      <c r="I6" s="17" t="s">
        <v>20</v>
      </c>
      <c r="J6" s="18" t="s">
        <v>21</v>
      </c>
      <c r="K6" s="12"/>
      <c r="L6" s="16"/>
      <c r="M6" s="16" t="s">
        <v>22</v>
      </c>
      <c r="N6" s="19"/>
      <c r="O6" s="20"/>
      <c r="P6" s="19" t="s">
        <v>23</v>
      </c>
      <c r="Q6" s="21" t="s">
        <v>24</v>
      </c>
      <c r="R6" s="22"/>
      <c r="S6" s="23"/>
      <c r="T6" s="24"/>
      <c r="U6" s="11"/>
      <c r="V6" s="11"/>
    </row>
    <row r="7" spans="1:22" ht="15.75">
      <c r="A7" s="11">
        <v>2</v>
      </c>
      <c r="B7" s="25"/>
      <c r="C7" s="26"/>
      <c r="D7" s="27"/>
      <c r="E7" s="28"/>
      <c r="F7" s="29"/>
      <c r="G7" s="28"/>
      <c r="H7" s="30"/>
      <c r="I7" s="30" t="s">
        <v>20</v>
      </c>
      <c r="J7" s="31" t="s">
        <v>21</v>
      </c>
      <c r="K7" s="25"/>
      <c r="L7" s="29"/>
      <c r="M7" s="29" t="s">
        <v>22</v>
      </c>
      <c r="N7" s="32"/>
      <c r="O7" s="33"/>
      <c r="P7" s="32" t="s">
        <v>23</v>
      </c>
      <c r="Q7" s="34" t="s">
        <v>24</v>
      </c>
      <c r="R7" s="22"/>
      <c r="S7" s="23"/>
      <c r="T7" s="24"/>
      <c r="U7" s="11"/>
      <c r="V7" s="11"/>
    </row>
    <row r="8" spans="1:22" ht="15.75">
      <c r="A8" s="11">
        <v>3</v>
      </c>
      <c r="B8" s="25"/>
      <c r="C8" s="26"/>
      <c r="D8" s="27"/>
      <c r="E8" s="28"/>
      <c r="F8" s="29"/>
      <c r="G8" s="28"/>
      <c r="H8" s="30"/>
      <c r="I8" s="30" t="s">
        <v>20</v>
      </c>
      <c r="J8" s="31" t="s">
        <v>21</v>
      </c>
      <c r="K8" s="25"/>
      <c r="L8" s="29"/>
      <c r="M8" s="29" t="s">
        <v>22</v>
      </c>
      <c r="N8" s="32"/>
      <c r="O8" s="33"/>
      <c r="P8" s="32" t="s">
        <v>23</v>
      </c>
      <c r="Q8" s="34" t="s">
        <v>24</v>
      </c>
      <c r="R8" s="22"/>
      <c r="S8" s="23"/>
      <c r="T8" s="24"/>
      <c r="U8" s="11"/>
      <c r="V8" s="11"/>
    </row>
    <row r="9" spans="1:22" ht="15.75">
      <c r="A9" s="11">
        <v>4</v>
      </c>
      <c r="B9" s="35"/>
      <c r="C9" s="36"/>
      <c r="D9" s="37"/>
      <c r="E9" s="38"/>
      <c r="F9" s="39"/>
      <c r="G9" s="38"/>
      <c r="H9" s="40"/>
      <c r="I9" s="40" t="s">
        <v>20</v>
      </c>
      <c r="J9" s="41" t="s">
        <v>21</v>
      </c>
      <c r="K9" s="35"/>
      <c r="L9" s="39"/>
      <c r="M9" s="39" t="s">
        <v>22</v>
      </c>
      <c r="N9" s="42"/>
      <c r="O9" s="43"/>
      <c r="P9" s="42" t="s">
        <v>23</v>
      </c>
      <c r="Q9" s="44" t="s">
        <v>24</v>
      </c>
      <c r="R9" s="22"/>
      <c r="S9" s="23"/>
      <c r="T9" s="24"/>
      <c r="U9" s="11"/>
      <c r="V9" s="11"/>
    </row>
    <row r="10" spans="1:22">
      <c r="O10" s="45">
        <f>SUM(O6:O9)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"/>
  <sheetViews>
    <sheetView workbookViewId="0">
      <selection activeCell="G14" sqref="G14"/>
    </sheetView>
  </sheetViews>
  <sheetFormatPr baseColWidth="10" defaultRowHeight="15"/>
  <cols>
    <col min="3" max="3" width="18.5703125" customWidth="1"/>
    <col min="7" max="7" width="14.85546875" customWidth="1"/>
    <col min="11" max="11" width="11.85546875" bestFit="1" customWidth="1"/>
    <col min="16" max="16" width="17.85546875" customWidth="1"/>
  </cols>
  <sheetData>
    <row r="2" spans="1:16">
      <c r="A2" s="46"/>
      <c r="B2" s="47"/>
      <c r="C2" s="48"/>
      <c r="D2" s="48"/>
      <c r="E2" s="48"/>
      <c r="F2" s="48"/>
      <c r="G2" s="48"/>
      <c r="H2" s="48"/>
      <c r="I2" s="48"/>
      <c r="J2" s="48"/>
      <c r="K2" s="49"/>
      <c r="L2" s="48"/>
      <c r="M2" s="48"/>
      <c r="N2" s="48"/>
      <c r="O2" s="50"/>
      <c r="P2" s="48"/>
    </row>
    <row r="3" spans="1:16">
      <c r="A3" s="48"/>
      <c r="B3" s="47"/>
      <c r="C3" s="51" t="s">
        <v>0</v>
      </c>
      <c r="D3" s="52"/>
      <c r="E3" s="52"/>
      <c r="F3" s="48"/>
      <c r="G3" s="52"/>
      <c r="H3" s="52"/>
      <c r="I3" s="52"/>
      <c r="J3" s="52"/>
      <c r="K3" s="53"/>
      <c r="L3" s="52"/>
      <c r="M3" s="52"/>
      <c r="N3" s="52"/>
      <c r="O3" s="54"/>
      <c r="P3" s="48"/>
    </row>
    <row r="4" spans="1:16" ht="15.75">
      <c r="A4" s="48"/>
      <c r="B4" s="55"/>
      <c r="C4" s="56" t="s">
        <v>1</v>
      </c>
      <c r="D4" s="56"/>
      <c r="E4" s="56"/>
      <c r="F4" s="48"/>
      <c r="G4" s="48"/>
      <c r="H4" s="57"/>
      <c r="I4" s="58" t="s">
        <v>26</v>
      </c>
      <c r="J4" s="57"/>
      <c r="K4" s="49"/>
      <c r="L4" s="59" t="s">
        <v>91</v>
      </c>
      <c r="M4" s="57"/>
      <c r="N4" s="57"/>
      <c r="O4" s="50"/>
      <c r="P4" s="48"/>
    </row>
    <row r="5" spans="1:16" ht="33.75">
      <c r="A5" s="48"/>
      <c r="B5" s="60" t="s">
        <v>4</v>
      </c>
      <c r="C5" s="61" t="s">
        <v>5</v>
      </c>
      <c r="D5" s="61" t="s">
        <v>6</v>
      </c>
      <c r="E5" s="61" t="s">
        <v>7</v>
      </c>
      <c r="F5" s="61" t="s">
        <v>8</v>
      </c>
      <c r="G5" s="61" t="s">
        <v>9</v>
      </c>
      <c r="H5" s="61" t="s">
        <v>10</v>
      </c>
      <c r="I5" s="61" t="s">
        <v>11</v>
      </c>
      <c r="J5" s="61" t="s">
        <v>12</v>
      </c>
      <c r="K5" s="62" t="s">
        <v>13</v>
      </c>
      <c r="L5" s="62" t="s">
        <v>14</v>
      </c>
      <c r="M5" s="62" t="s">
        <v>15</v>
      </c>
      <c r="N5" s="62" t="s">
        <v>16</v>
      </c>
      <c r="O5" s="63" t="s">
        <v>17</v>
      </c>
      <c r="P5" s="62" t="s">
        <v>18</v>
      </c>
    </row>
    <row r="6" spans="1:16" ht="15.75">
      <c r="A6" s="64">
        <v>1</v>
      </c>
      <c r="B6" s="65"/>
      <c r="C6" s="66" t="s">
        <v>99</v>
      </c>
      <c r="D6" s="66"/>
      <c r="E6" s="66">
        <v>112570002</v>
      </c>
      <c r="F6" s="67" t="s">
        <v>27</v>
      </c>
      <c r="G6" s="68" t="s">
        <v>393</v>
      </c>
      <c r="H6" s="66">
        <v>398082</v>
      </c>
      <c r="I6" s="66" t="s">
        <v>3</v>
      </c>
      <c r="J6" s="66" t="s">
        <v>92</v>
      </c>
      <c r="K6" s="69">
        <v>45157</v>
      </c>
      <c r="L6" s="66" t="s">
        <v>19</v>
      </c>
      <c r="M6" s="66" t="s">
        <v>387</v>
      </c>
      <c r="N6" s="66">
        <v>991172261</v>
      </c>
      <c r="O6" s="70">
        <v>29</v>
      </c>
      <c r="P6" s="66" t="s">
        <v>395</v>
      </c>
    </row>
    <row r="7" spans="1:16" ht="15.75">
      <c r="A7" s="64">
        <v>2</v>
      </c>
      <c r="B7" s="71"/>
      <c r="C7" s="72" t="s">
        <v>99</v>
      </c>
      <c r="D7" s="72"/>
      <c r="E7" s="72">
        <v>112570002</v>
      </c>
      <c r="F7" s="73" t="s">
        <v>27</v>
      </c>
      <c r="G7" s="74" t="s">
        <v>394</v>
      </c>
      <c r="H7" s="72" t="s">
        <v>25</v>
      </c>
      <c r="I7" s="66" t="s">
        <v>3</v>
      </c>
      <c r="J7" s="66" t="s">
        <v>92</v>
      </c>
      <c r="K7" s="69">
        <v>45157</v>
      </c>
      <c r="L7" s="66" t="s">
        <v>19</v>
      </c>
      <c r="M7" s="66" t="s">
        <v>387</v>
      </c>
      <c r="N7" s="66">
        <v>991172261</v>
      </c>
      <c r="O7" s="75">
        <v>29</v>
      </c>
      <c r="P7" s="66" t="s">
        <v>395</v>
      </c>
    </row>
    <row r="8" spans="1:16" ht="15.7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76">
        <f>SUM(O6:O7)</f>
        <v>58</v>
      </c>
      <c r="P8" s="11"/>
    </row>
    <row r="9" spans="1:16">
      <c r="O9" s="196"/>
    </row>
    <row r="10" spans="1:16" ht="15.75">
      <c r="F10">
        <v>2</v>
      </c>
      <c r="G10" s="77">
        <v>29</v>
      </c>
      <c r="H10" s="78">
        <v>58</v>
      </c>
      <c r="I10" s="7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7"/>
  <sheetViews>
    <sheetView topLeftCell="A4" workbookViewId="0">
      <selection activeCell="J24" sqref="J24"/>
    </sheetView>
  </sheetViews>
  <sheetFormatPr baseColWidth="10" defaultRowHeight="15"/>
  <cols>
    <col min="7" max="7" width="18.7109375" customWidth="1"/>
  </cols>
  <sheetData>
    <row r="2" spans="1:21">
      <c r="B2" s="79"/>
      <c r="C2" s="80" t="s">
        <v>28</v>
      </c>
      <c r="F2" s="81"/>
      <c r="G2" s="82"/>
      <c r="H2" s="83"/>
      <c r="I2" s="84"/>
      <c r="J2" s="85"/>
      <c r="K2" s="86"/>
      <c r="L2" s="87"/>
      <c r="M2" s="87"/>
      <c r="N2" s="79"/>
      <c r="O2" s="88"/>
      <c r="T2" s="89"/>
    </row>
    <row r="3" spans="1:21">
      <c r="B3" s="79"/>
      <c r="C3" s="90" t="s">
        <v>1</v>
      </c>
      <c r="F3" s="91"/>
      <c r="G3" s="82"/>
      <c r="H3" s="83"/>
      <c r="I3" s="84"/>
      <c r="J3" s="85" t="s">
        <v>29</v>
      </c>
      <c r="K3" s="86"/>
      <c r="L3" s="87"/>
      <c r="M3" s="92"/>
      <c r="N3" s="93" t="s">
        <v>93</v>
      </c>
      <c r="O3" s="88"/>
      <c r="P3" s="94"/>
      <c r="T3" s="89"/>
    </row>
    <row r="4" spans="1:21" ht="24.75">
      <c r="B4" s="95" t="s">
        <v>30</v>
      </c>
      <c r="C4" s="95" t="s">
        <v>31</v>
      </c>
      <c r="D4" s="95" t="s">
        <v>32</v>
      </c>
      <c r="E4" s="95" t="s">
        <v>6</v>
      </c>
      <c r="F4" s="95" t="s">
        <v>33</v>
      </c>
      <c r="G4" s="95" t="s">
        <v>34</v>
      </c>
      <c r="H4" s="95" t="s">
        <v>35</v>
      </c>
      <c r="I4" s="95" t="s">
        <v>10</v>
      </c>
      <c r="J4" s="95" t="s">
        <v>36</v>
      </c>
      <c r="K4" s="95" t="s">
        <v>37</v>
      </c>
      <c r="L4" s="96" t="s">
        <v>14</v>
      </c>
      <c r="M4" s="96" t="s">
        <v>38</v>
      </c>
      <c r="N4" s="95" t="s">
        <v>16</v>
      </c>
      <c r="O4" s="97" t="s">
        <v>17</v>
      </c>
      <c r="P4" s="95" t="s">
        <v>39</v>
      </c>
      <c r="Q4" s="95" t="s">
        <v>40</v>
      </c>
      <c r="R4" s="98" t="s">
        <v>41</v>
      </c>
      <c r="S4" s="95" t="s">
        <v>42</v>
      </c>
      <c r="T4" s="95" t="s">
        <v>43</v>
      </c>
      <c r="U4" s="99" t="s">
        <v>44</v>
      </c>
    </row>
    <row r="5" spans="1:21">
      <c r="A5" s="100">
        <v>1</v>
      </c>
      <c r="B5" s="103">
        <v>45126</v>
      </c>
      <c r="C5" s="104">
        <v>44968</v>
      </c>
      <c r="D5" s="105" t="s">
        <v>129</v>
      </c>
      <c r="E5" s="105" t="s">
        <v>254</v>
      </c>
      <c r="F5" s="106">
        <v>40782510</v>
      </c>
      <c r="G5" s="107" t="s">
        <v>268</v>
      </c>
      <c r="H5" s="108" t="s">
        <v>255</v>
      </c>
      <c r="I5" s="106" t="s">
        <v>25</v>
      </c>
      <c r="J5" s="101" t="s">
        <v>3</v>
      </c>
      <c r="K5" s="101" t="s">
        <v>92</v>
      </c>
      <c r="L5" s="105" t="s">
        <v>256</v>
      </c>
      <c r="M5" s="110" t="s">
        <v>257</v>
      </c>
      <c r="N5" s="111"/>
      <c r="O5" s="112">
        <v>25</v>
      </c>
      <c r="P5" s="113" t="s">
        <v>45</v>
      </c>
      <c r="Q5" s="102" t="s">
        <v>3</v>
      </c>
      <c r="R5" s="114" t="s">
        <v>46</v>
      </c>
      <c r="S5" s="114" t="s">
        <v>46</v>
      </c>
      <c r="T5" s="115">
        <v>103280004</v>
      </c>
      <c r="U5" s="116"/>
    </row>
    <row r="6" spans="1:21">
      <c r="A6" s="100">
        <v>2</v>
      </c>
      <c r="B6" s="103">
        <v>45128</v>
      </c>
      <c r="C6" s="104">
        <v>45127</v>
      </c>
      <c r="D6" s="105" t="s">
        <v>19</v>
      </c>
      <c r="E6" s="105" t="s">
        <v>100</v>
      </c>
      <c r="F6" s="106">
        <v>40466241</v>
      </c>
      <c r="G6" s="107" t="s">
        <v>118</v>
      </c>
      <c r="H6" s="108" t="s">
        <v>258</v>
      </c>
      <c r="I6" s="106" t="s">
        <v>25</v>
      </c>
      <c r="J6" s="101" t="s">
        <v>3</v>
      </c>
      <c r="K6" s="101" t="s">
        <v>92</v>
      </c>
      <c r="L6" s="105" t="s">
        <v>259</v>
      </c>
      <c r="M6" s="110" t="s">
        <v>260</v>
      </c>
      <c r="N6" s="111">
        <v>2807282</v>
      </c>
      <c r="O6" s="112">
        <v>15</v>
      </c>
      <c r="P6" s="113" t="s">
        <v>45</v>
      </c>
      <c r="Q6" s="102" t="s">
        <v>3</v>
      </c>
      <c r="R6" s="114" t="s">
        <v>46</v>
      </c>
      <c r="S6" s="114" t="s">
        <v>46</v>
      </c>
      <c r="T6" s="115">
        <v>101331114</v>
      </c>
      <c r="U6" s="116" t="s">
        <v>106</v>
      </c>
    </row>
    <row r="7" spans="1:21">
      <c r="A7" s="100">
        <v>3</v>
      </c>
      <c r="B7" s="103">
        <v>45129</v>
      </c>
      <c r="C7" s="104">
        <v>45128</v>
      </c>
      <c r="D7" s="105" t="s">
        <v>261</v>
      </c>
      <c r="E7" s="105" t="s">
        <v>404</v>
      </c>
      <c r="F7" s="106">
        <v>1122600000</v>
      </c>
      <c r="G7" s="107" t="s">
        <v>263</v>
      </c>
      <c r="H7" s="108" t="s">
        <v>264</v>
      </c>
      <c r="I7" s="106" t="s">
        <v>25</v>
      </c>
      <c r="J7" s="101" t="s">
        <v>3</v>
      </c>
      <c r="K7" s="101" t="s">
        <v>92</v>
      </c>
      <c r="L7" s="105" t="s">
        <v>265</v>
      </c>
      <c r="M7" s="110" t="s">
        <v>262</v>
      </c>
      <c r="N7" s="111">
        <v>999984162</v>
      </c>
      <c r="O7" s="112">
        <v>29</v>
      </c>
      <c r="P7" s="113" t="s">
        <v>45</v>
      </c>
      <c r="Q7" s="102" t="s">
        <v>3</v>
      </c>
      <c r="R7" s="114" t="s">
        <v>46</v>
      </c>
      <c r="S7" s="114" t="s">
        <v>46</v>
      </c>
      <c r="T7" s="115">
        <v>101180446</v>
      </c>
      <c r="U7" s="116" t="s">
        <v>266</v>
      </c>
    </row>
    <row r="8" spans="1:21">
      <c r="A8" s="100">
        <v>4</v>
      </c>
      <c r="B8" s="103">
        <v>45129</v>
      </c>
      <c r="C8" s="104">
        <v>44992</v>
      </c>
      <c r="D8" s="105" t="s">
        <v>184</v>
      </c>
      <c r="E8" s="105" t="s">
        <v>267</v>
      </c>
      <c r="F8" s="106">
        <v>40782510</v>
      </c>
      <c r="G8" s="107" t="s">
        <v>268</v>
      </c>
      <c r="H8" s="108" t="s">
        <v>269</v>
      </c>
      <c r="I8" s="106" t="s">
        <v>25</v>
      </c>
      <c r="J8" s="101" t="s">
        <v>3</v>
      </c>
      <c r="K8" s="101" t="s">
        <v>92</v>
      </c>
      <c r="L8" s="105" t="s">
        <v>270</v>
      </c>
      <c r="M8" s="110" t="s">
        <v>271</v>
      </c>
      <c r="N8" s="111">
        <v>997553453</v>
      </c>
      <c r="O8" s="112">
        <v>25</v>
      </c>
      <c r="P8" s="113" t="s">
        <v>45</v>
      </c>
      <c r="Q8" s="102" t="s">
        <v>3</v>
      </c>
      <c r="R8" s="114" t="s">
        <v>46</v>
      </c>
      <c r="S8" s="114" t="s">
        <v>46</v>
      </c>
      <c r="T8" s="115">
        <v>101769461</v>
      </c>
      <c r="U8" s="116" t="s">
        <v>272</v>
      </c>
    </row>
    <row r="9" spans="1:21">
      <c r="A9" s="100">
        <v>5</v>
      </c>
      <c r="B9" s="117">
        <v>45131</v>
      </c>
      <c r="C9" s="118">
        <v>45128</v>
      </c>
      <c r="D9" s="119" t="s">
        <v>19</v>
      </c>
      <c r="E9" s="119" t="s">
        <v>273</v>
      </c>
      <c r="F9" s="120">
        <v>111000051</v>
      </c>
      <c r="G9" s="121" t="s">
        <v>166</v>
      </c>
      <c r="H9" s="109" t="s">
        <v>274</v>
      </c>
      <c r="I9" s="120" t="s">
        <v>25</v>
      </c>
      <c r="J9" s="101" t="s">
        <v>3</v>
      </c>
      <c r="K9" s="101" t="s">
        <v>92</v>
      </c>
      <c r="L9" s="119" t="s">
        <v>275</v>
      </c>
      <c r="M9" s="122" t="s">
        <v>199</v>
      </c>
      <c r="N9" s="114">
        <v>990132422</v>
      </c>
      <c r="O9" s="123">
        <v>25</v>
      </c>
      <c r="P9" s="113" t="s">
        <v>45</v>
      </c>
      <c r="Q9" s="102" t="s">
        <v>3</v>
      </c>
      <c r="R9" s="114" t="s">
        <v>46</v>
      </c>
      <c r="S9" s="114" t="s">
        <v>46</v>
      </c>
      <c r="T9" s="124">
        <v>911769487</v>
      </c>
      <c r="U9" s="293" t="s">
        <v>276</v>
      </c>
    </row>
    <row r="10" spans="1:21">
      <c r="A10" s="100">
        <v>6</v>
      </c>
      <c r="B10" s="103">
        <v>45133</v>
      </c>
      <c r="C10" s="125">
        <v>45103</v>
      </c>
      <c r="D10" s="126" t="s">
        <v>19</v>
      </c>
      <c r="E10" s="126" t="s">
        <v>277</v>
      </c>
      <c r="F10" s="127">
        <v>112580027</v>
      </c>
      <c r="G10" s="128" t="s">
        <v>278</v>
      </c>
      <c r="H10" s="129" t="s">
        <v>279</v>
      </c>
      <c r="I10" s="127" t="s">
        <v>25</v>
      </c>
      <c r="J10" s="101" t="s">
        <v>3</v>
      </c>
      <c r="K10" s="101" t="s">
        <v>92</v>
      </c>
      <c r="L10" s="126" t="s">
        <v>280</v>
      </c>
      <c r="M10" s="130" t="s">
        <v>281</v>
      </c>
      <c r="N10" s="131">
        <v>2886160</v>
      </c>
      <c r="O10" s="132">
        <v>29</v>
      </c>
      <c r="P10" s="133" t="s">
        <v>45</v>
      </c>
      <c r="Q10" s="102" t="s">
        <v>3</v>
      </c>
      <c r="R10" s="111" t="s">
        <v>46</v>
      </c>
      <c r="S10" s="111" t="s">
        <v>46</v>
      </c>
      <c r="T10" s="134">
        <v>100068477</v>
      </c>
      <c r="U10" s="135" t="s">
        <v>282</v>
      </c>
    </row>
    <row r="11" spans="1:21">
      <c r="A11" s="100">
        <v>7</v>
      </c>
      <c r="B11" s="136">
        <v>45133</v>
      </c>
      <c r="C11" s="137">
        <v>45131</v>
      </c>
      <c r="D11" s="138" t="s">
        <v>19</v>
      </c>
      <c r="E11" s="138" t="s">
        <v>283</v>
      </c>
      <c r="F11" s="139">
        <v>40467304</v>
      </c>
      <c r="G11" s="140" t="s">
        <v>239</v>
      </c>
      <c r="H11" s="141" t="s">
        <v>284</v>
      </c>
      <c r="I11" s="139" t="s">
        <v>25</v>
      </c>
      <c r="J11" s="141" t="s">
        <v>3</v>
      </c>
      <c r="K11" s="141" t="s">
        <v>92</v>
      </c>
      <c r="L11" s="138" t="s">
        <v>285</v>
      </c>
      <c r="M11" s="142" t="s">
        <v>286</v>
      </c>
      <c r="N11" s="143">
        <v>998070873</v>
      </c>
      <c r="O11" s="144">
        <v>15</v>
      </c>
      <c r="P11" s="145" t="s">
        <v>45</v>
      </c>
      <c r="Q11" s="145" t="s">
        <v>3</v>
      </c>
      <c r="R11" s="143"/>
      <c r="S11" s="143"/>
      <c r="T11" s="146">
        <v>103285615</v>
      </c>
      <c r="U11" s="147" t="s">
        <v>287</v>
      </c>
    </row>
    <row r="12" spans="1:21">
      <c r="A12" s="100">
        <v>8</v>
      </c>
      <c r="B12" s="117">
        <v>45134</v>
      </c>
      <c r="C12" s="118">
        <v>45132</v>
      </c>
      <c r="D12" s="119" t="s">
        <v>19</v>
      </c>
      <c r="E12" s="119" t="s">
        <v>288</v>
      </c>
      <c r="F12" s="120">
        <v>112580058</v>
      </c>
      <c r="G12" s="121" t="s">
        <v>289</v>
      </c>
      <c r="H12" s="109" t="s">
        <v>290</v>
      </c>
      <c r="I12" s="120">
        <v>400228</v>
      </c>
      <c r="J12" s="101" t="s">
        <v>3</v>
      </c>
      <c r="K12" s="101" t="s">
        <v>92</v>
      </c>
      <c r="L12" s="119" t="s">
        <v>291</v>
      </c>
      <c r="M12" s="122" t="s">
        <v>292</v>
      </c>
      <c r="N12" s="114">
        <v>992242344</v>
      </c>
      <c r="O12" s="123">
        <v>29</v>
      </c>
      <c r="P12" s="113" t="s">
        <v>45</v>
      </c>
      <c r="Q12" s="102" t="s">
        <v>3</v>
      </c>
      <c r="R12" s="114" t="s">
        <v>46</v>
      </c>
      <c r="S12" s="114" t="s">
        <v>46</v>
      </c>
      <c r="T12" s="124">
        <v>706620788</v>
      </c>
      <c r="U12" s="293" t="s">
        <v>293</v>
      </c>
    </row>
    <row r="13" spans="1:21">
      <c r="A13" s="100">
        <v>9</v>
      </c>
      <c r="B13" s="103">
        <v>45139</v>
      </c>
      <c r="C13" s="125">
        <v>45140</v>
      </c>
      <c r="D13" s="126" t="s">
        <v>294</v>
      </c>
      <c r="E13" s="126" t="s">
        <v>295</v>
      </c>
      <c r="F13" s="127">
        <v>40446712</v>
      </c>
      <c r="G13" s="128" t="s">
        <v>296</v>
      </c>
      <c r="H13" s="129" t="s">
        <v>297</v>
      </c>
      <c r="I13" s="127" t="s">
        <v>25</v>
      </c>
      <c r="J13" s="101" t="s">
        <v>3</v>
      </c>
      <c r="K13" s="101" t="s">
        <v>92</v>
      </c>
      <c r="L13" s="126" t="s">
        <v>298</v>
      </c>
      <c r="M13" s="130" t="s">
        <v>299</v>
      </c>
      <c r="N13" s="131">
        <v>993629128</v>
      </c>
      <c r="O13" s="132">
        <v>15</v>
      </c>
      <c r="P13" s="133" t="s">
        <v>45</v>
      </c>
      <c r="Q13" s="102" t="s">
        <v>3</v>
      </c>
      <c r="R13" s="111" t="s">
        <v>46</v>
      </c>
      <c r="S13" s="111" t="s">
        <v>46</v>
      </c>
      <c r="T13" s="134">
        <v>190489655</v>
      </c>
      <c r="U13" s="135" t="s">
        <v>300</v>
      </c>
    </row>
    <row r="14" spans="1:21">
      <c r="A14" s="100">
        <v>10</v>
      </c>
      <c r="B14" s="136">
        <v>45139</v>
      </c>
      <c r="C14" s="137">
        <v>45138</v>
      </c>
      <c r="D14" s="138" t="s">
        <v>301</v>
      </c>
      <c r="E14" s="138" t="s">
        <v>302</v>
      </c>
      <c r="F14" s="139">
        <v>40467320</v>
      </c>
      <c r="G14" s="140" t="s">
        <v>303</v>
      </c>
      <c r="H14" s="141" t="s">
        <v>304</v>
      </c>
      <c r="I14" s="139">
        <v>394619</v>
      </c>
      <c r="J14" s="141" t="s">
        <v>3</v>
      </c>
      <c r="K14" s="141" t="s">
        <v>92</v>
      </c>
      <c r="L14" s="138" t="s">
        <v>305</v>
      </c>
      <c r="M14" s="142" t="s">
        <v>306</v>
      </c>
      <c r="N14" s="143">
        <v>968257945</v>
      </c>
      <c r="O14" s="144">
        <v>15</v>
      </c>
      <c r="P14" s="145" t="s">
        <v>45</v>
      </c>
      <c r="Q14" s="145" t="s">
        <v>3</v>
      </c>
      <c r="R14" s="143"/>
      <c r="S14" s="143"/>
      <c r="T14" s="146">
        <v>103094322</v>
      </c>
      <c r="U14" s="147" t="s">
        <v>307</v>
      </c>
    </row>
    <row r="15" spans="1:21">
      <c r="A15" s="100">
        <v>11</v>
      </c>
      <c r="B15" s="117">
        <v>45140</v>
      </c>
      <c r="C15" s="118">
        <v>45103</v>
      </c>
      <c r="D15" s="119" t="s">
        <v>48</v>
      </c>
      <c r="E15" s="119" t="s">
        <v>398</v>
      </c>
      <c r="F15" s="120">
        <v>112500048</v>
      </c>
      <c r="G15" s="121" t="s">
        <v>308</v>
      </c>
      <c r="H15" s="109" t="s">
        <v>309</v>
      </c>
      <c r="I15" s="120">
        <v>400206</v>
      </c>
      <c r="J15" s="101" t="s">
        <v>3</v>
      </c>
      <c r="K15" s="101" t="s">
        <v>92</v>
      </c>
      <c r="L15" s="119" t="s">
        <v>310</v>
      </c>
      <c r="M15" s="122" t="s">
        <v>311</v>
      </c>
      <c r="N15" s="114">
        <v>998346841</v>
      </c>
      <c r="O15" s="123">
        <v>25</v>
      </c>
      <c r="P15" s="113" t="s">
        <v>45</v>
      </c>
      <c r="Q15" s="102" t="s">
        <v>3</v>
      </c>
      <c r="R15" s="114" t="s">
        <v>46</v>
      </c>
      <c r="S15" s="114" t="s">
        <v>46</v>
      </c>
      <c r="T15" s="124">
        <v>301767281</v>
      </c>
      <c r="U15" s="293" t="s">
        <v>312</v>
      </c>
    </row>
    <row r="16" spans="1:21">
      <c r="A16" s="100">
        <v>12</v>
      </c>
      <c r="B16" s="136">
        <v>45141</v>
      </c>
      <c r="C16" s="137">
        <v>45135</v>
      </c>
      <c r="D16" s="138" t="s">
        <v>129</v>
      </c>
      <c r="E16" s="138" t="s">
        <v>313</v>
      </c>
      <c r="F16" s="139">
        <v>112570124</v>
      </c>
      <c r="G16" s="140" t="s">
        <v>314</v>
      </c>
      <c r="H16" s="141" t="s">
        <v>315</v>
      </c>
      <c r="I16" s="139">
        <v>3945560</v>
      </c>
      <c r="J16" s="141" t="s">
        <v>3</v>
      </c>
      <c r="K16" s="141" t="s">
        <v>92</v>
      </c>
      <c r="L16" s="138" t="s">
        <v>316</v>
      </c>
      <c r="M16" s="142" t="s">
        <v>317</v>
      </c>
      <c r="N16" s="143">
        <v>999778701</v>
      </c>
      <c r="O16" s="144">
        <v>29</v>
      </c>
      <c r="P16" s="145" t="s">
        <v>45</v>
      </c>
      <c r="Q16" s="145" t="s">
        <v>3</v>
      </c>
      <c r="R16" s="143"/>
      <c r="S16" s="143"/>
      <c r="T16" s="146">
        <v>101059814</v>
      </c>
      <c r="U16" s="147"/>
    </row>
    <row r="17" spans="1:21">
      <c r="A17" s="100">
        <v>13</v>
      </c>
      <c r="B17" s="117">
        <v>45142</v>
      </c>
      <c r="C17" s="118">
        <v>45140</v>
      </c>
      <c r="D17" s="119" t="s">
        <v>129</v>
      </c>
      <c r="E17" s="119" t="s">
        <v>400</v>
      </c>
      <c r="F17" s="120">
        <v>113430018</v>
      </c>
      <c r="G17" s="121" t="s">
        <v>318</v>
      </c>
      <c r="H17" s="109" t="s">
        <v>319</v>
      </c>
      <c r="I17" s="120" t="s">
        <v>25</v>
      </c>
      <c r="J17" s="101" t="s">
        <v>3</v>
      </c>
      <c r="K17" s="101" t="s">
        <v>92</v>
      </c>
      <c r="L17" s="119" t="s">
        <v>320</v>
      </c>
      <c r="M17" s="122" t="s">
        <v>321</v>
      </c>
      <c r="N17" s="114">
        <v>2819663</v>
      </c>
      <c r="O17" s="123">
        <v>30</v>
      </c>
      <c r="P17" s="113" t="s">
        <v>45</v>
      </c>
      <c r="Q17" s="102" t="s">
        <v>3</v>
      </c>
      <c r="R17" s="114" t="s">
        <v>46</v>
      </c>
      <c r="S17" s="114" t="s">
        <v>46</v>
      </c>
      <c r="T17" s="124">
        <v>102166618</v>
      </c>
      <c r="U17" s="293" t="s">
        <v>322</v>
      </c>
    </row>
    <row r="18" spans="1:21">
      <c r="A18" s="100">
        <v>14</v>
      </c>
      <c r="B18" s="103">
        <v>45145</v>
      </c>
      <c r="C18" s="125">
        <v>45141</v>
      </c>
      <c r="D18" s="126" t="s">
        <v>294</v>
      </c>
      <c r="E18" s="126" t="s">
        <v>401</v>
      </c>
      <c r="F18" s="127">
        <v>112580017</v>
      </c>
      <c r="G18" s="128" t="s">
        <v>323</v>
      </c>
      <c r="H18" s="129" t="s">
        <v>324</v>
      </c>
      <c r="I18" s="127">
        <v>401949</v>
      </c>
      <c r="J18" s="101" t="s">
        <v>3</v>
      </c>
      <c r="K18" s="101" t="s">
        <v>92</v>
      </c>
      <c r="L18" s="126" t="s">
        <v>325</v>
      </c>
      <c r="M18" s="130" t="s">
        <v>317</v>
      </c>
      <c r="N18" s="131">
        <v>999429064</v>
      </c>
      <c r="O18" s="132">
        <v>29</v>
      </c>
      <c r="P18" s="133" t="s">
        <v>45</v>
      </c>
      <c r="Q18" s="102" t="s">
        <v>3</v>
      </c>
      <c r="R18" s="111" t="s">
        <v>46</v>
      </c>
      <c r="S18" s="111" t="s">
        <v>46</v>
      </c>
      <c r="T18" s="134">
        <v>102712379</v>
      </c>
      <c r="U18" s="135" t="s">
        <v>326</v>
      </c>
    </row>
    <row r="19" spans="1:21">
      <c r="A19" s="100">
        <v>15</v>
      </c>
      <c r="B19" s="136">
        <v>45148</v>
      </c>
      <c r="C19" s="137">
        <v>45099</v>
      </c>
      <c r="D19" s="138" t="s">
        <v>129</v>
      </c>
      <c r="E19" s="138" t="s">
        <v>402</v>
      </c>
      <c r="F19" s="139">
        <v>112570041</v>
      </c>
      <c r="G19" s="140" t="s">
        <v>335</v>
      </c>
      <c r="H19" s="141" t="s">
        <v>336</v>
      </c>
      <c r="I19" s="139">
        <v>396207</v>
      </c>
      <c r="J19" s="141" t="s">
        <v>3</v>
      </c>
      <c r="K19" s="141" t="s">
        <v>92</v>
      </c>
      <c r="L19" s="138" t="s">
        <v>337</v>
      </c>
      <c r="M19" s="142" t="s">
        <v>338</v>
      </c>
      <c r="N19" s="143">
        <v>984884901</v>
      </c>
      <c r="O19" s="144">
        <v>29</v>
      </c>
      <c r="P19" s="145" t="s">
        <v>45</v>
      </c>
      <c r="Q19" s="145" t="s">
        <v>3</v>
      </c>
      <c r="R19" s="143"/>
      <c r="S19" s="143"/>
      <c r="T19" s="146">
        <v>98488490</v>
      </c>
      <c r="U19" s="147" t="s">
        <v>339</v>
      </c>
    </row>
    <row r="20" spans="1:21">
      <c r="A20" s="100">
        <v>16</v>
      </c>
      <c r="B20" s="117">
        <v>45148</v>
      </c>
      <c r="C20" s="118">
        <v>45146</v>
      </c>
      <c r="D20" s="119" t="s">
        <v>294</v>
      </c>
      <c r="E20" s="119" t="s">
        <v>340</v>
      </c>
      <c r="F20" s="120">
        <v>40197255</v>
      </c>
      <c r="G20" s="121" t="s">
        <v>341</v>
      </c>
      <c r="H20" s="109" t="s">
        <v>342</v>
      </c>
      <c r="I20" s="120">
        <v>393379</v>
      </c>
      <c r="J20" s="101" t="s">
        <v>3</v>
      </c>
      <c r="K20" s="101" t="s">
        <v>92</v>
      </c>
      <c r="L20" s="119" t="s">
        <v>343</v>
      </c>
      <c r="M20" s="122" t="s">
        <v>344</v>
      </c>
      <c r="N20" s="114">
        <v>999137292</v>
      </c>
      <c r="O20" s="123">
        <v>15</v>
      </c>
      <c r="P20" s="113" t="s">
        <v>45</v>
      </c>
      <c r="Q20" s="102" t="s">
        <v>3</v>
      </c>
      <c r="R20" s="114" t="s">
        <v>46</v>
      </c>
      <c r="S20" s="114" t="s">
        <v>46</v>
      </c>
      <c r="T20" s="124">
        <v>101854958</v>
      </c>
      <c r="U20" s="293" t="s">
        <v>345</v>
      </c>
    </row>
    <row r="21" spans="1:21">
      <c r="A21" s="100">
        <v>17</v>
      </c>
      <c r="B21" s="103">
        <v>45152</v>
      </c>
      <c r="C21" s="125">
        <v>45077</v>
      </c>
      <c r="D21" s="126" t="s">
        <v>19</v>
      </c>
      <c r="E21" s="126" t="s">
        <v>403</v>
      </c>
      <c r="F21" s="127">
        <v>40483182</v>
      </c>
      <c r="G21" s="128" t="s">
        <v>346</v>
      </c>
      <c r="H21" s="129" t="s">
        <v>347</v>
      </c>
      <c r="I21" s="127">
        <v>392021</v>
      </c>
      <c r="J21" s="101" t="s">
        <v>3</v>
      </c>
      <c r="K21" s="101" t="s">
        <v>92</v>
      </c>
      <c r="L21" s="126" t="s">
        <v>399</v>
      </c>
      <c r="M21" s="130" t="s">
        <v>348</v>
      </c>
      <c r="N21" s="131">
        <v>985563539</v>
      </c>
      <c r="O21" s="132">
        <v>45</v>
      </c>
      <c r="P21" s="133" t="s">
        <v>45</v>
      </c>
      <c r="Q21" s="102" t="s">
        <v>3</v>
      </c>
      <c r="R21" s="111" t="s">
        <v>46</v>
      </c>
      <c r="S21" s="111" t="s">
        <v>46</v>
      </c>
      <c r="T21" s="134">
        <v>1717482119</v>
      </c>
      <c r="U21" s="135" t="s">
        <v>349</v>
      </c>
    </row>
    <row r="22" spans="1:21">
      <c r="A22" s="100">
        <v>18</v>
      </c>
      <c r="B22" s="136">
        <v>45155</v>
      </c>
      <c r="C22" s="137">
        <v>45110</v>
      </c>
      <c r="D22" s="138" t="s">
        <v>109</v>
      </c>
      <c r="E22" s="138" t="s">
        <v>350</v>
      </c>
      <c r="F22" s="139">
        <v>40211501</v>
      </c>
      <c r="G22" s="140" t="s">
        <v>351</v>
      </c>
      <c r="H22" s="141" t="s">
        <v>352</v>
      </c>
      <c r="I22" s="139">
        <v>385270</v>
      </c>
      <c r="J22" s="141" t="s">
        <v>3</v>
      </c>
      <c r="K22" s="141" t="s">
        <v>92</v>
      </c>
      <c r="L22" s="138" t="s">
        <v>411</v>
      </c>
      <c r="M22" s="142" t="s">
        <v>353</v>
      </c>
      <c r="N22" s="143">
        <v>987918492</v>
      </c>
      <c r="O22" s="144">
        <v>29</v>
      </c>
      <c r="P22" s="145" t="s">
        <v>45</v>
      </c>
      <c r="Q22" s="145" t="s">
        <v>3</v>
      </c>
      <c r="R22" s="143"/>
      <c r="S22" s="143"/>
      <c r="T22" s="146">
        <v>104134416</v>
      </c>
      <c r="U22" s="147" t="s">
        <v>354</v>
      </c>
    </row>
    <row r="27" spans="1:21">
      <c r="Q27" s="124">
        <v>301767281</v>
      </c>
    </row>
  </sheetData>
  <hyperlinks>
    <hyperlink ref="U6" r:id="rId1"/>
    <hyperlink ref="U7" r:id="rId2"/>
    <hyperlink ref="U8" r:id="rId3"/>
    <hyperlink ref="U9" r:id="rId4"/>
    <hyperlink ref="U10" r:id="rId5"/>
    <hyperlink ref="U11" r:id="rId6"/>
    <hyperlink ref="U12" r:id="rId7"/>
    <hyperlink ref="U13" r:id="rId8"/>
    <hyperlink ref="U14" r:id="rId9"/>
    <hyperlink ref="U15" r:id="rId10"/>
    <hyperlink ref="U17" r:id="rId11"/>
    <hyperlink ref="U18" r:id="rId12"/>
    <hyperlink ref="U19" r:id="rId13"/>
    <hyperlink ref="U20" r:id="rId14"/>
    <hyperlink ref="U21" r:id="rId15"/>
    <hyperlink ref="U22" r:id="rId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opLeftCell="A13" workbookViewId="0">
      <selection activeCell="E36" sqref="E36"/>
    </sheetView>
  </sheetViews>
  <sheetFormatPr baseColWidth="10" defaultRowHeight="15"/>
  <cols>
    <col min="2" max="2" width="11.85546875" bestFit="1" customWidth="1"/>
    <col min="3" max="3" width="17.5703125" customWidth="1"/>
    <col min="4" max="4" width="20.28515625" customWidth="1"/>
    <col min="6" max="6" width="26.28515625" customWidth="1"/>
    <col min="7" max="7" width="16.42578125" customWidth="1"/>
    <col min="12" max="12" width="19.85546875" customWidth="1"/>
    <col min="13" max="13" width="24.85546875" customWidth="1"/>
    <col min="15" max="15" width="14.7109375" customWidth="1"/>
    <col min="16" max="16" width="15.28515625" customWidth="1"/>
    <col min="19" max="19" width="18.85546875" customWidth="1"/>
    <col min="20" max="20" width="15" customWidth="1"/>
    <col min="21" max="21" width="29.42578125" customWidth="1"/>
  </cols>
  <sheetData>
    <row r="1" spans="1:22">
      <c r="A1" s="148"/>
    </row>
    <row r="2" spans="1:22">
      <c r="A2" s="148"/>
    </row>
    <row r="3" spans="1:22">
      <c r="A3" s="149"/>
      <c r="C3" s="150" t="s">
        <v>28</v>
      </c>
      <c r="E3" s="151"/>
      <c r="G3" s="152"/>
      <c r="H3" s="153"/>
      <c r="I3" s="154"/>
      <c r="J3" s="155"/>
      <c r="K3" s="153"/>
      <c r="L3" s="156"/>
      <c r="M3" s="156"/>
      <c r="N3" s="153"/>
      <c r="O3" s="157"/>
    </row>
    <row r="4" spans="1:22" ht="15.75">
      <c r="A4" s="149"/>
      <c r="C4" s="158" t="s">
        <v>1</v>
      </c>
      <c r="E4" s="153"/>
      <c r="G4" s="159" t="s">
        <v>47</v>
      </c>
      <c r="H4" s="160"/>
      <c r="I4" s="161"/>
      <c r="J4" s="162"/>
      <c r="K4" s="160"/>
      <c r="L4" s="163"/>
      <c r="M4" s="164"/>
      <c r="N4" s="153" t="s">
        <v>94</v>
      </c>
      <c r="O4" s="157"/>
      <c r="P4" s="165"/>
    </row>
    <row r="5" spans="1:22" ht="22.5">
      <c r="A5" s="166"/>
      <c r="B5" s="167" t="s">
        <v>31</v>
      </c>
      <c r="C5" s="168" t="s">
        <v>32</v>
      </c>
      <c r="D5" s="168" t="s">
        <v>6</v>
      </c>
      <c r="E5" s="169" t="s">
        <v>33</v>
      </c>
      <c r="F5" s="168" t="s">
        <v>34</v>
      </c>
      <c r="G5" s="169" t="s">
        <v>35</v>
      </c>
      <c r="H5" s="169" t="s">
        <v>10</v>
      </c>
      <c r="I5" s="168" t="s">
        <v>36</v>
      </c>
      <c r="J5" s="169" t="s">
        <v>37</v>
      </c>
      <c r="K5" s="168" t="s">
        <v>30</v>
      </c>
      <c r="L5" s="170" t="s">
        <v>14</v>
      </c>
      <c r="M5" s="170" t="s">
        <v>38</v>
      </c>
      <c r="N5" s="169" t="s">
        <v>16</v>
      </c>
      <c r="O5" s="171" t="s">
        <v>17</v>
      </c>
      <c r="P5" s="168" t="s">
        <v>39</v>
      </c>
      <c r="Q5" s="168" t="s">
        <v>40</v>
      </c>
      <c r="R5" s="167" t="s">
        <v>41</v>
      </c>
      <c r="S5" s="168" t="s">
        <v>42</v>
      </c>
      <c r="T5" s="167" t="s">
        <v>43</v>
      </c>
      <c r="U5" s="167" t="s">
        <v>44</v>
      </c>
      <c r="V5" s="172"/>
    </row>
    <row r="6" spans="1:22" ht="15.75">
      <c r="A6" s="173">
        <v>1</v>
      </c>
      <c r="B6" s="174">
        <v>45127</v>
      </c>
      <c r="C6" s="175" t="s">
        <v>294</v>
      </c>
      <c r="D6" s="175" t="s">
        <v>424</v>
      </c>
      <c r="E6" s="176">
        <v>112570073</v>
      </c>
      <c r="F6" s="177" t="s">
        <v>101</v>
      </c>
      <c r="G6" s="178" t="s">
        <v>102</v>
      </c>
      <c r="H6" s="175">
        <v>396692</v>
      </c>
      <c r="I6" s="175" t="s">
        <v>24</v>
      </c>
      <c r="J6" s="178" t="s">
        <v>21</v>
      </c>
      <c r="K6" s="179">
        <v>45127</v>
      </c>
      <c r="L6" s="180" t="s">
        <v>103</v>
      </c>
      <c r="M6" s="180" t="s">
        <v>104</v>
      </c>
      <c r="N6" s="175">
        <v>994719268</v>
      </c>
      <c r="O6" s="181">
        <v>20</v>
      </c>
      <c r="P6" s="178" t="s">
        <v>49</v>
      </c>
      <c r="Q6" s="178" t="s">
        <v>24</v>
      </c>
      <c r="R6" s="182"/>
      <c r="S6" s="175" t="s">
        <v>424</v>
      </c>
      <c r="T6" s="294" t="s">
        <v>105</v>
      </c>
      <c r="U6" s="295" t="s">
        <v>106</v>
      </c>
      <c r="V6" s="11"/>
    </row>
    <row r="7" spans="1:22" ht="15.75">
      <c r="A7" s="173">
        <v>2</v>
      </c>
      <c r="B7" s="174">
        <v>45127</v>
      </c>
      <c r="C7" s="175" t="s">
        <v>294</v>
      </c>
      <c r="D7" s="175" t="s">
        <v>424</v>
      </c>
      <c r="E7" s="176">
        <v>112930023</v>
      </c>
      <c r="F7" s="177" t="s">
        <v>107</v>
      </c>
      <c r="G7" s="178" t="s">
        <v>108</v>
      </c>
      <c r="H7" s="175">
        <v>398019</v>
      </c>
      <c r="I7" s="175" t="s">
        <v>24</v>
      </c>
      <c r="J7" s="178" t="s">
        <v>21</v>
      </c>
      <c r="K7" s="179">
        <v>45127</v>
      </c>
      <c r="L7" s="180" t="s">
        <v>103</v>
      </c>
      <c r="M7" s="180" t="s">
        <v>104</v>
      </c>
      <c r="N7" s="175">
        <v>994719268</v>
      </c>
      <c r="O7" s="181">
        <v>20</v>
      </c>
      <c r="P7" s="178" t="s">
        <v>49</v>
      </c>
      <c r="Q7" s="178" t="s">
        <v>24</v>
      </c>
      <c r="R7" s="182"/>
      <c r="S7" s="175" t="s">
        <v>424</v>
      </c>
      <c r="T7" s="294" t="s">
        <v>105</v>
      </c>
      <c r="U7" s="295" t="s">
        <v>106</v>
      </c>
      <c r="V7" s="11"/>
    </row>
    <row r="8" spans="1:22" ht="15.75">
      <c r="A8" s="173">
        <v>3</v>
      </c>
      <c r="B8" s="183">
        <v>45103</v>
      </c>
      <c r="C8" s="184" t="s">
        <v>109</v>
      </c>
      <c r="D8" s="184" t="s">
        <v>110</v>
      </c>
      <c r="E8" s="185">
        <v>40211660</v>
      </c>
      <c r="F8" s="186" t="s">
        <v>111</v>
      </c>
      <c r="G8" s="187" t="s">
        <v>112</v>
      </c>
      <c r="H8" s="184" t="s">
        <v>25</v>
      </c>
      <c r="I8" s="175" t="s">
        <v>24</v>
      </c>
      <c r="J8" s="178" t="s">
        <v>21</v>
      </c>
      <c r="K8" s="188">
        <v>45131</v>
      </c>
      <c r="L8" s="189" t="s">
        <v>113</v>
      </c>
      <c r="M8" s="189" t="s">
        <v>114</v>
      </c>
      <c r="N8" s="184">
        <v>2385302</v>
      </c>
      <c r="O8" s="190">
        <v>15</v>
      </c>
      <c r="P8" s="187" t="s">
        <v>49</v>
      </c>
      <c r="Q8" s="178" t="s">
        <v>24</v>
      </c>
      <c r="R8" s="191"/>
      <c r="S8" s="187" t="s">
        <v>110</v>
      </c>
      <c r="T8" s="187" t="s">
        <v>115</v>
      </c>
      <c r="U8" s="192"/>
      <c r="V8" s="11"/>
    </row>
    <row r="9" spans="1:22" ht="15.75">
      <c r="A9" s="173">
        <v>4</v>
      </c>
      <c r="B9" s="183">
        <v>45103</v>
      </c>
      <c r="C9" s="184" t="s">
        <v>109</v>
      </c>
      <c r="D9" s="184" t="s">
        <v>110</v>
      </c>
      <c r="E9" s="185">
        <v>41560142</v>
      </c>
      <c r="F9" s="186" t="s">
        <v>116</v>
      </c>
      <c r="G9" s="187" t="s">
        <v>117</v>
      </c>
      <c r="H9" s="184" t="s">
        <v>25</v>
      </c>
      <c r="I9" s="175" t="s">
        <v>24</v>
      </c>
      <c r="J9" s="178" t="s">
        <v>21</v>
      </c>
      <c r="K9" s="188">
        <v>45131</v>
      </c>
      <c r="L9" s="189" t="s">
        <v>113</v>
      </c>
      <c r="M9" s="189" t="s">
        <v>114</v>
      </c>
      <c r="N9" s="184">
        <v>2385302</v>
      </c>
      <c r="O9" s="190">
        <v>15</v>
      </c>
      <c r="P9" s="187" t="s">
        <v>49</v>
      </c>
      <c r="Q9" s="178" t="s">
        <v>24</v>
      </c>
      <c r="R9" s="191"/>
      <c r="S9" s="187" t="s">
        <v>110</v>
      </c>
      <c r="T9" s="187" t="s">
        <v>115</v>
      </c>
      <c r="U9" s="192"/>
      <c r="V9" s="11"/>
    </row>
    <row r="10" spans="1:22" ht="15.75">
      <c r="A10" s="173">
        <v>5</v>
      </c>
      <c r="B10" s="183">
        <v>45103</v>
      </c>
      <c r="C10" s="184" t="s">
        <v>109</v>
      </c>
      <c r="D10" s="184" t="s">
        <v>110</v>
      </c>
      <c r="E10" s="185">
        <v>40466241</v>
      </c>
      <c r="F10" s="186" t="s">
        <v>118</v>
      </c>
      <c r="G10" s="187" t="s">
        <v>119</v>
      </c>
      <c r="H10" s="184" t="s">
        <v>25</v>
      </c>
      <c r="I10" s="175" t="s">
        <v>24</v>
      </c>
      <c r="J10" s="178" t="s">
        <v>21</v>
      </c>
      <c r="K10" s="188">
        <v>45131</v>
      </c>
      <c r="L10" s="189" t="s">
        <v>113</v>
      </c>
      <c r="M10" s="189" t="s">
        <v>114</v>
      </c>
      <c r="N10" s="184">
        <v>2385302</v>
      </c>
      <c r="O10" s="190">
        <v>15</v>
      </c>
      <c r="P10" s="187" t="s">
        <v>49</v>
      </c>
      <c r="Q10" s="178" t="s">
        <v>24</v>
      </c>
      <c r="R10" s="191"/>
      <c r="S10" s="187" t="s">
        <v>110</v>
      </c>
      <c r="T10" s="187" t="s">
        <v>115</v>
      </c>
      <c r="U10" s="192"/>
      <c r="V10" s="11"/>
    </row>
    <row r="11" spans="1:22" ht="15.75">
      <c r="A11" s="173">
        <v>6</v>
      </c>
      <c r="B11" s="183">
        <v>45101</v>
      </c>
      <c r="C11" s="184" t="s">
        <v>19</v>
      </c>
      <c r="D11" s="184" t="s">
        <v>121</v>
      </c>
      <c r="E11" s="185">
        <v>111010028</v>
      </c>
      <c r="F11" s="186" t="s">
        <v>122</v>
      </c>
      <c r="G11" s="187" t="s">
        <v>123</v>
      </c>
      <c r="H11" s="184" t="s">
        <v>25</v>
      </c>
      <c r="I11" s="175" t="s">
        <v>24</v>
      </c>
      <c r="J11" s="178" t="s">
        <v>21</v>
      </c>
      <c r="K11" s="188">
        <v>45131</v>
      </c>
      <c r="L11" s="189" t="s">
        <v>120</v>
      </c>
      <c r="M11" s="189" t="s">
        <v>124</v>
      </c>
      <c r="N11" s="184">
        <v>992943322</v>
      </c>
      <c r="O11" s="190">
        <v>20</v>
      </c>
      <c r="P11" s="187" t="s">
        <v>49</v>
      </c>
      <c r="Q11" s="178" t="s">
        <v>24</v>
      </c>
      <c r="R11" s="191"/>
      <c r="S11" s="187" t="s">
        <v>121</v>
      </c>
      <c r="T11" s="187" t="s">
        <v>125</v>
      </c>
      <c r="U11" s="296" t="s">
        <v>126</v>
      </c>
      <c r="V11" s="11"/>
    </row>
    <row r="12" spans="1:22" ht="15.75">
      <c r="A12" s="173">
        <v>7</v>
      </c>
      <c r="B12" s="183">
        <v>45101</v>
      </c>
      <c r="C12" s="184" t="s">
        <v>19</v>
      </c>
      <c r="D12" s="184" t="s">
        <v>121</v>
      </c>
      <c r="E12" s="185">
        <v>40590835</v>
      </c>
      <c r="F12" s="186" t="s">
        <v>127</v>
      </c>
      <c r="G12" s="187" t="s">
        <v>128</v>
      </c>
      <c r="H12" s="184" t="s">
        <v>25</v>
      </c>
      <c r="I12" s="175" t="s">
        <v>24</v>
      </c>
      <c r="J12" s="178" t="s">
        <v>21</v>
      </c>
      <c r="K12" s="188">
        <v>45131</v>
      </c>
      <c r="L12" s="189" t="s">
        <v>120</v>
      </c>
      <c r="M12" s="189" t="s">
        <v>124</v>
      </c>
      <c r="N12" s="184">
        <v>992943322</v>
      </c>
      <c r="O12" s="190">
        <v>20</v>
      </c>
      <c r="P12" s="187" t="s">
        <v>49</v>
      </c>
      <c r="Q12" s="178" t="s">
        <v>24</v>
      </c>
      <c r="R12" s="191"/>
      <c r="S12" s="187" t="s">
        <v>121</v>
      </c>
      <c r="T12" s="187" t="s">
        <v>125</v>
      </c>
      <c r="U12" s="296" t="s">
        <v>126</v>
      </c>
    </row>
    <row r="13" spans="1:22" ht="15.75">
      <c r="A13" s="173">
        <v>8</v>
      </c>
      <c r="B13" s="183">
        <v>44900</v>
      </c>
      <c r="C13" s="184" t="s">
        <v>129</v>
      </c>
      <c r="D13" s="184" t="s">
        <v>130</v>
      </c>
      <c r="E13" s="185">
        <v>40483183</v>
      </c>
      <c r="F13" s="186" t="s">
        <v>131</v>
      </c>
      <c r="G13" s="187" t="s">
        <v>132</v>
      </c>
      <c r="H13" s="184" t="s">
        <v>25</v>
      </c>
      <c r="I13" s="175" t="s">
        <v>24</v>
      </c>
      <c r="J13" s="178" t="s">
        <v>21</v>
      </c>
      <c r="K13" s="188">
        <v>45132</v>
      </c>
      <c r="L13" s="189" t="s">
        <v>133</v>
      </c>
      <c r="M13" s="189" t="s">
        <v>134</v>
      </c>
      <c r="N13" s="184">
        <v>998600260</v>
      </c>
      <c r="O13" s="190">
        <v>30</v>
      </c>
      <c r="P13" s="187" t="s">
        <v>49</v>
      </c>
      <c r="Q13" s="178" t="s">
        <v>24</v>
      </c>
      <c r="R13" s="191"/>
      <c r="S13" s="184" t="s">
        <v>130</v>
      </c>
      <c r="T13" s="187" t="s">
        <v>135</v>
      </c>
      <c r="U13" s="296" t="s">
        <v>136</v>
      </c>
    </row>
    <row r="14" spans="1:22" ht="15.75">
      <c r="A14" s="173">
        <v>9</v>
      </c>
      <c r="B14" s="183">
        <v>44900</v>
      </c>
      <c r="C14" s="184" t="s">
        <v>129</v>
      </c>
      <c r="D14" s="184" t="s">
        <v>130</v>
      </c>
      <c r="E14" s="185">
        <v>112570126</v>
      </c>
      <c r="F14" s="186" t="s">
        <v>137</v>
      </c>
      <c r="G14" s="187" t="s">
        <v>138</v>
      </c>
      <c r="H14" s="184" t="s">
        <v>25</v>
      </c>
      <c r="I14" s="175" t="s">
        <v>24</v>
      </c>
      <c r="J14" s="178" t="s">
        <v>21</v>
      </c>
      <c r="K14" s="188">
        <v>45132</v>
      </c>
      <c r="L14" s="189" t="s">
        <v>133</v>
      </c>
      <c r="M14" s="189" t="s">
        <v>134</v>
      </c>
      <c r="N14" s="184">
        <v>998600260</v>
      </c>
      <c r="O14" s="190">
        <v>20</v>
      </c>
      <c r="P14" s="187" t="s">
        <v>49</v>
      </c>
      <c r="Q14" s="178" t="s">
        <v>24</v>
      </c>
      <c r="R14" s="191"/>
      <c r="S14" s="187" t="s">
        <v>130</v>
      </c>
      <c r="T14" s="187" t="s">
        <v>135</v>
      </c>
      <c r="U14" s="296" t="s">
        <v>136</v>
      </c>
    </row>
    <row r="15" spans="1:22" ht="15.75">
      <c r="A15" s="173">
        <v>10</v>
      </c>
      <c r="B15" s="183">
        <v>45121</v>
      </c>
      <c r="C15" s="184" t="s">
        <v>139</v>
      </c>
      <c r="D15" s="184" t="s">
        <v>419</v>
      </c>
      <c r="E15" s="185">
        <v>112610069</v>
      </c>
      <c r="F15" s="186" t="s">
        <v>141</v>
      </c>
      <c r="G15" s="187" t="s">
        <v>142</v>
      </c>
      <c r="H15" s="184">
        <v>396870</v>
      </c>
      <c r="I15" s="175" t="s">
        <v>24</v>
      </c>
      <c r="J15" s="178" t="s">
        <v>21</v>
      </c>
      <c r="K15" s="188">
        <v>45134</v>
      </c>
      <c r="L15" s="189" t="s">
        <v>143</v>
      </c>
      <c r="M15" s="189" t="s">
        <v>144</v>
      </c>
      <c r="N15" s="184">
        <v>998079078</v>
      </c>
      <c r="O15" s="190">
        <v>15</v>
      </c>
      <c r="P15" s="187" t="s">
        <v>49</v>
      </c>
      <c r="Q15" s="178" t="s">
        <v>24</v>
      </c>
      <c r="R15" s="191"/>
      <c r="S15" s="187" t="s">
        <v>140</v>
      </c>
      <c r="T15" s="187" t="s">
        <v>145</v>
      </c>
      <c r="U15" s="296" t="s">
        <v>146</v>
      </c>
    </row>
    <row r="16" spans="1:22" ht="15.75">
      <c r="A16" s="173">
        <v>11</v>
      </c>
      <c r="B16" s="183">
        <v>45121</v>
      </c>
      <c r="C16" s="184" t="s">
        <v>139</v>
      </c>
      <c r="D16" s="184" t="s">
        <v>419</v>
      </c>
      <c r="E16" s="185">
        <v>111030002</v>
      </c>
      <c r="F16" s="186" t="s">
        <v>147</v>
      </c>
      <c r="G16" s="187" t="s">
        <v>148</v>
      </c>
      <c r="H16" s="184">
        <v>398507</v>
      </c>
      <c r="I16" s="175" t="s">
        <v>24</v>
      </c>
      <c r="J16" s="178" t="s">
        <v>21</v>
      </c>
      <c r="K16" s="188">
        <v>45134</v>
      </c>
      <c r="L16" s="189" t="s">
        <v>143</v>
      </c>
      <c r="M16" s="189" t="s">
        <v>144</v>
      </c>
      <c r="N16" s="184">
        <v>998079078</v>
      </c>
      <c r="O16" s="190">
        <v>15</v>
      </c>
      <c r="P16" s="187" t="s">
        <v>49</v>
      </c>
      <c r="Q16" s="178" t="s">
        <v>24</v>
      </c>
      <c r="R16" s="191"/>
      <c r="S16" s="187" t="s">
        <v>140</v>
      </c>
      <c r="T16" s="187" t="s">
        <v>145</v>
      </c>
      <c r="U16" s="296" t="s">
        <v>146</v>
      </c>
    </row>
    <row r="17" spans="1:21" ht="15.75">
      <c r="A17" s="173">
        <v>12</v>
      </c>
      <c r="B17" s="183">
        <v>45121</v>
      </c>
      <c r="C17" s="184" t="s">
        <v>139</v>
      </c>
      <c r="D17" s="184" t="s">
        <v>140</v>
      </c>
      <c r="E17" s="185">
        <v>40782510</v>
      </c>
      <c r="F17" s="186" t="s">
        <v>149</v>
      </c>
      <c r="G17" s="187" t="s">
        <v>150</v>
      </c>
      <c r="H17" s="184" t="s">
        <v>25</v>
      </c>
      <c r="I17" s="175" t="s">
        <v>24</v>
      </c>
      <c r="J17" s="178" t="s">
        <v>21</v>
      </c>
      <c r="K17" s="188">
        <v>45134</v>
      </c>
      <c r="L17" s="189" t="s">
        <v>143</v>
      </c>
      <c r="M17" s="189" t="s">
        <v>144</v>
      </c>
      <c r="N17" s="184">
        <v>998079078</v>
      </c>
      <c r="O17" s="190">
        <v>15</v>
      </c>
      <c r="P17" s="187" t="s">
        <v>49</v>
      </c>
      <c r="Q17" s="178" t="s">
        <v>24</v>
      </c>
      <c r="R17" s="191"/>
      <c r="S17" s="187" t="s">
        <v>140</v>
      </c>
      <c r="T17" s="187" t="s">
        <v>145</v>
      </c>
      <c r="U17" s="296" t="s">
        <v>146</v>
      </c>
    </row>
    <row r="18" spans="1:21" ht="15.75">
      <c r="A18" s="173">
        <v>13</v>
      </c>
      <c r="B18" s="183">
        <v>45072</v>
      </c>
      <c r="C18" s="184" t="s">
        <v>19</v>
      </c>
      <c r="D18" s="184" t="s">
        <v>361</v>
      </c>
      <c r="E18" s="185">
        <v>113430016</v>
      </c>
      <c r="F18" s="186" t="s">
        <v>151</v>
      </c>
      <c r="G18" s="187" t="s">
        <v>152</v>
      </c>
      <c r="H18" s="184" t="s">
        <v>25</v>
      </c>
      <c r="I18" s="175" t="s">
        <v>24</v>
      </c>
      <c r="J18" s="178" t="s">
        <v>21</v>
      </c>
      <c r="K18" s="188">
        <v>45140</v>
      </c>
      <c r="L18" s="189" t="s">
        <v>153</v>
      </c>
      <c r="M18" s="189" t="s">
        <v>154</v>
      </c>
      <c r="N18" s="184">
        <v>984843615</v>
      </c>
      <c r="O18" s="190">
        <v>20</v>
      </c>
      <c r="P18" s="187" t="s">
        <v>49</v>
      </c>
      <c r="Q18" s="178" t="s">
        <v>24</v>
      </c>
      <c r="R18" s="191"/>
      <c r="S18" s="184" t="s">
        <v>361</v>
      </c>
      <c r="T18" s="187" t="s">
        <v>155</v>
      </c>
      <c r="U18" s="296" t="s">
        <v>156</v>
      </c>
    </row>
    <row r="19" spans="1:21" ht="15.75">
      <c r="A19" s="173">
        <v>14</v>
      </c>
      <c r="B19" s="183">
        <v>45072</v>
      </c>
      <c r="C19" s="184" t="s">
        <v>19</v>
      </c>
      <c r="D19" s="184" t="s">
        <v>361</v>
      </c>
      <c r="E19" s="185">
        <v>112570073</v>
      </c>
      <c r="F19" s="186" t="s">
        <v>157</v>
      </c>
      <c r="G19" s="187" t="s">
        <v>158</v>
      </c>
      <c r="H19" s="184" t="s">
        <v>25</v>
      </c>
      <c r="I19" s="175" t="s">
        <v>24</v>
      </c>
      <c r="J19" s="178" t="s">
        <v>21</v>
      </c>
      <c r="K19" s="188">
        <v>45140</v>
      </c>
      <c r="L19" s="189" t="s">
        <v>153</v>
      </c>
      <c r="M19" s="189" t="s">
        <v>154</v>
      </c>
      <c r="N19" s="184">
        <v>984843615</v>
      </c>
      <c r="O19" s="190">
        <v>20</v>
      </c>
      <c r="P19" s="187" t="s">
        <v>49</v>
      </c>
      <c r="Q19" s="178" t="s">
        <v>24</v>
      </c>
      <c r="R19" s="191"/>
      <c r="S19" s="184" t="s">
        <v>361</v>
      </c>
      <c r="T19" s="187" t="s">
        <v>155</v>
      </c>
      <c r="U19" s="296" t="s">
        <v>156</v>
      </c>
    </row>
    <row r="20" spans="1:21" ht="15.75">
      <c r="A20" s="173">
        <v>15</v>
      </c>
      <c r="B20" s="183">
        <v>44896</v>
      </c>
      <c r="C20" s="184" t="s">
        <v>19</v>
      </c>
      <c r="D20" s="184" t="s">
        <v>159</v>
      </c>
      <c r="E20" s="185">
        <v>40584202</v>
      </c>
      <c r="F20" s="186" t="s">
        <v>160</v>
      </c>
      <c r="G20" s="187" t="s">
        <v>161</v>
      </c>
      <c r="H20" s="184">
        <v>376735</v>
      </c>
      <c r="I20" s="175" t="s">
        <v>24</v>
      </c>
      <c r="J20" s="178" t="s">
        <v>21</v>
      </c>
      <c r="K20" s="188">
        <v>45141</v>
      </c>
      <c r="L20" s="189" t="s">
        <v>162</v>
      </c>
      <c r="M20" s="189" t="s">
        <v>163</v>
      </c>
      <c r="N20" s="184">
        <v>2241661</v>
      </c>
      <c r="O20" s="190">
        <v>15</v>
      </c>
      <c r="P20" s="187" t="s">
        <v>49</v>
      </c>
      <c r="Q20" s="178" t="s">
        <v>24</v>
      </c>
      <c r="R20" s="191"/>
      <c r="S20" s="187" t="s">
        <v>159</v>
      </c>
      <c r="T20" s="187" t="s">
        <v>164</v>
      </c>
      <c r="U20" s="296" t="s">
        <v>165</v>
      </c>
    </row>
    <row r="21" spans="1:21" ht="15.75">
      <c r="A21" s="173">
        <v>16</v>
      </c>
      <c r="B21" s="183">
        <v>44896</v>
      </c>
      <c r="C21" s="184" t="s">
        <v>19</v>
      </c>
      <c r="D21" s="184" t="s">
        <v>159</v>
      </c>
      <c r="E21" s="185">
        <v>111000051</v>
      </c>
      <c r="F21" s="186" t="s">
        <v>166</v>
      </c>
      <c r="G21" s="187" t="s">
        <v>167</v>
      </c>
      <c r="H21" s="184">
        <v>392534</v>
      </c>
      <c r="I21" s="175" t="s">
        <v>24</v>
      </c>
      <c r="J21" s="178" t="s">
        <v>21</v>
      </c>
      <c r="K21" s="188">
        <v>45141</v>
      </c>
      <c r="L21" s="189" t="s">
        <v>162</v>
      </c>
      <c r="M21" s="189" t="s">
        <v>163</v>
      </c>
      <c r="N21" s="184">
        <v>2241661</v>
      </c>
      <c r="O21" s="190">
        <v>15</v>
      </c>
      <c r="P21" s="187" t="s">
        <v>49</v>
      </c>
      <c r="Q21" s="178" t="s">
        <v>24</v>
      </c>
      <c r="R21" s="191"/>
      <c r="S21" s="187" t="s">
        <v>159</v>
      </c>
      <c r="T21" s="187" t="s">
        <v>164</v>
      </c>
      <c r="U21" s="296" t="s">
        <v>165</v>
      </c>
    </row>
    <row r="22" spans="1:21" ht="15.75">
      <c r="A22" s="173">
        <v>17</v>
      </c>
      <c r="B22" s="183">
        <v>44896</v>
      </c>
      <c r="C22" s="184" t="s">
        <v>19</v>
      </c>
      <c r="D22" s="184" t="s">
        <v>360</v>
      </c>
      <c r="E22" s="185">
        <v>112570128</v>
      </c>
      <c r="F22" s="186" t="s">
        <v>168</v>
      </c>
      <c r="G22" s="187" t="s">
        <v>169</v>
      </c>
      <c r="H22" s="184" t="s">
        <v>25</v>
      </c>
      <c r="I22" s="175" t="s">
        <v>24</v>
      </c>
      <c r="J22" s="178" t="s">
        <v>21</v>
      </c>
      <c r="K22" s="188">
        <v>45141</v>
      </c>
      <c r="L22" s="189" t="s">
        <v>162</v>
      </c>
      <c r="M22" s="189" t="s">
        <v>163</v>
      </c>
      <c r="N22" s="184">
        <v>2241661</v>
      </c>
      <c r="O22" s="190">
        <v>15</v>
      </c>
      <c r="P22" s="187" t="s">
        <v>49</v>
      </c>
      <c r="Q22" s="178" t="s">
        <v>24</v>
      </c>
      <c r="R22" s="191"/>
      <c r="S22" s="187" t="s">
        <v>159</v>
      </c>
      <c r="T22" s="187" t="s">
        <v>164</v>
      </c>
      <c r="U22" s="296" t="s">
        <v>165</v>
      </c>
    </row>
    <row r="23" spans="1:21" ht="15.75">
      <c r="A23" s="173">
        <v>18</v>
      </c>
      <c r="B23" s="183">
        <v>44896</v>
      </c>
      <c r="C23" s="184" t="s">
        <v>19</v>
      </c>
      <c r="D23" s="184" t="s">
        <v>396</v>
      </c>
      <c r="E23" s="185">
        <v>40485141</v>
      </c>
      <c r="F23" s="186" t="s">
        <v>170</v>
      </c>
      <c r="G23" s="187" t="s">
        <v>171</v>
      </c>
      <c r="H23" s="184" t="s">
        <v>25</v>
      </c>
      <c r="I23" s="175" t="s">
        <v>24</v>
      </c>
      <c r="J23" s="178" t="s">
        <v>21</v>
      </c>
      <c r="K23" s="188">
        <v>45141</v>
      </c>
      <c r="L23" s="189" t="s">
        <v>162</v>
      </c>
      <c r="M23" s="189" t="s">
        <v>163</v>
      </c>
      <c r="N23" s="184">
        <v>2241661</v>
      </c>
      <c r="O23" s="190">
        <v>30</v>
      </c>
      <c r="P23" s="187" t="s">
        <v>49</v>
      </c>
      <c r="Q23" s="178" t="s">
        <v>24</v>
      </c>
      <c r="R23" s="191"/>
      <c r="S23" s="187" t="s">
        <v>159</v>
      </c>
      <c r="T23" s="187" t="s">
        <v>164</v>
      </c>
      <c r="U23" s="296" t="s">
        <v>165</v>
      </c>
    </row>
    <row r="24" spans="1:21" ht="15.75">
      <c r="A24" s="173">
        <v>19</v>
      </c>
      <c r="B24" s="183">
        <v>45114</v>
      </c>
      <c r="C24" s="184" t="s">
        <v>184</v>
      </c>
      <c r="D24" s="184" t="s">
        <v>359</v>
      </c>
      <c r="E24" s="185">
        <v>112580027</v>
      </c>
      <c r="F24" s="186" t="s">
        <v>172</v>
      </c>
      <c r="G24" s="187" t="s">
        <v>173</v>
      </c>
      <c r="H24" s="184" t="s">
        <v>25</v>
      </c>
      <c r="I24" s="175" t="s">
        <v>24</v>
      </c>
      <c r="J24" s="178" t="s">
        <v>21</v>
      </c>
      <c r="K24" s="188">
        <v>45141</v>
      </c>
      <c r="L24" s="189" t="s">
        <v>174</v>
      </c>
      <c r="M24" s="189" t="s">
        <v>175</v>
      </c>
      <c r="N24" s="184">
        <v>998029177</v>
      </c>
      <c r="O24" s="190">
        <v>20</v>
      </c>
      <c r="P24" s="187" t="s">
        <v>49</v>
      </c>
      <c r="Q24" s="178" t="s">
        <v>24</v>
      </c>
      <c r="R24" s="191"/>
      <c r="S24" s="184" t="s">
        <v>359</v>
      </c>
      <c r="T24" s="187" t="s">
        <v>176</v>
      </c>
      <c r="U24" s="296" t="s">
        <v>177</v>
      </c>
    </row>
    <row r="25" spans="1:21" ht="15.75">
      <c r="A25" s="173">
        <v>20</v>
      </c>
      <c r="B25" s="183">
        <v>45114</v>
      </c>
      <c r="C25" s="184" t="s">
        <v>184</v>
      </c>
      <c r="D25" s="184" t="s">
        <v>359</v>
      </c>
      <c r="E25" s="185">
        <v>40466241</v>
      </c>
      <c r="F25" s="186" t="s">
        <v>118</v>
      </c>
      <c r="G25" s="187" t="s">
        <v>178</v>
      </c>
      <c r="H25" s="184" t="s">
        <v>25</v>
      </c>
      <c r="I25" s="175" t="s">
        <v>24</v>
      </c>
      <c r="J25" s="178" t="s">
        <v>21</v>
      </c>
      <c r="K25" s="188">
        <v>45141</v>
      </c>
      <c r="L25" s="189" t="s">
        <v>174</v>
      </c>
      <c r="M25" s="189" t="s">
        <v>175</v>
      </c>
      <c r="N25" s="184">
        <v>998029177</v>
      </c>
      <c r="O25" s="190">
        <v>20</v>
      </c>
      <c r="P25" s="187" t="s">
        <v>49</v>
      </c>
      <c r="Q25" s="178" t="s">
        <v>24</v>
      </c>
      <c r="R25" s="191"/>
      <c r="S25" s="184" t="s">
        <v>359</v>
      </c>
      <c r="T25" s="187" t="s">
        <v>176</v>
      </c>
      <c r="U25" s="296" t="s">
        <v>177</v>
      </c>
    </row>
    <row r="26" spans="1:21" ht="15.75">
      <c r="A26" s="173">
        <v>21</v>
      </c>
      <c r="B26" s="183">
        <v>45133</v>
      </c>
      <c r="C26" s="184" t="s">
        <v>294</v>
      </c>
      <c r="D26" s="184" t="s">
        <v>358</v>
      </c>
      <c r="E26" s="185">
        <v>111000059</v>
      </c>
      <c r="F26" s="186" t="s">
        <v>179</v>
      </c>
      <c r="G26" s="187" t="s">
        <v>180</v>
      </c>
      <c r="H26" s="184" t="s">
        <v>25</v>
      </c>
      <c r="I26" s="175" t="s">
        <v>24</v>
      </c>
      <c r="J26" s="178" t="s">
        <v>21</v>
      </c>
      <c r="K26" s="188">
        <v>45146</v>
      </c>
      <c r="L26" s="189" t="s">
        <v>181</v>
      </c>
      <c r="M26" s="189" t="s">
        <v>405</v>
      </c>
      <c r="N26" s="184">
        <v>72815194</v>
      </c>
      <c r="O26" s="190">
        <v>15</v>
      </c>
      <c r="P26" s="187" t="s">
        <v>49</v>
      </c>
      <c r="Q26" s="178" t="s">
        <v>24</v>
      </c>
      <c r="R26" s="191"/>
      <c r="S26" s="187" t="s">
        <v>358</v>
      </c>
      <c r="T26" s="187" t="s">
        <v>406</v>
      </c>
      <c r="U26" s="192"/>
    </row>
    <row r="27" spans="1:21" ht="15.75">
      <c r="A27" s="173">
        <v>22</v>
      </c>
      <c r="B27" s="183">
        <v>45133</v>
      </c>
      <c r="C27" s="184" t="s">
        <v>294</v>
      </c>
      <c r="D27" s="184" t="s">
        <v>358</v>
      </c>
      <c r="E27" s="185">
        <v>112030009</v>
      </c>
      <c r="F27" s="186" t="s">
        <v>182</v>
      </c>
      <c r="G27" s="187" t="s">
        <v>187</v>
      </c>
      <c r="H27" s="184" t="s">
        <v>25</v>
      </c>
      <c r="I27" s="175" t="s">
        <v>24</v>
      </c>
      <c r="J27" s="178" t="s">
        <v>21</v>
      </c>
      <c r="K27" s="188">
        <v>45146</v>
      </c>
      <c r="L27" s="189" t="s">
        <v>181</v>
      </c>
      <c r="M27" s="189" t="s">
        <v>405</v>
      </c>
      <c r="N27" s="184">
        <v>72815194</v>
      </c>
      <c r="O27" s="190">
        <v>15</v>
      </c>
      <c r="P27" s="187" t="s">
        <v>49</v>
      </c>
      <c r="Q27" s="178" t="s">
        <v>24</v>
      </c>
      <c r="R27" s="191"/>
      <c r="S27" s="187" t="s">
        <v>358</v>
      </c>
      <c r="T27" s="187" t="s">
        <v>406</v>
      </c>
      <c r="U27" s="192"/>
    </row>
    <row r="28" spans="1:21" ht="15.75">
      <c r="A28" s="173">
        <v>23</v>
      </c>
      <c r="B28" s="183">
        <v>45133</v>
      </c>
      <c r="C28" s="184" t="s">
        <v>294</v>
      </c>
      <c r="D28" s="184" t="s">
        <v>358</v>
      </c>
      <c r="E28" s="185">
        <v>40782128</v>
      </c>
      <c r="F28" s="186" t="s">
        <v>183</v>
      </c>
      <c r="G28" s="187" t="s">
        <v>186</v>
      </c>
      <c r="H28" s="184" t="s">
        <v>25</v>
      </c>
      <c r="I28" s="175" t="s">
        <v>24</v>
      </c>
      <c r="J28" s="178" t="s">
        <v>21</v>
      </c>
      <c r="K28" s="188">
        <v>45146</v>
      </c>
      <c r="L28" s="189" t="s">
        <v>181</v>
      </c>
      <c r="M28" s="189" t="s">
        <v>405</v>
      </c>
      <c r="N28" s="184">
        <v>72815194</v>
      </c>
      <c r="O28" s="190">
        <v>15</v>
      </c>
      <c r="P28" s="187" t="s">
        <v>49</v>
      </c>
      <c r="Q28" s="178" t="s">
        <v>24</v>
      </c>
      <c r="R28" s="191"/>
      <c r="S28" s="187" t="s">
        <v>358</v>
      </c>
      <c r="T28" s="187" t="s">
        <v>406</v>
      </c>
      <c r="U28" s="192"/>
    </row>
    <row r="29" spans="1:21" ht="15.75">
      <c r="A29" s="173">
        <v>24</v>
      </c>
      <c r="B29" s="183">
        <v>45062</v>
      </c>
      <c r="C29" s="184" t="s">
        <v>184</v>
      </c>
      <c r="D29" s="184" t="s">
        <v>327</v>
      </c>
      <c r="E29" s="185">
        <v>40211660</v>
      </c>
      <c r="F29" s="186" t="s">
        <v>328</v>
      </c>
      <c r="G29" s="187" t="s">
        <v>329</v>
      </c>
      <c r="H29" s="184">
        <v>376959</v>
      </c>
      <c r="I29" s="175" t="s">
        <v>24</v>
      </c>
      <c r="J29" s="178" t="s">
        <v>21</v>
      </c>
      <c r="K29" s="188">
        <v>45147</v>
      </c>
      <c r="L29" s="189" t="s">
        <v>330</v>
      </c>
      <c r="M29" s="189" t="s">
        <v>331</v>
      </c>
      <c r="N29" s="184">
        <v>990024493</v>
      </c>
      <c r="O29" s="190">
        <v>20</v>
      </c>
      <c r="P29" s="187" t="s">
        <v>49</v>
      </c>
      <c r="Q29" s="178" t="s">
        <v>24</v>
      </c>
      <c r="R29" s="191"/>
      <c r="S29" s="187" t="s">
        <v>327</v>
      </c>
      <c r="T29" s="187" t="s">
        <v>332</v>
      </c>
      <c r="U29" s="296" t="s">
        <v>333</v>
      </c>
    </row>
    <row r="30" spans="1:21" ht="15.75">
      <c r="A30" s="173">
        <v>25</v>
      </c>
      <c r="B30" s="183">
        <v>45062</v>
      </c>
      <c r="C30" s="184" t="s">
        <v>184</v>
      </c>
      <c r="D30" s="184" t="s">
        <v>327</v>
      </c>
      <c r="E30" s="185">
        <v>40485141</v>
      </c>
      <c r="F30" s="186" t="s">
        <v>397</v>
      </c>
      <c r="G30" s="187" t="s">
        <v>334</v>
      </c>
      <c r="H30" s="184" t="s">
        <v>25</v>
      </c>
      <c r="I30" s="175" t="s">
        <v>24</v>
      </c>
      <c r="J30" s="178" t="s">
        <v>21</v>
      </c>
      <c r="K30" s="188">
        <v>45147</v>
      </c>
      <c r="L30" s="189" t="s">
        <v>330</v>
      </c>
      <c r="M30" s="189" t="s">
        <v>331</v>
      </c>
      <c r="N30" s="184">
        <v>990024493</v>
      </c>
      <c r="O30" s="190">
        <v>30</v>
      </c>
      <c r="P30" s="187" t="s">
        <v>49</v>
      </c>
      <c r="Q30" s="178" t="s">
        <v>24</v>
      </c>
      <c r="R30" s="191"/>
      <c r="S30" s="187" t="s">
        <v>327</v>
      </c>
      <c r="T30" s="187" t="s">
        <v>332</v>
      </c>
      <c r="U30" s="296" t="s">
        <v>333</v>
      </c>
    </row>
    <row r="31" spans="1:21" ht="15.75">
      <c r="A31" s="173">
        <v>26</v>
      </c>
      <c r="B31" s="183">
        <v>45059</v>
      </c>
      <c r="C31" s="184" t="s">
        <v>109</v>
      </c>
      <c r="D31" s="184" t="s">
        <v>426</v>
      </c>
      <c r="E31" s="185">
        <v>112570068</v>
      </c>
      <c r="F31" s="186" t="s">
        <v>185</v>
      </c>
      <c r="G31" s="187" t="s">
        <v>188</v>
      </c>
      <c r="H31" s="184" t="s">
        <v>25</v>
      </c>
      <c r="I31" s="175" t="s">
        <v>24</v>
      </c>
      <c r="J31" s="178" t="s">
        <v>21</v>
      </c>
      <c r="K31" s="188">
        <v>45152</v>
      </c>
      <c r="L31" s="189" t="s">
        <v>189</v>
      </c>
      <c r="M31" s="189" t="s">
        <v>190</v>
      </c>
      <c r="N31" s="184">
        <v>993511412</v>
      </c>
      <c r="O31" s="190">
        <v>15</v>
      </c>
      <c r="P31" s="187" t="s">
        <v>49</v>
      </c>
      <c r="Q31" s="178" t="s">
        <v>24</v>
      </c>
      <c r="R31" s="191"/>
      <c r="S31" s="184" t="s">
        <v>426</v>
      </c>
      <c r="T31" s="187" t="s">
        <v>191</v>
      </c>
      <c r="U31" s="192"/>
    </row>
    <row r="32" spans="1:21" ht="15.75">
      <c r="A32" s="173">
        <v>27</v>
      </c>
      <c r="B32" s="183">
        <v>45059</v>
      </c>
      <c r="C32" s="184" t="s">
        <v>184</v>
      </c>
      <c r="D32" s="184" t="s">
        <v>425</v>
      </c>
      <c r="E32" s="185">
        <v>40584202</v>
      </c>
      <c r="F32" s="186" t="s">
        <v>160</v>
      </c>
      <c r="G32" s="187" t="s">
        <v>192</v>
      </c>
      <c r="H32" s="184" t="s">
        <v>25</v>
      </c>
      <c r="I32" s="175" t="s">
        <v>24</v>
      </c>
      <c r="J32" s="178" t="s">
        <v>21</v>
      </c>
      <c r="K32" s="188">
        <v>45152</v>
      </c>
      <c r="L32" s="189" t="s">
        <v>189</v>
      </c>
      <c r="M32" s="189" t="s">
        <v>190</v>
      </c>
      <c r="N32" s="184">
        <v>993511412</v>
      </c>
      <c r="O32" s="190">
        <v>15</v>
      </c>
      <c r="P32" s="187" t="s">
        <v>49</v>
      </c>
      <c r="Q32" s="178" t="s">
        <v>24</v>
      </c>
      <c r="R32" s="191"/>
      <c r="S32" s="184" t="s">
        <v>425</v>
      </c>
      <c r="T32" s="187" t="s">
        <v>191</v>
      </c>
      <c r="U32" s="192"/>
    </row>
    <row r="33" spans="1:21" ht="15.75">
      <c r="A33" s="173">
        <v>28</v>
      </c>
      <c r="B33" s="183">
        <v>45059</v>
      </c>
      <c r="C33" s="184" t="s">
        <v>109</v>
      </c>
      <c r="D33" s="184" t="s">
        <v>426</v>
      </c>
      <c r="E33" s="185">
        <v>111000051</v>
      </c>
      <c r="F33" s="186" t="s">
        <v>193</v>
      </c>
      <c r="G33" s="187" t="s">
        <v>194</v>
      </c>
      <c r="H33" s="184" t="s">
        <v>25</v>
      </c>
      <c r="I33" s="175" t="s">
        <v>24</v>
      </c>
      <c r="J33" s="178" t="s">
        <v>21</v>
      </c>
      <c r="K33" s="188">
        <v>45152</v>
      </c>
      <c r="L33" s="189" t="s">
        <v>189</v>
      </c>
      <c r="M33" s="189" t="s">
        <v>190</v>
      </c>
      <c r="N33" s="184">
        <v>993511412</v>
      </c>
      <c r="O33" s="190">
        <v>15</v>
      </c>
      <c r="P33" s="187" t="s">
        <v>49</v>
      </c>
      <c r="Q33" s="178" t="s">
        <v>24</v>
      </c>
      <c r="R33" s="191"/>
      <c r="S33" s="184" t="s">
        <v>426</v>
      </c>
      <c r="T33" s="187" t="s">
        <v>191</v>
      </c>
      <c r="U33" s="192"/>
    </row>
    <row r="34" spans="1:21" ht="15.75">
      <c r="A34" s="173">
        <v>29</v>
      </c>
      <c r="B34" s="297">
        <v>45145</v>
      </c>
      <c r="C34" s="297" t="s">
        <v>129</v>
      </c>
      <c r="D34" s="184" t="s">
        <v>195</v>
      </c>
      <c r="E34" s="185">
        <v>112510035</v>
      </c>
      <c r="F34" s="186" t="s">
        <v>196</v>
      </c>
      <c r="G34" s="187" t="s">
        <v>197</v>
      </c>
      <c r="H34" s="184">
        <v>401982</v>
      </c>
      <c r="I34" s="175" t="s">
        <v>24</v>
      </c>
      <c r="J34" s="178" t="s">
        <v>21</v>
      </c>
      <c r="K34" s="188">
        <v>45152</v>
      </c>
      <c r="L34" s="189" t="s">
        <v>198</v>
      </c>
      <c r="M34" s="189" t="s">
        <v>199</v>
      </c>
      <c r="N34" s="184">
        <v>983884513</v>
      </c>
      <c r="O34" s="190">
        <v>20</v>
      </c>
      <c r="P34" s="187" t="s">
        <v>49</v>
      </c>
      <c r="Q34" s="178" t="s">
        <v>24</v>
      </c>
      <c r="R34" s="191"/>
      <c r="S34" s="187" t="s">
        <v>195</v>
      </c>
      <c r="T34" s="187" t="s">
        <v>200</v>
      </c>
      <c r="U34" s="296" t="s">
        <v>201</v>
      </c>
    </row>
    <row r="35" spans="1:21" ht="15.75">
      <c r="A35" s="173">
        <v>30</v>
      </c>
      <c r="B35" s="297">
        <v>45145</v>
      </c>
      <c r="C35" s="297" t="s">
        <v>129</v>
      </c>
      <c r="D35" s="184" t="s">
        <v>195</v>
      </c>
      <c r="E35" s="185">
        <v>41560074</v>
      </c>
      <c r="F35" s="186" t="s">
        <v>202</v>
      </c>
      <c r="G35" s="187" t="s">
        <v>203</v>
      </c>
      <c r="H35" s="184">
        <v>401974</v>
      </c>
      <c r="I35" s="175" t="s">
        <v>24</v>
      </c>
      <c r="J35" s="178" t="s">
        <v>21</v>
      </c>
      <c r="K35" s="188">
        <v>45152</v>
      </c>
      <c r="L35" s="189" t="s">
        <v>198</v>
      </c>
      <c r="M35" s="189" t="s">
        <v>199</v>
      </c>
      <c r="N35" s="184">
        <v>983884513</v>
      </c>
      <c r="O35" s="190">
        <v>20</v>
      </c>
      <c r="P35" s="187" t="s">
        <v>49</v>
      </c>
      <c r="Q35" s="178" t="s">
        <v>24</v>
      </c>
      <c r="R35" s="191"/>
      <c r="S35" s="187" t="s">
        <v>195</v>
      </c>
      <c r="T35" s="187" t="s">
        <v>200</v>
      </c>
      <c r="U35" s="296" t="s">
        <v>201</v>
      </c>
    </row>
    <row r="36" spans="1:21" ht="15.75">
      <c r="A36" s="173">
        <v>31</v>
      </c>
      <c r="B36" s="183">
        <v>45113</v>
      </c>
      <c r="C36" s="184" t="s">
        <v>19</v>
      </c>
      <c r="D36" s="184" t="s">
        <v>357</v>
      </c>
      <c r="E36" s="185">
        <v>40466111</v>
      </c>
      <c r="F36" s="186" t="s">
        <v>204</v>
      </c>
      <c r="G36" s="187" t="s">
        <v>205</v>
      </c>
      <c r="H36" s="184">
        <v>398854</v>
      </c>
      <c r="I36" s="175" t="s">
        <v>24</v>
      </c>
      <c r="J36" s="178" t="s">
        <v>21</v>
      </c>
      <c r="K36" s="188">
        <v>45153</v>
      </c>
      <c r="L36" s="189" t="s">
        <v>206</v>
      </c>
      <c r="M36" s="189" t="s">
        <v>207</v>
      </c>
      <c r="N36" s="184">
        <v>995142699</v>
      </c>
      <c r="O36" s="190">
        <v>15</v>
      </c>
      <c r="P36" s="187" t="s">
        <v>49</v>
      </c>
      <c r="Q36" s="178" t="s">
        <v>24</v>
      </c>
      <c r="R36" s="191"/>
      <c r="S36" s="184" t="s">
        <v>357</v>
      </c>
      <c r="T36" s="187" t="s">
        <v>208</v>
      </c>
      <c r="U36" s="296" t="s">
        <v>209</v>
      </c>
    </row>
    <row r="37" spans="1:21" ht="15.75">
      <c r="A37" s="173">
        <v>32</v>
      </c>
      <c r="B37" s="183">
        <v>45113</v>
      </c>
      <c r="C37" s="184" t="s">
        <v>19</v>
      </c>
      <c r="D37" s="184" t="s">
        <v>357</v>
      </c>
      <c r="E37" s="185">
        <v>11100051</v>
      </c>
      <c r="F37" s="186" t="s">
        <v>210</v>
      </c>
      <c r="G37" s="187" t="s">
        <v>211</v>
      </c>
      <c r="H37" s="184">
        <v>396263</v>
      </c>
      <c r="I37" s="175" t="s">
        <v>24</v>
      </c>
      <c r="J37" s="178" t="s">
        <v>21</v>
      </c>
      <c r="K37" s="188">
        <v>45153</v>
      </c>
      <c r="L37" s="189" t="s">
        <v>206</v>
      </c>
      <c r="M37" s="189" t="s">
        <v>207</v>
      </c>
      <c r="N37" s="184">
        <v>995142699</v>
      </c>
      <c r="O37" s="190">
        <v>15</v>
      </c>
      <c r="P37" s="187" t="s">
        <v>49</v>
      </c>
      <c r="Q37" s="178" t="s">
        <v>24</v>
      </c>
      <c r="R37" s="191"/>
      <c r="S37" s="184" t="s">
        <v>357</v>
      </c>
      <c r="T37" s="187" t="s">
        <v>208</v>
      </c>
      <c r="U37" s="296" t="s">
        <v>209</v>
      </c>
    </row>
    <row r="38" spans="1:21" ht="15.75">
      <c r="A38" s="173">
        <v>33</v>
      </c>
      <c r="B38" s="183">
        <v>45113</v>
      </c>
      <c r="C38" s="184" t="s">
        <v>19</v>
      </c>
      <c r="D38" s="184" t="s">
        <v>357</v>
      </c>
      <c r="E38" s="185">
        <v>40466111</v>
      </c>
      <c r="F38" s="186" t="s">
        <v>212</v>
      </c>
      <c r="G38" s="187" t="s">
        <v>213</v>
      </c>
      <c r="H38" s="184">
        <v>400036</v>
      </c>
      <c r="I38" s="175" t="s">
        <v>24</v>
      </c>
      <c r="J38" s="178" t="s">
        <v>21</v>
      </c>
      <c r="K38" s="188">
        <v>45153</v>
      </c>
      <c r="L38" s="189" t="s">
        <v>206</v>
      </c>
      <c r="M38" s="189" t="s">
        <v>207</v>
      </c>
      <c r="N38" s="184">
        <v>995142699</v>
      </c>
      <c r="O38" s="190">
        <v>15</v>
      </c>
      <c r="P38" s="187" t="s">
        <v>49</v>
      </c>
      <c r="Q38" s="178" t="s">
        <v>24</v>
      </c>
      <c r="R38" s="191"/>
      <c r="S38" s="184" t="s">
        <v>357</v>
      </c>
      <c r="T38" s="187" t="s">
        <v>208</v>
      </c>
      <c r="U38" s="296" t="s">
        <v>209</v>
      </c>
    </row>
    <row r="39" spans="1:21" ht="15.75">
      <c r="A39" s="173">
        <v>34</v>
      </c>
      <c r="B39" s="183">
        <v>45113</v>
      </c>
      <c r="C39" s="184" t="s">
        <v>19</v>
      </c>
      <c r="D39" s="184" t="s">
        <v>357</v>
      </c>
      <c r="E39" s="185">
        <v>112570068</v>
      </c>
      <c r="F39" s="186" t="s">
        <v>185</v>
      </c>
      <c r="G39" s="187" t="s">
        <v>214</v>
      </c>
      <c r="H39" s="184">
        <v>397247</v>
      </c>
      <c r="I39" s="175" t="s">
        <v>24</v>
      </c>
      <c r="J39" s="178" t="s">
        <v>21</v>
      </c>
      <c r="K39" s="188">
        <v>45153</v>
      </c>
      <c r="L39" s="189" t="s">
        <v>206</v>
      </c>
      <c r="M39" s="189" t="s">
        <v>207</v>
      </c>
      <c r="N39" s="184">
        <v>995142699</v>
      </c>
      <c r="O39" s="190">
        <v>15</v>
      </c>
      <c r="P39" s="187" t="s">
        <v>49</v>
      </c>
      <c r="Q39" s="178" t="s">
        <v>24</v>
      </c>
      <c r="R39" s="191"/>
      <c r="S39" s="184" t="s">
        <v>357</v>
      </c>
      <c r="T39" s="187" t="s">
        <v>208</v>
      </c>
      <c r="U39" s="296" t="s">
        <v>209</v>
      </c>
    </row>
    <row r="40" spans="1:21" ht="15.75">
      <c r="A40" s="173">
        <v>35</v>
      </c>
      <c r="B40" s="183">
        <v>45019</v>
      </c>
      <c r="C40" s="184" t="s">
        <v>19</v>
      </c>
      <c r="D40" s="184" t="s">
        <v>356</v>
      </c>
      <c r="E40" s="185">
        <v>40584202</v>
      </c>
      <c r="F40" s="186" t="s">
        <v>160</v>
      </c>
      <c r="G40" s="187" t="s">
        <v>215</v>
      </c>
      <c r="H40" s="184">
        <v>393761</v>
      </c>
      <c r="I40" s="175" t="s">
        <v>24</v>
      </c>
      <c r="J40" s="178" t="s">
        <v>21</v>
      </c>
      <c r="K40" s="188">
        <v>45154</v>
      </c>
      <c r="L40" s="189" t="s">
        <v>216</v>
      </c>
      <c r="M40" s="189" t="s">
        <v>217</v>
      </c>
      <c r="N40" s="184">
        <v>995930728</v>
      </c>
      <c r="O40" s="190">
        <v>15</v>
      </c>
      <c r="P40" s="187" t="s">
        <v>49</v>
      </c>
      <c r="Q40" s="178" t="s">
        <v>24</v>
      </c>
      <c r="R40" s="191"/>
      <c r="S40" s="184" t="s">
        <v>356</v>
      </c>
      <c r="T40" s="187" t="s">
        <v>218</v>
      </c>
      <c r="U40" s="296" t="s">
        <v>219</v>
      </c>
    </row>
    <row r="41" spans="1:21" ht="15.75">
      <c r="A41" s="173">
        <v>36</v>
      </c>
      <c r="B41" s="183">
        <v>45019</v>
      </c>
      <c r="C41" s="184" t="s">
        <v>19</v>
      </c>
      <c r="D41" s="184" t="s">
        <v>356</v>
      </c>
      <c r="E41" s="185">
        <v>41560061</v>
      </c>
      <c r="F41" s="186" t="s">
        <v>220</v>
      </c>
      <c r="G41" s="187" t="s">
        <v>222</v>
      </c>
      <c r="H41" s="184">
        <v>393761</v>
      </c>
      <c r="I41" s="175" t="s">
        <v>24</v>
      </c>
      <c r="J41" s="178" t="s">
        <v>21</v>
      </c>
      <c r="K41" s="188">
        <v>45154</v>
      </c>
      <c r="L41" s="189" t="s">
        <v>216</v>
      </c>
      <c r="M41" s="189" t="s">
        <v>217</v>
      </c>
      <c r="N41" s="184">
        <v>995930728</v>
      </c>
      <c r="O41" s="190">
        <v>15</v>
      </c>
      <c r="P41" s="187" t="s">
        <v>49</v>
      </c>
      <c r="Q41" s="178" t="s">
        <v>24</v>
      </c>
      <c r="R41" s="191"/>
      <c r="S41" s="184" t="s">
        <v>356</v>
      </c>
      <c r="T41" s="187" t="s">
        <v>218</v>
      </c>
      <c r="U41" s="296" t="s">
        <v>219</v>
      </c>
    </row>
    <row r="42" spans="1:21" ht="15.75">
      <c r="A42" s="173">
        <v>37</v>
      </c>
      <c r="B42" s="183">
        <v>45019</v>
      </c>
      <c r="C42" s="184" t="s">
        <v>19</v>
      </c>
      <c r="D42" s="184" t="s">
        <v>356</v>
      </c>
      <c r="E42" s="185">
        <v>112520025</v>
      </c>
      <c r="F42" s="186" t="s">
        <v>221</v>
      </c>
      <c r="G42" s="187" t="s">
        <v>223</v>
      </c>
      <c r="H42" s="184">
        <v>390922</v>
      </c>
      <c r="I42" s="175" t="s">
        <v>24</v>
      </c>
      <c r="J42" s="178" t="s">
        <v>21</v>
      </c>
      <c r="K42" s="188">
        <v>45154</v>
      </c>
      <c r="L42" s="189" t="s">
        <v>216</v>
      </c>
      <c r="M42" s="189" t="s">
        <v>217</v>
      </c>
      <c r="N42" s="184">
        <v>995930728</v>
      </c>
      <c r="O42" s="190">
        <v>15</v>
      </c>
      <c r="P42" s="187" t="s">
        <v>49</v>
      </c>
      <c r="Q42" s="178" t="s">
        <v>24</v>
      </c>
      <c r="R42" s="191"/>
      <c r="S42" s="184" t="s">
        <v>356</v>
      </c>
      <c r="T42" s="187" t="s">
        <v>218</v>
      </c>
      <c r="U42" s="296" t="s">
        <v>219</v>
      </c>
    </row>
    <row r="43" spans="1:21" ht="15.75">
      <c r="A43" s="173">
        <v>38</v>
      </c>
      <c r="B43" s="183">
        <v>45019</v>
      </c>
      <c r="C43" s="184" t="s">
        <v>19</v>
      </c>
      <c r="D43" s="184" t="s">
        <v>356</v>
      </c>
      <c r="E43" s="185">
        <v>113430016</v>
      </c>
      <c r="F43" s="186" t="s">
        <v>151</v>
      </c>
      <c r="G43" s="187" t="s">
        <v>224</v>
      </c>
      <c r="H43" s="184">
        <v>391338</v>
      </c>
      <c r="I43" s="175" t="s">
        <v>24</v>
      </c>
      <c r="J43" s="178" t="s">
        <v>21</v>
      </c>
      <c r="K43" s="188">
        <v>45154</v>
      </c>
      <c r="L43" s="189" t="s">
        <v>216</v>
      </c>
      <c r="M43" s="189" t="s">
        <v>217</v>
      </c>
      <c r="N43" s="184">
        <v>995930728</v>
      </c>
      <c r="O43" s="190">
        <v>15</v>
      </c>
      <c r="P43" s="187" t="s">
        <v>49</v>
      </c>
      <c r="Q43" s="178" t="s">
        <v>24</v>
      </c>
      <c r="R43" s="191"/>
      <c r="S43" s="184" t="s">
        <v>356</v>
      </c>
      <c r="T43" s="187" t="s">
        <v>218</v>
      </c>
      <c r="U43" s="296" t="s">
        <v>219</v>
      </c>
    </row>
    <row r="44" spans="1:21" ht="15.75">
      <c r="A44" s="173">
        <v>39</v>
      </c>
      <c r="B44" s="183">
        <v>45143</v>
      </c>
      <c r="C44" s="184" t="s">
        <v>19</v>
      </c>
      <c r="D44" s="184" t="s">
        <v>355</v>
      </c>
      <c r="E44" s="185">
        <v>112580027</v>
      </c>
      <c r="F44" s="186" t="s">
        <v>225</v>
      </c>
      <c r="G44" s="187" t="s">
        <v>226</v>
      </c>
      <c r="H44" s="184">
        <v>373064</v>
      </c>
      <c r="I44" s="175" t="s">
        <v>24</v>
      </c>
      <c r="J44" s="178" t="s">
        <v>21</v>
      </c>
      <c r="K44" s="188">
        <v>45155</v>
      </c>
      <c r="L44" s="189" t="s">
        <v>227</v>
      </c>
      <c r="M44" s="189" t="s">
        <v>228</v>
      </c>
      <c r="N44" s="184">
        <v>980330617</v>
      </c>
      <c r="O44" s="190">
        <v>20</v>
      </c>
      <c r="P44" s="187" t="s">
        <v>49</v>
      </c>
      <c r="Q44" s="178" t="s">
        <v>24</v>
      </c>
      <c r="R44" s="191"/>
      <c r="S44" s="184" t="s">
        <v>355</v>
      </c>
      <c r="T44" s="187" t="s">
        <v>229</v>
      </c>
      <c r="U44" s="296" t="s">
        <v>230</v>
      </c>
    </row>
    <row r="45" spans="1:21" ht="15.75">
      <c r="A45" s="173">
        <v>40</v>
      </c>
      <c r="B45" s="183">
        <v>45143</v>
      </c>
      <c r="C45" s="184" t="s">
        <v>19</v>
      </c>
      <c r="D45" s="184" t="s">
        <v>355</v>
      </c>
      <c r="E45" s="185">
        <v>40461543</v>
      </c>
      <c r="F45" s="186" t="s">
        <v>231</v>
      </c>
      <c r="G45" s="187" t="s">
        <v>232</v>
      </c>
      <c r="H45" s="184">
        <v>39770</v>
      </c>
      <c r="I45" s="175" t="s">
        <v>24</v>
      </c>
      <c r="J45" s="178" t="s">
        <v>21</v>
      </c>
      <c r="K45" s="188">
        <v>45155</v>
      </c>
      <c r="L45" s="189" t="s">
        <v>227</v>
      </c>
      <c r="M45" s="189" t="s">
        <v>228</v>
      </c>
      <c r="N45" s="184">
        <v>980330617</v>
      </c>
      <c r="O45" s="190">
        <v>20</v>
      </c>
      <c r="P45" s="187" t="s">
        <v>49</v>
      </c>
      <c r="Q45" s="178" t="s">
        <v>24</v>
      </c>
      <c r="R45" s="191"/>
      <c r="S45" s="184" t="s">
        <v>355</v>
      </c>
      <c r="T45" s="187" t="s">
        <v>229</v>
      </c>
      <c r="U45" s="296" t="s">
        <v>230</v>
      </c>
    </row>
    <row r="46" spans="1:21">
      <c r="O46" s="196">
        <f>SUM(O6:O45)</f>
        <v>715</v>
      </c>
    </row>
  </sheetData>
  <hyperlinks>
    <hyperlink ref="U6" r:id="rId1"/>
    <hyperlink ref="U7" r:id="rId2"/>
    <hyperlink ref="U11" r:id="rId3"/>
    <hyperlink ref="U12" r:id="rId4"/>
    <hyperlink ref="U13" r:id="rId5"/>
    <hyperlink ref="U14" r:id="rId6"/>
    <hyperlink ref="U15" r:id="rId7"/>
    <hyperlink ref="U16" r:id="rId8"/>
    <hyperlink ref="U17" r:id="rId9"/>
    <hyperlink ref="U18" r:id="rId10"/>
    <hyperlink ref="U19" r:id="rId11"/>
    <hyperlink ref="U20" r:id="rId12"/>
    <hyperlink ref="U21" r:id="rId13"/>
    <hyperlink ref="U22" r:id="rId14"/>
    <hyperlink ref="U23" r:id="rId15"/>
    <hyperlink ref="U24" r:id="rId16"/>
    <hyperlink ref="U25" r:id="rId17"/>
    <hyperlink ref="U34" r:id="rId18"/>
    <hyperlink ref="U35" r:id="rId19"/>
    <hyperlink ref="U36" r:id="rId20"/>
    <hyperlink ref="U37" r:id="rId21"/>
    <hyperlink ref="U38" r:id="rId22"/>
    <hyperlink ref="U39" r:id="rId23"/>
    <hyperlink ref="U40" r:id="rId24"/>
    <hyperlink ref="U41" r:id="rId25"/>
    <hyperlink ref="U42" r:id="rId26"/>
    <hyperlink ref="U43" r:id="rId27"/>
    <hyperlink ref="U44" r:id="rId28"/>
    <hyperlink ref="U45" r:id="rId29"/>
    <hyperlink ref="U29" r:id="rId30"/>
    <hyperlink ref="U30" r:id="rId31"/>
  </hyperlinks>
  <pageMargins left="0.7" right="0.7" top="0.75" bottom="0.75" header="0.3" footer="0.3"/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I15" sqref="I15"/>
    </sheetView>
  </sheetViews>
  <sheetFormatPr baseColWidth="10" defaultRowHeight="15"/>
  <cols>
    <col min="2" max="3" width="11.85546875" bestFit="1" customWidth="1"/>
    <col min="6" max="6" width="34.7109375" customWidth="1"/>
    <col min="8" max="8" width="27.28515625" customWidth="1"/>
    <col min="9" max="9" width="16.140625" customWidth="1"/>
    <col min="10" max="10" width="11.85546875" bestFit="1" customWidth="1"/>
    <col min="12" max="12" width="23.42578125" customWidth="1"/>
    <col min="13" max="13" width="19.5703125" customWidth="1"/>
    <col min="15" max="15" width="20.5703125" bestFit="1" customWidth="1"/>
  </cols>
  <sheetData>
    <row r="1" spans="1:18">
      <c r="A1" s="100"/>
      <c r="C1" s="193"/>
      <c r="D1" s="194"/>
      <c r="I1" s="195"/>
      <c r="K1" s="196"/>
      <c r="L1" s="196"/>
    </row>
    <row r="2" spans="1:18">
      <c r="A2" s="100"/>
      <c r="B2" s="148"/>
      <c r="C2" s="197" t="s">
        <v>28</v>
      </c>
      <c r="D2" s="198"/>
      <c r="E2" s="199"/>
      <c r="F2" s="200"/>
      <c r="G2" s="201"/>
      <c r="M2" s="202"/>
      <c r="O2" s="100"/>
    </row>
    <row r="3" spans="1:18">
      <c r="A3" s="100"/>
      <c r="B3" s="148"/>
      <c r="C3" s="203" t="s">
        <v>1</v>
      </c>
      <c r="D3" s="204"/>
      <c r="E3" s="205"/>
      <c r="F3" s="205"/>
      <c r="G3" s="201"/>
      <c r="M3" s="202"/>
      <c r="O3" s="100"/>
    </row>
    <row r="4" spans="1:18" ht="19.5">
      <c r="A4" s="100"/>
      <c r="B4" s="206" t="s">
        <v>50</v>
      </c>
      <c r="C4" s="207"/>
      <c r="D4" s="207"/>
      <c r="E4" s="208" t="s">
        <v>51</v>
      </c>
      <c r="F4" s="209"/>
      <c r="G4" s="208"/>
      <c r="H4" s="210"/>
      <c r="I4" s="207"/>
      <c r="J4" s="211"/>
      <c r="K4" s="211"/>
      <c r="L4" s="212"/>
      <c r="M4" s="213" t="s">
        <v>95</v>
      </c>
      <c r="O4" s="100"/>
    </row>
    <row r="5" spans="1:18">
      <c r="A5" s="100"/>
      <c r="B5" s="214" t="s">
        <v>52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6"/>
      <c r="O5" s="100"/>
    </row>
    <row r="6" spans="1:18">
      <c r="A6" s="100"/>
      <c r="B6" s="217" t="s">
        <v>96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9"/>
      <c r="O6" s="100"/>
    </row>
    <row r="7" spans="1:18" ht="23.25">
      <c r="A7" s="100"/>
      <c r="B7" s="220" t="s">
        <v>53</v>
      </c>
      <c r="C7" s="220" t="s">
        <v>54</v>
      </c>
      <c r="D7" s="220" t="s">
        <v>55</v>
      </c>
      <c r="E7" s="220" t="s">
        <v>56</v>
      </c>
      <c r="F7" s="220" t="s">
        <v>57</v>
      </c>
      <c r="G7" s="220" t="s">
        <v>58</v>
      </c>
      <c r="H7" s="220" t="s">
        <v>59</v>
      </c>
      <c r="I7" s="220" t="s">
        <v>60</v>
      </c>
      <c r="J7" s="220" t="s">
        <v>61</v>
      </c>
      <c r="K7" s="220" t="s">
        <v>62</v>
      </c>
      <c r="L7" s="220" t="s">
        <v>63</v>
      </c>
      <c r="M7" s="220" t="s">
        <v>64</v>
      </c>
      <c r="N7" s="220" t="s">
        <v>65</v>
      </c>
      <c r="O7" s="220" t="s">
        <v>66</v>
      </c>
      <c r="P7" s="220" t="s">
        <v>23</v>
      </c>
      <c r="Q7" s="220" t="s">
        <v>67</v>
      </c>
    </row>
    <row r="8" spans="1:18" ht="15.75">
      <c r="A8" s="221">
        <v>1</v>
      </c>
      <c r="B8" s="229">
        <v>45282</v>
      </c>
      <c r="C8" s="229">
        <v>45126</v>
      </c>
      <c r="D8" s="230">
        <v>1</v>
      </c>
      <c r="E8" s="231">
        <v>60803264</v>
      </c>
      <c r="F8" s="232" t="s">
        <v>363</v>
      </c>
      <c r="G8" s="231">
        <v>112500044</v>
      </c>
      <c r="H8" s="233" t="s">
        <v>243</v>
      </c>
      <c r="I8" s="229" t="s">
        <v>244</v>
      </c>
      <c r="J8" s="229" t="s">
        <v>25</v>
      </c>
      <c r="K8" s="222" t="s">
        <v>3</v>
      </c>
      <c r="L8" s="231" t="s">
        <v>245</v>
      </c>
      <c r="M8" s="231" t="s">
        <v>364</v>
      </c>
      <c r="N8" s="231">
        <v>12.5</v>
      </c>
      <c r="O8" s="234">
        <v>1308565058</v>
      </c>
      <c r="P8" s="299" t="s">
        <v>246</v>
      </c>
      <c r="Q8" s="231">
        <v>995838180</v>
      </c>
    </row>
    <row r="9" spans="1:18" ht="15.75">
      <c r="A9" s="221">
        <v>2</v>
      </c>
      <c r="B9" s="222">
        <v>44327</v>
      </c>
      <c r="C9" s="222">
        <v>45127</v>
      </c>
      <c r="D9" s="223">
        <v>1</v>
      </c>
      <c r="E9" s="224">
        <v>93172390</v>
      </c>
      <c r="F9" s="225" t="s">
        <v>233</v>
      </c>
      <c r="G9" s="224">
        <v>40584202</v>
      </c>
      <c r="H9" s="226" t="s">
        <v>160</v>
      </c>
      <c r="I9" s="222" t="s">
        <v>234</v>
      </c>
      <c r="J9" s="222" t="s">
        <v>25</v>
      </c>
      <c r="K9" s="222" t="s">
        <v>3</v>
      </c>
      <c r="L9" s="224" t="s">
        <v>237</v>
      </c>
      <c r="M9" s="224" t="s">
        <v>235</v>
      </c>
      <c r="N9" s="224">
        <v>15</v>
      </c>
      <c r="O9" s="227">
        <v>102902483</v>
      </c>
      <c r="P9" s="298" t="s">
        <v>236</v>
      </c>
      <c r="Q9" s="224">
        <v>998438244</v>
      </c>
      <c r="R9" s="228"/>
    </row>
    <row r="10" spans="1:18" ht="15.75">
      <c r="A10" s="221">
        <v>3</v>
      </c>
      <c r="B10" s="229">
        <v>44939</v>
      </c>
      <c r="C10" s="229">
        <v>45140</v>
      </c>
      <c r="D10" s="230">
        <v>1</v>
      </c>
      <c r="E10" s="231">
        <v>61865042</v>
      </c>
      <c r="F10" s="232" t="s">
        <v>238</v>
      </c>
      <c r="G10" s="231">
        <v>404773041</v>
      </c>
      <c r="H10" s="233" t="s">
        <v>239</v>
      </c>
      <c r="I10" s="229" t="s">
        <v>240</v>
      </c>
      <c r="J10" s="229" t="s">
        <v>25</v>
      </c>
      <c r="K10" s="222" t="s">
        <v>3</v>
      </c>
      <c r="L10" s="231" t="s">
        <v>241</v>
      </c>
      <c r="M10" s="231" t="s">
        <v>362</v>
      </c>
      <c r="N10" s="231">
        <v>12.5</v>
      </c>
      <c r="O10" s="234">
        <v>190505103001</v>
      </c>
      <c r="P10" s="299" t="s">
        <v>242</v>
      </c>
      <c r="Q10" s="231">
        <v>988930329</v>
      </c>
      <c r="R10" s="228"/>
    </row>
    <row r="11" spans="1:18" ht="15.75">
      <c r="A11" s="221">
        <v>4</v>
      </c>
      <c r="B11" s="229">
        <v>44981</v>
      </c>
      <c r="C11" s="229">
        <v>45146</v>
      </c>
      <c r="D11" s="230">
        <v>1</v>
      </c>
      <c r="E11" s="231"/>
      <c r="F11" s="232" t="s">
        <v>247</v>
      </c>
      <c r="G11" s="231">
        <v>4059083</v>
      </c>
      <c r="H11" s="233" t="s">
        <v>248</v>
      </c>
      <c r="I11" s="229" t="s">
        <v>249</v>
      </c>
      <c r="J11" s="229" t="s">
        <v>25</v>
      </c>
      <c r="K11" s="222" t="s">
        <v>3</v>
      </c>
      <c r="L11" s="231" t="s">
        <v>250</v>
      </c>
      <c r="M11" s="231" t="s">
        <v>251</v>
      </c>
      <c r="N11" s="231">
        <v>15</v>
      </c>
      <c r="O11" s="234">
        <v>953172433</v>
      </c>
      <c r="P11" s="231"/>
      <c r="Q11" s="231">
        <v>979340879</v>
      </c>
      <c r="R11" s="228"/>
    </row>
    <row r="12" spans="1:18" ht="15.75">
      <c r="A12" s="221">
        <v>5</v>
      </c>
      <c r="B12" s="235">
        <v>45103</v>
      </c>
      <c r="C12" s="235">
        <v>45152</v>
      </c>
      <c r="D12" s="236">
        <v>1</v>
      </c>
      <c r="E12" s="237"/>
      <c r="F12" s="238" t="s">
        <v>420</v>
      </c>
      <c r="G12" s="237">
        <v>41560142</v>
      </c>
      <c r="H12" s="239" t="s">
        <v>116</v>
      </c>
      <c r="I12" s="235" t="s">
        <v>117</v>
      </c>
      <c r="J12" s="235" t="s">
        <v>25</v>
      </c>
      <c r="K12" s="222" t="s">
        <v>3</v>
      </c>
      <c r="L12" s="237" t="s">
        <v>113</v>
      </c>
      <c r="M12" s="237" t="s">
        <v>420</v>
      </c>
      <c r="N12" s="237">
        <v>15</v>
      </c>
      <c r="O12" s="240">
        <v>101191559</v>
      </c>
      <c r="P12" s="237"/>
      <c r="Q12" s="237">
        <v>2385302</v>
      </c>
      <c r="R12" s="228"/>
    </row>
    <row r="13" spans="1:18" ht="15.75">
      <c r="A13" s="221">
        <v>6</v>
      </c>
      <c r="B13" s="235">
        <v>45145</v>
      </c>
      <c r="C13" s="235">
        <v>45156</v>
      </c>
      <c r="D13" s="236">
        <v>1</v>
      </c>
      <c r="E13" s="237"/>
      <c r="F13" s="238" t="s">
        <v>420</v>
      </c>
      <c r="G13" s="237">
        <v>41560074</v>
      </c>
      <c r="H13" s="239" t="s">
        <v>202</v>
      </c>
      <c r="I13" s="235" t="s">
        <v>203</v>
      </c>
      <c r="J13" s="235" t="s">
        <v>25</v>
      </c>
      <c r="K13" s="222" t="s">
        <v>3</v>
      </c>
      <c r="L13" s="237" t="s">
        <v>422</v>
      </c>
      <c r="M13" s="237" t="s">
        <v>423</v>
      </c>
      <c r="N13" s="237">
        <v>15</v>
      </c>
      <c r="O13" s="240">
        <v>944370840</v>
      </c>
      <c r="P13" s="381" t="s">
        <v>201</v>
      </c>
      <c r="Q13" s="237">
        <v>983884513</v>
      </c>
    </row>
    <row r="14" spans="1:18">
      <c r="A14" s="100"/>
    </row>
    <row r="15" spans="1:18">
      <c r="A15" s="243"/>
      <c r="B15" s="148"/>
      <c r="M15" s="195"/>
    </row>
    <row r="16" spans="1:18" ht="15.75">
      <c r="A16" s="243"/>
      <c r="B16" s="148"/>
      <c r="G16" s="241">
        <v>2</v>
      </c>
      <c r="H16" s="242" t="s">
        <v>253</v>
      </c>
      <c r="I16">
        <v>15</v>
      </c>
      <c r="J16">
        <v>30</v>
      </c>
      <c r="M16" s="195"/>
    </row>
    <row r="17" spans="1:13" ht="15.75">
      <c r="A17" s="243"/>
      <c r="B17" s="148"/>
      <c r="G17" s="241">
        <v>2</v>
      </c>
      <c r="H17" s="242" t="s">
        <v>252</v>
      </c>
      <c r="I17">
        <v>12.5</v>
      </c>
      <c r="J17">
        <f t="shared" ref="J17" si="0">I17*G17</f>
        <v>25</v>
      </c>
      <c r="M17" s="195"/>
    </row>
    <row r="18" spans="1:13" ht="15.75">
      <c r="A18" s="243"/>
      <c r="B18" s="148"/>
      <c r="G18" s="241">
        <v>2</v>
      </c>
      <c r="H18" s="380" t="s">
        <v>421</v>
      </c>
      <c r="I18">
        <v>15</v>
      </c>
      <c r="J18">
        <v>30</v>
      </c>
      <c r="M18" s="195"/>
    </row>
    <row r="19" spans="1:13">
      <c r="G19" s="244"/>
      <c r="J19">
        <f>SUM(J16:J18)</f>
        <v>85</v>
      </c>
    </row>
  </sheetData>
  <hyperlinks>
    <hyperlink ref="P9" r:id="rId1"/>
    <hyperlink ref="P10" r:id="rId2"/>
    <hyperlink ref="P8" r:id="rId3"/>
    <hyperlink ref="P13" r:id="rId4"/>
  </hyperlink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topLeftCell="A55" zoomScale="83" zoomScaleNormal="83" workbookViewId="0">
      <selection activeCell="P61" sqref="P61"/>
    </sheetView>
  </sheetViews>
  <sheetFormatPr baseColWidth="10" defaultRowHeight="15"/>
  <cols>
    <col min="2" max="2" width="15.7109375" customWidth="1"/>
    <col min="3" max="3" width="22.140625" customWidth="1"/>
    <col min="4" max="4" width="37.85546875" customWidth="1"/>
    <col min="5" max="5" width="15.28515625" customWidth="1"/>
    <col min="6" max="6" width="34.7109375" customWidth="1"/>
    <col min="7" max="7" width="19.42578125" customWidth="1"/>
    <col min="8" max="8" width="14.140625" customWidth="1"/>
    <col min="9" max="9" width="13.42578125" customWidth="1"/>
    <col min="13" max="13" width="17.85546875" customWidth="1"/>
    <col min="16" max="16" width="32" customWidth="1"/>
    <col min="17" max="17" width="16.42578125" customWidth="1"/>
  </cols>
  <sheetData>
    <row r="1" spans="1:20">
      <c r="A1" s="245"/>
      <c r="B1" s="246" t="s">
        <v>0</v>
      </c>
      <c r="C1" s="247"/>
      <c r="D1" s="247"/>
      <c r="E1" s="248"/>
      <c r="F1" s="249"/>
      <c r="G1" s="250"/>
      <c r="H1" s="250"/>
      <c r="I1" s="251"/>
      <c r="J1" s="252"/>
      <c r="K1" s="253"/>
      <c r="L1" s="253"/>
      <c r="M1" s="254"/>
      <c r="N1" s="253"/>
      <c r="O1" s="251"/>
      <c r="P1" s="250"/>
      <c r="Q1" s="245"/>
      <c r="R1" s="245"/>
    </row>
    <row r="2" spans="1:20">
      <c r="A2" s="245"/>
      <c r="B2" s="246" t="s">
        <v>68</v>
      </c>
      <c r="C2" s="247"/>
      <c r="D2" s="247"/>
      <c r="E2" s="248"/>
      <c r="F2" s="249"/>
      <c r="G2" s="250"/>
      <c r="H2" s="250"/>
      <c r="I2" s="251"/>
      <c r="J2" s="252"/>
      <c r="K2" s="253"/>
      <c r="L2" s="253"/>
      <c r="M2" s="255"/>
      <c r="N2" s="253"/>
      <c r="O2" s="251"/>
      <c r="P2" s="250"/>
      <c r="Q2" s="245"/>
      <c r="R2" s="245"/>
    </row>
    <row r="3" spans="1:20">
      <c r="A3" s="245"/>
      <c r="B3" s="246" t="s">
        <v>69</v>
      </c>
      <c r="C3" s="247"/>
      <c r="D3" s="247"/>
      <c r="E3" s="248"/>
      <c r="F3" s="249"/>
      <c r="G3" s="250"/>
      <c r="H3" s="250"/>
      <c r="I3" s="251"/>
      <c r="J3" s="252"/>
      <c r="K3" s="253"/>
      <c r="L3" s="253"/>
      <c r="M3" s="255"/>
      <c r="N3" s="253"/>
      <c r="O3" s="251"/>
      <c r="P3" s="250"/>
      <c r="Q3" s="245"/>
      <c r="R3" s="245"/>
    </row>
    <row r="4" spans="1:20">
      <c r="A4" s="245"/>
      <c r="B4" s="256" t="s">
        <v>70</v>
      </c>
      <c r="C4" s="257"/>
      <c r="D4" s="257"/>
      <c r="E4" s="258"/>
      <c r="F4" s="259"/>
      <c r="G4" s="260"/>
      <c r="H4" s="261" t="s">
        <v>71</v>
      </c>
      <c r="I4" s="262" t="s">
        <v>70</v>
      </c>
      <c r="J4" s="263" t="s">
        <v>72</v>
      </c>
      <c r="K4" s="258" t="s">
        <v>73</v>
      </c>
      <c r="L4" s="264"/>
      <c r="M4" s="265"/>
      <c r="N4" s="258"/>
      <c r="O4" s="256" t="s">
        <v>70</v>
      </c>
      <c r="P4" s="266"/>
      <c r="Q4" s="266"/>
      <c r="R4" s="267"/>
    </row>
    <row r="5" spans="1:20" ht="23.25">
      <c r="A5" s="245"/>
      <c r="B5" s="268"/>
      <c r="C5" s="269" t="s">
        <v>74</v>
      </c>
      <c r="D5" s="269" t="s">
        <v>75</v>
      </c>
      <c r="E5" s="270" t="s">
        <v>76</v>
      </c>
      <c r="F5" s="271" t="s">
        <v>77</v>
      </c>
      <c r="G5" s="272" t="s">
        <v>78</v>
      </c>
      <c r="H5" s="273" t="s">
        <v>79</v>
      </c>
      <c r="I5" s="274" t="s">
        <v>79</v>
      </c>
      <c r="J5" s="275" t="s">
        <v>80</v>
      </c>
      <c r="K5" s="270" t="s">
        <v>80</v>
      </c>
      <c r="L5" s="276" t="s">
        <v>81</v>
      </c>
      <c r="M5" s="277" t="s">
        <v>82</v>
      </c>
      <c r="N5" s="270" t="s">
        <v>83</v>
      </c>
      <c r="O5" s="268" t="s">
        <v>79</v>
      </c>
      <c r="P5" s="278" t="s">
        <v>84</v>
      </c>
      <c r="Q5" s="278" t="s">
        <v>85</v>
      </c>
      <c r="R5" s="279" t="s">
        <v>86</v>
      </c>
    </row>
    <row r="6" spans="1:20">
      <c r="A6" s="245"/>
      <c r="B6" s="280"/>
      <c r="C6" s="281"/>
      <c r="D6" s="281"/>
      <c r="E6" s="282"/>
      <c r="F6" s="283"/>
      <c r="G6" s="284"/>
      <c r="H6" s="285" t="s">
        <v>87</v>
      </c>
      <c r="I6" s="286" t="s">
        <v>87</v>
      </c>
      <c r="J6" s="287" t="s">
        <v>11</v>
      </c>
      <c r="K6" s="282" t="s">
        <v>88</v>
      </c>
      <c r="L6" s="288"/>
      <c r="M6" s="289"/>
      <c r="N6" s="282"/>
      <c r="O6" s="280" t="s">
        <v>89</v>
      </c>
      <c r="P6" s="290"/>
      <c r="Q6" s="290"/>
      <c r="R6" s="291"/>
    </row>
    <row r="7" spans="1:20" ht="29.25" customHeight="1">
      <c r="A7" s="340">
        <v>1</v>
      </c>
      <c r="B7" s="315">
        <v>45126</v>
      </c>
      <c r="C7" s="316" t="s">
        <v>256</v>
      </c>
      <c r="D7" s="317" t="s">
        <v>414</v>
      </c>
      <c r="E7" s="318">
        <v>980438637</v>
      </c>
      <c r="F7" s="378" t="s">
        <v>365</v>
      </c>
      <c r="G7" s="300" t="s">
        <v>90</v>
      </c>
      <c r="H7" s="316" t="s">
        <v>129</v>
      </c>
      <c r="I7" s="319">
        <v>44968</v>
      </c>
      <c r="J7" s="301"/>
      <c r="K7" s="300"/>
      <c r="L7" s="320" t="s">
        <v>25</v>
      </c>
      <c r="M7" s="374" t="s">
        <v>255</v>
      </c>
      <c r="N7" s="302"/>
      <c r="O7" s="315">
        <v>45126</v>
      </c>
      <c r="P7" s="303"/>
      <c r="Q7" s="321">
        <v>103280004</v>
      </c>
      <c r="R7" s="300"/>
    </row>
    <row r="8" spans="1:20" s="309" customFormat="1" ht="21" customHeight="1">
      <c r="A8" s="340">
        <v>2</v>
      </c>
      <c r="B8" s="339">
        <v>45126</v>
      </c>
      <c r="C8" s="322" t="s">
        <v>245</v>
      </c>
      <c r="D8" s="323" t="s">
        <v>370</v>
      </c>
      <c r="E8" s="324">
        <v>9958388180</v>
      </c>
      <c r="F8" s="379" t="s">
        <v>371</v>
      </c>
      <c r="G8" s="306" t="s">
        <v>372</v>
      </c>
      <c r="H8" s="325" t="s">
        <v>129</v>
      </c>
      <c r="I8" s="326">
        <v>44917</v>
      </c>
      <c r="J8" s="307"/>
      <c r="K8" s="306"/>
      <c r="L8" s="327" t="s">
        <v>25</v>
      </c>
      <c r="M8" s="375" t="s">
        <v>244</v>
      </c>
      <c r="N8" s="308"/>
      <c r="O8" s="328">
        <v>45030</v>
      </c>
      <c r="P8" s="313" t="s">
        <v>373</v>
      </c>
      <c r="Q8" s="329">
        <v>1308565058</v>
      </c>
      <c r="R8" s="306"/>
    </row>
    <row r="9" spans="1:20" s="357" customFormat="1" ht="18.75" customHeight="1">
      <c r="A9" s="340">
        <v>3</v>
      </c>
      <c r="B9" s="347">
        <v>45127</v>
      </c>
      <c r="C9" s="348" t="s">
        <v>103</v>
      </c>
      <c r="D9" s="348" t="s">
        <v>104</v>
      </c>
      <c r="E9" s="349">
        <v>994719268</v>
      </c>
      <c r="F9" s="349" t="s">
        <v>366</v>
      </c>
      <c r="G9" s="350" t="s">
        <v>412</v>
      </c>
      <c r="H9" s="349" t="s">
        <v>294</v>
      </c>
      <c r="I9" s="347">
        <v>45127</v>
      </c>
      <c r="J9" s="351"/>
      <c r="K9" s="350"/>
      <c r="L9" s="349">
        <v>396692</v>
      </c>
      <c r="M9" s="352" t="s">
        <v>102</v>
      </c>
      <c r="N9" s="353"/>
      <c r="O9" s="354">
        <v>45127</v>
      </c>
      <c r="P9" s="355" t="s">
        <v>106</v>
      </c>
      <c r="Q9" s="356" t="s">
        <v>105</v>
      </c>
      <c r="R9" s="350"/>
    </row>
    <row r="10" spans="1:20" s="357" customFormat="1" ht="21" customHeight="1">
      <c r="A10" s="340">
        <v>4</v>
      </c>
      <c r="B10" s="347">
        <v>45127</v>
      </c>
      <c r="C10" s="348" t="s">
        <v>103</v>
      </c>
      <c r="D10" s="348" t="s">
        <v>104</v>
      </c>
      <c r="E10" s="349">
        <v>994719268</v>
      </c>
      <c r="F10" s="349" t="s">
        <v>367</v>
      </c>
      <c r="G10" s="350" t="s">
        <v>412</v>
      </c>
      <c r="H10" s="349" t="s">
        <v>294</v>
      </c>
      <c r="I10" s="347">
        <v>45127</v>
      </c>
      <c r="J10" s="351"/>
      <c r="K10" s="350"/>
      <c r="L10" s="349">
        <v>398019</v>
      </c>
      <c r="M10" s="352" t="s">
        <v>108</v>
      </c>
      <c r="N10" s="353"/>
      <c r="O10" s="354">
        <v>45127</v>
      </c>
      <c r="P10" s="355" t="s">
        <v>106</v>
      </c>
      <c r="Q10" s="356" t="s">
        <v>105</v>
      </c>
      <c r="R10" s="350"/>
    </row>
    <row r="11" spans="1:20" s="309" customFormat="1" ht="21" customHeight="1">
      <c r="A11" s="340">
        <v>5</v>
      </c>
      <c r="B11" s="339">
        <v>45127</v>
      </c>
      <c r="C11" s="322" t="s">
        <v>237</v>
      </c>
      <c r="D11" s="330" t="s">
        <v>382</v>
      </c>
      <c r="E11" s="331">
        <v>998438244</v>
      </c>
      <c r="F11" s="331" t="s">
        <v>383</v>
      </c>
      <c r="G11" s="306" t="s">
        <v>372</v>
      </c>
      <c r="H11" s="331" t="s">
        <v>384</v>
      </c>
      <c r="I11" s="332">
        <v>44327</v>
      </c>
      <c r="J11" s="307"/>
      <c r="K11" s="306"/>
      <c r="L11" s="331" t="s">
        <v>25</v>
      </c>
      <c r="M11" s="333" t="s">
        <v>385</v>
      </c>
      <c r="N11" s="308"/>
      <c r="O11" s="334">
        <v>45124</v>
      </c>
      <c r="P11" s="335" t="s">
        <v>236</v>
      </c>
      <c r="Q11" s="336" t="s">
        <v>386</v>
      </c>
      <c r="R11" s="306"/>
    </row>
    <row r="12" spans="1:20" ht="23.25" customHeight="1">
      <c r="A12" s="340">
        <v>6</v>
      </c>
      <c r="B12" s="315">
        <v>45128</v>
      </c>
      <c r="C12" s="316" t="s">
        <v>259</v>
      </c>
      <c r="D12" s="317" t="s">
        <v>260</v>
      </c>
      <c r="E12" s="318">
        <v>2807282</v>
      </c>
      <c r="F12" s="378" t="s">
        <v>368</v>
      </c>
      <c r="G12" s="300" t="s">
        <v>90</v>
      </c>
      <c r="H12" s="316" t="s">
        <v>19</v>
      </c>
      <c r="I12" s="319">
        <v>45127</v>
      </c>
      <c r="J12" s="301"/>
      <c r="K12" s="300"/>
      <c r="L12" s="304" t="s">
        <v>25</v>
      </c>
      <c r="M12" s="374" t="s">
        <v>258</v>
      </c>
      <c r="N12" s="302"/>
      <c r="O12" s="315">
        <v>45128</v>
      </c>
      <c r="P12" s="337" t="s">
        <v>106</v>
      </c>
      <c r="Q12" s="321">
        <v>101331114</v>
      </c>
      <c r="R12" s="300"/>
    </row>
    <row r="13" spans="1:20" ht="18.75" customHeight="1">
      <c r="A13" s="340">
        <v>7</v>
      </c>
      <c r="B13" s="315">
        <v>45129</v>
      </c>
      <c r="C13" s="316" t="s">
        <v>265</v>
      </c>
      <c r="D13" s="317" t="s">
        <v>262</v>
      </c>
      <c r="E13" s="318">
        <v>999984162</v>
      </c>
      <c r="F13" s="378" t="s">
        <v>369</v>
      </c>
      <c r="G13" s="300" t="s">
        <v>90</v>
      </c>
      <c r="H13" s="316" t="s">
        <v>261</v>
      </c>
      <c r="I13" s="319">
        <v>45128</v>
      </c>
      <c r="J13" s="301"/>
      <c r="K13" s="300"/>
      <c r="L13" s="304" t="s">
        <v>25</v>
      </c>
      <c r="M13" s="374" t="s">
        <v>264</v>
      </c>
      <c r="N13" s="302"/>
      <c r="O13" s="315">
        <v>45129</v>
      </c>
      <c r="P13" s="337" t="s">
        <v>266</v>
      </c>
      <c r="Q13" s="321">
        <v>101180446</v>
      </c>
      <c r="R13" s="300"/>
    </row>
    <row r="14" spans="1:20" ht="20.25" customHeight="1">
      <c r="A14" s="340">
        <v>8</v>
      </c>
      <c r="B14" s="315">
        <v>45129</v>
      </c>
      <c r="C14" s="316" t="s">
        <v>270</v>
      </c>
      <c r="D14" s="317" t="s">
        <v>271</v>
      </c>
      <c r="E14" s="318">
        <v>997553453</v>
      </c>
      <c r="F14" s="378" t="s">
        <v>365</v>
      </c>
      <c r="G14" s="300" t="s">
        <v>90</v>
      </c>
      <c r="H14" s="316" t="s">
        <v>184</v>
      </c>
      <c r="I14" s="319">
        <v>44992</v>
      </c>
      <c r="J14" s="301"/>
      <c r="K14" s="300"/>
      <c r="L14" s="304" t="s">
        <v>25</v>
      </c>
      <c r="M14" s="374" t="s">
        <v>269</v>
      </c>
      <c r="N14" s="302"/>
      <c r="O14" s="315">
        <v>45129</v>
      </c>
      <c r="P14" s="337" t="s">
        <v>272</v>
      </c>
      <c r="Q14" s="321">
        <v>101769461</v>
      </c>
      <c r="R14" s="300"/>
    </row>
    <row r="15" spans="1:20">
      <c r="A15" s="340">
        <v>9</v>
      </c>
      <c r="B15" s="315">
        <v>45131</v>
      </c>
      <c r="C15" s="316" t="s">
        <v>275</v>
      </c>
      <c r="D15" s="317" t="s">
        <v>199</v>
      </c>
      <c r="E15" s="318">
        <v>990132422</v>
      </c>
      <c r="F15" s="378" t="s">
        <v>374</v>
      </c>
      <c r="G15" s="300" t="s">
        <v>90</v>
      </c>
      <c r="H15" s="316" t="s">
        <v>19</v>
      </c>
      <c r="I15" s="319">
        <v>45128</v>
      </c>
      <c r="J15" s="301"/>
      <c r="K15" s="300"/>
      <c r="L15" s="304" t="s">
        <v>25</v>
      </c>
      <c r="M15" s="374" t="s">
        <v>274</v>
      </c>
      <c r="N15" s="302"/>
      <c r="O15" s="315">
        <v>45131</v>
      </c>
      <c r="P15" s="338" t="s">
        <v>276</v>
      </c>
      <c r="Q15" s="321">
        <v>911769487</v>
      </c>
      <c r="R15" s="300"/>
      <c r="T15" s="124"/>
    </row>
    <row r="16" spans="1:20" s="357" customFormat="1">
      <c r="A16" s="340">
        <v>10</v>
      </c>
      <c r="B16" s="354">
        <v>45131</v>
      </c>
      <c r="C16" s="348" t="s">
        <v>113</v>
      </c>
      <c r="D16" s="348" t="s">
        <v>114</v>
      </c>
      <c r="E16" s="349">
        <v>2385302</v>
      </c>
      <c r="F16" s="349" t="s">
        <v>375</v>
      </c>
      <c r="G16" s="350" t="s">
        <v>412</v>
      </c>
      <c r="H16" s="349" t="s">
        <v>109</v>
      </c>
      <c r="I16" s="347"/>
      <c r="J16" s="351"/>
      <c r="K16" s="350"/>
      <c r="L16" s="349" t="s">
        <v>25</v>
      </c>
      <c r="M16" s="352" t="s">
        <v>112</v>
      </c>
      <c r="N16" s="353"/>
      <c r="O16" s="347"/>
      <c r="P16" s="355"/>
      <c r="Q16" s="352" t="s">
        <v>115</v>
      </c>
      <c r="R16" s="350"/>
    </row>
    <row r="17" spans="1:18" s="357" customFormat="1">
      <c r="A17" s="340">
        <v>11</v>
      </c>
      <c r="B17" s="354">
        <v>45131</v>
      </c>
      <c r="C17" s="348" t="s">
        <v>113</v>
      </c>
      <c r="D17" s="348" t="s">
        <v>114</v>
      </c>
      <c r="E17" s="349">
        <v>2385302</v>
      </c>
      <c r="F17" s="349" t="s">
        <v>376</v>
      </c>
      <c r="G17" s="350" t="s">
        <v>412</v>
      </c>
      <c r="H17" s="349" t="s">
        <v>109</v>
      </c>
      <c r="I17" s="347"/>
      <c r="J17" s="351"/>
      <c r="K17" s="350"/>
      <c r="L17" s="349" t="s">
        <v>25</v>
      </c>
      <c r="M17" s="352" t="s">
        <v>117</v>
      </c>
      <c r="N17" s="353"/>
      <c r="O17" s="347"/>
      <c r="P17" s="355"/>
      <c r="Q17" s="352" t="s">
        <v>115</v>
      </c>
      <c r="R17" s="350"/>
    </row>
    <row r="18" spans="1:18" s="357" customFormat="1">
      <c r="A18" s="340">
        <v>12</v>
      </c>
      <c r="B18" s="354">
        <v>45131</v>
      </c>
      <c r="C18" s="348" t="s">
        <v>113</v>
      </c>
      <c r="D18" s="348" t="s">
        <v>114</v>
      </c>
      <c r="E18" s="349">
        <v>2385302</v>
      </c>
      <c r="F18" s="349" t="s">
        <v>377</v>
      </c>
      <c r="G18" s="350" t="s">
        <v>412</v>
      </c>
      <c r="H18" s="349" t="s">
        <v>109</v>
      </c>
      <c r="I18" s="347"/>
      <c r="J18" s="351"/>
      <c r="K18" s="350"/>
      <c r="L18" s="349" t="s">
        <v>25</v>
      </c>
      <c r="M18" s="352" t="s">
        <v>119</v>
      </c>
      <c r="N18" s="353"/>
      <c r="O18" s="347"/>
      <c r="P18" s="355"/>
      <c r="Q18" s="352" t="s">
        <v>115</v>
      </c>
      <c r="R18" s="350"/>
    </row>
    <row r="19" spans="1:18" s="357" customFormat="1">
      <c r="A19" s="340">
        <v>13</v>
      </c>
      <c r="B19" s="354">
        <v>45131</v>
      </c>
      <c r="C19" s="348" t="s">
        <v>120</v>
      </c>
      <c r="D19" s="348" t="s">
        <v>124</v>
      </c>
      <c r="E19" s="349">
        <v>992943322</v>
      </c>
      <c r="F19" s="349" t="s">
        <v>378</v>
      </c>
      <c r="G19" s="350" t="s">
        <v>412</v>
      </c>
      <c r="H19" s="349" t="s">
        <v>19</v>
      </c>
      <c r="I19" s="347">
        <v>45101</v>
      </c>
      <c r="J19" s="351"/>
      <c r="K19" s="350"/>
      <c r="L19" s="349" t="s">
        <v>25</v>
      </c>
      <c r="M19" s="352" t="s">
        <v>123</v>
      </c>
      <c r="N19" s="353"/>
      <c r="O19" s="347">
        <v>45101</v>
      </c>
      <c r="P19" s="355" t="s">
        <v>126</v>
      </c>
      <c r="Q19" s="352" t="s">
        <v>125</v>
      </c>
      <c r="R19" s="350"/>
    </row>
    <row r="20" spans="1:18" s="357" customFormat="1">
      <c r="A20" s="340">
        <v>14</v>
      </c>
      <c r="B20" s="354">
        <v>45131</v>
      </c>
      <c r="C20" s="348" t="s">
        <v>120</v>
      </c>
      <c r="D20" s="348" t="s">
        <v>124</v>
      </c>
      <c r="E20" s="349">
        <v>992943322</v>
      </c>
      <c r="F20" s="349" t="s">
        <v>379</v>
      </c>
      <c r="G20" s="350" t="s">
        <v>412</v>
      </c>
      <c r="H20" s="349" t="s">
        <v>19</v>
      </c>
      <c r="I20" s="347">
        <v>45101</v>
      </c>
      <c r="J20" s="351"/>
      <c r="K20" s="350"/>
      <c r="L20" s="349" t="s">
        <v>25</v>
      </c>
      <c r="M20" s="352" t="s">
        <v>128</v>
      </c>
      <c r="N20" s="353"/>
      <c r="O20" s="347">
        <v>45101</v>
      </c>
      <c r="P20" s="355" t="s">
        <v>126</v>
      </c>
      <c r="Q20" s="352" t="s">
        <v>125</v>
      </c>
      <c r="R20" s="350"/>
    </row>
    <row r="21" spans="1:18" s="357" customFormat="1" ht="18" customHeight="1">
      <c r="A21" s="340">
        <v>15</v>
      </c>
      <c r="B21" s="354">
        <v>45132</v>
      </c>
      <c r="C21" s="348" t="s">
        <v>133</v>
      </c>
      <c r="D21" s="348" t="s">
        <v>134</v>
      </c>
      <c r="E21" s="349">
        <v>998600260</v>
      </c>
      <c r="F21" s="349" t="s">
        <v>380</v>
      </c>
      <c r="G21" s="350" t="s">
        <v>412</v>
      </c>
      <c r="H21" s="349" t="s">
        <v>129</v>
      </c>
      <c r="I21" s="347">
        <v>44900</v>
      </c>
      <c r="J21" s="351"/>
      <c r="K21" s="350"/>
      <c r="L21" s="349" t="s">
        <v>25</v>
      </c>
      <c r="M21" s="352" t="s">
        <v>132</v>
      </c>
      <c r="N21" s="353"/>
      <c r="O21" s="354">
        <v>45132</v>
      </c>
      <c r="P21" s="355" t="s">
        <v>136</v>
      </c>
      <c r="Q21" s="352" t="s">
        <v>135</v>
      </c>
      <c r="R21" s="350"/>
    </row>
    <row r="22" spans="1:18" s="357" customFormat="1" ht="17.25" customHeight="1">
      <c r="A22" s="340">
        <v>16</v>
      </c>
      <c r="B22" s="354">
        <v>45132</v>
      </c>
      <c r="C22" s="348" t="s">
        <v>133</v>
      </c>
      <c r="D22" s="348" t="s">
        <v>134</v>
      </c>
      <c r="E22" s="349">
        <v>998600260</v>
      </c>
      <c r="F22" s="349" t="s">
        <v>381</v>
      </c>
      <c r="G22" s="350" t="s">
        <v>412</v>
      </c>
      <c r="H22" s="349" t="s">
        <v>129</v>
      </c>
      <c r="I22" s="347">
        <v>44900</v>
      </c>
      <c r="J22" s="351"/>
      <c r="K22" s="350"/>
      <c r="L22" s="349" t="s">
        <v>25</v>
      </c>
      <c r="M22" s="352" t="s">
        <v>138</v>
      </c>
      <c r="N22" s="353"/>
      <c r="O22" s="354">
        <v>45132</v>
      </c>
      <c r="P22" s="355" t="s">
        <v>136</v>
      </c>
      <c r="Q22" s="352" t="s">
        <v>135</v>
      </c>
      <c r="R22" s="350"/>
    </row>
    <row r="23" spans="1:18" s="357" customFormat="1" ht="17.25" customHeight="1">
      <c r="A23" s="340">
        <v>17</v>
      </c>
      <c r="B23" s="341">
        <v>45132</v>
      </c>
      <c r="C23" s="342" t="s">
        <v>99</v>
      </c>
      <c r="D23" s="343" t="s">
        <v>387</v>
      </c>
      <c r="E23" s="367">
        <v>991172261</v>
      </c>
      <c r="F23" s="345" t="s">
        <v>413</v>
      </c>
      <c r="G23" s="343" t="s">
        <v>388</v>
      </c>
      <c r="H23" s="343" t="s">
        <v>19</v>
      </c>
      <c r="I23" s="347"/>
      <c r="J23" s="351"/>
      <c r="K23" s="350"/>
      <c r="L23" s="367">
        <v>398082</v>
      </c>
      <c r="M23" s="368" t="s">
        <v>415</v>
      </c>
      <c r="N23" s="371"/>
      <c r="O23" s="369">
        <v>45157</v>
      </c>
      <c r="P23" s="370" t="s">
        <v>417</v>
      </c>
      <c r="Q23" s="368" t="s">
        <v>418</v>
      </c>
      <c r="R23" s="350"/>
    </row>
    <row r="24" spans="1:18" s="346" customFormat="1">
      <c r="A24" s="340">
        <v>18</v>
      </c>
      <c r="B24" s="341">
        <v>45132</v>
      </c>
      <c r="C24" s="342" t="s">
        <v>99</v>
      </c>
      <c r="D24" s="343" t="s">
        <v>387</v>
      </c>
      <c r="E24" s="367">
        <v>991172261</v>
      </c>
      <c r="F24" s="345" t="s">
        <v>413</v>
      </c>
      <c r="G24" s="343" t="s">
        <v>388</v>
      </c>
      <c r="H24" s="343" t="s">
        <v>19</v>
      </c>
      <c r="I24" s="344"/>
      <c r="J24" s="345"/>
      <c r="K24" s="343"/>
      <c r="L24" s="371" t="s">
        <v>25</v>
      </c>
      <c r="M24" s="372" t="s">
        <v>416</v>
      </c>
      <c r="N24" s="371"/>
      <c r="O24" s="373">
        <v>45157</v>
      </c>
      <c r="P24" s="370" t="s">
        <v>417</v>
      </c>
      <c r="Q24" s="372">
        <v>104088265</v>
      </c>
      <c r="R24" s="343"/>
    </row>
    <row r="25" spans="1:18">
      <c r="A25" s="340">
        <v>19</v>
      </c>
      <c r="B25" s="315">
        <v>45133</v>
      </c>
      <c r="C25" s="316" t="s">
        <v>280</v>
      </c>
      <c r="D25" s="317" t="s">
        <v>281</v>
      </c>
      <c r="E25" s="318">
        <v>2886160</v>
      </c>
      <c r="F25" s="378" t="s">
        <v>389</v>
      </c>
      <c r="G25" s="300" t="s">
        <v>90</v>
      </c>
      <c r="H25" s="316" t="s">
        <v>19</v>
      </c>
      <c r="I25" s="319">
        <v>45103</v>
      </c>
      <c r="J25" s="301"/>
      <c r="K25" s="300"/>
      <c r="L25" s="320" t="s">
        <v>25</v>
      </c>
      <c r="M25" s="374" t="s">
        <v>279</v>
      </c>
      <c r="N25" s="302"/>
      <c r="O25" s="315">
        <v>45133</v>
      </c>
      <c r="P25" s="337" t="s">
        <v>282</v>
      </c>
      <c r="Q25" s="321">
        <v>100068477</v>
      </c>
      <c r="R25" s="300"/>
    </row>
    <row r="26" spans="1:18">
      <c r="A26" s="340">
        <v>20</v>
      </c>
      <c r="B26" s="315">
        <v>45133</v>
      </c>
      <c r="C26" s="316" t="s">
        <v>285</v>
      </c>
      <c r="D26" s="317" t="s">
        <v>286</v>
      </c>
      <c r="E26" s="318">
        <v>998070873</v>
      </c>
      <c r="F26" s="378" t="s">
        <v>390</v>
      </c>
      <c r="G26" s="300" t="s">
        <v>90</v>
      </c>
      <c r="H26" s="316" t="s">
        <v>19</v>
      </c>
      <c r="I26" s="319">
        <v>45131</v>
      </c>
      <c r="J26" s="301"/>
      <c r="K26" s="300"/>
      <c r="L26" s="320" t="s">
        <v>25</v>
      </c>
      <c r="M26" s="374" t="s">
        <v>284</v>
      </c>
      <c r="N26" s="302"/>
      <c r="O26" s="315">
        <v>45133</v>
      </c>
      <c r="P26" s="337" t="s">
        <v>287</v>
      </c>
      <c r="Q26" s="321">
        <v>103285615</v>
      </c>
      <c r="R26" s="300"/>
    </row>
    <row r="27" spans="1:18">
      <c r="A27" s="340">
        <v>21</v>
      </c>
      <c r="B27" s="315">
        <v>45134</v>
      </c>
      <c r="C27" s="316" t="s">
        <v>291</v>
      </c>
      <c r="D27" s="317" t="s">
        <v>292</v>
      </c>
      <c r="E27" s="318">
        <v>992242344</v>
      </c>
      <c r="F27" s="378" t="s">
        <v>289</v>
      </c>
      <c r="G27" s="300" t="s">
        <v>90</v>
      </c>
      <c r="H27" s="316" t="s">
        <v>19</v>
      </c>
      <c r="I27" s="319">
        <v>45132</v>
      </c>
      <c r="J27" s="301"/>
      <c r="K27" s="300"/>
      <c r="L27" s="320">
        <v>400228</v>
      </c>
      <c r="M27" s="374" t="s">
        <v>290</v>
      </c>
      <c r="N27" s="302"/>
      <c r="O27" s="315">
        <v>45134</v>
      </c>
      <c r="P27" s="338" t="s">
        <v>293</v>
      </c>
      <c r="Q27" s="321">
        <v>706620788</v>
      </c>
      <c r="R27" s="300"/>
    </row>
    <row r="28" spans="1:18" s="357" customFormat="1">
      <c r="A28" s="340">
        <v>22</v>
      </c>
      <c r="B28" s="361">
        <v>45134</v>
      </c>
      <c r="C28" s="362" t="s">
        <v>143</v>
      </c>
      <c r="D28" s="362" t="s">
        <v>144</v>
      </c>
      <c r="E28" s="363">
        <v>998079078</v>
      </c>
      <c r="F28" s="363" t="s">
        <v>141</v>
      </c>
      <c r="G28" s="350" t="s">
        <v>412</v>
      </c>
      <c r="H28" s="363" t="s">
        <v>139</v>
      </c>
      <c r="I28" s="364">
        <v>45121</v>
      </c>
      <c r="J28" s="351"/>
      <c r="K28" s="350"/>
      <c r="L28" s="363">
        <v>396870</v>
      </c>
      <c r="M28" s="365" t="s">
        <v>142</v>
      </c>
      <c r="N28" s="353"/>
      <c r="O28" s="361">
        <v>45134</v>
      </c>
      <c r="P28" s="366" t="s">
        <v>146</v>
      </c>
      <c r="Q28" s="365" t="s">
        <v>145</v>
      </c>
      <c r="R28" s="350"/>
    </row>
    <row r="29" spans="1:18" s="357" customFormat="1">
      <c r="A29" s="340">
        <v>23</v>
      </c>
      <c r="B29" s="361">
        <v>45134</v>
      </c>
      <c r="C29" s="362" t="s">
        <v>143</v>
      </c>
      <c r="D29" s="362" t="s">
        <v>144</v>
      </c>
      <c r="E29" s="363">
        <v>998079078</v>
      </c>
      <c r="F29" s="363" t="s">
        <v>147</v>
      </c>
      <c r="G29" s="350" t="s">
        <v>412</v>
      </c>
      <c r="H29" s="363" t="s">
        <v>139</v>
      </c>
      <c r="I29" s="364">
        <v>45121</v>
      </c>
      <c r="J29" s="351"/>
      <c r="K29" s="350"/>
      <c r="L29" s="363">
        <v>398507</v>
      </c>
      <c r="M29" s="365" t="s">
        <v>148</v>
      </c>
      <c r="N29" s="353"/>
      <c r="O29" s="361">
        <v>45134</v>
      </c>
      <c r="P29" s="366" t="s">
        <v>146</v>
      </c>
      <c r="Q29" s="365" t="s">
        <v>145</v>
      </c>
      <c r="R29" s="350"/>
    </row>
    <row r="30" spans="1:18" s="357" customFormat="1">
      <c r="A30" s="340">
        <v>24</v>
      </c>
      <c r="B30" s="361">
        <v>45134</v>
      </c>
      <c r="C30" s="362" t="s">
        <v>143</v>
      </c>
      <c r="D30" s="362" t="s">
        <v>144</v>
      </c>
      <c r="E30" s="363">
        <v>998079078</v>
      </c>
      <c r="F30" s="363" t="s">
        <v>149</v>
      </c>
      <c r="G30" s="350" t="s">
        <v>412</v>
      </c>
      <c r="H30" s="363" t="s">
        <v>139</v>
      </c>
      <c r="I30" s="364">
        <v>45121</v>
      </c>
      <c r="J30" s="351"/>
      <c r="K30" s="350"/>
      <c r="L30" s="363" t="s">
        <v>25</v>
      </c>
      <c r="M30" s="365" t="s">
        <v>150</v>
      </c>
      <c r="N30" s="353"/>
      <c r="O30" s="361">
        <v>45134</v>
      </c>
      <c r="P30" s="366" t="s">
        <v>146</v>
      </c>
      <c r="Q30" s="365" t="s">
        <v>145</v>
      </c>
      <c r="R30" s="350"/>
    </row>
    <row r="31" spans="1:18">
      <c r="A31" s="340">
        <v>25</v>
      </c>
      <c r="B31" s="315">
        <v>45139</v>
      </c>
      <c r="C31" s="316" t="s">
        <v>298</v>
      </c>
      <c r="D31" s="317" t="s">
        <v>299</v>
      </c>
      <c r="E31" s="318">
        <v>993629128</v>
      </c>
      <c r="F31" s="378" t="s">
        <v>296</v>
      </c>
      <c r="G31" s="300" t="s">
        <v>90</v>
      </c>
      <c r="H31" s="316" t="s">
        <v>294</v>
      </c>
      <c r="I31" s="319">
        <v>45140</v>
      </c>
      <c r="J31" s="301"/>
      <c r="K31" s="300"/>
      <c r="L31" s="320" t="s">
        <v>25</v>
      </c>
      <c r="M31" s="374" t="s">
        <v>297</v>
      </c>
      <c r="N31" s="302"/>
      <c r="O31" s="315">
        <v>45139</v>
      </c>
      <c r="P31" s="337" t="s">
        <v>300</v>
      </c>
      <c r="Q31" s="321">
        <v>190489655</v>
      </c>
      <c r="R31" s="300"/>
    </row>
    <row r="32" spans="1:18">
      <c r="A32" s="340">
        <v>26</v>
      </c>
      <c r="B32" s="315">
        <v>45139</v>
      </c>
      <c r="C32" s="316" t="s">
        <v>305</v>
      </c>
      <c r="D32" s="317" t="s">
        <v>306</v>
      </c>
      <c r="E32" s="318">
        <v>968257945</v>
      </c>
      <c r="F32" s="378" t="s">
        <v>303</v>
      </c>
      <c r="G32" s="300" t="s">
        <v>90</v>
      </c>
      <c r="H32" s="316" t="s">
        <v>301</v>
      </c>
      <c r="I32" s="319">
        <v>45138</v>
      </c>
      <c r="J32" s="301"/>
      <c r="K32" s="300"/>
      <c r="L32" s="320">
        <v>394619</v>
      </c>
      <c r="M32" s="374" t="s">
        <v>304</v>
      </c>
      <c r="N32" s="302"/>
      <c r="O32" s="315">
        <v>45139</v>
      </c>
      <c r="P32" s="337" t="s">
        <v>307</v>
      </c>
      <c r="Q32" s="321">
        <v>103094322</v>
      </c>
      <c r="R32" s="300"/>
    </row>
    <row r="33" spans="1:18" s="357" customFormat="1">
      <c r="A33" s="340">
        <v>27</v>
      </c>
      <c r="B33" s="354">
        <v>45140</v>
      </c>
      <c r="C33" s="348" t="s">
        <v>153</v>
      </c>
      <c r="D33" s="348" t="s">
        <v>154</v>
      </c>
      <c r="E33" s="349">
        <v>984843615</v>
      </c>
      <c r="F33" s="349" t="s">
        <v>151</v>
      </c>
      <c r="G33" s="350" t="s">
        <v>412</v>
      </c>
      <c r="H33" s="349" t="s">
        <v>19</v>
      </c>
      <c r="I33" s="347">
        <v>45072</v>
      </c>
      <c r="J33" s="351"/>
      <c r="K33" s="350"/>
      <c r="L33" s="349" t="s">
        <v>25</v>
      </c>
      <c r="M33" s="352" t="s">
        <v>152</v>
      </c>
      <c r="N33" s="353"/>
      <c r="O33" s="347">
        <v>45072</v>
      </c>
      <c r="P33" s="355" t="s">
        <v>156</v>
      </c>
      <c r="Q33" s="352" t="s">
        <v>155</v>
      </c>
      <c r="R33" s="350"/>
    </row>
    <row r="34" spans="1:18" s="357" customFormat="1">
      <c r="A34" s="340">
        <v>28</v>
      </c>
      <c r="B34" s="354">
        <v>45140</v>
      </c>
      <c r="C34" s="348" t="s">
        <v>153</v>
      </c>
      <c r="D34" s="348" t="s">
        <v>154</v>
      </c>
      <c r="E34" s="349">
        <v>984843615</v>
      </c>
      <c r="F34" s="349" t="s">
        <v>157</v>
      </c>
      <c r="G34" s="350" t="s">
        <v>412</v>
      </c>
      <c r="H34" s="349" t="s">
        <v>19</v>
      </c>
      <c r="I34" s="347">
        <v>45072</v>
      </c>
      <c r="J34" s="351"/>
      <c r="K34" s="350"/>
      <c r="L34" s="349" t="s">
        <v>25</v>
      </c>
      <c r="M34" s="352" t="s">
        <v>158</v>
      </c>
      <c r="N34" s="353"/>
      <c r="O34" s="347">
        <v>45072</v>
      </c>
      <c r="P34" s="355" t="s">
        <v>156</v>
      </c>
      <c r="Q34" s="352" t="s">
        <v>155</v>
      </c>
      <c r="R34" s="350"/>
    </row>
    <row r="35" spans="1:18">
      <c r="A35" s="340">
        <v>29</v>
      </c>
      <c r="B35" s="315">
        <v>45140</v>
      </c>
      <c r="C35" s="316" t="s">
        <v>310</v>
      </c>
      <c r="D35" s="317" t="s">
        <v>311</v>
      </c>
      <c r="E35" s="318">
        <v>998346841</v>
      </c>
      <c r="F35" s="378" t="s">
        <v>308</v>
      </c>
      <c r="G35" s="300" t="s">
        <v>90</v>
      </c>
      <c r="H35" s="316" t="s">
        <v>48</v>
      </c>
      <c r="I35" s="305">
        <v>45103</v>
      </c>
      <c r="J35" s="301"/>
      <c r="K35" s="300"/>
      <c r="L35" s="304">
        <v>400206</v>
      </c>
      <c r="M35" s="374" t="s">
        <v>309</v>
      </c>
      <c r="N35" s="302"/>
      <c r="O35" s="315">
        <v>45140</v>
      </c>
      <c r="P35" s="338" t="s">
        <v>312</v>
      </c>
      <c r="Q35" s="321">
        <v>301767281</v>
      </c>
      <c r="R35" s="300"/>
    </row>
    <row r="36" spans="1:18" s="309" customFormat="1" ht="15" customHeight="1">
      <c r="A36" s="340">
        <v>30</v>
      </c>
      <c r="B36" s="339">
        <v>45140</v>
      </c>
      <c r="C36" s="322" t="s">
        <v>241</v>
      </c>
      <c r="D36" s="306" t="s">
        <v>391</v>
      </c>
      <c r="E36" s="310">
        <v>988930329</v>
      </c>
      <c r="F36" s="307" t="s">
        <v>392</v>
      </c>
      <c r="G36" s="306" t="s">
        <v>372</v>
      </c>
      <c r="H36" s="306" t="s">
        <v>241</v>
      </c>
      <c r="I36" s="311">
        <v>44939</v>
      </c>
      <c r="J36" s="307"/>
      <c r="K36" s="306"/>
      <c r="L36" s="376">
        <v>381715</v>
      </c>
      <c r="M36" s="377" t="s">
        <v>240</v>
      </c>
      <c r="N36" s="308"/>
      <c r="O36" s="312">
        <v>45056</v>
      </c>
      <c r="P36" s="313" t="s">
        <v>242</v>
      </c>
      <c r="Q36" s="314">
        <v>190505103</v>
      </c>
      <c r="R36" s="306"/>
    </row>
    <row r="37" spans="1:18" s="357" customFormat="1">
      <c r="A37" s="340">
        <v>31</v>
      </c>
      <c r="B37" s="354">
        <v>45141</v>
      </c>
      <c r="C37" s="348" t="s">
        <v>162</v>
      </c>
      <c r="D37" s="348" t="s">
        <v>163</v>
      </c>
      <c r="E37" s="349">
        <v>2241661</v>
      </c>
      <c r="F37" s="349" t="s">
        <v>160</v>
      </c>
      <c r="G37" s="350" t="s">
        <v>412</v>
      </c>
      <c r="H37" s="349" t="s">
        <v>19</v>
      </c>
      <c r="I37" s="347">
        <v>44896</v>
      </c>
      <c r="J37" s="351"/>
      <c r="K37" s="350"/>
      <c r="L37" s="349">
        <v>376735</v>
      </c>
      <c r="M37" s="352" t="s">
        <v>161</v>
      </c>
      <c r="N37" s="353"/>
      <c r="O37" s="354">
        <v>45141</v>
      </c>
      <c r="P37" s="355" t="s">
        <v>165</v>
      </c>
      <c r="Q37" s="352" t="s">
        <v>164</v>
      </c>
      <c r="R37" s="350"/>
    </row>
    <row r="38" spans="1:18" s="357" customFormat="1">
      <c r="A38" s="340">
        <v>32</v>
      </c>
      <c r="B38" s="354">
        <v>45141</v>
      </c>
      <c r="C38" s="348" t="s">
        <v>162</v>
      </c>
      <c r="D38" s="348" t="s">
        <v>163</v>
      </c>
      <c r="E38" s="349">
        <v>2241661</v>
      </c>
      <c r="F38" s="349" t="s">
        <v>166</v>
      </c>
      <c r="G38" s="350" t="s">
        <v>412</v>
      </c>
      <c r="H38" s="349" t="s">
        <v>19</v>
      </c>
      <c r="I38" s="347">
        <v>44896</v>
      </c>
      <c r="J38" s="351"/>
      <c r="K38" s="350"/>
      <c r="L38" s="349">
        <v>392534</v>
      </c>
      <c r="M38" s="352" t="s">
        <v>167</v>
      </c>
      <c r="N38" s="353"/>
      <c r="O38" s="354">
        <v>45141</v>
      </c>
      <c r="P38" s="355" t="s">
        <v>165</v>
      </c>
      <c r="Q38" s="352" t="s">
        <v>164</v>
      </c>
      <c r="R38" s="350"/>
    </row>
    <row r="39" spans="1:18" s="357" customFormat="1">
      <c r="A39" s="340">
        <v>33</v>
      </c>
      <c r="B39" s="354">
        <v>45141</v>
      </c>
      <c r="C39" s="348" t="s">
        <v>162</v>
      </c>
      <c r="D39" s="348" t="s">
        <v>163</v>
      </c>
      <c r="E39" s="349">
        <v>2241661</v>
      </c>
      <c r="F39" s="349" t="s">
        <v>168</v>
      </c>
      <c r="G39" s="350" t="s">
        <v>412</v>
      </c>
      <c r="H39" s="349" t="s">
        <v>19</v>
      </c>
      <c r="I39" s="347">
        <v>44896</v>
      </c>
      <c r="J39" s="351"/>
      <c r="K39" s="350"/>
      <c r="L39" s="349" t="s">
        <v>25</v>
      </c>
      <c r="M39" s="352" t="s">
        <v>169</v>
      </c>
      <c r="N39" s="353"/>
      <c r="O39" s="354">
        <v>45141</v>
      </c>
      <c r="P39" s="355" t="s">
        <v>165</v>
      </c>
      <c r="Q39" s="352" t="s">
        <v>164</v>
      </c>
      <c r="R39" s="350"/>
    </row>
    <row r="40" spans="1:18" s="357" customFormat="1">
      <c r="A40" s="340">
        <v>34</v>
      </c>
      <c r="B40" s="354">
        <v>45141</v>
      </c>
      <c r="C40" s="348" t="s">
        <v>162</v>
      </c>
      <c r="D40" s="348" t="s">
        <v>163</v>
      </c>
      <c r="E40" s="349">
        <v>2241661</v>
      </c>
      <c r="F40" s="349" t="s">
        <v>170</v>
      </c>
      <c r="G40" s="350" t="s">
        <v>412</v>
      </c>
      <c r="H40" s="349" t="s">
        <v>19</v>
      </c>
      <c r="I40" s="347">
        <v>44896</v>
      </c>
      <c r="J40" s="351"/>
      <c r="K40" s="350"/>
      <c r="L40" s="349" t="s">
        <v>25</v>
      </c>
      <c r="M40" s="352" t="s">
        <v>171</v>
      </c>
      <c r="N40" s="353"/>
      <c r="O40" s="354">
        <v>45141</v>
      </c>
      <c r="P40" s="355" t="s">
        <v>165</v>
      </c>
      <c r="Q40" s="352" t="s">
        <v>164</v>
      </c>
      <c r="R40" s="350"/>
    </row>
    <row r="41" spans="1:18" s="357" customFormat="1">
      <c r="A41" s="340">
        <v>35</v>
      </c>
      <c r="B41" s="354">
        <v>45141</v>
      </c>
      <c r="C41" s="348" t="s">
        <v>174</v>
      </c>
      <c r="D41" s="348" t="s">
        <v>175</v>
      </c>
      <c r="E41" s="349">
        <v>998029177</v>
      </c>
      <c r="F41" s="349" t="s">
        <v>172</v>
      </c>
      <c r="G41" s="350" t="s">
        <v>412</v>
      </c>
      <c r="H41" s="349" t="s">
        <v>184</v>
      </c>
      <c r="I41" s="347">
        <v>45114</v>
      </c>
      <c r="J41" s="351"/>
      <c r="K41" s="350"/>
      <c r="L41" s="349" t="s">
        <v>25</v>
      </c>
      <c r="M41" s="352" t="s">
        <v>173</v>
      </c>
      <c r="N41" s="353"/>
      <c r="O41" s="354">
        <v>45141</v>
      </c>
      <c r="P41" s="355" t="s">
        <v>177</v>
      </c>
      <c r="Q41" s="352" t="s">
        <v>176</v>
      </c>
      <c r="R41" s="350"/>
    </row>
    <row r="42" spans="1:18" s="357" customFormat="1">
      <c r="A42" s="340">
        <v>36</v>
      </c>
      <c r="B42" s="354">
        <v>45141</v>
      </c>
      <c r="C42" s="348" t="s">
        <v>174</v>
      </c>
      <c r="D42" s="348" t="s">
        <v>175</v>
      </c>
      <c r="E42" s="349">
        <v>998029177</v>
      </c>
      <c r="F42" s="349" t="s">
        <v>118</v>
      </c>
      <c r="G42" s="350" t="s">
        <v>412</v>
      </c>
      <c r="H42" s="349" t="s">
        <v>184</v>
      </c>
      <c r="I42" s="347">
        <v>45114</v>
      </c>
      <c r="J42" s="351"/>
      <c r="K42" s="350"/>
      <c r="L42" s="349" t="s">
        <v>25</v>
      </c>
      <c r="M42" s="352" t="s">
        <v>178</v>
      </c>
      <c r="N42" s="353"/>
      <c r="O42" s="354">
        <v>45141</v>
      </c>
      <c r="P42" s="355" t="s">
        <v>177</v>
      </c>
      <c r="Q42" s="352" t="s">
        <v>176</v>
      </c>
      <c r="R42" s="350"/>
    </row>
    <row r="43" spans="1:18">
      <c r="A43" s="340">
        <v>37</v>
      </c>
      <c r="B43" s="315">
        <v>45141</v>
      </c>
      <c r="C43" s="316" t="s">
        <v>316</v>
      </c>
      <c r="D43" s="317" t="s">
        <v>317</v>
      </c>
      <c r="E43" s="318">
        <v>999778701</v>
      </c>
      <c r="F43" s="378" t="s">
        <v>314</v>
      </c>
      <c r="G43" s="300" t="s">
        <v>90</v>
      </c>
      <c r="H43" s="316" t="s">
        <v>129</v>
      </c>
      <c r="I43" s="319">
        <v>45135</v>
      </c>
      <c r="J43" s="301"/>
      <c r="K43" s="300"/>
      <c r="L43" s="320">
        <v>3945560</v>
      </c>
      <c r="M43" s="374" t="s">
        <v>315</v>
      </c>
      <c r="N43" s="302"/>
      <c r="O43" s="315">
        <v>45141</v>
      </c>
      <c r="P43" s="337"/>
      <c r="Q43" s="321">
        <v>101059814</v>
      </c>
      <c r="R43" s="300"/>
    </row>
    <row r="44" spans="1:18">
      <c r="A44" s="340">
        <v>38</v>
      </c>
      <c r="B44" s="315">
        <v>45142</v>
      </c>
      <c r="C44" s="316" t="s">
        <v>320</v>
      </c>
      <c r="D44" s="317" t="s">
        <v>321</v>
      </c>
      <c r="E44" s="318">
        <v>2819663</v>
      </c>
      <c r="F44" s="378" t="s">
        <v>318</v>
      </c>
      <c r="G44" s="300" t="s">
        <v>90</v>
      </c>
      <c r="H44" s="316" t="s">
        <v>129</v>
      </c>
      <c r="I44" s="319">
        <v>45140</v>
      </c>
      <c r="J44" s="301"/>
      <c r="K44" s="300"/>
      <c r="L44" s="320" t="s">
        <v>25</v>
      </c>
      <c r="M44" s="374" t="s">
        <v>319</v>
      </c>
      <c r="N44" s="302"/>
      <c r="O44" s="319">
        <v>45140</v>
      </c>
      <c r="P44" s="338" t="s">
        <v>322</v>
      </c>
      <c r="Q44" s="321">
        <v>102166618</v>
      </c>
      <c r="R44" s="300"/>
    </row>
    <row r="45" spans="1:18">
      <c r="A45" s="340">
        <v>39</v>
      </c>
      <c r="B45" s="315">
        <v>45145</v>
      </c>
      <c r="C45" s="316" t="s">
        <v>325</v>
      </c>
      <c r="D45" s="317" t="s">
        <v>317</v>
      </c>
      <c r="E45" s="318">
        <v>999429064</v>
      </c>
      <c r="F45" s="378" t="s">
        <v>323</v>
      </c>
      <c r="G45" s="300" t="s">
        <v>90</v>
      </c>
      <c r="H45" s="316" t="s">
        <v>294</v>
      </c>
      <c r="I45" s="319">
        <v>45141</v>
      </c>
      <c r="J45" s="301"/>
      <c r="K45" s="300"/>
      <c r="L45" s="320">
        <v>401949</v>
      </c>
      <c r="M45" s="374" t="s">
        <v>324</v>
      </c>
      <c r="N45" s="302"/>
      <c r="O45" s="319">
        <v>45141</v>
      </c>
      <c r="P45" s="337" t="s">
        <v>326</v>
      </c>
      <c r="Q45" s="321">
        <v>102712379</v>
      </c>
      <c r="R45" s="300"/>
    </row>
    <row r="46" spans="1:18" s="357" customFormat="1">
      <c r="A46" s="340">
        <v>40</v>
      </c>
      <c r="B46" s="354">
        <v>45146</v>
      </c>
      <c r="C46" s="348" t="s">
        <v>181</v>
      </c>
      <c r="D46" s="348" t="s">
        <v>405</v>
      </c>
      <c r="E46" s="349">
        <v>72815194</v>
      </c>
      <c r="F46" s="349" t="s">
        <v>179</v>
      </c>
      <c r="G46" s="350" t="s">
        <v>412</v>
      </c>
      <c r="H46" s="349" t="s">
        <v>294</v>
      </c>
      <c r="I46" s="347">
        <v>45133</v>
      </c>
      <c r="J46" s="351"/>
      <c r="K46" s="350"/>
      <c r="L46" s="349" t="s">
        <v>25</v>
      </c>
      <c r="M46" s="352" t="s">
        <v>180</v>
      </c>
      <c r="N46" s="353"/>
      <c r="O46" s="354">
        <v>45146</v>
      </c>
      <c r="P46" s="358"/>
      <c r="Q46" s="352" t="s">
        <v>406</v>
      </c>
      <c r="R46" s="350"/>
    </row>
    <row r="47" spans="1:18" s="357" customFormat="1">
      <c r="A47" s="340">
        <v>41</v>
      </c>
      <c r="B47" s="354">
        <v>45146</v>
      </c>
      <c r="C47" s="348" t="s">
        <v>181</v>
      </c>
      <c r="D47" s="348" t="s">
        <v>405</v>
      </c>
      <c r="E47" s="349">
        <v>72815194</v>
      </c>
      <c r="F47" s="349" t="s">
        <v>182</v>
      </c>
      <c r="G47" s="350" t="s">
        <v>412</v>
      </c>
      <c r="H47" s="349" t="s">
        <v>294</v>
      </c>
      <c r="I47" s="347">
        <v>45133</v>
      </c>
      <c r="J47" s="351"/>
      <c r="K47" s="350"/>
      <c r="L47" s="349" t="s">
        <v>25</v>
      </c>
      <c r="M47" s="352" t="s">
        <v>187</v>
      </c>
      <c r="N47" s="353"/>
      <c r="O47" s="354">
        <v>45146</v>
      </c>
      <c r="P47" s="359"/>
      <c r="Q47" s="352" t="s">
        <v>406</v>
      </c>
      <c r="R47" s="350"/>
    </row>
    <row r="48" spans="1:18" s="357" customFormat="1">
      <c r="A48" s="340">
        <v>42</v>
      </c>
      <c r="B48" s="354">
        <v>45146</v>
      </c>
      <c r="C48" s="348" t="s">
        <v>181</v>
      </c>
      <c r="D48" s="348" t="s">
        <v>405</v>
      </c>
      <c r="E48" s="349">
        <v>72815194</v>
      </c>
      <c r="F48" s="349" t="s">
        <v>183</v>
      </c>
      <c r="G48" s="350" t="s">
        <v>412</v>
      </c>
      <c r="H48" s="349" t="s">
        <v>294</v>
      </c>
      <c r="I48" s="347">
        <v>45133</v>
      </c>
      <c r="J48" s="351"/>
      <c r="K48" s="350"/>
      <c r="L48" s="349" t="s">
        <v>25</v>
      </c>
      <c r="M48" s="352" t="s">
        <v>186</v>
      </c>
      <c r="N48" s="353"/>
      <c r="O48" s="354">
        <v>45146</v>
      </c>
      <c r="P48" s="358"/>
      <c r="Q48" s="352" t="s">
        <v>406</v>
      </c>
      <c r="R48" s="350"/>
    </row>
    <row r="49" spans="1:18" s="309" customFormat="1" ht="15.75" customHeight="1">
      <c r="A49" s="340">
        <v>43</v>
      </c>
      <c r="B49" s="339">
        <v>45146</v>
      </c>
      <c r="C49" s="306" t="s">
        <v>407</v>
      </c>
      <c r="D49" s="306" t="s">
        <v>408</v>
      </c>
      <c r="E49" s="310">
        <v>979340879</v>
      </c>
      <c r="F49" s="307" t="s">
        <v>409</v>
      </c>
      <c r="G49" s="306" t="s">
        <v>372</v>
      </c>
      <c r="H49" s="306" t="s">
        <v>19</v>
      </c>
      <c r="I49" s="311">
        <v>44981</v>
      </c>
      <c r="J49" s="307"/>
      <c r="K49" s="306"/>
      <c r="L49" s="376" t="s">
        <v>25</v>
      </c>
      <c r="M49" s="377" t="s">
        <v>249</v>
      </c>
      <c r="N49" s="308"/>
      <c r="O49" s="312">
        <v>45146</v>
      </c>
      <c r="P49" s="313" t="s">
        <v>410</v>
      </c>
      <c r="Q49" s="314">
        <v>953182433</v>
      </c>
      <c r="R49" s="306"/>
    </row>
    <row r="50" spans="1:18" s="357" customFormat="1">
      <c r="A50" s="340">
        <v>44</v>
      </c>
      <c r="B50" s="354">
        <v>45147</v>
      </c>
      <c r="C50" s="348" t="s">
        <v>330</v>
      </c>
      <c r="D50" s="348" t="s">
        <v>331</v>
      </c>
      <c r="E50" s="349">
        <v>990024493</v>
      </c>
      <c r="F50" s="349" t="s">
        <v>328</v>
      </c>
      <c r="G50" s="350" t="s">
        <v>412</v>
      </c>
      <c r="H50" s="349" t="s">
        <v>184</v>
      </c>
      <c r="I50" s="347">
        <v>45062</v>
      </c>
      <c r="J50" s="351"/>
      <c r="K50" s="350"/>
      <c r="L50" s="349">
        <v>376959</v>
      </c>
      <c r="M50" s="352" t="s">
        <v>329</v>
      </c>
      <c r="N50" s="353"/>
      <c r="O50" s="354">
        <v>45147</v>
      </c>
      <c r="P50" s="355" t="s">
        <v>333</v>
      </c>
      <c r="Q50" s="352" t="s">
        <v>332</v>
      </c>
      <c r="R50" s="350"/>
    </row>
    <row r="51" spans="1:18" s="357" customFormat="1">
      <c r="A51" s="340">
        <v>45</v>
      </c>
      <c r="B51" s="354">
        <v>45147</v>
      </c>
      <c r="C51" s="348" t="s">
        <v>330</v>
      </c>
      <c r="D51" s="348" t="s">
        <v>331</v>
      </c>
      <c r="E51" s="349">
        <v>990024493</v>
      </c>
      <c r="F51" s="349" t="s">
        <v>397</v>
      </c>
      <c r="G51" s="350" t="s">
        <v>412</v>
      </c>
      <c r="H51" s="349" t="s">
        <v>184</v>
      </c>
      <c r="I51" s="347">
        <v>45062</v>
      </c>
      <c r="J51" s="351"/>
      <c r="K51" s="350"/>
      <c r="L51" s="349" t="s">
        <v>25</v>
      </c>
      <c r="M51" s="352" t="s">
        <v>334</v>
      </c>
      <c r="N51" s="353"/>
      <c r="O51" s="354">
        <v>45147</v>
      </c>
      <c r="P51" s="355" t="s">
        <v>333</v>
      </c>
      <c r="Q51" s="352" t="s">
        <v>332</v>
      </c>
      <c r="R51" s="350"/>
    </row>
    <row r="52" spans="1:18">
      <c r="A52" s="340">
        <v>46</v>
      </c>
      <c r="B52" s="315">
        <v>45148</v>
      </c>
      <c r="C52" s="316" t="s">
        <v>337</v>
      </c>
      <c r="D52" s="317" t="s">
        <v>338</v>
      </c>
      <c r="E52" s="318">
        <v>984884901</v>
      </c>
      <c r="F52" s="378" t="s">
        <v>335</v>
      </c>
      <c r="G52" s="300" t="s">
        <v>90</v>
      </c>
      <c r="H52" s="316" t="s">
        <v>129</v>
      </c>
      <c r="I52" s="319">
        <v>45099</v>
      </c>
      <c r="J52" s="301"/>
      <c r="K52" s="300"/>
      <c r="L52" s="320">
        <v>396207</v>
      </c>
      <c r="M52" s="374" t="s">
        <v>336</v>
      </c>
      <c r="N52" s="302"/>
      <c r="O52" s="315">
        <v>45148</v>
      </c>
      <c r="P52" s="337" t="s">
        <v>339</v>
      </c>
      <c r="Q52" s="321">
        <v>98488490</v>
      </c>
      <c r="R52" s="300"/>
    </row>
    <row r="53" spans="1:18">
      <c r="A53" s="340">
        <v>47</v>
      </c>
      <c r="B53" s="315">
        <v>45148</v>
      </c>
      <c r="C53" s="316" t="s">
        <v>343</v>
      </c>
      <c r="D53" s="317" t="s">
        <v>344</v>
      </c>
      <c r="E53" s="318">
        <v>999137292</v>
      </c>
      <c r="F53" s="378" t="s">
        <v>341</v>
      </c>
      <c r="G53" s="300" t="s">
        <v>90</v>
      </c>
      <c r="H53" s="316" t="s">
        <v>294</v>
      </c>
      <c r="I53" s="319">
        <v>45146</v>
      </c>
      <c r="J53" s="301"/>
      <c r="K53" s="300"/>
      <c r="L53" s="320">
        <v>393379</v>
      </c>
      <c r="M53" s="374" t="s">
        <v>342</v>
      </c>
      <c r="N53" s="302"/>
      <c r="O53" s="315">
        <v>45148</v>
      </c>
      <c r="P53" s="338" t="s">
        <v>345</v>
      </c>
      <c r="Q53" s="321">
        <v>101854958</v>
      </c>
      <c r="R53" s="300"/>
    </row>
    <row r="54" spans="1:18">
      <c r="A54" s="340">
        <v>48</v>
      </c>
      <c r="B54" s="315">
        <v>45152</v>
      </c>
      <c r="C54" s="316" t="s">
        <v>399</v>
      </c>
      <c r="D54" s="317" t="s">
        <v>348</v>
      </c>
      <c r="E54" s="318">
        <v>985563539</v>
      </c>
      <c r="F54" s="378" t="s">
        <v>346</v>
      </c>
      <c r="G54" s="300" t="s">
        <v>90</v>
      </c>
      <c r="H54" s="316" t="s">
        <v>19</v>
      </c>
      <c r="I54" s="319">
        <v>45077</v>
      </c>
      <c r="J54" s="301"/>
      <c r="K54" s="300"/>
      <c r="L54" s="320">
        <v>392021</v>
      </c>
      <c r="M54" s="374" t="s">
        <v>347</v>
      </c>
      <c r="N54" s="302"/>
      <c r="O54" s="315">
        <v>45152</v>
      </c>
      <c r="P54" s="337" t="s">
        <v>349</v>
      </c>
      <c r="Q54" s="321">
        <v>1717482119</v>
      </c>
      <c r="R54" s="300"/>
    </row>
    <row r="55" spans="1:18" s="357" customFormat="1">
      <c r="A55" s="340">
        <v>49</v>
      </c>
      <c r="B55" s="354">
        <v>45152</v>
      </c>
      <c r="C55" s="348" t="s">
        <v>189</v>
      </c>
      <c r="D55" s="348" t="s">
        <v>190</v>
      </c>
      <c r="E55" s="349">
        <v>993511412</v>
      </c>
      <c r="F55" s="349" t="s">
        <v>185</v>
      </c>
      <c r="G55" s="350" t="s">
        <v>412</v>
      </c>
      <c r="H55" s="349" t="s">
        <v>184</v>
      </c>
      <c r="I55" s="347"/>
      <c r="J55" s="351"/>
      <c r="K55" s="350"/>
      <c r="L55" s="349" t="s">
        <v>25</v>
      </c>
      <c r="M55" s="352" t="s">
        <v>188</v>
      </c>
      <c r="N55" s="353"/>
      <c r="O55" s="354">
        <v>45152</v>
      </c>
      <c r="P55" s="355"/>
      <c r="Q55" s="352" t="s">
        <v>191</v>
      </c>
      <c r="R55" s="350"/>
    </row>
    <row r="56" spans="1:18" s="357" customFormat="1">
      <c r="A56" s="340">
        <v>50</v>
      </c>
      <c r="B56" s="354">
        <v>45152</v>
      </c>
      <c r="C56" s="348" t="s">
        <v>189</v>
      </c>
      <c r="D56" s="348" t="s">
        <v>190</v>
      </c>
      <c r="E56" s="349">
        <v>993511412</v>
      </c>
      <c r="F56" s="349" t="s">
        <v>160</v>
      </c>
      <c r="G56" s="350" t="s">
        <v>412</v>
      </c>
      <c r="H56" s="349" t="s">
        <v>184</v>
      </c>
      <c r="I56" s="347">
        <v>45059</v>
      </c>
      <c r="J56" s="351"/>
      <c r="K56" s="350"/>
      <c r="L56" s="349" t="s">
        <v>25</v>
      </c>
      <c r="M56" s="352" t="s">
        <v>192</v>
      </c>
      <c r="N56" s="353"/>
      <c r="O56" s="354">
        <v>45152</v>
      </c>
      <c r="P56" s="355"/>
      <c r="Q56" s="352" t="s">
        <v>191</v>
      </c>
      <c r="R56" s="350"/>
    </row>
    <row r="57" spans="1:18" s="357" customFormat="1">
      <c r="A57" s="340">
        <v>51</v>
      </c>
      <c r="B57" s="354">
        <v>45152</v>
      </c>
      <c r="C57" s="348" t="s">
        <v>189</v>
      </c>
      <c r="D57" s="348" t="s">
        <v>190</v>
      </c>
      <c r="E57" s="349">
        <v>993511412</v>
      </c>
      <c r="F57" s="349" t="s">
        <v>193</v>
      </c>
      <c r="G57" s="350" t="s">
        <v>412</v>
      </c>
      <c r="H57" s="349" t="s">
        <v>184</v>
      </c>
      <c r="I57" s="347"/>
      <c r="J57" s="351"/>
      <c r="K57" s="350"/>
      <c r="L57" s="349" t="s">
        <v>25</v>
      </c>
      <c r="M57" s="352" t="s">
        <v>194</v>
      </c>
      <c r="N57" s="353"/>
      <c r="O57" s="354">
        <v>45152</v>
      </c>
      <c r="P57" s="355"/>
      <c r="Q57" s="352" t="s">
        <v>191</v>
      </c>
      <c r="R57" s="350"/>
    </row>
    <row r="58" spans="1:18" s="357" customFormat="1">
      <c r="A58" s="340">
        <v>52</v>
      </c>
      <c r="B58" s="354">
        <v>45152</v>
      </c>
      <c r="C58" s="348" t="s">
        <v>198</v>
      </c>
      <c r="D58" s="348" t="s">
        <v>199</v>
      </c>
      <c r="E58" s="349">
        <v>983884513</v>
      </c>
      <c r="F58" s="349" t="s">
        <v>196</v>
      </c>
      <c r="G58" s="350" t="s">
        <v>412</v>
      </c>
      <c r="H58" s="360" t="s">
        <v>129</v>
      </c>
      <c r="I58" s="360">
        <v>45145</v>
      </c>
      <c r="J58" s="351"/>
      <c r="K58" s="350"/>
      <c r="L58" s="349">
        <v>401982</v>
      </c>
      <c r="M58" s="352" t="s">
        <v>197</v>
      </c>
      <c r="N58" s="353"/>
      <c r="O58" s="354">
        <v>45152</v>
      </c>
      <c r="P58" s="355" t="s">
        <v>201</v>
      </c>
      <c r="Q58" s="352" t="s">
        <v>200</v>
      </c>
      <c r="R58" s="350"/>
    </row>
    <row r="59" spans="1:18" s="357" customFormat="1">
      <c r="A59" s="340">
        <v>53</v>
      </c>
      <c r="B59" s="354">
        <v>45152</v>
      </c>
      <c r="C59" s="348" t="s">
        <v>198</v>
      </c>
      <c r="D59" s="348" t="s">
        <v>199</v>
      </c>
      <c r="E59" s="349">
        <v>983884513</v>
      </c>
      <c r="F59" s="349" t="s">
        <v>202</v>
      </c>
      <c r="G59" s="350" t="s">
        <v>412</v>
      </c>
      <c r="H59" s="360" t="s">
        <v>129</v>
      </c>
      <c r="I59" s="360">
        <v>45145</v>
      </c>
      <c r="J59" s="351"/>
      <c r="K59" s="350"/>
      <c r="L59" s="349">
        <v>401974</v>
      </c>
      <c r="M59" s="352" t="s">
        <v>203</v>
      </c>
      <c r="N59" s="353"/>
      <c r="O59" s="354">
        <v>45152</v>
      </c>
      <c r="P59" s="355" t="s">
        <v>201</v>
      </c>
      <c r="Q59" s="352" t="s">
        <v>200</v>
      </c>
      <c r="R59" s="350"/>
    </row>
    <row r="60" spans="1:18" s="357" customFormat="1">
      <c r="A60" s="340">
        <v>54</v>
      </c>
      <c r="B60" s="354">
        <v>45153</v>
      </c>
      <c r="C60" s="348" t="s">
        <v>206</v>
      </c>
      <c r="D60" s="348" t="s">
        <v>207</v>
      </c>
      <c r="E60" s="349">
        <v>995142699</v>
      </c>
      <c r="F60" s="349" t="s">
        <v>204</v>
      </c>
      <c r="G60" s="350" t="s">
        <v>412</v>
      </c>
      <c r="H60" s="349" t="s">
        <v>19</v>
      </c>
      <c r="I60" s="347">
        <v>45113</v>
      </c>
      <c r="J60" s="351"/>
      <c r="K60" s="350"/>
      <c r="L60" s="349">
        <v>398854</v>
      </c>
      <c r="M60" s="352" t="s">
        <v>205</v>
      </c>
      <c r="N60" s="353"/>
      <c r="O60" s="354">
        <v>45153</v>
      </c>
      <c r="P60" s="355" t="s">
        <v>209</v>
      </c>
      <c r="Q60" s="352" t="s">
        <v>208</v>
      </c>
      <c r="R60" s="350"/>
    </row>
    <row r="61" spans="1:18" s="357" customFormat="1">
      <c r="A61" s="340">
        <v>55</v>
      </c>
      <c r="B61" s="354">
        <v>45153</v>
      </c>
      <c r="C61" s="348" t="s">
        <v>206</v>
      </c>
      <c r="D61" s="348" t="s">
        <v>207</v>
      </c>
      <c r="E61" s="349">
        <v>995142699</v>
      </c>
      <c r="F61" s="349" t="s">
        <v>210</v>
      </c>
      <c r="G61" s="350" t="s">
        <v>412</v>
      </c>
      <c r="H61" s="349" t="s">
        <v>19</v>
      </c>
      <c r="I61" s="347">
        <v>45113</v>
      </c>
      <c r="J61" s="351"/>
      <c r="K61" s="350"/>
      <c r="L61" s="349">
        <v>396263</v>
      </c>
      <c r="M61" s="352" t="s">
        <v>211</v>
      </c>
      <c r="N61" s="353"/>
      <c r="O61" s="354">
        <v>45153</v>
      </c>
      <c r="P61" s="355" t="s">
        <v>209</v>
      </c>
      <c r="Q61" s="352" t="s">
        <v>208</v>
      </c>
      <c r="R61" s="350"/>
    </row>
    <row r="62" spans="1:18" s="357" customFormat="1">
      <c r="A62" s="340">
        <v>56</v>
      </c>
      <c r="B62" s="354">
        <v>45153</v>
      </c>
      <c r="C62" s="348" t="s">
        <v>206</v>
      </c>
      <c r="D62" s="348" t="s">
        <v>207</v>
      </c>
      <c r="E62" s="349">
        <v>995142699</v>
      </c>
      <c r="F62" s="349" t="s">
        <v>212</v>
      </c>
      <c r="G62" s="350" t="s">
        <v>412</v>
      </c>
      <c r="H62" s="349" t="s">
        <v>19</v>
      </c>
      <c r="I62" s="347">
        <v>45113</v>
      </c>
      <c r="J62" s="351"/>
      <c r="K62" s="350"/>
      <c r="L62" s="349">
        <v>400036</v>
      </c>
      <c r="M62" s="352" t="s">
        <v>213</v>
      </c>
      <c r="N62" s="353"/>
      <c r="O62" s="354">
        <v>45153</v>
      </c>
      <c r="P62" s="355" t="s">
        <v>209</v>
      </c>
      <c r="Q62" s="352" t="s">
        <v>208</v>
      </c>
      <c r="R62" s="350"/>
    </row>
    <row r="63" spans="1:18" s="357" customFormat="1">
      <c r="A63" s="340">
        <v>57</v>
      </c>
      <c r="B63" s="354">
        <v>45153</v>
      </c>
      <c r="C63" s="348" t="s">
        <v>206</v>
      </c>
      <c r="D63" s="348" t="s">
        <v>207</v>
      </c>
      <c r="E63" s="349">
        <v>995142699</v>
      </c>
      <c r="F63" s="349" t="s">
        <v>185</v>
      </c>
      <c r="G63" s="350" t="s">
        <v>412</v>
      </c>
      <c r="H63" s="349" t="s">
        <v>19</v>
      </c>
      <c r="I63" s="347">
        <v>45113</v>
      </c>
      <c r="J63" s="351"/>
      <c r="K63" s="350"/>
      <c r="L63" s="349">
        <v>397247</v>
      </c>
      <c r="M63" s="352" t="s">
        <v>214</v>
      </c>
      <c r="N63" s="353"/>
      <c r="O63" s="354">
        <v>45153</v>
      </c>
      <c r="P63" s="355" t="s">
        <v>209</v>
      </c>
      <c r="Q63" s="352" t="s">
        <v>208</v>
      </c>
      <c r="R63" s="350"/>
    </row>
    <row r="64" spans="1:18" s="357" customFormat="1">
      <c r="A64" s="340">
        <v>58</v>
      </c>
      <c r="B64" s="354">
        <v>45154</v>
      </c>
      <c r="C64" s="348" t="s">
        <v>216</v>
      </c>
      <c r="D64" s="348" t="s">
        <v>217</v>
      </c>
      <c r="E64" s="349">
        <v>995930728</v>
      </c>
      <c r="F64" s="349" t="s">
        <v>160</v>
      </c>
      <c r="G64" s="350" t="s">
        <v>412</v>
      </c>
      <c r="H64" s="349" t="s">
        <v>19</v>
      </c>
      <c r="I64" s="347">
        <v>45019</v>
      </c>
      <c r="J64" s="351"/>
      <c r="K64" s="350"/>
      <c r="L64" s="349">
        <v>393761</v>
      </c>
      <c r="M64" s="352" t="s">
        <v>215</v>
      </c>
      <c r="N64" s="353"/>
      <c r="O64" s="354">
        <v>45154</v>
      </c>
      <c r="P64" s="355" t="s">
        <v>219</v>
      </c>
      <c r="Q64" s="352" t="s">
        <v>218</v>
      </c>
      <c r="R64" s="350"/>
    </row>
    <row r="65" spans="1:18" s="357" customFormat="1">
      <c r="A65" s="340">
        <v>59</v>
      </c>
      <c r="B65" s="354">
        <v>45154</v>
      </c>
      <c r="C65" s="348" t="s">
        <v>216</v>
      </c>
      <c r="D65" s="348" t="s">
        <v>217</v>
      </c>
      <c r="E65" s="349">
        <v>995930728</v>
      </c>
      <c r="F65" s="349" t="s">
        <v>220</v>
      </c>
      <c r="G65" s="350" t="s">
        <v>412</v>
      </c>
      <c r="H65" s="349" t="s">
        <v>19</v>
      </c>
      <c r="I65" s="347">
        <v>45019</v>
      </c>
      <c r="J65" s="351"/>
      <c r="K65" s="350"/>
      <c r="L65" s="349">
        <v>393761</v>
      </c>
      <c r="M65" s="352" t="s">
        <v>222</v>
      </c>
      <c r="N65" s="353"/>
      <c r="O65" s="354">
        <v>45154</v>
      </c>
      <c r="P65" s="355" t="s">
        <v>219</v>
      </c>
      <c r="Q65" s="352" t="s">
        <v>218</v>
      </c>
      <c r="R65" s="350"/>
    </row>
    <row r="66" spans="1:18" s="357" customFormat="1">
      <c r="A66" s="340">
        <v>60</v>
      </c>
      <c r="B66" s="354">
        <v>45154</v>
      </c>
      <c r="C66" s="348" t="s">
        <v>216</v>
      </c>
      <c r="D66" s="348" t="s">
        <v>217</v>
      </c>
      <c r="E66" s="349">
        <v>995930728</v>
      </c>
      <c r="F66" s="349" t="s">
        <v>221</v>
      </c>
      <c r="G66" s="350" t="s">
        <v>412</v>
      </c>
      <c r="H66" s="349" t="s">
        <v>19</v>
      </c>
      <c r="I66" s="347">
        <v>45019</v>
      </c>
      <c r="J66" s="351"/>
      <c r="K66" s="350"/>
      <c r="L66" s="349">
        <v>390922</v>
      </c>
      <c r="M66" s="352" t="s">
        <v>223</v>
      </c>
      <c r="N66" s="353"/>
      <c r="O66" s="354">
        <v>45154</v>
      </c>
      <c r="P66" s="355" t="s">
        <v>219</v>
      </c>
      <c r="Q66" s="352" t="s">
        <v>218</v>
      </c>
      <c r="R66" s="350"/>
    </row>
    <row r="67" spans="1:18" s="357" customFormat="1">
      <c r="A67" s="340">
        <v>61</v>
      </c>
      <c r="B67" s="354">
        <v>45154</v>
      </c>
      <c r="C67" s="348" t="s">
        <v>216</v>
      </c>
      <c r="D67" s="348" t="s">
        <v>217</v>
      </c>
      <c r="E67" s="349">
        <v>995930728</v>
      </c>
      <c r="F67" s="349" t="s">
        <v>151</v>
      </c>
      <c r="G67" s="350" t="s">
        <v>412</v>
      </c>
      <c r="H67" s="349" t="s">
        <v>19</v>
      </c>
      <c r="I67" s="347">
        <v>45019</v>
      </c>
      <c r="J67" s="351"/>
      <c r="K67" s="350"/>
      <c r="L67" s="349">
        <v>391338</v>
      </c>
      <c r="M67" s="352" t="s">
        <v>224</v>
      </c>
      <c r="N67" s="353"/>
      <c r="O67" s="354">
        <v>45154</v>
      </c>
      <c r="P67" s="355" t="s">
        <v>219</v>
      </c>
      <c r="Q67" s="352" t="s">
        <v>218</v>
      </c>
      <c r="R67" s="350"/>
    </row>
    <row r="68" spans="1:18" s="357" customFormat="1">
      <c r="A68" s="340">
        <v>62</v>
      </c>
      <c r="B68" s="354">
        <v>45155</v>
      </c>
      <c r="C68" s="348" t="s">
        <v>227</v>
      </c>
      <c r="D68" s="348" t="s">
        <v>228</v>
      </c>
      <c r="E68" s="349">
        <v>980330617</v>
      </c>
      <c r="F68" s="349" t="s">
        <v>225</v>
      </c>
      <c r="G68" s="350" t="s">
        <v>412</v>
      </c>
      <c r="H68" s="349" t="s">
        <v>19</v>
      </c>
      <c r="I68" s="347">
        <v>45143</v>
      </c>
      <c r="J68" s="351"/>
      <c r="K68" s="350"/>
      <c r="L68" s="349">
        <v>373064</v>
      </c>
      <c r="M68" s="352" t="s">
        <v>226</v>
      </c>
      <c r="N68" s="353"/>
      <c r="O68" s="354">
        <v>45155</v>
      </c>
      <c r="P68" s="355" t="s">
        <v>230</v>
      </c>
      <c r="Q68" s="352" t="s">
        <v>229</v>
      </c>
      <c r="R68" s="350"/>
    </row>
    <row r="69" spans="1:18" s="357" customFormat="1">
      <c r="A69" s="340">
        <v>63</v>
      </c>
      <c r="B69" s="354">
        <v>45155</v>
      </c>
      <c r="C69" s="348" t="s">
        <v>227</v>
      </c>
      <c r="D69" s="348" t="s">
        <v>228</v>
      </c>
      <c r="E69" s="349">
        <v>980330617</v>
      </c>
      <c r="F69" s="349" t="s">
        <v>231</v>
      </c>
      <c r="G69" s="350" t="s">
        <v>412</v>
      </c>
      <c r="H69" s="349" t="s">
        <v>19</v>
      </c>
      <c r="I69" s="347">
        <v>45143</v>
      </c>
      <c r="J69" s="351"/>
      <c r="K69" s="350"/>
      <c r="L69" s="349">
        <v>39770</v>
      </c>
      <c r="M69" s="352" t="s">
        <v>232</v>
      </c>
      <c r="N69" s="353"/>
      <c r="O69" s="354">
        <v>45155</v>
      </c>
      <c r="P69" s="355" t="s">
        <v>230</v>
      </c>
      <c r="Q69" s="352" t="s">
        <v>229</v>
      </c>
      <c r="R69" s="350"/>
    </row>
    <row r="70" spans="1:18">
      <c r="A70" s="340">
        <v>64</v>
      </c>
      <c r="B70" s="315">
        <v>45155</v>
      </c>
      <c r="C70" s="316" t="s">
        <v>411</v>
      </c>
      <c r="D70" s="317" t="s">
        <v>353</v>
      </c>
      <c r="E70" s="318">
        <v>987918492</v>
      </c>
      <c r="F70" s="378" t="s">
        <v>351</v>
      </c>
      <c r="G70" s="300" t="s">
        <v>90</v>
      </c>
      <c r="H70" s="316" t="s">
        <v>109</v>
      </c>
      <c r="I70" s="319">
        <v>45110</v>
      </c>
      <c r="J70" s="301"/>
      <c r="K70" s="300"/>
      <c r="L70" s="320">
        <v>385270</v>
      </c>
      <c r="M70" s="374" t="s">
        <v>352</v>
      </c>
      <c r="N70" s="302"/>
      <c r="O70" s="315">
        <v>45155</v>
      </c>
      <c r="P70" s="337" t="s">
        <v>354</v>
      </c>
      <c r="Q70" s="321">
        <v>104134416</v>
      </c>
      <c r="R70" s="300"/>
    </row>
  </sheetData>
  <hyperlinks>
    <hyperlink ref="P9" r:id="rId1"/>
    <hyperlink ref="P10" r:id="rId2"/>
    <hyperlink ref="P12" r:id="rId3"/>
    <hyperlink ref="P13" r:id="rId4"/>
    <hyperlink ref="P14" r:id="rId5"/>
    <hyperlink ref="P8" r:id="rId6"/>
    <hyperlink ref="P15" r:id="rId7"/>
    <hyperlink ref="P19" r:id="rId8"/>
    <hyperlink ref="P20" r:id="rId9"/>
    <hyperlink ref="P11" r:id="rId10"/>
    <hyperlink ref="P21" r:id="rId11"/>
    <hyperlink ref="P22" r:id="rId12"/>
    <hyperlink ref="P25" r:id="rId13"/>
    <hyperlink ref="P26" r:id="rId14"/>
    <hyperlink ref="P27" r:id="rId15"/>
    <hyperlink ref="P31" r:id="rId16"/>
    <hyperlink ref="P32" r:id="rId17"/>
    <hyperlink ref="P33" r:id="rId18"/>
    <hyperlink ref="P34" r:id="rId19"/>
    <hyperlink ref="P35" r:id="rId20"/>
    <hyperlink ref="P36" r:id="rId21"/>
    <hyperlink ref="P37" r:id="rId22"/>
    <hyperlink ref="P38" r:id="rId23"/>
    <hyperlink ref="P39" r:id="rId24"/>
    <hyperlink ref="P40" r:id="rId25"/>
    <hyperlink ref="P41" r:id="rId26"/>
    <hyperlink ref="P42" r:id="rId27"/>
    <hyperlink ref="P44" r:id="rId28"/>
    <hyperlink ref="P45" r:id="rId29"/>
    <hyperlink ref="P49" r:id="rId30"/>
    <hyperlink ref="P52" r:id="rId31"/>
    <hyperlink ref="P53" r:id="rId32"/>
    <hyperlink ref="P54" r:id="rId33"/>
    <hyperlink ref="P50" r:id="rId34"/>
    <hyperlink ref="P51" r:id="rId35"/>
    <hyperlink ref="P58" r:id="rId36"/>
    <hyperlink ref="P59" r:id="rId37"/>
    <hyperlink ref="P60" r:id="rId38"/>
    <hyperlink ref="P61" r:id="rId39"/>
    <hyperlink ref="P62" r:id="rId40"/>
    <hyperlink ref="P63" r:id="rId41"/>
    <hyperlink ref="P64" r:id="rId42"/>
    <hyperlink ref="P65" r:id="rId43"/>
    <hyperlink ref="P66" r:id="rId44"/>
    <hyperlink ref="P67" r:id="rId45"/>
    <hyperlink ref="P68" r:id="rId46"/>
    <hyperlink ref="P69" r:id="rId47"/>
    <hyperlink ref="P70" r:id="rId48"/>
    <hyperlink ref="P28" r:id="rId49"/>
    <hyperlink ref="P29" r:id="rId50"/>
    <hyperlink ref="P30" r:id="rId51"/>
    <hyperlink ref="P23" r:id="rId52"/>
    <hyperlink ref="P24" r:id="rId53"/>
  </hyperlinks>
  <pageMargins left="0.7" right="0.7" top="0.75" bottom="0.75" header="0.3" footer="0.3"/>
  <pageSetup paperSize="9" orientation="portrait" horizontalDpi="0" verticalDpi="0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</vt:lpstr>
      <vt:lpstr>BBQ</vt:lpstr>
      <vt:lpstr>1 PRODUCTO</vt:lpstr>
      <vt:lpstr>PROMOCION</vt:lpstr>
      <vt:lpstr>GARANTIAS</vt:lpstr>
      <vt:lpstr>CONSOLIDADO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mariela</cp:lastModifiedBy>
  <dcterms:created xsi:type="dcterms:W3CDTF">2023-08-18T15:37:10Z</dcterms:created>
  <dcterms:modified xsi:type="dcterms:W3CDTF">2023-08-22T02:14:27Z</dcterms:modified>
</cp:coreProperties>
</file>