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/>
  <mc:AlternateContent xmlns:mc="http://schemas.openxmlformats.org/markup-compatibility/2006">
    <mc:Choice Requires="x15">
      <x15ac:absPath xmlns:x15ac="http://schemas.microsoft.com/office/spreadsheetml/2010/11/ac" url="/Users/olivercapelo/Desktop/"/>
    </mc:Choice>
  </mc:AlternateContent>
  <xr:revisionPtr revIDLastSave="0" documentId="13_ncr:1_{576D4C8A-F4FE-2749-9092-ED5EC661EFF1}" xr6:coauthVersionLast="47" xr6:coauthVersionMax="47" xr10:uidLastSave="{00000000-0000-0000-0000-000000000000}"/>
  <bookViews>
    <workbookView xWindow="0" yWindow="500" windowWidth="44800" windowHeight="23000" activeTab="5" xr2:uid="{00000000-000D-0000-FFFF-FFFF00000000}"/>
  </bookViews>
  <sheets>
    <sheet name="PROMOCION" sheetId="1" r:id="rId1"/>
    <sheet name="GARANTIA" sheetId="2" r:id="rId2"/>
    <sheet name="BBQ" sheetId="3" r:id="rId3"/>
    <sheet name="ALMACENES " sheetId="4" r:id="rId4"/>
    <sheet name="PROYECTO " sheetId="5" r:id="rId5"/>
    <sheet name="1 PRODUCTO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7" i="2" l="1"/>
  <c r="M22" i="2"/>
  <c r="M21" i="2"/>
  <c r="M20" i="2"/>
  <c r="M19" i="2"/>
  <c r="O71" i="1"/>
  <c r="M23" i="2" l="1"/>
  <c r="M72" i="1"/>
  <c r="M74" i="1" l="1"/>
  <c r="M73" i="1"/>
  <c r="M75" i="1" l="1"/>
</calcChain>
</file>

<file path=xl/sharedStrings.xml><?xml version="1.0" encoding="utf-8"?>
<sst xmlns="http://schemas.openxmlformats.org/spreadsheetml/2006/main" count="1281" uniqueCount="453">
  <si>
    <t xml:space="preserve">TEKA ECUADOR S.A. </t>
  </si>
  <si>
    <t>Registro Único de Contribuyente: 1791883144001</t>
  </si>
  <si>
    <t xml:space="preserve">FECHA DE COMPRA </t>
  </si>
  <si>
    <t xml:space="preserve">LUGAR DE COMRPA </t>
  </si>
  <si>
    <t>NUMERO DE FACTURA DE COMPRA</t>
  </si>
  <si>
    <t xml:space="preserve">CODIGO DEL PRODUCTO </t>
  </si>
  <si>
    <t xml:space="preserve">DESCRIPCION DE PRODUCTO </t>
  </si>
  <si>
    <t xml:space="preserve">SERIE DEL EQUIPO </t>
  </si>
  <si>
    <t>GARANTIA DEL EQUIPO</t>
  </si>
  <si>
    <t xml:space="preserve">TECNICO </t>
  </si>
  <si>
    <t xml:space="preserve">CIUDAD </t>
  </si>
  <si>
    <t xml:space="preserve">FECHA DE INSTALACION </t>
  </si>
  <si>
    <t>NOMBRE DEL CLIENTE</t>
  </si>
  <si>
    <t xml:space="preserve">DIRECCION INSTALACION </t>
  </si>
  <si>
    <t>CELULAR DEL CLIENTE</t>
  </si>
  <si>
    <t>PRECIO</t>
  </si>
  <si>
    <t xml:space="preserve">COMO LLEGO LA INFORMACION </t>
  </si>
  <si>
    <t>TÉCNICO QUE ATENDIÓ</t>
  </si>
  <si>
    <t xml:space="preserve">VIÁTICO </t>
  </si>
  <si>
    <t>FACTURA NUMERO</t>
  </si>
  <si>
    <t>CEDULA O RUC</t>
  </si>
  <si>
    <t xml:space="preserve">CORREO DEL CLIENTE </t>
  </si>
  <si>
    <t>Cliente final</t>
  </si>
  <si>
    <t xml:space="preserve">PROMOCION </t>
  </si>
  <si>
    <t xml:space="preserve">                  TRABAJOS EN GARANTÍAS</t>
  </si>
  <si>
    <t>Para Ing. Fernández</t>
  </si>
  <si>
    <t>Fecha de Compra</t>
  </si>
  <si>
    <t>Fecha de Intervención</t>
  </si>
  <si>
    <t>Cantidad</t>
  </si>
  <si>
    <t>Código del repuesto</t>
  </si>
  <si>
    <t>Descripción del Repuesto</t>
  </si>
  <si>
    <t xml:space="preserve">Codigo del Producto </t>
  </si>
  <si>
    <t>Descripción del Producto</t>
  </si>
  <si>
    <t>Serie</t>
  </si>
  <si>
    <t>Garantía</t>
  </si>
  <si>
    <t xml:space="preserve">Técnico </t>
  </si>
  <si>
    <t>Cliente</t>
  </si>
  <si>
    <t>Observación</t>
  </si>
  <si>
    <t xml:space="preserve">valor a pagar </t>
  </si>
  <si>
    <t>Cédula</t>
  </si>
  <si>
    <t>Correo</t>
  </si>
  <si>
    <t>telefono del cliente</t>
  </si>
  <si>
    <t>SAP</t>
  </si>
  <si>
    <t xml:space="preserve">     TEKA ECUADOR S.A. </t>
  </si>
  <si>
    <t xml:space="preserve">    Registro Único de Contribuyente: 1791883144001</t>
  </si>
  <si>
    <t>BBQ</t>
  </si>
  <si>
    <t xml:space="preserve">FECHA INSTALACION </t>
  </si>
  <si>
    <t xml:space="preserve">COMO LLEGO INFORMACION </t>
  </si>
  <si>
    <t>TECNICO QUE ATENDIO</t>
  </si>
  <si>
    <t>VIATICOS</t>
  </si>
  <si>
    <t>CORREO DEL CLIENTE</t>
  </si>
  <si>
    <t>TEKA ECUADOR S.A.</t>
  </si>
  <si>
    <t>FECHA DE COMPRA</t>
  </si>
  <si>
    <t>LUGAR DE COMRPA</t>
  </si>
  <si>
    <t>CODIGO DEL PRODUCTO</t>
  </si>
  <si>
    <t>DESCRIPCION DE PRODUCTO</t>
  </si>
  <si>
    <t>SERIE DEL EQUIPO</t>
  </si>
  <si>
    <t>TECNICO</t>
  </si>
  <si>
    <t>CIUDAD</t>
  </si>
  <si>
    <t>FECHA INSTALACION</t>
  </si>
  <si>
    <t>DIRECCION INSTALACION</t>
  </si>
  <si>
    <t>COMO LLEGO INFORMACION</t>
  </si>
  <si>
    <t xml:space="preserve">ALMACENES </t>
  </si>
  <si>
    <t>DETALLE DE PRODUCTOS INSTALADOS EN PROYECTO</t>
  </si>
  <si>
    <t xml:space="preserve">COMO NOS LLEGO LA INFORMACION </t>
  </si>
  <si>
    <t>Nombre de cliente</t>
  </si>
  <si>
    <t xml:space="preserve">Celular cliente </t>
  </si>
  <si>
    <t>VALOR</t>
  </si>
  <si>
    <t>RUC O CEDULA DUEÑO DE CASA</t>
  </si>
  <si>
    <t xml:space="preserve">CORREO DEL DUEÑO DE CASA </t>
  </si>
  <si>
    <t>DPTO.</t>
  </si>
  <si>
    <t>RECIBIDO POR</t>
  </si>
  <si>
    <t>CÉDULA</t>
  </si>
  <si>
    <t xml:space="preserve">PROYECTO </t>
  </si>
  <si>
    <t>Capelo</t>
  </si>
  <si>
    <t>Cuenca</t>
  </si>
  <si>
    <t>Comercial Solis</t>
  </si>
  <si>
    <t>CAPELO</t>
  </si>
  <si>
    <t>CUENCA</t>
  </si>
  <si>
    <t>Barbacoa a Gas T-BBQ 4100 SS</t>
  </si>
  <si>
    <t>De Cristian Capelo</t>
  </si>
  <si>
    <t>UN SOLO PRODUCTO</t>
  </si>
  <si>
    <t>CLIENTE FINAL</t>
  </si>
  <si>
    <t>CORREO ELECTRONICO</t>
  </si>
  <si>
    <t xml:space="preserve"> </t>
  </si>
  <si>
    <t>Sukasa</t>
  </si>
  <si>
    <t>Horno HLB 8416 BK</t>
  </si>
  <si>
    <t>Campana GFH 73</t>
  </si>
  <si>
    <t>Microondas ML 822 BIS L</t>
  </si>
  <si>
    <t>Mercard</t>
  </si>
  <si>
    <t>Campana DVN 94030 TCL BK</t>
  </si>
  <si>
    <t>Horno HSB 646 SS</t>
  </si>
  <si>
    <t>Microondas ML 820 BIS</t>
  </si>
  <si>
    <t>Cocina GZC 95320 XBB</t>
  </si>
  <si>
    <t>Cocina GBC 64000 KBB</t>
  </si>
  <si>
    <t>SEPTIEMBRE 2024</t>
  </si>
  <si>
    <t>KYWI</t>
  </si>
  <si>
    <t>Cocina JZC 96342 BBB</t>
  </si>
  <si>
    <t>Microondas MS 622 BIS L</t>
  </si>
  <si>
    <t>Edf. Ager</t>
  </si>
  <si>
    <t>Horno HBB 535 SS</t>
  </si>
  <si>
    <t>Cocina JZC 96324 ABB</t>
  </si>
  <si>
    <t>Horno HSB 610 BK</t>
  </si>
  <si>
    <t>Refrigeradora RLF 74920 SS</t>
  </si>
  <si>
    <t>Home Vega</t>
  </si>
  <si>
    <t>Cocina GBC 95030 KBB</t>
  </si>
  <si>
    <t>Microondas MWG 14X</t>
  </si>
  <si>
    <t>Campana C910</t>
  </si>
  <si>
    <t>Charasol</t>
  </si>
  <si>
    <t>Cocina GBC 75030 KBB</t>
  </si>
  <si>
    <t>Horno HBB 510 BK</t>
  </si>
  <si>
    <t>Campana C9310</t>
  </si>
  <si>
    <t>Campana C710</t>
  </si>
  <si>
    <t>Cristian Capelo</t>
  </si>
  <si>
    <t>ventas@comercialsolis.com.ec</t>
  </si>
  <si>
    <t>Boyaca</t>
  </si>
  <si>
    <t>Campana C7310</t>
  </si>
  <si>
    <t>Noviembre 2024</t>
  </si>
  <si>
    <t>CAPELO NOVIEMBRE 2024</t>
  </si>
  <si>
    <t>Capelo Noviembre 2024</t>
  </si>
  <si>
    <t>CAPELO - NOVIEMBRE 2024</t>
  </si>
  <si>
    <t>016-902-00481947</t>
  </si>
  <si>
    <t>ZP246D00148</t>
  </si>
  <si>
    <t>Romel Figueroa</t>
  </si>
  <si>
    <t>Uncovia</t>
  </si>
  <si>
    <t>romel7173@hotmail.com</t>
  </si>
  <si>
    <t>Campana DG 780</t>
  </si>
  <si>
    <t>PX212Q00042</t>
  </si>
  <si>
    <t>001-501-000002983</t>
  </si>
  <si>
    <t>ZP246D00171</t>
  </si>
  <si>
    <t>Eulalia Barrera</t>
  </si>
  <si>
    <t>Cdla Eucaliptos</t>
  </si>
  <si>
    <t>eulalibarrera1966@gmail.com</t>
  </si>
  <si>
    <t>TZ244J19269</t>
  </si>
  <si>
    <t>040-103-000008951</t>
  </si>
  <si>
    <t>Cocina IZC 64010 MSSBK</t>
  </si>
  <si>
    <t>ZP241801686</t>
  </si>
  <si>
    <t>Santiago Palacios</t>
  </si>
  <si>
    <t>tatagosh@hotmail.com</t>
  </si>
  <si>
    <t>Cocina GZC 32300 XBB</t>
  </si>
  <si>
    <t>ZP23AG00511</t>
  </si>
  <si>
    <t>014-004-000052179</t>
  </si>
  <si>
    <t>Horno HSB 615 SS</t>
  </si>
  <si>
    <t>TZ234T22345</t>
  </si>
  <si>
    <t>Emilia Crespo</t>
  </si>
  <si>
    <t>Sinincay</t>
  </si>
  <si>
    <t>emycrespo36@hotmail.com</t>
  </si>
  <si>
    <t>014-004-000051474</t>
  </si>
  <si>
    <t>Lavavajillas DW 857 FIM-D</t>
  </si>
  <si>
    <t>MD225L02737</t>
  </si>
  <si>
    <t>DKIMPORT SA</t>
  </si>
  <si>
    <t>002-001-000002372</t>
  </si>
  <si>
    <t>Cocina JZC 95314 ABB</t>
  </si>
  <si>
    <t>ZP213R00026</t>
  </si>
  <si>
    <t>001-500-000066068</t>
  </si>
  <si>
    <t>Cocina EX 90.1 5GAIDRLEFT CI</t>
  </si>
  <si>
    <t>ZP212F00006</t>
  </si>
  <si>
    <t>Jhonathan Calle</t>
  </si>
  <si>
    <t>Constantino Mendoza y Pasillo</t>
  </si>
  <si>
    <t>jonnathancalle2603@gmail.com</t>
  </si>
  <si>
    <t>Horno HLB 760 GLPG E 10</t>
  </si>
  <si>
    <t>TZ246502731</t>
  </si>
  <si>
    <t>TP242F04604</t>
  </si>
  <si>
    <t>040-103-000068215</t>
  </si>
  <si>
    <t>ZP245900334</t>
  </si>
  <si>
    <t>Marcelo Vintimilla</t>
  </si>
  <si>
    <t>Edf. Terra</t>
  </si>
  <si>
    <t>mjvintimilla93@gmail.com</t>
  </si>
  <si>
    <t>TZ244V25785</t>
  </si>
  <si>
    <t>001-500-000066772</t>
  </si>
  <si>
    <t>ZP242P00726</t>
  </si>
  <si>
    <t>Elsa Vasquez</t>
  </si>
  <si>
    <t>Edf. Navarro</t>
  </si>
  <si>
    <t>elsavasquezv@hotmail.com</t>
  </si>
  <si>
    <t>ZP242500130</t>
  </si>
  <si>
    <t>ZP242500127</t>
  </si>
  <si>
    <t>043-904-000045625</t>
  </si>
  <si>
    <t>Cocina EX90.1 5GAIDRLEFTCI</t>
  </si>
  <si>
    <t>TP242F03756</t>
  </si>
  <si>
    <t>Vicente Bermeo</t>
  </si>
  <si>
    <t>Julio Torres y Pedro Janner</t>
  </si>
  <si>
    <t>043-909-000000163</t>
  </si>
  <si>
    <t>ZP245H00600</t>
  </si>
  <si>
    <t>Yunguilla</t>
  </si>
  <si>
    <t>luciadominguezv@ucuenca.edu.ec</t>
  </si>
  <si>
    <t xml:space="preserve">Microondas MS 620 BIS </t>
  </si>
  <si>
    <t>TP243N09664</t>
  </si>
  <si>
    <t>TP241R06462</t>
  </si>
  <si>
    <t>TZ237K17830</t>
  </si>
  <si>
    <t>MD247L00220</t>
  </si>
  <si>
    <t>Triturador TR 710.1</t>
  </si>
  <si>
    <t>240428AF0707</t>
  </si>
  <si>
    <t>043-903-000036714</t>
  </si>
  <si>
    <t>EK244200026</t>
  </si>
  <si>
    <t>Mario Otavalo</t>
  </si>
  <si>
    <t>San Juan Pamba</t>
  </si>
  <si>
    <t>valeriaotavalo9@gmail.com</t>
  </si>
  <si>
    <t>ZP245H00438</t>
  </si>
  <si>
    <t>SAKASA</t>
  </si>
  <si>
    <t>040-107-000001468</t>
  </si>
  <si>
    <t>TZ246R20560</t>
  </si>
  <si>
    <t>Sandy Roman</t>
  </si>
  <si>
    <t>Isabel Tamariz 1-48</t>
  </si>
  <si>
    <t>sroman@plasticosrival.com</t>
  </si>
  <si>
    <t>040-107-000001466</t>
  </si>
  <si>
    <t>TP247904251</t>
  </si>
  <si>
    <t>043-905-000041770</t>
  </si>
  <si>
    <t>001-500-000066767</t>
  </si>
  <si>
    <t>TZ241R25257</t>
  </si>
  <si>
    <t>Dolores Maldonado</t>
  </si>
  <si>
    <t>Av. Del Chofer</t>
  </si>
  <si>
    <t>bettymaldonadot@hotmail.com</t>
  </si>
  <si>
    <t>TP245L01717</t>
  </si>
  <si>
    <t>TP246E08443</t>
  </si>
  <si>
    <t>Cocina GBC 7561 GBA BM</t>
  </si>
  <si>
    <t>ZP241G00789</t>
  </si>
  <si>
    <t>001-501-000002569</t>
  </si>
  <si>
    <t>ZP242P00813</t>
  </si>
  <si>
    <t>Maria Agusta Bermeo</t>
  </si>
  <si>
    <t>Jaramijo y Pedro Puelles</t>
  </si>
  <si>
    <t>magubs@hotmail.com</t>
  </si>
  <si>
    <t>EK243M00010</t>
  </si>
  <si>
    <t>016-902-000484410</t>
  </si>
  <si>
    <t>ZP245800130</t>
  </si>
  <si>
    <t>Las Pencas</t>
  </si>
  <si>
    <t>juan.sq06@gmail.com</t>
  </si>
  <si>
    <t>TP245H11271</t>
  </si>
  <si>
    <t>001-500-000067066</t>
  </si>
  <si>
    <t>TP246H03268</t>
  </si>
  <si>
    <t>Carmen Ramon</t>
  </si>
  <si>
    <t>Paseo Milchichig</t>
  </si>
  <si>
    <t>ZP245400515</t>
  </si>
  <si>
    <t>Juan Quintuña</t>
  </si>
  <si>
    <t>001-101-000003564</t>
  </si>
  <si>
    <t>MD247L00309</t>
  </si>
  <si>
    <t>Casales del Sol</t>
  </si>
  <si>
    <t>maria.velez.m@hotmail.com</t>
  </si>
  <si>
    <t>Maria Del Carmen Velez</t>
  </si>
  <si>
    <t>ZP243E00213</t>
  </si>
  <si>
    <t>006-002-000156884</t>
  </si>
  <si>
    <t>TZ244J19268</t>
  </si>
  <si>
    <t>Luis Miguel Astudillo</t>
  </si>
  <si>
    <t>Villa Juliana</t>
  </si>
  <si>
    <t>lmastudillo115@hotmail.com</t>
  </si>
  <si>
    <t>TP235902428</t>
  </si>
  <si>
    <t>ZP244300164</t>
  </si>
  <si>
    <t>001-501-000003645</t>
  </si>
  <si>
    <t>Refrigeradora RMF 77960 GBK MX</t>
  </si>
  <si>
    <t>TKA2C4A3974001</t>
  </si>
  <si>
    <t>Monserrath Bueno</t>
  </si>
  <si>
    <t>Via Racar</t>
  </si>
  <si>
    <t>monse.bueno@hotmail.com</t>
  </si>
  <si>
    <t>001-500-000067790</t>
  </si>
  <si>
    <t>TZ244525066</t>
  </si>
  <si>
    <t>043-904-000048849</t>
  </si>
  <si>
    <t>TP242C00795</t>
  </si>
  <si>
    <t>Diana Ruilova</t>
  </si>
  <si>
    <t>dianaruilova23@hotmail.com</t>
  </si>
  <si>
    <t>ZP242600114</t>
  </si>
  <si>
    <t>SUKASA</t>
  </si>
  <si>
    <t>040-104-000007913</t>
  </si>
  <si>
    <t>TZ247H16481</t>
  </si>
  <si>
    <t>Tania Gonzalez</t>
  </si>
  <si>
    <t>Benigno Malo y Calle Larga</t>
  </si>
  <si>
    <t>taniag02@hotmail.com</t>
  </si>
  <si>
    <t>Cocina IZF 64440 MPS BK</t>
  </si>
  <si>
    <t>ZP243U00244</t>
  </si>
  <si>
    <t>MC234H00010</t>
  </si>
  <si>
    <t>001-500-000067197</t>
  </si>
  <si>
    <t>MW243T01815</t>
  </si>
  <si>
    <t>Priscila Guerra</t>
  </si>
  <si>
    <t>Hurtado de Mendoza y Reventador</t>
  </si>
  <si>
    <t>priscila-guerra@hotmail.com</t>
  </si>
  <si>
    <t>TZ241N20983</t>
  </si>
  <si>
    <t>016-907-000226329</t>
  </si>
  <si>
    <t>ZP241R00325</t>
  </si>
  <si>
    <t>Juan Carlos Zucozhañay</t>
  </si>
  <si>
    <t>Mariano Cueva</t>
  </si>
  <si>
    <t>saturtex@hotmail.com</t>
  </si>
  <si>
    <t>TP244K11612</t>
  </si>
  <si>
    <t>001-001-000000196</t>
  </si>
  <si>
    <t>MD247L00367</t>
  </si>
  <si>
    <t>Diego Proaño</t>
  </si>
  <si>
    <t>Edf. Horizzonte</t>
  </si>
  <si>
    <t>007-006-000131613</t>
  </si>
  <si>
    <t>Horno HSB 635 SS</t>
  </si>
  <si>
    <t>TZ247H15825</t>
  </si>
  <si>
    <t xml:space="preserve">Byron Machado </t>
  </si>
  <si>
    <t>Edf. Pablos</t>
  </si>
  <si>
    <t>machadob5@hotmail.com</t>
  </si>
  <si>
    <t>040-104-000005965</t>
  </si>
  <si>
    <t>TP243N09610</t>
  </si>
  <si>
    <t>Cocina JZC 64322 ABB</t>
  </si>
  <si>
    <t>ZP243700493</t>
  </si>
  <si>
    <t>Ana Lucia Merchan</t>
  </si>
  <si>
    <t>Chaullabamba</t>
  </si>
  <si>
    <t>analumerchan@gmail</t>
  </si>
  <si>
    <t>TZ245N21778</t>
  </si>
  <si>
    <t>TP245703606</t>
  </si>
  <si>
    <t>Lucia Dominguez</t>
  </si>
  <si>
    <t>001-500-000056827</t>
  </si>
  <si>
    <t>Cocina EX 90.1 5G AIDRLEFT</t>
  </si>
  <si>
    <t>ZP20BN00003</t>
  </si>
  <si>
    <t>dvillavicencio@spring.com.ec</t>
  </si>
  <si>
    <t>Al 20 de NOVIEMBRE del 2024</t>
  </si>
  <si>
    <t>Conjunto Intrerruptor TR 50 Rearme</t>
  </si>
  <si>
    <t>Triturador TR 510.1</t>
  </si>
  <si>
    <t>23071DAF1981</t>
  </si>
  <si>
    <t>Rene Baculima</t>
  </si>
  <si>
    <t>Interruptor Averiado, Cambio de Interruptor</t>
  </si>
  <si>
    <t>renebaculima58@gmail.com</t>
  </si>
  <si>
    <t>007-007-000027740</t>
  </si>
  <si>
    <t>220315AF0089</t>
  </si>
  <si>
    <t>Fabiola Patiño</t>
  </si>
  <si>
    <t>Cambio de Producto</t>
  </si>
  <si>
    <t>documentos1acero@gmail.com</t>
  </si>
  <si>
    <t>016-902-000406562</t>
  </si>
  <si>
    <t>Bujia TC EFX A</t>
  </si>
  <si>
    <t>Cocina GBC 75030KBB</t>
  </si>
  <si>
    <t>ZP229G00061</t>
  </si>
  <si>
    <t>Israel Palacios</t>
  </si>
  <si>
    <t>Ricaurte</t>
  </si>
  <si>
    <t>israelpalacios245@gmail.com</t>
  </si>
  <si>
    <t>001-001-000002224</t>
  </si>
  <si>
    <t>Grifo 32 CGW LUX 60 46 VRD A</t>
  </si>
  <si>
    <t>Cocina EFX 90.1 6GAIALDRCI</t>
  </si>
  <si>
    <t>ZP215M00010</t>
  </si>
  <si>
    <t>Hans Ochoa</t>
  </si>
  <si>
    <t>Cambio de Pieza</t>
  </si>
  <si>
    <t>h8az6@hotmail.com</t>
  </si>
  <si>
    <t>001-500-000047007</t>
  </si>
  <si>
    <t>001-500-000066795</t>
  </si>
  <si>
    <t>112580058</t>
  </si>
  <si>
    <t>ZP242P00822</t>
  </si>
  <si>
    <t>Felipe Mejia</t>
  </si>
  <si>
    <t>Cedros y Margaritas</t>
  </si>
  <si>
    <t>luisfemg_7@hotmail.com</t>
  </si>
  <si>
    <t>Puerta Horno no cierra</t>
  </si>
  <si>
    <t>Horno HLF 824 G</t>
  </si>
  <si>
    <t>TZ241B11752</t>
  </si>
  <si>
    <t>Guido Hualpa</t>
  </si>
  <si>
    <t>Visagra Tornillos Flojos</t>
  </si>
  <si>
    <t>bdrllc@gmail.com</t>
  </si>
  <si>
    <t>016-903-000520913</t>
  </si>
  <si>
    <t>Lavavajillas DW8 57 FIM-D</t>
  </si>
  <si>
    <t>MD247L00265</t>
  </si>
  <si>
    <t>Javier Valencia</t>
  </si>
  <si>
    <t>remihurt@hotmail.coom</t>
  </si>
  <si>
    <t>001-101-000003419</t>
  </si>
  <si>
    <t>Trituradores</t>
  </si>
  <si>
    <t>Cocinas</t>
  </si>
  <si>
    <t>Horno</t>
  </si>
  <si>
    <t>Lavavajillas</t>
  </si>
  <si>
    <t>007-006-000131486</t>
  </si>
  <si>
    <t>112570126</t>
  </si>
  <si>
    <t>ZP244300202</t>
  </si>
  <si>
    <t>Maria Amoroso</t>
  </si>
  <si>
    <t>Edificio Santa Lucia</t>
  </si>
  <si>
    <r>
      <t>mariaamorosorodas</t>
    </r>
    <r>
      <rPr>
        <b/>
        <u/>
        <sz val="11"/>
        <color theme="10"/>
        <rFont val="Aptos Narrow"/>
        <scheme val="minor"/>
      </rPr>
      <t>hotmail.com</t>
    </r>
  </si>
  <si>
    <t>Como Hogar</t>
  </si>
  <si>
    <t>040-103-000008896</t>
  </si>
  <si>
    <t>40467320</t>
  </si>
  <si>
    <t>TP243M06247</t>
  </si>
  <si>
    <t>Fabian Gutierrez</t>
  </si>
  <si>
    <t>Urbanizacion Vista al Rio</t>
  </si>
  <si>
    <t>fgutierrez-fpc@hotmail.com</t>
  </si>
  <si>
    <t>112570068</t>
  </si>
  <si>
    <t>001-500-000067568</t>
  </si>
  <si>
    <t>112570016</t>
  </si>
  <si>
    <t>ZP237K00351</t>
  </si>
  <si>
    <t>Maribel Argudo</t>
  </si>
  <si>
    <t>Mariscal Lamar</t>
  </si>
  <si>
    <t>maribel-repcar2@hotmail.com</t>
  </si>
  <si>
    <t>001-500-000066789</t>
  </si>
  <si>
    <t>ZP242P00729</t>
  </si>
  <si>
    <t>Paz Argudo</t>
  </si>
  <si>
    <t>Tomas Ordoñez</t>
  </si>
  <si>
    <t>elenag3820@hotmail.com</t>
  </si>
  <si>
    <t>001-500-000067635</t>
  </si>
  <si>
    <t>ZP243000587</t>
  </si>
  <si>
    <t>Fabian Ambrosi</t>
  </si>
  <si>
    <t>Cosmopolita y Quiteño Libre</t>
  </si>
  <si>
    <t>fannysisalima@gmail.com</t>
  </si>
  <si>
    <t>Almacenes España</t>
  </si>
  <si>
    <t>008-501-000007444</t>
  </si>
  <si>
    <t>114270004</t>
  </si>
  <si>
    <t>Lavavajillas DFI 46950</t>
  </si>
  <si>
    <t>AW233800590</t>
  </si>
  <si>
    <t>Ana Yolanda Durazno</t>
  </si>
  <si>
    <t>Paute</t>
  </si>
  <si>
    <t>(917) 3099473</t>
  </si>
  <si>
    <t>aduraznofel@gmail.com</t>
  </si>
  <si>
    <t>040-103-000009169</t>
  </si>
  <si>
    <t>1110300002</t>
  </si>
  <si>
    <t>Horno HLB 760 G</t>
  </si>
  <si>
    <t>Andrea Pute Galan</t>
  </si>
  <si>
    <t>El Paraiso</t>
  </si>
  <si>
    <t>hospitalodontologico@gmail.com</t>
  </si>
  <si>
    <t>Comercial Luna Pazmiño</t>
  </si>
  <si>
    <t>002-101-000111966</t>
  </si>
  <si>
    <t>112570093</t>
  </si>
  <si>
    <t>Cocina GZC 75330 XBB</t>
  </si>
  <si>
    <t>TZ248829677</t>
  </si>
  <si>
    <t>ZP212F00014</t>
  </si>
  <si>
    <t xml:space="preserve">Beatriz Zamora </t>
  </si>
  <si>
    <t>Edf. Palermo</t>
  </si>
  <si>
    <t>m.beatriz_zamora@hotmail.com</t>
  </si>
  <si>
    <t>Kywi</t>
  </si>
  <si>
    <t>016-903-000547160</t>
  </si>
  <si>
    <t>112580017</t>
  </si>
  <si>
    <t>ZP246D00150</t>
  </si>
  <si>
    <t>Elizabeth Aguilar</t>
  </si>
  <si>
    <t>Lentag</t>
  </si>
  <si>
    <t>001-500-000066914</t>
  </si>
  <si>
    <t>ZP242P00821</t>
  </si>
  <si>
    <t>Maria Hurtado</t>
  </si>
  <si>
    <t xml:space="preserve">Fray Bartolome </t>
  </si>
  <si>
    <t>belenmbh@gmail.com</t>
  </si>
  <si>
    <t>043-904-000046821</t>
  </si>
  <si>
    <t>40197155</t>
  </si>
  <si>
    <t>240115AF1302</t>
  </si>
  <si>
    <t>Clara Toral</t>
  </si>
  <si>
    <t>Edf. La Cuadra</t>
  </si>
  <si>
    <t>nenecarrascot@hotmail.com</t>
  </si>
  <si>
    <t>043-903-000043805</t>
  </si>
  <si>
    <t>111000051</t>
  </si>
  <si>
    <t>TZ243N23415</t>
  </si>
  <si>
    <t>Mark Antony Saucedo</t>
  </si>
  <si>
    <t>Racar Plaza</t>
  </si>
  <si>
    <t>mark.saucedo77@gmail.com</t>
  </si>
  <si>
    <t>043-902-000030328</t>
  </si>
  <si>
    <t>111030002</t>
  </si>
  <si>
    <t>TZ246502742</t>
  </si>
  <si>
    <t>Thalia Jara</t>
  </si>
  <si>
    <t>Av. 24 de Mayo</t>
  </si>
  <si>
    <t>thaliajara22@gmail.com</t>
  </si>
  <si>
    <t>016-902-000485227</t>
  </si>
  <si>
    <t>40466241</t>
  </si>
  <si>
    <t>Campana C 9310</t>
  </si>
  <si>
    <t>TP245P08087</t>
  </si>
  <si>
    <t>Xavier Espinoza</t>
  </si>
  <si>
    <t>Patamarca</t>
  </si>
  <si>
    <t>jxaviere21@yahoo.com</t>
  </si>
  <si>
    <t>TZ243103256</t>
  </si>
  <si>
    <t>TP247904245</t>
  </si>
  <si>
    <t>Hgorno Se Apaga</t>
  </si>
  <si>
    <t>Horno HLB 760 G LPG</t>
  </si>
  <si>
    <t>Jonnathan Calle</t>
  </si>
  <si>
    <t>Sensor Termopar Fuera de Posición</t>
  </si>
  <si>
    <t>No llena de agua</t>
  </si>
  <si>
    <t xml:space="preserve">Fuga de agua por ensamble de bomba de drenado, junta de la bomba fuera de posicion </t>
  </si>
  <si>
    <t>CAPELO NOVIEMBRE2024</t>
  </si>
  <si>
    <t xml:space="preserve">CAPELO NOVIEMBRE 2024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</si>
</sst>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dd\-mm\-yy;@"/>
    <numFmt numFmtId="165" formatCode="&quot;$&quot;#,##0.00"/>
    <numFmt numFmtId="166" formatCode="dd/mm/yy;@"/>
    <numFmt numFmtId="167" formatCode="_-* #,##0.00\ _€_-;\-* #,##0.00\ _€_-;_-* &quot;-&quot;??\ _€_-;_-@_-"/>
    <numFmt numFmtId="168" formatCode="dd/mm/yyyy;@"/>
  </numFmts>
  <fonts count="65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7"/>
      <name val="Calibri"/>
      <family val="2"/>
    </font>
    <font>
      <sz val="9"/>
      <name val="Franklin Gothic Book"/>
      <family val="2"/>
    </font>
    <font>
      <sz val="11"/>
      <name val="Calibri"/>
      <family val="2"/>
    </font>
    <font>
      <sz val="7"/>
      <color indexed="8"/>
      <name val="Calibri"/>
      <family val="2"/>
    </font>
    <font>
      <sz val="8"/>
      <color indexed="8"/>
      <name val="Calibri"/>
      <family val="2"/>
    </font>
    <font>
      <b/>
      <sz val="9"/>
      <name val="Franklin Gothic Book"/>
      <family val="2"/>
    </font>
    <font>
      <sz val="11"/>
      <color indexed="8"/>
      <name val="Calibri"/>
      <family val="2"/>
      <charset val="1"/>
    </font>
    <font>
      <sz val="11"/>
      <name val="Calibri"/>
      <family val="2"/>
      <charset val="1"/>
    </font>
    <font>
      <sz val="12"/>
      <color indexed="8"/>
      <name val="Calibri"/>
      <family val="2"/>
      <charset val="1"/>
    </font>
    <font>
      <sz val="10"/>
      <color theme="1"/>
      <name val="Aptos Narrow"/>
      <family val="2"/>
      <scheme val="minor"/>
    </font>
    <font>
      <b/>
      <sz val="10"/>
      <color rgb="FFFFFFFF"/>
      <name val="Calibri"/>
      <family val="2"/>
    </font>
    <font>
      <sz val="13"/>
      <color indexed="8"/>
      <name val="Calibri"/>
      <family val="2"/>
    </font>
    <font>
      <u/>
      <sz val="13"/>
      <color theme="4"/>
      <name val="Aptos Narrow"/>
      <family val="2"/>
      <scheme val="minor"/>
    </font>
    <font>
      <u/>
      <sz val="13"/>
      <color theme="10"/>
      <name val="Aptos Narrow"/>
      <family val="2"/>
      <scheme val="minor"/>
    </font>
    <font>
      <sz val="13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rgb="FF000000"/>
      <name val="Calibri"/>
      <family val="2"/>
      <charset val="1"/>
    </font>
    <font>
      <sz val="11"/>
      <color theme="1"/>
      <name val="Aptos Narrow"/>
      <scheme val="minor"/>
    </font>
    <font>
      <sz val="7"/>
      <color theme="1"/>
      <name val="Aptos Narrow"/>
      <family val="2"/>
      <scheme val="minor"/>
    </font>
    <font>
      <b/>
      <sz val="10"/>
      <name val="Arial"/>
      <family val="2"/>
    </font>
    <font>
      <b/>
      <sz val="11"/>
      <name val="Calibri"/>
      <family val="2"/>
    </font>
    <font>
      <sz val="10"/>
      <name val="Arial"/>
      <family val="2"/>
    </font>
    <font>
      <sz val="7"/>
      <name val="Aptos Narrow"/>
      <family val="2"/>
      <scheme val="minor"/>
    </font>
    <font>
      <sz val="9"/>
      <name val="Calibri"/>
      <family val="2"/>
    </font>
    <font>
      <b/>
      <sz val="18"/>
      <name val="Aptos Narrow"/>
      <family val="2"/>
      <scheme val="minor"/>
    </font>
    <font>
      <b/>
      <sz val="18"/>
      <color indexed="8"/>
      <name val="Aptos Narrow"/>
      <family val="2"/>
      <scheme val="minor"/>
    </font>
    <font>
      <sz val="15"/>
      <name val="Aptos Narrow"/>
      <family val="2"/>
      <scheme val="minor"/>
    </font>
    <font>
      <b/>
      <sz val="7"/>
      <name val="Aptos Narrow"/>
      <family val="2"/>
      <scheme val="minor"/>
    </font>
    <font>
      <b/>
      <sz val="15"/>
      <name val="Arial"/>
      <family val="2"/>
    </font>
    <font>
      <sz val="10"/>
      <name val="Aptos Narrow"/>
      <family val="2"/>
      <scheme val="minor"/>
    </font>
    <font>
      <u/>
      <sz val="10"/>
      <color theme="10"/>
      <name val="Arial"/>
      <family val="2"/>
    </font>
    <font>
      <u/>
      <sz val="13"/>
      <color theme="4"/>
      <name val="Calibri"/>
      <family val="2"/>
    </font>
    <font>
      <sz val="13"/>
      <color theme="1"/>
      <name val="Calibri"/>
      <family val="2"/>
    </font>
    <font>
      <sz val="13"/>
      <name val="Calibri"/>
      <family val="2"/>
    </font>
    <font>
      <sz val="8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7"/>
      <color theme="0"/>
      <name val="Aptos Narrow"/>
      <family val="2"/>
      <scheme val="minor"/>
    </font>
    <font>
      <sz val="9"/>
      <color rgb="FF1D2228"/>
      <name val="Gothic sans-serif"/>
      <charset val="1"/>
    </font>
    <font>
      <sz val="10"/>
      <color rgb="FF1D2228"/>
      <name val="Arial"/>
      <family val="2"/>
      <charset val="1"/>
    </font>
    <font>
      <b/>
      <sz val="9"/>
      <color rgb="FF1D2228"/>
      <name val="Gothic sans-serif"/>
      <charset val="1"/>
    </font>
    <font>
      <b/>
      <sz val="11"/>
      <color rgb="FF000000"/>
      <name val="Calibri"/>
      <family val="2"/>
      <charset val="1"/>
    </font>
    <font>
      <b/>
      <sz val="10"/>
      <color theme="0"/>
      <name val="Aptos Narrow"/>
      <family val="2"/>
      <scheme val="minor"/>
    </font>
    <font>
      <sz val="10"/>
      <name val="Arial"/>
      <family val="2"/>
      <charset val="1"/>
    </font>
    <font>
      <sz val="8"/>
      <color theme="0"/>
      <name val="Aptos Narrow"/>
      <family val="2"/>
      <scheme val="minor"/>
    </font>
    <font>
      <sz val="12"/>
      <color indexed="8"/>
      <name val="Calibri"/>
      <family val="2"/>
    </font>
    <font>
      <b/>
      <sz val="12"/>
      <color theme="0"/>
      <name val="Aptos Narrow"/>
      <family val="2"/>
      <scheme val="minor"/>
    </font>
    <font>
      <b/>
      <sz val="12"/>
      <color theme="0"/>
      <name val="Calibri"/>
      <family val="2"/>
    </font>
    <font>
      <sz val="11"/>
      <color theme="1"/>
      <name val="Calibri"/>
      <family val="2"/>
    </font>
    <font>
      <sz val="9"/>
      <color theme="1"/>
      <name val="Libre Franklin"/>
    </font>
    <font>
      <sz val="9"/>
      <color theme="1"/>
      <name val="Calibri"/>
      <family val="2"/>
    </font>
    <font>
      <sz val="9"/>
      <color theme="1"/>
      <name val="Aptos Narrow"/>
      <family val="2"/>
      <scheme val="minor"/>
    </font>
    <font>
      <sz val="7"/>
      <color rgb="FF000000"/>
      <name val="Calibri"/>
      <family val="2"/>
    </font>
    <font>
      <sz val="8"/>
      <color rgb="FF000000"/>
      <name val="Calibri"/>
      <family val="2"/>
    </font>
    <font>
      <b/>
      <sz val="9"/>
      <color theme="1"/>
      <name val="Libre Franklin"/>
    </font>
    <font>
      <b/>
      <sz val="11"/>
      <color theme="1"/>
      <name val="Calibri"/>
      <family val="2"/>
    </font>
    <font>
      <b/>
      <sz val="6"/>
      <color rgb="FFFFFFFF"/>
      <name val="Calibri"/>
      <family val="2"/>
    </font>
    <font>
      <sz val="8"/>
      <color theme="1"/>
      <name val="Arial"/>
      <family val="2"/>
    </font>
    <font>
      <sz val="12"/>
      <color indexed="8"/>
      <name val="Aptos Narrow"/>
      <family val="2"/>
      <scheme val="minor"/>
    </font>
    <font>
      <sz val="12"/>
      <name val="Calibri"/>
      <family val="2"/>
    </font>
    <font>
      <b/>
      <u/>
      <sz val="11"/>
      <color theme="10"/>
      <name val="Aptos Narrow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rgb="FF000000"/>
        <bgColor rgb="FF000000"/>
      </patternFill>
    </fill>
    <fill>
      <patternFill patternType="solid">
        <fgColor theme="1"/>
        <bgColor theme="1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FFFF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22">
    <xf numFmtId="0" fontId="0" fillId="0" borderId="0"/>
    <xf numFmtId="0" fontId="10" fillId="0" borderId="0"/>
    <xf numFmtId="0" fontId="10" fillId="2" borderId="0">
      <alignment horizontal="left"/>
    </xf>
    <xf numFmtId="0" fontId="2" fillId="0" borderId="0"/>
    <xf numFmtId="0" fontId="3" fillId="0" borderId="0" applyNumberFormat="0" applyFill="0" applyBorder="0" applyAlignment="0" applyProtection="0"/>
    <xf numFmtId="0" fontId="21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167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47" fillId="0" borderId="0"/>
    <xf numFmtId="0" fontId="25" fillId="0" borderId="0"/>
    <xf numFmtId="0" fontId="2" fillId="0" borderId="0"/>
    <xf numFmtId="0" fontId="3" fillId="0" borderId="0" applyNumberFormat="0" applyFill="0" applyBorder="0" applyAlignment="0" applyProtection="0"/>
    <xf numFmtId="0" fontId="25" fillId="0" borderId="0"/>
    <xf numFmtId="0" fontId="10" fillId="0" borderId="0"/>
  </cellStyleXfs>
  <cellXfs count="203">
    <xf numFmtId="0" fontId="0" fillId="0" borderId="0" xfId="0"/>
    <xf numFmtId="0" fontId="4" fillId="0" borderId="0" xfId="0" applyFont="1" applyAlignment="1">
      <alignment horizontal="right"/>
    </xf>
    <xf numFmtId="4" fontId="5" fillId="0" borderId="0" xfId="0" applyNumberFormat="1" applyFont="1"/>
    <xf numFmtId="0" fontId="6" fillId="0" borderId="0" xfId="0" applyFont="1" applyAlignment="1">
      <alignment horizontal="left" vertical="center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/>
    <xf numFmtId="49" fontId="7" fillId="0" borderId="0" xfId="0" applyNumberFormat="1" applyFont="1" applyAlignment="1">
      <alignment horizontal="left"/>
    </xf>
    <xf numFmtId="1" fontId="0" fillId="0" borderId="0" xfId="0" applyNumberFormat="1"/>
    <xf numFmtId="2" fontId="8" fillId="0" borderId="0" xfId="0" applyNumberFormat="1" applyFont="1" applyAlignment="1">
      <alignment horizontal="right" indent="1"/>
    </xf>
    <xf numFmtId="4" fontId="9" fillId="0" borderId="0" xfId="0" applyNumberFormat="1" applyFont="1" applyAlignment="1">
      <alignment horizontal="left" vertical="center"/>
    </xf>
    <xf numFmtId="0" fontId="11" fillId="0" borderId="0" xfId="1" applyFont="1"/>
    <xf numFmtId="0" fontId="12" fillId="2" borderId="0" xfId="2" applyFont="1" applyAlignment="1">
      <alignment horizontal="center" vertical="center"/>
    </xf>
    <xf numFmtId="1" fontId="12" fillId="2" borderId="0" xfId="2" applyNumberFormat="1" applyFont="1" applyAlignment="1">
      <alignment horizontal="right" vertical="center"/>
    </xf>
    <xf numFmtId="1" fontId="12" fillId="2" borderId="0" xfId="2" applyNumberFormat="1" applyFont="1" applyAlignment="1">
      <alignment horizontal="center" vertical="center"/>
    </xf>
    <xf numFmtId="2" fontId="12" fillId="2" borderId="0" xfId="2" applyNumberFormat="1" applyFont="1" applyAlignment="1">
      <alignment vertical="center"/>
    </xf>
    <xf numFmtId="49" fontId="0" fillId="0" borderId="0" xfId="0" quotePrefix="1" applyNumberFormat="1"/>
    <xf numFmtId="17" fontId="8" fillId="0" borderId="0" xfId="0" quotePrefix="1" applyNumberFormat="1" applyFont="1" applyAlignment="1">
      <alignment horizontal="left"/>
    </xf>
    <xf numFmtId="0" fontId="13" fillId="0" borderId="0" xfId="0" applyFont="1" applyAlignment="1">
      <alignment horizontal="center" vertical="center"/>
    </xf>
    <xf numFmtId="0" fontId="14" fillId="3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1" fontId="14" fillId="3" borderId="1" xfId="0" applyNumberFormat="1" applyFont="1" applyFill="1" applyBorder="1" applyAlignment="1">
      <alignment horizontal="center" vertical="center" wrapText="1"/>
    </xf>
    <xf numFmtId="2" fontId="14" fillId="3" borderId="1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5" fillId="0" borderId="0" xfId="3" applyFont="1" applyAlignment="1">
      <alignment horizontal="right"/>
    </xf>
    <xf numFmtId="164" fontId="15" fillId="5" borderId="2" xfId="3" applyNumberFormat="1" applyFont="1" applyFill="1" applyBorder="1" applyAlignment="1">
      <alignment horizontal="left"/>
    </xf>
    <xf numFmtId="0" fontId="15" fillId="5" borderId="2" xfId="3" applyFont="1" applyFill="1" applyBorder="1"/>
    <xf numFmtId="0" fontId="15" fillId="0" borderId="2" xfId="3" applyFont="1" applyBorder="1" applyAlignment="1">
      <alignment horizontal="center" vertical="center"/>
    </xf>
    <xf numFmtId="0" fontId="15" fillId="0" borderId="2" xfId="3" applyFont="1" applyBorder="1"/>
    <xf numFmtId="0" fontId="15" fillId="5" borderId="2" xfId="3" applyFont="1" applyFill="1" applyBorder="1" applyAlignment="1">
      <alignment horizontal="left"/>
    </xf>
    <xf numFmtId="0" fontId="15" fillId="5" borderId="2" xfId="3" applyFont="1" applyFill="1" applyBorder="1" applyAlignment="1">
      <alignment horizontal="left" vertical="center"/>
    </xf>
    <xf numFmtId="14" fontId="15" fillId="5" borderId="2" xfId="3" applyNumberFormat="1" applyFont="1" applyFill="1" applyBorder="1" applyAlignment="1">
      <alignment horizontal="left"/>
    </xf>
    <xf numFmtId="1" fontId="15" fillId="5" borderId="2" xfId="3" applyNumberFormat="1" applyFont="1" applyFill="1" applyBorder="1"/>
    <xf numFmtId="2" fontId="15" fillId="5" borderId="2" xfId="3" applyNumberFormat="1" applyFont="1" applyFill="1" applyBorder="1" applyAlignment="1">
      <alignment horizontal="center"/>
    </xf>
    <xf numFmtId="0" fontId="15" fillId="5" borderId="2" xfId="3" applyFont="1" applyFill="1" applyBorder="1" applyAlignment="1">
      <alignment horizontal="center" vertical="center"/>
    </xf>
    <xf numFmtId="0" fontId="16" fillId="5" borderId="2" xfId="4" applyNumberFormat="1" applyFont="1" applyFill="1" applyBorder="1"/>
    <xf numFmtId="0" fontId="17" fillId="5" borderId="2" xfId="4" applyNumberFormat="1" applyFont="1" applyFill="1" applyBorder="1"/>
    <xf numFmtId="0" fontId="18" fillId="0" borderId="3" xfId="3" applyFont="1" applyBorder="1"/>
    <xf numFmtId="0" fontId="18" fillId="0" borderId="0" xfId="0" applyFont="1"/>
    <xf numFmtId="0" fontId="19" fillId="0" borderId="0" xfId="0" applyFont="1"/>
    <xf numFmtId="0" fontId="0" fillId="0" borderId="0" xfId="0" applyAlignment="1">
      <alignment horizontal="left" vertical="top"/>
    </xf>
    <xf numFmtId="0" fontId="20" fillId="6" borderId="0" xfId="0" applyFont="1" applyFill="1" applyAlignment="1">
      <alignment horizontal="left"/>
    </xf>
    <xf numFmtId="0" fontId="22" fillId="0" borderId="0" xfId="5" applyFont="1"/>
    <xf numFmtId="0" fontId="21" fillId="0" borderId="0" xfId="5" applyAlignment="1">
      <alignment horizontal="right"/>
    </xf>
    <xf numFmtId="4" fontId="9" fillId="0" borderId="0" xfId="6" applyNumberFormat="1" applyFont="1" applyAlignment="1">
      <alignment horizontal="left"/>
    </xf>
    <xf numFmtId="0" fontId="23" fillId="0" borderId="0" xfId="6" applyFont="1" applyAlignment="1">
      <alignment horizontal="center"/>
    </xf>
    <xf numFmtId="0" fontId="24" fillId="0" borderId="0" xfId="6" applyFont="1" applyAlignment="1">
      <alignment vertical="center"/>
    </xf>
    <xf numFmtId="0" fontId="23" fillId="0" borderId="0" xfId="6" applyFont="1"/>
    <xf numFmtId="2" fontId="25" fillId="0" borderId="0" xfId="6" applyNumberFormat="1" applyFont="1" applyAlignment="1">
      <alignment horizontal="left"/>
    </xf>
    <xf numFmtId="0" fontId="21" fillId="0" borderId="0" xfId="5"/>
    <xf numFmtId="0" fontId="26" fillId="0" borderId="0" xfId="5" applyFont="1"/>
    <xf numFmtId="4" fontId="9" fillId="0" borderId="0" xfId="6" applyNumberFormat="1" applyFont="1" applyAlignment="1">
      <alignment horizontal="left" vertical="center"/>
    </xf>
    <xf numFmtId="0" fontId="25" fillId="0" borderId="0" xfId="6" applyFont="1" applyAlignment="1">
      <alignment horizontal="center"/>
    </xf>
    <xf numFmtId="0" fontId="25" fillId="0" borderId="0" xfId="6" applyFont="1"/>
    <xf numFmtId="166" fontId="27" fillId="0" borderId="4" xfId="7" applyNumberFormat="1" applyFont="1" applyBorder="1" applyAlignment="1">
      <alignment horizontal="left"/>
    </xf>
    <xf numFmtId="0" fontId="27" fillId="0" borderId="5" xfId="7" applyFont="1" applyBorder="1" applyAlignment="1">
      <alignment horizontal="left"/>
    </xf>
    <xf numFmtId="0" fontId="26" fillId="0" borderId="5" xfId="7" applyFont="1" applyBorder="1" applyAlignment="1">
      <alignment horizontal="left"/>
    </xf>
    <xf numFmtId="0" fontId="28" fillId="0" borderId="5" xfId="7" applyFont="1" applyBorder="1" applyAlignment="1">
      <alignment horizontal="left"/>
    </xf>
    <xf numFmtId="0" fontId="29" fillId="0" borderId="5" xfId="7" applyFont="1" applyBorder="1" applyAlignment="1">
      <alignment horizontal="left" wrapText="1" readingOrder="1"/>
    </xf>
    <xf numFmtId="0" fontId="28" fillId="0" borderId="5" xfId="7" applyFont="1" applyBorder="1" applyAlignment="1">
      <alignment horizontal="left" wrapText="1"/>
    </xf>
    <xf numFmtId="0" fontId="30" fillId="0" borderId="5" xfId="7" applyFont="1" applyBorder="1" applyAlignment="1">
      <alignment horizontal="left" wrapText="1"/>
    </xf>
    <xf numFmtId="17" fontId="31" fillId="0" borderId="5" xfId="7" quotePrefix="1" applyNumberFormat="1" applyFont="1" applyBorder="1" applyAlignment="1">
      <alignment horizontal="left"/>
    </xf>
    <xf numFmtId="0" fontId="25" fillId="0" borderId="5" xfId="7" applyFont="1" applyBorder="1" applyAlignment="1">
      <alignment horizontal="left"/>
    </xf>
    <xf numFmtId="49" fontId="32" fillId="0" borderId="6" xfId="7" quotePrefix="1" applyNumberFormat="1" applyFont="1" applyBorder="1" applyAlignment="1">
      <alignment horizontal="left"/>
    </xf>
    <xf numFmtId="0" fontId="22" fillId="0" borderId="0" xfId="0" applyFont="1"/>
    <xf numFmtId="166" fontId="27" fillId="0" borderId="7" xfId="7" applyNumberFormat="1" applyFont="1" applyBorder="1" applyAlignment="1">
      <alignment horizontal="left"/>
    </xf>
    <xf numFmtId="0" fontId="27" fillId="0" borderId="0" xfId="7" applyFont="1" applyAlignment="1">
      <alignment horizontal="left"/>
    </xf>
    <xf numFmtId="0" fontId="26" fillId="0" borderId="0" xfId="7" applyFont="1" applyAlignment="1">
      <alignment horizontal="left"/>
    </xf>
    <xf numFmtId="0" fontId="26" fillId="0" borderId="8" xfId="7" applyFont="1" applyBorder="1" applyAlignment="1">
      <alignment horizontal="left"/>
    </xf>
    <xf numFmtId="166" fontId="33" fillId="0" borderId="9" xfId="7" applyNumberFormat="1" applyFont="1" applyBorder="1" applyAlignment="1">
      <alignment horizontal="left"/>
    </xf>
    <xf numFmtId="0" fontId="26" fillId="0" borderId="10" xfId="7" applyFont="1" applyBorder="1" applyAlignment="1">
      <alignment horizontal="left"/>
    </xf>
    <xf numFmtId="0" fontId="26" fillId="0" borderId="11" xfId="7" applyFont="1" applyBorder="1" applyAlignment="1">
      <alignment horizontal="left"/>
    </xf>
    <xf numFmtId="0" fontId="36" fillId="0" borderId="0" xfId="0" applyFont="1"/>
    <xf numFmtId="0" fontId="15" fillId="0" borderId="0" xfId="0" applyFont="1" applyAlignment="1">
      <alignment horizontal="right"/>
    </xf>
    <xf numFmtId="0" fontId="38" fillId="0" borderId="0" xfId="9" applyFont="1"/>
    <xf numFmtId="0" fontId="2" fillId="0" borderId="0" xfId="14"/>
    <xf numFmtId="4" fontId="5" fillId="0" borderId="0" xfId="14" applyNumberFormat="1" applyFont="1"/>
    <xf numFmtId="0" fontId="6" fillId="0" borderId="0" xfId="14" applyFont="1" applyAlignment="1">
      <alignment vertical="center"/>
    </xf>
    <xf numFmtId="2" fontId="2" fillId="0" borderId="0" xfId="14" applyNumberFormat="1" applyAlignment="1">
      <alignment horizontal="left"/>
    </xf>
    <xf numFmtId="0" fontId="2" fillId="0" borderId="0" xfId="14" applyAlignment="1">
      <alignment horizontal="left"/>
    </xf>
    <xf numFmtId="43" fontId="2" fillId="0" borderId="0" xfId="15" applyFont="1" applyFill="1"/>
    <xf numFmtId="0" fontId="39" fillId="0" borderId="0" xfId="14" applyFont="1"/>
    <xf numFmtId="4" fontId="9" fillId="0" borderId="0" xfId="14" applyNumberFormat="1" applyFont="1" applyAlignment="1">
      <alignment horizontal="left" vertical="center"/>
    </xf>
    <xf numFmtId="0" fontId="25" fillId="0" borderId="0" xfId="9"/>
    <xf numFmtId="17" fontId="2" fillId="0" borderId="0" xfId="14" quotePrefix="1" applyNumberFormat="1"/>
    <xf numFmtId="17" fontId="39" fillId="0" borderId="0" xfId="14" quotePrefix="1" applyNumberFormat="1" applyFont="1"/>
    <xf numFmtId="0" fontId="40" fillId="7" borderId="14" xfId="14" applyFont="1" applyFill="1" applyBorder="1" applyAlignment="1">
      <alignment horizontal="center" wrapText="1"/>
    </xf>
    <xf numFmtId="0" fontId="41" fillId="7" borderId="14" xfId="9" applyFont="1" applyFill="1" applyBorder="1" applyAlignment="1">
      <alignment horizontal="left" wrapText="1"/>
    </xf>
    <xf numFmtId="43" fontId="41" fillId="7" borderId="14" xfId="15" applyFont="1" applyFill="1" applyBorder="1" applyAlignment="1">
      <alignment horizontal="left" wrapText="1"/>
    </xf>
    <xf numFmtId="0" fontId="41" fillId="7" borderId="14" xfId="9" applyFont="1" applyFill="1" applyBorder="1" applyAlignment="1">
      <alignment horizontal="center" wrapText="1"/>
    </xf>
    <xf numFmtId="0" fontId="41" fillId="7" borderId="0" xfId="9" applyFont="1" applyFill="1" applyAlignment="1">
      <alignment horizontal="left" wrapText="1"/>
    </xf>
    <xf numFmtId="0" fontId="40" fillId="7" borderId="14" xfId="9" applyFont="1" applyFill="1" applyBorder="1" applyAlignment="1">
      <alignment horizontal="left" wrapText="1"/>
    </xf>
    <xf numFmtId="0" fontId="18" fillId="0" borderId="0" xfId="14" applyFont="1" applyAlignment="1">
      <alignment horizontal="right"/>
    </xf>
    <xf numFmtId="0" fontId="18" fillId="0" borderId="10" xfId="14" applyFont="1" applyBorder="1" applyAlignment="1">
      <alignment horizontal="left"/>
    </xf>
    <xf numFmtId="0" fontId="18" fillId="0" borderId="16" xfId="14" applyFont="1" applyBorder="1" applyAlignment="1">
      <alignment horizontal="left"/>
    </xf>
    <xf numFmtId="0" fontId="18" fillId="0" borderId="16" xfId="14" applyFont="1" applyBorder="1"/>
    <xf numFmtId="0" fontId="18" fillId="0" borderId="10" xfId="14" applyFont="1" applyBorder="1" applyAlignment="1">
      <alignment horizontal="left" vertical="center"/>
    </xf>
    <xf numFmtId="14" fontId="18" fillId="0" borderId="15" xfId="14" applyNumberFormat="1" applyFont="1" applyBorder="1" applyAlignment="1">
      <alignment horizontal="left"/>
    </xf>
    <xf numFmtId="0" fontId="18" fillId="0" borderId="15" xfId="14" applyFont="1" applyBorder="1" applyAlignment="1">
      <alignment horizontal="left" vertical="center"/>
    </xf>
    <xf numFmtId="0" fontId="18" fillId="0" borderId="15" xfId="14" applyFont="1" applyBorder="1" applyAlignment="1">
      <alignment horizontal="left"/>
    </xf>
    <xf numFmtId="0" fontId="18" fillId="0" borderId="15" xfId="14" quotePrefix="1" applyFont="1" applyBorder="1" applyAlignment="1">
      <alignment horizontal="left"/>
    </xf>
    <xf numFmtId="14" fontId="18" fillId="0" borderId="15" xfId="14" applyNumberFormat="1" applyFont="1" applyBorder="1" applyAlignment="1">
      <alignment horizontal="left" vertical="center"/>
    </xf>
    <xf numFmtId="43" fontId="18" fillId="0" borderId="15" xfId="15" applyFont="1" applyBorder="1"/>
    <xf numFmtId="43" fontId="18" fillId="0" borderId="15" xfId="15" applyFont="1" applyBorder="1" applyAlignment="1">
      <alignment horizontal="left" vertical="center"/>
    </xf>
    <xf numFmtId="0" fontId="18" fillId="0" borderId="15" xfId="14" quotePrefix="1" applyFont="1" applyBorder="1" applyAlignment="1">
      <alignment horizontal="left" vertical="center"/>
    </xf>
    <xf numFmtId="0" fontId="42" fillId="0" borderId="0" xfId="0" applyFont="1" applyAlignment="1">
      <alignment vertical="center"/>
    </xf>
    <xf numFmtId="0" fontId="43" fillId="0" borderId="0" xfId="0" applyFont="1"/>
    <xf numFmtId="0" fontId="44" fillId="0" borderId="17" xfId="0" applyFont="1" applyBorder="1" applyAlignment="1">
      <alignment vertical="center"/>
    </xf>
    <xf numFmtId="0" fontId="13" fillId="0" borderId="0" xfId="0" quotePrefix="1" applyFont="1"/>
    <xf numFmtId="0" fontId="46" fillId="7" borderId="14" xfId="0" applyFont="1" applyFill="1" applyBorder="1" applyAlignment="1">
      <alignment horizontal="center" wrapText="1"/>
    </xf>
    <xf numFmtId="0" fontId="46" fillId="7" borderId="14" xfId="0" applyFont="1" applyFill="1" applyBorder="1" applyAlignment="1">
      <alignment wrapText="1"/>
    </xf>
    <xf numFmtId="0" fontId="46" fillId="7" borderId="14" xfId="0" applyFont="1" applyFill="1" applyBorder="1" applyAlignment="1">
      <alignment horizontal="center" vertical="center" wrapText="1"/>
    </xf>
    <xf numFmtId="0" fontId="46" fillId="7" borderId="18" xfId="0" applyFont="1" applyFill="1" applyBorder="1" applyAlignment="1">
      <alignment wrapText="1"/>
    </xf>
    <xf numFmtId="0" fontId="46" fillId="7" borderId="18" xfId="0" applyFont="1" applyFill="1" applyBorder="1" applyAlignment="1">
      <alignment horizontal="center" wrapText="1"/>
    </xf>
    <xf numFmtId="17" fontId="45" fillId="0" borderId="0" xfId="0" quotePrefix="1" applyNumberFormat="1" applyFont="1" applyAlignment="1">
      <alignment horizontal="left"/>
    </xf>
    <xf numFmtId="0" fontId="38" fillId="0" borderId="0" xfId="0" applyFont="1"/>
    <xf numFmtId="0" fontId="31" fillId="0" borderId="0" xfId="17" applyFont="1"/>
    <xf numFmtId="4" fontId="31" fillId="0" borderId="0" xfId="17" applyNumberFormat="1" applyFont="1"/>
    <xf numFmtId="0" fontId="26" fillId="0" borderId="0" xfId="17" applyFont="1"/>
    <xf numFmtId="0" fontId="25" fillId="0" borderId="0" xfId="17"/>
    <xf numFmtId="49" fontId="25" fillId="0" borderId="0" xfId="17" applyNumberFormat="1"/>
    <xf numFmtId="17" fontId="31" fillId="0" borderId="0" xfId="17" quotePrefix="1" applyNumberFormat="1" applyFont="1"/>
    <xf numFmtId="4" fontId="26" fillId="0" borderId="0" xfId="17" applyNumberFormat="1" applyFont="1"/>
    <xf numFmtId="0" fontId="38" fillId="0" borderId="0" xfId="17" applyFont="1"/>
    <xf numFmtId="4" fontId="5" fillId="0" borderId="0" xfId="17" applyNumberFormat="1" applyFont="1"/>
    <xf numFmtId="0" fontId="39" fillId="0" borderId="0" xfId="8" applyFont="1"/>
    <xf numFmtId="49" fontId="39" fillId="0" borderId="0" xfId="8" applyNumberFormat="1" applyFont="1"/>
    <xf numFmtId="0" fontId="6" fillId="0" borderId="0" xfId="17" applyFont="1" applyAlignment="1">
      <alignment vertical="center"/>
    </xf>
    <xf numFmtId="2" fontId="25" fillId="0" borderId="0" xfId="17" applyNumberFormat="1" applyAlignment="1">
      <alignment horizontal="left"/>
    </xf>
    <xf numFmtId="4" fontId="9" fillId="0" borderId="0" xfId="17" applyNumberFormat="1" applyFont="1" applyAlignment="1">
      <alignment horizontal="left" vertical="center"/>
    </xf>
    <xf numFmtId="0" fontId="40" fillId="7" borderId="14" xfId="18" applyFont="1" applyFill="1" applyBorder="1" applyAlignment="1">
      <alignment wrapText="1"/>
    </xf>
    <xf numFmtId="0" fontId="48" fillId="7" borderId="14" xfId="18" applyFont="1" applyFill="1" applyBorder="1" applyAlignment="1">
      <alignment wrapText="1"/>
    </xf>
    <xf numFmtId="49" fontId="40" fillId="7" borderId="14" xfId="18" applyNumberFormat="1" applyFont="1" applyFill="1" applyBorder="1" applyAlignment="1">
      <alignment wrapText="1"/>
    </xf>
    <xf numFmtId="2" fontId="0" fillId="0" borderId="0" xfId="0" applyNumberFormat="1"/>
    <xf numFmtId="0" fontId="50" fillId="7" borderId="1" xfId="8" applyFont="1" applyFill="1" applyBorder="1" applyAlignment="1">
      <alignment horizontal="center" wrapText="1"/>
    </xf>
    <xf numFmtId="0" fontId="51" fillId="7" borderId="1" xfId="0" applyFont="1" applyFill="1" applyBorder="1" applyAlignment="1">
      <alignment horizontal="center" vertical="center" wrapText="1"/>
    </xf>
    <xf numFmtId="0" fontId="51" fillId="7" borderId="1" xfId="0" applyFont="1" applyFill="1" applyBorder="1" applyAlignment="1">
      <alignment vertical="center" wrapText="1"/>
    </xf>
    <xf numFmtId="0" fontId="3" fillId="0" borderId="15" xfId="19" applyBorder="1" applyAlignment="1">
      <alignment horizontal="left" vertical="center"/>
    </xf>
    <xf numFmtId="0" fontId="0" fillId="0" borderId="0" xfId="14" applyFont="1"/>
    <xf numFmtId="0" fontId="52" fillId="0" borderId="0" xfId="0" applyFont="1" applyAlignment="1">
      <alignment horizontal="left"/>
    </xf>
    <xf numFmtId="4" fontId="53" fillId="0" borderId="0" xfId="0" applyNumberFormat="1" applyFont="1"/>
    <xf numFmtId="0" fontId="54" fillId="0" borderId="0" xfId="0" applyFont="1" applyAlignment="1">
      <alignment horizontal="left" vertical="center"/>
    </xf>
    <xf numFmtId="0" fontId="55" fillId="0" borderId="0" xfId="0" applyFont="1"/>
    <xf numFmtId="2" fontId="52" fillId="0" borderId="0" xfId="0" applyNumberFormat="1" applyFont="1" applyAlignment="1">
      <alignment horizontal="left"/>
    </xf>
    <xf numFmtId="0" fontId="52" fillId="0" borderId="0" xfId="0" applyFont="1" applyAlignment="1">
      <alignment horizontal="right"/>
    </xf>
    <xf numFmtId="0" fontId="56" fillId="0" borderId="0" xfId="0" applyFont="1"/>
    <xf numFmtId="49" fontId="56" fillId="0" borderId="0" xfId="0" applyNumberFormat="1" applyFont="1" applyAlignment="1">
      <alignment horizontal="left"/>
    </xf>
    <xf numFmtId="1" fontId="52" fillId="0" borderId="0" xfId="0" applyNumberFormat="1" applyFont="1"/>
    <xf numFmtId="2" fontId="57" fillId="0" borderId="0" xfId="0" applyNumberFormat="1" applyFont="1" applyAlignment="1">
      <alignment horizontal="right"/>
    </xf>
    <xf numFmtId="0" fontId="52" fillId="0" borderId="0" xfId="0" applyFont="1" applyAlignment="1">
      <alignment horizontal="center"/>
    </xf>
    <xf numFmtId="4" fontId="58" fillId="0" borderId="0" xfId="0" applyNumberFormat="1" applyFont="1" applyAlignment="1">
      <alignment horizontal="left" vertical="center"/>
    </xf>
    <xf numFmtId="0" fontId="54" fillId="0" borderId="0" xfId="0" applyFont="1" applyAlignment="1">
      <alignment horizontal="left"/>
    </xf>
    <xf numFmtId="49" fontId="52" fillId="0" borderId="0" xfId="0" applyNumberFormat="1" applyFont="1"/>
    <xf numFmtId="0" fontId="59" fillId="0" borderId="0" xfId="0" applyFont="1" applyAlignment="1">
      <alignment horizontal="left"/>
    </xf>
    <xf numFmtId="17" fontId="57" fillId="0" borderId="0" xfId="0" applyNumberFormat="1" applyFont="1" applyAlignment="1">
      <alignment horizontal="left"/>
    </xf>
    <xf numFmtId="0" fontId="60" fillId="3" borderId="19" xfId="0" applyFont="1" applyFill="1" applyBorder="1" applyAlignment="1">
      <alignment horizontal="left" vertical="center" wrapText="1"/>
    </xf>
    <xf numFmtId="1" fontId="60" fillId="3" borderId="19" xfId="0" applyNumberFormat="1" applyFont="1" applyFill="1" applyBorder="1" applyAlignment="1">
      <alignment horizontal="left" vertical="center" wrapText="1"/>
    </xf>
    <xf numFmtId="2" fontId="60" fillId="3" borderId="19" xfId="0" applyNumberFormat="1" applyFont="1" applyFill="1" applyBorder="1" applyAlignment="1">
      <alignment horizontal="left" vertical="center" wrapText="1"/>
    </xf>
    <xf numFmtId="0" fontId="60" fillId="3" borderId="20" xfId="0" applyFont="1" applyFill="1" applyBorder="1" applyAlignment="1">
      <alignment horizontal="left" vertical="center" wrapText="1"/>
    </xf>
    <xf numFmtId="0" fontId="60" fillId="3" borderId="21" xfId="0" applyFont="1" applyFill="1" applyBorder="1" applyAlignment="1">
      <alignment horizontal="left" vertical="center" wrapText="1"/>
    </xf>
    <xf numFmtId="14" fontId="61" fillId="9" borderId="22" xfId="0" applyNumberFormat="1" applyFont="1" applyFill="1" applyBorder="1" applyAlignment="1">
      <alignment horizontal="left" vertical="center"/>
    </xf>
    <xf numFmtId="49" fontId="61" fillId="9" borderId="22" xfId="0" applyNumberFormat="1" applyFont="1" applyFill="1" applyBorder="1" applyAlignment="1">
      <alignment horizontal="left" vertical="center"/>
    </xf>
    <xf numFmtId="0" fontId="61" fillId="9" borderId="22" xfId="0" applyFont="1" applyFill="1" applyBorder="1" applyAlignment="1">
      <alignment horizontal="left" vertical="center"/>
    </xf>
    <xf numFmtId="2" fontId="61" fillId="9" borderId="22" xfId="0" applyNumberFormat="1" applyFont="1" applyFill="1" applyBorder="1" applyAlignment="1">
      <alignment horizontal="left" vertical="center"/>
    </xf>
    <xf numFmtId="0" fontId="61" fillId="10" borderId="22" xfId="0" applyFont="1" applyFill="1" applyBorder="1" applyAlignment="1">
      <alignment horizontal="left" vertical="center"/>
    </xf>
    <xf numFmtId="0" fontId="49" fillId="5" borderId="15" xfId="0" applyFont="1" applyFill="1" applyBorder="1" applyAlignment="1">
      <alignment horizontal="center" vertical="center"/>
    </xf>
    <xf numFmtId="0" fontId="36" fillId="0" borderId="0" xfId="0" applyFont="1" applyAlignment="1">
      <alignment vertical="center"/>
    </xf>
    <xf numFmtId="0" fontId="15" fillId="0" borderId="0" xfId="0" applyFont="1" applyAlignment="1">
      <alignment horizontal="right" vertical="center"/>
    </xf>
    <xf numFmtId="0" fontId="36" fillId="8" borderId="1" xfId="0" applyFont="1" applyFill="1" applyBorder="1" applyAlignment="1">
      <alignment vertical="center"/>
    </xf>
    <xf numFmtId="49" fontId="19" fillId="8" borderId="1" xfId="0" applyNumberFormat="1" applyFont="1" applyFill="1" applyBorder="1" applyAlignment="1">
      <alignment horizontal="center"/>
    </xf>
    <xf numFmtId="0" fontId="62" fillId="8" borderId="15" xfId="21" applyFont="1" applyFill="1" applyBorder="1" applyAlignment="1">
      <alignment horizontal="left"/>
    </xf>
    <xf numFmtId="165" fontId="3" fillId="5" borderId="2" xfId="19" applyNumberFormat="1" applyFill="1" applyBorder="1" applyAlignment="1">
      <alignment horizontal="left"/>
    </xf>
    <xf numFmtId="0" fontId="37" fillId="8" borderId="0" xfId="9" applyFont="1" applyFill="1" applyAlignment="1">
      <alignment vertical="center"/>
    </xf>
    <xf numFmtId="14" fontId="37" fillId="8" borderId="2" xfId="10" applyNumberFormat="1" applyFont="1" applyFill="1" applyBorder="1" applyAlignment="1">
      <alignment vertical="center" wrapText="1"/>
    </xf>
    <xf numFmtId="14" fontId="37" fillId="8" borderId="2" xfId="10" applyNumberFormat="1" applyFont="1" applyFill="1" applyBorder="1" applyAlignment="1">
      <alignment horizontal="left" vertical="center" wrapText="1"/>
    </xf>
    <xf numFmtId="0" fontId="37" fillId="8" borderId="2" xfId="10" applyFont="1" applyFill="1" applyBorder="1" applyAlignment="1">
      <alignment horizontal="center" vertical="center" wrapText="1"/>
    </xf>
    <xf numFmtId="0" fontId="36" fillId="8" borderId="2" xfId="0" applyFont="1" applyFill="1" applyBorder="1" applyAlignment="1">
      <alignment horizontal="left" vertical="center" wrapText="1"/>
    </xf>
    <xf numFmtId="0" fontId="37" fillId="8" borderId="2" xfId="10" applyFont="1" applyFill="1" applyBorder="1" applyAlignment="1">
      <alignment horizontal="left" vertical="center" wrapText="1"/>
    </xf>
    <xf numFmtId="0" fontId="37" fillId="8" borderId="12" xfId="10" applyFont="1" applyFill="1" applyBorder="1" applyAlignment="1">
      <alignment vertical="center" wrapText="1"/>
    </xf>
    <xf numFmtId="0" fontId="37" fillId="8" borderId="2" xfId="10" quotePrefix="1" applyFont="1" applyFill="1" applyBorder="1" applyAlignment="1">
      <alignment horizontal="left" vertical="center" wrapText="1"/>
    </xf>
    <xf numFmtId="1" fontId="37" fillId="8" borderId="2" xfId="11" quotePrefix="1" applyNumberFormat="1" applyFont="1" applyFill="1" applyBorder="1" applyAlignment="1">
      <alignment horizontal="left" vertical="center"/>
    </xf>
    <xf numFmtId="43" fontId="37" fillId="8" borderId="2" xfId="12" applyFont="1" applyFill="1" applyBorder="1" applyAlignment="1">
      <alignment vertical="center"/>
    </xf>
    <xf numFmtId="43" fontId="37" fillId="8" borderId="2" xfId="12" quotePrefix="1" applyFont="1" applyFill="1" applyBorder="1" applyAlignment="1">
      <alignment horizontal="left" vertical="center"/>
    </xf>
    <xf numFmtId="43" fontId="3" fillId="8" borderId="13" xfId="19" applyNumberFormat="1" applyFill="1" applyBorder="1" applyAlignment="1">
      <alignment horizontal="left" vertical="center"/>
    </xf>
    <xf numFmtId="0" fontId="3" fillId="8" borderId="0" xfId="19" applyFill="1" applyAlignment="1">
      <alignment vertical="center"/>
    </xf>
    <xf numFmtId="0" fontId="36" fillId="8" borderId="0" xfId="0" applyFont="1" applyFill="1" applyAlignment="1">
      <alignment vertical="center"/>
    </xf>
    <xf numFmtId="43" fontId="0" fillId="0" borderId="0" xfId="0" applyNumberFormat="1"/>
    <xf numFmtId="0" fontId="15" fillId="8" borderId="2" xfId="3" applyFont="1" applyFill="1" applyBorder="1" applyAlignment="1">
      <alignment horizontal="center" vertical="center"/>
    </xf>
    <xf numFmtId="0" fontId="0" fillId="0" borderId="1" xfId="0" applyBorder="1"/>
    <xf numFmtId="2" fontId="0" fillId="0" borderId="1" xfId="0" applyNumberFormat="1" applyBorder="1"/>
    <xf numFmtId="0" fontId="15" fillId="8" borderId="2" xfId="3" applyFont="1" applyFill="1" applyBorder="1" applyAlignment="1">
      <alignment horizontal="left" vertical="center"/>
    </xf>
    <xf numFmtId="168" fontId="36" fillId="9" borderId="22" xfId="0" applyNumberFormat="1" applyFont="1" applyFill="1" applyBorder="1" applyAlignment="1">
      <alignment horizontal="left" vertical="center"/>
    </xf>
    <xf numFmtId="14" fontId="15" fillId="8" borderId="2" xfId="3" applyNumberFormat="1" applyFont="1" applyFill="1" applyBorder="1" applyAlignment="1">
      <alignment horizontal="center" vertical="center"/>
    </xf>
    <xf numFmtId="1" fontId="15" fillId="8" borderId="2" xfId="3" applyNumberFormat="1" applyFont="1" applyFill="1" applyBorder="1" applyAlignment="1">
      <alignment horizontal="left" vertical="center"/>
    </xf>
    <xf numFmtId="2" fontId="15" fillId="8" borderId="2" xfId="3" applyNumberFormat="1" applyFont="1" applyFill="1" applyBorder="1" applyAlignment="1">
      <alignment horizontal="center" vertical="center"/>
    </xf>
    <xf numFmtId="165" fontId="15" fillId="8" borderId="2" xfId="3" applyNumberFormat="1" applyFont="1" applyFill="1" applyBorder="1" applyAlignment="1">
      <alignment horizontal="center" vertical="center"/>
    </xf>
    <xf numFmtId="0" fontId="35" fillId="8" borderId="2" xfId="4" applyNumberFormat="1" applyFont="1" applyFill="1" applyBorder="1" applyAlignment="1">
      <alignment horizontal="center" vertical="center"/>
    </xf>
    <xf numFmtId="0" fontId="3" fillId="8" borderId="2" xfId="19" applyNumberFormat="1" applyFill="1" applyBorder="1" applyAlignment="1">
      <alignment horizontal="left" vertical="center"/>
    </xf>
    <xf numFmtId="0" fontId="3" fillId="10" borderId="22" xfId="19" applyFill="1" applyBorder="1" applyAlignment="1">
      <alignment horizontal="left" vertical="center"/>
    </xf>
    <xf numFmtId="165" fontId="15" fillId="8" borderId="2" xfId="3" applyNumberFormat="1" applyFont="1" applyFill="1" applyBorder="1" applyAlignment="1">
      <alignment horizontal="left" vertical="center"/>
    </xf>
    <xf numFmtId="0" fontId="1" fillId="0" borderId="0" xfId="0" applyFont="1"/>
    <xf numFmtId="0" fontId="63" fillId="8" borderId="0" xfId="10" applyFont="1" applyFill="1" applyAlignment="1">
      <alignment horizontal="left" vertical="center" wrapText="1"/>
    </xf>
    <xf numFmtId="0" fontId="1" fillId="0" borderId="0" xfId="0" applyFont="1" applyAlignment="1">
      <alignment horizontal="left"/>
    </xf>
  </cellXfs>
  <cellStyles count="22">
    <cellStyle name="Hipervínculo" xfId="19" builtinId="8"/>
    <cellStyle name="Hipervínculo 2 5" xfId="13" xr:uid="{00000000-0005-0000-0000-000001000000}"/>
    <cellStyle name="Hipervínculo 6" xfId="4" xr:uid="{00000000-0005-0000-0000-000002000000}"/>
    <cellStyle name="Millares 10 15 9" xfId="12" xr:uid="{00000000-0005-0000-0000-000003000000}"/>
    <cellStyle name="Millares 10 19 37" xfId="15" xr:uid="{00000000-0005-0000-0000-000004000000}"/>
    <cellStyle name="Millares 39 2" xfId="11" xr:uid="{00000000-0005-0000-0000-000005000000}"/>
    <cellStyle name="Normal" xfId="0" builtinId="0"/>
    <cellStyle name="Normal 10 2" xfId="9" xr:uid="{00000000-0005-0000-0000-000007000000}"/>
    <cellStyle name="Normal 104" xfId="7" xr:uid="{00000000-0005-0000-0000-000008000000}"/>
    <cellStyle name="Normal 104 5" xfId="21" xr:uid="{00000000-0005-0000-0000-000009000000}"/>
    <cellStyle name="Normal 18" xfId="5" xr:uid="{00000000-0005-0000-0000-00000A000000}"/>
    <cellStyle name="Normal 2" xfId="17" xr:uid="{00000000-0005-0000-0000-00000B000000}"/>
    <cellStyle name="Normal 2 2 2" xfId="20" xr:uid="{00000000-0005-0000-0000-00000C000000}"/>
    <cellStyle name="Normal 2 2 2 2" xfId="16" xr:uid="{00000000-0005-0000-0000-00000D000000}"/>
    <cellStyle name="Normal 27" xfId="3" xr:uid="{00000000-0005-0000-0000-00000E000000}"/>
    <cellStyle name="Normal 30" xfId="18" xr:uid="{00000000-0005-0000-0000-00000F000000}"/>
    <cellStyle name="Normal 34 5 8" xfId="8" xr:uid="{00000000-0005-0000-0000-000010000000}"/>
    <cellStyle name="Normal 34 5 8 2 2" xfId="10" xr:uid="{00000000-0005-0000-0000-000011000000}"/>
    <cellStyle name="Normal 34 5 8 4 2" xfId="14" xr:uid="{00000000-0005-0000-0000-000012000000}"/>
    <cellStyle name="Normal 34 5 8 5" xfId="1" xr:uid="{00000000-0005-0000-0000-000013000000}"/>
    <cellStyle name="Normal 38 4 7" xfId="6" xr:uid="{00000000-0005-0000-0000-000014000000}"/>
    <cellStyle name="Normal 4 2" xfId="2" xr:uid="{00000000-0005-0000-0000-00001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1</xdr:row>
      <xdr:rowOff>133350</xdr:rowOff>
    </xdr:from>
    <xdr:to>
      <xdr:col>1</xdr:col>
      <xdr:colOff>628650</xdr:colOff>
      <xdr:row>3</xdr:row>
      <xdr:rowOff>168384</xdr:rowOff>
    </xdr:to>
    <xdr:pic>
      <xdr:nvPicPr>
        <xdr:cNvPr id="2" name="Imagen 1" descr="Un dibujo con letras&#10;&#10;Descripción generada automáticamente con confianza media">
          <a:extLst>
            <a:ext uri="{FF2B5EF4-FFF2-40B4-BE49-F238E27FC236}">
              <a16:creationId xmlns:a16="http://schemas.microsoft.com/office/drawing/2014/main" id="{F0B9567C-F8BB-4DD5-A55A-73D7494BB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" y="38471475"/>
          <a:ext cx="600075" cy="41603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230443</xdr:colOff>
      <xdr:row>1</xdr:row>
      <xdr:rowOff>69134</xdr:rowOff>
    </xdr:from>
    <xdr:to>
      <xdr:col>1</xdr:col>
      <xdr:colOff>780861</xdr:colOff>
      <xdr:row>3</xdr:row>
      <xdr:rowOff>71754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C4540AE8-65E7-404E-9748-E3C6E8F8153C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763843" y="3041201609"/>
          <a:ext cx="550418" cy="3836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</xdr:colOff>
      <xdr:row>1</xdr:row>
      <xdr:rowOff>57150</xdr:rowOff>
    </xdr:from>
    <xdr:to>
      <xdr:col>1</xdr:col>
      <xdr:colOff>666750</xdr:colOff>
      <xdr:row>3</xdr:row>
      <xdr:rowOff>92184</xdr:rowOff>
    </xdr:to>
    <xdr:pic>
      <xdr:nvPicPr>
        <xdr:cNvPr id="2" name="Imagen 1" descr="Un dibujo con letras&#10;&#10;Descripción generada automáticamente con confianza media">
          <a:extLst>
            <a:ext uri="{FF2B5EF4-FFF2-40B4-BE49-F238E27FC236}">
              <a16:creationId xmlns:a16="http://schemas.microsoft.com/office/drawing/2014/main" id="{3CB4DED9-BD78-4DFB-B071-EA16D19A6E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57150"/>
          <a:ext cx="600075" cy="41603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2</xdr:row>
      <xdr:rowOff>76200</xdr:rowOff>
    </xdr:from>
    <xdr:to>
      <xdr:col>1</xdr:col>
      <xdr:colOff>676275</xdr:colOff>
      <xdr:row>4</xdr:row>
      <xdr:rowOff>111234</xdr:rowOff>
    </xdr:to>
    <xdr:pic>
      <xdr:nvPicPr>
        <xdr:cNvPr id="2" name="Imagen 1" descr="Un dibujo con letras&#10;&#10;Descripción generada automáticamente con confianza media">
          <a:extLst>
            <a:ext uri="{FF2B5EF4-FFF2-40B4-BE49-F238E27FC236}">
              <a16:creationId xmlns:a16="http://schemas.microsoft.com/office/drawing/2014/main" id="{DFEDF2DF-B860-4873-B623-C928EA1CB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5486400"/>
          <a:ext cx="600075" cy="41603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121242</xdr:colOff>
      <xdr:row>2</xdr:row>
      <xdr:rowOff>114301</xdr:rowOff>
    </xdr:from>
    <xdr:to>
      <xdr:col>1</xdr:col>
      <xdr:colOff>654642</xdr:colOff>
      <xdr:row>4</xdr:row>
      <xdr:rowOff>156277</xdr:rowOff>
    </xdr:to>
    <xdr:pic>
      <xdr:nvPicPr>
        <xdr:cNvPr id="3" name="Imagen 1" descr="Un dibujo con letras&#10;&#10;Descripción generada automáticamente con confianza media">
          <a:extLst>
            <a:ext uri="{FF2B5EF4-FFF2-40B4-BE49-F238E27FC236}">
              <a16:creationId xmlns:a16="http://schemas.microsoft.com/office/drawing/2014/main" id="{4B793AFA-A79F-48DA-8F38-BEC74D92DB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3242" y="495301"/>
          <a:ext cx="533400" cy="42297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mjvintimilla93@gmail.com" TargetMode="External"/><Relationship Id="rId18" Type="http://schemas.openxmlformats.org/officeDocument/2006/relationships/hyperlink" Target="mailto:elsavasquezv@hotmail.com" TargetMode="External"/><Relationship Id="rId26" Type="http://schemas.openxmlformats.org/officeDocument/2006/relationships/hyperlink" Target="mailto:sroman@plasticosrival.com" TargetMode="External"/><Relationship Id="rId39" Type="http://schemas.openxmlformats.org/officeDocument/2006/relationships/hyperlink" Target="mailto:lmastudillo115@hotmail.com" TargetMode="External"/><Relationship Id="rId21" Type="http://schemas.openxmlformats.org/officeDocument/2006/relationships/hyperlink" Target="mailto:luciadominguezv@ucuenca.edu.ec" TargetMode="External"/><Relationship Id="rId34" Type="http://schemas.openxmlformats.org/officeDocument/2006/relationships/hyperlink" Target="mailto:juan.sq06@gmail.com" TargetMode="External"/><Relationship Id="rId42" Type="http://schemas.openxmlformats.org/officeDocument/2006/relationships/hyperlink" Target="mailto:monse.bueno@hotmail.com" TargetMode="External"/><Relationship Id="rId47" Type="http://schemas.openxmlformats.org/officeDocument/2006/relationships/hyperlink" Target="mailto:taniag02@hotmail.com" TargetMode="External"/><Relationship Id="rId50" Type="http://schemas.openxmlformats.org/officeDocument/2006/relationships/hyperlink" Target="mailto:priscila-guerra@hotmail.com" TargetMode="External"/><Relationship Id="rId55" Type="http://schemas.openxmlformats.org/officeDocument/2006/relationships/hyperlink" Target="mailto:analumerchan@gmail" TargetMode="External"/><Relationship Id="rId7" Type="http://schemas.openxmlformats.org/officeDocument/2006/relationships/hyperlink" Target="mailto:emycrespo36@hotmail.com" TargetMode="External"/><Relationship Id="rId2" Type="http://schemas.openxmlformats.org/officeDocument/2006/relationships/hyperlink" Target="mailto:romel7173@hotmail.com" TargetMode="External"/><Relationship Id="rId16" Type="http://schemas.openxmlformats.org/officeDocument/2006/relationships/hyperlink" Target="mailto:elsavasquezv@hotmail.com" TargetMode="External"/><Relationship Id="rId29" Type="http://schemas.openxmlformats.org/officeDocument/2006/relationships/hyperlink" Target="mailto:bettymaldonadot@hotmail.com" TargetMode="External"/><Relationship Id="rId11" Type="http://schemas.openxmlformats.org/officeDocument/2006/relationships/hyperlink" Target="mailto:jonnathancalle2603@gmail.com" TargetMode="External"/><Relationship Id="rId24" Type="http://schemas.openxmlformats.org/officeDocument/2006/relationships/hyperlink" Target="mailto:valeriaotavalo9@gmail.com" TargetMode="External"/><Relationship Id="rId32" Type="http://schemas.openxmlformats.org/officeDocument/2006/relationships/hyperlink" Target="mailto:magubs@hotmail.com" TargetMode="External"/><Relationship Id="rId37" Type="http://schemas.openxmlformats.org/officeDocument/2006/relationships/hyperlink" Target="mailto:maria.velez.m@hotmail.com" TargetMode="External"/><Relationship Id="rId40" Type="http://schemas.openxmlformats.org/officeDocument/2006/relationships/hyperlink" Target="mailto:lmastudillo115@hotmail.com" TargetMode="External"/><Relationship Id="rId45" Type="http://schemas.openxmlformats.org/officeDocument/2006/relationships/hyperlink" Target="mailto:dianaruilova23@hotmail.com" TargetMode="External"/><Relationship Id="rId53" Type="http://schemas.openxmlformats.org/officeDocument/2006/relationships/hyperlink" Target="mailto:machadob5@hotmail.com" TargetMode="External"/><Relationship Id="rId58" Type="http://schemas.openxmlformats.org/officeDocument/2006/relationships/hyperlink" Target="mailto:dvillavicencio@spring.com.ec" TargetMode="External"/><Relationship Id="rId5" Type="http://schemas.openxmlformats.org/officeDocument/2006/relationships/hyperlink" Target="mailto:tatagosh@hotmail.com" TargetMode="External"/><Relationship Id="rId61" Type="http://schemas.openxmlformats.org/officeDocument/2006/relationships/drawing" Target="../drawings/drawing1.xml"/><Relationship Id="rId19" Type="http://schemas.openxmlformats.org/officeDocument/2006/relationships/hyperlink" Target="mailto:luciadominguezv@ucuenca.edu.ec" TargetMode="External"/><Relationship Id="rId14" Type="http://schemas.openxmlformats.org/officeDocument/2006/relationships/hyperlink" Target="mailto:mjvintimilla93@gmail.com" TargetMode="External"/><Relationship Id="rId22" Type="http://schemas.openxmlformats.org/officeDocument/2006/relationships/hyperlink" Target="mailto:luciadominguezv@ucuenca.edu.ec" TargetMode="External"/><Relationship Id="rId27" Type="http://schemas.openxmlformats.org/officeDocument/2006/relationships/hyperlink" Target="mailto:bettymaldonadot@hotmail.com" TargetMode="External"/><Relationship Id="rId30" Type="http://schemas.openxmlformats.org/officeDocument/2006/relationships/hyperlink" Target="mailto:bettymaldonadot@hotmail.com" TargetMode="External"/><Relationship Id="rId35" Type="http://schemas.openxmlformats.org/officeDocument/2006/relationships/hyperlink" Target="mailto:valeriaotavalo9@gmail.com" TargetMode="External"/><Relationship Id="rId43" Type="http://schemas.openxmlformats.org/officeDocument/2006/relationships/hyperlink" Target="mailto:monse.bueno@hotmail.com" TargetMode="External"/><Relationship Id="rId48" Type="http://schemas.openxmlformats.org/officeDocument/2006/relationships/hyperlink" Target="mailto:taniag02@hotmail.com" TargetMode="External"/><Relationship Id="rId56" Type="http://schemas.openxmlformats.org/officeDocument/2006/relationships/hyperlink" Target="mailto:analumerchan@gmail" TargetMode="External"/><Relationship Id="rId8" Type="http://schemas.openxmlformats.org/officeDocument/2006/relationships/hyperlink" Target="mailto:emycrespo36@hotmail.com" TargetMode="External"/><Relationship Id="rId51" Type="http://schemas.openxmlformats.org/officeDocument/2006/relationships/hyperlink" Target="mailto:saturtex@hotmail.com" TargetMode="External"/><Relationship Id="rId3" Type="http://schemas.openxmlformats.org/officeDocument/2006/relationships/hyperlink" Target="mailto:eulalibarrera1966@gmail.com" TargetMode="External"/><Relationship Id="rId12" Type="http://schemas.openxmlformats.org/officeDocument/2006/relationships/hyperlink" Target="mailto:jonnathancalle2603@gmail.com" TargetMode="External"/><Relationship Id="rId17" Type="http://schemas.openxmlformats.org/officeDocument/2006/relationships/hyperlink" Target="mailto:elsavasquezv@hotmail.com" TargetMode="External"/><Relationship Id="rId25" Type="http://schemas.openxmlformats.org/officeDocument/2006/relationships/hyperlink" Target="mailto:sroman@plasticosrival.com" TargetMode="External"/><Relationship Id="rId33" Type="http://schemas.openxmlformats.org/officeDocument/2006/relationships/hyperlink" Target="mailto:juan.sq06@gmail.com" TargetMode="External"/><Relationship Id="rId38" Type="http://schemas.openxmlformats.org/officeDocument/2006/relationships/hyperlink" Target="mailto:maria.velez.m@hotmail.com" TargetMode="External"/><Relationship Id="rId46" Type="http://schemas.openxmlformats.org/officeDocument/2006/relationships/hyperlink" Target="mailto:taniag02@hotmail.com" TargetMode="External"/><Relationship Id="rId59" Type="http://schemas.openxmlformats.org/officeDocument/2006/relationships/hyperlink" Target="mailto:dvillavicencio@spring.com.ec" TargetMode="External"/><Relationship Id="rId20" Type="http://schemas.openxmlformats.org/officeDocument/2006/relationships/hyperlink" Target="mailto:luciadominguezv@ucuenca.edu.ec" TargetMode="External"/><Relationship Id="rId41" Type="http://schemas.openxmlformats.org/officeDocument/2006/relationships/hyperlink" Target="mailto:lmastudillo115@hotmail.com" TargetMode="External"/><Relationship Id="rId54" Type="http://schemas.openxmlformats.org/officeDocument/2006/relationships/hyperlink" Target="mailto:machadob5@hotmail.com" TargetMode="External"/><Relationship Id="rId1" Type="http://schemas.openxmlformats.org/officeDocument/2006/relationships/hyperlink" Target="mailto:romel7173@hotmail.com" TargetMode="External"/><Relationship Id="rId6" Type="http://schemas.openxmlformats.org/officeDocument/2006/relationships/hyperlink" Target="mailto:tatagosh@hotmail.com" TargetMode="External"/><Relationship Id="rId15" Type="http://schemas.openxmlformats.org/officeDocument/2006/relationships/hyperlink" Target="mailto:mjvintimilla93@gmail.com" TargetMode="External"/><Relationship Id="rId23" Type="http://schemas.openxmlformats.org/officeDocument/2006/relationships/hyperlink" Target="mailto:valeriaotavalo9@gmail.com" TargetMode="External"/><Relationship Id="rId28" Type="http://schemas.openxmlformats.org/officeDocument/2006/relationships/hyperlink" Target="mailto:bettymaldonadot@hotmail.com" TargetMode="External"/><Relationship Id="rId36" Type="http://schemas.openxmlformats.org/officeDocument/2006/relationships/hyperlink" Target="mailto:valeriaotavalo9@gmail.com" TargetMode="External"/><Relationship Id="rId49" Type="http://schemas.openxmlformats.org/officeDocument/2006/relationships/hyperlink" Target="mailto:priscila-guerra@hotmail.com" TargetMode="External"/><Relationship Id="rId57" Type="http://schemas.openxmlformats.org/officeDocument/2006/relationships/hyperlink" Target="mailto:analumerchan@gmail" TargetMode="External"/><Relationship Id="rId10" Type="http://schemas.openxmlformats.org/officeDocument/2006/relationships/hyperlink" Target="mailto:jonnathancalle2603@gmail.com" TargetMode="External"/><Relationship Id="rId31" Type="http://schemas.openxmlformats.org/officeDocument/2006/relationships/hyperlink" Target="mailto:magubs@hotmail.com" TargetMode="External"/><Relationship Id="rId44" Type="http://schemas.openxmlformats.org/officeDocument/2006/relationships/hyperlink" Target="mailto:dianaruilova23@hotmail.com" TargetMode="External"/><Relationship Id="rId52" Type="http://schemas.openxmlformats.org/officeDocument/2006/relationships/hyperlink" Target="mailto:saturtex@hotmail.com" TargetMode="External"/><Relationship Id="rId60" Type="http://schemas.openxmlformats.org/officeDocument/2006/relationships/printerSettings" Target="../printerSettings/printerSettings1.bin"/><Relationship Id="rId4" Type="http://schemas.openxmlformats.org/officeDocument/2006/relationships/hyperlink" Target="mailto:eulalibarrera1966@gmail.com" TargetMode="External"/><Relationship Id="rId9" Type="http://schemas.openxmlformats.org/officeDocument/2006/relationships/hyperlink" Target="mailto:emycrespo36@hot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jonnathancalle2603@gmail.com" TargetMode="External"/><Relationship Id="rId3" Type="http://schemas.openxmlformats.org/officeDocument/2006/relationships/hyperlink" Target="mailto:israelpalacios245@gmail.com" TargetMode="External"/><Relationship Id="rId7" Type="http://schemas.openxmlformats.org/officeDocument/2006/relationships/hyperlink" Target="mailto:emycrespo36@hotmail.com" TargetMode="External"/><Relationship Id="rId2" Type="http://schemas.openxmlformats.org/officeDocument/2006/relationships/hyperlink" Target="mailto:documentos1acero@gmail.com" TargetMode="External"/><Relationship Id="rId1" Type="http://schemas.openxmlformats.org/officeDocument/2006/relationships/hyperlink" Target="mailto:renebaculima58@gmail.com" TargetMode="External"/><Relationship Id="rId6" Type="http://schemas.openxmlformats.org/officeDocument/2006/relationships/hyperlink" Target="mailto:remihurt@hotmail.coom" TargetMode="External"/><Relationship Id="rId5" Type="http://schemas.openxmlformats.org/officeDocument/2006/relationships/hyperlink" Target="mailto:bdrllc@gmail.com" TargetMode="External"/><Relationship Id="rId10" Type="http://schemas.openxmlformats.org/officeDocument/2006/relationships/drawing" Target="../drawings/drawing2.xml"/><Relationship Id="rId4" Type="http://schemas.openxmlformats.org/officeDocument/2006/relationships/hyperlink" Target="mailto:h8az6@hotmail.com" TargetMode="External"/><Relationship Id="rId9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mailto:ventas@comercialsolis.com.ec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m.beatriz_zamora@hotmail.com" TargetMode="External"/><Relationship Id="rId13" Type="http://schemas.openxmlformats.org/officeDocument/2006/relationships/hyperlink" Target="mailto:jxaviere21@yahoo.com" TargetMode="External"/><Relationship Id="rId3" Type="http://schemas.openxmlformats.org/officeDocument/2006/relationships/hyperlink" Target="mailto:maribel-repcar2@hotmail.com" TargetMode="External"/><Relationship Id="rId7" Type="http://schemas.openxmlformats.org/officeDocument/2006/relationships/hyperlink" Target="mailto:hospitalodontologico@gmail.com" TargetMode="External"/><Relationship Id="rId12" Type="http://schemas.openxmlformats.org/officeDocument/2006/relationships/hyperlink" Target="mailto:thaliajara22@gmail.com" TargetMode="External"/><Relationship Id="rId2" Type="http://schemas.openxmlformats.org/officeDocument/2006/relationships/hyperlink" Target="mailto:fgutierrez-fpc@hotmail.com" TargetMode="External"/><Relationship Id="rId1" Type="http://schemas.openxmlformats.org/officeDocument/2006/relationships/hyperlink" Target="mailto:luisfemg_7@hotmail.com" TargetMode="External"/><Relationship Id="rId6" Type="http://schemas.openxmlformats.org/officeDocument/2006/relationships/hyperlink" Target="mailto:aduraznofel@gmail.com" TargetMode="External"/><Relationship Id="rId11" Type="http://schemas.openxmlformats.org/officeDocument/2006/relationships/hyperlink" Target="mailto:mark.saucedo77@gmail.com" TargetMode="External"/><Relationship Id="rId5" Type="http://schemas.openxmlformats.org/officeDocument/2006/relationships/hyperlink" Target="mailto:fannysisalima@gmail.com" TargetMode="External"/><Relationship Id="rId10" Type="http://schemas.openxmlformats.org/officeDocument/2006/relationships/hyperlink" Target="mailto:nenecarrascot@hotmail.com" TargetMode="External"/><Relationship Id="rId4" Type="http://schemas.openxmlformats.org/officeDocument/2006/relationships/hyperlink" Target="mailto:elenag3820@hotmail.com" TargetMode="External"/><Relationship Id="rId9" Type="http://schemas.openxmlformats.org/officeDocument/2006/relationships/hyperlink" Target="mailto:belenmbh@gmail.com" TargetMode="External"/><Relationship Id="rId14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U75"/>
  <sheetViews>
    <sheetView topLeftCell="A59" zoomScale="127" zoomScaleNormal="127" workbookViewId="0">
      <selection activeCell="O75" sqref="O75"/>
    </sheetView>
  </sheetViews>
  <sheetFormatPr baseColWidth="10" defaultRowHeight="15"/>
  <cols>
    <col min="1" max="1" width="11.6640625" bestFit="1" customWidth="1"/>
    <col min="2" max="2" width="12.5" bestFit="1" customWidth="1"/>
    <col min="4" max="4" width="11.6640625" bestFit="1" customWidth="1"/>
    <col min="5" max="5" width="18" customWidth="1"/>
    <col min="6" max="6" width="15.1640625" customWidth="1"/>
    <col min="7" max="7" width="23.33203125" bestFit="1" customWidth="1"/>
    <col min="8" max="8" width="11.6640625" bestFit="1" customWidth="1"/>
    <col min="11" max="11" width="14.5" customWidth="1"/>
    <col min="12" max="12" width="17.1640625" customWidth="1"/>
    <col min="13" max="13" width="11.6640625" bestFit="1" customWidth="1"/>
    <col min="14" max="14" width="13.5" bestFit="1" customWidth="1"/>
    <col min="15" max="15" width="11.6640625" bestFit="1" customWidth="1"/>
    <col min="16" max="16" width="23.1640625" customWidth="1"/>
    <col min="18" max="18" width="11.6640625" bestFit="1" customWidth="1"/>
    <col min="19" max="19" width="11.83203125" bestFit="1" customWidth="1"/>
    <col min="20" max="20" width="16.6640625" customWidth="1"/>
  </cols>
  <sheetData>
    <row r="3" spans="1:21">
      <c r="A3" s="1"/>
      <c r="C3" s="2" t="s">
        <v>0</v>
      </c>
      <c r="E3" s="3"/>
      <c r="G3" s="4"/>
      <c r="H3" s="5"/>
      <c r="I3" s="6"/>
      <c r="J3" s="7"/>
      <c r="K3" s="5"/>
      <c r="L3" s="8"/>
      <c r="M3" s="8"/>
      <c r="N3" s="5"/>
      <c r="O3" s="9"/>
    </row>
    <row r="4" spans="1:21" ht="16">
      <c r="A4" s="1"/>
      <c r="C4" s="10" t="s">
        <v>1</v>
      </c>
      <c r="E4" s="5"/>
      <c r="G4" s="11"/>
      <c r="H4" s="12"/>
      <c r="I4" s="13"/>
      <c r="J4" s="14" t="s">
        <v>23</v>
      </c>
      <c r="K4" s="12"/>
      <c r="L4" s="15"/>
      <c r="M4" s="16"/>
      <c r="N4" s="5" t="s">
        <v>118</v>
      </c>
      <c r="O4" s="9"/>
      <c r="P4" s="17"/>
    </row>
    <row r="5" spans="1:21" s="23" customFormat="1" ht="45">
      <c r="A5" s="18"/>
      <c r="B5" s="19" t="s">
        <v>2</v>
      </c>
      <c r="C5" s="19" t="s">
        <v>3</v>
      </c>
      <c r="D5" s="19" t="s">
        <v>4</v>
      </c>
      <c r="E5" s="19" t="s">
        <v>5</v>
      </c>
      <c r="F5" s="20" t="s">
        <v>6</v>
      </c>
      <c r="G5" s="19" t="s">
        <v>7</v>
      </c>
      <c r="H5" s="19" t="s">
        <v>8</v>
      </c>
      <c r="I5" s="19" t="s">
        <v>9</v>
      </c>
      <c r="J5" s="19" t="s">
        <v>10</v>
      </c>
      <c r="K5" s="19" t="s">
        <v>11</v>
      </c>
      <c r="L5" s="21" t="s">
        <v>12</v>
      </c>
      <c r="M5" s="21" t="s">
        <v>13</v>
      </c>
      <c r="N5" s="19" t="s">
        <v>14</v>
      </c>
      <c r="O5" s="22" t="s">
        <v>15</v>
      </c>
      <c r="P5" s="19" t="s">
        <v>16</v>
      </c>
      <c r="Q5" s="19" t="s">
        <v>17</v>
      </c>
      <c r="R5" s="19" t="s">
        <v>18</v>
      </c>
      <c r="S5" s="19" t="s">
        <v>19</v>
      </c>
      <c r="T5" s="19" t="s">
        <v>20</v>
      </c>
      <c r="U5" s="19" t="s">
        <v>21</v>
      </c>
    </row>
    <row r="6" spans="1:21" ht="32.25" customHeight="1">
      <c r="A6">
        <v>1</v>
      </c>
      <c r="B6" s="191">
        <v>45582</v>
      </c>
      <c r="C6" s="190" t="s">
        <v>96</v>
      </c>
      <c r="D6" s="190" t="s">
        <v>121</v>
      </c>
      <c r="E6" s="187">
        <v>112580017</v>
      </c>
      <c r="F6" s="190" t="s">
        <v>94</v>
      </c>
      <c r="G6" s="190" t="s">
        <v>122</v>
      </c>
      <c r="H6" s="187" t="s">
        <v>42</v>
      </c>
      <c r="I6" s="187" t="s">
        <v>74</v>
      </c>
      <c r="J6" s="187" t="s">
        <v>75</v>
      </c>
      <c r="K6" s="192">
        <v>45586</v>
      </c>
      <c r="L6" s="193" t="s">
        <v>123</v>
      </c>
      <c r="M6" s="193" t="s">
        <v>124</v>
      </c>
      <c r="N6" s="190">
        <v>959687325</v>
      </c>
      <c r="O6" s="194">
        <v>20</v>
      </c>
      <c r="P6" s="187" t="s">
        <v>22</v>
      </c>
      <c r="Q6" s="187" t="s">
        <v>74</v>
      </c>
      <c r="R6" s="195"/>
      <c r="S6" s="190" t="s">
        <v>121</v>
      </c>
      <c r="T6" s="196">
        <v>103398087</v>
      </c>
      <c r="U6" s="197" t="s">
        <v>125</v>
      </c>
    </row>
    <row r="7" spans="1:21" ht="32.25" customHeight="1">
      <c r="A7">
        <v>2</v>
      </c>
      <c r="B7" s="191">
        <v>45582</v>
      </c>
      <c r="C7" s="190" t="s">
        <v>96</v>
      </c>
      <c r="D7" s="190" t="s">
        <v>121</v>
      </c>
      <c r="E7" s="187">
        <v>40485357</v>
      </c>
      <c r="F7" s="190" t="s">
        <v>126</v>
      </c>
      <c r="G7" s="190" t="s">
        <v>127</v>
      </c>
      <c r="H7" s="187" t="s">
        <v>42</v>
      </c>
      <c r="I7" s="187" t="s">
        <v>74</v>
      </c>
      <c r="J7" s="187" t="s">
        <v>75</v>
      </c>
      <c r="K7" s="192">
        <v>45586</v>
      </c>
      <c r="L7" s="193" t="s">
        <v>123</v>
      </c>
      <c r="M7" s="193" t="s">
        <v>124</v>
      </c>
      <c r="N7" s="190">
        <v>959687325</v>
      </c>
      <c r="O7" s="194">
        <v>20</v>
      </c>
      <c r="P7" s="187" t="s">
        <v>22</v>
      </c>
      <c r="Q7" s="187" t="s">
        <v>74</v>
      </c>
      <c r="R7" s="195"/>
      <c r="S7" s="190" t="s">
        <v>121</v>
      </c>
      <c r="T7" s="196">
        <v>103398087</v>
      </c>
      <c r="U7" s="197" t="s">
        <v>125</v>
      </c>
    </row>
    <row r="8" spans="1:21" ht="32.25" customHeight="1">
      <c r="A8">
        <v>3</v>
      </c>
      <c r="B8" s="191">
        <v>45563</v>
      </c>
      <c r="C8" s="190" t="s">
        <v>76</v>
      </c>
      <c r="D8" s="190" t="s">
        <v>207</v>
      </c>
      <c r="E8" s="187">
        <v>111020071</v>
      </c>
      <c r="F8" s="190" t="s">
        <v>110</v>
      </c>
      <c r="G8" s="190" t="s">
        <v>208</v>
      </c>
      <c r="H8" s="187" t="s">
        <v>42</v>
      </c>
      <c r="I8" s="187" t="s">
        <v>74</v>
      </c>
      <c r="J8" s="187" t="s">
        <v>75</v>
      </c>
      <c r="K8" s="192">
        <v>45586</v>
      </c>
      <c r="L8" s="193" t="s">
        <v>209</v>
      </c>
      <c r="M8" s="193" t="s">
        <v>210</v>
      </c>
      <c r="N8" s="190">
        <v>987820674</v>
      </c>
      <c r="O8" s="194">
        <v>15</v>
      </c>
      <c r="P8" s="187" t="s">
        <v>22</v>
      </c>
      <c r="Q8" s="187" t="s">
        <v>74</v>
      </c>
      <c r="R8" s="195"/>
      <c r="S8" s="190" t="s">
        <v>207</v>
      </c>
      <c r="T8" s="196">
        <v>101027530</v>
      </c>
      <c r="U8" s="197" t="s">
        <v>211</v>
      </c>
    </row>
    <row r="9" spans="1:21" ht="32.25" customHeight="1">
      <c r="A9">
        <v>4</v>
      </c>
      <c r="B9" s="191">
        <v>45563</v>
      </c>
      <c r="C9" s="190" t="s">
        <v>76</v>
      </c>
      <c r="D9" s="190" t="s">
        <v>207</v>
      </c>
      <c r="E9" s="187">
        <v>40584202</v>
      </c>
      <c r="F9" s="190" t="s">
        <v>92</v>
      </c>
      <c r="G9" s="190" t="s">
        <v>212</v>
      </c>
      <c r="H9" s="187" t="s">
        <v>42</v>
      </c>
      <c r="I9" s="187" t="s">
        <v>74</v>
      </c>
      <c r="J9" s="187" t="s">
        <v>75</v>
      </c>
      <c r="K9" s="192">
        <v>45586</v>
      </c>
      <c r="L9" s="193" t="s">
        <v>209</v>
      </c>
      <c r="M9" s="193" t="s">
        <v>210</v>
      </c>
      <c r="N9" s="190">
        <v>987820674</v>
      </c>
      <c r="O9" s="194">
        <v>15</v>
      </c>
      <c r="P9" s="187" t="s">
        <v>22</v>
      </c>
      <c r="Q9" s="187" t="s">
        <v>74</v>
      </c>
      <c r="R9" s="195"/>
      <c r="S9" s="190" t="s">
        <v>207</v>
      </c>
      <c r="T9" s="196">
        <v>101027530</v>
      </c>
      <c r="U9" s="197" t="s">
        <v>211</v>
      </c>
    </row>
    <row r="10" spans="1:21" ht="32.25" customHeight="1">
      <c r="A10">
        <v>5</v>
      </c>
      <c r="B10" s="191">
        <v>45563</v>
      </c>
      <c r="C10" s="190" t="s">
        <v>76</v>
      </c>
      <c r="D10" s="190" t="s">
        <v>207</v>
      </c>
      <c r="E10" s="187">
        <v>40446712</v>
      </c>
      <c r="F10" s="190" t="s">
        <v>87</v>
      </c>
      <c r="G10" s="190" t="s">
        <v>213</v>
      </c>
      <c r="H10" s="187" t="s">
        <v>42</v>
      </c>
      <c r="I10" s="187" t="s">
        <v>74</v>
      </c>
      <c r="J10" s="187" t="s">
        <v>75</v>
      </c>
      <c r="K10" s="192">
        <v>45586</v>
      </c>
      <c r="L10" s="193" t="s">
        <v>209</v>
      </c>
      <c r="M10" s="193" t="s">
        <v>210</v>
      </c>
      <c r="N10" s="190">
        <v>987820674</v>
      </c>
      <c r="O10" s="194">
        <v>15</v>
      </c>
      <c r="P10" s="187" t="s">
        <v>22</v>
      </c>
      <c r="Q10" s="187" t="s">
        <v>74</v>
      </c>
      <c r="R10" s="195"/>
      <c r="S10" s="190" t="s">
        <v>207</v>
      </c>
      <c r="T10" s="196">
        <v>101027530</v>
      </c>
      <c r="U10" s="197" t="s">
        <v>211</v>
      </c>
    </row>
    <row r="11" spans="1:21" ht="32.25" customHeight="1">
      <c r="A11">
        <v>6</v>
      </c>
      <c r="B11" s="191">
        <v>45563</v>
      </c>
      <c r="C11" s="190" t="s">
        <v>76</v>
      </c>
      <c r="D11" s="190" t="s">
        <v>207</v>
      </c>
      <c r="E11" s="187">
        <v>112570211</v>
      </c>
      <c r="F11" s="190" t="s">
        <v>214</v>
      </c>
      <c r="G11" s="190" t="s">
        <v>215</v>
      </c>
      <c r="H11" s="187" t="s">
        <v>42</v>
      </c>
      <c r="I11" s="187" t="s">
        <v>74</v>
      </c>
      <c r="J11" s="187" t="s">
        <v>75</v>
      </c>
      <c r="K11" s="192">
        <v>45586</v>
      </c>
      <c r="L11" s="193" t="s">
        <v>209</v>
      </c>
      <c r="M11" s="193" t="s">
        <v>210</v>
      </c>
      <c r="N11" s="190">
        <v>987820674</v>
      </c>
      <c r="O11" s="194">
        <v>15</v>
      </c>
      <c r="P11" s="187" t="s">
        <v>22</v>
      </c>
      <c r="Q11" s="187" t="s">
        <v>74</v>
      </c>
      <c r="R11" s="195"/>
      <c r="S11" s="190" t="s">
        <v>207</v>
      </c>
      <c r="T11" s="196">
        <v>101027530</v>
      </c>
      <c r="U11" s="197" t="s">
        <v>211</v>
      </c>
    </row>
    <row r="12" spans="1:21" ht="32.25" customHeight="1">
      <c r="A12">
        <v>7</v>
      </c>
      <c r="B12" s="191">
        <v>45379</v>
      </c>
      <c r="C12" s="190" t="s">
        <v>96</v>
      </c>
      <c r="D12" s="190" t="s">
        <v>181</v>
      </c>
      <c r="E12" s="187">
        <v>112580027</v>
      </c>
      <c r="F12" s="190" t="s">
        <v>109</v>
      </c>
      <c r="G12" s="190" t="s">
        <v>182</v>
      </c>
      <c r="H12" s="187" t="s">
        <v>42</v>
      </c>
      <c r="I12" s="187" t="s">
        <v>74</v>
      </c>
      <c r="J12" s="187" t="s">
        <v>75</v>
      </c>
      <c r="K12" s="192">
        <v>45588</v>
      </c>
      <c r="L12" s="193" t="s">
        <v>299</v>
      </c>
      <c r="M12" s="193" t="s">
        <v>183</v>
      </c>
      <c r="N12" s="190">
        <v>998620795</v>
      </c>
      <c r="O12" s="194">
        <v>15</v>
      </c>
      <c r="P12" s="187" t="s">
        <v>22</v>
      </c>
      <c r="Q12" s="187" t="s">
        <v>74</v>
      </c>
      <c r="R12" s="195"/>
      <c r="S12" s="199" t="s">
        <v>181</v>
      </c>
      <c r="T12" s="196">
        <v>300650769</v>
      </c>
      <c r="U12" s="197" t="s">
        <v>184</v>
      </c>
    </row>
    <row r="13" spans="1:21" ht="32.25" customHeight="1">
      <c r="A13">
        <v>8</v>
      </c>
      <c r="B13" s="191">
        <v>45379</v>
      </c>
      <c r="C13" s="190" t="s">
        <v>96</v>
      </c>
      <c r="D13" s="190" t="s">
        <v>181</v>
      </c>
      <c r="E13" s="187">
        <v>41560124</v>
      </c>
      <c r="F13" s="190" t="s">
        <v>142</v>
      </c>
      <c r="G13" s="190" t="s">
        <v>188</v>
      </c>
      <c r="H13" s="187" t="s">
        <v>42</v>
      </c>
      <c r="I13" s="187" t="s">
        <v>74</v>
      </c>
      <c r="J13" s="187" t="s">
        <v>75</v>
      </c>
      <c r="K13" s="192">
        <v>45588</v>
      </c>
      <c r="L13" s="193" t="s">
        <v>299</v>
      </c>
      <c r="M13" s="193" t="s">
        <v>183</v>
      </c>
      <c r="N13" s="190">
        <v>998620795</v>
      </c>
      <c r="O13" s="194">
        <v>15</v>
      </c>
      <c r="P13" s="187" t="s">
        <v>22</v>
      </c>
      <c r="Q13" s="187" t="s">
        <v>74</v>
      </c>
      <c r="R13" s="195"/>
      <c r="S13" s="199" t="s">
        <v>181</v>
      </c>
      <c r="T13" s="196">
        <v>300650769</v>
      </c>
      <c r="U13" s="197" t="s">
        <v>184</v>
      </c>
    </row>
    <row r="14" spans="1:21" ht="32.25" customHeight="1">
      <c r="A14">
        <v>9</v>
      </c>
      <c r="B14" s="191">
        <v>45379</v>
      </c>
      <c r="C14" s="190" t="s">
        <v>96</v>
      </c>
      <c r="D14" s="190" t="s">
        <v>181</v>
      </c>
      <c r="E14" s="187">
        <v>40446712</v>
      </c>
      <c r="F14" s="190" t="s">
        <v>87</v>
      </c>
      <c r="G14" s="190" t="s">
        <v>187</v>
      </c>
      <c r="H14" s="187" t="s">
        <v>42</v>
      </c>
      <c r="I14" s="187" t="s">
        <v>74</v>
      </c>
      <c r="J14" s="187" t="s">
        <v>75</v>
      </c>
      <c r="K14" s="192">
        <v>45588</v>
      </c>
      <c r="L14" s="193" t="s">
        <v>299</v>
      </c>
      <c r="M14" s="193" t="s">
        <v>183</v>
      </c>
      <c r="N14" s="190">
        <v>998620795</v>
      </c>
      <c r="O14" s="194">
        <v>15</v>
      </c>
      <c r="P14" s="187" t="s">
        <v>22</v>
      </c>
      <c r="Q14" s="187" t="s">
        <v>74</v>
      </c>
      <c r="R14" s="195"/>
      <c r="S14" s="199" t="s">
        <v>181</v>
      </c>
      <c r="T14" s="196">
        <v>300650769</v>
      </c>
      <c r="U14" s="197" t="s">
        <v>184</v>
      </c>
    </row>
    <row r="15" spans="1:21" ht="32.25" customHeight="1">
      <c r="A15">
        <v>10</v>
      </c>
      <c r="B15" s="191">
        <v>45379</v>
      </c>
      <c r="C15" s="190" t="s">
        <v>96</v>
      </c>
      <c r="D15" s="190" t="s">
        <v>181</v>
      </c>
      <c r="E15" s="187">
        <v>40584012</v>
      </c>
      <c r="F15" s="190" t="s">
        <v>185</v>
      </c>
      <c r="G15" s="190" t="s">
        <v>186</v>
      </c>
      <c r="H15" s="187" t="s">
        <v>42</v>
      </c>
      <c r="I15" s="187" t="s">
        <v>74</v>
      </c>
      <c r="J15" s="187" t="s">
        <v>75</v>
      </c>
      <c r="K15" s="192">
        <v>45588</v>
      </c>
      <c r="L15" s="193" t="s">
        <v>299</v>
      </c>
      <c r="M15" s="193" t="s">
        <v>183</v>
      </c>
      <c r="N15" s="190">
        <v>998620795</v>
      </c>
      <c r="O15" s="194">
        <v>15</v>
      </c>
      <c r="P15" s="187" t="s">
        <v>22</v>
      </c>
      <c r="Q15" s="187" t="s">
        <v>74</v>
      </c>
      <c r="R15" s="195"/>
      <c r="S15" s="199" t="s">
        <v>181</v>
      </c>
      <c r="T15" s="196">
        <v>300650769</v>
      </c>
      <c r="U15" s="197" t="s">
        <v>184</v>
      </c>
    </row>
    <row r="16" spans="1:21" ht="32.25" customHeight="1">
      <c r="A16">
        <v>11</v>
      </c>
      <c r="B16" s="191">
        <v>45571</v>
      </c>
      <c r="C16" s="190" t="s">
        <v>76</v>
      </c>
      <c r="D16" s="190" t="s">
        <v>128</v>
      </c>
      <c r="E16" s="187">
        <v>112580017</v>
      </c>
      <c r="F16" s="190" t="s">
        <v>94</v>
      </c>
      <c r="G16" s="190" t="s">
        <v>129</v>
      </c>
      <c r="H16" s="187" t="s">
        <v>42</v>
      </c>
      <c r="I16" s="187" t="s">
        <v>74</v>
      </c>
      <c r="J16" s="187" t="s">
        <v>75</v>
      </c>
      <c r="K16" s="192">
        <v>45589</v>
      </c>
      <c r="L16" s="193" t="s">
        <v>130</v>
      </c>
      <c r="M16" s="193" t="s">
        <v>131</v>
      </c>
      <c r="N16" s="190">
        <v>984351331</v>
      </c>
      <c r="O16" s="194">
        <v>20</v>
      </c>
      <c r="P16" s="187" t="s">
        <v>22</v>
      </c>
      <c r="Q16" s="187" t="s">
        <v>74</v>
      </c>
      <c r="R16" s="195"/>
      <c r="S16" s="190" t="s">
        <v>128</v>
      </c>
      <c r="T16" s="196">
        <v>102242831</v>
      </c>
      <c r="U16" s="197" t="s">
        <v>132</v>
      </c>
    </row>
    <row r="17" spans="1:21" ht="32.25" customHeight="1">
      <c r="A17">
        <v>12</v>
      </c>
      <c r="B17" s="191">
        <v>45571</v>
      </c>
      <c r="C17" s="190" t="s">
        <v>76</v>
      </c>
      <c r="D17" s="190" t="s">
        <v>128</v>
      </c>
      <c r="E17" s="187">
        <v>111000051</v>
      </c>
      <c r="F17" s="190" t="s">
        <v>86</v>
      </c>
      <c r="G17" s="190" t="s">
        <v>133</v>
      </c>
      <c r="H17" s="187" t="s">
        <v>42</v>
      </c>
      <c r="I17" s="187" t="s">
        <v>74</v>
      </c>
      <c r="J17" s="187" t="s">
        <v>75</v>
      </c>
      <c r="K17" s="192">
        <v>45589</v>
      </c>
      <c r="L17" s="193" t="s">
        <v>130</v>
      </c>
      <c r="M17" s="193" t="s">
        <v>131</v>
      </c>
      <c r="N17" s="190">
        <v>984351331</v>
      </c>
      <c r="O17" s="194">
        <v>20</v>
      </c>
      <c r="P17" s="187" t="s">
        <v>22</v>
      </c>
      <c r="Q17" s="187" t="s">
        <v>74</v>
      </c>
      <c r="R17" s="195"/>
      <c r="S17" s="190" t="s">
        <v>128</v>
      </c>
      <c r="T17" s="196">
        <v>102242831</v>
      </c>
      <c r="U17" s="197" t="s">
        <v>132</v>
      </c>
    </row>
    <row r="18" spans="1:21" ht="32.25" customHeight="1">
      <c r="A18">
        <v>13</v>
      </c>
      <c r="B18" s="191">
        <v>45585</v>
      </c>
      <c r="C18" s="190" t="s">
        <v>85</v>
      </c>
      <c r="D18" s="190" t="s">
        <v>134</v>
      </c>
      <c r="E18" s="187">
        <v>112520025</v>
      </c>
      <c r="F18" s="190" t="s">
        <v>135</v>
      </c>
      <c r="G18" s="190" t="s">
        <v>136</v>
      </c>
      <c r="H18" s="187" t="s">
        <v>42</v>
      </c>
      <c r="I18" s="187" t="s">
        <v>74</v>
      </c>
      <c r="J18" s="187" t="s">
        <v>75</v>
      </c>
      <c r="K18" s="192">
        <v>45589</v>
      </c>
      <c r="L18" s="193" t="s">
        <v>137</v>
      </c>
      <c r="M18" s="193" t="s">
        <v>99</v>
      </c>
      <c r="N18" s="190">
        <v>983473000</v>
      </c>
      <c r="O18" s="194">
        <v>20</v>
      </c>
      <c r="P18" s="187" t="s">
        <v>22</v>
      </c>
      <c r="Q18" s="187" t="s">
        <v>74</v>
      </c>
      <c r="R18" s="195"/>
      <c r="S18" s="190" t="s">
        <v>134</v>
      </c>
      <c r="T18" s="196">
        <v>102075298</v>
      </c>
      <c r="U18" s="197" t="s">
        <v>138</v>
      </c>
    </row>
    <row r="19" spans="1:21" ht="32.25" customHeight="1">
      <c r="A19">
        <v>14</v>
      </c>
      <c r="B19" s="191">
        <v>45585</v>
      </c>
      <c r="C19" s="190" t="s">
        <v>85</v>
      </c>
      <c r="D19" s="190" t="s">
        <v>134</v>
      </c>
      <c r="E19" s="187">
        <v>112570016</v>
      </c>
      <c r="F19" s="190" t="s">
        <v>139</v>
      </c>
      <c r="G19" s="190" t="s">
        <v>140</v>
      </c>
      <c r="H19" s="187" t="s">
        <v>42</v>
      </c>
      <c r="I19" s="187" t="s">
        <v>74</v>
      </c>
      <c r="J19" s="187" t="s">
        <v>75</v>
      </c>
      <c r="K19" s="192">
        <v>45589</v>
      </c>
      <c r="L19" s="193" t="s">
        <v>137</v>
      </c>
      <c r="M19" s="193" t="s">
        <v>99</v>
      </c>
      <c r="N19" s="190">
        <v>983473000</v>
      </c>
      <c r="O19" s="194">
        <v>20</v>
      </c>
      <c r="P19" s="187" t="s">
        <v>22</v>
      </c>
      <c r="Q19" s="187" t="s">
        <v>74</v>
      </c>
      <c r="R19" s="195"/>
      <c r="S19" s="190" t="s">
        <v>134</v>
      </c>
      <c r="T19" s="196">
        <v>102075298</v>
      </c>
      <c r="U19" s="197" t="s">
        <v>138</v>
      </c>
    </row>
    <row r="20" spans="1:21" ht="32.25" customHeight="1">
      <c r="A20">
        <v>15</v>
      </c>
      <c r="B20" s="191">
        <v>45537</v>
      </c>
      <c r="C20" s="190" t="s">
        <v>76</v>
      </c>
      <c r="D20" s="190" t="s">
        <v>154</v>
      </c>
      <c r="E20" s="187">
        <v>40212070</v>
      </c>
      <c r="F20" s="190" t="s">
        <v>155</v>
      </c>
      <c r="G20" s="190" t="s">
        <v>156</v>
      </c>
      <c r="H20" s="187" t="s">
        <v>42</v>
      </c>
      <c r="I20" s="187" t="s">
        <v>74</v>
      </c>
      <c r="J20" s="187" t="s">
        <v>75</v>
      </c>
      <c r="K20" s="192">
        <v>45590</v>
      </c>
      <c r="L20" s="193" t="s">
        <v>157</v>
      </c>
      <c r="M20" s="193" t="s">
        <v>158</v>
      </c>
      <c r="N20" s="190">
        <v>991093646</v>
      </c>
      <c r="O20" s="194">
        <v>15</v>
      </c>
      <c r="P20" s="187" t="s">
        <v>22</v>
      </c>
      <c r="Q20" s="187" t="s">
        <v>74</v>
      </c>
      <c r="R20" s="195"/>
      <c r="S20" s="190" t="s">
        <v>154</v>
      </c>
      <c r="T20" s="196">
        <v>105242994</v>
      </c>
      <c r="U20" s="197" t="s">
        <v>159</v>
      </c>
    </row>
    <row r="21" spans="1:21" ht="32.25" customHeight="1">
      <c r="A21">
        <v>16</v>
      </c>
      <c r="B21" s="191">
        <v>45537</v>
      </c>
      <c r="C21" s="190" t="s">
        <v>76</v>
      </c>
      <c r="D21" s="190" t="s">
        <v>154</v>
      </c>
      <c r="E21" s="187">
        <v>111030002</v>
      </c>
      <c r="F21" s="190" t="s">
        <v>160</v>
      </c>
      <c r="G21" s="190" t="s">
        <v>161</v>
      </c>
      <c r="H21" s="187" t="s">
        <v>42</v>
      </c>
      <c r="I21" s="187" t="s">
        <v>74</v>
      </c>
      <c r="J21" s="187" t="s">
        <v>75</v>
      </c>
      <c r="K21" s="192">
        <v>45590</v>
      </c>
      <c r="L21" s="193" t="s">
        <v>157</v>
      </c>
      <c r="M21" s="193" t="s">
        <v>158</v>
      </c>
      <c r="N21" s="190">
        <v>991093646</v>
      </c>
      <c r="O21" s="194">
        <v>15</v>
      </c>
      <c r="P21" s="187" t="s">
        <v>22</v>
      </c>
      <c r="Q21" s="187" t="s">
        <v>74</v>
      </c>
      <c r="R21" s="195"/>
      <c r="S21" s="190" t="s">
        <v>154</v>
      </c>
      <c r="T21" s="196">
        <v>105242994</v>
      </c>
      <c r="U21" s="197" t="s">
        <v>159</v>
      </c>
    </row>
    <row r="22" spans="1:21" ht="32.25" customHeight="1">
      <c r="A22">
        <v>17</v>
      </c>
      <c r="B22" s="191">
        <v>45537</v>
      </c>
      <c r="C22" s="190" t="s">
        <v>76</v>
      </c>
      <c r="D22" s="190" t="s">
        <v>154</v>
      </c>
      <c r="E22" s="187">
        <v>40466241</v>
      </c>
      <c r="F22" s="190" t="s">
        <v>111</v>
      </c>
      <c r="G22" s="190" t="s">
        <v>162</v>
      </c>
      <c r="H22" s="187" t="s">
        <v>42</v>
      </c>
      <c r="I22" s="187" t="s">
        <v>74</v>
      </c>
      <c r="J22" s="187" t="s">
        <v>75</v>
      </c>
      <c r="K22" s="192">
        <v>45590</v>
      </c>
      <c r="L22" s="193" t="s">
        <v>157</v>
      </c>
      <c r="M22" s="193" t="s">
        <v>158</v>
      </c>
      <c r="N22" s="190">
        <v>991093646</v>
      </c>
      <c r="O22" s="194">
        <v>15</v>
      </c>
      <c r="P22" s="187" t="s">
        <v>22</v>
      </c>
      <c r="Q22" s="187" t="s">
        <v>74</v>
      </c>
      <c r="R22" s="195"/>
      <c r="S22" s="190" t="s">
        <v>154</v>
      </c>
      <c r="T22" s="196">
        <v>105242994</v>
      </c>
      <c r="U22" s="197" t="s">
        <v>159</v>
      </c>
    </row>
    <row r="23" spans="1:21" ht="32.25" customHeight="1">
      <c r="A23">
        <v>18</v>
      </c>
      <c r="B23" s="191">
        <v>45141</v>
      </c>
      <c r="C23" s="190" t="s">
        <v>115</v>
      </c>
      <c r="D23" s="190" t="s">
        <v>141</v>
      </c>
      <c r="E23" s="187">
        <v>41560124</v>
      </c>
      <c r="F23" s="190" t="s">
        <v>142</v>
      </c>
      <c r="G23" s="190" t="s">
        <v>143</v>
      </c>
      <c r="H23" s="187" t="s">
        <v>42</v>
      </c>
      <c r="I23" s="187" t="s">
        <v>74</v>
      </c>
      <c r="J23" s="187" t="s">
        <v>75</v>
      </c>
      <c r="K23" s="192">
        <v>45594</v>
      </c>
      <c r="L23" s="193" t="s">
        <v>144</v>
      </c>
      <c r="M23" s="193" t="s">
        <v>145</v>
      </c>
      <c r="N23" s="190">
        <v>983346559</v>
      </c>
      <c r="O23" s="194">
        <v>15</v>
      </c>
      <c r="P23" s="187" t="s">
        <v>22</v>
      </c>
      <c r="Q23" s="187" t="s">
        <v>74</v>
      </c>
      <c r="R23" s="195"/>
      <c r="S23" s="190" t="s">
        <v>141</v>
      </c>
      <c r="T23" s="196">
        <v>104225651</v>
      </c>
      <c r="U23" s="197" t="s">
        <v>146</v>
      </c>
    </row>
    <row r="24" spans="1:21" ht="32.25" customHeight="1">
      <c r="A24">
        <v>19</v>
      </c>
      <c r="B24" s="191">
        <v>45109</v>
      </c>
      <c r="C24" s="190" t="s">
        <v>115</v>
      </c>
      <c r="D24" s="190" t="s">
        <v>147</v>
      </c>
      <c r="E24" s="187">
        <v>41560124</v>
      </c>
      <c r="F24" s="190" t="s">
        <v>148</v>
      </c>
      <c r="G24" s="190" t="s">
        <v>149</v>
      </c>
      <c r="H24" s="187" t="s">
        <v>42</v>
      </c>
      <c r="I24" s="187" t="s">
        <v>74</v>
      </c>
      <c r="J24" s="187" t="s">
        <v>75</v>
      </c>
      <c r="K24" s="192">
        <v>45594</v>
      </c>
      <c r="L24" s="193" t="s">
        <v>144</v>
      </c>
      <c r="M24" s="193" t="s">
        <v>145</v>
      </c>
      <c r="N24" s="190">
        <v>983346559</v>
      </c>
      <c r="O24" s="194">
        <v>15</v>
      </c>
      <c r="P24" s="187" t="s">
        <v>22</v>
      </c>
      <c r="Q24" s="187" t="s">
        <v>74</v>
      </c>
      <c r="R24" s="195"/>
      <c r="S24" s="190" t="s">
        <v>141</v>
      </c>
      <c r="T24" s="196">
        <v>104225651</v>
      </c>
      <c r="U24" s="197" t="s">
        <v>146</v>
      </c>
    </row>
    <row r="25" spans="1:21" ht="32.25" customHeight="1">
      <c r="A25">
        <v>20</v>
      </c>
      <c r="B25" s="191">
        <v>45254</v>
      </c>
      <c r="C25" s="190" t="s">
        <v>150</v>
      </c>
      <c r="D25" s="190" t="s">
        <v>151</v>
      </c>
      <c r="E25" s="187">
        <v>112570125</v>
      </c>
      <c r="F25" s="190" t="s">
        <v>152</v>
      </c>
      <c r="G25" s="190" t="s">
        <v>153</v>
      </c>
      <c r="H25" s="187" t="s">
        <v>42</v>
      </c>
      <c r="I25" s="187" t="s">
        <v>74</v>
      </c>
      <c r="J25" s="187" t="s">
        <v>75</v>
      </c>
      <c r="K25" s="192">
        <v>45594</v>
      </c>
      <c r="L25" s="193" t="s">
        <v>144</v>
      </c>
      <c r="M25" s="193" t="s">
        <v>145</v>
      </c>
      <c r="N25" s="190">
        <v>983346559</v>
      </c>
      <c r="O25" s="194">
        <v>15</v>
      </c>
      <c r="P25" s="187" t="s">
        <v>22</v>
      </c>
      <c r="Q25" s="187" t="s">
        <v>74</v>
      </c>
      <c r="R25" s="195"/>
      <c r="S25" s="190" t="s">
        <v>141</v>
      </c>
      <c r="T25" s="196">
        <v>104225651</v>
      </c>
      <c r="U25" s="197" t="s">
        <v>146</v>
      </c>
    </row>
    <row r="26" spans="1:21" ht="32.25" customHeight="1">
      <c r="A26">
        <v>21</v>
      </c>
      <c r="B26" s="191">
        <v>45556</v>
      </c>
      <c r="C26" s="190" t="s">
        <v>85</v>
      </c>
      <c r="D26" s="190" t="s">
        <v>163</v>
      </c>
      <c r="E26" s="187">
        <v>40446712</v>
      </c>
      <c r="F26" s="190" t="s">
        <v>87</v>
      </c>
      <c r="G26" s="190" t="s">
        <v>164</v>
      </c>
      <c r="H26" s="187" t="s">
        <v>42</v>
      </c>
      <c r="I26" s="187" t="s">
        <v>74</v>
      </c>
      <c r="J26" s="187" t="s">
        <v>75</v>
      </c>
      <c r="K26" s="192">
        <v>45594</v>
      </c>
      <c r="L26" s="193" t="s">
        <v>165</v>
      </c>
      <c r="M26" s="193" t="s">
        <v>166</v>
      </c>
      <c r="N26" s="190">
        <v>979277440</v>
      </c>
      <c r="O26" s="194">
        <v>15</v>
      </c>
      <c r="P26" s="187" t="s">
        <v>22</v>
      </c>
      <c r="Q26" s="187" t="s">
        <v>74</v>
      </c>
      <c r="R26" s="195"/>
      <c r="S26" s="190" t="s">
        <v>163</v>
      </c>
      <c r="T26" s="196">
        <v>105592349</v>
      </c>
      <c r="U26" s="197" t="s">
        <v>167</v>
      </c>
    </row>
    <row r="27" spans="1:21" ht="32.25" customHeight="1">
      <c r="A27">
        <v>22</v>
      </c>
      <c r="B27" s="191">
        <v>45556</v>
      </c>
      <c r="C27" s="190" t="s">
        <v>85</v>
      </c>
      <c r="D27" s="190" t="s">
        <v>163</v>
      </c>
      <c r="E27" s="187">
        <v>112520025</v>
      </c>
      <c r="F27" s="190" t="s">
        <v>135</v>
      </c>
      <c r="G27" s="190" t="s">
        <v>164</v>
      </c>
      <c r="H27" s="187" t="s">
        <v>42</v>
      </c>
      <c r="I27" s="187" t="s">
        <v>74</v>
      </c>
      <c r="J27" s="187" t="s">
        <v>75</v>
      </c>
      <c r="K27" s="192">
        <v>45594</v>
      </c>
      <c r="L27" s="193" t="s">
        <v>165</v>
      </c>
      <c r="M27" s="193" t="s">
        <v>166</v>
      </c>
      <c r="N27" s="190">
        <v>979277440</v>
      </c>
      <c r="O27" s="194">
        <v>15</v>
      </c>
      <c r="P27" s="187" t="s">
        <v>22</v>
      </c>
      <c r="Q27" s="187" t="s">
        <v>74</v>
      </c>
      <c r="R27" s="195"/>
      <c r="S27" s="190" t="s">
        <v>163</v>
      </c>
      <c r="T27" s="196">
        <v>105592349</v>
      </c>
      <c r="U27" s="197" t="s">
        <v>167</v>
      </c>
    </row>
    <row r="28" spans="1:21" ht="32.25" customHeight="1">
      <c r="A28">
        <v>23</v>
      </c>
      <c r="B28" s="191">
        <v>45556</v>
      </c>
      <c r="C28" s="190" t="s">
        <v>85</v>
      </c>
      <c r="D28" s="190" t="s">
        <v>163</v>
      </c>
      <c r="E28" s="187">
        <v>111010040</v>
      </c>
      <c r="F28" s="190" t="s">
        <v>102</v>
      </c>
      <c r="G28" s="190" t="s">
        <v>168</v>
      </c>
      <c r="H28" s="187" t="s">
        <v>42</v>
      </c>
      <c r="I28" s="187" t="s">
        <v>74</v>
      </c>
      <c r="J28" s="187" t="s">
        <v>75</v>
      </c>
      <c r="K28" s="192">
        <v>45594</v>
      </c>
      <c r="L28" s="193" t="s">
        <v>165</v>
      </c>
      <c r="M28" s="193" t="s">
        <v>166</v>
      </c>
      <c r="N28" s="190">
        <v>979277440</v>
      </c>
      <c r="O28" s="194">
        <v>15</v>
      </c>
      <c r="P28" s="187" t="s">
        <v>22</v>
      </c>
      <c r="Q28" s="187" t="s">
        <v>74</v>
      </c>
      <c r="R28" s="195"/>
      <c r="S28" s="190" t="s">
        <v>163</v>
      </c>
      <c r="T28" s="196">
        <v>105592349</v>
      </c>
      <c r="U28" s="197" t="s">
        <v>167</v>
      </c>
    </row>
    <row r="29" spans="1:21" ht="32.25" customHeight="1">
      <c r="A29">
        <v>24</v>
      </c>
      <c r="B29" s="191">
        <v>45565</v>
      </c>
      <c r="C29" s="190" t="s">
        <v>76</v>
      </c>
      <c r="D29" s="190" t="s">
        <v>169</v>
      </c>
      <c r="E29" s="187">
        <v>112570068</v>
      </c>
      <c r="F29" s="190" t="s">
        <v>93</v>
      </c>
      <c r="G29" s="190" t="s">
        <v>170</v>
      </c>
      <c r="H29" s="187" t="s">
        <v>42</v>
      </c>
      <c r="I29" s="187" t="s">
        <v>74</v>
      </c>
      <c r="J29" s="187" t="s">
        <v>75</v>
      </c>
      <c r="K29" s="192">
        <v>45595</v>
      </c>
      <c r="L29" s="193" t="s">
        <v>171</v>
      </c>
      <c r="M29" s="193" t="s">
        <v>172</v>
      </c>
      <c r="N29" s="190">
        <v>943201890</v>
      </c>
      <c r="O29" s="194">
        <v>15</v>
      </c>
      <c r="P29" s="187" t="s">
        <v>22</v>
      </c>
      <c r="Q29" s="187" t="s">
        <v>74</v>
      </c>
      <c r="R29" s="195"/>
      <c r="S29" s="190" t="s">
        <v>169</v>
      </c>
      <c r="T29" s="196">
        <v>100768894</v>
      </c>
      <c r="U29" s="197" t="s">
        <v>173</v>
      </c>
    </row>
    <row r="30" spans="1:21" ht="32.25" customHeight="1">
      <c r="A30">
        <v>25</v>
      </c>
      <c r="B30" s="191">
        <v>45565</v>
      </c>
      <c r="C30" s="190" t="s">
        <v>76</v>
      </c>
      <c r="D30" s="190" t="s">
        <v>169</v>
      </c>
      <c r="E30" s="187">
        <v>112570068</v>
      </c>
      <c r="F30" s="190" t="s">
        <v>93</v>
      </c>
      <c r="G30" s="190" t="s">
        <v>174</v>
      </c>
      <c r="H30" s="187" t="s">
        <v>42</v>
      </c>
      <c r="I30" s="187" t="s">
        <v>74</v>
      </c>
      <c r="J30" s="187" t="s">
        <v>75</v>
      </c>
      <c r="K30" s="192">
        <v>45595</v>
      </c>
      <c r="L30" s="193" t="s">
        <v>171</v>
      </c>
      <c r="M30" s="193" t="s">
        <v>172</v>
      </c>
      <c r="N30" s="190">
        <v>943201890</v>
      </c>
      <c r="O30" s="194">
        <v>15</v>
      </c>
      <c r="P30" s="187" t="s">
        <v>22</v>
      </c>
      <c r="Q30" s="187" t="s">
        <v>74</v>
      </c>
      <c r="R30" s="195"/>
      <c r="S30" s="190" t="s">
        <v>169</v>
      </c>
      <c r="T30" s="196">
        <v>100768894</v>
      </c>
      <c r="U30" s="197" t="s">
        <v>173</v>
      </c>
    </row>
    <row r="31" spans="1:21" ht="32.25" customHeight="1">
      <c r="A31">
        <v>26</v>
      </c>
      <c r="B31" s="191">
        <v>45565</v>
      </c>
      <c r="C31" s="190" t="s">
        <v>76</v>
      </c>
      <c r="D31" s="190" t="s">
        <v>169</v>
      </c>
      <c r="E31" s="187">
        <v>112570068</v>
      </c>
      <c r="F31" s="190" t="s">
        <v>93</v>
      </c>
      <c r="G31" s="190" t="s">
        <v>175</v>
      </c>
      <c r="H31" s="187" t="s">
        <v>42</v>
      </c>
      <c r="I31" s="187" t="s">
        <v>74</v>
      </c>
      <c r="J31" s="187" t="s">
        <v>75</v>
      </c>
      <c r="K31" s="192">
        <v>45595</v>
      </c>
      <c r="L31" s="193" t="s">
        <v>171</v>
      </c>
      <c r="M31" s="193" t="s">
        <v>172</v>
      </c>
      <c r="N31" s="190">
        <v>943201890</v>
      </c>
      <c r="O31" s="194">
        <v>15</v>
      </c>
      <c r="P31" s="187" t="s">
        <v>22</v>
      </c>
      <c r="Q31" s="187" t="s">
        <v>74</v>
      </c>
      <c r="R31" s="195"/>
      <c r="S31" s="190" t="s">
        <v>169</v>
      </c>
      <c r="T31" s="196">
        <v>100768894</v>
      </c>
      <c r="U31" s="197" t="s">
        <v>173</v>
      </c>
    </row>
    <row r="32" spans="1:21" ht="32.25" customHeight="1">
      <c r="A32">
        <v>27</v>
      </c>
      <c r="B32" s="191">
        <v>45590</v>
      </c>
      <c r="C32" s="190" t="s">
        <v>96</v>
      </c>
      <c r="D32" s="190" t="s">
        <v>176</v>
      </c>
      <c r="E32" s="187">
        <v>40212070</v>
      </c>
      <c r="F32" s="190" t="s">
        <v>177</v>
      </c>
      <c r="G32" s="190" t="s">
        <v>178</v>
      </c>
      <c r="H32" s="187" t="s">
        <v>42</v>
      </c>
      <c r="I32" s="187" t="s">
        <v>74</v>
      </c>
      <c r="J32" s="187" t="s">
        <v>75</v>
      </c>
      <c r="K32" s="192">
        <v>45596</v>
      </c>
      <c r="L32" s="193" t="s">
        <v>179</v>
      </c>
      <c r="M32" s="193" t="s">
        <v>180</v>
      </c>
      <c r="N32" s="190">
        <v>993582333</v>
      </c>
      <c r="O32" s="194">
        <v>15</v>
      </c>
      <c r="P32" s="187" t="s">
        <v>22</v>
      </c>
      <c r="Q32" s="187" t="s">
        <v>74</v>
      </c>
      <c r="R32" s="195"/>
      <c r="S32" s="190" t="s">
        <v>176</v>
      </c>
      <c r="T32" s="196">
        <v>300414000</v>
      </c>
      <c r="U32" s="197"/>
    </row>
    <row r="33" spans="1:21" ht="32.25" customHeight="1">
      <c r="A33">
        <v>28</v>
      </c>
      <c r="B33" s="191">
        <v>45590</v>
      </c>
      <c r="C33" s="190" t="s">
        <v>96</v>
      </c>
      <c r="D33" s="190" t="s">
        <v>176</v>
      </c>
      <c r="E33" s="187">
        <v>40467320</v>
      </c>
      <c r="F33" s="190" t="s">
        <v>116</v>
      </c>
      <c r="G33" s="190" t="s">
        <v>178</v>
      </c>
      <c r="H33" s="187" t="s">
        <v>42</v>
      </c>
      <c r="I33" s="187" t="s">
        <v>74</v>
      </c>
      <c r="J33" s="187" t="s">
        <v>75</v>
      </c>
      <c r="K33" s="192">
        <v>45596</v>
      </c>
      <c r="L33" s="193" t="s">
        <v>179</v>
      </c>
      <c r="M33" s="193" t="s">
        <v>180</v>
      </c>
      <c r="N33" s="190">
        <v>993582333</v>
      </c>
      <c r="O33" s="194">
        <v>15</v>
      </c>
      <c r="P33" s="187" t="s">
        <v>22</v>
      </c>
      <c r="Q33" s="187" t="s">
        <v>74</v>
      </c>
      <c r="R33" s="195"/>
      <c r="S33" s="190" t="s">
        <v>176</v>
      </c>
      <c r="T33" s="196">
        <v>300414000</v>
      </c>
      <c r="U33" s="197"/>
    </row>
    <row r="34" spans="1:21" ht="32.25" customHeight="1">
      <c r="A34">
        <v>29</v>
      </c>
      <c r="B34" s="191">
        <v>45590</v>
      </c>
      <c r="C34" s="190" t="s">
        <v>96</v>
      </c>
      <c r="D34" s="190" t="s">
        <v>206</v>
      </c>
      <c r="E34" s="187">
        <v>40782128</v>
      </c>
      <c r="F34" s="190" t="s">
        <v>148</v>
      </c>
      <c r="G34" s="190" t="s">
        <v>189</v>
      </c>
      <c r="H34" s="187" t="s">
        <v>42</v>
      </c>
      <c r="I34" s="187" t="s">
        <v>74</v>
      </c>
      <c r="J34" s="187" t="s">
        <v>75</v>
      </c>
      <c r="K34" s="192">
        <v>45596</v>
      </c>
      <c r="L34" s="193" t="s">
        <v>179</v>
      </c>
      <c r="M34" s="193" t="s">
        <v>180</v>
      </c>
      <c r="N34" s="190">
        <v>993582333</v>
      </c>
      <c r="O34" s="194">
        <v>15</v>
      </c>
      <c r="P34" s="187" t="s">
        <v>22</v>
      </c>
      <c r="Q34" s="187" t="s">
        <v>74</v>
      </c>
      <c r="R34" s="195"/>
      <c r="S34" s="190" t="s">
        <v>206</v>
      </c>
      <c r="T34" s="196">
        <v>300414000</v>
      </c>
      <c r="U34" s="197"/>
    </row>
    <row r="35" spans="1:21" ht="32.25" customHeight="1">
      <c r="A35">
        <v>30</v>
      </c>
      <c r="B35" s="191">
        <v>45590</v>
      </c>
      <c r="C35" s="190" t="s">
        <v>96</v>
      </c>
      <c r="D35" s="190" t="s">
        <v>176</v>
      </c>
      <c r="E35" s="187">
        <v>40197255</v>
      </c>
      <c r="F35" s="190" t="s">
        <v>190</v>
      </c>
      <c r="G35" s="190" t="s">
        <v>191</v>
      </c>
      <c r="H35" s="187" t="s">
        <v>42</v>
      </c>
      <c r="I35" s="187" t="s">
        <v>74</v>
      </c>
      <c r="J35" s="187" t="s">
        <v>75</v>
      </c>
      <c r="K35" s="192">
        <v>45596</v>
      </c>
      <c r="L35" s="193" t="s">
        <v>179</v>
      </c>
      <c r="M35" s="193" t="s">
        <v>180</v>
      </c>
      <c r="N35" s="190">
        <v>993582333</v>
      </c>
      <c r="O35" s="194">
        <v>15</v>
      </c>
      <c r="P35" s="187" t="s">
        <v>22</v>
      </c>
      <c r="Q35" s="187" t="s">
        <v>74</v>
      </c>
      <c r="R35" s="195"/>
      <c r="S35" s="190" t="s">
        <v>176</v>
      </c>
      <c r="T35" s="196">
        <v>300414000</v>
      </c>
      <c r="U35" s="197"/>
    </row>
    <row r="36" spans="1:21" ht="32.25" customHeight="1">
      <c r="A36">
        <v>31</v>
      </c>
      <c r="B36" s="191">
        <v>45590</v>
      </c>
      <c r="C36" s="190" t="s">
        <v>96</v>
      </c>
      <c r="D36" s="190" t="s">
        <v>176</v>
      </c>
      <c r="E36" s="187">
        <v>111010028</v>
      </c>
      <c r="F36" s="190" t="s">
        <v>91</v>
      </c>
      <c r="G36" s="190" t="s">
        <v>443</v>
      </c>
      <c r="H36" s="187" t="s">
        <v>42</v>
      </c>
      <c r="I36" s="187" t="s">
        <v>74</v>
      </c>
      <c r="J36" s="187" t="s">
        <v>75</v>
      </c>
      <c r="K36" s="192">
        <v>45596</v>
      </c>
      <c r="L36" s="193" t="s">
        <v>179</v>
      </c>
      <c r="M36" s="193" t="s">
        <v>180</v>
      </c>
      <c r="N36" s="190">
        <v>993582333</v>
      </c>
      <c r="O36" s="194">
        <v>15</v>
      </c>
      <c r="P36" s="187" t="s">
        <v>22</v>
      </c>
      <c r="Q36" s="187" t="s">
        <v>74</v>
      </c>
      <c r="R36" s="195"/>
      <c r="S36" s="190" t="s">
        <v>176</v>
      </c>
      <c r="T36" s="196">
        <v>300414000</v>
      </c>
      <c r="U36" s="197"/>
    </row>
    <row r="37" spans="1:21" ht="32.25" customHeight="1">
      <c r="A37">
        <v>32</v>
      </c>
      <c r="B37" s="191">
        <v>45590</v>
      </c>
      <c r="C37" s="190" t="s">
        <v>96</v>
      </c>
      <c r="D37" s="190" t="s">
        <v>176</v>
      </c>
      <c r="E37" s="187">
        <v>40584305</v>
      </c>
      <c r="F37" s="190" t="s">
        <v>88</v>
      </c>
      <c r="G37" s="190" t="s">
        <v>444</v>
      </c>
      <c r="H37" s="187" t="s">
        <v>42</v>
      </c>
      <c r="I37" s="187" t="s">
        <v>74</v>
      </c>
      <c r="J37" s="187" t="s">
        <v>75</v>
      </c>
      <c r="K37" s="192">
        <v>45596</v>
      </c>
      <c r="L37" s="193" t="s">
        <v>179</v>
      </c>
      <c r="M37" s="193" t="s">
        <v>180</v>
      </c>
      <c r="N37" s="190">
        <v>993582333</v>
      </c>
      <c r="O37" s="194">
        <v>15</v>
      </c>
      <c r="P37" s="187" t="s">
        <v>22</v>
      </c>
      <c r="Q37" s="187" t="s">
        <v>74</v>
      </c>
      <c r="R37" s="195"/>
      <c r="S37" s="190" t="s">
        <v>176</v>
      </c>
      <c r="T37" s="196">
        <v>300414000</v>
      </c>
      <c r="U37" s="197"/>
    </row>
    <row r="38" spans="1:21" ht="32.25" customHeight="1">
      <c r="A38">
        <v>33</v>
      </c>
      <c r="B38" s="191">
        <v>45576</v>
      </c>
      <c r="C38" s="190" t="s">
        <v>76</v>
      </c>
      <c r="D38" s="190" t="s">
        <v>227</v>
      </c>
      <c r="E38" s="187">
        <v>40467305</v>
      </c>
      <c r="F38" s="190" t="s">
        <v>112</v>
      </c>
      <c r="G38" s="190" t="s">
        <v>228</v>
      </c>
      <c r="H38" s="187" t="s">
        <v>42</v>
      </c>
      <c r="I38" s="187" t="s">
        <v>74</v>
      </c>
      <c r="J38" s="187" t="s">
        <v>75</v>
      </c>
      <c r="K38" s="192">
        <v>45600</v>
      </c>
      <c r="L38" s="193" t="s">
        <v>229</v>
      </c>
      <c r="M38" s="193" t="s">
        <v>230</v>
      </c>
      <c r="N38" s="190">
        <v>969757200</v>
      </c>
      <c r="O38" s="194">
        <v>20</v>
      </c>
      <c r="P38" s="187" t="s">
        <v>22</v>
      </c>
      <c r="Q38" s="187" t="s">
        <v>74</v>
      </c>
      <c r="R38" s="195"/>
      <c r="S38" s="190" t="s">
        <v>227</v>
      </c>
      <c r="T38" s="196">
        <v>103169587</v>
      </c>
      <c r="U38" s="197" t="s">
        <v>196</v>
      </c>
    </row>
    <row r="39" spans="1:21" ht="32.25" customHeight="1">
      <c r="A39">
        <v>34</v>
      </c>
      <c r="B39" s="191">
        <v>45576</v>
      </c>
      <c r="C39" s="190" t="s">
        <v>76</v>
      </c>
      <c r="D39" s="190" t="s">
        <v>227</v>
      </c>
      <c r="E39" s="187">
        <v>112580027</v>
      </c>
      <c r="F39" s="190" t="s">
        <v>109</v>
      </c>
      <c r="G39" s="190" t="s">
        <v>231</v>
      </c>
      <c r="H39" s="187" t="s">
        <v>42</v>
      </c>
      <c r="I39" s="187" t="s">
        <v>74</v>
      </c>
      <c r="J39" s="187" t="s">
        <v>75</v>
      </c>
      <c r="K39" s="192">
        <v>45600</v>
      </c>
      <c r="L39" s="193" t="s">
        <v>229</v>
      </c>
      <c r="M39" s="193" t="s">
        <v>230</v>
      </c>
      <c r="N39" s="190">
        <v>969757200</v>
      </c>
      <c r="O39" s="194">
        <v>20</v>
      </c>
      <c r="P39" s="187" t="s">
        <v>22</v>
      </c>
      <c r="Q39" s="187" t="s">
        <v>74</v>
      </c>
      <c r="R39" s="195"/>
      <c r="S39" s="190" t="s">
        <v>227</v>
      </c>
      <c r="T39" s="196">
        <v>103169587</v>
      </c>
      <c r="U39" s="197" t="s">
        <v>196</v>
      </c>
    </row>
    <row r="40" spans="1:21" ht="32.25" customHeight="1">
      <c r="A40">
        <v>35</v>
      </c>
      <c r="B40" s="191">
        <v>45569</v>
      </c>
      <c r="C40" s="190" t="s">
        <v>96</v>
      </c>
      <c r="D40" s="190" t="s">
        <v>192</v>
      </c>
      <c r="E40" s="187">
        <v>112950021</v>
      </c>
      <c r="F40" s="190" t="s">
        <v>90</v>
      </c>
      <c r="G40" s="190" t="s">
        <v>193</v>
      </c>
      <c r="H40" s="187" t="s">
        <v>42</v>
      </c>
      <c r="I40" s="187" t="s">
        <v>74</v>
      </c>
      <c r="J40" s="187" t="s">
        <v>75</v>
      </c>
      <c r="K40" s="192">
        <v>45601</v>
      </c>
      <c r="L40" s="193" t="s">
        <v>194</v>
      </c>
      <c r="M40" s="193" t="s">
        <v>195</v>
      </c>
      <c r="N40" s="190">
        <v>983413064</v>
      </c>
      <c r="O40" s="194">
        <v>20</v>
      </c>
      <c r="P40" s="187" t="s">
        <v>22</v>
      </c>
      <c r="Q40" s="187" t="s">
        <v>74</v>
      </c>
      <c r="R40" s="195"/>
      <c r="S40" s="190" t="s">
        <v>192</v>
      </c>
      <c r="T40" s="196">
        <v>104409834</v>
      </c>
      <c r="U40" s="197" t="s">
        <v>196</v>
      </c>
    </row>
    <row r="41" spans="1:21" ht="32.25" customHeight="1">
      <c r="A41">
        <v>36</v>
      </c>
      <c r="B41" s="191">
        <v>45569</v>
      </c>
      <c r="C41" s="190" t="s">
        <v>96</v>
      </c>
      <c r="D41" s="190" t="s">
        <v>192</v>
      </c>
      <c r="E41" s="187">
        <v>112580058</v>
      </c>
      <c r="F41" s="190" t="s">
        <v>105</v>
      </c>
      <c r="G41" s="190" t="s">
        <v>197</v>
      </c>
      <c r="H41" s="187" t="s">
        <v>42</v>
      </c>
      <c r="I41" s="187" t="s">
        <v>74</v>
      </c>
      <c r="J41" s="187" t="s">
        <v>75</v>
      </c>
      <c r="K41" s="192">
        <v>45601</v>
      </c>
      <c r="L41" s="193" t="s">
        <v>194</v>
      </c>
      <c r="M41" s="193" t="s">
        <v>195</v>
      </c>
      <c r="N41" s="190">
        <v>983413064</v>
      </c>
      <c r="O41" s="194">
        <v>20</v>
      </c>
      <c r="P41" s="187" t="s">
        <v>22</v>
      </c>
      <c r="Q41" s="187" t="s">
        <v>74</v>
      </c>
      <c r="R41" s="195"/>
      <c r="S41" s="190" t="s">
        <v>192</v>
      </c>
      <c r="T41" s="196">
        <v>104409834</v>
      </c>
      <c r="U41" s="197" t="s">
        <v>196</v>
      </c>
    </row>
    <row r="42" spans="1:21" ht="32.25" customHeight="1">
      <c r="A42">
        <v>37</v>
      </c>
      <c r="B42" s="191">
        <v>45556</v>
      </c>
      <c r="C42" s="190" t="s">
        <v>198</v>
      </c>
      <c r="D42" s="190" t="s">
        <v>199</v>
      </c>
      <c r="E42" s="187">
        <v>111030002</v>
      </c>
      <c r="F42" s="190" t="s">
        <v>160</v>
      </c>
      <c r="G42" s="190" t="s">
        <v>200</v>
      </c>
      <c r="H42" s="187" t="s">
        <v>42</v>
      </c>
      <c r="I42" s="187" t="s">
        <v>74</v>
      </c>
      <c r="J42" s="187" t="s">
        <v>75</v>
      </c>
      <c r="K42" s="192">
        <v>45602</v>
      </c>
      <c r="L42" s="193" t="s">
        <v>201</v>
      </c>
      <c r="M42" s="193" t="s">
        <v>202</v>
      </c>
      <c r="N42" s="190">
        <v>999783559</v>
      </c>
      <c r="O42" s="194">
        <v>20</v>
      </c>
      <c r="P42" s="187" t="s">
        <v>22</v>
      </c>
      <c r="Q42" s="187" t="s">
        <v>74</v>
      </c>
      <c r="R42" s="195"/>
      <c r="S42" s="190" t="s">
        <v>199</v>
      </c>
      <c r="T42" s="196">
        <v>300786084</v>
      </c>
      <c r="U42" s="197" t="s">
        <v>203</v>
      </c>
    </row>
    <row r="43" spans="1:21" ht="32.25" customHeight="1">
      <c r="A43">
        <v>38</v>
      </c>
      <c r="B43" s="191">
        <v>45556</v>
      </c>
      <c r="C43" s="190" t="s">
        <v>198</v>
      </c>
      <c r="D43" s="190" t="s">
        <v>204</v>
      </c>
      <c r="E43" s="187">
        <v>40584305</v>
      </c>
      <c r="F43" s="190" t="s">
        <v>88</v>
      </c>
      <c r="G43" s="190" t="s">
        <v>205</v>
      </c>
      <c r="H43" s="187" t="s">
        <v>42</v>
      </c>
      <c r="I43" s="187" t="s">
        <v>74</v>
      </c>
      <c r="J43" s="187" t="s">
        <v>75</v>
      </c>
      <c r="K43" s="192">
        <v>45602</v>
      </c>
      <c r="L43" s="193" t="s">
        <v>201</v>
      </c>
      <c r="M43" s="193" t="s">
        <v>202</v>
      </c>
      <c r="N43" s="190">
        <v>999783559</v>
      </c>
      <c r="O43" s="194">
        <v>20</v>
      </c>
      <c r="P43" s="187" t="s">
        <v>22</v>
      </c>
      <c r="Q43" s="187" t="s">
        <v>74</v>
      </c>
      <c r="R43" s="195"/>
      <c r="S43" s="190" t="s">
        <v>199</v>
      </c>
      <c r="T43" s="196">
        <v>300786084</v>
      </c>
      <c r="U43" s="197" t="s">
        <v>203</v>
      </c>
    </row>
    <row r="44" spans="1:21" ht="32.25" customHeight="1">
      <c r="A44">
        <v>39</v>
      </c>
      <c r="B44" s="191">
        <v>45549</v>
      </c>
      <c r="C44" s="190" t="s">
        <v>76</v>
      </c>
      <c r="D44" s="190" t="s">
        <v>216</v>
      </c>
      <c r="E44" s="187">
        <v>112580058</v>
      </c>
      <c r="F44" s="190" t="s">
        <v>105</v>
      </c>
      <c r="G44" s="190" t="s">
        <v>217</v>
      </c>
      <c r="H44" s="187" t="s">
        <v>42</v>
      </c>
      <c r="I44" s="187" t="s">
        <v>74</v>
      </c>
      <c r="J44" s="187" t="s">
        <v>75</v>
      </c>
      <c r="K44" s="192">
        <v>45572</v>
      </c>
      <c r="L44" s="193" t="s">
        <v>218</v>
      </c>
      <c r="M44" s="193" t="s">
        <v>219</v>
      </c>
      <c r="N44" s="190">
        <v>999416070</v>
      </c>
      <c r="O44" s="194">
        <v>20</v>
      </c>
      <c r="P44" s="187" t="s">
        <v>22</v>
      </c>
      <c r="Q44" s="187" t="s">
        <v>74</v>
      </c>
      <c r="R44" s="195"/>
      <c r="S44" s="190" t="s">
        <v>216</v>
      </c>
      <c r="T44" s="196">
        <v>104466982</v>
      </c>
      <c r="U44" s="197" t="s">
        <v>220</v>
      </c>
    </row>
    <row r="45" spans="1:21" ht="32.25" customHeight="1">
      <c r="A45">
        <v>40</v>
      </c>
      <c r="B45" s="191">
        <v>45549</v>
      </c>
      <c r="C45" s="190" t="s">
        <v>76</v>
      </c>
      <c r="D45" s="190" t="s">
        <v>216</v>
      </c>
      <c r="E45" s="187">
        <v>112950021</v>
      </c>
      <c r="F45" s="190" t="s">
        <v>90</v>
      </c>
      <c r="G45" s="190" t="s">
        <v>221</v>
      </c>
      <c r="H45" s="187" t="s">
        <v>42</v>
      </c>
      <c r="I45" s="187" t="s">
        <v>74</v>
      </c>
      <c r="J45" s="187" t="s">
        <v>75</v>
      </c>
      <c r="K45" s="192">
        <v>45572</v>
      </c>
      <c r="L45" s="193" t="s">
        <v>218</v>
      </c>
      <c r="M45" s="193" t="s">
        <v>219</v>
      </c>
      <c r="N45" s="190">
        <v>999416070</v>
      </c>
      <c r="O45" s="194">
        <v>20</v>
      </c>
      <c r="P45" s="187" t="s">
        <v>22</v>
      </c>
      <c r="Q45" s="187" t="s">
        <v>74</v>
      </c>
      <c r="R45" s="195"/>
      <c r="S45" s="190" t="s">
        <v>216</v>
      </c>
      <c r="T45" s="196">
        <v>104466982</v>
      </c>
      <c r="U45" s="197" t="s">
        <v>220</v>
      </c>
    </row>
    <row r="46" spans="1:21" ht="32.25" customHeight="1">
      <c r="A46">
        <v>41</v>
      </c>
      <c r="B46" s="191">
        <v>45601</v>
      </c>
      <c r="C46" s="190" t="s">
        <v>96</v>
      </c>
      <c r="D46" s="190" t="s">
        <v>222</v>
      </c>
      <c r="E46" s="187">
        <v>112580058</v>
      </c>
      <c r="F46" s="190" t="s">
        <v>105</v>
      </c>
      <c r="G46" s="190" t="s">
        <v>223</v>
      </c>
      <c r="H46" s="187" t="s">
        <v>42</v>
      </c>
      <c r="I46" s="187" t="s">
        <v>74</v>
      </c>
      <c r="J46" s="187" t="s">
        <v>75</v>
      </c>
      <c r="K46" s="192">
        <v>45607</v>
      </c>
      <c r="L46" s="193" t="s">
        <v>232</v>
      </c>
      <c r="M46" s="193" t="s">
        <v>224</v>
      </c>
      <c r="N46" s="190">
        <v>963199881</v>
      </c>
      <c r="O46" s="194">
        <v>20</v>
      </c>
      <c r="P46" s="187" t="s">
        <v>22</v>
      </c>
      <c r="Q46" s="187" t="s">
        <v>74</v>
      </c>
      <c r="R46" s="195"/>
      <c r="S46" s="190" t="s">
        <v>222</v>
      </c>
      <c r="T46" s="196">
        <v>107265548</v>
      </c>
      <c r="U46" s="197" t="s">
        <v>225</v>
      </c>
    </row>
    <row r="47" spans="1:21" ht="32.25" customHeight="1">
      <c r="A47">
        <v>42</v>
      </c>
      <c r="B47" s="191">
        <v>45601</v>
      </c>
      <c r="C47" s="190" t="s">
        <v>96</v>
      </c>
      <c r="D47" s="190" t="s">
        <v>222</v>
      </c>
      <c r="E47" s="187">
        <v>40466111</v>
      </c>
      <c r="F47" s="190" t="s">
        <v>111</v>
      </c>
      <c r="G47" s="190" t="s">
        <v>226</v>
      </c>
      <c r="H47" s="187" t="s">
        <v>42</v>
      </c>
      <c r="I47" s="187" t="s">
        <v>74</v>
      </c>
      <c r="J47" s="187" t="s">
        <v>75</v>
      </c>
      <c r="K47" s="192">
        <v>45607</v>
      </c>
      <c r="L47" s="193" t="s">
        <v>232</v>
      </c>
      <c r="M47" s="193" t="s">
        <v>224</v>
      </c>
      <c r="N47" s="190">
        <v>963199881</v>
      </c>
      <c r="O47" s="194">
        <v>20</v>
      </c>
      <c r="P47" s="187" t="s">
        <v>22</v>
      </c>
      <c r="Q47" s="187" t="s">
        <v>74</v>
      </c>
      <c r="R47" s="195"/>
      <c r="S47" s="190" t="s">
        <v>222</v>
      </c>
      <c r="T47" s="196">
        <v>107265548</v>
      </c>
      <c r="U47" s="197" t="s">
        <v>225</v>
      </c>
    </row>
    <row r="48" spans="1:21" ht="32.25" customHeight="1">
      <c r="A48">
        <v>43</v>
      </c>
      <c r="B48" s="191">
        <v>45479</v>
      </c>
      <c r="C48" s="190" t="s">
        <v>89</v>
      </c>
      <c r="D48" s="190" t="s">
        <v>233</v>
      </c>
      <c r="E48" s="187">
        <v>40782128</v>
      </c>
      <c r="F48" s="190" t="s">
        <v>148</v>
      </c>
      <c r="G48" s="190" t="s">
        <v>234</v>
      </c>
      <c r="H48" s="187" t="s">
        <v>42</v>
      </c>
      <c r="I48" s="187" t="s">
        <v>74</v>
      </c>
      <c r="J48" s="187" t="s">
        <v>75</v>
      </c>
      <c r="K48" s="192">
        <v>45608</v>
      </c>
      <c r="L48" s="193" t="s">
        <v>237</v>
      </c>
      <c r="M48" s="193" t="s">
        <v>235</v>
      </c>
      <c r="N48" s="190">
        <v>994350374</v>
      </c>
      <c r="O48" s="194">
        <v>20</v>
      </c>
      <c r="P48" s="187" t="s">
        <v>22</v>
      </c>
      <c r="Q48" s="187" t="s">
        <v>74</v>
      </c>
      <c r="R48" s="195"/>
      <c r="S48" s="190" t="s">
        <v>233</v>
      </c>
      <c r="T48" s="196">
        <v>101020147</v>
      </c>
      <c r="U48" s="197" t="s">
        <v>236</v>
      </c>
    </row>
    <row r="49" spans="1:21" ht="32.25" customHeight="1">
      <c r="A49">
        <v>44</v>
      </c>
      <c r="B49" s="191">
        <v>45479</v>
      </c>
      <c r="C49" s="190" t="s">
        <v>89</v>
      </c>
      <c r="D49" s="190" t="s">
        <v>233</v>
      </c>
      <c r="E49" s="187">
        <v>112570128</v>
      </c>
      <c r="F49" s="190" t="s">
        <v>97</v>
      </c>
      <c r="G49" s="190" t="s">
        <v>238</v>
      </c>
      <c r="H49" s="187" t="s">
        <v>42</v>
      </c>
      <c r="I49" s="187" t="s">
        <v>74</v>
      </c>
      <c r="J49" s="187" t="s">
        <v>75</v>
      </c>
      <c r="K49" s="192">
        <v>45608</v>
      </c>
      <c r="L49" s="193" t="s">
        <v>237</v>
      </c>
      <c r="M49" s="193" t="s">
        <v>235</v>
      </c>
      <c r="N49" s="190">
        <v>994350374</v>
      </c>
      <c r="O49" s="194">
        <v>20</v>
      </c>
      <c r="P49" s="187" t="s">
        <v>22</v>
      </c>
      <c r="Q49" s="187" t="s">
        <v>74</v>
      </c>
      <c r="R49" s="195"/>
      <c r="S49" s="190" t="s">
        <v>233</v>
      </c>
      <c r="T49" s="196">
        <v>101020147</v>
      </c>
      <c r="U49" s="197" t="s">
        <v>236</v>
      </c>
    </row>
    <row r="50" spans="1:21" ht="32.25" customHeight="1">
      <c r="A50">
        <v>45</v>
      </c>
      <c r="B50" s="191">
        <v>45586</v>
      </c>
      <c r="C50" s="190" t="s">
        <v>104</v>
      </c>
      <c r="D50" s="190" t="s">
        <v>239</v>
      </c>
      <c r="E50" s="187">
        <v>111000051</v>
      </c>
      <c r="F50" s="190" t="s">
        <v>86</v>
      </c>
      <c r="G50" s="190" t="s">
        <v>240</v>
      </c>
      <c r="H50" s="187" t="s">
        <v>42</v>
      </c>
      <c r="I50" s="187" t="s">
        <v>74</v>
      </c>
      <c r="J50" s="187" t="s">
        <v>75</v>
      </c>
      <c r="K50" s="192">
        <v>45609</v>
      </c>
      <c r="L50" s="193" t="s">
        <v>241</v>
      </c>
      <c r="M50" s="193" t="s">
        <v>242</v>
      </c>
      <c r="N50" s="190">
        <v>99161385</v>
      </c>
      <c r="O50" s="194">
        <v>15</v>
      </c>
      <c r="P50" s="187" t="s">
        <v>22</v>
      </c>
      <c r="Q50" s="187" t="s">
        <v>74</v>
      </c>
      <c r="R50" s="195"/>
      <c r="S50" s="190" t="s">
        <v>239</v>
      </c>
      <c r="T50" s="196">
        <v>190158705</v>
      </c>
      <c r="U50" s="197" t="s">
        <v>243</v>
      </c>
    </row>
    <row r="51" spans="1:21" ht="32.25" customHeight="1">
      <c r="A51">
        <v>46</v>
      </c>
      <c r="B51" s="191">
        <v>45586</v>
      </c>
      <c r="C51" s="190" t="s">
        <v>104</v>
      </c>
      <c r="D51" s="190" t="s">
        <v>239</v>
      </c>
      <c r="E51" s="187">
        <v>40584105</v>
      </c>
      <c r="F51" s="190" t="s">
        <v>98</v>
      </c>
      <c r="G51" s="190" t="s">
        <v>244</v>
      </c>
      <c r="H51" s="187" t="s">
        <v>42</v>
      </c>
      <c r="I51" s="187" t="s">
        <v>74</v>
      </c>
      <c r="J51" s="187" t="s">
        <v>75</v>
      </c>
      <c r="K51" s="192">
        <v>45609</v>
      </c>
      <c r="L51" s="193" t="s">
        <v>241</v>
      </c>
      <c r="M51" s="193" t="s">
        <v>242</v>
      </c>
      <c r="N51" s="190">
        <v>99161385</v>
      </c>
      <c r="O51" s="194">
        <v>15</v>
      </c>
      <c r="P51" s="187" t="s">
        <v>22</v>
      </c>
      <c r="Q51" s="187" t="s">
        <v>74</v>
      </c>
      <c r="R51" s="195"/>
      <c r="S51" s="190" t="s">
        <v>239</v>
      </c>
      <c r="T51" s="196">
        <v>190158705</v>
      </c>
      <c r="U51" s="197" t="s">
        <v>243</v>
      </c>
    </row>
    <row r="52" spans="1:21" ht="32.25" customHeight="1">
      <c r="A52">
        <v>47</v>
      </c>
      <c r="B52" s="191">
        <v>45586</v>
      </c>
      <c r="C52" s="190" t="s">
        <v>104</v>
      </c>
      <c r="D52" s="190" t="s">
        <v>239</v>
      </c>
      <c r="E52" s="187">
        <v>112570126</v>
      </c>
      <c r="F52" s="190" t="s">
        <v>101</v>
      </c>
      <c r="G52" s="190" t="s">
        <v>245</v>
      </c>
      <c r="H52" s="187" t="s">
        <v>42</v>
      </c>
      <c r="I52" s="187" t="s">
        <v>74</v>
      </c>
      <c r="J52" s="187" t="s">
        <v>75</v>
      </c>
      <c r="K52" s="192">
        <v>45609</v>
      </c>
      <c r="L52" s="193" t="s">
        <v>241</v>
      </c>
      <c r="M52" s="193" t="s">
        <v>242</v>
      </c>
      <c r="N52" s="190">
        <v>99161385</v>
      </c>
      <c r="O52" s="194">
        <v>15</v>
      </c>
      <c r="P52" s="187" t="s">
        <v>22</v>
      </c>
      <c r="Q52" s="187" t="s">
        <v>74</v>
      </c>
      <c r="R52" s="195"/>
      <c r="S52" s="190" t="s">
        <v>239</v>
      </c>
      <c r="T52" s="196">
        <v>190158705</v>
      </c>
      <c r="U52" s="197" t="s">
        <v>243</v>
      </c>
    </row>
    <row r="53" spans="1:21" ht="32.25" customHeight="1">
      <c r="A53">
        <v>48</v>
      </c>
      <c r="B53" s="191">
        <v>45606</v>
      </c>
      <c r="C53" s="190" t="s">
        <v>76</v>
      </c>
      <c r="D53" s="190" t="s">
        <v>246</v>
      </c>
      <c r="E53" s="187">
        <v>113430051</v>
      </c>
      <c r="F53" s="190" t="s">
        <v>247</v>
      </c>
      <c r="G53" s="190" t="s">
        <v>248</v>
      </c>
      <c r="H53" s="187" t="s">
        <v>42</v>
      </c>
      <c r="I53" s="187" t="s">
        <v>74</v>
      </c>
      <c r="J53" s="187" t="s">
        <v>75</v>
      </c>
      <c r="K53" s="192">
        <v>45609</v>
      </c>
      <c r="L53" s="193" t="s">
        <v>249</v>
      </c>
      <c r="M53" s="193" t="s">
        <v>250</v>
      </c>
      <c r="N53" s="190">
        <v>995304797</v>
      </c>
      <c r="O53" s="194">
        <v>20</v>
      </c>
      <c r="P53" s="187" t="s">
        <v>22</v>
      </c>
      <c r="Q53" s="187" t="s">
        <v>74</v>
      </c>
      <c r="R53" s="195"/>
      <c r="S53" s="190" t="s">
        <v>246</v>
      </c>
      <c r="T53" s="196">
        <v>1000006105</v>
      </c>
      <c r="U53" s="197" t="s">
        <v>251</v>
      </c>
    </row>
    <row r="54" spans="1:21" ht="32.25" customHeight="1">
      <c r="A54">
        <v>49</v>
      </c>
      <c r="B54" s="191">
        <v>45605</v>
      </c>
      <c r="C54" s="190" t="s">
        <v>76</v>
      </c>
      <c r="D54" s="190" t="s">
        <v>252</v>
      </c>
      <c r="E54" s="187">
        <v>111020071</v>
      </c>
      <c r="F54" s="190" t="s">
        <v>110</v>
      </c>
      <c r="G54" s="190" t="s">
        <v>253</v>
      </c>
      <c r="H54" s="187" t="s">
        <v>42</v>
      </c>
      <c r="I54" s="187" t="s">
        <v>74</v>
      </c>
      <c r="J54" s="187" t="s">
        <v>75</v>
      </c>
      <c r="K54" s="192">
        <v>45609</v>
      </c>
      <c r="L54" s="193" t="s">
        <v>249</v>
      </c>
      <c r="M54" s="193" t="s">
        <v>250</v>
      </c>
      <c r="N54" s="190">
        <v>995304797</v>
      </c>
      <c r="O54" s="194">
        <v>20</v>
      </c>
      <c r="P54" s="187" t="s">
        <v>22</v>
      </c>
      <c r="Q54" s="187" t="s">
        <v>74</v>
      </c>
      <c r="R54" s="195"/>
      <c r="S54" s="190" t="s">
        <v>246</v>
      </c>
      <c r="T54" s="196">
        <v>1000006105</v>
      </c>
      <c r="U54" s="197" t="s">
        <v>251</v>
      </c>
    </row>
    <row r="55" spans="1:21" ht="32.25" customHeight="1">
      <c r="A55">
        <v>50</v>
      </c>
      <c r="B55" s="191">
        <v>45607</v>
      </c>
      <c r="C55" s="190" t="s">
        <v>96</v>
      </c>
      <c r="D55" s="190" t="s">
        <v>254</v>
      </c>
      <c r="E55" s="187">
        <v>40466241</v>
      </c>
      <c r="F55" s="190" t="s">
        <v>111</v>
      </c>
      <c r="G55" s="190" t="s">
        <v>255</v>
      </c>
      <c r="H55" s="187" t="s">
        <v>42</v>
      </c>
      <c r="I55" s="187" t="s">
        <v>74</v>
      </c>
      <c r="J55" s="187" t="s">
        <v>75</v>
      </c>
      <c r="K55" s="192">
        <v>45609</v>
      </c>
      <c r="L55" s="193" t="s">
        <v>256</v>
      </c>
      <c r="M55" s="193" t="s">
        <v>108</v>
      </c>
      <c r="N55" s="190">
        <v>998262484</v>
      </c>
      <c r="O55" s="194">
        <v>20</v>
      </c>
      <c r="P55" s="187" t="s">
        <v>22</v>
      </c>
      <c r="Q55" s="187" t="s">
        <v>74</v>
      </c>
      <c r="R55" s="195"/>
      <c r="S55" s="190" t="s">
        <v>254</v>
      </c>
      <c r="T55" s="196">
        <v>300665429</v>
      </c>
      <c r="U55" s="197" t="s">
        <v>257</v>
      </c>
    </row>
    <row r="56" spans="1:21" ht="32.25" customHeight="1">
      <c r="A56">
        <v>51</v>
      </c>
      <c r="B56" s="191">
        <v>45607</v>
      </c>
      <c r="C56" s="190" t="s">
        <v>96</v>
      </c>
      <c r="D56" s="190" t="s">
        <v>254</v>
      </c>
      <c r="E56" s="187">
        <v>40212070</v>
      </c>
      <c r="F56" s="190" t="s">
        <v>155</v>
      </c>
      <c r="G56" s="190" t="s">
        <v>258</v>
      </c>
      <c r="H56" s="187" t="s">
        <v>42</v>
      </c>
      <c r="I56" s="187" t="s">
        <v>74</v>
      </c>
      <c r="J56" s="187" t="s">
        <v>75</v>
      </c>
      <c r="K56" s="192">
        <v>45609</v>
      </c>
      <c r="L56" s="193" t="s">
        <v>256</v>
      </c>
      <c r="M56" s="193" t="s">
        <v>108</v>
      </c>
      <c r="N56" s="190">
        <v>998262484</v>
      </c>
      <c r="O56" s="194">
        <v>20</v>
      </c>
      <c r="P56" s="187" t="s">
        <v>22</v>
      </c>
      <c r="Q56" s="187" t="s">
        <v>74</v>
      </c>
      <c r="R56" s="195"/>
      <c r="S56" s="190" t="s">
        <v>254</v>
      </c>
      <c r="T56" s="196">
        <v>300665429</v>
      </c>
      <c r="U56" s="197" t="s">
        <v>257</v>
      </c>
    </row>
    <row r="57" spans="1:21" ht="32.25" customHeight="1">
      <c r="A57">
        <v>52</v>
      </c>
      <c r="B57" s="191">
        <v>45604</v>
      </c>
      <c r="C57" s="190" t="s">
        <v>259</v>
      </c>
      <c r="D57" s="190" t="s">
        <v>260</v>
      </c>
      <c r="E57" s="187">
        <v>111010028</v>
      </c>
      <c r="F57" s="190" t="s">
        <v>91</v>
      </c>
      <c r="G57" s="190" t="s">
        <v>261</v>
      </c>
      <c r="H57" s="187" t="s">
        <v>42</v>
      </c>
      <c r="I57" s="187" t="s">
        <v>74</v>
      </c>
      <c r="J57" s="187" t="s">
        <v>75</v>
      </c>
      <c r="K57" s="192">
        <v>45610</v>
      </c>
      <c r="L57" s="193" t="s">
        <v>262</v>
      </c>
      <c r="M57" s="193" t="s">
        <v>263</v>
      </c>
      <c r="N57" s="190">
        <v>987329477</v>
      </c>
      <c r="O57" s="194">
        <v>15</v>
      </c>
      <c r="P57" s="187" t="s">
        <v>22</v>
      </c>
      <c r="Q57" s="187" t="s">
        <v>74</v>
      </c>
      <c r="R57" s="195"/>
      <c r="S57" s="190" t="s">
        <v>260</v>
      </c>
      <c r="T57" s="196">
        <v>101058238</v>
      </c>
      <c r="U57" s="197" t="s">
        <v>264</v>
      </c>
    </row>
    <row r="58" spans="1:21" ht="32.25" customHeight="1">
      <c r="A58">
        <v>53</v>
      </c>
      <c r="B58" s="191">
        <v>45604</v>
      </c>
      <c r="C58" s="190" t="s">
        <v>259</v>
      </c>
      <c r="D58" s="190" t="s">
        <v>260</v>
      </c>
      <c r="E58" s="187">
        <v>112510035</v>
      </c>
      <c r="F58" s="190" t="s">
        <v>265</v>
      </c>
      <c r="G58" s="190" t="s">
        <v>266</v>
      </c>
      <c r="H58" s="187" t="s">
        <v>42</v>
      </c>
      <c r="I58" s="187" t="s">
        <v>74</v>
      </c>
      <c r="J58" s="187" t="s">
        <v>75</v>
      </c>
      <c r="K58" s="192">
        <v>45610</v>
      </c>
      <c r="L58" s="193" t="s">
        <v>262</v>
      </c>
      <c r="M58" s="193" t="s">
        <v>263</v>
      </c>
      <c r="N58" s="190">
        <v>987329477</v>
      </c>
      <c r="O58" s="194">
        <v>15</v>
      </c>
      <c r="P58" s="187" t="s">
        <v>22</v>
      </c>
      <c r="Q58" s="187" t="s">
        <v>74</v>
      </c>
      <c r="R58" s="195"/>
      <c r="S58" s="190" t="s">
        <v>260</v>
      </c>
      <c r="T58" s="196">
        <v>101058238</v>
      </c>
      <c r="U58" s="197" t="s">
        <v>264</v>
      </c>
    </row>
    <row r="59" spans="1:21" ht="32.25" customHeight="1">
      <c r="A59">
        <v>54</v>
      </c>
      <c r="B59" s="191">
        <v>45604</v>
      </c>
      <c r="C59" s="190" t="s">
        <v>259</v>
      </c>
      <c r="D59" s="190" t="s">
        <v>260</v>
      </c>
      <c r="E59" s="187">
        <v>113430018</v>
      </c>
      <c r="F59" s="190" t="s">
        <v>103</v>
      </c>
      <c r="G59" s="190" t="s">
        <v>267</v>
      </c>
      <c r="H59" s="187" t="s">
        <v>42</v>
      </c>
      <c r="I59" s="187" t="s">
        <v>74</v>
      </c>
      <c r="J59" s="187" t="s">
        <v>75</v>
      </c>
      <c r="K59" s="192">
        <v>45610</v>
      </c>
      <c r="L59" s="193" t="s">
        <v>262</v>
      </c>
      <c r="M59" s="193" t="s">
        <v>263</v>
      </c>
      <c r="N59" s="190">
        <v>987329477</v>
      </c>
      <c r="O59" s="194">
        <v>15</v>
      </c>
      <c r="P59" s="187" t="s">
        <v>22</v>
      </c>
      <c r="Q59" s="187" t="s">
        <v>74</v>
      </c>
      <c r="R59" s="195"/>
      <c r="S59" s="190" t="s">
        <v>260</v>
      </c>
      <c r="T59" s="196">
        <v>101058238</v>
      </c>
      <c r="U59" s="197" t="s">
        <v>264</v>
      </c>
    </row>
    <row r="60" spans="1:21" ht="32.25" customHeight="1">
      <c r="A60">
        <v>55</v>
      </c>
      <c r="B60" s="191">
        <v>45581</v>
      </c>
      <c r="C60" s="190" t="s">
        <v>76</v>
      </c>
      <c r="D60" s="190" t="s">
        <v>268</v>
      </c>
      <c r="E60" s="187">
        <v>40590835</v>
      </c>
      <c r="F60" s="190" t="s">
        <v>106</v>
      </c>
      <c r="G60" s="190" t="s">
        <v>269</v>
      </c>
      <c r="H60" s="187" t="s">
        <v>42</v>
      </c>
      <c r="I60" s="187" t="s">
        <v>74</v>
      </c>
      <c r="J60" s="187" t="s">
        <v>75</v>
      </c>
      <c r="K60" s="192">
        <v>45610</v>
      </c>
      <c r="L60" s="193" t="s">
        <v>270</v>
      </c>
      <c r="M60" s="193" t="s">
        <v>271</v>
      </c>
      <c r="N60" s="190">
        <v>987981093</v>
      </c>
      <c r="O60" s="194">
        <v>20</v>
      </c>
      <c r="P60" s="187" t="s">
        <v>22</v>
      </c>
      <c r="Q60" s="187" t="s">
        <v>74</v>
      </c>
      <c r="R60" s="195"/>
      <c r="S60" s="190" t="s">
        <v>268</v>
      </c>
      <c r="T60" s="196">
        <v>105302905</v>
      </c>
      <c r="U60" s="197" t="s">
        <v>272</v>
      </c>
    </row>
    <row r="61" spans="1:21" ht="32.25" customHeight="1">
      <c r="A61">
        <v>56</v>
      </c>
      <c r="B61" s="191">
        <v>45581</v>
      </c>
      <c r="C61" s="190" t="s">
        <v>76</v>
      </c>
      <c r="D61" s="190" t="s">
        <v>268</v>
      </c>
      <c r="E61" s="187">
        <v>41560041</v>
      </c>
      <c r="F61" s="190" t="s">
        <v>100</v>
      </c>
      <c r="G61" s="190" t="s">
        <v>273</v>
      </c>
      <c r="H61" s="187" t="s">
        <v>42</v>
      </c>
      <c r="I61" s="187" t="s">
        <v>74</v>
      </c>
      <c r="J61" s="187" t="s">
        <v>75</v>
      </c>
      <c r="K61" s="192">
        <v>45610</v>
      </c>
      <c r="L61" s="193" t="s">
        <v>270</v>
      </c>
      <c r="M61" s="193" t="s">
        <v>271</v>
      </c>
      <c r="N61" s="190">
        <v>987981093</v>
      </c>
      <c r="O61" s="194">
        <v>20</v>
      </c>
      <c r="P61" s="187" t="s">
        <v>22</v>
      </c>
      <c r="Q61" s="187" t="s">
        <v>74</v>
      </c>
      <c r="R61" s="195"/>
      <c r="S61" s="190" t="s">
        <v>268</v>
      </c>
      <c r="T61" s="196">
        <v>105302905</v>
      </c>
      <c r="U61" s="197" t="s">
        <v>272</v>
      </c>
    </row>
    <row r="62" spans="1:21" ht="32.25" customHeight="1">
      <c r="A62">
        <v>57</v>
      </c>
      <c r="B62" s="191">
        <v>45602</v>
      </c>
      <c r="C62" s="190" t="s">
        <v>96</v>
      </c>
      <c r="D62" s="190" t="s">
        <v>274</v>
      </c>
      <c r="E62" s="187">
        <v>112580058</v>
      </c>
      <c r="F62" s="190" t="s">
        <v>105</v>
      </c>
      <c r="G62" s="190" t="s">
        <v>275</v>
      </c>
      <c r="H62" s="187" t="s">
        <v>42</v>
      </c>
      <c r="I62" s="187" t="s">
        <v>74</v>
      </c>
      <c r="J62" s="187" t="s">
        <v>75</v>
      </c>
      <c r="K62" s="192">
        <v>45611</v>
      </c>
      <c r="L62" s="193" t="s">
        <v>276</v>
      </c>
      <c r="M62" s="193" t="s">
        <v>277</v>
      </c>
      <c r="N62" s="190">
        <v>993288186</v>
      </c>
      <c r="O62" s="194">
        <v>20</v>
      </c>
      <c r="P62" s="187" t="s">
        <v>22</v>
      </c>
      <c r="Q62" s="187" t="s">
        <v>74</v>
      </c>
      <c r="R62" s="195"/>
      <c r="S62" s="190" t="s">
        <v>274</v>
      </c>
      <c r="T62" s="196">
        <v>104034889</v>
      </c>
      <c r="U62" s="197" t="s">
        <v>278</v>
      </c>
    </row>
    <row r="63" spans="1:21" ht="31" customHeight="1">
      <c r="A63">
        <v>58</v>
      </c>
      <c r="B63" s="191">
        <v>45602</v>
      </c>
      <c r="C63" s="190" t="s">
        <v>96</v>
      </c>
      <c r="D63" s="190" t="s">
        <v>274</v>
      </c>
      <c r="E63" s="187">
        <v>40466111</v>
      </c>
      <c r="F63" s="190" t="s">
        <v>107</v>
      </c>
      <c r="G63" s="190" t="s">
        <v>279</v>
      </c>
      <c r="H63" s="187" t="s">
        <v>42</v>
      </c>
      <c r="I63" s="187" t="s">
        <v>74</v>
      </c>
      <c r="J63" s="187" t="s">
        <v>75</v>
      </c>
      <c r="K63" s="192">
        <v>45611</v>
      </c>
      <c r="L63" s="193" t="s">
        <v>276</v>
      </c>
      <c r="M63" s="193" t="s">
        <v>277</v>
      </c>
      <c r="N63" s="190">
        <v>993288186</v>
      </c>
      <c r="O63" s="194">
        <v>20</v>
      </c>
      <c r="P63" s="187" t="s">
        <v>22</v>
      </c>
      <c r="Q63" s="187" t="s">
        <v>74</v>
      </c>
      <c r="R63" s="195"/>
      <c r="S63" s="190" t="s">
        <v>274</v>
      </c>
      <c r="T63" s="196">
        <v>104034889</v>
      </c>
      <c r="U63" s="197" t="s">
        <v>278</v>
      </c>
    </row>
    <row r="64" spans="1:21" ht="31" customHeight="1">
      <c r="A64">
        <v>59</v>
      </c>
      <c r="B64" s="191">
        <v>45577</v>
      </c>
      <c r="C64" s="190" t="s">
        <v>89</v>
      </c>
      <c r="D64" s="190" t="s">
        <v>280</v>
      </c>
      <c r="E64" s="187">
        <v>40782128</v>
      </c>
      <c r="F64" s="190" t="s">
        <v>148</v>
      </c>
      <c r="G64" s="190" t="s">
        <v>281</v>
      </c>
      <c r="H64" s="187" t="s">
        <v>42</v>
      </c>
      <c r="I64" s="187" t="s">
        <v>74</v>
      </c>
      <c r="J64" s="187" t="s">
        <v>75</v>
      </c>
      <c r="K64" s="192">
        <v>45611</v>
      </c>
      <c r="L64" s="193" t="s">
        <v>282</v>
      </c>
      <c r="M64" s="193" t="s">
        <v>283</v>
      </c>
      <c r="N64" s="190">
        <v>962888018</v>
      </c>
      <c r="O64" s="194">
        <v>20</v>
      </c>
      <c r="P64" s="187" t="s">
        <v>22</v>
      </c>
      <c r="Q64" s="187" t="s">
        <v>74</v>
      </c>
      <c r="R64" s="195"/>
      <c r="S64" s="190" t="s">
        <v>280</v>
      </c>
      <c r="T64" s="196">
        <v>102739521</v>
      </c>
      <c r="U64" s="197" t="s">
        <v>303</v>
      </c>
    </row>
    <row r="65" spans="1:21" ht="31" customHeight="1">
      <c r="A65">
        <v>60</v>
      </c>
      <c r="B65" s="191">
        <v>45227</v>
      </c>
      <c r="C65" s="190" t="s">
        <v>76</v>
      </c>
      <c r="D65" s="190" t="s">
        <v>300</v>
      </c>
      <c r="E65" s="187">
        <v>40212070</v>
      </c>
      <c r="F65" s="190" t="s">
        <v>301</v>
      </c>
      <c r="G65" s="190" t="s">
        <v>302</v>
      </c>
      <c r="H65" s="187" t="s">
        <v>42</v>
      </c>
      <c r="I65" s="187" t="s">
        <v>74</v>
      </c>
      <c r="J65" s="187" t="s">
        <v>75</v>
      </c>
      <c r="K65" s="192">
        <v>45611</v>
      </c>
      <c r="L65" s="193" t="s">
        <v>282</v>
      </c>
      <c r="M65" s="193" t="s">
        <v>283</v>
      </c>
      <c r="N65" s="190">
        <v>962888018</v>
      </c>
      <c r="O65" s="194">
        <v>20</v>
      </c>
      <c r="P65" s="187" t="s">
        <v>22</v>
      </c>
      <c r="Q65" s="187" t="s">
        <v>74</v>
      </c>
      <c r="R65" s="195"/>
      <c r="S65" s="190" t="s">
        <v>300</v>
      </c>
      <c r="T65" s="196">
        <v>102739521</v>
      </c>
      <c r="U65" s="197" t="s">
        <v>303</v>
      </c>
    </row>
    <row r="66" spans="1:21" ht="31" customHeight="1">
      <c r="A66">
        <v>61</v>
      </c>
      <c r="B66" s="191">
        <v>45590</v>
      </c>
      <c r="C66" s="190" t="s">
        <v>115</v>
      </c>
      <c r="D66" s="190" t="s">
        <v>284</v>
      </c>
      <c r="E66" s="187">
        <v>41560142</v>
      </c>
      <c r="F66" s="190" t="s">
        <v>285</v>
      </c>
      <c r="G66" s="190" t="s">
        <v>286</v>
      </c>
      <c r="H66" s="187" t="s">
        <v>42</v>
      </c>
      <c r="I66" s="187" t="s">
        <v>74</v>
      </c>
      <c r="J66" s="187" t="s">
        <v>75</v>
      </c>
      <c r="K66" s="192">
        <v>45612</v>
      </c>
      <c r="L66" s="193" t="s">
        <v>287</v>
      </c>
      <c r="M66" s="193" t="s">
        <v>288</v>
      </c>
      <c r="N66" s="190">
        <v>996787371</v>
      </c>
      <c r="O66" s="194">
        <v>20</v>
      </c>
      <c r="P66" s="187" t="s">
        <v>22</v>
      </c>
      <c r="Q66" s="187" t="s">
        <v>74</v>
      </c>
      <c r="R66" s="195"/>
      <c r="S66" s="190" t="s">
        <v>284</v>
      </c>
      <c r="T66" s="196">
        <v>105608988</v>
      </c>
      <c r="U66" s="197" t="s">
        <v>289</v>
      </c>
    </row>
    <row r="67" spans="1:21" ht="31" customHeight="1">
      <c r="A67">
        <v>62</v>
      </c>
      <c r="B67" s="191">
        <v>45590</v>
      </c>
      <c r="C67" s="190" t="s">
        <v>115</v>
      </c>
      <c r="D67" s="190" t="s">
        <v>284</v>
      </c>
      <c r="E67" s="187">
        <v>40584012</v>
      </c>
      <c r="F67" s="190" t="s">
        <v>185</v>
      </c>
      <c r="G67" s="190" t="s">
        <v>291</v>
      </c>
      <c r="H67" s="187" t="s">
        <v>42</v>
      </c>
      <c r="I67" s="187" t="s">
        <v>74</v>
      </c>
      <c r="J67" s="187" t="s">
        <v>75</v>
      </c>
      <c r="K67" s="192">
        <v>45612</v>
      </c>
      <c r="L67" s="193" t="s">
        <v>287</v>
      </c>
      <c r="M67" s="193" t="s">
        <v>288</v>
      </c>
      <c r="N67" s="190">
        <v>996787371</v>
      </c>
      <c r="O67" s="194">
        <v>20</v>
      </c>
      <c r="P67" s="187" t="s">
        <v>22</v>
      </c>
      <c r="Q67" s="187" t="s">
        <v>74</v>
      </c>
      <c r="R67" s="195"/>
      <c r="S67" s="190" t="s">
        <v>284</v>
      </c>
      <c r="T67" s="196">
        <v>105608988</v>
      </c>
      <c r="U67" s="197" t="s">
        <v>289</v>
      </c>
    </row>
    <row r="68" spans="1:21" ht="31" customHeight="1">
      <c r="A68">
        <v>63</v>
      </c>
      <c r="B68" s="191">
        <v>45500</v>
      </c>
      <c r="C68" s="190" t="s">
        <v>85</v>
      </c>
      <c r="D68" s="190" t="s">
        <v>290</v>
      </c>
      <c r="E68" s="187">
        <v>112570124</v>
      </c>
      <c r="F68" s="190" t="s">
        <v>292</v>
      </c>
      <c r="G68" s="190" t="s">
        <v>293</v>
      </c>
      <c r="H68" s="187" t="s">
        <v>42</v>
      </c>
      <c r="I68" s="187" t="s">
        <v>74</v>
      </c>
      <c r="J68" s="187" t="s">
        <v>75</v>
      </c>
      <c r="K68" s="192">
        <v>45614</v>
      </c>
      <c r="L68" s="193" t="s">
        <v>294</v>
      </c>
      <c r="M68" s="193" t="s">
        <v>295</v>
      </c>
      <c r="N68" s="190">
        <v>998238105</v>
      </c>
      <c r="O68" s="194">
        <v>15</v>
      </c>
      <c r="P68" s="187" t="s">
        <v>22</v>
      </c>
      <c r="Q68" s="187" t="s">
        <v>74</v>
      </c>
      <c r="R68" s="195"/>
      <c r="S68" s="190" t="s">
        <v>290</v>
      </c>
      <c r="T68" s="196">
        <v>102052891</v>
      </c>
      <c r="U68" s="197" t="s">
        <v>296</v>
      </c>
    </row>
    <row r="69" spans="1:21" ht="31" customHeight="1">
      <c r="A69">
        <v>64</v>
      </c>
      <c r="B69" s="191">
        <v>45500</v>
      </c>
      <c r="C69" s="190" t="s">
        <v>85</v>
      </c>
      <c r="D69" s="190" t="s">
        <v>290</v>
      </c>
      <c r="E69" s="187">
        <v>41560142</v>
      </c>
      <c r="F69" s="190" t="s">
        <v>285</v>
      </c>
      <c r="G69" s="190" t="s">
        <v>297</v>
      </c>
      <c r="H69" s="187" t="s">
        <v>42</v>
      </c>
      <c r="I69" s="187" t="s">
        <v>74</v>
      </c>
      <c r="J69" s="187" t="s">
        <v>75</v>
      </c>
      <c r="K69" s="192">
        <v>45614</v>
      </c>
      <c r="L69" s="193" t="s">
        <v>294</v>
      </c>
      <c r="M69" s="193" t="s">
        <v>295</v>
      </c>
      <c r="N69" s="190">
        <v>998238105</v>
      </c>
      <c r="O69" s="194">
        <v>15</v>
      </c>
      <c r="P69" s="187" t="s">
        <v>22</v>
      </c>
      <c r="Q69" s="187" t="s">
        <v>74</v>
      </c>
      <c r="R69" s="195"/>
      <c r="S69" s="190" t="s">
        <v>290</v>
      </c>
      <c r="T69" s="196">
        <v>102052891</v>
      </c>
      <c r="U69" s="197" t="s">
        <v>296</v>
      </c>
    </row>
    <row r="70" spans="1:21" ht="31" customHeight="1">
      <c r="A70">
        <v>65</v>
      </c>
      <c r="B70" s="191">
        <v>45500</v>
      </c>
      <c r="C70" s="190" t="s">
        <v>85</v>
      </c>
      <c r="D70" s="190" t="s">
        <v>290</v>
      </c>
      <c r="E70" s="187">
        <v>40446712</v>
      </c>
      <c r="F70" s="190" t="s">
        <v>87</v>
      </c>
      <c r="G70" s="190" t="s">
        <v>298</v>
      </c>
      <c r="H70" s="187" t="s">
        <v>42</v>
      </c>
      <c r="I70" s="187" t="s">
        <v>74</v>
      </c>
      <c r="J70" s="187" t="s">
        <v>75</v>
      </c>
      <c r="K70" s="192">
        <v>45614</v>
      </c>
      <c r="L70" s="193" t="s">
        <v>294</v>
      </c>
      <c r="M70" s="193" t="s">
        <v>295</v>
      </c>
      <c r="N70" s="190">
        <v>998238105</v>
      </c>
      <c r="O70" s="194">
        <v>15</v>
      </c>
      <c r="P70" s="187" t="s">
        <v>22</v>
      </c>
      <c r="Q70" s="187" t="s">
        <v>74</v>
      </c>
      <c r="R70" s="195"/>
      <c r="S70" s="190" t="s">
        <v>290</v>
      </c>
      <c r="T70" s="196">
        <v>102052891</v>
      </c>
      <c r="U70" s="197" t="s">
        <v>296</v>
      </c>
    </row>
    <row r="71" spans="1:21">
      <c r="O71" s="133">
        <f>SUM(O6:O70)</f>
        <v>1125</v>
      </c>
    </row>
    <row r="72" spans="1:21">
      <c r="K72">
        <v>0</v>
      </c>
      <c r="L72">
        <v>30</v>
      </c>
      <c r="M72">
        <f>K72*L72</f>
        <v>0</v>
      </c>
    </row>
    <row r="73" spans="1:21">
      <c r="K73">
        <v>35</v>
      </c>
      <c r="L73">
        <v>15</v>
      </c>
      <c r="M73">
        <f>K73*L73</f>
        <v>525</v>
      </c>
    </row>
    <row r="74" spans="1:21">
      <c r="K74">
        <v>30</v>
      </c>
      <c r="L74">
        <v>20</v>
      </c>
      <c r="M74">
        <f>K74*L74</f>
        <v>600</v>
      </c>
    </row>
    <row r="75" spans="1:21">
      <c r="M75">
        <f>SUM(M72:M74)</f>
        <v>1125</v>
      </c>
    </row>
  </sheetData>
  <hyperlinks>
    <hyperlink ref="U6" r:id="rId1" xr:uid="{3485EFA1-AB11-614A-8A1B-C17C8BF525CE}"/>
    <hyperlink ref="U7" r:id="rId2" xr:uid="{31BCF000-AF3E-1042-A5C6-B97C51E7397F}"/>
    <hyperlink ref="U16" r:id="rId3" xr:uid="{E94097EC-4695-214E-8F5B-0CE5A3EF6741}"/>
    <hyperlink ref="U17" r:id="rId4" xr:uid="{97B26836-C3C0-6B45-837A-22989D1AD774}"/>
    <hyperlink ref="U18" r:id="rId5" xr:uid="{539BE079-2B3E-C74A-90D3-9605BFC1F5E0}"/>
    <hyperlink ref="U19" r:id="rId6" xr:uid="{8430E018-A900-AA47-9AD9-615D499C2BDD}"/>
    <hyperlink ref="U23" r:id="rId7" xr:uid="{0B8DD16C-8878-B44F-B10D-C342FA11E10B}"/>
    <hyperlink ref="U24" r:id="rId8" xr:uid="{BFF4F771-B311-B14A-A454-CE721541CD5E}"/>
    <hyperlink ref="U25" r:id="rId9" xr:uid="{D9D13980-B0A3-5D44-B8BA-B7A33D1C388D}"/>
    <hyperlink ref="U20" r:id="rId10" xr:uid="{6A47C8AE-ADCF-514A-BE4A-F9B437CC2CFF}"/>
    <hyperlink ref="U21" r:id="rId11" xr:uid="{764E343A-3DA8-7445-8F65-E26790AC705A}"/>
    <hyperlink ref="U22" r:id="rId12" xr:uid="{7AB3B166-8E9E-DF42-88DF-BF66C98F9E96}"/>
    <hyperlink ref="U26" r:id="rId13" xr:uid="{093BE9FB-1F79-F448-8908-C7BBD4201624}"/>
    <hyperlink ref="U27" r:id="rId14" xr:uid="{D75538E2-A061-FB45-BDB1-2B2E5690254D}"/>
    <hyperlink ref="U28" r:id="rId15" xr:uid="{9353DEC1-77B4-2F44-9169-DF2A318DC328}"/>
    <hyperlink ref="U29" r:id="rId16" xr:uid="{61341A86-3650-404F-93BA-3A476DB9DF3C}"/>
    <hyperlink ref="U30" r:id="rId17" xr:uid="{14D83256-C55E-A44E-81A4-7F07EE78D81D}"/>
    <hyperlink ref="U31" r:id="rId18" xr:uid="{5DF6231C-D615-5D48-8B97-B3C226F4E7EC}"/>
    <hyperlink ref="U12" r:id="rId19" xr:uid="{19568190-7B64-6145-A74E-7C9861B1035D}"/>
    <hyperlink ref="U13" r:id="rId20" xr:uid="{E8CF2E3D-28B6-5D4F-AED9-8576BA2DA0E6}"/>
    <hyperlink ref="U14" r:id="rId21" xr:uid="{BB1F256D-C0F7-9A47-8281-5FD37EB08D16}"/>
    <hyperlink ref="U15" r:id="rId22" xr:uid="{FB3BE92A-D7F4-4948-A344-441D8130625E}"/>
    <hyperlink ref="U40" r:id="rId23" xr:uid="{7403FDA7-E221-E84D-81E0-7D706ACA9E99}"/>
    <hyperlink ref="U41" r:id="rId24" xr:uid="{633A5688-AD6C-3044-95F8-A938063B80D7}"/>
    <hyperlink ref="U42" r:id="rId25" xr:uid="{6A7CAB44-AB7E-204C-84EF-277443A363FB}"/>
    <hyperlink ref="U43" r:id="rId26" xr:uid="{147C7DAD-C48E-7740-A84A-51FD163DB460}"/>
    <hyperlink ref="U8" r:id="rId27" xr:uid="{511E494D-05A2-0D44-A8F2-9A6F46E46106}"/>
    <hyperlink ref="U9" r:id="rId28" xr:uid="{968DC331-94B4-A44E-A2EF-29BCCC669177}"/>
    <hyperlink ref="U10" r:id="rId29" xr:uid="{C7DD3506-234F-6041-A8AD-192A87F75511}"/>
    <hyperlink ref="U11" r:id="rId30" xr:uid="{9132D7BD-99EE-9247-835B-E579E4FB1834}"/>
    <hyperlink ref="U44" r:id="rId31" xr:uid="{CD66869E-A85D-564F-B62E-8E505D6D44B9}"/>
    <hyperlink ref="U45" r:id="rId32" xr:uid="{B4978386-0B2B-3649-9480-8064DBFBBD36}"/>
    <hyperlink ref="U46" r:id="rId33" xr:uid="{CF28731E-E978-BF44-9F29-75BE9B2CF0D4}"/>
    <hyperlink ref="U47" r:id="rId34" xr:uid="{9FC5C2A8-C10E-A441-8BF1-C011FEE0D775}"/>
    <hyperlink ref="U39" r:id="rId35" xr:uid="{F46E3A88-0483-6C49-99D6-A80D23EE49B2}"/>
    <hyperlink ref="U38" r:id="rId36" xr:uid="{A6D943CA-F75A-CD49-9D9C-248D02D200A3}"/>
    <hyperlink ref="U48" r:id="rId37" xr:uid="{57BF7372-AA23-3845-AB13-A5AFBD4BFEF1}"/>
    <hyperlink ref="U49" r:id="rId38" xr:uid="{D3783B42-F6F6-DA43-82AB-31D15AE61E27}"/>
    <hyperlink ref="U50" r:id="rId39" xr:uid="{6EC05794-E3F2-9547-8558-AB4AAC788090}"/>
    <hyperlink ref="U51" r:id="rId40" xr:uid="{446A8C7E-1081-3F46-A903-6B3657F38BEC}"/>
    <hyperlink ref="U52" r:id="rId41" xr:uid="{358EFE5D-0775-234A-9411-CA6C752FC7C6}"/>
    <hyperlink ref="U53" r:id="rId42" xr:uid="{A458DBE2-18D1-8543-AA20-FAEA5C471523}"/>
    <hyperlink ref="U54" r:id="rId43" xr:uid="{7401754D-687D-DB4E-B250-5B6549717F67}"/>
    <hyperlink ref="U55" r:id="rId44" xr:uid="{D474FF2A-F7B7-EA43-8870-8EA521602806}"/>
    <hyperlink ref="U56" r:id="rId45" xr:uid="{38C4F154-9D95-844A-8730-E160B55D5A9D}"/>
    <hyperlink ref="U57" r:id="rId46" xr:uid="{CFC317C9-2AC0-684E-80F2-B3FD882590C1}"/>
    <hyperlink ref="U58" r:id="rId47" xr:uid="{312643A9-1C6C-BC42-9EC6-B8B77CAADCAA}"/>
    <hyperlink ref="U59" r:id="rId48" xr:uid="{B8056562-1520-0D42-B938-1D669C0BA511}"/>
    <hyperlink ref="U60" r:id="rId49" xr:uid="{D7F927E7-950B-3D4B-9AC6-5FDB9B0C3EAF}"/>
    <hyperlink ref="U61" r:id="rId50" xr:uid="{C6BEF4F3-C84C-EF47-9632-F31FF1B804D5}"/>
    <hyperlink ref="U62" r:id="rId51" xr:uid="{FE49CA49-60A4-4D4D-9F2B-02AF3EE2AD46}"/>
    <hyperlink ref="U63" r:id="rId52" xr:uid="{756B4789-9381-F44F-BBF8-02CC9A48D0BB}"/>
    <hyperlink ref="U66" r:id="rId53" xr:uid="{802EF55B-3DB0-E842-B2D0-6AD4FD3D567E}"/>
    <hyperlink ref="U67" r:id="rId54" xr:uid="{E50C9E17-BEF3-4F47-80E3-5245C5157511}"/>
    <hyperlink ref="U68" r:id="rId55" xr:uid="{02CB806C-4CAF-4E45-8462-0D1203946886}"/>
    <hyperlink ref="U69" r:id="rId56" xr:uid="{CD2650DA-01DE-4A46-AE46-8E38885F4E9E}"/>
    <hyperlink ref="U70" r:id="rId57" xr:uid="{50B84A6E-B27B-9347-B701-E3AEDEB0B058}"/>
    <hyperlink ref="U64" r:id="rId58" xr:uid="{3FBE3F2C-11D7-BE44-8B9F-27953043C8C1}"/>
    <hyperlink ref="U65" r:id="rId59" xr:uid="{6BC2DCAA-76CD-964C-BE76-735A494D72BA}"/>
  </hyperlinks>
  <pageMargins left="0.7" right="0.7" top="0.75" bottom="0.75" header="0.3" footer="0.3"/>
  <pageSetup paperSize="9" orientation="portrait" horizontalDpi="0" verticalDpi="0" r:id="rId60"/>
  <drawing r:id="rId6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T23"/>
  <sheetViews>
    <sheetView topLeftCell="A4" zoomScaleNormal="100" workbookViewId="0">
      <selection activeCell="R22" sqref="R22"/>
    </sheetView>
  </sheetViews>
  <sheetFormatPr baseColWidth="10" defaultRowHeight="15"/>
  <cols>
    <col min="1" max="1" width="11.6640625" bestFit="1" customWidth="1"/>
    <col min="2" max="3" width="13.6640625" bestFit="1" customWidth="1"/>
    <col min="4" max="4" width="11.6640625" bestFit="1" customWidth="1"/>
    <col min="5" max="5" width="17.1640625" customWidth="1"/>
    <col min="6" max="6" width="21" customWidth="1"/>
    <col min="7" max="7" width="12.83203125" bestFit="1" customWidth="1"/>
    <col min="8" max="8" width="28.1640625" customWidth="1"/>
    <col min="9" max="9" width="18.6640625" customWidth="1"/>
    <col min="10" max="10" width="11.6640625" bestFit="1" customWidth="1"/>
    <col min="11" max="11" width="19.6640625" customWidth="1"/>
    <col min="12" max="12" width="21" customWidth="1"/>
    <col min="13" max="13" width="34.1640625" bestFit="1" customWidth="1"/>
    <col min="14" max="14" width="11.6640625" bestFit="1" customWidth="1"/>
    <col min="15" max="15" width="21.6640625" bestFit="1" customWidth="1"/>
    <col min="16" max="16" width="17.6640625" customWidth="1"/>
    <col min="17" max="17" width="12.83203125" bestFit="1" customWidth="1"/>
    <col min="18" max="18" width="11.6640625" bestFit="1" customWidth="1"/>
    <col min="19" max="19" width="12.1640625" bestFit="1" customWidth="1"/>
  </cols>
  <sheetData>
    <row r="2" spans="1:20">
      <c r="A2" s="40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</row>
    <row r="3" spans="1:20">
      <c r="A3" s="42"/>
      <c r="B3" s="43"/>
      <c r="C3" s="44" t="s">
        <v>0</v>
      </c>
      <c r="D3" s="45"/>
      <c r="E3" s="46"/>
      <c r="F3" s="47"/>
      <c r="G3" s="48"/>
      <c r="H3" s="49"/>
      <c r="I3" s="49"/>
      <c r="J3" s="49"/>
      <c r="K3" s="49"/>
      <c r="L3" s="49"/>
      <c r="M3" s="50"/>
      <c r="N3" s="49"/>
      <c r="O3" s="42"/>
      <c r="P3" s="49"/>
      <c r="Q3" s="49"/>
      <c r="R3" s="49"/>
      <c r="S3" s="49"/>
    </row>
    <row r="4" spans="1:20">
      <c r="A4" s="42"/>
      <c r="B4" s="43"/>
      <c r="C4" s="51" t="s">
        <v>1</v>
      </c>
      <c r="D4" s="52"/>
      <c r="E4" s="53"/>
      <c r="F4" s="53"/>
      <c r="G4" s="48"/>
      <c r="H4" s="49"/>
      <c r="I4" s="49"/>
      <c r="J4" s="49"/>
      <c r="K4" s="49"/>
      <c r="L4" s="49"/>
      <c r="M4" s="50"/>
      <c r="N4" s="49"/>
      <c r="O4" s="42"/>
      <c r="P4" s="49"/>
      <c r="Q4" s="49"/>
      <c r="R4" s="49"/>
      <c r="S4" s="49"/>
    </row>
    <row r="5" spans="1:20" ht="28.5" customHeight="1">
      <c r="B5" s="54" t="s">
        <v>80</v>
      </c>
      <c r="C5" s="55"/>
      <c r="D5" s="56"/>
      <c r="E5" s="57" t="s">
        <v>24</v>
      </c>
      <c r="F5" s="58"/>
      <c r="G5" s="59"/>
      <c r="H5" s="60"/>
      <c r="I5" s="56"/>
      <c r="J5" s="61"/>
      <c r="K5" s="61"/>
      <c r="L5" s="62"/>
      <c r="M5" s="63" t="s">
        <v>117</v>
      </c>
      <c r="O5" s="64"/>
    </row>
    <row r="6" spans="1:20">
      <c r="B6" s="65" t="s">
        <v>25</v>
      </c>
      <c r="C6" s="66"/>
      <c r="D6" s="67"/>
      <c r="E6" s="67"/>
      <c r="F6" s="67"/>
      <c r="G6" s="67"/>
      <c r="H6" s="67"/>
      <c r="I6" s="67"/>
      <c r="J6" s="67"/>
      <c r="K6" s="67"/>
      <c r="L6" s="67"/>
      <c r="M6" s="68"/>
      <c r="O6" s="64"/>
    </row>
    <row r="7" spans="1:20">
      <c r="B7" s="69" t="s">
        <v>304</v>
      </c>
      <c r="C7" s="70"/>
      <c r="D7" s="70"/>
      <c r="E7" s="70"/>
      <c r="F7" s="70"/>
      <c r="G7" s="70"/>
      <c r="H7" s="70"/>
      <c r="I7" s="70"/>
      <c r="J7" s="70"/>
      <c r="K7" s="70"/>
      <c r="L7" s="70"/>
      <c r="M7" s="71"/>
      <c r="O7" s="64"/>
    </row>
    <row r="8" spans="1:20" s="39" customFormat="1" ht="34">
      <c r="A8"/>
      <c r="B8" s="134" t="s">
        <v>26</v>
      </c>
      <c r="C8" s="134" t="s">
        <v>27</v>
      </c>
      <c r="D8" s="134" t="s">
        <v>28</v>
      </c>
      <c r="E8" s="134" t="s">
        <v>29</v>
      </c>
      <c r="F8" s="134" t="s">
        <v>30</v>
      </c>
      <c r="G8" s="134" t="s">
        <v>31</v>
      </c>
      <c r="H8" s="134" t="s">
        <v>32</v>
      </c>
      <c r="I8" s="134" t="s">
        <v>33</v>
      </c>
      <c r="J8" s="134" t="s">
        <v>34</v>
      </c>
      <c r="K8" s="134" t="s">
        <v>35</v>
      </c>
      <c r="L8" s="134" t="s">
        <v>36</v>
      </c>
      <c r="M8" s="134" t="s">
        <v>37</v>
      </c>
      <c r="N8" s="134" t="s">
        <v>38</v>
      </c>
      <c r="O8" s="134" t="s">
        <v>39</v>
      </c>
      <c r="P8" s="134" t="s">
        <v>40</v>
      </c>
      <c r="Q8" s="134" t="s">
        <v>41</v>
      </c>
      <c r="R8" s="135" t="s">
        <v>18</v>
      </c>
      <c r="S8" s="136" t="s">
        <v>19</v>
      </c>
    </row>
    <row r="9" spans="1:20" s="185" customFormat="1" ht="56.25" customHeight="1">
      <c r="A9" s="172">
        <v>1</v>
      </c>
      <c r="B9" s="173">
        <v>45261</v>
      </c>
      <c r="C9" s="174">
        <v>45592</v>
      </c>
      <c r="D9" s="175">
        <v>1</v>
      </c>
      <c r="E9" s="175">
        <v>99119842</v>
      </c>
      <c r="F9" s="176" t="s">
        <v>305</v>
      </c>
      <c r="G9" s="177">
        <v>40197155</v>
      </c>
      <c r="H9" s="178" t="s">
        <v>306</v>
      </c>
      <c r="I9" s="179" t="s">
        <v>307</v>
      </c>
      <c r="J9" s="180" t="s">
        <v>42</v>
      </c>
      <c r="K9" s="177" t="s">
        <v>113</v>
      </c>
      <c r="L9" s="177" t="s">
        <v>308</v>
      </c>
      <c r="M9" s="176" t="s">
        <v>309</v>
      </c>
      <c r="N9" s="181">
        <v>12.5</v>
      </c>
      <c r="O9" s="182">
        <v>101384600</v>
      </c>
      <c r="P9" s="183" t="s">
        <v>310</v>
      </c>
      <c r="Q9" s="168">
        <v>994053164</v>
      </c>
      <c r="R9" s="168"/>
      <c r="S9" s="168" t="s">
        <v>311</v>
      </c>
      <c r="T9" s="184"/>
    </row>
    <row r="10" spans="1:20" s="185" customFormat="1" ht="56.25" customHeight="1">
      <c r="A10" s="172">
        <v>2</v>
      </c>
      <c r="B10" s="173">
        <v>44985</v>
      </c>
      <c r="C10" s="174">
        <v>45587</v>
      </c>
      <c r="D10" s="175"/>
      <c r="E10" s="175"/>
      <c r="F10" s="176" t="s">
        <v>190</v>
      </c>
      <c r="G10" s="177">
        <v>40197255</v>
      </c>
      <c r="H10" s="178" t="s">
        <v>190</v>
      </c>
      <c r="I10" s="179" t="s">
        <v>312</v>
      </c>
      <c r="J10" s="180" t="s">
        <v>42</v>
      </c>
      <c r="K10" s="177" t="s">
        <v>113</v>
      </c>
      <c r="L10" s="177" t="s">
        <v>313</v>
      </c>
      <c r="M10" s="176" t="s">
        <v>314</v>
      </c>
      <c r="N10" s="181">
        <v>12.5</v>
      </c>
      <c r="O10" s="182">
        <v>704085307</v>
      </c>
      <c r="P10" s="183" t="s">
        <v>315</v>
      </c>
      <c r="Q10" s="168">
        <v>9854133866</v>
      </c>
      <c r="R10" s="168"/>
      <c r="S10" s="168" t="s">
        <v>316</v>
      </c>
      <c r="T10" s="184"/>
    </row>
    <row r="11" spans="1:20" s="185" customFormat="1" ht="56.25" customHeight="1">
      <c r="A11" s="172">
        <v>3</v>
      </c>
      <c r="B11" s="173">
        <v>45019</v>
      </c>
      <c r="C11" s="174">
        <v>45587</v>
      </c>
      <c r="D11" s="175">
        <v>1</v>
      </c>
      <c r="E11" s="175">
        <v>81214004</v>
      </c>
      <c r="F11" s="176" t="s">
        <v>317</v>
      </c>
      <c r="G11" s="177">
        <v>112580027</v>
      </c>
      <c r="H11" s="178" t="s">
        <v>318</v>
      </c>
      <c r="I11" s="179" t="s">
        <v>319</v>
      </c>
      <c r="J11" s="180" t="s">
        <v>42</v>
      </c>
      <c r="K11" s="177" t="s">
        <v>113</v>
      </c>
      <c r="L11" s="177" t="s">
        <v>320</v>
      </c>
      <c r="M11" s="176" t="s">
        <v>321</v>
      </c>
      <c r="N11" s="181">
        <v>12.5</v>
      </c>
      <c r="O11" s="182">
        <v>104179830</v>
      </c>
      <c r="P11" s="183" t="s">
        <v>322</v>
      </c>
      <c r="Q11" s="168">
        <v>987421640</v>
      </c>
      <c r="R11" s="168"/>
      <c r="S11" s="168" t="s">
        <v>323</v>
      </c>
      <c r="T11" s="184"/>
    </row>
    <row r="12" spans="1:20" s="185" customFormat="1" ht="56.25" customHeight="1">
      <c r="A12" s="172">
        <v>4</v>
      </c>
      <c r="B12" s="173">
        <v>44887</v>
      </c>
      <c r="C12" s="174">
        <v>45590</v>
      </c>
      <c r="D12" s="175">
        <v>1</v>
      </c>
      <c r="E12" s="175">
        <v>81216142</v>
      </c>
      <c r="F12" s="176" t="s">
        <v>324</v>
      </c>
      <c r="G12" s="177">
        <v>40211660</v>
      </c>
      <c r="H12" s="178" t="s">
        <v>325</v>
      </c>
      <c r="I12" s="179" t="s">
        <v>326</v>
      </c>
      <c r="J12" s="180" t="s">
        <v>42</v>
      </c>
      <c r="K12" s="177" t="s">
        <v>113</v>
      </c>
      <c r="L12" s="177" t="s">
        <v>327</v>
      </c>
      <c r="M12" s="176" t="s">
        <v>328</v>
      </c>
      <c r="N12" s="181">
        <v>12.5</v>
      </c>
      <c r="O12" s="182">
        <v>101581148</v>
      </c>
      <c r="P12" s="183" t="s">
        <v>329</v>
      </c>
      <c r="Q12" s="168">
        <v>997949312</v>
      </c>
      <c r="R12" s="168"/>
      <c r="S12" s="168" t="s">
        <v>330</v>
      </c>
      <c r="T12" s="184"/>
    </row>
    <row r="13" spans="1:20" s="185" customFormat="1" ht="56.25" customHeight="1">
      <c r="A13" s="172">
        <v>5</v>
      </c>
      <c r="B13" s="173">
        <v>45449</v>
      </c>
      <c r="C13" s="174">
        <v>45602</v>
      </c>
      <c r="D13" s="175"/>
      <c r="E13" s="175" t="s">
        <v>337</v>
      </c>
      <c r="F13" s="176"/>
      <c r="G13" s="177">
        <v>41596000</v>
      </c>
      <c r="H13" s="178" t="s">
        <v>338</v>
      </c>
      <c r="I13" s="179" t="s">
        <v>339</v>
      </c>
      <c r="J13" s="180" t="s">
        <v>42</v>
      </c>
      <c r="K13" s="177" t="s">
        <v>113</v>
      </c>
      <c r="L13" s="177" t="s">
        <v>340</v>
      </c>
      <c r="M13" s="176" t="s">
        <v>341</v>
      </c>
      <c r="N13" s="181">
        <v>18.75</v>
      </c>
      <c r="O13" s="182">
        <v>102726650</v>
      </c>
      <c r="P13" s="183" t="s">
        <v>342</v>
      </c>
      <c r="Q13" s="168">
        <v>987383628</v>
      </c>
      <c r="R13" s="168"/>
      <c r="S13" s="168" t="s">
        <v>343</v>
      </c>
      <c r="T13" s="184"/>
    </row>
    <row r="14" spans="1:20" s="185" customFormat="1" ht="56.25" customHeight="1">
      <c r="A14" s="172">
        <v>6</v>
      </c>
      <c r="B14" s="173">
        <v>45537</v>
      </c>
      <c r="C14" s="174">
        <v>45607</v>
      </c>
      <c r="D14" s="175"/>
      <c r="E14" s="175" t="s">
        <v>445</v>
      </c>
      <c r="F14" s="176"/>
      <c r="G14" s="177">
        <v>111030002</v>
      </c>
      <c r="H14" s="178" t="s">
        <v>446</v>
      </c>
      <c r="I14" s="179" t="s">
        <v>161</v>
      </c>
      <c r="J14" s="180" t="s">
        <v>42</v>
      </c>
      <c r="K14" s="177" t="s">
        <v>113</v>
      </c>
      <c r="L14" s="177" t="s">
        <v>447</v>
      </c>
      <c r="M14" s="176" t="s">
        <v>448</v>
      </c>
      <c r="N14" s="181">
        <v>18.75</v>
      </c>
      <c r="O14" s="182">
        <v>105242994</v>
      </c>
      <c r="P14" s="183" t="s">
        <v>159</v>
      </c>
      <c r="Q14" s="168">
        <v>991093646</v>
      </c>
      <c r="R14" s="168"/>
      <c r="S14" s="168" t="s">
        <v>154</v>
      </c>
      <c r="T14" s="184"/>
    </row>
    <row r="15" spans="1:20" s="185" customFormat="1" ht="56.25" customHeight="1">
      <c r="A15" s="172">
        <v>7</v>
      </c>
      <c r="B15" s="173">
        <v>45433</v>
      </c>
      <c r="C15" s="174">
        <v>45603</v>
      </c>
      <c r="D15" s="175"/>
      <c r="E15" s="175" t="s">
        <v>449</v>
      </c>
      <c r="F15" s="176"/>
      <c r="G15" s="177">
        <v>40782128</v>
      </c>
      <c r="H15" s="178" t="s">
        <v>344</v>
      </c>
      <c r="I15" s="179" t="s">
        <v>345</v>
      </c>
      <c r="J15" s="180" t="s">
        <v>42</v>
      </c>
      <c r="K15" s="177" t="s">
        <v>113</v>
      </c>
      <c r="L15" s="177" t="s">
        <v>346</v>
      </c>
      <c r="M15" s="176" t="s">
        <v>450</v>
      </c>
      <c r="N15" s="181">
        <v>18.75</v>
      </c>
      <c r="O15" s="182">
        <v>103181947</v>
      </c>
      <c r="P15" s="183" t="s">
        <v>347</v>
      </c>
      <c r="Q15" s="168">
        <v>998722108</v>
      </c>
      <c r="R15" s="168"/>
      <c r="S15" s="168" t="s">
        <v>348</v>
      </c>
      <c r="T15" s="184"/>
    </row>
    <row r="16" spans="1:20" s="185" customFormat="1" ht="56.25" customHeight="1">
      <c r="A16" s="172">
        <v>8</v>
      </c>
      <c r="B16" s="173">
        <v>45109</v>
      </c>
      <c r="C16" s="174">
        <v>45609</v>
      </c>
      <c r="D16" s="175"/>
      <c r="E16" s="175" t="s">
        <v>449</v>
      </c>
      <c r="F16" s="176"/>
      <c r="G16" s="177">
        <v>40782128</v>
      </c>
      <c r="H16" s="178" t="s">
        <v>344</v>
      </c>
      <c r="I16" s="179" t="s">
        <v>149</v>
      </c>
      <c r="J16" s="180" t="s">
        <v>42</v>
      </c>
      <c r="K16" s="177" t="s">
        <v>113</v>
      </c>
      <c r="L16" s="177" t="s">
        <v>144</v>
      </c>
      <c r="M16" s="176" t="s">
        <v>450</v>
      </c>
      <c r="N16" s="181">
        <v>18.75</v>
      </c>
      <c r="O16" s="182">
        <v>104225651</v>
      </c>
      <c r="P16" s="183" t="s">
        <v>146</v>
      </c>
      <c r="Q16" s="168">
        <v>983346559</v>
      </c>
      <c r="R16" s="168"/>
      <c r="S16" s="168" t="s">
        <v>147</v>
      </c>
      <c r="T16" s="184"/>
    </row>
    <row r="17" spans="1:19" s="166" customFormat="1" ht="17">
      <c r="A17" s="167"/>
      <c r="B17"/>
      <c r="C17"/>
      <c r="D17"/>
      <c r="E17"/>
      <c r="F17"/>
      <c r="G17"/>
      <c r="H17"/>
      <c r="I17"/>
      <c r="J17"/>
      <c r="K17"/>
      <c r="L17"/>
      <c r="M17"/>
      <c r="N17" s="186">
        <f>SUM(N9:N16)</f>
        <v>125</v>
      </c>
      <c r="O17"/>
      <c r="P17"/>
      <c r="Q17"/>
      <c r="R17"/>
      <c r="S17"/>
    </row>
    <row r="18" spans="1:19" s="166" customFormat="1" ht="17">
      <c r="A18" s="167"/>
      <c r="B18"/>
      <c r="C18"/>
      <c r="D18"/>
      <c r="E18"/>
      <c r="F18"/>
      <c r="G18"/>
      <c r="H18"/>
      <c r="I18"/>
      <c r="J18"/>
      <c r="K18"/>
      <c r="L18"/>
      <c r="M18"/>
      <c r="N18" s="186"/>
      <c r="O18"/>
      <c r="P18"/>
      <c r="Q18"/>
      <c r="R18"/>
      <c r="S18"/>
    </row>
    <row r="19" spans="1:19" s="166" customFormat="1" ht="17">
      <c r="A19" s="167"/>
      <c r="B19"/>
      <c r="C19"/>
      <c r="D19"/>
      <c r="E19"/>
      <c r="F19"/>
      <c r="G19"/>
      <c r="H19"/>
      <c r="I19"/>
      <c r="J19" s="200">
        <v>2</v>
      </c>
      <c r="K19" s="201" t="s">
        <v>349</v>
      </c>
      <c r="L19" s="201">
        <v>12.5</v>
      </c>
      <c r="M19">
        <f>J19*L19</f>
        <v>25</v>
      </c>
      <c r="N19"/>
      <c r="O19"/>
      <c r="P19"/>
      <c r="Q19"/>
      <c r="R19"/>
      <c r="S19"/>
    </row>
    <row r="20" spans="1:19" s="72" customFormat="1" ht="17">
      <c r="A20" s="73"/>
      <c r="B20"/>
      <c r="C20"/>
      <c r="D20"/>
      <c r="E20"/>
      <c r="F20"/>
      <c r="G20"/>
      <c r="H20"/>
      <c r="I20"/>
      <c r="J20" s="200">
        <v>2</v>
      </c>
      <c r="K20" s="201" t="s">
        <v>350</v>
      </c>
      <c r="L20" s="201">
        <v>12.5</v>
      </c>
      <c r="M20">
        <f>J20*L20</f>
        <v>25</v>
      </c>
      <c r="N20"/>
      <c r="O20"/>
      <c r="P20"/>
      <c r="Q20"/>
      <c r="R20"/>
      <c r="S20"/>
    </row>
    <row r="21" spans="1:19" s="72" customFormat="1" ht="17">
      <c r="A21" s="73"/>
      <c r="B21"/>
      <c r="C21"/>
      <c r="D21"/>
      <c r="E21"/>
      <c r="F21"/>
      <c r="G21"/>
      <c r="H21"/>
      <c r="I21"/>
      <c r="J21" s="200">
        <v>2</v>
      </c>
      <c r="K21" s="201" t="s">
        <v>351</v>
      </c>
      <c r="L21" s="202">
        <v>18.75</v>
      </c>
      <c r="M21">
        <f>J21*L21</f>
        <v>37.5</v>
      </c>
      <c r="N21"/>
      <c r="O21"/>
      <c r="P21"/>
      <c r="Q21"/>
      <c r="R21"/>
      <c r="S21"/>
    </row>
    <row r="22" spans="1:19" ht="17">
      <c r="J22" s="200">
        <v>2</v>
      </c>
      <c r="K22" s="201" t="s">
        <v>352</v>
      </c>
      <c r="L22" s="201">
        <v>18.75</v>
      </c>
      <c r="M22">
        <f>J22*L22</f>
        <v>37.5</v>
      </c>
    </row>
    <row r="23" spans="1:19" ht="16">
      <c r="J23" s="200"/>
      <c r="K23" s="200"/>
      <c r="L23" s="200"/>
      <c r="M23">
        <f>SUM(M19:M22)</f>
        <v>125</v>
      </c>
    </row>
  </sheetData>
  <hyperlinks>
    <hyperlink ref="P9" r:id="rId1" xr:uid="{7449024E-516B-6F4B-9570-C2953A741E68}"/>
    <hyperlink ref="P10" r:id="rId2" xr:uid="{7A55EEE3-4EF0-6C40-984F-B57147E74FD0}"/>
    <hyperlink ref="P11" r:id="rId3" xr:uid="{5E6805FF-8BBD-714E-ACBD-B3E8D8B45285}"/>
    <hyperlink ref="P12" r:id="rId4" xr:uid="{7222FFD2-6042-7945-987A-361822B05DA6}"/>
    <hyperlink ref="P13" r:id="rId5" xr:uid="{9BFB41A0-18FE-A942-A63A-22323C57AD43}"/>
    <hyperlink ref="P15" r:id="rId6" xr:uid="{5B4897B4-F85C-E54A-989B-C4F524F94E82}"/>
    <hyperlink ref="P16" r:id="rId7" xr:uid="{6D3B54E6-0E24-D14E-ACC5-0E403A262B41}"/>
    <hyperlink ref="P14" r:id="rId8" xr:uid="{1D13FA39-3B8D-A344-9F80-6644A18134DE}"/>
  </hyperlinks>
  <pageMargins left="0.7" right="0.7" top="0.75" bottom="0.75" header="0.3" footer="0.3"/>
  <pageSetup paperSize="9" orientation="portrait" horizontalDpi="0" verticalDpi="0" r:id="rId9"/>
  <drawing r:id="rId1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U24"/>
  <sheetViews>
    <sheetView zoomScale="147" zoomScaleNormal="147" workbookViewId="0">
      <selection activeCell="F13" sqref="F13"/>
    </sheetView>
  </sheetViews>
  <sheetFormatPr baseColWidth="10" defaultRowHeight="15"/>
  <cols>
    <col min="2" max="2" width="11.33203125" bestFit="1" customWidth="1"/>
    <col min="5" max="5" width="16.6640625" customWidth="1"/>
    <col min="6" max="6" width="26.1640625" customWidth="1"/>
    <col min="7" max="7" width="16" customWidth="1"/>
    <col min="11" max="11" width="11.33203125" bestFit="1" customWidth="1"/>
    <col min="14" max="14" width="11.1640625" bestFit="1" customWidth="1"/>
    <col min="16" max="16" width="13.33203125" bestFit="1" customWidth="1"/>
    <col min="20" max="20" width="13.83203125" bestFit="1" customWidth="1"/>
  </cols>
  <sheetData>
    <row r="3" spans="1:21">
      <c r="A3" s="74"/>
      <c r="B3" s="75"/>
      <c r="C3" s="76" t="s">
        <v>43</v>
      </c>
      <c r="D3" s="75"/>
      <c r="E3" s="77"/>
      <c r="F3" s="75"/>
      <c r="G3" s="78"/>
      <c r="H3" s="75"/>
      <c r="I3" s="75"/>
      <c r="J3" s="75"/>
      <c r="K3" s="79"/>
      <c r="L3" s="79"/>
      <c r="M3" s="75"/>
      <c r="N3" s="75"/>
      <c r="O3" s="80"/>
      <c r="P3" s="75"/>
      <c r="Q3" s="75"/>
      <c r="R3" s="75"/>
      <c r="S3" s="75"/>
      <c r="T3" s="75"/>
      <c r="U3" s="81"/>
    </row>
    <row r="4" spans="1:21">
      <c r="A4" s="74"/>
      <c r="B4" s="75"/>
      <c r="C4" s="82" t="s">
        <v>44</v>
      </c>
      <c r="D4" s="75"/>
      <c r="E4" s="75"/>
      <c r="F4" s="75"/>
      <c r="G4" s="78"/>
      <c r="H4" s="75"/>
      <c r="I4" s="75" t="s">
        <v>45</v>
      </c>
      <c r="J4" s="75"/>
      <c r="K4" s="79"/>
      <c r="L4" s="79"/>
      <c r="M4" s="138" t="s">
        <v>119</v>
      </c>
      <c r="N4" s="75"/>
      <c r="O4" s="80"/>
      <c r="P4" s="75"/>
      <c r="Q4" s="83"/>
      <c r="R4" s="75"/>
      <c r="S4" s="75"/>
      <c r="T4" s="84"/>
      <c r="U4" s="85">
        <v>45536</v>
      </c>
    </row>
    <row r="5" spans="1:21" ht="37">
      <c r="A5" s="81"/>
      <c r="B5" s="86" t="s">
        <v>2</v>
      </c>
      <c r="C5" s="86" t="s">
        <v>3</v>
      </c>
      <c r="D5" s="86" t="s">
        <v>4</v>
      </c>
      <c r="E5" s="86" t="s">
        <v>5</v>
      </c>
      <c r="F5" s="86" t="s">
        <v>6</v>
      </c>
      <c r="G5" s="86" t="s">
        <v>7</v>
      </c>
      <c r="H5" s="86" t="s">
        <v>8</v>
      </c>
      <c r="I5" s="86" t="s">
        <v>9</v>
      </c>
      <c r="J5" s="86" t="s">
        <v>10</v>
      </c>
      <c r="K5" s="87" t="s">
        <v>46</v>
      </c>
      <c r="L5" s="87" t="s">
        <v>12</v>
      </c>
      <c r="M5" s="87" t="s">
        <v>13</v>
      </c>
      <c r="N5" s="87" t="s">
        <v>14</v>
      </c>
      <c r="O5" s="88" t="s">
        <v>15</v>
      </c>
      <c r="P5" s="87" t="s">
        <v>47</v>
      </c>
      <c r="Q5" s="87" t="s">
        <v>48</v>
      </c>
      <c r="R5" s="89" t="s">
        <v>49</v>
      </c>
      <c r="S5" s="89" t="s">
        <v>19</v>
      </c>
      <c r="T5" s="90" t="s">
        <v>20</v>
      </c>
      <c r="U5" s="91" t="s">
        <v>50</v>
      </c>
    </row>
    <row r="6" spans="1:21" s="38" customFormat="1" ht="23.25" customHeight="1">
      <c r="A6" s="92">
        <v>1</v>
      </c>
      <c r="B6" s="97"/>
      <c r="C6" s="98"/>
      <c r="D6" s="93"/>
      <c r="E6" s="94"/>
      <c r="F6" s="95" t="s">
        <v>79</v>
      </c>
      <c r="G6" s="99"/>
      <c r="H6" s="100"/>
      <c r="I6" s="101" t="s">
        <v>74</v>
      </c>
      <c r="J6" s="101" t="s">
        <v>75</v>
      </c>
      <c r="K6" s="97"/>
      <c r="L6" s="98"/>
      <c r="M6" s="96"/>
      <c r="N6" s="170"/>
      <c r="O6" s="102"/>
      <c r="P6" s="98"/>
      <c r="Q6" s="98"/>
      <c r="R6" s="103"/>
      <c r="S6" s="103"/>
      <c r="T6" s="104"/>
      <c r="U6" s="137" t="s">
        <v>114</v>
      </c>
    </row>
    <row r="7" spans="1:21">
      <c r="O7" s="186"/>
    </row>
    <row r="24" spans="4:4">
      <c r="D24" t="s">
        <v>84</v>
      </c>
    </row>
  </sheetData>
  <hyperlinks>
    <hyperlink ref="U6" r:id="rId1" xr:uid="{97C04628-8874-D746-82B2-E8D2D07369A9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V8"/>
  <sheetViews>
    <sheetView workbookViewId="0">
      <selection activeCell="F11" sqref="F11"/>
    </sheetView>
  </sheetViews>
  <sheetFormatPr baseColWidth="10" defaultRowHeight="15"/>
  <cols>
    <col min="5" max="5" width="15.33203125" customWidth="1"/>
    <col min="6" max="6" width="39.33203125" bestFit="1" customWidth="1"/>
    <col min="7" max="7" width="15.6640625" bestFit="1" customWidth="1"/>
    <col min="10" max="10" width="15.6640625" customWidth="1"/>
    <col min="11" max="11" width="18.6640625" customWidth="1"/>
    <col min="14" max="14" width="16" customWidth="1"/>
  </cols>
  <sheetData>
    <row r="3" spans="1:22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22">
      <c r="A4" s="5"/>
      <c r="B4" s="5"/>
      <c r="C4" s="105" t="s">
        <v>51</v>
      </c>
      <c r="D4" s="106"/>
      <c r="E4" s="106"/>
      <c r="F4" s="5"/>
      <c r="G4" s="106"/>
      <c r="H4" s="106"/>
      <c r="I4" s="106"/>
      <c r="J4" s="106"/>
      <c r="K4" s="106"/>
      <c r="L4" s="106"/>
      <c r="M4" s="106"/>
      <c r="N4" s="106"/>
      <c r="O4" s="106"/>
      <c r="P4" s="5"/>
    </row>
    <row r="5" spans="1:22" ht="16" thickBot="1">
      <c r="A5" s="5"/>
      <c r="B5" s="106"/>
      <c r="C5" s="107" t="s">
        <v>1</v>
      </c>
      <c r="D5" s="107"/>
      <c r="E5" s="107"/>
      <c r="F5" s="5"/>
      <c r="J5" t="s">
        <v>62</v>
      </c>
      <c r="K5" s="5"/>
      <c r="L5" s="114" t="s">
        <v>451</v>
      </c>
      <c r="P5" s="5"/>
    </row>
    <row r="6" spans="1:22" s="23" customFormat="1" ht="58.5" customHeight="1">
      <c r="A6" s="108"/>
      <c r="B6" s="109" t="s">
        <v>52</v>
      </c>
      <c r="C6" s="110" t="s">
        <v>53</v>
      </c>
      <c r="D6" s="110" t="s">
        <v>4</v>
      </c>
      <c r="E6" s="111" t="s">
        <v>54</v>
      </c>
      <c r="F6" s="110" t="s">
        <v>55</v>
      </c>
      <c r="G6" s="110" t="s">
        <v>56</v>
      </c>
      <c r="H6" s="109" t="s">
        <v>8</v>
      </c>
      <c r="I6" s="110" t="s">
        <v>57</v>
      </c>
      <c r="J6" s="110" t="s">
        <v>58</v>
      </c>
      <c r="K6" s="110" t="s">
        <v>59</v>
      </c>
      <c r="L6" s="110" t="s">
        <v>12</v>
      </c>
      <c r="M6" s="112" t="s">
        <v>60</v>
      </c>
      <c r="N6" s="110" t="s">
        <v>14</v>
      </c>
      <c r="O6" s="113" t="s">
        <v>15</v>
      </c>
      <c r="P6" s="110" t="s">
        <v>61</v>
      </c>
      <c r="Q6" s="112"/>
      <c r="R6" s="112"/>
    </row>
    <row r="7" spans="1:22" s="38" customFormat="1" ht="24" customHeight="1">
      <c r="A7" s="24">
        <v>1</v>
      </c>
      <c r="B7" s="25"/>
      <c r="C7" s="26"/>
      <c r="D7" s="26"/>
      <c r="E7" s="27"/>
      <c r="F7" s="28"/>
      <c r="G7" s="29"/>
      <c r="H7" s="30" t="s">
        <v>42</v>
      </c>
      <c r="I7" s="26" t="s">
        <v>77</v>
      </c>
      <c r="J7" s="29" t="s">
        <v>78</v>
      </c>
      <c r="K7" s="31"/>
      <c r="L7" s="32"/>
      <c r="M7" s="32"/>
      <c r="N7" s="169"/>
      <c r="O7" s="33"/>
      <c r="P7" s="26" t="s">
        <v>83</v>
      </c>
      <c r="Q7" s="26"/>
      <c r="R7" s="171"/>
      <c r="S7" s="34"/>
      <c r="T7" s="35"/>
      <c r="U7" s="36"/>
      <c r="V7" s="37"/>
    </row>
    <row r="8" spans="1:22" s="38" customFormat="1" ht="24" customHeight="1">
      <c r="A8" s="24">
        <v>2</v>
      </c>
      <c r="B8" s="25"/>
      <c r="C8" s="26"/>
      <c r="D8" s="26"/>
      <c r="E8" s="27"/>
      <c r="F8" s="28"/>
      <c r="G8" s="29"/>
      <c r="H8" s="30" t="s">
        <v>42</v>
      </c>
      <c r="I8" s="26" t="s">
        <v>77</v>
      </c>
      <c r="J8" s="29" t="s">
        <v>78</v>
      </c>
      <c r="K8" s="31"/>
      <c r="L8" s="32"/>
      <c r="M8" s="32"/>
      <c r="N8" s="169"/>
      <c r="O8" s="33"/>
      <c r="P8" s="26" t="s">
        <v>83</v>
      </c>
      <c r="Q8" s="26"/>
      <c r="R8" s="171"/>
      <c r="S8" s="34"/>
      <c r="T8" s="35"/>
      <c r="U8" s="36"/>
      <c r="V8" s="37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42"/>
  <sheetViews>
    <sheetView workbookViewId="0">
      <selection activeCell="J11" sqref="J11"/>
    </sheetView>
  </sheetViews>
  <sheetFormatPr baseColWidth="10" defaultRowHeight="15"/>
  <cols>
    <col min="3" max="3" width="11.33203125" customWidth="1"/>
    <col min="6" max="6" width="13.33203125" customWidth="1"/>
    <col min="11" max="11" width="20" customWidth="1"/>
  </cols>
  <sheetData>
    <row r="1" spans="1:21">
      <c r="A1" s="115"/>
      <c r="B1" s="116" t="s">
        <v>63</v>
      </c>
      <c r="C1" s="117"/>
      <c r="D1" s="116"/>
      <c r="E1" s="118"/>
      <c r="F1" s="118"/>
      <c r="G1" s="119"/>
      <c r="H1" s="119"/>
      <c r="I1" s="119"/>
      <c r="J1" s="119"/>
      <c r="K1" s="119"/>
      <c r="L1" s="119"/>
      <c r="M1" s="120"/>
      <c r="N1" s="119"/>
      <c r="O1" s="119"/>
      <c r="P1" s="119"/>
    </row>
    <row r="2" spans="1:21">
      <c r="A2" s="115"/>
      <c r="B2" s="121" t="s">
        <v>95</v>
      </c>
      <c r="C2" s="122"/>
      <c r="D2" s="118"/>
      <c r="E2" s="118"/>
      <c r="F2" s="118"/>
      <c r="G2" s="119"/>
      <c r="H2" s="119"/>
      <c r="I2" s="119"/>
      <c r="J2" s="119"/>
      <c r="K2" s="119"/>
      <c r="L2" s="119"/>
      <c r="M2" s="120"/>
      <c r="N2" s="119"/>
      <c r="O2" s="119"/>
      <c r="P2" s="119"/>
    </row>
    <row r="3" spans="1:21">
      <c r="A3" s="115"/>
      <c r="B3" s="123"/>
      <c r="C3" s="124"/>
      <c r="D3" s="123"/>
      <c r="E3" s="123"/>
      <c r="F3" s="123"/>
      <c r="G3" s="123"/>
      <c r="H3" s="123"/>
      <c r="I3" s="125"/>
      <c r="J3" s="123"/>
      <c r="K3" s="118"/>
      <c r="L3" s="118"/>
      <c r="M3" s="126"/>
      <c r="N3" s="119"/>
      <c r="O3" s="119"/>
      <c r="P3" s="123"/>
    </row>
    <row r="4" spans="1:21">
      <c r="A4" s="115"/>
      <c r="B4" s="119"/>
      <c r="C4" s="124" t="s">
        <v>0</v>
      </c>
      <c r="D4" s="119"/>
      <c r="E4" s="127"/>
      <c r="F4" s="119"/>
      <c r="G4" s="128"/>
      <c r="H4" s="119"/>
      <c r="I4" s="119"/>
      <c r="J4" s="119"/>
      <c r="K4" s="118"/>
      <c r="L4" s="122"/>
      <c r="M4" s="120"/>
      <c r="N4" s="119"/>
      <c r="O4" s="119"/>
      <c r="P4" s="119"/>
    </row>
    <row r="5" spans="1:21">
      <c r="A5" s="115"/>
      <c r="B5" s="119"/>
      <c r="C5" s="129" t="s">
        <v>1</v>
      </c>
      <c r="D5" s="129" t="s">
        <v>1</v>
      </c>
      <c r="E5" s="119"/>
      <c r="G5" s="119"/>
      <c r="H5" s="119"/>
      <c r="I5" s="119"/>
      <c r="J5" s="119" t="s">
        <v>73</v>
      </c>
      <c r="K5" s="119"/>
      <c r="L5" s="119"/>
      <c r="M5" s="119" t="s">
        <v>452</v>
      </c>
    </row>
    <row r="6" spans="1:21" ht="37">
      <c r="A6" s="115"/>
      <c r="B6" s="130" t="s">
        <v>2</v>
      </c>
      <c r="C6" s="130" t="s">
        <v>3</v>
      </c>
      <c r="D6" s="130" t="s">
        <v>4</v>
      </c>
      <c r="E6" s="130" t="s">
        <v>5</v>
      </c>
      <c r="F6" s="131" t="s">
        <v>6</v>
      </c>
      <c r="G6" s="130" t="s">
        <v>7</v>
      </c>
      <c r="H6" s="130" t="s">
        <v>8</v>
      </c>
      <c r="I6" s="130" t="s">
        <v>9</v>
      </c>
      <c r="J6" s="130" t="s">
        <v>10</v>
      </c>
      <c r="K6" s="130" t="s">
        <v>11</v>
      </c>
      <c r="L6" s="130" t="s">
        <v>65</v>
      </c>
      <c r="M6" s="132" t="s">
        <v>66</v>
      </c>
      <c r="N6" s="130" t="s">
        <v>67</v>
      </c>
      <c r="O6" s="130" t="s">
        <v>64</v>
      </c>
      <c r="P6" s="130" t="s">
        <v>68</v>
      </c>
      <c r="Q6" s="130" t="s">
        <v>69</v>
      </c>
      <c r="R6" s="130" t="s">
        <v>70</v>
      </c>
      <c r="S6" s="130" t="s">
        <v>71</v>
      </c>
      <c r="T6" s="132" t="s">
        <v>72</v>
      </c>
      <c r="U6" s="130" t="s">
        <v>13</v>
      </c>
    </row>
    <row r="7" spans="1:21" s="39" customFormat="1" ht="24" customHeight="1">
      <c r="A7"/>
      <c r="B7" s="188"/>
      <c r="C7" s="188"/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9"/>
      <c r="O7" s="188"/>
      <c r="P7" s="188"/>
      <c r="Q7" s="188"/>
      <c r="R7" s="188"/>
      <c r="S7" s="188"/>
      <c r="T7" s="188"/>
      <c r="U7" s="188"/>
    </row>
    <row r="8" spans="1:21" s="39" customFormat="1" ht="24" customHeight="1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</row>
    <row r="9" spans="1:21" s="39" customFormat="1" ht="24" customHeight="1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</row>
    <row r="10" spans="1:21" s="39" customFormat="1" ht="24" customHeight="1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</row>
    <row r="11" spans="1:21" s="39" customFormat="1" ht="24" customHeight="1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</row>
    <row r="12" spans="1:21" s="39" customFormat="1" ht="24" customHeight="1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</row>
    <row r="13" spans="1:21" s="39" customFormat="1" ht="24" customHeight="1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</row>
    <row r="14" spans="1:21" s="39" customFormat="1" ht="24" customHeight="1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</row>
    <row r="15" spans="1:21" s="39" customFormat="1" ht="24" customHeight="1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</row>
    <row r="16" spans="1:21" s="39" customFormat="1" ht="24" customHeight="1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</row>
    <row r="17" spans="1:21" s="39" customFormat="1" ht="24" customHeight="1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</row>
    <row r="18" spans="1:21" s="39" customFormat="1" ht="24" customHeight="1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</row>
    <row r="19" spans="1:21" s="39" customFormat="1" ht="24" customHeight="1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</row>
    <row r="20" spans="1:21" s="39" customFormat="1" ht="24" customHeight="1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</row>
    <row r="21" spans="1:21" s="39" customFormat="1" ht="24" customHeight="1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</row>
    <row r="22" spans="1:21" s="39" customFormat="1" ht="24" customHeight="1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</row>
    <row r="23" spans="1:21" s="39" customFormat="1" ht="24" customHeight="1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</row>
    <row r="24" spans="1:21" s="39" customFormat="1" ht="24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</row>
    <row r="25" spans="1:21" s="39" customFormat="1" ht="24" customHeight="1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</row>
    <row r="26" spans="1:21" s="39" customFormat="1" ht="24" customHeight="1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</row>
    <row r="27" spans="1:21" s="39" customFormat="1" ht="24" customHeight="1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</row>
    <row r="28" spans="1:21" s="39" customFormat="1" ht="24" customHeight="1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</row>
    <row r="29" spans="1:21" s="39" customFormat="1" ht="24" customHeight="1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</row>
    <row r="30" spans="1:21" s="39" customFormat="1" ht="24" customHeight="1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</row>
    <row r="31" spans="1:21" s="39" customFormat="1" ht="24" customHeight="1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</row>
    <row r="32" spans="1:21" s="39" customFormat="1" ht="24" customHeight="1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</row>
    <row r="33" spans="1:21" s="39" customFormat="1" ht="24" customHeight="1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</row>
    <row r="34" spans="1:21" s="39" customFormat="1" ht="24" customHeight="1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</row>
    <row r="35" spans="1:21" s="39" customFormat="1" ht="24" customHeight="1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</row>
    <row r="36" spans="1:21" s="39" customFormat="1" ht="24" customHeight="1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</row>
    <row r="37" spans="1:21" s="39" customFormat="1" ht="24" customHeight="1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</row>
    <row r="38" spans="1:21" s="39" customFormat="1" ht="24" customHeight="1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</row>
    <row r="39" spans="1:21" s="39" customFormat="1" ht="24" customHeight="1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</row>
    <row r="40" spans="1:21" s="39" customFormat="1" ht="24" customHeight="1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</row>
    <row r="41" spans="1:21" s="39" customFormat="1" ht="24" customHeight="1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</row>
    <row r="42" spans="1:21" s="39" customFormat="1" ht="24" customHeight="1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20"/>
  <sheetViews>
    <sheetView tabSelected="1" zoomScale="183" zoomScaleNormal="183" workbookViewId="0">
      <selection activeCell="Q27" sqref="Q27"/>
    </sheetView>
  </sheetViews>
  <sheetFormatPr baseColWidth="10" defaultRowHeight="15"/>
  <cols>
    <col min="8" max="8" width="13.83203125" bestFit="1" customWidth="1"/>
  </cols>
  <sheetData>
    <row r="1" spans="1:21" ht="16">
      <c r="G1" s="165"/>
    </row>
    <row r="2" spans="1:21">
      <c r="B2" s="139"/>
      <c r="C2" s="140" t="s">
        <v>0</v>
      </c>
      <c r="F2" s="141"/>
      <c r="G2" s="142"/>
      <c r="H2" s="143"/>
      <c r="I2" s="144"/>
      <c r="J2" s="145"/>
      <c r="K2" s="146"/>
      <c r="L2" s="147"/>
      <c r="M2" s="147"/>
      <c r="N2" s="139"/>
      <c r="O2" s="148"/>
      <c r="T2" s="149"/>
    </row>
    <row r="3" spans="1:21">
      <c r="B3" s="139"/>
      <c r="C3" s="150" t="s">
        <v>1</v>
      </c>
      <c r="F3" s="151"/>
      <c r="G3" s="142"/>
      <c r="H3" s="143"/>
      <c r="I3" s="144"/>
      <c r="J3" s="145" t="s">
        <v>81</v>
      </c>
      <c r="K3" s="146"/>
      <c r="L3" s="147"/>
      <c r="M3" s="152"/>
      <c r="N3" s="153" t="s">
        <v>120</v>
      </c>
      <c r="O3" s="148"/>
      <c r="P3" s="154"/>
      <c r="T3" s="149"/>
    </row>
    <row r="4" spans="1:21" ht="20">
      <c r="B4" s="155" t="s">
        <v>11</v>
      </c>
      <c r="C4" s="155" t="s">
        <v>2</v>
      </c>
      <c r="D4" s="155" t="s">
        <v>3</v>
      </c>
      <c r="E4" s="155" t="s">
        <v>4</v>
      </c>
      <c r="F4" s="155" t="s">
        <v>5</v>
      </c>
      <c r="G4" s="155" t="s">
        <v>6</v>
      </c>
      <c r="H4" s="155" t="s">
        <v>7</v>
      </c>
      <c r="I4" s="155" t="s">
        <v>8</v>
      </c>
      <c r="J4" s="155" t="s">
        <v>9</v>
      </c>
      <c r="K4" s="155" t="s">
        <v>10</v>
      </c>
      <c r="L4" s="156" t="s">
        <v>12</v>
      </c>
      <c r="M4" s="156" t="s">
        <v>13</v>
      </c>
      <c r="N4" s="155" t="s">
        <v>14</v>
      </c>
      <c r="O4" s="157" t="s">
        <v>15</v>
      </c>
      <c r="P4" s="155" t="s">
        <v>16</v>
      </c>
      <c r="Q4" s="155" t="s">
        <v>17</v>
      </c>
      <c r="R4" s="158" t="s">
        <v>18</v>
      </c>
      <c r="S4" s="155" t="s">
        <v>19</v>
      </c>
      <c r="T4" s="155" t="s">
        <v>20</v>
      </c>
      <c r="U4" s="159" t="s">
        <v>21</v>
      </c>
    </row>
    <row r="5" spans="1:21">
      <c r="A5">
        <v>1</v>
      </c>
      <c r="B5" s="160">
        <v>45591</v>
      </c>
      <c r="C5" s="160">
        <v>45565</v>
      </c>
      <c r="D5" s="160" t="s">
        <v>76</v>
      </c>
      <c r="E5" s="160" t="s">
        <v>331</v>
      </c>
      <c r="F5" s="161" t="s">
        <v>332</v>
      </c>
      <c r="G5" s="160" t="s">
        <v>105</v>
      </c>
      <c r="H5" s="160" t="s">
        <v>333</v>
      </c>
      <c r="I5" s="161" t="s">
        <v>42</v>
      </c>
      <c r="J5" s="160" t="s">
        <v>77</v>
      </c>
      <c r="K5" s="160" t="s">
        <v>78</v>
      </c>
      <c r="L5" s="160" t="s">
        <v>334</v>
      </c>
      <c r="M5" s="160" t="s">
        <v>335</v>
      </c>
      <c r="N5" s="162">
        <v>995141080</v>
      </c>
      <c r="O5" s="163">
        <v>29</v>
      </c>
      <c r="P5" s="160" t="s">
        <v>82</v>
      </c>
      <c r="Q5" s="160" t="s">
        <v>77</v>
      </c>
      <c r="R5" s="160"/>
      <c r="S5" s="160" t="s">
        <v>331</v>
      </c>
      <c r="T5" s="164">
        <v>101192441</v>
      </c>
      <c r="U5" s="198" t="s">
        <v>336</v>
      </c>
    </row>
    <row r="6" spans="1:21">
      <c r="A6">
        <v>2</v>
      </c>
      <c r="B6" s="160">
        <v>45593</v>
      </c>
      <c r="C6" s="160">
        <v>45587</v>
      </c>
      <c r="D6" s="160" t="s">
        <v>115</v>
      </c>
      <c r="E6" s="160" t="s">
        <v>353</v>
      </c>
      <c r="F6" s="161" t="s">
        <v>354</v>
      </c>
      <c r="G6" s="160" t="s">
        <v>101</v>
      </c>
      <c r="H6" s="160" t="s">
        <v>355</v>
      </c>
      <c r="I6" s="161" t="s">
        <v>42</v>
      </c>
      <c r="J6" s="160" t="s">
        <v>77</v>
      </c>
      <c r="K6" s="160" t="s">
        <v>78</v>
      </c>
      <c r="L6" s="160" t="s">
        <v>356</v>
      </c>
      <c r="M6" s="160" t="s">
        <v>357</v>
      </c>
      <c r="N6" s="162">
        <v>998055044</v>
      </c>
      <c r="O6" s="163">
        <v>29</v>
      </c>
      <c r="P6" s="160" t="s">
        <v>82</v>
      </c>
      <c r="Q6" s="160" t="s">
        <v>77</v>
      </c>
      <c r="R6" s="160"/>
      <c r="S6" s="160" t="s">
        <v>353</v>
      </c>
      <c r="T6" s="164">
        <v>1702122217</v>
      </c>
      <c r="U6" s="198" t="s">
        <v>358</v>
      </c>
    </row>
    <row r="7" spans="1:21">
      <c r="A7">
        <v>3</v>
      </c>
      <c r="B7" s="160">
        <v>45594</v>
      </c>
      <c r="C7" s="160">
        <v>45584</v>
      </c>
      <c r="D7" s="160" t="s">
        <v>359</v>
      </c>
      <c r="E7" s="160" t="s">
        <v>360</v>
      </c>
      <c r="F7" s="161" t="s">
        <v>361</v>
      </c>
      <c r="G7" s="160" t="s">
        <v>116</v>
      </c>
      <c r="H7" s="160" t="s">
        <v>362</v>
      </c>
      <c r="I7" s="161" t="s">
        <v>42</v>
      </c>
      <c r="J7" s="160" t="s">
        <v>77</v>
      </c>
      <c r="K7" s="160" t="s">
        <v>78</v>
      </c>
      <c r="L7" s="160" t="s">
        <v>363</v>
      </c>
      <c r="M7" s="160" t="s">
        <v>364</v>
      </c>
      <c r="N7" s="162">
        <v>982753339</v>
      </c>
      <c r="O7" s="163">
        <v>15</v>
      </c>
      <c r="P7" s="160" t="s">
        <v>82</v>
      </c>
      <c r="Q7" s="160" t="s">
        <v>77</v>
      </c>
      <c r="R7" s="160"/>
      <c r="S7" s="160" t="s">
        <v>360</v>
      </c>
      <c r="T7" s="164">
        <v>102595451</v>
      </c>
      <c r="U7" s="198" t="s">
        <v>365</v>
      </c>
    </row>
    <row r="8" spans="1:21">
      <c r="A8">
        <v>4</v>
      </c>
      <c r="B8" s="160">
        <v>45601</v>
      </c>
      <c r="C8" s="160">
        <v>45595</v>
      </c>
      <c r="D8" s="160" t="s">
        <v>76</v>
      </c>
      <c r="E8" s="160" t="s">
        <v>367</v>
      </c>
      <c r="F8" s="161" t="s">
        <v>368</v>
      </c>
      <c r="G8" s="160" t="s">
        <v>139</v>
      </c>
      <c r="H8" s="160" t="s">
        <v>369</v>
      </c>
      <c r="I8" s="161" t="s">
        <v>42</v>
      </c>
      <c r="J8" s="160" t="s">
        <v>77</v>
      </c>
      <c r="K8" s="160" t="s">
        <v>78</v>
      </c>
      <c r="L8" s="160" t="s">
        <v>370</v>
      </c>
      <c r="M8" s="160" t="s">
        <v>371</v>
      </c>
      <c r="N8" s="162">
        <v>995400229</v>
      </c>
      <c r="O8" s="163">
        <v>29</v>
      </c>
      <c r="P8" s="160" t="s">
        <v>82</v>
      </c>
      <c r="Q8" s="160" t="s">
        <v>77</v>
      </c>
      <c r="R8" s="160"/>
      <c r="S8" s="160" t="s">
        <v>367</v>
      </c>
      <c r="T8" s="164">
        <v>103678710</v>
      </c>
      <c r="U8" s="198" t="s">
        <v>372</v>
      </c>
    </row>
    <row r="9" spans="1:21">
      <c r="A9">
        <v>5</v>
      </c>
      <c r="B9" s="160">
        <v>45602</v>
      </c>
      <c r="C9" s="160">
        <v>45565</v>
      </c>
      <c r="D9" s="160" t="s">
        <v>76</v>
      </c>
      <c r="E9" s="160" t="s">
        <v>373</v>
      </c>
      <c r="F9" s="161" t="s">
        <v>366</v>
      </c>
      <c r="G9" s="160" t="s">
        <v>93</v>
      </c>
      <c r="H9" s="160" t="s">
        <v>374</v>
      </c>
      <c r="I9" s="161" t="s">
        <v>42</v>
      </c>
      <c r="J9" s="160" t="s">
        <v>77</v>
      </c>
      <c r="K9" s="160" t="s">
        <v>78</v>
      </c>
      <c r="L9" s="160" t="s">
        <v>375</v>
      </c>
      <c r="M9" s="160" t="s">
        <v>376</v>
      </c>
      <c r="N9" s="162">
        <v>939420483</v>
      </c>
      <c r="O9" s="163">
        <v>29</v>
      </c>
      <c r="P9" s="160" t="s">
        <v>82</v>
      </c>
      <c r="Q9" s="160" t="s">
        <v>77</v>
      </c>
      <c r="R9" s="160"/>
      <c r="S9" s="160" t="s">
        <v>373</v>
      </c>
      <c r="T9" s="164">
        <v>300122371</v>
      </c>
      <c r="U9" s="198" t="s">
        <v>377</v>
      </c>
    </row>
    <row r="10" spans="1:21">
      <c r="A10">
        <v>6</v>
      </c>
      <c r="B10" s="160">
        <v>45602</v>
      </c>
      <c r="C10" s="160">
        <v>45598</v>
      </c>
      <c r="D10" s="160" t="s">
        <v>76</v>
      </c>
      <c r="E10" s="160" t="s">
        <v>378</v>
      </c>
      <c r="F10" s="161" t="s">
        <v>354</v>
      </c>
      <c r="G10" s="160" t="s">
        <v>101</v>
      </c>
      <c r="H10" s="160" t="s">
        <v>379</v>
      </c>
      <c r="I10" s="161" t="s">
        <v>42</v>
      </c>
      <c r="J10" s="160" t="s">
        <v>77</v>
      </c>
      <c r="K10" s="160" t="s">
        <v>78</v>
      </c>
      <c r="L10" s="160" t="s">
        <v>380</v>
      </c>
      <c r="M10" s="160" t="s">
        <v>381</v>
      </c>
      <c r="N10" s="162">
        <v>999528951</v>
      </c>
      <c r="O10" s="163">
        <v>29</v>
      </c>
      <c r="P10" s="160" t="s">
        <v>82</v>
      </c>
      <c r="Q10" s="160" t="s">
        <v>77</v>
      </c>
      <c r="R10" s="160"/>
      <c r="S10" s="160" t="s">
        <v>378</v>
      </c>
      <c r="T10" s="164">
        <v>101285831</v>
      </c>
      <c r="U10" s="198" t="s">
        <v>382</v>
      </c>
    </row>
    <row r="11" spans="1:21">
      <c r="A11">
        <v>7</v>
      </c>
      <c r="B11" s="160">
        <v>45603</v>
      </c>
      <c r="C11" s="160">
        <v>45238</v>
      </c>
      <c r="D11" s="160" t="s">
        <v>383</v>
      </c>
      <c r="E11" s="160" t="s">
        <v>384</v>
      </c>
      <c r="F11" s="161" t="s">
        <v>385</v>
      </c>
      <c r="G11" s="160" t="s">
        <v>386</v>
      </c>
      <c r="H11" s="160" t="s">
        <v>387</v>
      </c>
      <c r="I11" s="161" t="s">
        <v>42</v>
      </c>
      <c r="J11" s="160" t="s">
        <v>77</v>
      </c>
      <c r="K11" s="160" t="s">
        <v>78</v>
      </c>
      <c r="L11" s="160" t="s">
        <v>388</v>
      </c>
      <c r="M11" s="160" t="s">
        <v>389</v>
      </c>
      <c r="N11" s="162" t="s">
        <v>390</v>
      </c>
      <c r="O11" s="163">
        <v>25</v>
      </c>
      <c r="P11" s="160" t="s">
        <v>82</v>
      </c>
      <c r="Q11" s="160" t="s">
        <v>77</v>
      </c>
      <c r="R11" s="160"/>
      <c r="S11" s="160" t="s">
        <v>384</v>
      </c>
      <c r="T11" s="164">
        <v>101403442</v>
      </c>
      <c r="U11" s="198" t="s">
        <v>391</v>
      </c>
    </row>
    <row r="12" spans="1:21">
      <c r="A12">
        <v>8</v>
      </c>
      <c r="B12" s="160">
        <v>45604</v>
      </c>
      <c r="C12" s="160">
        <v>45596</v>
      </c>
      <c r="D12" s="160" t="s">
        <v>85</v>
      </c>
      <c r="E12" s="160" t="s">
        <v>392</v>
      </c>
      <c r="F12" s="161" t="s">
        <v>393</v>
      </c>
      <c r="G12" s="160" t="s">
        <v>394</v>
      </c>
      <c r="H12" s="160" t="s">
        <v>402</v>
      </c>
      <c r="I12" s="161" t="s">
        <v>42</v>
      </c>
      <c r="J12" s="160" t="s">
        <v>77</v>
      </c>
      <c r="K12" s="160" t="s">
        <v>78</v>
      </c>
      <c r="L12" s="160" t="s">
        <v>395</v>
      </c>
      <c r="M12" s="160" t="s">
        <v>396</v>
      </c>
      <c r="N12" s="162">
        <v>983827936</v>
      </c>
      <c r="O12" s="163">
        <v>29</v>
      </c>
      <c r="P12" s="160" t="s">
        <v>82</v>
      </c>
      <c r="Q12" s="160" t="s">
        <v>77</v>
      </c>
      <c r="R12" s="160"/>
      <c r="S12" s="160" t="s">
        <v>392</v>
      </c>
      <c r="T12" s="164">
        <v>102527595</v>
      </c>
      <c r="U12" s="198" t="s">
        <v>397</v>
      </c>
    </row>
    <row r="13" spans="1:21">
      <c r="A13">
        <v>9</v>
      </c>
      <c r="B13" s="160">
        <v>45604</v>
      </c>
      <c r="C13" s="160">
        <v>45572</v>
      </c>
      <c r="D13" s="160" t="s">
        <v>398</v>
      </c>
      <c r="E13" s="160" t="s">
        <v>399</v>
      </c>
      <c r="F13" s="161" t="s">
        <v>400</v>
      </c>
      <c r="G13" s="160" t="s">
        <v>401</v>
      </c>
      <c r="H13" s="160" t="s">
        <v>403</v>
      </c>
      <c r="I13" s="161" t="s">
        <v>42</v>
      </c>
      <c r="J13" s="160" t="s">
        <v>77</v>
      </c>
      <c r="K13" s="160" t="s">
        <v>78</v>
      </c>
      <c r="L13" s="160" t="s">
        <v>404</v>
      </c>
      <c r="M13" s="160" t="s">
        <v>405</v>
      </c>
      <c r="N13" s="162">
        <v>991493197</v>
      </c>
      <c r="O13" s="163">
        <v>29</v>
      </c>
      <c r="P13" s="160" t="s">
        <v>82</v>
      </c>
      <c r="Q13" s="160" t="s">
        <v>77</v>
      </c>
      <c r="R13" s="160"/>
      <c r="S13" s="160" t="s">
        <v>399</v>
      </c>
      <c r="T13" s="164">
        <v>100815810</v>
      </c>
      <c r="U13" s="198" t="s">
        <v>406</v>
      </c>
    </row>
    <row r="14" spans="1:21">
      <c r="A14">
        <v>10</v>
      </c>
      <c r="B14" s="160">
        <v>45604</v>
      </c>
      <c r="C14" s="160">
        <v>45596</v>
      </c>
      <c r="D14" s="160" t="s">
        <v>407</v>
      </c>
      <c r="E14" s="160" t="s">
        <v>408</v>
      </c>
      <c r="F14" s="161" t="s">
        <v>409</v>
      </c>
      <c r="G14" s="160" t="s">
        <v>94</v>
      </c>
      <c r="H14" s="160" t="s">
        <v>410</v>
      </c>
      <c r="I14" s="161" t="s">
        <v>42</v>
      </c>
      <c r="J14" s="160" t="s">
        <v>77</v>
      </c>
      <c r="K14" s="160" t="s">
        <v>78</v>
      </c>
      <c r="L14" s="160" t="s">
        <v>411</v>
      </c>
      <c r="M14" s="160" t="s">
        <v>412</v>
      </c>
      <c r="N14" s="162">
        <v>959804790</v>
      </c>
      <c r="O14" s="163">
        <v>29</v>
      </c>
      <c r="P14" s="160" t="s">
        <v>82</v>
      </c>
      <c r="Q14" s="160" t="s">
        <v>77</v>
      </c>
      <c r="R14" s="160"/>
      <c r="S14" s="160" t="s">
        <v>408</v>
      </c>
      <c r="T14" s="164">
        <v>701439192</v>
      </c>
      <c r="U14" s="198"/>
    </row>
    <row r="15" spans="1:21">
      <c r="A15">
        <v>11</v>
      </c>
      <c r="B15" s="160">
        <v>45604</v>
      </c>
      <c r="C15" s="160">
        <v>45570</v>
      </c>
      <c r="D15" s="160" t="s">
        <v>76</v>
      </c>
      <c r="E15" s="160" t="s">
        <v>413</v>
      </c>
      <c r="F15" s="161" t="s">
        <v>332</v>
      </c>
      <c r="G15" s="160" t="s">
        <v>105</v>
      </c>
      <c r="H15" s="160" t="s">
        <v>414</v>
      </c>
      <c r="I15" s="161" t="s">
        <v>42</v>
      </c>
      <c r="J15" s="160" t="s">
        <v>77</v>
      </c>
      <c r="K15" s="160" t="s">
        <v>78</v>
      </c>
      <c r="L15" s="160" t="s">
        <v>415</v>
      </c>
      <c r="M15" s="160" t="s">
        <v>416</v>
      </c>
      <c r="N15" s="162">
        <v>992952702</v>
      </c>
      <c r="O15" s="163">
        <v>29</v>
      </c>
      <c r="P15" s="160" t="s">
        <v>82</v>
      </c>
      <c r="Q15" s="160" t="s">
        <v>77</v>
      </c>
      <c r="R15" s="160"/>
      <c r="S15" s="160" t="s">
        <v>413</v>
      </c>
      <c r="T15" s="164">
        <v>105953012</v>
      </c>
      <c r="U15" s="198" t="s">
        <v>417</v>
      </c>
    </row>
    <row r="16" spans="1:21">
      <c r="A16">
        <v>12</v>
      </c>
      <c r="B16" s="160">
        <v>45605</v>
      </c>
      <c r="C16" s="160">
        <v>45597</v>
      </c>
      <c r="D16" s="160" t="s">
        <v>407</v>
      </c>
      <c r="E16" s="160" t="s">
        <v>418</v>
      </c>
      <c r="F16" s="161" t="s">
        <v>419</v>
      </c>
      <c r="G16" s="160" t="s">
        <v>306</v>
      </c>
      <c r="H16" s="160" t="s">
        <v>420</v>
      </c>
      <c r="I16" s="161" t="s">
        <v>42</v>
      </c>
      <c r="J16" s="160" t="s">
        <v>77</v>
      </c>
      <c r="K16" s="160" t="s">
        <v>78</v>
      </c>
      <c r="L16" s="160" t="s">
        <v>421</v>
      </c>
      <c r="M16" s="160" t="s">
        <v>422</v>
      </c>
      <c r="N16" s="162">
        <v>992853111</v>
      </c>
      <c r="O16" s="163">
        <v>15</v>
      </c>
      <c r="P16" s="160" t="s">
        <v>82</v>
      </c>
      <c r="Q16" s="160" t="s">
        <v>77</v>
      </c>
      <c r="R16" s="160"/>
      <c r="S16" s="160" t="s">
        <v>418</v>
      </c>
      <c r="T16" s="164">
        <v>102590502</v>
      </c>
      <c r="U16" s="198" t="s">
        <v>423</v>
      </c>
    </row>
    <row r="17" spans="1:21">
      <c r="A17">
        <v>13</v>
      </c>
      <c r="B17" s="160">
        <v>45609</v>
      </c>
      <c r="C17" s="160">
        <v>45607</v>
      </c>
      <c r="D17" s="160" t="s">
        <v>407</v>
      </c>
      <c r="E17" s="160" t="s">
        <v>436</v>
      </c>
      <c r="F17" s="161" t="s">
        <v>437</v>
      </c>
      <c r="G17" s="160" t="s">
        <v>438</v>
      </c>
      <c r="H17" s="160" t="s">
        <v>439</v>
      </c>
      <c r="I17" s="161" t="s">
        <v>42</v>
      </c>
      <c r="J17" s="160" t="s">
        <v>77</v>
      </c>
      <c r="K17" s="160" t="s">
        <v>78</v>
      </c>
      <c r="L17" s="160" t="s">
        <v>440</v>
      </c>
      <c r="M17" s="160" t="s">
        <v>441</v>
      </c>
      <c r="N17" s="162">
        <v>996113570</v>
      </c>
      <c r="O17" s="163">
        <v>15</v>
      </c>
      <c r="P17" s="160" t="s">
        <v>82</v>
      </c>
      <c r="Q17" s="160" t="s">
        <v>77</v>
      </c>
      <c r="R17" s="160"/>
      <c r="S17" s="160" t="s">
        <v>436</v>
      </c>
      <c r="T17" s="164">
        <v>104413463</v>
      </c>
      <c r="U17" s="198" t="s">
        <v>442</v>
      </c>
    </row>
    <row r="18" spans="1:21">
      <c r="A18">
        <v>14</v>
      </c>
      <c r="B18" s="160">
        <v>45611</v>
      </c>
      <c r="C18" s="160">
        <v>45608</v>
      </c>
      <c r="D18" s="160" t="s">
        <v>407</v>
      </c>
      <c r="E18" s="160" t="s">
        <v>424</v>
      </c>
      <c r="F18" s="161" t="s">
        <v>425</v>
      </c>
      <c r="G18" s="160" t="s">
        <v>86</v>
      </c>
      <c r="H18" s="160" t="s">
        <v>426</v>
      </c>
      <c r="I18" s="161" t="s">
        <v>42</v>
      </c>
      <c r="J18" s="160" t="s">
        <v>77</v>
      </c>
      <c r="K18" s="160" t="s">
        <v>78</v>
      </c>
      <c r="L18" s="160" t="s">
        <v>427</v>
      </c>
      <c r="M18" s="160" t="s">
        <v>428</v>
      </c>
      <c r="N18" s="162">
        <v>999227224</v>
      </c>
      <c r="O18" s="163">
        <v>25</v>
      </c>
      <c r="P18" s="160" t="s">
        <v>82</v>
      </c>
      <c r="Q18" s="160" t="s">
        <v>77</v>
      </c>
      <c r="R18" s="160"/>
      <c r="S18" s="160" t="s">
        <v>424</v>
      </c>
      <c r="T18" s="164">
        <v>1761410735</v>
      </c>
      <c r="U18" s="198" t="s">
        <v>429</v>
      </c>
    </row>
    <row r="19" spans="1:21">
      <c r="A19">
        <v>15</v>
      </c>
      <c r="B19" s="160">
        <v>45610</v>
      </c>
      <c r="C19" s="160">
        <v>45608</v>
      </c>
      <c r="D19" s="160" t="s">
        <v>407</v>
      </c>
      <c r="E19" s="160" t="s">
        <v>430</v>
      </c>
      <c r="F19" s="161" t="s">
        <v>431</v>
      </c>
      <c r="G19" s="160" t="s">
        <v>394</v>
      </c>
      <c r="H19" s="160" t="s">
        <v>432</v>
      </c>
      <c r="I19" s="161" t="s">
        <v>42</v>
      </c>
      <c r="J19" s="160" t="s">
        <v>77</v>
      </c>
      <c r="K19" s="160" t="s">
        <v>78</v>
      </c>
      <c r="L19" s="160" t="s">
        <v>433</v>
      </c>
      <c r="M19" s="160" t="s">
        <v>434</v>
      </c>
      <c r="N19" s="162">
        <v>995325011</v>
      </c>
      <c r="O19" s="163">
        <v>29</v>
      </c>
      <c r="P19" s="160" t="s">
        <v>82</v>
      </c>
      <c r="Q19" s="160" t="s">
        <v>77</v>
      </c>
      <c r="R19" s="160"/>
      <c r="S19" s="160" t="s">
        <v>430</v>
      </c>
      <c r="T19" s="164">
        <v>1105793879</v>
      </c>
      <c r="U19" s="198" t="s">
        <v>435</v>
      </c>
    </row>
    <row r="20" spans="1:21">
      <c r="O20" s="133"/>
    </row>
  </sheetData>
  <hyperlinks>
    <hyperlink ref="U5" r:id="rId1" xr:uid="{7A9FFF3F-CFC4-C645-80FC-8715FC65A658}"/>
    <hyperlink ref="U7" r:id="rId2" xr:uid="{73B1CD1B-0D96-0545-90A9-E55F3AB451AA}"/>
    <hyperlink ref="U8" r:id="rId3" xr:uid="{56ADF50D-416F-6046-8648-C6A431570E9B}"/>
    <hyperlink ref="U9" r:id="rId4" xr:uid="{0C0631EA-48CD-7148-8CC1-89C4E5E565F5}"/>
    <hyperlink ref="U10" r:id="rId5" xr:uid="{F046684E-9AC0-D64F-B8CF-E01F3EFB9547}"/>
    <hyperlink ref="U11" r:id="rId6" xr:uid="{8AC872ED-10E3-8847-AF1F-0DD5DD8F73FB}"/>
    <hyperlink ref="U12" r:id="rId7" xr:uid="{E7194B5C-EB68-5D40-AEDC-0DB0F85AA8C0}"/>
    <hyperlink ref="U13" r:id="rId8" xr:uid="{E6A1BF1E-1D0E-3F42-B17A-38076BD10F51}"/>
    <hyperlink ref="U15" r:id="rId9" xr:uid="{81EADF2E-DC51-BE4B-A3FF-A79BAC954FDD}"/>
    <hyperlink ref="U16" r:id="rId10" xr:uid="{AFE1F16D-EDA7-0347-B81F-9FE6F38EBDD3}"/>
    <hyperlink ref="U18" r:id="rId11" xr:uid="{20A5BABC-706C-144A-880E-07B57CDEA755}"/>
    <hyperlink ref="U19" r:id="rId12" xr:uid="{40432606-25BC-A44E-BDA7-AB421A456136}"/>
    <hyperlink ref="U17" r:id="rId13" xr:uid="{418DF2DC-D3A5-3847-965F-D88ED239433D}"/>
  </hyperlinks>
  <pageMargins left="0.7" right="0.7" top="0.75" bottom="0.75" header="0.3" footer="0.3"/>
  <pageSetup paperSize="9" orientation="portrait" horizontalDpi="0" verticalDpi="0"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PROMOCION</vt:lpstr>
      <vt:lpstr>GARANTIA</vt:lpstr>
      <vt:lpstr>BBQ</vt:lpstr>
      <vt:lpstr>ALMACENES </vt:lpstr>
      <vt:lpstr>PROYECTO </vt:lpstr>
      <vt:lpstr>1 PRODUCTO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Marcia Navarrete</dc:creator>
  <cp:lastModifiedBy>Andres Cardenas</cp:lastModifiedBy>
  <dcterms:created xsi:type="dcterms:W3CDTF">2024-01-22T20:29:31Z</dcterms:created>
  <dcterms:modified xsi:type="dcterms:W3CDTF">2024-11-21T03:31:57Z</dcterms:modified>
</cp:coreProperties>
</file>