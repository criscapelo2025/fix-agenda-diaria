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TODO TEKA/TODO 2025/REPORTES 2025/"/>
    </mc:Choice>
  </mc:AlternateContent>
  <xr:revisionPtr revIDLastSave="0" documentId="13_ncr:1_{48D5D5B5-2F2F-E646-A3D8-7AB1EADB6279}" xr6:coauthVersionLast="47" xr6:coauthVersionMax="47" xr10:uidLastSave="{00000000-0000-0000-0000-000000000000}"/>
  <bookViews>
    <workbookView xWindow="0" yWindow="600" windowWidth="23160" windowHeight="2214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1" l="1"/>
  <c r="N110" i="1" s="1"/>
  <c r="N108" i="1"/>
  <c r="N107" i="1"/>
  <c r="M32" i="2" l="1"/>
  <c r="M31" i="2"/>
  <c r="M30" i="2"/>
  <c r="M28" i="2"/>
  <c r="M33" i="2" s="1"/>
  <c r="M29" i="2"/>
  <c r="N21" i="2"/>
  <c r="O39" i="6" l="1"/>
  <c r="S38" i="6"/>
  <c r="S37" i="6"/>
  <c r="S36" i="6"/>
  <c r="O103" i="1"/>
  <c r="S102" i="1"/>
  <c r="S101" i="1"/>
  <c r="S100" i="1"/>
  <c r="S98" i="1"/>
  <c r="S97" i="1"/>
  <c r="S35" i="6"/>
  <c r="S34" i="6"/>
  <c r="S33" i="6"/>
  <c r="S96" i="1"/>
  <c r="S95" i="1"/>
  <c r="S94" i="1"/>
  <c r="S92" i="1"/>
  <c r="S91" i="1"/>
  <c r="S90" i="1"/>
  <c r="S89" i="1"/>
  <c r="S99" i="1"/>
  <c r="S93" i="1"/>
  <c r="S88" i="1"/>
  <c r="S87" i="1" l="1"/>
  <c r="S86" i="1"/>
  <c r="S85" i="1"/>
  <c r="S84" i="1"/>
  <c r="S83" i="1"/>
  <c r="O10" i="3"/>
  <c r="O13" i="4" l="1"/>
  <c r="S6" i="3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 l="1"/>
  <c r="S53" i="1"/>
  <c r="S52" i="1"/>
  <c r="S51" i="1"/>
  <c r="S50" i="1"/>
  <c r="S49" i="1"/>
  <c r="S13" i="6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16" i="1"/>
  <c r="S15" i="1"/>
  <c r="S10" i="6"/>
  <c r="S11" i="6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2" i="6"/>
  <c r="S9" i="6"/>
  <c r="S8" i="6"/>
  <c r="S7" i="6"/>
  <c r="S6" i="6"/>
  <c r="S5" i="6"/>
  <c r="S14" i="1"/>
  <c r="S13" i="1"/>
  <c r="S7" i="1"/>
  <c r="S8" i="1"/>
  <c r="S9" i="1"/>
  <c r="S10" i="1"/>
  <c r="S11" i="1"/>
  <c r="S12" i="1"/>
</calcChain>
</file>

<file path=xl/sharedStrings.xml><?xml version="1.0" encoding="utf-8"?>
<sst xmlns="http://schemas.openxmlformats.org/spreadsheetml/2006/main" count="2036" uniqueCount="739">
  <si>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</si>
  <si>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</si>
  <si>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</si>
  <si>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</si>
  <si>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</si>
  <si>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</si>
  <si>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</si>
  <si>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</si>
  <si>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</si>
  <si>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</si>
  <si>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</si>
  <si>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</si>
  <si>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</si>
  <si>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</si>
  <si>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</si>
  <si>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</si>
  <si>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</si>
  <si>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</si>
  <si>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</si>
  <si>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</si>
  <si>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</si>
  <si>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</si>
  <si>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</si>
  <si>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</si>
  <si>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</si>
  <si>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</si>
  <si>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</si>
  <si>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</si>
  <si>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</si>
  <si>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</si>
  <si>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</si>
  <si>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</si>
  <si>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</si>
  <si>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</si>
  <si>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</si>
  <si>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</si>
  <si>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</si>
  <si>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</si>
  <si>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</si>
  <si>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</si>
  <si>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</si>
  <si>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</si>
  <si>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</si>
  <si>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</si>
  <si>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</si>
  <si>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</si>
  <si>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</si>
  <si>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</si>
  <si>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</si>
  <si>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</si>
  <si>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</si>
  <si>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</si>
  <si>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</si>
  <si>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</si>
  <si>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</si>
  <si>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</si>
  <si>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</si>
  <si>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</si>
  <si>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</si>
  <si>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</si>
  <si>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</si>
  <si>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</si>
  <si>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</si>
  <si>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</si>
  <si>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</si>
  <si>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</si>
  <si>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</si>
  <si>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</si>
  <si>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</si>
  <si>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</si>
  <si>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</si>
  <si>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</si>
  <si>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</si>
  <si>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</si>
  <si>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</si>
  <si>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</si>
  <si>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</si>
  <si>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</si>
  <si>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</si>
  <si>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</si>
  <si>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</si>
  <si>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</si>
  <si>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</si>
  <si>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</si>
  <si>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SEPTIEMBRE 2024</t>
  </si>
  <si>
    <t>ventas@comercialsolis.com.ec</t>
  </si>
  <si>
    <t>Cocinas</t>
  </si>
  <si>
    <t>Horno</t>
  </si>
  <si>
    <t>CAPELO JUNIO 2025</t>
  </si>
  <si>
    <t>COMERCIAL SOLIS</t>
  </si>
  <si>
    <t>001-500-000072114</t>
  </si>
  <si>
    <t>REFRIGERADOR RMF 77960 DSS</t>
  </si>
  <si>
    <t>ROSA REYES</t>
  </si>
  <si>
    <t>DIEGO DE DASA</t>
  </si>
  <si>
    <t>alicia.rosi@yahoo.es</t>
  </si>
  <si>
    <t>CAMPANA C 9310</t>
  </si>
  <si>
    <t>COCINA EW90 5G AI AL</t>
  </si>
  <si>
    <t>TP24AR07894</t>
  </si>
  <si>
    <t>ZP216P00003</t>
  </si>
  <si>
    <t>TP231P0000594</t>
  </si>
  <si>
    <t>TP249P16621</t>
  </si>
  <si>
    <t>001-500-000073529</t>
  </si>
  <si>
    <t>001-500-000072143</t>
  </si>
  <si>
    <t>MICROONDA MLF 822 BIS L</t>
  </si>
  <si>
    <t>HORNO HLB 8416</t>
  </si>
  <si>
    <t>MERCARD</t>
  </si>
  <si>
    <t>001-500-000073032</t>
  </si>
  <si>
    <t>CAMPANA  DVN 71030</t>
  </si>
  <si>
    <t>EK24AU00038</t>
  </si>
  <si>
    <t>TKA2C4A397400152403170043</t>
  </si>
  <si>
    <t>TKAZC4H20470015241111</t>
  </si>
  <si>
    <t>001-001-000000319</t>
  </si>
  <si>
    <t>JUAN ARIZAGA</t>
  </si>
  <si>
    <t>PADRE AGUIRRE</t>
  </si>
  <si>
    <t>0102320256001</t>
  </si>
  <si>
    <t>arizjc@yahoo.com</t>
  </si>
  <si>
    <t>COMO HOGAR</t>
  </si>
  <si>
    <t>044-014-000007311</t>
  </si>
  <si>
    <t>HORNO HSB 630 BK</t>
  </si>
  <si>
    <t>TZ241304017</t>
  </si>
  <si>
    <t>COCINA JZC 96342 BBB</t>
  </si>
  <si>
    <t>ZP242500265</t>
  </si>
  <si>
    <t>DIEGO MEZA</t>
  </si>
  <si>
    <t>EL CEBOLLAR</t>
  </si>
  <si>
    <t>dmauri2006@hotmail.com</t>
  </si>
  <si>
    <t>KYWI</t>
  </si>
  <si>
    <t>016-907-000253314</t>
  </si>
  <si>
    <t>40466241</t>
  </si>
  <si>
    <t>CAMPANA C9310</t>
  </si>
  <si>
    <t>TP24AR07903</t>
  </si>
  <si>
    <t>ADOLFO CARPIO</t>
  </si>
  <si>
    <t>INGA VELEZ Y PASILLO</t>
  </si>
  <si>
    <t>adolfcarpio1804@hotmail.com</t>
  </si>
  <si>
    <t>40455334</t>
  </si>
  <si>
    <t>CAMPANA NC 980</t>
  </si>
  <si>
    <t>DX222800063</t>
  </si>
  <si>
    <t>TANIA SAMANIEGO</t>
  </si>
  <si>
    <t>VIA AL VALLE</t>
  </si>
  <si>
    <t>samaniegotania148@gmail.com</t>
  </si>
  <si>
    <t>040-103-000013631</t>
  </si>
  <si>
    <t>112930023</t>
  </si>
  <si>
    <t>CAMPANA DVF 97670 TBL</t>
  </si>
  <si>
    <t>FB220600263</t>
  </si>
  <si>
    <t>CRISTIAN ORDONEZ</t>
  </si>
  <si>
    <t>AMAZONAS Y CHILE</t>
  </si>
  <si>
    <t>karina.ordone391@gmail.com</t>
  </si>
  <si>
    <t>016-902-0000509872</t>
  </si>
  <si>
    <t>TP24A305167</t>
  </si>
  <si>
    <t>MONICA ANDRADE</t>
  </si>
  <si>
    <t>PATACARMA</t>
  </si>
  <si>
    <t>mamdradeca@gmail.com</t>
  </si>
  <si>
    <t>COCINA JZC 96324 ABB</t>
  </si>
  <si>
    <t>ZP240H00821</t>
  </si>
  <si>
    <t>NILA TAPIA</t>
  </si>
  <si>
    <t>MANDOS NO PERMITEN PROGRAMACION, SE AJUSTA LA TARJETA TOUCH</t>
  </si>
  <si>
    <t>henrypolotapia@hotmail.com</t>
  </si>
  <si>
    <t>0995380134</t>
  </si>
  <si>
    <t>RVI 10024 GBK</t>
  </si>
  <si>
    <t>RVU 20046 GBK</t>
  </si>
  <si>
    <t>RVI 30097 GBK</t>
  </si>
  <si>
    <t>NS239N00055</t>
  </si>
  <si>
    <t>NS224F00034</t>
  </si>
  <si>
    <t>NS224F00085</t>
  </si>
  <si>
    <t>NS248R00106</t>
  </si>
  <si>
    <t>NS248R00092</t>
  </si>
  <si>
    <t>QUINTA LUCRECIA</t>
  </si>
  <si>
    <t>WINE AND BEAR</t>
  </si>
  <si>
    <t>016-907-000244497</t>
  </si>
  <si>
    <t>MICRONDAS ML 820 BIS</t>
  </si>
  <si>
    <t>TP251T02204</t>
  </si>
  <si>
    <t>TZ24CA07330</t>
  </si>
  <si>
    <t>ALEXIS GUACHICHULLCA</t>
  </si>
  <si>
    <t>UNCOVIA</t>
  </si>
  <si>
    <t>jennyg@gmail.com</t>
  </si>
  <si>
    <t>ADRIANA CASTRO</t>
  </si>
  <si>
    <t>0998538378</t>
  </si>
  <si>
    <t>HOME VEGA</t>
  </si>
  <si>
    <t>006-002-000157953</t>
  </si>
  <si>
    <t>COCINA IZS 97630 MST BK</t>
  </si>
  <si>
    <t>ZP243N00400</t>
  </si>
  <si>
    <t>TZ249P16692</t>
  </si>
  <si>
    <t>EY247H00054</t>
  </si>
  <si>
    <t>HORNO HLB 8416 BK</t>
  </si>
  <si>
    <t>CAMPANA DHT 97670 ROS WH</t>
  </si>
  <si>
    <t>ADRIAN HERAS</t>
  </si>
  <si>
    <t>EDIFICIO NAVARRO</t>
  </si>
  <si>
    <t>adrianheras@iclod.com</t>
  </si>
  <si>
    <t>006-002-000157117</t>
  </si>
  <si>
    <t>HORNO HLB 85 G1 P</t>
  </si>
  <si>
    <t>MICROONDA ML 82 G1 BIS L</t>
  </si>
  <si>
    <t>TRITURADOR TR 510.1</t>
  </si>
  <si>
    <t>ZP245600487</t>
  </si>
  <si>
    <t>TZ246502077</t>
  </si>
  <si>
    <t>TP242E02641</t>
  </si>
  <si>
    <t>240428AF0850</t>
  </si>
  <si>
    <t>VINICIO PEREZ</t>
  </si>
  <si>
    <t>VIA BAGUANCHI</t>
  </si>
  <si>
    <t>viniciopl@hotmail.com</t>
  </si>
  <si>
    <t>040-107-000001532</t>
  </si>
  <si>
    <t>TZ249P16715</t>
  </si>
  <si>
    <t>TP249C04263</t>
  </si>
  <si>
    <t>ZP24050980085</t>
  </si>
  <si>
    <t>XIMENA RUILOVA</t>
  </si>
  <si>
    <t>COND. SAN FRANCISCO</t>
  </si>
  <si>
    <t>xicirubla84@hotmail.com</t>
  </si>
  <si>
    <t>001-500-00007219</t>
  </si>
  <si>
    <t>CAMPANA C610</t>
  </si>
  <si>
    <t>TP246B02210</t>
  </si>
  <si>
    <t>ZP251T00208</t>
  </si>
  <si>
    <t>TZ24CAB8129</t>
  </si>
  <si>
    <t>COCINA GBC 64000 KBB</t>
  </si>
  <si>
    <t>HORNO HBB 510 BK</t>
  </si>
  <si>
    <t>BLANCA SARMIENTO</t>
  </si>
  <si>
    <t>HUAJIBAMBA</t>
  </si>
  <si>
    <t>damisar.rojas.12@gmail.com</t>
  </si>
  <si>
    <t>043-902-000050777</t>
  </si>
  <si>
    <t>COCINA GBC 9503 KBB</t>
  </si>
  <si>
    <t>REFRIGERADOR RLF 74920 SS</t>
  </si>
  <si>
    <t>ZP24CL00299</t>
  </si>
  <si>
    <t>MC24B100082</t>
  </si>
  <si>
    <t>FERNANDO ZAMORA</t>
  </si>
  <si>
    <t>PUERTAS DEL SOL</t>
  </si>
  <si>
    <t>ferzam@gmail.com</t>
  </si>
  <si>
    <t>040-104-000010201</t>
  </si>
  <si>
    <t>112570073</t>
  </si>
  <si>
    <t>COCINA GZC 96310 XBB</t>
  </si>
  <si>
    <t>ZP24C600127</t>
  </si>
  <si>
    <t>NUBE ALTAMIRANO</t>
  </si>
  <si>
    <t>CHARASOL</t>
  </si>
  <si>
    <t>aukhate@gmail.com</t>
  </si>
  <si>
    <t>016-902-000509658</t>
  </si>
  <si>
    <t>TP247305037</t>
  </si>
  <si>
    <t>ROMAN LEON</t>
  </si>
  <si>
    <t>CDLA CATOLICA</t>
  </si>
  <si>
    <t>romanleon123@gmail.com</t>
  </si>
  <si>
    <t>016-903-000579278</t>
  </si>
  <si>
    <t>112950021</t>
  </si>
  <si>
    <t>CAMPANA DVN 94030 BK</t>
  </si>
  <si>
    <t>EK24920095</t>
  </si>
  <si>
    <t>MARCO SUSCAL</t>
  </si>
  <si>
    <t>marcosuscal@hotmail.com</t>
  </si>
  <si>
    <t>006-000138009</t>
  </si>
  <si>
    <t>112610008</t>
  </si>
  <si>
    <t>COCINA 95330 SBA IX</t>
  </si>
  <si>
    <t>ZP25300291</t>
  </si>
  <si>
    <t>MARIA PATIÑO</t>
  </si>
  <si>
    <t>PACCHA</t>
  </si>
  <si>
    <t>abelenqp92@hotmail.com</t>
  </si>
  <si>
    <t>CAMPANA C7310</t>
  </si>
  <si>
    <t>TP237X01734</t>
  </si>
  <si>
    <t>STOCK KYWI</t>
  </si>
  <si>
    <t>MEGAKYWI</t>
  </si>
  <si>
    <t>WAYRA PLAZA</t>
  </si>
  <si>
    <t>0998164259</t>
  </si>
  <si>
    <t>001-500-000073495</t>
  </si>
  <si>
    <t>ZP251T00237</t>
  </si>
  <si>
    <t>TP24BV05915</t>
  </si>
  <si>
    <t>JORGE ERRAEZ</t>
  </si>
  <si>
    <t>AV 1 DE MAYO</t>
  </si>
  <si>
    <t>foper.sas@gmail.com</t>
  </si>
  <si>
    <t>001-500-000071688</t>
  </si>
  <si>
    <t>CAMPANA C 710</t>
  </si>
  <si>
    <t>ZP247K00206</t>
  </si>
  <si>
    <t>TZ244524947</t>
  </si>
  <si>
    <t>TP248N05885</t>
  </si>
  <si>
    <t>MABEL ORMAZA</t>
  </si>
  <si>
    <t>COND. SANTA CLARA</t>
  </si>
  <si>
    <t>carolina3124@yahoo.com</t>
  </si>
  <si>
    <t>COCINA IZF 99700 MST BK</t>
  </si>
  <si>
    <t>CAMPANA GHF 73</t>
  </si>
  <si>
    <t>ZP24AP00573</t>
  </si>
  <si>
    <t>TP249505044</t>
  </si>
  <si>
    <t>LENNIN ZUÑIGA</t>
  </si>
  <si>
    <t>EDIF. SAN FRANCISCO</t>
  </si>
  <si>
    <t>006-000157115</t>
  </si>
  <si>
    <t>MICROONDA ML B2 GI BIS L</t>
  </si>
  <si>
    <t>TP24AF00343</t>
  </si>
  <si>
    <t>TZ24CC10522</t>
  </si>
  <si>
    <t>ZP24C401050</t>
  </si>
  <si>
    <t>HORNO 85 G1 PBM</t>
  </si>
  <si>
    <t>PAOLA SERRANO</t>
  </si>
  <si>
    <t>PRADO ALTO</t>
  </si>
  <si>
    <t>pserranointeriorismo@gmail.com</t>
  </si>
  <si>
    <t>ximenazuñiga@hotmail.com</t>
  </si>
  <si>
    <t>001-500-000000180</t>
  </si>
  <si>
    <t>CAMPANA DG3 ISLA 980</t>
  </si>
  <si>
    <t>PX243500018</t>
  </si>
  <si>
    <t>CYNTHIA LLORET</t>
  </si>
  <si>
    <t>cdayalloret@hotmail.com</t>
  </si>
  <si>
    <t>COCINA GBC 75030 KB</t>
  </si>
  <si>
    <t>MICROONDA ML 820 BIS</t>
  </si>
  <si>
    <t>ZP249T00120</t>
  </si>
  <si>
    <t>TP245L01725</t>
  </si>
  <si>
    <t>001-500-000070886</t>
  </si>
  <si>
    <t>001-500-000072348</t>
  </si>
  <si>
    <t>COCINA GBC 95030 KBB</t>
  </si>
  <si>
    <t>ZP251V00149</t>
  </si>
  <si>
    <t>HORNO HLB 8400 FBK</t>
  </si>
  <si>
    <t>TZ246A06324</t>
  </si>
  <si>
    <t>MARLON VELEZ</t>
  </si>
  <si>
    <t>AZOGUES/CHARASOL</t>
  </si>
  <si>
    <t>marlonv.velez@gmail.com</t>
  </si>
  <si>
    <t>016-907-000251275</t>
  </si>
  <si>
    <t>ZP251400545</t>
  </si>
  <si>
    <t>SOFIA PACHECO</t>
  </si>
  <si>
    <t>TOTORACOCHA</t>
  </si>
  <si>
    <t>marcy-sarmy@hotmail.com</t>
  </si>
  <si>
    <t>TP248N05873</t>
  </si>
  <si>
    <t>006-002-000157995</t>
  </si>
  <si>
    <t>112500049</t>
  </si>
  <si>
    <t>COCINA IZS 86630 MST BK</t>
  </si>
  <si>
    <t>ZP244A00398</t>
  </si>
  <si>
    <t>FREDDY ASTUDILLO</t>
  </si>
  <si>
    <t>PIO BRAVO 11 61</t>
  </si>
  <si>
    <t>freddyastudillof@gmail.com</t>
  </si>
  <si>
    <t>COM. SOLIS</t>
  </si>
  <si>
    <t>001-500-000073707</t>
  </si>
  <si>
    <t>COCINA C9310</t>
  </si>
  <si>
    <t>TP249B03509</t>
  </si>
  <si>
    <t>ELVIA PINOS</t>
  </si>
  <si>
    <t>TOMAS DE HERES</t>
  </si>
  <si>
    <t>elvia.pinoscantos@gmail.com</t>
  </si>
  <si>
    <t>001-500-000072702</t>
  </si>
  <si>
    <t>112450020</t>
  </si>
  <si>
    <t>CAMPANA DVN 74030</t>
  </si>
  <si>
    <t>EK24AV00043</t>
  </si>
  <si>
    <t>GERMANIA AUCAPIÑA</t>
  </si>
  <si>
    <t>RICAURTE</t>
  </si>
  <si>
    <t>saldanacristian59@gmail.com</t>
  </si>
  <si>
    <t>016-907-000265658</t>
  </si>
  <si>
    <t>40460430</t>
  </si>
  <si>
    <t>CAMPANA DBB 70</t>
  </si>
  <si>
    <t>PX247N00031</t>
  </si>
  <si>
    <t>ANTONIO QUINDE</t>
  </si>
  <si>
    <t>AV LAS AMERICAS</t>
  </si>
  <si>
    <t>pamelatapia200@gmail.com</t>
  </si>
  <si>
    <t>001-001-000000917</t>
  </si>
  <si>
    <t>112500053</t>
  </si>
  <si>
    <t>COCINA AFC 87628 MST BK</t>
  </si>
  <si>
    <t>ZP245G00426</t>
  </si>
  <si>
    <t>VANNESA MOSCOSO</t>
  </si>
  <si>
    <t>EDIFICIO RUBIK</t>
  </si>
  <si>
    <t>vmoscoso@moscosoarquitectos</t>
  </si>
  <si>
    <t>043-907-000024491</t>
  </si>
  <si>
    <t>MICROONDAS ML 820 BIS</t>
  </si>
  <si>
    <t>4H2047001524111</t>
  </si>
  <si>
    <t>ZP252D00226</t>
  </si>
  <si>
    <t>TZ252732477</t>
  </si>
  <si>
    <t>TP251T02201</t>
  </si>
  <si>
    <t>SILVIA SARMIENTO</t>
  </si>
  <si>
    <t>RIO PALORA 2 74</t>
  </si>
  <si>
    <t>domevinnie@gmail.com</t>
  </si>
  <si>
    <t>001-500-000070726</t>
  </si>
  <si>
    <t>LAVAVAJILLAS DW8 57 FIM</t>
  </si>
  <si>
    <t>MO249L06004</t>
  </si>
  <si>
    <t>CAMPANA DVN 74030 TCL BK</t>
  </si>
  <si>
    <t>EK245400027</t>
  </si>
  <si>
    <t>ELSA ORELLANA</t>
  </si>
  <si>
    <t>EDICIO TERRAZA</t>
  </si>
  <si>
    <t>eeorellana.nac@hotmail.com</t>
  </si>
  <si>
    <t>CONJUNTO MOD IND 4I TEKA GO SENSORLESS</t>
  </si>
  <si>
    <t>COCINA IZC 64010 MTS BK</t>
  </si>
  <si>
    <t>ZP245900297</t>
  </si>
  <si>
    <t>PAOLA PEÑAHERRERA</t>
  </si>
  <si>
    <t>CORTOCUICUITO EN UNO DE LOS TRANSISTORES DE ALTO VOLTAJE DEL CONJUNTO MOD, SE REEMPLAZA</t>
  </si>
  <si>
    <t>1713896510001</t>
  </si>
  <si>
    <t>0994408935</t>
  </si>
  <si>
    <t>014-004-000041909</t>
  </si>
  <si>
    <t>001-001-000000719</t>
  </si>
  <si>
    <t>paolapenah@hotmail.com</t>
  </si>
  <si>
    <t>CORONA QUEMADOR SEMIRAP EFX</t>
  </si>
  <si>
    <t>COCINA GSC 75330 SBA IX</t>
  </si>
  <si>
    <t>ZP236M00296</t>
  </si>
  <si>
    <t>ANA BARRERA</t>
  </si>
  <si>
    <t>QUEMADOR DE COCINA DEFORME, SE DEBE SUSTITUIR</t>
  </si>
  <si>
    <t>0911790566</t>
  </si>
  <si>
    <t>ana.barrera7720@yahoo.com</t>
  </si>
  <si>
    <t>0982635741</t>
  </si>
  <si>
    <t>016-906-000200874</t>
  </si>
  <si>
    <t>HORNO HSB 750 G</t>
  </si>
  <si>
    <t>TZ233W229376</t>
  </si>
  <si>
    <t>SE REVISA Y SE REUBICA EL TERMOPAR</t>
  </si>
  <si>
    <t>RELOJ TC HLB 840 MMX</t>
  </si>
  <si>
    <t>TZ235G15524</t>
  </si>
  <si>
    <t>CLAUDIA COSTA</t>
  </si>
  <si>
    <t xml:space="preserve">LUCES LED DE LA PANTALLA AVERIADAS </t>
  </si>
  <si>
    <t>0999000600</t>
  </si>
  <si>
    <t>gelorgj@gmail.com</t>
  </si>
  <si>
    <t>114818933</t>
  </si>
  <si>
    <t>016-907-000179519</t>
  </si>
  <si>
    <t>CONORA QUEMADOR TC EFX</t>
  </si>
  <si>
    <t>ZP24AF00541</t>
  </si>
  <si>
    <t>GLADYS BRAVO</t>
  </si>
  <si>
    <t>SE RDETECTA ANOMALIA EN EL QUEMADOR CENTRAL</t>
  </si>
  <si>
    <t>112610069</t>
  </si>
  <si>
    <t>0987548285</t>
  </si>
  <si>
    <t>001-500-000070384</t>
  </si>
  <si>
    <t>040-101-000000650</t>
  </si>
  <si>
    <t>HORNO HLF 94O SS</t>
  </si>
  <si>
    <t>MICROONDA MLC 844 BK SS</t>
  </si>
  <si>
    <t>CAMPANA DLH 982 T</t>
  </si>
  <si>
    <t>TZ24A704438</t>
  </si>
  <si>
    <t>TZ24AM14291</t>
  </si>
  <si>
    <t>TP249G00125</t>
  </si>
  <si>
    <t>043-906-000043088</t>
  </si>
  <si>
    <t>JUAN CARRION</t>
  </si>
  <si>
    <t>jncarrion@gmail.com</t>
  </si>
  <si>
    <t>043-904-000042471</t>
  </si>
  <si>
    <t xml:space="preserve">CAMPANA DVN 94030 TCL </t>
  </si>
  <si>
    <t>EK243M00034</t>
  </si>
  <si>
    <t>ZP245800134</t>
  </si>
  <si>
    <t>JORGE MENDEZ</t>
  </si>
  <si>
    <t>CHALLUABAMBA</t>
  </si>
  <si>
    <t>jorgemendez5@hotmail.com</t>
  </si>
  <si>
    <t>043-903-00075623</t>
  </si>
  <si>
    <t>112580527</t>
  </si>
  <si>
    <t>COCINA GBC 75030 KBB</t>
  </si>
  <si>
    <t>ZP251800349</t>
  </si>
  <si>
    <t>MARIA PAUTA</t>
  </si>
  <si>
    <t>LA RAYA</t>
  </si>
  <si>
    <t>paopau34@yahoo.com</t>
  </si>
  <si>
    <t>31//5/25</t>
  </si>
  <si>
    <t>001-502-000000303</t>
  </si>
  <si>
    <t>112580027</t>
  </si>
  <si>
    <t>ZP24AF00423</t>
  </si>
  <si>
    <t>RODOLFO RAMIREZ</t>
  </si>
  <si>
    <t>TOCTESOL</t>
  </si>
  <si>
    <t>rodol_rr@hotmail.com</t>
  </si>
  <si>
    <t>040-104-000011309</t>
  </si>
  <si>
    <t>113430018</t>
  </si>
  <si>
    <t>REFRIGERADOR RLF 7492055</t>
  </si>
  <si>
    <t>MC24B100073</t>
  </si>
  <si>
    <t>GLADIS VASQUEZ</t>
  </si>
  <si>
    <t>ARAUCANA</t>
  </si>
  <si>
    <t>ma.eu60@hotmail.com</t>
  </si>
  <si>
    <t>001-500-000068534</t>
  </si>
  <si>
    <t>111010041</t>
  </si>
  <si>
    <t>TZ243T28460</t>
  </si>
  <si>
    <t>ALEXANDRA MALDONADO</t>
  </si>
  <si>
    <t>AV 10 DE AGOSTO</t>
  </si>
  <si>
    <t>gladysmaldonado2@gmail.com</t>
  </si>
  <si>
    <t>006-000156526</t>
  </si>
  <si>
    <t>CAFETERA CLC 8556M INOX</t>
  </si>
  <si>
    <t>MICROONDAS ML 822 BIS L</t>
  </si>
  <si>
    <t>HORNO HLB 760 G</t>
  </si>
  <si>
    <t>COCINA IZS 97630 MTS</t>
  </si>
  <si>
    <t>AP24050980087</t>
  </si>
  <si>
    <t>TP249900039</t>
  </si>
  <si>
    <t>TZ246R20373</t>
  </si>
  <si>
    <t>ZP243N00407</t>
  </si>
  <si>
    <t>NS224HF00096</t>
  </si>
  <si>
    <t>ALFREDO RODAS(ARQUIGAMA)</t>
  </si>
  <si>
    <t>LOS ALAMOS</t>
  </si>
  <si>
    <t>VINERA RVI 30097 GBK</t>
  </si>
  <si>
    <t>contabilidad@gamaarquitectura.com</t>
  </si>
  <si>
    <t>043-907-000025013</t>
  </si>
  <si>
    <t>ZP24CL00302</t>
  </si>
  <si>
    <t>TP24DVO5953</t>
  </si>
  <si>
    <t>PATRICIA TINOCO</t>
  </si>
  <si>
    <t>AV. RICARDO DURAN</t>
  </si>
  <si>
    <t>0195126224001</t>
  </si>
  <si>
    <t>0102824091001</t>
  </si>
  <si>
    <t>patriciatinoco2013@gmail.com</t>
  </si>
  <si>
    <t>HORNO HLF 824 G</t>
  </si>
  <si>
    <t>TZ24BL17916</t>
  </si>
  <si>
    <t>MARIA CORDERO</t>
  </si>
  <si>
    <t>EL SOPORTE DISPLAY ESTABA FUERA DE POSICION</t>
  </si>
  <si>
    <t>0190499332</t>
  </si>
  <si>
    <t>ventas@iglaceec.com</t>
  </si>
  <si>
    <t>0986314548</t>
  </si>
  <si>
    <t>001-001-000051286</t>
  </si>
  <si>
    <t>24108AF1330</t>
  </si>
  <si>
    <t>CLARA TORAL</t>
  </si>
  <si>
    <t>SWITH DE ENCENDIDO NEUMATICO CABLE FALSO CONTACTO</t>
  </si>
  <si>
    <t>0101590502</t>
  </si>
  <si>
    <t>nenacarrascot@hotmail.com</t>
  </si>
  <si>
    <t>0992853111</t>
  </si>
  <si>
    <t>043-904-000046821</t>
  </si>
  <si>
    <t>ZP2343Q00487</t>
  </si>
  <si>
    <t>SE AJUSTA SENSOR Y CABLE DE LA BUJIA DEL MODULO</t>
  </si>
  <si>
    <t>012283629001</t>
  </si>
  <si>
    <t>0999509380</t>
  </si>
  <si>
    <t>JUNIO 2025</t>
  </si>
  <si>
    <t>Capelo Junio 2025</t>
  </si>
  <si>
    <t>001-500-000071464</t>
  </si>
  <si>
    <t>LAVAVAJILLAS DW857 FIM</t>
  </si>
  <si>
    <t>MICROONDAS ML 8220 BIS L</t>
  </si>
  <si>
    <t>COCINA JZC 963254 ABB</t>
  </si>
  <si>
    <t>CAMPANA DPL ISLA 1180</t>
  </si>
  <si>
    <t>MD249206001</t>
  </si>
  <si>
    <t>TP245E04649</t>
  </si>
  <si>
    <t>TZ247202337</t>
  </si>
  <si>
    <t>ZP24C300353</t>
  </si>
  <si>
    <t>PX23AA00053</t>
  </si>
  <si>
    <t>PAULINA ANDRADE</t>
  </si>
  <si>
    <t>VIA JADAN</t>
  </si>
  <si>
    <t>0103859278</t>
  </si>
  <si>
    <t>paulina_andrade_p@hotmail.com</t>
  </si>
  <si>
    <t>SUKASA</t>
  </si>
  <si>
    <t>040-104-000008196</t>
  </si>
  <si>
    <t xml:space="preserve">REFRIGERADOR RMF 77960 </t>
  </si>
  <si>
    <t>HORNO STEAKMASTER</t>
  </si>
  <si>
    <t>M19920015241115</t>
  </si>
  <si>
    <t>MD247100281</t>
  </si>
  <si>
    <t>TZ245M20628</t>
  </si>
  <si>
    <t>TP247904246</t>
  </si>
  <si>
    <t>ZP245H00378</t>
  </si>
  <si>
    <t>JUAN CARLOS ABAD</t>
  </si>
  <si>
    <t>KM4  LA DOLOROSA</t>
  </si>
  <si>
    <t>0102700507001</t>
  </si>
  <si>
    <t>xjearabad@hotmail.com</t>
  </si>
  <si>
    <t>016-907-000257154</t>
  </si>
  <si>
    <t>COCINA JZC 95314 ABB</t>
  </si>
  <si>
    <t>HORNO HSB 646</t>
  </si>
  <si>
    <t>ZP226Q00016</t>
  </si>
  <si>
    <t>TZ246R19783</t>
  </si>
  <si>
    <t>TP24R004446</t>
  </si>
  <si>
    <t>MATEO UNIGARRO</t>
  </si>
  <si>
    <t>ELOY CAMPOS AV</t>
  </si>
  <si>
    <t>0150434082</t>
  </si>
  <si>
    <t>jorgeu1968@hotmail.com</t>
  </si>
  <si>
    <t>043-903-000076718</t>
  </si>
  <si>
    <t>HORNO HLB 8130 SS</t>
  </si>
  <si>
    <t>TP252KB03543</t>
  </si>
  <si>
    <t>GISEL OCHOA</t>
  </si>
  <si>
    <t>PIXAPARXAPA</t>
  </si>
  <si>
    <t>0311111175</t>
  </si>
  <si>
    <t>xfbernalb2014@hotmail.com</t>
  </si>
  <si>
    <t>ZP24CL00324</t>
  </si>
  <si>
    <t>TZ247303105</t>
  </si>
  <si>
    <t>KIWY</t>
  </si>
  <si>
    <t>COL49E00379</t>
  </si>
  <si>
    <t>GISSEL OCHOA</t>
  </si>
  <si>
    <t>PIXARXAPA</t>
  </si>
  <si>
    <t>fbernalb2014@hotmail.com</t>
  </si>
  <si>
    <t>STOCK</t>
  </si>
  <si>
    <t>CO249E00320</t>
  </si>
  <si>
    <t>CO249E00684</t>
  </si>
  <si>
    <t>CO249E00508</t>
  </si>
  <si>
    <t>KYWI WAIRA</t>
  </si>
  <si>
    <t>CLIENTE CINAL</t>
  </si>
  <si>
    <t>001-500-000074113</t>
  </si>
  <si>
    <t>TZ24B527011</t>
  </si>
  <si>
    <t>EDIFICIO TERRAZA</t>
  </si>
  <si>
    <t>0102082492</t>
  </si>
  <si>
    <t>ecorellana@hotmail.com</t>
  </si>
  <si>
    <t>TP249900059</t>
  </si>
  <si>
    <t>001-500-000073379</t>
  </si>
  <si>
    <t>COCINA GBC 95 G1 GBA BM</t>
  </si>
  <si>
    <t>ZP24BT00899</t>
  </si>
  <si>
    <t>PATRICIA GUERRERO</t>
  </si>
  <si>
    <t>TARQUINO CORDERO</t>
  </si>
  <si>
    <t>0100927581</t>
  </si>
  <si>
    <t>pochigc8572@hotmail.com</t>
  </si>
  <si>
    <t>TP24BJ00752</t>
  </si>
  <si>
    <t>HORNO HLB 8146 BK</t>
  </si>
  <si>
    <t>TZ247202308</t>
  </si>
  <si>
    <t>040-103-000012549</t>
  </si>
  <si>
    <t>MICROONDA ML 8220 BIS 2</t>
  </si>
  <si>
    <t>TP247Q01530</t>
  </si>
  <si>
    <t>TZ249P16611</t>
  </si>
  <si>
    <t>MD24B20000327</t>
  </si>
  <si>
    <t>TKA2C4M199200152411150069</t>
  </si>
  <si>
    <t>VINERA RVU 20046 GBK</t>
  </si>
  <si>
    <t>NS244P00028</t>
  </si>
  <si>
    <t>CATALINA VINTIMILLA</t>
  </si>
  <si>
    <t>VIA MISICATA</t>
  </si>
  <si>
    <t>0102397189001</t>
  </si>
  <si>
    <t>jeimisramosmunori@gmail.com</t>
  </si>
  <si>
    <t>040-104-000009784</t>
  </si>
  <si>
    <t>TKA2C4M199200152411150044</t>
  </si>
  <si>
    <t>TP24AF00369</t>
  </si>
  <si>
    <t>TZ24B527013</t>
  </si>
  <si>
    <t>MD249L05985</t>
  </si>
  <si>
    <t>BILLIE WASHBUM</t>
  </si>
  <si>
    <t>EDIFICIO ALBA</t>
  </si>
  <si>
    <t>0152705398</t>
  </si>
  <si>
    <t>angipa@live.com</t>
  </si>
  <si>
    <t>016-902-000508628</t>
  </si>
  <si>
    <t>40980321</t>
  </si>
  <si>
    <t>CAMPANA CC 480</t>
  </si>
  <si>
    <t>PX24BR00537</t>
  </si>
  <si>
    <t>KATHERINE VILLA</t>
  </si>
  <si>
    <t>ANTONIO ULLUA</t>
  </si>
  <si>
    <t>katlyva27@hotmail.com</t>
  </si>
  <si>
    <t>043-904-000065151</t>
  </si>
  <si>
    <t>112580017</t>
  </si>
  <si>
    <t>COCINA GBC 6400 KBB</t>
  </si>
  <si>
    <t>ZP245G00294</t>
  </si>
  <si>
    <t>MARIA PALACIOS</t>
  </si>
  <si>
    <t>AV. 12 DE OCTUBRE</t>
  </si>
  <si>
    <t>alepalacios-19@hotmail.com</t>
  </si>
  <si>
    <t>COMOHOGAR</t>
  </si>
  <si>
    <t>040-103-0000153710</t>
  </si>
  <si>
    <t>TP24A305156</t>
  </si>
  <si>
    <t>DENNISSE TIN TIN</t>
  </si>
  <si>
    <t>CALLE PRINCESA TOA</t>
  </si>
  <si>
    <t>denissetintin@gmail.com</t>
  </si>
  <si>
    <t>001-500-000073682</t>
  </si>
  <si>
    <t>111000051</t>
  </si>
  <si>
    <t>TZ25327072</t>
  </si>
  <si>
    <t>MARCIA MOLINA</t>
  </si>
  <si>
    <t>marciamolina7@hotmail.com</t>
  </si>
  <si>
    <t>040-104-000011579</t>
  </si>
  <si>
    <t>114270008</t>
  </si>
  <si>
    <t>LAVAVAJILLAS DFI 46900</t>
  </si>
  <si>
    <t>AW2417</t>
  </si>
  <si>
    <t>MELISSA MORENO</t>
  </si>
  <si>
    <t>GUZHO</t>
  </si>
  <si>
    <t>melimorenoc2119@gmail.com</t>
  </si>
  <si>
    <t>040-109-000013007</t>
  </si>
  <si>
    <t>HORNO 8416 BK</t>
  </si>
  <si>
    <t>TZ52327098</t>
  </si>
  <si>
    <t>KLEVER SAMANIEGO</t>
  </si>
  <si>
    <t>PASEO RIO TOMEBAMBA</t>
  </si>
  <si>
    <t>cenitp@gmail.com</t>
  </si>
  <si>
    <t>001-500-000073489</t>
  </si>
  <si>
    <t>TZ249P16646</t>
  </si>
  <si>
    <t>XAVIER ABRIL</t>
  </si>
  <si>
    <t>TARQUI 8 64</t>
  </si>
  <si>
    <t>xavigenaro@hotmail.com</t>
  </si>
  <si>
    <t>COM.SOLIS</t>
  </si>
  <si>
    <t>001-500-000073893</t>
  </si>
  <si>
    <t>40466111</t>
  </si>
  <si>
    <t>CAMPANA C 910</t>
  </si>
  <si>
    <t>TP252R03906</t>
  </si>
  <si>
    <t>JANNINA CANDO</t>
  </si>
  <si>
    <t>janyknda@hotmail.com</t>
  </si>
  <si>
    <t>016-902-000510323</t>
  </si>
  <si>
    <t>40467305</t>
  </si>
  <si>
    <t>TP252503382</t>
  </si>
  <si>
    <t>SAUL LANDY</t>
  </si>
  <si>
    <t>ncenteragrede@hotmail.com</t>
  </si>
  <si>
    <t>001-500-000074138</t>
  </si>
  <si>
    <t>ZP251T00204</t>
  </si>
  <si>
    <t>ALICIA TENORIO</t>
  </si>
  <si>
    <t>LATINOAMERICANA 1 92</t>
  </si>
  <si>
    <t>aliteca@hotmail.com</t>
  </si>
  <si>
    <t>016-907-000246124</t>
  </si>
  <si>
    <t>112600000</t>
  </si>
  <si>
    <t>COCINA EX 90 15G AI</t>
  </si>
  <si>
    <t>ZP241H00191</t>
  </si>
  <si>
    <t>RUTH ORTEGA</t>
  </si>
  <si>
    <t>LUIS CORDERO 9 55</t>
  </si>
  <si>
    <t>ruthortga@gmail.com</t>
  </si>
  <si>
    <t>016-907-000257755</t>
  </si>
  <si>
    <t>1112580027</t>
  </si>
  <si>
    <t>ZP246C00134</t>
  </si>
  <si>
    <t>HUMBERTO VASQUEZ</t>
  </si>
  <si>
    <t>0101765832</t>
  </si>
  <si>
    <t>elita_vazquez@hotmail.com</t>
  </si>
  <si>
    <t>0101986503001</t>
  </si>
  <si>
    <t>043-903-000077932</t>
  </si>
  <si>
    <t>JUAN OCHOA</t>
  </si>
  <si>
    <t>LOS GERANIOS</t>
  </si>
  <si>
    <t>0195092591</t>
  </si>
  <si>
    <t>joq7768@hotmail.com</t>
  </si>
  <si>
    <t>016-907-000257694</t>
  </si>
  <si>
    <t>112520025</t>
  </si>
  <si>
    <t>COCINA IZC 64010 MSS</t>
  </si>
  <si>
    <t>ZP243500369</t>
  </si>
  <si>
    <t>040-105-000001749</t>
  </si>
  <si>
    <t>MELBA ESPINOZA</t>
  </si>
  <si>
    <t>AV 1ERO DE MAYO</t>
  </si>
  <si>
    <t>0300657327</t>
  </si>
  <si>
    <t>meges093@yahoo.es</t>
  </si>
  <si>
    <t>COCINA IZF 64440 MSP BK</t>
  </si>
  <si>
    <t>ZP243000233</t>
  </si>
  <si>
    <t>CAMPANA GFH 73</t>
  </si>
  <si>
    <t>TP245F07096</t>
  </si>
  <si>
    <t>COM. LUNA PAZMIÑO</t>
  </si>
  <si>
    <t>TZ211BR28366</t>
  </si>
  <si>
    <t>JULIO MOINA</t>
  </si>
  <si>
    <t>PAUTE</t>
  </si>
  <si>
    <t>0995102541</t>
  </si>
  <si>
    <t>juliopavo7@gmail.com</t>
  </si>
  <si>
    <t>002-201-00006693</t>
  </si>
  <si>
    <t>CAMPANA ISLA DPL 1180</t>
  </si>
  <si>
    <t>PX24AX00104</t>
  </si>
  <si>
    <t>ZP24AP0058</t>
  </si>
  <si>
    <t>043-102-000038932</t>
  </si>
  <si>
    <t>111040006</t>
  </si>
  <si>
    <t>HORNO HSB 750 G LPG</t>
  </si>
  <si>
    <t>TZ2425050197</t>
  </si>
  <si>
    <t>ISABEL CACERES</t>
  </si>
  <si>
    <t>HERNANDO LEOPULLA 357</t>
  </si>
  <si>
    <t>0100882608</t>
  </si>
  <si>
    <t>isacobos2000@gmail.com</t>
  </si>
  <si>
    <t>001-500-000073371</t>
  </si>
  <si>
    <t>112570238</t>
  </si>
  <si>
    <t>COCINA GBC 95 G1 GBA CM</t>
  </si>
  <si>
    <t>ZP24BR00445</t>
  </si>
  <si>
    <t>JOSE VASQUEZ</t>
  </si>
  <si>
    <t>TURUHUAYCO 2 113</t>
  </si>
  <si>
    <t>0103556510</t>
  </si>
  <si>
    <t>rectificadora.vasquez@hotmail.com</t>
  </si>
  <si>
    <t>001-101-000003343</t>
  </si>
  <si>
    <t>111000050</t>
  </si>
  <si>
    <t>HORNO HLB 8510 P BK</t>
  </si>
  <si>
    <t>TZ242V32274</t>
  </si>
  <si>
    <t>CALLE EUCLIDES</t>
  </si>
  <si>
    <t>MARIA HERNANDEZ</t>
  </si>
  <si>
    <t>0104847462</t>
  </si>
  <si>
    <t>yairgp@me.com</t>
  </si>
  <si>
    <t>MOTOR 800 m3/h 110v DP 90</t>
  </si>
  <si>
    <t>CAMPANA ISLA 1180</t>
  </si>
  <si>
    <t>EI2301075TKIDPL</t>
  </si>
  <si>
    <t>SE REVISA Y SE CONFIORMA QUE EL MOTOR NO FUNCIONA</t>
  </si>
  <si>
    <t>1707808596</t>
  </si>
  <si>
    <t>paulina_andradep@hotmail.com</t>
  </si>
  <si>
    <t>0986353015</t>
  </si>
  <si>
    <t>001-500-000071469</t>
  </si>
  <si>
    <t>PLACA DE POTENCIA I100 DERECHA 2B</t>
  </si>
  <si>
    <t>ZP22CD00013</t>
  </si>
  <si>
    <t>CRISTIAN PACHECO</t>
  </si>
  <si>
    <t>LA PLACA DE POTENCIA ESTA QUEMADA</t>
  </si>
  <si>
    <t>0103865739</t>
  </si>
  <si>
    <t>cristian181192@gmail.com</t>
  </si>
  <si>
    <t>0987178908</t>
  </si>
  <si>
    <t>001-001-000002075</t>
  </si>
  <si>
    <t>HORNO HLB 830 SS</t>
  </si>
  <si>
    <t>TZ243134584</t>
  </si>
  <si>
    <t>PAOLA CORDOVA</t>
  </si>
  <si>
    <t>RELOJ TC NO FUNCIONA</t>
  </si>
  <si>
    <t>1102552344</t>
  </si>
  <si>
    <t>poloaymar38@hotmail.com</t>
  </si>
  <si>
    <t>0987595719</t>
  </si>
  <si>
    <t>001-501-600055097</t>
  </si>
  <si>
    <t>Horno gas</t>
  </si>
  <si>
    <t>triturador</t>
  </si>
  <si>
    <t>campana isla</t>
  </si>
  <si>
    <t xml:space="preserve">                                 </t>
  </si>
  <si>
    <t xml:space="preserve">     </t>
  </si>
  <si>
    <t>ZHULLIN/AZOGUES</t>
  </si>
  <si>
    <t>CHUQUIPATA/CANAR</t>
  </si>
  <si>
    <t>CAFETERA CLC 855 GM INOX</t>
  </si>
  <si>
    <t>COCINA IZC 64010 MSS BK</t>
  </si>
  <si>
    <t>ZP24A600608</t>
  </si>
  <si>
    <t>Al 19 de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</si>
</sst>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70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13" fillId="0" borderId="0"/>
    <xf numFmtId="0" fontId="13" fillId="2" borderId="0">
      <alignment horizontal="left"/>
    </xf>
    <xf numFmtId="0" fontId="5" fillId="0" borderId="0"/>
    <xf numFmtId="0" fontId="6" fillId="0" borderId="0" applyNumberFormat="0" applyFill="0" applyBorder="0" applyAlignment="0" applyProtection="0"/>
    <xf numFmtId="0" fontId="24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167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/>
    <xf numFmtId="43" fontId="28" fillId="0" borderId="0" applyFont="0" applyFill="0" applyBorder="0" applyAlignment="0" applyProtection="0"/>
    <xf numFmtId="0" fontId="50" fillId="0" borderId="0"/>
    <xf numFmtId="0" fontId="28" fillId="0" borderId="0"/>
    <xf numFmtId="0" fontId="5" fillId="0" borderId="0"/>
    <xf numFmtId="0" fontId="6" fillId="0" borderId="0" applyNumberFormat="0" applyFill="0" applyBorder="0" applyAlignment="0" applyProtection="0"/>
    <xf numFmtId="0" fontId="28" fillId="0" borderId="0"/>
    <xf numFmtId="0" fontId="13" fillId="0" borderId="0"/>
  </cellStyleXfs>
  <cellXfs count="211">
    <xf numFmtId="0" fontId="0" fillId="0" borderId="0" xfId="0"/>
    <xf numFmtId="0" fontId="7" fillId="0" borderId="0" xfId="0" applyFont="1" applyAlignment="1">
      <alignment horizontal="right"/>
    </xf>
    <xf numFmtId="4" fontId="8" fillId="0" borderId="0" xfId="0" applyNumberFormat="1" applyFont="1"/>
    <xf numFmtId="0" fontId="9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/>
    </xf>
    <xf numFmtId="1" fontId="0" fillId="0" borderId="0" xfId="0" applyNumberFormat="1"/>
    <xf numFmtId="2" fontId="11" fillId="0" borderId="0" xfId="0" applyNumberFormat="1" applyFont="1" applyAlignment="1">
      <alignment horizontal="right" indent="1"/>
    </xf>
    <xf numFmtId="4" fontId="12" fillId="0" borderId="0" xfId="0" applyNumberFormat="1" applyFont="1" applyAlignment="1">
      <alignment horizontal="left" vertical="center"/>
    </xf>
    <xf numFmtId="0" fontId="14" fillId="0" borderId="0" xfId="1" applyFont="1"/>
    <xf numFmtId="0" fontId="15" fillId="2" borderId="0" xfId="2" applyFont="1" applyAlignment="1">
      <alignment horizontal="center" vertical="center"/>
    </xf>
    <xf numFmtId="1" fontId="15" fillId="2" borderId="0" xfId="2" applyNumberFormat="1" applyFont="1" applyAlignment="1">
      <alignment horizontal="right" vertical="center"/>
    </xf>
    <xf numFmtId="1" fontId="15" fillId="2" borderId="0" xfId="2" applyNumberFormat="1" applyFont="1" applyAlignment="1">
      <alignment horizontal="center" vertical="center"/>
    </xf>
    <xf numFmtId="2" fontId="15" fillId="2" borderId="0" xfId="2" applyNumberFormat="1" applyFont="1" applyAlignment="1">
      <alignment vertical="center"/>
    </xf>
    <xf numFmtId="49" fontId="0" fillId="0" borderId="0" xfId="0" quotePrefix="1" applyNumberFormat="1"/>
    <xf numFmtId="17" fontId="11" fillId="0" borderId="0" xfId="0" quotePrefix="1" applyNumberFormat="1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" fontId="17" fillId="3" borderId="1" xfId="0" applyNumberFormat="1" applyFont="1" applyFill="1" applyBorder="1" applyAlignment="1">
      <alignment horizontal="center" vertical="center" wrapText="1"/>
    </xf>
    <xf numFmtId="2" fontId="17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8" fillId="0" borderId="0" xfId="3" applyFont="1" applyAlignment="1">
      <alignment horizontal="right"/>
    </xf>
    <xf numFmtId="164" fontId="18" fillId="5" borderId="2" xfId="3" applyNumberFormat="1" applyFont="1" applyFill="1" applyBorder="1" applyAlignment="1">
      <alignment horizontal="left"/>
    </xf>
    <xf numFmtId="0" fontId="18" fillId="5" borderId="2" xfId="3" applyFont="1" applyFill="1" applyBorder="1"/>
    <xf numFmtId="0" fontId="18" fillId="0" borderId="2" xfId="3" applyFont="1" applyBorder="1" applyAlignment="1">
      <alignment horizontal="center" vertical="center"/>
    </xf>
    <xf numFmtId="0" fontId="18" fillId="0" borderId="2" xfId="3" applyFont="1" applyBorder="1"/>
    <xf numFmtId="0" fontId="18" fillId="5" borderId="2" xfId="3" applyFont="1" applyFill="1" applyBorder="1" applyAlignment="1">
      <alignment horizontal="left"/>
    </xf>
    <xf numFmtId="0" fontId="18" fillId="5" borderId="2" xfId="3" applyFont="1" applyFill="1" applyBorder="1" applyAlignment="1">
      <alignment horizontal="left" vertical="center"/>
    </xf>
    <xf numFmtId="14" fontId="18" fillId="5" borderId="2" xfId="3" applyNumberFormat="1" applyFont="1" applyFill="1" applyBorder="1" applyAlignment="1">
      <alignment horizontal="left"/>
    </xf>
    <xf numFmtId="1" fontId="18" fillId="5" borderId="2" xfId="3" applyNumberFormat="1" applyFont="1" applyFill="1" applyBorder="1"/>
    <xf numFmtId="2" fontId="18" fillId="5" borderId="2" xfId="3" applyNumberFormat="1" applyFont="1" applyFill="1" applyBorder="1" applyAlignment="1">
      <alignment horizontal="center"/>
    </xf>
    <xf numFmtId="0" fontId="18" fillId="5" borderId="2" xfId="3" applyFont="1" applyFill="1" applyBorder="1" applyAlignment="1">
      <alignment horizontal="center" vertical="center"/>
    </xf>
    <xf numFmtId="0" fontId="19" fillId="5" borderId="2" xfId="4" applyNumberFormat="1" applyFont="1" applyFill="1" applyBorder="1"/>
    <xf numFmtId="0" fontId="20" fillId="5" borderId="2" xfId="4" applyNumberFormat="1" applyFont="1" applyFill="1" applyBorder="1"/>
    <xf numFmtId="0" fontId="21" fillId="0" borderId="3" xfId="3" applyFont="1" applyBorder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left" vertical="top"/>
    </xf>
    <xf numFmtId="0" fontId="23" fillId="6" borderId="0" xfId="0" applyFont="1" applyFill="1" applyAlignment="1">
      <alignment horizontal="left"/>
    </xf>
    <xf numFmtId="0" fontId="25" fillId="0" borderId="0" xfId="5" applyFont="1"/>
    <xf numFmtId="0" fontId="24" fillId="0" borderId="0" xfId="5" applyAlignment="1">
      <alignment horizontal="right"/>
    </xf>
    <xf numFmtId="4" fontId="12" fillId="0" borderId="0" xfId="6" applyNumberFormat="1" applyFont="1" applyAlignment="1">
      <alignment horizontal="left"/>
    </xf>
    <xf numFmtId="0" fontId="26" fillId="0" borderId="0" xfId="6" applyFont="1" applyAlignment="1">
      <alignment horizontal="center"/>
    </xf>
    <xf numFmtId="0" fontId="27" fillId="0" borderId="0" xfId="6" applyFont="1" applyAlignment="1">
      <alignment vertical="center"/>
    </xf>
    <xf numFmtId="0" fontId="26" fillId="0" borderId="0" xfId="6" applyFont="1"/>
    <xf numFmtId="2" fontId="28" fillId="0" borderId="0" xfId="6" applyNumberFormat="1" applyFont="1" applyAlignment="1">
      <alignment horizontal="left"/>
    </xf>
    <xf numFmtId="0" fontId="24" fillId="0" borderId="0" xfId="5"/>
    <xf numFmtId="0" fontId="29" fillId="0" borderId="0" xfId="5" applyFont="1"/>
    <xf numFmtId="4" fontId="12" fillId="0" borderId="0" xfId="6" applyNumberFormat="1" applyFont="1" applyAlignment="1">
      <alignment horizontal="left" vertical="center"/>
    </xf>
    <xf numFmtId="0" fontId="28" fillId="0" borderId="0" xfId="6" applyFont="1" applyAlignment="1">
      <alignment horizontal="center"/>
    </xf>
    <xf numFmtId="0" fontId="28" fillId="0" borderId="0" xfId="6" applyFont="1"/>
    <xf numFmtId="166" fontId="30" fillId="0" borderId="4" xfId="7" applyNumberFormat="1" applyFont="1" applyBorder="1" applyAlignment="1">
      <alignment horizontal="left"/>
    </xf>
    <xf numFmtId="0" fontId="30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/>
    </xf>
    <xf numFmtId="0" fontId="31" fillId="0" borderId="5" xfId="7" applyFont="1" applyBorder="1" applyAlignment="1">
      <alignment horizontal="left"/>
    </xf>
    <xf numFmtId="0" fontId="32" fillId="0" borderId="5" xfId="7" applyFont="1" applyBorder="1" applyAlignment="1">
      <alignment horizontal="left" wrapText="1" readingOrder="1"/>
    </xf>
    <xf numFmtId="0" fontId="31" fillId="0" borderId="5" xfId="7" applyFont="1" applyBorder="1" applyAlignment="1">
      <alignment horizontal="left" wrapText="1"/>
    </xf>
    <xf numFmtId="0" fontId="33" fillId="0" borderId="5" xfId="7" applyFont="1" applyBorder="1" applyAlignment="1">
      <alignment horizontal="left" wrapText="1"/>
    </xf>
    <xf numFmtId="17" fontId="34" fillId="0" borderId="5" xfId="7" quotePrefix="1" applyNumberFormat="1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49" fontId="35" fillId="0" borderId="6" xfId="7" quotePrefix="1" applyNumberFormat="1" applyFont="1" applyBorder="1" applyAlignment="1">
      <alignment horizontal="left"/>
    </xf>
    <xf numFmtId="0" fontId="25" fillId="0" borderId="0" xfId="0" applyFont="1"/>
    <xf numFmtId="166" fontId="30" fillId="0" borderId="7" xfId="7" applyNumberFormat="1" applyFont="1" applyBorder="1" applyAlignment="1">
      <alignment horizontal="left"/>
    </xf>
    <xf numFmtId="0" fontId="30" fillId="0" borderId="0" xfId="7" applyFont="1" applyAlignment="1">
      <alignment horizontal="left"/>
    </xf>
    <xf numFmtId="0" fontId="29" fillId="0" borderId="0" xfId="7" applyFont="1" applyAlignment="1">
      <alignment horizontal="left"/>
    </xf>
    <xf numFmtId="0" fontId="29" fillId="0" borderId="8" xfId="7" applyFont="1" applyBorder="1" applyAlignment="1">
      <alignment horizontal="left"/>
    </xf>
    <xf numFmtId="166" fontId="36" fillId="0" borderId="9" xfId="7" applyNumberFormat="1" applyFont="1" applyBorder="1" applyAlignment="1">
      <alignment horizontal="left"/>
    </xf>
    <xf numFmtId="0" fontId="29" fillId="0" borderId="10" xfId="7" applyFont="1" applyBorder="1" applyAlignment="1">
      <alignment horizontal="left"/>
    </xf>
    <xf numFmtId="0" fontId="29" fillId="0" borderId="11" xfId="7" applyFont="1" applyBorder="1" applyAlignment="1">
      <alignment horizontal="left"/>
    </xf>
    <xf numFmtId="0" fontId="41" fillId="0" borderId="0" xfId="9" applyFont="1"/>
    <xf numFmtId="0" fontId="5" fillId="0" borderId="0" xfId="14"/>
    <xf numFmtId="4" fontId="8" fillId="0" borderId="0" xfId="14" applyNumberFormat="1" applyFont="1"/>
    <xf numFmtId="0" fontId="9" fillId="0" borderId="0" xfId="14" applyFont="1" applyAlignment="1">
      <alignment vertical="center"/>
    </xf>
    <xf numFmtId="2" fontId="5" fillId="0" borderId="0" xfId="14" applyNumberFormat="1" applyAlignment="1">
      <alignment horizontal="left"/>
    </xf>
    <xf numFmtId="0" fontId="5" fillId="0" borderId="0" xfId="14" applyAlignment="1">
      <alignment horizontal="left"/>
    </xf>
    <xf numFmtId="43" fontId="5" fillId="0" borderId="0" xfId="15" applyFont="1" applyFill="1"/>
    <xf numFmtId="0" fontId="42" fillId="0" borderId="0" xfId="14" applyFont="1"/>
    <xf numFmtId="4" fontId="12" fillId="0" borderId="0" xfId="14" applyNumberFormat="1" applyFont="1" applyAlignment="1">
      <alignment horizontal="left" vertical="center"/>
    </xf>
    <xf numFmtId="0" fontId="28" fillId="0" borderId="0" xfId="9"/>
    <xf numFmtId="17" fontId="5" fillId="0" borderId="0" xfId="14" quotePrefix="1" applyNumberFormat="1"/>
    <xf numFmtId="17" fontId="42" fillId="0" borderId="0" xfId="14" quotePrefix="1" applyNumberFormat="1" applyFont="1"/>
    <xf numFmtId="0" fontId="43" fillId="7" borderId="14" xfId="14" applyFont="1" applyFill="1" applyBorder="1" applyAlignment="1">
      <alignment horizontal="center" wrapText="1"/>
    </xf>
    <xf numFmtId="0" fontId="44" fillId="7" borderId="14" xfId="9" applyFont="1" applyFill="1" applyBorder="1" applyAlignment="1">
      <alignment horizontal="left" wrapText="1"/>
    </xf>
    <xf numFmtId="43" fontId="44" fillId="7" borderId="14" xfId="15" applyFont="1" applyFill="1" applyBorder="1" applyAlignment="1">
      <alignment horizontal="left" wrapText="1"/>
    </xf>
    <xf numFmtId="0" fontId="44" fillId="7" borderId="14" xfId="9" applyFont="1" applyFill="1" applyBorder="1" applyAlignment="1">
      <alignment horizontal="center" wrapText="1"/>
    </xf>
    <xf numFmtId="0" fontId="44" fillId="7" borderId="0" xfId="9" applyFont="1" applyFill="1" applyAlignment="1">
      <alignment horizontal="left" wrapText="1"/>
    </xf>
    <xf numFmtId="0" fontId="43" fillId="7" borderId="14" xfId="9" applyFont="1" applyFill="1" applyBorder="1" applyAlignment="1">
      <alignment horizontal="left" wrapText="1"/>
    </xf>
    <xf numFmtId="0" fontId="21" fillId="0" borderId="0" xfId="14" applyFont="1" applyAlignment="1">
      <alignment horizontal="right"/>
    </xf>
    <xf numFmtId="0" fontId="21" fillId="0" borderId="10" xfId="14" applyFont="1" applyBorder="1" applyAlignment="1">
      <alignment horizontal="left"/>
    </xf>
    <xf numFmtId="0" fontId="21" fillId="0" borderId="16" xfId="14" applyFont="1" applyBorder="1" applyAlignment="1">
      <alignment horizontal="left"/>
    </xf>
    <xf numFmtId="0" fontId="21" fillId="0" borderId="16" xfId="14" applyFont="1" applyBorder="1"/>
    <xf numFmtId="0" fontId="21" fillId="0" borderId="10" xfId="14" applyFont="1" applyBorder="1" applyAlignment="1">
      <alignment horizontal="left" vertical="center"/>
    </xf>
    <xf numFmtId="14" fontId="21" fillId="0" borderId="15" xfId="14" applyNumberFormat="1" applyFont="1" applyBorder="1" applyAlignment="1">
      <alignment horizontal="left"/>
    </xf>
    <xf numFmtId="0" fontId="21" fillId="0" borderId="15" xfId="14" applyFont="1" applyBorder="1" applyAlignment="1">
      <alignment horizontal="left" vertical="center"/>
    </xf>
    <xf numFmtId="0" fontId="21" fillId="0" borderId="15" xfId="14" applyFont="1" applyBorder="1" applyAlignment="1">
      <alignment horizontal="left"/>
    </xf>
    <xf numFmtId="0" fontId="21" fillId="0" borderId="15" xfId="14" quotePrefix="1" applyFont="1" applyBorder="1" applyAlignment="1">
      <alignment horizontal="left"/>
    </xf>
    <xf numFmtId="14" fontId="21" fillId="0" borderId="15" xfId="14" applyNumberFormat="1" applyFont="1" applyBorder="1" applyAlignment="1">
      <alignment horizontal="left" vertical="center"/>
    </xf>
    <xf numFmtId="43" fontId="21" fillId="0" borderId="15" xfId="15" applyFont="1" applyBorder="1"/>
    <xf numFmtId="43" fontId="21" fillId="0" borderId="15" xfId="15" applyFont="1" applyBorder="1" applyAlignment="1">
      <alignment horizontal="left" vertical="center"/>
    </xf>
    <xf numFmtId="0" fontId="21" fillId="0" borderId="15" xfId="14" quotePrefix="1" applyFont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46" fillId="0" borderId="0" xfId="0" applyFont="1"/>
    <xf numFmtId="0" fontId="47" fillId="0" borderId="17" xfId="0" applyFont="1" applyBorder="1" applyAlignment="1">
      <alignment vertical="center"/>
    </xf>
    <xf numFmtId="0" fontId="16" fillId="0" borderId="0" xfId="0" quotePrefix="1" applyFont="1"/>
    <xf numFmtId="0" fontId="49" fillId="7" borderId="14" xfId="0" applyFont="1" applyFill="1" applyBorder="1" applyAlignment="1">
      <alignment horizontal="center" wrapText="1"/>
    </xf>
    <xf numFmtId="0" fontId="49" fillId="7" borderId="14" xfId="0" applyFont="1" applyFill="1" applyBorder="1" applyAlignment="1">
      <alignment wrapText="1"/>
    </xf>
    <xf numFmtId="0" fontId="49" fillId="7" borderId="14" xfId="0" applyFont="1" applyFill="1" applyBorder="1" applyAlignment="1">
      <alignment horizontal="center" vertical="center" wrapText="1"/>
    </xf>
    <xf numFmtId="0" fontId="49" fillId="7" borderId="18" xfId="0" applyFont="1" applyFill="1" applyBorder="1" applyAlignment="1">
      <alignment wrapText="1"/>
    </xf>
    <xf numFmtId="0" fontId="49" fillId="7" borderId="18" xfId="0" applyFont="1" applyFill="1" applyBorder="1" applyAlignment="1">
      <alignment horizontal="center" wrapText="1"/>
    </xf>
    <xf numFmtId="17" fontId="48" fillId="0" borderId="0" xfId="0" quotePrefix="1" applyNumberFormat="1" applyFont="1" applyAlignment="1">
      <alignment horizontal="left"/>
    </xf>
    <xf numFmtId="0" fontId="41" fillId="0" borderId="0" xfId="0" applyFont="1"/>
    <xf numFmtId="0" fontId="34" fillId="0" borderId="0" xfId="17" applyFont="1"/>
    <xf numFmtId="4" fontId="34" fillId="0" borderId="0" xfId="17" applyNumberFormat="1" applyFont="1"/>
    <xf numFmtId="0" fontId="29" fillId="0" borderId="0" xfId="17" applyFont="1"/>
    <xf numFmtId="0" fontId="28" fillId="0" borderId="0" xfId="17"/>
    <xf numFmtId="49" fontId="28" fillId="0" borderId="0" xfId="17" applyNumberFormat="1"/>
    <xf numFmtId="17" fontId="34" fillId="0" borderId="0" xfId="17" quotePrefix="1" applyNumberFormat="1" applyFont="1"/>
    <xf numFmtId="4" fontId="29" fillId="0" borderId="0" xfId="17" applyNumberFormat="1" applyFont="1"/>
    <xf numFmtId="0" fontId="41" fillId="0" borderId="0" xfId="17" applyFont="1"/>
    <xf numFmtId="4" fontId="8" fillId="0" borderId="0" xfId="17" applyNumberFormat="1" applyFont="1"/>
    <xf numFmtId="0" fontId="42" fillId="0" borderId="0" xfId="8" applyFont="1"/>
    <xf numFmtId="49" fontId="42" fillId="0" borderId="0" xfId="8" applyNumberFormat="1" applyFont="1"/>
    <xf numFmtId="0" fontId="9" fillId="0" borderId="0" xfId="17" applyFont="1" applyAlignment="1">
      <alignment vertical="center"/>
    </xf>
    <xf numFmtId="2" fontId="28" fillId="0" borderId="0" xfId="17" applyNumberFormat="1" applyAlignment="1">
      <alignment horizontal="left"/>
    </xf>
    <xf numFmtId="4" fontId="12" fillId="0" borderId="0" xfId="17" applyNumberFormat="1" applyFont="1" applyAlignment="1">
      <alignment horizontal="left" vertical="center"/>
    </xf>
    <xf numFmtId="0" fontId="43" fillId="7" borderId="14" xfId="18" applyFont="1" applyFill="1" applyBorder="1" applyAlignment="1">
      <alignment wrapText="1"/>
    </xf>
    <xf numFmtId="0" fontId="51" fillId="7" borderId="14" xfId="18" applyFont="1" applyFill="1" applyBorder="1" applyAlignment="1">
      <alignment wrapText="1"/>
    </xf>
    <xf numFmtId="49" fontId="43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53" fillId="7" borderId="1" xfId="8" applyFont="1" applyFill="1" applyBorder="1" applyAlignment="1">
      <alignment horizontal="center" wrapText="1"/>
    </xf>
    <xf numFmtId="0" fontId="54" fillId="7" borderId="1" xfId="0" applyFont="1" applyFill="1" applyBorder="1" applyAlignment="1">
      <alignment horizontal="center" vertical="center" wrapText="1"/>
    </xf>
    <xf numFmtId="0" fontId="54" fillId="7" borderId="1" xfId="0" applyFont="1" applyFill="1" applyBorder="1" applyAlignment="1">
      <alignment vertical="center" wrapText="1"/>
    </xf>
    <xf numFmtId="0" fontId="6" fillId="0" borderId="15" xfId="19" applyBorder="1" applyAlignment="1">
      <alignment horizontal="left" vertical="center"/>
    </xf>
    <xf numFmtId="0" fontId="0" fillId="0" borderId="0" xfId="14" applyFont="1"/>
    <xf numFmtId="0" fontId="55" fillId="0" borderId="0" xfId="0" applyFont="1" applyAlignment="1">
      <alignment horizontal="left"/>
    </xf>
    <xf numFmtId="4" fontId="56" fillId="0" borderId="0" xfId="0" applyNumberFormat="1" applyFont="1"/>
    <xf numFmtId="0" fontId="57" fillId="0" borderId="0" xfId="0" applyFont="1" applyAlignment="1">
      <alignment horizontal="left" vertical="center"/>
    </xf>
    <xf numFmtId="0" fontId="58" fillId="0" borderId="0" xfId="0" applyFont="1"/>
    <xf numFmtId="2" fontId="55" fillId="0" borderId="0" xfId="0" applyNumberFormat="1" applyFont="1" applyAlignment="1">
      <alignment horizontal="left"/>
    </xf>
    <xf numFmtId="0" fontId="55" fillId="0" borderId="0" xfId="0" applyFont="1" applyAlignment="1">
      <alignment horizontal="right"/>
    </xf>
    <xf numFmtId="0" fontId="59" fillId="0" borderId="0" xfId="0" applyFont="1"/>
    <xf numFmtId="49" fontId="59" fillId="0" borderId="0" xfId="0" applyNumberFormat="1" applyFont="1" applyAlignment="1">
      <alignment horizontal="left"/>
    </xf>
    <xf numFmtId="1" fontId="55" fillId="0" borderId="0" xfId="0" applyNumberFormat="1" applyFont="1"/>
    <xf numFmtId="2" fontId="60" fillId="0" borderId="0" xfId="0" applyNumberFormat="1" applyFont="1" applyAlignment="1">
      <alignment horizontal="right"/>
    </xf>
    <xf numFmtId="0" fontId="55" fillId="0" borderId="0" xfId="0" applyFont="1" applyAlignment="1">
      <alignment horizontal="center"/>
    </xf>
    <xf numFmtId="4" fontId="61" fillId="0" borderId="0" xfId="0" applyNumberFormat="1" applyFont="1" applyAlignment="1">
      <alignment horizontal="left" vertical="center"/>
    </xf>
    <xf numFmtId="0" fontId="57" fillId="0" borderId="0" xfId="0" applyFont="1" applyAlignment="1">
      <alignment horizontal="left"/>
    </xf>
    <xf numFmtId="49" fontId="55" fillId="0" borderId="0" xfId="0" applyNumberFormat="1" applyFont="1"/>
    <xf numFmtId="0" fontId="62" fillId="0" borderId="0" xfId="0" applyFont="1" applyAlignment="1">
      <alignment horizontal="left"/>
    </xf>
    <xf numFmtId="17" fontId="60" fillId="0" borderId="0" xfId="0" applyNumberFormat="1" applyFont="1" applyAlignment="1">
      <alignment horizontal="left"/>
    </xf>
    <xf numFmtId="0" fontId="63" fillId="3" borderId="19" xfId="0" applyFont="1" applyFill="1" applyBorder="1" applyAlignment="1">
      <alignment horizontal="left" vertical="center" wrapText="1"/>
    </xf>
    <xf numFmtId="1" fontId="63" fillId="3" borderId="19" xfId="0" applyNumberFormat="1" applyFont="1" applyFill="1" applyBorder="1" applyAlignment="1">
      <alignment horizontal="left" vertical="center" wrapText="1"/>
    </xf>
    <xf numFmtId="2" fontId="63" fillId="3" borderId="19" xfId="0" applyNumberFormat="1" applyFont="1" applyFill="1" applyBorder="1" applyAlignment="1">
      <alignment horizontal="left" vertical="center" wrapText="1"/>
    </xf>
    <xf numFmtId="0" fontId="63" fillId="3" borderId="20" xfId="0" applyFont="1" applyFill="1" applyBorder="1" applyAlignment="1">
      <alignment horizontal="left" vertical="center" wrapText="1"/>
    </xf>
    <xf numFmtId="0" fontId="63" fillId="3" borderId="21" xfId="0" applyFont="1" applyFill="1" applyBorder="1" applyAlignment="1">
      <alignment horizontal="left" vertical="center" wrapText="1"/>
    </xf>
    <xf numFmtId="14" fontId="64" fillId="9" borderId="22" xfId="0" applyNumberFormat="1" applyFont="1" applyFill="1" applyBorder="1" applyAlignment="1">
      <alignment horizontal="left" vertical="center"/>
    </xf>
    <xf numFmtId="49" fontId="64" fillId="9" borderId="22" xfId="0" applyNumberFormat="1" applyFont="1" applyFill="1" applyBorder="1" applyAlignment="1">
      <alignment horizontal="left" vertical="center"/>
    </xf>
    <xf numFmtId="0" fontId="64" fillId="9" borderId="22" xfId="0" applyFont="1" applyFill="1" applyBorder="1" applyAlignment="1">
      <alignment horizontal="left" vertical="center"/>
    </xf>
    <xf numFmtId="2" fontId="64" fillId="9" borderId="22" xfId="0" applyNumberFormat="1" applyFont="1" applyFill="1" applyBorder="1" applyAlignment="1">
      <alignment horizontal="left" vertical="center"/>
    </xf>
    <xf numFmtId="0" fontId="64" fillId="10" borderId="22" xfId="0" applyFont="1" applyFill="1" applyBorder="1" applyAlignment="1">
      <alignment horizontal="left" vertical="center"/>
    </xf>
    <xf numFmtId="0" fontId="52" fillId="5" borderId="15" xfId="0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vertical="center"/>
    </xf>
    <xf numFmtId="0" fontId="65" fillId="8" borderId="15" xfId="21" applyFont="1" applyFill="1" applyBorder="1" applyAlignment="1">
      <alignment horizontal="left"/>
    </xf>
    <xf numFmtId="0" fontId="40" fillId="8" borderId="0" xfId="9" applyFont="1" applyFill="1" applyAlignment="1">
      <alignment vertical="center"/>
    </xf>
    <xf numFmtId="14" fontId="40" fillId="8" borderId="2" xfId="10" applyNumberFormat="1" applyFont="1" applyFill="1" applyBorder="1" applyAlignment="1">
      <alignment vertical="center" wrapText="1"/>
    </xf>
    <xf numFmtId="14" fontId="40" fillId="8" borderId="2" xfId="10" applyNumberFormat="1" applyFont="1" applyFill="1" applyBorder="1" applyAlignment="1">
      <alignment horizontal="left" vertical="center" wrapText="1"/>
    </xf>
    <xf numFmtId="0" fontId="40" fillId="8" borderId="2" xfId="10" applyFont="1" applyFill="1" applyBorder="1" applyAlignment="1">
      <alignment horizontal="center" vertical="center" wrapText="1"/>
    </xf>
    <xf numFmtId="0" fontId="39" fillId="8" borderId="2" xfId="0" applyFont="1" applyFill="1" applyBorder="1" applyAlignment="1">
      <alignment horizontal="left" vertical="center" wrapText="1"/>
    </xf>
    <xf numFmtId="0" fontId="40" fillId="8" borderId="2" xfId="10" applyFont="1" applyFill="1" applyBorder="1" applyAlignment="1">
      <alignment horizontal="left" vertical="center" wrapText="1"/>
    </xf>
    <xf numFmtId="0" fontId="40" fillId="8" borderId="12" xfId="10" applyFont="1" applyFill="1" applyBorder="1" applyAlignment="1">
      <alignment vertical="center" wrapText="1"/>
    </xf>
    <xf numFmtId="0" fontId="40" fillId="8" borderId="2" xfId="10" quotePrefix="1" applyFont="1" applyFill="1" applyBorder="1" applyAlignment="1">
      <alignment horizontal="left" vertical="center" wrapText="1"/>
    </xf>
    <xf numFmtId="1" fontId="40" fillId="8" borderId="2" xfId="11" quotePrefix="1" applyNumberFormat="1" applyFont="1" applyFill="1" applyBorder="1" applyAlignment="1">
      <alignment horizontal="left" vertical="center"/>
    </xf>
    <xf numFmtId="43" fontId="40" fillId="8" borderId="2" xfId="12" applyFont="1" applyFill="1" applyBorder="1" applyAlignment="1">
      <alignment vertical="center"/>
    </xf>
    <xf numFmtId="43" fontId="6" fillId="8" borderId="13" xfId="19" applyNumberFormat="1" applyFill="1" applyBorder="1" applyAlignment="1">
      <alignment horizontal="left" vertical="center"/>
    </xf>
    <xf numFmtId="0" fontId="6" fillId="8" borderId="0" xfId="19" applyFill="1" applyAlignment="1">
      <alignment vertical="center"/>
    </xf>
    <xf numFmtId="0" fontId="39" fillId="8" borderId="0" xfId="0" applyFont="1" applyFill="1" applyAlignment="1">
      <alignment vertical="center"/>
    </xf>
    <xf numFmtId="0" fontId="18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8" fillId="8" borderId="2" xfId="3" applyFont="1" applyFill="1" applyBorder="1" applyAlignment="1">
      <alignment horizontal="left" vertical="center"/>
    </xf>
    <xf numFmtId="168" fontId="39" fillId="9" borderId="22" xfId="0" applyNumberFormat="1" applyFont="1" applyFill="1" applyBorder="1" applyAlignment="1">
      <alignment horizontal="left" vertical="center"/>
    </xf>
    <xf numFmtId="14" fontId="18" fillId="8" borderId="2" xfId="3" applyNumberFormat="1" applyFont="1" applyFill="1" applyBorder="1" applyAlignment="1">
      <alignment horizontal="center" vertical="center"/>
    </xf>
    <xf numFmtId="1" fontId="18" fillId="8" borderId="2" xfId="3" applyNumberFormat="1" applyFont="1" applyFill="1" applyBorder="1" applyAlignment="1">
      <alignment horizontal="left" vertical="center"/>
    </xf>
    <xf numFmtId="2" fontId="18" fillId="8" borderId="2" xfId="3" applyNumberFormat="1" applyFont="1" applyFill="1" applyBorder="1" applyAlignment="1">
      <alignment horizontal="center" vertical="center"/>
    </xf>
    <xf numFmtId="165" fontId="18" fillId="8" borderId="2" xfId="3" applyNumberFormat="1" applyFont="1" applyFill="1" applyBorder="1" applyAlignment="1">
      <alignment horizontal="center" vertical="center"/>
    </xf>
    <xf numFmtId="0" fontId="38" fillId="8" borderId="2" xfId="4" applyNumberFormat="1" applyFont="1" applyFill="1" applyBorder="1" applyAlignment="1">
      <alignment horizontal="center" vertical="center"/>
    </xf>
    <xf numFmtId="0" fontId="6" fillId="8" borderId="2" xfId="19" applyNumberFormat="1" applyFill="1" applyBorder="1" applyAlignment="1">
      <alignment horizontal="left" vertical="center"/>
    </xf>
    <xf numFmtId="0" fontId="6" fillId="10" borderId="22" xfId="19" applyFill="1" applyBorder="1" applyAlignment="1">
      <alignment horizontal="left" vertical="center"/>
    </xf>
    <xf numFmtId="165" fontId="18" fillId="8" borderId="2" xfId="3" applyNumberFormat="1" applyFont="1" applyFill="1" applyBorder="1" applyAlignment="1">
      <alignment horizontal="left" vertical="center"/>
    </xf>
    <xf numFmtId="0" fontId="4" fillId="0" borderId="0" xfId="0" applyFont="1"/>
    <xf numFmtId="0" fontId="66" fillId="8" borderId="0" xfId="1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168" fontId="39" fillId="9" borderId="23" xfId="0" applyNumberFormat="1" applyFont="1" applyFill="1" applyBorder="1" applyAlignment="1">
      <alignment horizontal="left" vertical="center"/>
    </xf>
    <xf numFmtId="0" fontId="0" fillId="0" borderId="8" xfId="0" applyBorder="1"/>
    <xf numFmtId="0" fontId="67" fillId="8" borderId="2" xfId="3" applyFont="1" applyFill="1" applyBorder="1" applyAlignment="1">
      <alignment horizontal="left" vertical="center"/>
    </xf>
    <xf numFmtId="0" fontId="68" fillId="8" borderId="2" xfId="3" applyFont="1" applyFill="1" applyBorder="1" applyAlignment="1">
      <alignment horizontal="left" vertical="center"/>
    </xf>
    <xf numFmtId="49" fontId="38" fillId="8" borderId="2" xfId="4" applyNumberFormat="1" applyFont="1" applyFill="1" applyBorder="1" applyAlignment="1">
      <alignment horizontal="center" vertical="center"/>
    </xf>
    <xf numFmtId="49" fontId="40" fillId="8" borderId="2" xfId="12" quotePrefix="1" applyNumberFormat="1" applyFont="1" applyFill="1" applyBorder="1" applyAlignment="1">
      <alignment horizontal="left" vertical="center"/>
    </xf>
    <xf numFmtId="49" fontId="39" fillId="8" borderId="1" xfId="0" applyNumberFormat="1" applyFont="1" applyFill="1" applyBorder="1" applyAlignment="1">
      <alignment vertical="center"/>
    </xf>
    <xf numFmtId="49" fontId="3" fillId="8" borderId="1" xfId="0" applyNumberFormat="1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/>
    </xf>
    <xf numFmtId="0" fontId="69" fillId="0" borderId="0" xfId="0" applyFont="1"/>
    <xf numFmtId="43" fontId="0" fillId="0" borderId="0" xfId="0" applyNumberFormat="1"/>
    <xf numFmtId="0" fontId="11" fillId="8" borderId="2" xfId="3" applyFont="1" applyFill="1" applyBorder="1" applyAlignment="1">
      <alignment horizontal="left" vertical="center"/>
    </xf>
    <xf numFmtId="49" fontId="64" fillId="10" borderId="22" xfId="0" applyNumberFormat="1" applyFont="1" applyFill="1" applyBorder="1" applyAlignment="1">
      <alignment horizontal="left" vertical="center"/>
    </xf>
    <xf numFmtId="0" fontId="1" fillId="0" borderId="0" xfId="0" applyFont="1"/>
    <xf numFmtId="0" fontId="24" fillId="0" borderId="0" xfId="0" applyFont="1"/>
    <xf numFmtId="0" fontId="18" fillId="11" borderId="2" xfId="3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arolina3124@yahoo.com" TargetMode="External"/><Relationship Id="rId21" Type="http://schemas.openxmlformats.org/officeDocument/2006/relationships/hyperlink" Target="mailto:damisar.rojas.12@gmail.com" TargetMode="External"/><Relationship Id="rId42" Type="http://schemas.openxmlformats.org/officeDocument/2006/relationships/hyperlink" Target="mailto:domevinnie@gmail.com" TargetMode="External"/><Relationship Id="rId47" Type="http://schemas.openxmlformats.org/officeDocument/2006/relationships/hyperlink" Target="mailto:jncarrion@gmail.com" TargetMode="External"/><Relationship Id="rId63" Type="http://schemas.openxmlformats.org/officeDocument/2006/relationships/hyperlink" Target="mailto:paulina_andrade_p@hotmail.com" TargetMode="External"/><Relationship Id="rId68" Type="http://schemas.openxmlformats.org/officeDocument/2006/relationships/hyperlink" Target="mailto:xjearabad@hotmail.com" TargetMode="External"/><Relationship Id="rId84" Type="http://schemas.openxmlformats.org/officeDocument/2006/relationships/hyperlink" Target="mailto:jeimisramosmunori@gmail.com" TargetMode="External"/><Relationship Id="rId89" Type="http://schemas.openxmlformats.org/officeDocument/2006/relationships/hyperlink" Target="mailto:meges093@yahoo.es" TargetMode="External"/><Relationship Id="rId16" Type="http://schemas.openxmlformats.org/officeDocument/2006/relationships/hyperlink" Target="mailto:xicirubla84@hotmail.com" TargetMode="External"/><Relationship Id="rId11" Type="http://schemas.openxmlformats.org/officeDocument/2006/relationships/hyperlink" Target="mailto:adrianheras@iclod.com" TargetMode="External"/><Relationship Id="rId32" Type="http://schemas.openxmlformats.org/officeDocument/2006/relationships/hyperlink" Target="mailto:ximenazu&#241;iga@hotmail.com" TargetMode="External"/><Relationship Id="rId37" Type="http://schemas.openxmlformats.org/officeDocument/2006/relationships/hyperlink" Target="mailto:marlonv.velez@gmail.com" TargetMode="External"/><Relationship Id="rId53" Type="http://schemas.openxmlformats.org/officeDocument/2006/relationships/hyperlink" Target="mailto:contabilidad@gamaarquitectura.com" TargetMode="External"/><Relationship Id="rId58" Type="http://schemas.openxmlformats.org/officeDocument/2006/relationships/hyperlink" Target="mailto:patriciatinoco2013@gmail.com" TargetMode="External"/><Relationship Id="rId74" Type="http://schemas.openxmlformats.org/officeDocument/2006/relationships/hyperlink" Target="mailto:xfbernalb2014@hotmail.com" TargetMode="External"/><Relationship Id="rId79" Type="http://schemas.openxmlformats.org/officeDocument/2006/relationships/hyperlink" Target="mailto:pochigc8572@hotmail.com" TargetMode="External"/><Relationship Id="rId5" Type="http://schemas.openxmlformats.org/officeDocument/2006/relationships/hyperlink" Target="mailto:dmauri2006@hotmail.com" TargetMode="External"/><Relationship Id="rId90" Type="http://schemas.openxmlformats.org/officeDocument/2006/relationships/hyperlink" Target="mailto:meges093@yahoo.es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mailto:ferzam@gmail.com" TargetMode="External"/><Relationship Id="rId27" Type="http://schemas.openxmlformats.org/officeDocument/2006/relationships/hyperlink" Target="mailto:carolina3124@yahoo.com" TargetMode="External"/><Relationship Id="rId43" Type="http://schemas.openxmlformats.org/officeDocument/2006/relationships/hyperlink" Target="mailto:domevinnie@gmail.com" TargetMode="External"/><Relationship Id="rId48" Type="http://schemas.openxmlformats.org/officeDocument/2006/relationships/hyperlink" Target="mailto:jncarrion@gmail.com" TargetMode="External"/><Relationship Id="rId64" Type="http://schemas.openxmlformats.org/officeDocument/2006/relationships/hyperlink" Target="mailto:xjearabad@hotmail.com" TargetMode="External"/><Relationship Id="rId69" Type="http://schemas.openxmlformats.org/officeDocument/2006/relationships/hyperlink" Target="mailto:jorgeu1968@hotmail.com" TargetMode="External"/><Relationship Id="rId8" Type="http://schemas.openxmlformats.org/officeDocument/2006/relationships/hyperlink" Target="mailto:jennyg@gmail.com" TargetMode="External"/><Relationship Id="rId51" Type="http://schemas.openxmlformats.org/officeDocument/2006/relationships/hyperlink" Target="mailto:jorgemendez5@hotmail.com" TargetMode="External"/><Relationship Id="rId72" Type="http://schemas.openxmlformats.org/officeDocument/2006/relationships/hyperlink" Target="mailto:xfbernalb2014@hotmail.com" TargetMode="External"/><Relationship Id="rId80" Type="http://schemas.openxmlformats.org/officeDocument/2006/relationships/hyperlink" Target="mailto:jeimisramosmunori@gmail.com" TargetMode="External"/><Relationship Id="rId85" Type="http://schemas.openxmlformats.org/officeDocument/2006/relationships/hyperlink" Target="mailto:angipa@live.com" TargetMode="External"/><Relationship Id="rId93" Type="http://schemas.openxmlformats.org/officeDocument/2006/relationships/hyperlink" Target="mailto:angipa@live.com" TargetMode="External"/><Relationship Id="rId3" Type="http://schemas.openxmlformats.org/officeDocument/2006/relationships/hyperlink" Target="mailto:arizjc@yahoo.com" TargetMode="External"/><Relationship Id="rId12" Type="http://schemas.openxmlformats.org/officeDocument/2006/relationships/hyperlink" Target="mailto:viniciopl@hotmail.com" TargetMode="External"/><Relationship Id="rId17" Type="http://schemas.openxmlformats.org/officeDocument/2006/relationships/hyperlink" Target="mailto:xicirubla84@hotmail.com" TargetMode="External"/><Relationship Id="rId25" Type="http://schemas.openxmlformats.org/officeDocument/2006/relationships/hyperlink" Target="mailto:foper.sas@gmail.com" TargetMode="External"/><Relationship Id="rId33" Type="http://schemas.openxmlformats.org/officeDocument/2006/relationships/hyperlink" Target="mailto:ximenazu&#241;iga@hotmail.com" TargetMode="External"/><Relationship Id="rId38" Type="http://schemas.openxmlformats.org/officeDocument/2006/relationships/hyperlink" Target="mailto:marlonv.velez@gmail.com" TargetMode="External"/><Relationship Id="rId46" Type="http://schemas.openxmlformats.org/officeDocument/2006/relationships/hyperlink" Target="mailto:eeorellana.nac@hotmail.com" TargetMode="External"/><Relationship Id="rId59" Type="http://schemas.openxmlformats.org/officeDocument/2006/relationships/hyperlink" Target="mailto:paulina_andrade_p@hotmail.com" TargetMode="External"/><Relationship Id="rId67" Type="http://schemas.openxmlformats.org/officeDocument/2006/relationships/hyperlink" Target="mailto:xjearabad@hotmail.com" TargetMode="External"/><Relationship Id="rId20" Type="http://schemas.openxmlformats.org/officeDocument/2006/relationships/hyperlink" Target="mailto:damisar.rojas.12@gmail.com" TargetMode="External"/><Relationship Id="rId41" Type="http://schemas.openxmlformats.org/officeDocument/2006/relationships/hyperlink" Target="mailto:domevinnie@gmail.com" TargetMode="External"/><Relationship Id="rId54" Type="http://schemas.openxmlformats.org/officeDocument/2006/relationships/hyperlink" Target="mailto:contabilidad@gamaarquitectura.com" TargetMode="External"/><Relationship Id="rId62" Type="http://schemas.openxmlformats.org/officeDocument/2006/relationships/hyperlink" Target="mailto:paulina_andrade_p@hotmail.com" TargetMode="External"/><Relationship Id="rId70" Type="http://schemas.openxmlformats.org/officeDocument/2006/relationships/hyperlink" Target="mailto:jorgeu1968@hotmail.com" TargetMode="External"/><Relationship Id="rId75" Type="http://schemas.openxmlformats.org/officeDocument/2006/relationships/hyperlink" Target="mailto:ecorellana@hotmail.com" TargetMode="External"/><Relationship Id="rId83" Type="http://schemas.openxmlformats.org/officeDocument/2006/relationships/hyperlink" Target="mailto:jeimisramosmunori@gmail.com" TargetMode="External"/><Relationship Id="rId88" Type="http://schemas.openxmlformats.org/officeDocument/2006/relationships/hyperlink" Target="mailto:angipa@live.com" TargetMode="External"/><Relationship Id="rId91" Type="http://schemas.openxmlformats.org/officeDocument/2006/relationships/hyperlink" Target="mailto:juliopavo7@gmail.com" TargetMode="External"/><Relationship Id="rId96" Type="http://schemas.openxmlformats.org/officeDocument/2006/relationships/drawing" Target="../drawings/drawing1.xml"/><Relationship Id="rId1" Type="http://schemas.openxmlformats.org/officeDocument/2006/relationships/hyperlink" Target="mailto:alicia.rosi@yahoo.es" TargetMode="External"/><Relationship Id="rId6" Type="http://schemas.openxmlformats.org/officeDocument/2006/relationships/hyperlink" Target="mailto:dmauri2006@hotmail.com" TargetMode="External"/><Relationship Id="rId15" Type="http://schemas.openxmlformats.org/officeDocument/2006/relationships/hyperlink" Target="mailto:viniciopl@hotmail.com" TargetMode="External"/><Relationship Id="rId23" Type="http://schemas.openxmlformats.org/officeDocument/2006/relationships/hyperlink" Target="mailto:ferzam@gmail.com" TargetMode="External"/><Relationship Id="rId28" Type="http://schemas.openxmlformats.org/officeDocument/2006/relationships/hyperlink" Target="mailto:carolina3124@yahoo.com" TargetMode="External"/><Relationship Id="rId36" Type="http://schemas.openxmlformats.org/officeDocument/2006/relationships/hyperlink" Target="mailto:cdayalloret@hotmail.com" TargetMode="External"/><Relationship Id="rId49" Type="http://schemas.openxmlformats.org/officeDocument/2006/relationships/hyperlink" Target="mailto:jncarrion@gmail.com" TargetMode="External"/><Relationship Id="rId57" Type="http://schemas.openxmlformats.org/officeDocument/2006/relationships/hyperlink" Target="mailto:patriciatinoco2013@gmail.com" TargetMode="External"/><Relationship Id="rId10" Type="http://schemas.openxmlformats.org/officeDocument/2006/relationships/hyperlink" Target="mailto:adrianheras@iclod.com" TargetMode="External"/><Relationship Id="rId31" Type="http://schemas.openxmlformats.org/officeDocument/2006/relationships/hyperlink" Target="mailto:pserranointeriorismo@gmail.com" TargetMode="External"/><Relationship Id="rId44" Type="http://schemas.openxmlformats.org/officeDocument/2006/relationships/hyperlink" Target="mailto:domevinnie@gmail.com" TargetMode="External"/><Relationship Id="rId52" Type="http://schemas.openxmlformats.org/officeDocument/2006/relationships/hyperlink" Target="mailto:contabilidad@gamaarquitectura.com" TargetMode="External"/><Relationship Id="rId60" Type="http://schemas.openxmlformats.org/officeDocument/2006/relationships/hyperlink" Target="mailto:paulina_andrade_p@hotmail.com" TargetMode="External"/><Relationship Id="rId65" Type="http://schemas.openxmlformats.org/officeDocument/2006/relationships/hyperlink" Target="mailto:xjearabad@hotmail.com" TargetMode="External"/><Relationship Id="rId73" Type="http://schemas.openxmlformats.org/officeDocument/2006/relationships/hyperlink" Target="mailto:xfbernalb2014@hotmail.com" TargetMode="External"/><Relationship Id="rId78" Type="http://schemas.openxmlformats.org/officeDocument/2006/relationships/hyperlink" Target="mailto:pochigc8572@hotmail.com" TargetMode="External"/><Relationship Id="rId81" Type="http://schemas.openxmlformats.org/officeDocument/2006/relationships/hyperlink" Target="mailto:jeimisramosmunori@gmail.com" TargetMode="External"/><Relationship Id="rId86" Type="http://schemas.openxmlformats.org/officeDocument/2006/relationships/hyperlink" Target="mailto:angipa@live.com" TargetMode="External"/><Relationship Id="rId94" Type="http://schemas.openxmlformats.org/officeDocument/2006/relationships/hyperlink" Target="mailto:angipa@live.com" TargetMode="External"/><Relationship Id="rId4" Type="http://schemas.openxmlformats.org/officeDocument/2006/relationships/hyperlink" Target="mailto:arizjc@yahoo.com" TargetMode="External"/><Relationship Id="rId9" Type="http://schemas.openxmlformats.org/officeDocument/2006/relationships/hyperlink" Target="mailto:adrianheras@iclod.com" TargetMode="External"/><Relationship Id="rId13" Type="http://schemas.openxmlformats.org/officeDocument/2006/relationships/hyperlink" Target="mailto:viniciopl@hotmail.com" TargetMode="External"/><Relationship Id="rId18" Type="http://schemas.openxmlformats.org/officeDocument/2006/relationships/hyperlink" Target="mailto:xicirubla84@hotmail.com" TargetMode="External"/><Relationship Id="rId39" Type="http://schemas.openxmlformats.org/officeDocument/2006/relationships/hyperlink" Target="mailto:marcy-sarmy@hotmail.com" TargetMode="External"/><Relationship Id="rId34" Type="http://schemas.openxmlformats.org/officeDocument/2006/relationships/hyperlink" Target="mailto:cdayalloret@hotmail.com" TargetMode="External"/><Relationship Id="rId50" Type="http://schemas.openxmlformats.org/officeDocument/2006/relationships/hyperlink" Target="mailto:jorgemendez5@hotmail.com" TargetMode="External"/><Relationship Id="rId55" Type="http://schemas.openxmlformats.org/officeDocument/2006/relationships/hyperlink" Target="mailto:contabilidad@gamaarquitectura.com" TargetMode="External"/><Relationship Id="rId76" Type="http://schemas.openxmlformats.org/officeDocument/2006/relationships/hyperlink" Target="mailto:ecorellana@hotmail.com" TargetMode="External"/><Relationship Id="rId7" Type="http://schemas.openxmlformats.org/officeDocument/2006/relationships/hyperlink" Target="mailto:jennyg@gmail.com" TargetMode="External"/><Relationship Id="rId71" Type="http://schemas.openxmlformats.org/officeDocument/2006/relationships/hyperlink" Target="mailto:jorgeu1968@hotmail.com" TargetMode="External"/><Relationship Id="rId92" Type="http://schemas.openxmlformats.org/officeDocument/2006/relationships/hyperlink" Target="mailto:juliopavo7@gmail.com" TargetMode="External"/><Relationship Id="rId2" Type="http://schemas.openxmlformats.org/officeDocument/2006/relationships/hyperlink" Target="mailto:alicia.rosi@yahoo.es" TargetMode="External"/><Relationship Id="rId29" Type="http://schemas.openxmlformats.org/officeDocument/2006/relationships/hyperlink" Target="mailto:pserranointeriorismo@gmail.com" TargetMode="External"/><Relationship Id="rId24" Type="http://schemas.openxmlformats.org/officeDocument/2006/relationships/hyperlink" Target="mailto:foper.sas@gmail.com" TargetMode="External"/><Relationship Id="rId40" Type="http://schemas.openxmlformats.org/officeDocument/2006/relationships/hyperlink" Target="mailto:marcy-sarmy@hotmail.com" TargetMode="External"/><Relationship Id="rId45" Type="http://schemas.openxmlformats.org/officeDocument/2006/relationships/hyperlink" Target="mailto:eeorellana.nac@hotmail.com" TargetMode="External"/><Relationship Id="rId66" Type="http://schemas.openxmlformats.org/officeDocument/2006/relationships/hyperlink" Target="mailto:xjearabad@hotmail.com" TargetMode="External"/><Relationship Id="rId87" Type="http://schemas.openxmlformats.org/officeDocument/2006/relationships/hyperlink" Target="mailto:angipa@live.com" TargetMode="External"/><Relationship Id="rId61" Type="http://schemas.openxmlformats.org/officeDocument/2006/relationships/hyperlink" Target="mailto:paulina_andrade_p@hotmail.com" TargetMode="External"/><Relationship Id="rId82" Type="http://schemas.openxmlformats.org/officeDocument/2006/relationships/hyperlink" Target="mailto:jeimisramosmunori@gmail.com" TargetMode="External"/><Relationship Id="rId19" Type="http://schemas.openxmlformats.org/officeDocument/2006/relationships/hyperlink" Target="mailto:damisar.rojas.12@gmail.com" TargetMode="External"/><Relationship Id="rId14" Type="http://schemas.openxmlformats.org/officeDocument/2006/relationships/hyperlink" Target="mailto:viniciopl@hotmail.com" TargetMode="External"/><Relationship Id="rId30" Type="http://schemas.openxmlformats.org/officeDocument/2006/relationships/hyperlink" Target="mailto:pserranointeriorismo@gmail.com" TargetMode="External"/><Relationship Id="rId35" Type="http://schemas.openxmlformats.org/officeDocument/2006/relationships/hyperlink" Target="mailto:cdayalloret@hotmail.com" TargetMode="External"/><Relationship Id="rId56" Type="http://schemas.openxmlformats.org/officeDocument/2006/relationships/hyperlink" Target="mailto:contabilidad@gamaarquitectura.com" TargetMode="External"/><Relationship Id="rId77" Type="http://schemas.openxmlformats.org/officeDocument/2006/relationships/hyperlink" Target="mailto:pochigc8572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iniciopl@hotmail.com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ana.barrera7720@yahoo.com" TargetMode="External"/><Relationship Id="rId7" Type="http://schemas.openxmlformats.org/officeDocument/2006/relationships/hyperlink" Target="mailto:nenacarrascot@hot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paolapenah@hotmail.com" TargetMode="External"/><Relationship Id="rId1" Type="http://schemas.openxmlformats.org/officeDocument/2006/relationships/hyperlink" Target="mailto:henrypolotapia@hotmail.com" TargetMode="External"/><Relationship Id="rId6" Type="http://schemas.openxmlformats.org/officeDocument/2006/relationships/hyperlink" Target="mailto:ventas@iglaceec.com" TargetMode="External"/><Relationship Id="rId11" Type="http://schemas.openxmlformats.org/officeDocument/2006/relationships/hyperlink" Target="mailto:poloaymar38@hotmail.com" TargetMode="External"/><Relationship Id="rId5" Type="http://schemas.openxmlformats.org/officeDocument/2006/relationships/hyperlink" Target="mailto:gelorgj@gmail.com" TargetMode="External"/><Relationship Id="rId10" Type="http://schemas.openxmlformats.org/officeDocument/2006/relationships/hyperlink" Target="mailto:cristian181192@gmail.com" TargetMode="External"/><Relationship Id="rId4" Type="http://schemas.openxmlformats.org/officeDocument/2006/relationships/hyperlink" Target="mailto:ana.barrera7720@yahoo.com" TargetMode="External"/><Relationship Id="rId9" Type="http://schemas.openxmlformats.org/officeDocument/2006/relationships/hyperlink" Target="mailto:paulina_andradep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entas@comercialsolis.com.ec" TargetMode="External"/><Relationship Id="rId2" Type="http://schemas.openxmlformats.org/officeDocument/2006/relationships/hyperlink" Target="mailto:ventas@comercialsolis.com.ec" TargetMode="External"/><Relationship Id="rId1" Type="http://schemas.openxmlformats.org/officeDocument/2006/relationships/hyperlink" Target="mailto:fbernalb2014@hotmail.com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mailto:ventas@comercialsolis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vmoscoso@moscosoarquitectos" TargetMode="External"/><Relationship Id="rId18" Type="http://schemas.openxmlformats.org/officeDocument/2006/relationships/hyperlink" Target="mailto:katlyva27@hotmail.com" TargetMode="External"/><Relationship Id="rId26" Type="http://schemas.openxmlformats.org/officeDocument/2006/relationships/hyperlink" Target="mailto:ncenteragrede@hotmail.com" TargetMode="External"/><Relationship Id="rId3" Type="http://schemas.openxmlformats.org/officeDocument/2006/relationships/hyperlink" Target="mailto:karina.ordone391@gmail.com" TargetMode="External"/><Relationship Id="rId21" Type="http://schemas.openxmlformats.org/officeDocument/2006/relationships/hyperlink" Target="mailto:marciamolina7@hotmail.com" TargetMode="External"/><Relationship Id="rId34" Type="http://schemas.openxmlformats.org/officeDocument/2006/relationships/hyperlink" Target="mailto:yairgp@me.com" TargetMode="External"/><Relationship Id="rId7" Type="http://schemas.openxmlformats.org/officeDocument/2006/relationships/hyperlink" Target="mailto:marcosuscal@hotmail.com" TargetMode="External"/><Relationship Id="rId12" Type="http://schemas.openxmlformats.org/officeDocument/2006/relationships/hyperlink" Target="mailto:pamelatapia200@gmail.com" TargetMode="External"/><Relationship Id="rId17" Type="http://schemas.openxmlformats.org/officeDocument/2006/relationships/hyperlink" Target="mailto:gladysmaldonado2@gmail.com" TargetMode="External"/><Relationship Id="rId25" Type="http://schemas.openxmlformats.org/officeDocument/2006/relationships/hyperlink" Target="mailto:janyknda@hotmail.com" TargetMode="External"/><Relationship Id="rId33" Type="http://schemas.openxmlformats.org/officeDocument/2006/relationships/hyperlink" Target="mailto:rectificadora.vasquez@hotmail.com" TargetMode="External"/><Relationship Id="rId2" Type="http://schemas.openxmlformats.org/officeDocument/2006/relationships/hyperlink" Target="mailto:samaniegotania148@gmail.com" TargetMode="External"/><Relationship Id="rId16" Type="http://schemas.openxmlformats.org/officeDocument/2006/relationships/hyperlink" Target="mailto:ma.eu60@hotmail.com" TargetMode="External"/><Relationship Id="rId20" Type="http://schemas.openxmlformats.org/officeDocument/2006/relationships/hyperlink" Target="mailto:denissetintin@gmail.com" TargetMode="External"/><Relationship Id="rId29" Type="http://schemas.openxmlformats.org/officeDocument/2006/relationships/hyperlink" Target="mailto:elita_vazquez@hotmail.com" TargetMode="External"/><Relationship Id="rId1" Type="http://schemas.openxmlformats.org/officeDocument/2006/relationships/hyperlink" Target="mailto:adolfcarpio1804@hotmail.com" TargetMode="External"/><Relationship Id="rId6" Type="http://schemas.openxmlformats.org/officeDocument/2006/relationships/hyperlink" Target="mailto:romanleon123@gmail.com" TargetMode="External"/><Relationship Id="rId11" Type="http://schemas.openxmlformats.org/officeDocument/2006/relationships/hyperlink" Target="mailto:saldanacristian59@gmail.com" TargetMode="External"/><Relationship Id="rId24" Type="http://schemas.openxmlformats.org/officeDocument/2006/relationships/hyperlink" Target="mailto:xavigenaro@hotmail.com" TargetMode="External"/><Relationship Id="rId32" Type="http://schemas.openxmlformats.org/officeDocument/2006/relationships/hyperlink" Target="mailto:isacobos2000@gmail.com" TargetMode="External"/><Relationship Id="rId5" Type="http://schemas.openxmlformats.org/officeDocument/2006/relationships/hyperlink" Target="mailto:aukhate@gmail.com" TargetMode="External"/><Relationship Id="rId15" Type="http://schemas.openxmlformats.org/officeDocument/2006/relationships/hyperlink" Target="mailto:rodol_rr@hotmail.com" TargetMode="External"/><Relationship Id="rId23" Type="http://schemas.openxmlformats.org/officeDocument/2006/relationships/hyperlink" Target="mailto:cenitp@gmail.com" TargetMode="External"/><Relationship Id="rId28" Type="http://schemas.openxmlformats.org/officeDocument/2006/relationships/hyperlink" Target="mailto:ruthortga@gmail.com" TargetMode="External"/><Relationship Id="rId10" Type="http://schemas.openxmlformats.org/officeDocument/2006/relationships/hyperlink" Target="mailto:elvia.pinoscantos@gmail.com" TargetMode="External"/><Relationship Id="rId19" Type="http://schemas.openxmlformats.org/officeDocument/2006/relationships/hyperlink" Target="mailto:alepalacios-19@hotmail.com" TargetMode="External"/><Relationship Id="rId31" Type="http://schemas.openxmlformats.org/officeDocument/2006/relationships/hyperlink" Target="mailto:elita_vazquez@hotmail.com" TargetMode="External"/><Relationship Id="rId4" Type="http://schemas.openxmlformats.org/officeDocument/2006/relationships/hyperlink" Target="mailto:mamdradeca@gmail.com" TargetMode="External"/><Relationship Id="rId9" Type="http://schemas.openxmlformats.org/officeDocument/2006/relationships/hyperlink" Target="mailto:abelenqp92@hotmail.com" TargetMode="External"/><Relationship Id="rId14" Type="http://schemas.openxmlformats.org/officeDocument/2006/relationships/hyperlink" Target="mailto:paopau34@yahoo.com" TargetMode="External"/><Relationship Id="rId22" Type="http://schemas.openxmlformats.org/officeDocument/2006/relationships/hyperlink" Target="mailto:melimorenoc2119@gmail.com" TargetMode="External"/><Relationship Id="rId27" Type="http://schemas.openxmlformats.org/officeDocument/2006/relationships/hyperlink" Target="mailto:aliteca@hotmail.com" TargetMode="External"/><Relationship Id="rId30" Type="http://schemas.openxmlformats.org/officeDocument/2006/relationships/hyperlink" Target="mailto:joq7768@hotmail.com" TargetMode="External"/><Relationship Id="rId35" Type="http://schemas.openxmlformats.org/officeDocument/2006/relationships/printerSettings" Target="../printerSettings/printerSettings3.bin"/><Relationship Id="rId8" Type="http://schemas.openxmlformats.org/officeDocument/2006/relationships/hyperlink" Target="mailto:freddyastudillo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110"/>
  <sheetViews>
    <sheetView tabSelected="1" topLeftCell="C33" zoomScale="110" zoomScaleNormal="110" workbookViewId="0">
      <selection activeCell="F37" sqref="F37"/>
    </sheetView>
  </sheetViews>
  <sheetFormatPr baseColWidth="10" defaultRowHeight="15"/>
  <cols>
    <col min="1" max="1" width="3.5" customWidth="1"/>
    <col min="2" max="2" width="12.5" bestFit="1" customWidth="1"/>
    <col min="3" max="3" width="19.6640625" customWidth="1"/>
    <col min="4" max="4" width="19.83203125" customWidth="1"/>
    <col min="5" max="5" width="14.33203125" customWidth="1"/>
    <col min="6" max="6" width="30.5" customWidth="1"/>
    <col min="7" max="7" width="18.83203125" customWidth="1"/>
    <col min="8" max="8" width="9.1640625" customWidth="1"/>
    <col min="9" max="10" width="8" customWidth="1"/>
    <col min="11" max="11" width="10.83203125" customWidth="1"/>
    <col min="12" max="12" width="24" customWidth="1"/>
    <col min="13" max="13" width="24.33203125" customWidth="1"/>
    <col min="14" max="14" width="13.6640625" customWidth="1"/>
    <col min="15" max="15" width="9.5" customWidth="1"/>
    <col min="16" max="16" width="15" customWidth="1"/>
    <col min="17" max="17" width="9.1640625" customWidth="1"/>
    <col min="18" max="18" width="7.1640625" customWidth="1"/>
    <col min="19" max="19" width="20" customWidth="1"/>
    <col min="20" max="20" width="17.83203125" customWidth="1"/>
    <col min="21" max="21" width="28.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88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 s="196">
        <v>1</v>
      </c>
      <c r="B6" s="195">
        <v>45780</v>
      </c>
      <c r="C6" s="182" t="s">
        <v>89</v>
      </c>
      <c r="D6" s="182" t="s">
        <v>106</v>
      </c>
      <c r="E6" s="179">
        <v>112550020</v>
      </c>
      <c r="F6" s="182" t="s">
        <v>107</v>
      </c>
      <c r="G6" s="182" t="s">
        <v>108</v>
      </c>
      <c r="H6" s="179" t="s">
        <v>42</v>
      </c>
      <c r="I6" s="179" t="s">
        <v>74</v>
      </c>
      <c r="J6" s="179" t="s">
        <v>75</v>
      </c>
      <c r="K6" s="184">
        <v>45796</v>
      </c>
      <c r="L6" s="185" t="s">
        <v>112</v>
      </c>
      <c r="M6" s="185" t="s">
        <v>113</v>
      </c>
      <c r="N6" s="182">
        <v>999396211</v>
      </c>
      <c r="O6" s="186">
        <v>20</v>
      </c>
      <c r="P6" s="179" t="s">
        <v>22</v>
      </c>
      <c r="Q6" s="179" t="s">
        <v>74</v>
      </c>
      <c r="R6" s="187"/>
      <c r="S6" s="182" t="s">
        <v>106</v>
      </c>
      <c r="T6" s="199" t="s">
        <v>114</v>
      </c>
      <c r="U6" s="189" t="s">
        <v>115</v>
      </c>
    </row>
    <row r="7" spans="1:21" ht="32.25" customHeight="1">
      <c r="A7" s="196">
        <v>2</v>
      </c>
      <c r="B7" s="195">
        <v>45625</v>
      </c>
      <c r="C7" s="182" t="s">
        <v>105</v>
      </c>
      <c r="D7" s="182" t="s">
        <v>111</v>
      </c>
      <c r="E7" s="179">
        <v>113430031</v>
      </c>
      <c r="F7" s="182" t="s">
        <v>91</v>
      </c>
      <c r="G7" s="197" t="s">
        <v>109</v>
      </c>
      <c r="H7" s="179" t="s">
        <v>42</v>
      </c>
      <c r="I7" s="179" t="s">
        <v>74</v>
      </c>
      <c r="J7" s="179" t="s">
        <v>75</v>
      </c>
      <c r="K7" s="184">
        <v>45796</v>
      </c>
      <c r="L7" s="185" t="s">
        <v>112</v>
      </c>
      <c r="M7" s="185" t="s">
        <v>113</v>
      </c>
      <c r="N7" s="182">
        <v>999396211</v>
      </c>
      <c r="O7" s="186">
        <v>20</v>
      </c>
      <c r="P7" s="179" t="s">
        <v>22</v>
      </c>
      <c r="Q7" s="179" t="s">
        <v>74</v>
      </c>
      <c r="R7" s="187"/>
      <c r="S7" s="182" t="str">
        <f>D7</f>
        <v>001-001-000000319</v>
      </c>
      <c r="T7" s="199" t="s">
        <v>114</v>
      </c>
      <c r="U7" s="189" t="s">
        <v>115</v>
      </c>
    </row>
    <row r="8" spans="1:21" ht="32.25" customHeight="1">
      <c r="A8" s="196">
        <v>3</v>
      </c>
      <c r="B8" s="195">
        <v>45751</v>
      </c>
      <c r="C8" s="182" t="s">
        <v>89</v>
      </c>
      <c r="D8" s="182" t="s">
        <v>101</v>
      </c>
      <c r="E8" s="179">
        <v>113430073</v>
      </c>
      <c r="F8" s="182" t="s">
        <v>91</v>
      </c>
      <c r="G8" s="198" t="s">
        <v>110</v>
      </c>
      <c r="H8" s="179" t="s">
        <v>42</v>
      </c>
      <c r="I8" s="179" t="s">
        <v>74</v>
      </c>
      <c r="J8" s="179" t="s">
        <v>75</v>
      </c>
      <c r="K8" s="184">
        <v>45798</v>
      </c>
      <c r="L8" s="185" t="s">
        <v>92</v>
      </c>
      <c r="M8" s="185" t="s">
        <v>93</v>
      </c>
      <c r="N8" s="182">
        <v>983444924</v>
      </c>
      <c r="O8" s="186">
        <v>15</v>
      </c>
      <c r="P8" s="179" t="s">
        <v>22</v>
      </c>
      <c r="Q8" s="179" t="s">
        <v>74</v>
      </c>
      <c r="R8" s="187"/>
      <c r="S8" s="182" t="str">
        <f>D8</f>
        <v>001-500-000073529</v>
      </c>
      <c r="T8" s="188">
        <v>702657321</v>
      </c>
      <c r="U8" s="189" t="s">
        <v>94</v>
      </c>
    </row>
    <row r="9" spans="1:21" ht="32.25" customHeight="1">
      <c r="A9" s="196">
        <v>4</v>
      </c>
      <c r="B9" s="195">
        <v>45751</v>
      </c>
      <c r="C9" s="182" t="s">
        <v>89</v>
      </c>
      <c r="D9" s="182" t="s">
        <v>90</v>
      </c>
      <c r="E9" s="179">
        <v>40466241</v>
      </c>
      <c r="F9" s="182" t="s">
        <v>95</v>
      </c>
      <c r="G9" s="182" t="s">
        <v>97</v>
      </c>
      <c r="H9" s="179" t="s">
        <v>42</v>
      </c>
      <c r="I9" s="179" t="s">
        <v>74</v>
      </c>
      <c r="J9" s="179" t="s">
        <v>75</v>
      </c>
      <c r="K9" s="184">
        <v>45798</v>
      </c>
      <c r="L9" s="185" t="s">
        <v>92</v>
      </c>
      <c r="M9" s="185" t="s">
        <v>93</v>
      </c>
      <c r="N9" s="182">
        <v>983444924</v>
      </c>
      <c r="O9" s="186">
        <v>15</v>
      </c>
      <c r="P9" s="179" t="s">
        <v>22</v>
      </c>
      <c r="Q9" s="179" t="s">
        <v>74</v>
      </c>
      <c r="R9" s="187"/>
      <c r="S9" s="182" t="str">
        <f t="shared" ref="S9:S13" si="0">D9</f>
        <v>001-500-000072114</v>
      </c>
      <c r="T9" s="188">
        <v>702657321</v>
      </c>
      <c r="U9" s="189" t="s">
        <v>94</v>
      </c>
    </row>
    <row r="10" spans="1:21" ht="32.25" customHeight="1">
      <c r="A10" s="196">
        <v>5</v>
      </c>
      <c r="B10" s="195">
        <v>45751</v>
      </c>
      <c r="C10" s="182" t="s">
        <v>89</v>
      </c>
      <c r="D10" s="182" t="s">
        <v>102</v>
      </c>
      <c r="E10" s="179">
        <v>40219050</v>
      </c>
      <c r="F10" s="182" t="s">
        <v>96</v>
      </c>
      <c r="G10" s="182" t="s">
        <v>98</v>
      </c>
      <c r="H10" s="179" t="s">
        <v>42</v>
      </c>
      <c r="I10" s="179" t="s">
        <v>74</v>
      </c>
      <c r="J10" s="179" t="s">
        <v>75</v>
      </c>
      <c r="K10" s="184">
        <v>45798</v>
      </c>
      <c r="L10" s="185" t="s">
        <v>92</v>
      </c>
      <c r="M10" s="185" t="s">
        <v>93</v>
      </c>
      <c r="N10" s="182">
        <v>983444924</v>
      </c>
      <c r="O10" s="186">
        <v>15</v>
      </c>
      <c r="P10" s="179" t="s">
        <v>22</v>
      </c>
      <c r="Q10" s="179" t="s">
        <v>74</v>
      </c>
      <c r="R10" s="187"/>
      <c r="S10" s="182" t="str">
        <f t="shared" si="0"/>
        <v>001-500-000072143</v>
      </c>
      <c r="T10" s="188">
        <v>702657321</v>
      </c>
      <c r="U10" s="189" t="s">
        <v>94</v>
      </c>
    </row>
    <row r="11" spans="1:21" ht="32.25" customHeight="1">
      <c r="A11" s="196">
        <v>6</v>
      </c>
      <c r="B11" s="195">
        <v>45751</v>
      </c>
      <c r="C11" s="182" t="s">
        <v>89</v>
      </c>
      <c r="D11" s="182" t="s">
        <v>102</v>
      </c>
      <c r="E11" s="179">
        <v>40584305</v>
      </c>
      <c r="F11" s="182" t="s">
        <v>103</v>
      </c>
      <c r="G11" s="182" t="s">
        <v>99</v>
      </c>
      <c r="H11" s="179" t="s">
        <v>42</v>
      </c>
      <c r="I11" s="179" t="s">
        <v>74</v>
      </c>
      <c r="J11" s="179" t="s">
        <v>75</v>
      </c>
      <c r="K11" s="184">
        <v>45798</v>
      </c>
      <c r="L11" s="185" t="s">
        <v>92</v>
      </c>
      <c r="M11" s="185" t="s">
        <v>93</v>
      </c>
      <c r="N11" s="182">
        <v>983444924</v>
      </c>
      <c r="O11" s="186">
        <v>15</v>
      </c>
      <c r="P11" s="179" t="s">
        <v>22</v>
      </c>
      <c r="Q11" s="179" t="s">
        <v>74</v>
      </c>
      <c r="R11" s="187"/>
      <c r="S11" s="182" t="str">
        <f t="shared" si="0"/>
        <v>001-500-000072143</v>
      </c>
      <c r="T11" s="188">
        <v>702657321</v>
      </c>
      <c r="U11" s="189" t="s">
        <v>94</v>
      </c>
    </row>
    <row r="12" spans="1:21" ht="32.25" customHeight="1">
      <c r="A12" s="196">
        <v>7</v>
      </c>
      <c r="B12" s="195">
        <v>45751</v>
      </c>
      <c r="C12" s="182" t="s">
        <v>89</v>
      </c>
      <c r="D12" s="182" t="s">
        <v>90</v>
      </c>
      <c r="E12" s="179">
        <v>111000051</v>
      </c>
      <c r="F12" s="182" t="s">
        <v>104</v>
      </c>
      <c r="G12" s="182" t="s">
        <v>100</v>
      </c>
      <c r="H12" s="179" t="s">
        <v>42</v>
      </c>
      <c r="I12" s="179" t="s">
        <v>74</v>
      </c>
      <c r="J12" s="179" t="s">
        <v>75</v>
      </c>
      <c r="K12" s="184">
        <v>45798</v>
      </c>
      <c r="L12" s="185" t="s">
        <v>92</v>
      </c>
      <c r="M12" s="185" t="s">
        <v>93</v>
      </c>
      <c r="N12" s="182">
        <v>983444924</v>
      </c>
      <c r="O12" s="186">
        <v>15</v>
      </c>
      <c r="P12" s="179" t="s">
        <v>22</v>
      </c>
      <c r="Q12" s="179" t="s">
        <v>74</v>
      </c>
      <c r="R12" s="187"/>
      <c r="S12" s="182" t="str">
        <f t="shared" si="0"/>
        <v>001-500-000072114</v>
      </c>
      <c r="T12" s="188">
        <v>702657321</v>
      </c>
      <c r="U12" s="189" t="s">
        <v>94</v>
      </c>
    </row>
    <row r="13" spans="1:21" ht="32.25" customHeight="1">
      <c r="A13" s="196">
        <v>8</v>
      </c>
      <c r="B13" s="183">
        <v>45788</v>
      </c>
      <c r="C13" s="182" t="s">
        <v>116</v>
      </c>
      <c r="D13" s="182" t="s">
        <v>117</v>
      </c>
      <c r="E13" s="179">
        <v>111010041</v>
      </c>
      <c r="F13" s="182" t="s">
        <v>118</v>
      </c>
      <c r="G13" s="182" t="s">
        <v>119</v>
      </c>
      <c r="H13" s="179" t="s">
        <v>42</v>
      </c>
      <c r="I13" s="179" t="s">
        <v>74</v>
      </c>
      <c r="J13" s="179" t="s">
        <v>75</v>
      </c>
      <c r="K13" s="184">
        <v>45798</v>
      </c>
      <c r="L13" s="185" t="s">
        <v>122</v>
      </c>
      <c r="M13" s="185" t="s">
        <v>123</v>
      </c>
      <c r="N13" s="182">
        <v>987225259</v>
      </c>
      <c r="O13" s="186">
        <v>20</v>
      </c>
      <c r="P13" s="179" t="s">
        <v>22</v>
      </c>
      <c r="Q13" s="179" t="s">
        <v>74</v>
      </c>
      <c r="R13" s="187"/>
      <c r="S13" s="191" t="str">
        <f t="shared" si="0"/>
        <v>044-014-000007311</v>
      </c>
      <c r="T13" s="188">
        <v>102218500</v>
      </c>
      <c r="U13" s="189" t="s">
        <v>124</v>
      </c>
    </row>
    <row r="14" spans="1:21" ht="32.25" customHeight="1">
      <c r="A14" s="196">
        <v>9</v>
      </c>
      <c r="B14" s="183">
        <v>45788</v>
      </c>
      <c r="C14" s="182" t="s">
        <v>116</v>
      </c>
      <c r="D14" s="182" t="s">
        <v>117</v>
      </c>
      <c r="E14" s="179">
        <v>112570128</v>
      </c>
      <c r="F14" s="182" t="s">
        <v>120</v>
      </c>
      <c r="G14" s="182" t="s">
        <v>121</v>
      </c>
      <c r="H14" s="179" t="s">
        <v>42</v>
      </c>
      <c r="I14" s="179" t="s">
        <v>74</v>
      </c>
      <c r="J14" s="179" t="s">
        <v>75</v>
      </c>
      <c r="K14" s="184">
        <v>45798</v>
      </c>
      <c r="L14" s="185" t="s">
        <v>122</v>
      </c>
      <c r="M14" s="185" t="s">
        <v>123</v>
      </c>
      <c r="N14" s="182">
        <v>987225259</v>
      </c>
      <c r="O14" s="186">
        <v>20</v>
      </c>
      <c r="P14" s="179" t="s">
        <v>22</v>
      </c>
      <c r="Q14" s="179" t="s">
        <v>74</v>
      </c>
      <c r="R14" s="187"/>
      <c r="S14" s="191" t="str">
        <f t="shared" ref="S14:S17" si="1">D14</f>
        <v>044-014-000007311</v>
      </c>
      <c r="T14" s="188">
        <v>102218500</v>
      </c>
      <c r="U14" s="189" t="s">
        <v>124</v>
      </c>
    </row>
    <row r="15" spans="1:21" ht="32.25" customHeight="1">
      <c r="A15" s="196">
        <v>10</v>
      </c>
      <c r="B15" s="183">
        <v>45793</v>
      </c>
      <c r="C15" s="182" t="s">
        <v>89</v>
      </c>
      <c r="D15" s="182" t="s">
        <v>254</v>
      </c>
      <c r="E15" s="179">
        <v>112580017</v>
      </c>
      <c r="F15" s="182" t="s">
        <v>210</v>
      </c>
      <c r="G15" s="182" t="s">
        <v>255</v>
      </c>
      <c r="H15" s="179" t="s">
        <v>42</v>
      </c>
      <c r="I15" s="179" t="s">
        <v>74</v>
      </c>
      <c r="J15" s="179" t="s">
        <v>75</v>
      </c>
      <c r="K15" s="184">
        <v>45799</v>
      </c>
      <c r="L15" s="185" t="s">
        <v>257</v>
      </c>
      <c r="M15" s="185" t="s">
        <v>258</v>
      </c>
      <c r="N15" s="182">
        <v>997929536</v>
      </c>
      <c r="O15" s="186">
        <v>20</v>
      </c>
      <c r="P15" s="179" t="s">
        <v>22</v>
      </c>
      <c r="Q15" s="179" t="s">
        <v>74</v>
      </c>
      <c r="R15" s="187"/>
      <c r="S15" s="191" t="str">
        <f t="shared" si="1"/>
        <v>001-500-000073495</v>
      </c>
      <c r="T15" s="188">
        <v>195149100</v>
      </c>
      <c r="U15" s="189" t="s">
        <v>259</v>
      </c>
    </row>
    <row r="16" spans="1:21" ht="32.25" customHeight="1">
      <c r="A16" s="196">
        <v>11</v>
      </c>
      <c r="B16" s="183">
        <v>45793</v>
      </c>
      <c r="C16" s="182" t="s">
        <v>89</v>
      </c>
      <c r="D16" s="182" t="s">
        <v>254</v>
      </c>
      <c r="E16" s="179">
        <v>40466241</v>
      </c>
      <c r="F16" s="182" t="s">
        <v>128</v>
      </c>
      <c r="G16" s="182" t="s">
        <v>256</v>
      </c>
      <c r="H16" s="179" t="s">
        <v>42</v>
      </c>
      <c r="I16" s="179" t="s">
        <v>74</v>
      </c>
      <c r="J16" s="179" t="s">
        <v>75</v>
      </c>
      <c r="K16" s="184">
        <v>45799</v>
      </c>
      <c r="L16" s="185" t="s">
        <v>257</v>
      </c>
      <c r="M16" s="185" t="s">
        <v>258</v>
      </c>
      <c r="N16" s="182">
        <v>997929536</v>
      </c>
      <c r="O16" s="186">
        <v>20</v>
      </c>
      <c r="P16" s="179" t="s">
        <v>22</v>
      </c>
      <c r="Q16" s="179" t="s">
        <v>74</v>
      </c>
      <c r="R16" s="187"/>
      <c r="S16" s="191" t="str">
        <f t="shared" ref="S16" si="2">D16</f>
        <v>001-500-000073495</v>
      </c>
      <c r="T16" s="188">
        <v>195149100</v>
      </c>
      <c r="U16" s="189" t="s">
        <v>259</v>
      </c>
    </row>
    <row r="17" spans="1:21" ht="32.25" customHeight="1">
      <c r="A17" s="196">
        <v>12</v>
      </c>
      <c r="B17" s="183">
        <v>45738</v>
      </c>
      <c r="C17" s="182" t="s">
        <v>125</v>
      </c>
      <c r="D17" s="182" t="s">
        <v>167</v>
      </c>
      <c r="E17" s="179">
        <v>40584202</v>
      </c>
      <c r="F17" s="182" t="s">
        <v>168</v>
      </c>
      <c r="G17" s="182" t="s">
        <v>169</v>
      </c>
      <c r="H17" s="179" t="s">
        <v>42</v>
      </c>
      <c r="I17" s="179" t="s">
        <v>74</v>
      </c>
      <c r="J17" s="179" t="s">
        <v>75</v>
      </c>
      <c r="K17" s="184">
        <v>45799</v>
      </c>
      <c r="L17" s="185" t="s">
        <v>171</v>
      </c>
      <c r="M17" s="185" t="s">
        <v>172</v>
      </c>
      <c r="N17" s="182">
        <v>990251569</v>
      </c>
      <c r="O17" s="186">
        <v>20</v>
      </c>
      <c r="P17" s="179" t="s">
        <v>22</v>
      </c>
      <c r="Q17" s="179" t="s">
        <v>74</v>
      </c>
      <c r="R17" s="187"/>
      <c r="S17" s="191" t="str">
        <f t="shared" si="1"/>
        <v>016-907-000244497</v>
      </c>
      <c r="T17" s="188">
        <v>106456429</v>
      </c>
      <c r="U17" s="189" t="s">
        <v>173</v>
      </c>
    </row>
    <row r="18" spans="1:21" ht="32.25" customHeight="1">
      <c r="A18" s="196">
        <v>13</v>
      </c>
      <c r="B18" s="183">
        <v>45738</v>
      </c>
      <c r="C18" s="182" t="s">
        <v>125</v>
      </c>
      <c r="D18" s="182" t="s">
        <v>167</v>
      </c>
      <c r="E18" s="179">
        <v>111000051</v>
      </c>
      <c r="F18" s="182" t="s">
        <v>104</v>
      </c>
      <c r="G18" s="182" t="s">
        <v>170</v>
      </c>
      <c r="H18" s="179" t="s">
        <v>42</v>
      </c>
      <c r="I18" s="179" t="s">
        <v>74</v>
      </c>
      <c r="J18" s="179" t="s">
        <v>75</v>
      </c>
      <c r="K18" s="184">
        <v>45799</v>
      </c>
      <c r="L18" s="185" t="s">
        <v>171</v>
      </c>
      <c r="M18" s="185" t="s">
        <v>172</v>
      </c>
      <c r="N18" s="182">
        <v>990251569</v>
      </c>
      <c r="O18" s="186">
        <v>20</v>
      </c>
      <c r="P18" s="179" t="s">
        <v>22</v>
      </c>
      <c r="Q18" s="179" t="s">
        <v>74</v>
      </c>
      <c r="R18" s="187"/>
      <c r="S18" s="191" t="str">
        <f t="shared" ref="S18:S19" si="3">D18</f>
        <v>016-907-000244497</v>
      </c>
      <c r="T18" s="188">
        <v>106456429</v>
      </c>
      <c r="U18" s="189" t="s">
        <v>173</v>
      </c>
    </row>
    <row r="19" spans="1:21" ht="32.25" customHeight="1">
      <c r="A19" s="196">
        <v>14</v>
      </c>
      <c r="B19" s="183">
        <v>45688</v>
      </c>
      <c r="C19" s="182" t="s">
        <v>176</v>
      </c>
      <c r="D19" s="182" t="s">
        <v>177</v>
      </c>
      <c r="E19" s="179">
        <v>112500048</v>
      </c>
      <c r="F19" s="182" t="s">
        <v>178</v>
      </c>
      <c r="G19" s="182" t="s">
        <v>179</v>
      </c>
      <c r="H19" s="179" t="s">
        <v>42</v>
      </c>
      <c r="I19" s="179" t="s">
        <v>74</v>
      </c>
      <c r="J19" s="179" t="s">
        <v>75</v>
      </c>
      <c r="K19" s="184">
        <v>45799</v>
      </c>
      <c r="L19" s="185" t="s">
        <v>184</v>
      </c>
      <c r="M19" s="185" t="s">
        <v>185</v>
      </c>
      <c r="N19" s="182">
        <v>982660042</v>
      </c>
      <c r="O19" s="186">
        <v>15</v>
      </c>
      <c r="P19" s="179" t="s">
        <v>22</v>
      </c>
      <c r="Q19" s="179" t="s">
        <v>74</v>
      </c>
      <c r="R19" s="187"/>
      <c r="S19" s="182" t="str">
        <f t="shared" si="3"/>
        <v>006-002-000157953</v>
      </c>
      <c r="T19" s="188">
        <v>104435417</v>
      </c>
      <c r="U19" s="189" t="s">
        <v>186</v>
      </c>
    </row>
    <row r="20" spans="1:21" ht="32.25" customHeight="1">
      <c r="A20" s="196">
        <v>15</v>
      </c>
      <c r="B20" s="183">
        <v>45688</v>
      </c>
      <c r="C20" s="182" t="s">
        <v>176</v>
      </c>
      <c r="D20" s="182" t="s">
        <v>177</v>
      </c>
      <c r="E20" s="179">
        <v>111000051</v>
      </c>
      <c r="F20" s="182" t="s">
        <v>182</v>
      </c>
      <c r="G20" s="182" t="s">
        <v>180</v>
      </c>
      <c r="H20" s="179" t="s">
        <v>42</v>
      </c>
      <c r="I20" s="179" t="s">
        <v>74</v>
      </c>
      <c r="J20" s="179" t="s">
        <v>75</v>
      </c>
      <c r="K20" s="184">
        <v>45799</v>
      </c>
      <c r="L20" s="185" t="s">
        <v>184</v>
      </c>
      <c r="M20" s="185" t="s">
        <v>185</v>
      </c>
      <c r="N20" s="182">
        <v>982660042</v>
      </c>
      <c r="O20" s="186">
        <v>15</v>
      </c>
      <c r="P20" s="179" t="s">
        <v>22</v>
      </c>
      <c r="Q20" s="179" t="s">
        <v>74</v>
      </c>
      <c r="R20" s="187"/>
      <c r="S20" s="182" t="str">
        <f t="shared" ref="S20:S22" si="4">D20</f>
        <v>006-002-000157953</v>
      </c>
      <c r="T20" s="188">
        <v>104435417</v>
      </c>
      <c r="U20" s="189" t="s">
        <v>186</v>
      </c>
    </row>
    <row r="21" spans="1:21" ht="32.25" customHeight="1">
      <c r="A21" s="196">
        <v>16</v>
      </c>
      <c r="B21" s="183">
        <v>45688</v>
      </c>
      <c r="C21" s="182" t="s">
        <v>176</v>
      </c>
      <c r="D21" s="182" t="s">
        <v>177</v>
      </c>
      <c r="E21" s="179">
        <v>113100004</v>
      </c>
      <c r="F21" s="182" t="s">
        <v>183</v>
      </c>
      <c r="G21" s="182" t="s">
        <v>181</v>
      </c>
      <c r="H21" s="179" t="s">
        <v>42</v>
      </c>
      <c r="I21" s="179" t="s">
        <v>74</v>
      </c>
      <c r="J21" s="179" t="s">
        <v>75</v>
      </c>
      <c r="K21" s="184">
        <v>45799</v>
      </c>
      <c r="L21" s="185" t="s">
        <v>184</v>
      </c>
      <c r="M21" s="185" t="s">
        <v>185</v>
      </c>
      <c r="N21" s="182">
        <v>982660042</v>
      </c>
      <c r="O21" s="186">
        <v>30</v>
      </c>
      <c r="P21" s="179" t="s">
        <v>22</v>
      </c>
      <c r="Q21" s="179" t="s">
        <v>74</v>
      </c>
      <c r="R21" s="187"/>
      <c r="S21" s="182" t="str">
        <f t="shared" si="4"/>
        <v>006-002-000157953</v>
      </c>
      <c r="T21" s="188">
        <v>104435417</v>
      </c>
      <c r="U21" s="189" t="s">
        <v>186</v>
      </c>
    </row>
    <row r="22" spans="1:21" ht="32.25" customHeight="1">
      <c r="A22" s="196">
        <v>17</v>
      </c>
      <c r="B22" s="183">
        <v>45626</v>
      </c>
      <c r="C22" s="182" t="s">
        <v>176</v>
      </c>
      <c r="D22" s="182" t="s">
        <v>187</v>
      </c>
      <c r="E22" s="179">
        <v>112570108</v>
      </c>
      <c r="F22" s="182" t="s">
        <v>120</v>
      </c>
      <c r="G22" s="182" t="s">
        <v>191</v>
      </c>
      <c r="H22" s="179" t="s">
        <v>42</v>
      </c>
      <c r="I22" s="179" t="s">
        <v>74</v>
      </c>
      <c r="J22" s="179" t="s">
        <v>75</v>
      </c>
      <c r="K22" s="184">
        <v>45800</v>
      </c>
      <c r="L22" s="185" t="s">
        <v>195</v>
      </c>
      <c r="M22" s="185" t="s">
        <v>196</v>
      </c>
      <c r="N22" s="182">
        <v>999509380</v>
      </c>
      <c r="O22" s="186">
        <v>15</v>
      </c>
      <c r="P22" s="179" t="s">
        <v>22</v>
      </c>
      <c r="Q22" s="179" t="s">
        <v>74</v>
      </c>
      <c r="R22" s="187"/>
      <c r="S22" s="182" t="str">
        <f t="shared" si="4"/>
        <v>006-002-000157117</v>
      </c>
      <c r="T22" s="188">
        <v>102283629</v>
      </c>
      <c r="U22" s="189" t="s">
        <v>197</v>
      </c>
    </row>
    <row r="23" spans="1:21" ht="32.25" customHeight="1">
      <c r="A23" s="196">
        <v>18</v>
      </c>
      <c r="B23" s="183">
        <v>45626</v>
      </c>
      <c r="C23" s="182" t="s">
        <v>176</v>
      </c>
      <c r="D23" s="182" t="s">
        <v>187</v>
      </c>
      <c r="E23" s="179">
        <v>111000059</v>
      </c>
      <c r="F23" s="182" t="s">
        <v>188</v>
      </c>
      <c r="G23" s="182" t="s">
        <v>192</v>
      </c>
      <c r="H23" s="179" t="s">
        <v>42</v>
      </c>
      <c r="I23" s="179" t="s">
        <v>74</v>
      </c>
      <c r="J23" s="179" t="s">
        <v>75</v>
      </c>
      <c r="K23" s="184">
        <v>45800</v>
      </c>
      <c r="L23" s="185" t="s">
        <v>195</v>
      </c>
      <c r="M23" s="185" t="s">
        <v>196</v>
      </c>
      <c r="N23" s="182">
        <v>999509380</v>
      </c>
      <c r="O23" s="186">
        <v>15</v>
      </c>
      <c r="P23" s="179" t="s">
        <v>22</v>
      </c>
      <c r="Q23" s="179" t="s">
        <v>74</v>
      </c>
      <c r="R23" s="187"/>
      <c r="S23" s="182" t="str">
        <f t="shared" ref="S23:S26" si="5">D23</f>
        <v>006-002-000157117</v>
      </c>
      <c r="T23" s="188">
        <v>102283629</v>
      </c>
      <c r="U23" s="189" t="s">
        <v>197</v>
      </c>
    </row>
    <row r="24" spans="1:21" ht="32.25" customHeight="1">
      <c r="A24" s="196">
        <v>19</v>
      </c>
      <c r="B24" s="183">
        <v>45626</v>
      </c>
      <c r="C24" s="182" t="s">
        <v>176</v>
      </c>
      <c r="D24" s="182" t="s">
        <v>187</v>
      </c>
      <c r="E24" s="179">
        <v>112030010</v>
      </c>
      <c r="F24" s="182" t="s">
        <v>189</v>
      </c>
      <c r="G24" s="182" t="s">
        <v>193</v>
      </c>
      <c r="H24" s="179" t="s">
        <v>42</v>
      </c>
      <c r="I24" s="179" t="s">
        <v>74</v>
      </c>
      <c r="J24" s="179" t="s">
        <v>75</v>
      </c>
      <c r="K24" s="184">
        <v>45800</v>
      </c>
      <c r="L24" s="185" t="s">
        <v>195</v>
      </c>
      <c r="M24" s="185" t="s">
        <v>196</v>
      </c>
      <c r="N24" s="182">
        <v>999509380</v>
      </c>
      <c r="O24" s="186">
        <v>15</v>
      </c>
      <c r="P24" s="179" t="s">
        <v>22</v>
      </c>
      <c r="Q24" s="179" t="s">
        <v>74</v>
      </c>
      <c r="R24" s="187"/>
      <c r="S24" s="182" t="str">
        <f t="shared" si="5"/>
        <v>006-002-000157117</v>
      </c>
      <c r="T24" s="188">
        <v>102283629</v>
      </c>
      <c r="U24" s="189" t="s">
        <v>197</v>
      </c>
    </row>
    <row r="25" spans="1:21" ht="32.25" customHeight="1">
      <c r="A25" s="196">
        <v>20</v>
      </c>
      <c r="B25" s="183">
        <v>45626</v>
      </c>
      <c r="C25" s="182" t="s">
        <v>176</v>
      </c>
      <c r="D25" s="182" t="s">
        <v>187</v>
      </c>
      <c r="E25" s="179">
        <v>40197155</v>
      </c>
      <c r="F25" s="182" t="s">
        <v>190</v>
      </c>
      <c r="G25" s="182" t="s">
        <v>194</v>
      </c>
      <c r="H25" s="179" t="s">
        <v>42</v>
      </c>
      <c r="I25" s="179" t="s">
        <v>74</v>
      </c>
      <c r="J25" s="179" t="s">
        <v>75</v>
      </c>
      <c r="K25" s="184">
        <v>45800</v>
      </c>
      <c r="L25" s="185" t="s">
        <v>195</v>
      </c>
      <c r="M25" s="185" t="s">
        <v>196</v>
      </c>
      <c r="N25" s="182">
        <v>999509380</v>
      </c>
      <c r="O25" s="186">
        <v>15</v>
      </c>
      <c r="P25" s="179" t="s">
        <v>22</v>
      </c>
      <c r="Q25" s="179" t="s">
        <v>74</v>
      </c>
      <c r="R25" s="187"/>
      <c r="S25" s="182" t="str">
        <f t="shared" si="5"/>
        <v>006-002-000157117</v>
      </c>
      <c r="T25" s="188">
        <v>102283629</v>
      </c>
      <c r="U25" s="189" t="s">
        <v>197</v>
      </c>
    </row>
    <row r="26" spans="1:21" ht="32.25" customHeight="1">
      <c r="A26" s="196">
        <v>21</v>
      </c>
      <c r="B26" s="183">
        <v>45627</v>
      </c>
      <c r="C26" s="182" t="s">
        <v>116</v>
      </c>
      <c r="D26" s="182" t="s">
        <v>198</v>
      </c>
      <c r="E26" s="179">
        <v>111000051</v>
      </c>
      <c r="F26" s="182" t="s">
        <v>182</v>
      </c>
      <c r="G26" s="182" t="s">
        <v>199</v>
      </c>
      <c r="H26" s="179" t="s">
        <v>42</v>
      </c>
      <c r="I26" s="179" t="s">
        <v>74</v>
      </c>
      <c r="J26" s="179" t="s">
        <v>75</v>
      </c>
      <c r="K26" s="184">
        <v>45800</v>
      </c>
      <c r="L26" s="185" t="s">
        <v>202</v>
      </c>
      <c r="M26" s="185" t="s">
        <v>203</v>
      </c>
      <c r="N26" s="182">
        <v>995961394</v>
      </c>
      <c r="O26" s="186">
        <v>15</v>
      </c>
      <c r="P26" s="179" t="s">
        <v>22</v>
      </c>
      <c r="Q26" s="179" t="s">
        <v>74</v>
      </c>
      <c r="R26" s="187"/>
      <c r="S26" s="182" t="str">
        <f t="shared" si="5"/>
        <v>040-107-000001532</v>
      </c>
      <c r="T26" s="188">
        <v>102311651</v>
      </c>
      <c r="U26" s="189" t="s">
        <v>204</v>
      </c>
    </row>
    <row r="27" spans="1:21" ht="32.25" customHeight="1">
      <c r="A27" s="196">
        <v>22</v>
      </c>
      <c r="B27" s="183">
        <v>45627</v>
      </c>
      <c r="C27" s="182" t="s">
        <v>116</v>
      </c>
      <c r="D27" s="182" t="s">
        <v>198</v>
      </c>
      <c r="E27" s="179">
        <v>112030019</v>
      </c>
      <c r="F27" s="182" t="s">
        <v>486</v>
      </c>
      <c r="G27" s="182" t="s">
        <v>200</v>
      </c>
      <c r="H27" s="179" t="s">
        <v>42</v>
      </c>
      <c r="I27" s="179" t="s">
        <v>74</v>
      </c>
      <c r="J27" s="179" t="s">
        <v>75</v>
      </c>
      <c r="K27" s="184">
        <v>45800</v>
      </c>
      <c r="L27" s="185" t="s">
        <v>202</v>
      </c>
      <c r="M27" s="185" t="s">
        <v>203</v>
      </c>
      <c r="N27" s="182">
        <v>995961394</v>
      </c>
      <c r="O27" s="186">
        <v>15</v>
      </c>
      <c r="P27" s="179" t="s">
        <v>22</v>
      </c>
      <c r="Q27" s="179" t="s">
        <v>74</v>
      </c>
      <c r="R27" s="187"/>
      <c r="S27" s="182" t="str">
        <f t="shared" ref="S27:S29" si="6">D27</f>
        <v>040-107-000001532</v>
      </c>
      <c r="T27" s="188">
        <v>102311651</v>
      </c>
      <c r="U27" s="189" t="s">
        <v>204</v>
      </c>
    </row>
    <row r="28" spans="1:21" ht="32.25" customHeight="1">
      <c r="A28" s="196">
        <v>23</v>
      </c>
      <c r="B28" s="183">
        <v>45627</v>
      </c>
      <c r="C28" s="182" t="s">
        <v>116</v>
      </c>
      <c r="D28" s="182" t="s">
        <v>198</v>
      </c>
      <c r="E28" s="179">
        <v>41398037</v>
      </c>
      <c r="F28" s="182" t="s">
        <v>735</v>
      </c>
      <c r="G28" s="182" t="s">
        <v>201</v>
      </c>
      <c r="H28" s="179" t="s">
        <v>42</v>
      </c>
      <c r="I28" s="179" t="s">
        <v>74</v>
      </c>
      <c r="J28" s="179" t="s">
        <v>75</v>
      </c>
      <c r="K28" s="184">
        <v>45800</v>
      </c>
      <c r="L28" s="185" t="s">
        <v>202</v>
      </c>
      <c r="M28" s="185" t="s">
        <v>203</v>
      </c>
      <c r="N28" s="182">
        <v>995961394</v>
      </c>
      <c r="O28" s="186">
        <v>15</v>
      </c>
      <c r="P28" s="179" t="s">
        <v>22</v>
      </c>
      <c r="Q28" s="179" t="s">
        <v>74</v>
      </c>
      <c r="R28" s="187"/>
      <c r="S28" s="182" t="str">
        <f t="shared" si="6"/>
        <v>040-107-000001532</v>
      </c>
      <c r="T28" s="188">
        <v>102311651</v>
      </c>
      <c r="U28" s="189" t="s">
        <v>204</v>
      </c>
    </row>
    <row r="29" spans="1:21" ht="32.25" customHeight="1">
      <c r="A29" s="196">
        <v>24</v>
      </c>
      <c r="B29" s="183">
        <v>45752</v>
      </c>
      <c r="C29" s="182" t="s">
        <v>89</v>
      </c>
      <c r="D29" s="182" t="s">
        <v>205</v>
      </c>
      <c r="E29" s="179">
        <v>40461507</v>
      </c>
      <c r="F29" s="182" t="s">
        <v>206</v>
      </c>
      <c r="G29" s="182" t="s">
        <v>207</v>
      </c>
      <c r="H29" s="179" t="s">
        <v>42</v>
      </c>
      <c r="I29" s="179" t="s">
        <v>74</v>
      </c>
      <c r="J29" s="179" t="s">
        <v>75</v>
      </c>
      <c r="K29" s="184">
        <v>45802</v>
      </c>
      <c r="L29" s="185" t="s">
        <v>212</v>
      </c>
      <c r="M29" s="185" t="s">
        <v>213</v>
      </c>
      <c r="N29" s="182">
        <v>997024036</v>
      </c>
      <c r="O29" s="186">
        <v>15</v>
      </c>
      <c r="P29" s="179" t="s">
        <v>22</v>
      </c>
      <c r="Q29" s="179" t="s">
        <v>74</v>
      </c>
      <c r="R29" s="187"/>
      <c r="S29" s="182" t="str">
        <f t="shared" si="6"/>
        <v>001-500-00007219</v>
      </c>
      <c r="T29" s="188">
        <v>301173050</v>
      </c>
      <c r="U29" s="189" t="s">
        <v>214</v>
      </c>
    </row>
    <row r="30" spans="1:21" ht="32.25" customHeight="1">
      <c r="A30" s="196">
        <v>25</v>
      </c>
      <c r="B30" s="183">
        <v>45752</v>
      </c>
      <c r="C30" s="182" t="s">
        <v>89</v>
      </c>
      <c r="D30" s="182" t="s">
        <v>205</v>
      </c>
      <c r="E30" s="179">
        <v>112580014</v>
      </c>
      <c r="F30" s="182" t="s">
        <v>210</v>
      </c>
      <c r="G30" s="182" t="s">
        <v>208</v>
      </c>
      <c r="H30" s="179" t="s">
        <v>42</v>
      </c>
      <c r="I30" s="179" t="s">
        <v>74</v>
      </c>
      <c r="J30" s="179" t="s">
        <v>75</v>
      </c>
      <c r="K30" s="184">
        <v>45802</v>
      </c>
      <c r="L30" s="185" t="s">
        <v>212</v>
      </c>
      <c r="M30" s="185" t="s">
        <v>213</v>
      </c>
      <c r="N30" s="182">
        <v>997024036</v>
      </c>
      <c r="O30" s="186">
        <v>15</v>
      </c>
      <c r="P30" s="179" t="s">
        <v>22</v>
      </c>
      <c r="Q30" s="179" t="s">
        <v>74</v>
      </c>
      <c r="R30" s="187"/>
      <c r="S30" s="182" t="str">
        <f t="shared" ref="S30:S32" si="7">D30</f>
        <v>001-500-00007219</v>
      </c>
      <c r="T30" s="188">
        <v>301173050</v>
      </c>
      <c r="U30" s="189" t="s">
        <v>214</v>
      </c>
    </row>
    <row r="31" spans="1:21" ht="32.25" customHeight="1">
      <c r="A31" s="196">
        <v>26</v>
      </c>
      <c r="B31" s="183">
        <v>45752</v>
      </c>
      <c r="C31" s="182" t="s">
        <v>89</v>
      </c>
      <c r="D31" s="182" t="s">
        <v>205</v>
      </c>
      <c r="E31" s="179">
        <v>111020071</v>
      </c>
      <c r="F31" s="182" t="s">
        <v>211</v>
      </c>
      <c r="G31" s="182" t="s">
        <v>209</v>
      </c>
      <c r="H31" s="179" t="s">
        <v>42</v>
      </c>
      <c r="I31" s="179" t="s">
        <v>74</v>
      </c>
      <c r="J31" s="179" t="s">
        <v>75</v>
      </c>
      <c r="K31" s="184">
        <v>45802</v>
      </c>
      <c r="L31" s="185" t="s">
        <v>212</v>
      </c>
      <c r="M31" s="185" t="s">
        <v>213</v>
      </c>
      <c r="N31" s="182">
        <v>997024036</v>
      </c>
      <c r="O31" s="186">
        <v>15</v>
      </c>
      <c r="P31" s="179" t="s">
        <v>22</v>
      </c>
      <c r="Q31" s="179" t="s">
        <v>74</v>
      </c>
      <c r="R31" s="187"/>
      <c r="S31" s="182" t="str">
        <f t="shared" si="7"/>
        <v>001-500-00007219</v>
      </c>
      <c r="T31" s="188">
        <v>301173050</v>
      </c>
      <c r="U31" s="189" t="s">
        <v>214</v>
      </c>
    </row>
    <row r="32" spans="1:21" ht="32.25" customHeight="1">
      <c r="A32" s="196">
        <v>27</v>
      </c>
      <c r="B32" s="183">
        <v>45799</v>
      </c>
      <c r="C32" s="182" t="s">
        <v>125</v>
      </c>
      <c r="D32" s="182" t="s">
        <v>215</v>
      </c>
      <c r="E32" s="179">
        <v>11250058</v>
      </c>
      <c r="F32" s="182" t="s">
        <v>216</v>
      </c>
      <c r="G32" s="182" t="s">
        <v>218</v>
      </c>
      <c r="H32" s="179" t="s">
        <v>42</v>
      </c>
      <c r="I32" s="179" t="s">
        <v>74</v>
      </c>
      <c r="J32" s="179" t="s">
        <v>75</v>
      </c>
      <c r="K32" s="184">
        <v>45805</v>
      </c>
      <c r="L32" s="185" t="s">
        <v>220</v>
      </c>
      <c r="M32" s="185" t="s">
        <v>221</v>
      </c>
      <c r="N32" s="182">
        <v>986379450</v>
      </c>
      <c r="O32" s="186">
        <v>15</v>
      </c>
      <c r="P32" s="179" t="s">
        <v>22</v>
      </c>
      <c r="Q32" s="179" t="s">
        <v>74</v>
      </c>
      <c r="R32" s="187"/>
      <c r="S32" s="182" t="str">
        <f t="shared" si="7"/>
        <v>043-902-000050777</v>
      </c>
      <c r="T32" s="188">
        <v>103217584</v>
      </c>
      <c r="U32" s="189" t="s">
        <v>222</v>
      </c>
    </row>
    <row r="33" spans="1:21" ht="32.25" customHeight="1">
      <c r="A33" s="196">
        <v>28</v>
      </c>
      <c r="B33" s="183">
        <v>45799</v>
      </c>
      <c r="C33" s="182" t="s">
        <v>125</v>
      </c>
      <c r="D33" s="182" t="s">
        <v>215</v>
      </c>
      <c r="E33" s="179">
        <v>113430018</v>
      </c>
      <c r="F33" s="182" t="s">
        <v>217</v>
      </c>
      <c r="G33" s="182" t="s">
        <v>219</v>
      </c>
      <c r="H33" s="179" t="s">
        <v>42</v>
      </c>
      <c r="I33" s="179" t="s">
        <v>74</v>
      </c>
      <c r="J33" s="179" t="s">
        <v>75</v>
      </c>
      <c r="K33" s="184">
        <v>45805</v>
      </c>
      <c r="L33" s="185" t="s">
        <v>220</v>
      </c>
      <c r="M33" s="185" t="s">
        <v>221</v>
      </c>
      <c r="N33" s="182">
        <v>986379450</v>
      </c>
      <c r="O33" s="186">
        <v>15</v>
      </c>
      <c r="P33" s="179" t="s">
        <v>22</v>
      </c>
      <c r="Q33" s="179" t="s">
        <v>74</v>
      </c>
      <c r="R33" s="187"/>
      <c r="S33" s="182" t="str">
        <f t="shared" ref="S33:S34" si="8">D33</f>
        <v>043-902-000050777</v>
      </c>
      <c r="T33" s="188">
        <v>103217584</v>
      </c>
      <c r="U33" s="189" t="s">
        <v>222</v>
      </c>
    </row>
    <row r="34" spans="1:21" ht="32.25" customHeight="1">
      <c r="A34" s="196">
        <v>29</v>
      </c>
      <c r="B34" s="183">
        <v>45733</v>
      </c>
      <c r="C34" s="182" t="s">
        <v>89</v>
      </c>
      <c r="D34" s="182" t="s">
        <v>260</v>
      </c>
      <c r="E34" s="179">
        <v>112580017</v>
      </c>
      <c r="F34" s="182" t="s">
        <v>210</v>
      </c>
      <c r="G34" s="182" t="s">
        <v>262</v>
      </c>
      <c r="H34" s="179" t="s">
        <v>42</v>
      </c>
      <c r="I34" s="179" t="s">
        <v>74</v>
      </c>
      <c r="J34" s="179" t="s">
        <v>75</v>
      </c>
      <c r="K34" s="184">
        <v>45804</v>
      </c>
      <c r="L34" s="185" t="s">
        <v>265</v>
      </c>
      <c r="M34" s="185" t="s">
        <v>266</v>
      </c>
      <c r="N34" s="182">
        <v>984887275</v>
      </c>
      <c r="O34" s="186">
        <v>15</v>
      </c>
      <c r="P34" s="179" t="s">
        <v>22</v>
      </c>
      <c r="Q34" s="179" t="s">
        <v>74</v>
      </c>
      <c r="R34" s="187"/>
      <c r="S34" s="182" t="str">
        <f t="shared" si="8"/>
        <v>001-500-000071688</v>
      </c>
      <c r="T34" s="188">
        <v>300386141</v>
      </c>
      <c r="U34" s="189" t="s">
        <v>267</v>
      </c>
    </row>
    <row r="35" spans="1:21" ht="32.25" customHeight="1">
      <c r="A35" s="196">
        <v>30</v>
      </c>
      <c r="B35" s="183">
        <v>45733</v>
      </c>
      <c r="C35" s="182" t="s">
        <v>89</v>
      </c>
      <c r="D35" s="182" t="s">
        <v>260</v>
      </c>
      <c r="E35" s="179">
        <v>111020071</v>
      </c>
      <c r="F35" s="182" t="s">
        <v>211</v>
      </c>
      <c r="G35" s="182" t="s">
        <v>263</v>
      </c>
      <c r="H35" s="179" t="s">
        <v>42</v>
      </c>
      <c r="I35" s="179" t="s">
        <v>74</v>
      </c>
      <c r="J35" s="179" t="s">
        <v>75</v>
      </c>
      <c r="K35" s="184">
        <v>45804</v>
      </c>
      <c r="L35" s="185" t="s">
        <v>265</v>
      </c>
      <c r="M35" s="185" t="s">
        <v>266</v>
      </c>
      <c r="N35" s="182">
        <v>984887275</v>
      </c>
      <c r="O35" s="186">
        <v>15</v>
      </c>
      <c r="P35" s="179" t="s">
        <v>22</v>
      </c>
      <c r="Q35" s="179" t="s">
        <v>74</v>
      </c>
      <c r="R35" s="187"/>
      <c r="S35" s="182" t="str">
        <f t="shared" ref="S35:S37" si="9">D35</f>
        <v>001-500-000071688</v>
      </c>
      <c r="T35" s="188">
        <v>300386141</v>
      </c>
      <c r="U35" s="189" t="s">
        <v>267</v>
      </c>
    </row>
    <row r="36" spans="1:21" ht="32.25" customHeight="1">
      <c r="A36" s="196">
        <v>31</v>
      </c>
      <c r="B36" s="183">
        <v>45733</v>
      </c>
      <c r="C36" s="182" t="s">
        <v>89</v>
      </c>
      <c r="D36" s="182" t="s">
        <v>260</v>
      </c>
      <c r="E36" s="179">
        <v>40467305</v>
      </c>
      <c r="F36" s="182" t="s">
        <v>261</v>
      </c>
      <c r="G36" s="182" t="s">
        <v>264</v>
      </c>
      <c r="H36" s="179" t="s">
        <v>42</v>
      </c>
      <c r="I36" s="179" t="s">
        <v>74</v>
      </c>
      <c r="J36" s="179" t="s">
        <v>75</v>
      </c>
      <c r="K36" s="184">
        <v>45804</v>
      </c>
      <c r="L36" s="185" t="s">
        <v>265</v>
      </c>
      <c r="M36" s="185" t="s">
        <v>266</v>
      </c>
      <c r="N36" s="182">
        <v>984887275</v>
      </c>
      <c r="O36" s="186">
        <v>15</v>
      </c>
      <c r="P36" s="179" t="s">
        <v>22</v>
      </c>
      <c r="Q36" s="179" t="s">
        <v>74</v>
      </c>
      <c r="R36" s="187"/>
      <c r="S36" s="182" t="str">
        <f t="shared" si="9"/>
        <v>001-500-000071688</v>
      </c>
      <c r="T36" s="188">
        <v>300386141</v>
      </c>
      <c r="U36" s="189" t="s">
        <v>267</v>
      </c>
    </row>
    <row r="37" spans="1:21" ht="32.25" customHeight="1">
      <c r="A37" s="196">
        <v>32</v>
      </c>
      <c r="B37" s="183">
        <v>45627</v>
      </c>
      <c r="C37" s="182" t="s">
        <v>116</v>
      </c>
      <c r="D37" s="182" t="s">
        <v>198</v>
      </c>
      <c r="E37" s="179">
        <v>112500047</v>
      </c>
      <c r="F37" s="182" t="s">
        <v>268</v>
      </c>
      <c r="G37" s="210" t="s">
        <v>270</v>
      </c>
      <c r="H37" s="179" t="s">
        <v>42</v>
      </c>
      <c r="I37" s="179" t="s">
        <v>74</v>
      </c>
      <c r="J37" s="179" t="s">
        <v>75</v>
      </c>
      <c r="K37" s="184">
        <v>45804</v>
      </c>
      <c r="L37" s="185" t="s">
        <v>272</v>
      </c>
      <c r="M37" s="185" t="s">
        <v>273</v>
      </c>
      <c r="N37" s="182">
        <v>995961394</v>
      </c>
      <c r="O37" s="186">
        <v>20</v>
      </c>
      <c r="P37" s="179" t="s">
        <v>22</v>
      </c>
      <c r="Q37" s="179" t="s">
        <v>74</v>
      </c>
      <c r="R37" s="187"/>
      <c r="S37" s="182" t="str">
        <f t="shared" si="9"/>
        <v>040-107-000001532</v>
      </c>
      <c r="T37" s="188">
        <v>102311651</v>
      </c>
      <c r="U37" s="189" t="s">
        <v>283</v>
      </c>
    </row>
    <row r="38" spans="1:21" ht="32.25" customHeight="1">
      <c r="A38" s="196">
        <v>33</v>
      </c>
      <c r="B38" s="183">
        <v>45627</v>
      </c>
      <c r="C38" s="182" t="s">
        <v>116</v>
      </c>
      <c r="D38" s="182" t="s">
        <v>198</v>
      </c>
      <c r="E38" s="179">
        <v>40446712</v>
      </c>
      <c r="F38" s="182" t="s">
        <v>269</v>
      </c>
      <c r="G38" s="182" t="s">
        <v>271</v>
      </c>
      <c r="H38" s="179" t="s">
        <v>42</v>
      </c>
      <c r="I38" s="179" t="s">
        <v>74</v>
      </c>
      <c r="J38" s="179" t="s">
        <v>75</v>
      </c>
      <c r="K38" s="184">
        <v>45804</v>
      </c>
      <c r="L38" s="185" t="s">
        <v>272</v>
      </c>
      <c r="M38" s="185" t="s">
        <v>273</v>
      </c>
      <c r="N38" s="182">
        <v>995961394</v>
      </c>
      <c r="O38" s="186">
        <v>20</v>
      </c>
      <c r="P38" s="179" t="s">
        <v>22</v>
      </c>
      <c r="Q38" s="179" t="s">
        <v>74</v>
      </c>
      <c r="R38" s="187"/>
      <c r="S38" s="182" t="str">
        <f t="shared" ref="S38:S39" si="10">D38</f>
        <v>040-107-000001532</v>
      </c>
      <c r="T38" s="188">
        <v>102311651</v>
      </c>
      <c r="U38" s="189" t="s">
        <v>283</v>
      </c>
    </row>
    <row r="39" spans="1:21" ht="32.25" customHeight="1">
      <c r="A39" s="196">
        <v>34</v>
      </c>
      <c r="B39" s="183">
        <v>45626</v>
      </c>
      <c r="C39" s="182" t="s">
        <v>176</v>
      </c>
      <c r="D39" s="182" t="s">
        <v>274</v>
      </c>
      <c r="E39" s="179">
        <v>112030010</v>
      </c>
      <c r="F39" s="182" t="s">
        <v>275</v>
      </c>
      <c r="G39" s="182" t="s">
        <v>276</v>
      </c>
      <c r="H39" s="179" t="s">
        <v>42</v>
      </c>
      <c r="I39" s="179" t="s">
        <v>74</v>
      </c>
      <c r="J39" s="179" t="s">
        <v>75</v>
      </c>
      <c r="K39" s="184">
        <v>45805</v>
      </c>
      <c r="L39" s="185" t="s">
        <v>280</v>
      </c>
      <c r="M39" s="185" t="s">
        <v>281</v>
      </c>
      <c r="N39" s="182">
        <v>999884620</v>
      </c>
      <c r="O39" s="186">
        <v>15</v>
      </c>
      <c r="P39" s="179" t="s">
        <v>22</v>
      </c>
      <c r="Q39" s="179" t="s">
        <v>74</v>
      </c>
      <c r="R39" s="187"/>
      <c r="S39" s="182" t="str">
        <f t="shared" si="10"/>
        <v>006-000157115</v>
      </c>
      <c r="T39" s="188">
        <v>195142580</v>
      </c>
      <c r="U39" s="189" t="s">
        <v>282</v>
      </c>
    </row>
    <row r="40" spans="1:21" ht="32.25" customHeight="1">
      <c r="A40" s="196">
        <v>35</v>
      </c>
      <c r="B40" s="183">
        <v>45626</v>
      </c>
      <c r="C40" s="182" t="s">
        <v>176</v>
      </c>
      <c r="D40" s="182" t="s">
        <v>274</v>
      </c>
      <c r="E40" s="179">
        <v>111000059</v>
      </c>
      <c r="F40" s="182" t="s">
        <v>279</v>
      </c>
      <c r="G40" s="182" t="s">
        <v>277</v>
      </c>
      <c r="H40" s="179" t="s">
        <v>42</v>
      </c>
      <c r="I40" s="179" t="s">
        <v>74</v>
      </c>
      <c r="J40" s="179" t="s">
        <v>75</v>
      </c>
      <c r="K40" s="184">
        <v>45805</v>
      </c>
      <c r="L40" s="185" t="s">
        <v>280</v>
      </c>
      <c r="M40" s="185" t="s">
        <v>281</v>
      </c>
      <c r="N40" s="182">
        <v>999884620</v>
      </c>
      <c r="O40" s="186">
        <v>15</v>
      </c>
      <c r="P40" s="179" t="s">
        <v>22</v>
      </c>
      <c r="Q40" s="179" t="s">
        <v>74</v>
      </c>
      <c r="R40" s="187"/>
      <c r="S40" s="182" t="str">
        <f t="shared" ref="S40:S42" si="11">D40</f>
        <v>006-000157115</v>
      </c>
      <c r="T40" s="188">
        <v>195142580</v>
      </c>
      <c r="U40" s="189" t="s">
        <v>282</v>
      </c>
    </row>
    <row r="41" spans="1:21" ht="32.25" customHeight="1">
      <c r="A41" s="196">
        <v>36</v>
      </c>
      <c r="B41" s="183">
        <v>45626</v>
      </c>
      <c r="C41" s="182" t="s">
        <v>176</v>
      </c>
      <c r="D41" s="182" t="s">
        <v>274</v>
      </c>
      <c r="E41" s="179">
        <v>112570128</v>
      </c>
      <c r="F41" s="182" t="s">
        <v>120</v>
      </c>
      <c r="G41" s="182" t="s">
        <v>278</v>
      </c>
      <c r="H41" s="179" t="s">
        <v>42</v>
      </c>
      <c r="I41" s="179" t="s">
        <v>74</v>
      </c>
      <c r="J41" s="179" t="s">
        <v>75</v>
      </c>
      <c r="K41" s="184">
        <v>45805</v>
      </c>
      <c r="L41" s="185" t="s">
        <v>280</v>
      </c>
      <c r="M41" s="185" t="s">
        <v>281</v>
      </c>
      <c r="N41" s="182">
        <v>999884620</v>
      </c>
      <c r="O41" s="186">
        <v>15</v>
      </c>
      <c r="P41" s="179" t="s">
        <v>22</v>
      </c>
      <c r="Q41" s="179" t="s">
        <v>74</v>
      </c>
      <c r="R41" s="187"/>
      <c r="S41" s="182" t="str">
        <f t="shared" si="11"/>
        <v>006-000157115</v>
      </c>
      <c r="T41" s="188">
        <v>195142580</v>
      </c>
      <c r="U41" s="189" t="s">
        <v>282</v>
      </c>
    </row>
    <row r="42" spans="1:21" ht="32.25" customHeight="1">
      <c r="A42" s="196">
        <v>37</v>
      </c>
      <c r="B42" s="183">
        <v>45735</v>
      </c>
      <c r="C42" s="182" t="s">
        <v>89</v>
      </c>
      <c r="D42" s="182" t="s">
        <v>284</v>
      </c>
      <c r="E42" s="179">
        <v>40485140</v>
      </c>
      <c r="F42" s="182" t="s">
        <v>285</v>
      </c>
      <c r="G42" s="182" t="s">
        <v>286</v>
      </c>
      <c r="H42" s="179" t="s">
        <v>42</v>
      </c>
      <c r="I42" s="179" t="s">
        <v>74</v>
      </c>
      <c r="J42" s="179" t="s">
        <v>75</v>
      </c>
      <c r="K42" s="184">
        <v>45806</v>
      </c>
      <c r="L42" s="185" t="s">
        <v>287</v>
      </c>
      <c r="M42" s="185" t="s">
        <v>258</v>
      </c>
      <c r="N42" s="182">
        <v>995105702</v>
      </c>
      <c r="O42" s="186">
        <v>30</v>
      </c>
      <c r="P42" s="179" t="s">
        <v>22</v>
      </c>
      <c r="Q42" s="179" t="s">
        <v>74</v>
      </c>
      <c r="R42" s="187"/>
      <c r="S42" s="182" t="str">
        <f t="shared" si="11"/>
        <v>001-500-000000180</v>
      </c>
      <c r="T42" s="188">
        <v>302093398</v>
      </c>
      <c r="U42" s="189" t="s">
        <v>288</v>
      </c>
    </row>
    <row r="43" spans="1:21" ht="32.25" customHeight="1">
      <c r="A43" s="196">
        <v>38</v>
      </c>
      <c r="B43" s="183">
        <v>45735</v>
      </c>
      <c r="C43" s="182" t="s">
        <v>89</v>
      </c>
      <c r="D43" s="182" t="s">
        <v>293</v>
      </c>
      <c r="E43" s="179">
        <v>112580027</v>
      </c>
      <c r="F43" s="182" t="s">
        <v>289</v>
      </c>
      <c r="G43" s="182" t="s">
        <v>291</v>
      </c>
      <c r="H43" s="179" t="s">
        <v>42</v>
      </c>
      <c r="I43" s="179" t="s">
        <v>74</v>
      </c>
      <c r="J43" s="179" t="s">
        <v>75</v>
      </c>
      <c r="K43" s="184">
        <v>45806</v>
      </c>
      <c r="L43" s="185" t="s">
        <v>287</v>
      </c>
      <c r="M43" s="185" t="s">
        <v>258</v>
      </c>
      <c r="N43" s="182">
        <v>995105702</v>
      </c>
      <c r="O43" s="186">
        <v>15</v>
      </c>
      <c r="P43" s="179" t="s">
        <v>22</v>
      </c>
      <c r="Q43" s="179" t="s">
        <v>74</v>
      </c>
      <c r="R43" s="187"/>
      <c r="S43" s="182" t="str">
        <f t="shared" ref="S43:S45" si="12">D43</f>
        <v>001-500-000070886</v>
      </c>
      <c r="T43" s="188">
        <v>302093398</v>
      </c>
      <c r="U43" s="189" t="s">
        <v>288</v>
      </c>
    </row>
    <row r="44" spans="1:21" ht="32.25" customHeight="1">
      <c r="A44" s="196">
        <v>39</v>
      </c>
      <c r="B44" s="183">
        <v>45735</v>
      </c>
      <c r="C44" s="182" t="s">
        <v>89</v>
      </c>
      <c r="D44" s="182" t="s">
        <v>293</v>
      </c>
      <c r="E44" s="179">
        <v>40584202</v>
      </c>
      <c r="F44" s="182" t="s">
        <v>290</v>
      </c>
      <c r="G44" s="182" t="s">
        <v>292</v>
      </c>
      <c r="H44" s="179" t="s">
        <v>42</v>
      </c>
      <c r="I44" s="179" t="s">
        <v>74</v>
      </c>
      <c r="J44" s="179" t="s">
        <v>75</v>
      </c>
      <c r="K44" s="184">
        <v>45806</v>
      </c>
      <c r="L44" s="185" t="s">
        <v>287</v>
      </c>
      <c r="M44" s="185" t="s">
        <v>258</v>
      </c>
      <c r="N44" s="182">
        <v>995105702</v>
      </c>
      <c r="O44" s="186">
        <v>15</v>
      </c>
      <c r="P44" s="179" t="s">
        <v>22</v>
      </c>
      <c r="Q44" s="179" t="s">
        <v>74</v>
      </c>
      <c r="R44" s="187"/>
      <c r="S44" s="182" t="str">
        <f t="shared" si="12"/>
        <v>001-500-000070886</v>
      </c>
      <c r="T44" s="188">
        <v>302093398</v>
      </c>
      <c r="U44" s="189" t="s">
        <v>288</v>
      </c>
    </row>
    <row r="45" spans="1:21" ht="32.25" customHeight="1">
      <c r="A45" s="196">
        <v>40</v>
      </c>
      <c r="B45" s="183">
        <v>45759</v>
      </c>
      <c r="C45" s="182" t="s">
        <v>89</v>
      </c>
      <c r="D45" s="182" t="s">
        <v>294</v>
      </c>
      <c r="E45" s="179">
        <v>112580058</v>
      </c>
      <c r="F45" s="182" t="s">
        <v>295</v>
      </c>
      <c r="G45" s="182" t="s">
        <v>296</v>
      </c>
      <c r="H45" s="179" t="s">
        <v>42</v>
      </c>
      <c r="I45" s="179" t="s">
        <v>74</v>
      </c>
      <c r="J45" s="179" t="s">
        <v>75</v>
      </c>
      <c r="K45" s="184">
        <v>45807</v>
      </c>
      <c r="L45" s="185" t="s">
        <v>299</v>
      </c>
      <c r="M45" s="185" t="s">
        <v>300</v>
      </c>
      <c r="N45" s="182">
        <v>983324951</v>
      </c>
      <c r="O45" s="186">
        <v>20</v>
      </c>
      <c r="P45" s="179" t="s">
        <v>22</v>
      </c>
      <c r="Q45" s="179" t="s">
        <v>74</v>
      </c>
      <c r="R45" s="187"/>
      <c r="S45" s="182" t="str">
        <f t="shared" si="12"/>
        <v>001-500-000072348</v>
      </c>
      <c r="T45" s="188">
        <v>300651528</v>
      </c>
      <c r="U45" s="189" t="s">
        <v>301</v>
      </c>
    </row>
    <row r="46" spans="1:21" ht="32.25" customHeight="1">
      <c r="A46" s="196">
        <v>41</v>
      </c>
      <c r="B46" s="183">
        <v>45759</v>
      </c>
      <c r="C46" s="182" t="s">
        <v>89</v>
      </c>
      <c r="D46" s="182" t="s">
        <v>294</v>
      </c>
      <c r="E46" s="179">
        <v>111000078</v>
      </c>
      <c r="F46" s="182" t="s">
        <v>297</v>
      </c>
      <c r="G46" s="182" t="s">
        <v>298</v>
      </c>
      <c r="H46" s="179" t="s">
        <v>42</v>
      </c>
      <c r="I46" s="179" t="s">
        <v>74</v>
      </c>
      <c r="J46" s="179" t="s">
        <v>75</v>
      </c>
      <c r="K46" s="184">
        <v>45807</v>
      </c>
      <c r="L46" s="185" t="s">
        <v>299</v>
      </c>
      <c r="M46" s="185" t="s">
        <v>300</v>
      </c>
      <c r="N46" s="182">
        <v>983324951</v>
      </c>
      <c r="O46" s="186">
        <v>20</v>
      </c>
      <c r="P46" s="179" t="s">
        <v>22</v>
      </c>
      <c r="Q46" s="179" t="s">
        <v>74</v>
      </c>
      <c r="R46" s="187"/>
      <c r="S46" s="182" t="str">
        <f t="shared" ref="S46:S47" si="13">D46</f>
        <v>001-500-000072348</v>
      </c>
      <c r="T46" s="188">
        <v>300651528</v>
      </c>
      <c r="U46" s="189" t="s">
        <v>301</v>
      </c>
    </row>
    <row r="47" spans="1:21" ht="32.25" customHeight="1">
      <c r="A47" s="196">
        <v>42</v>
      </c>
      <c r="B47" s="183">
        <v>45783</v>
      </c>
      <c r="C47" s="182" t="s">
        <v>125</v>
      </c>
      <c r="D47" s="182" t="s">
        <v>302</v>
      </c>
      <c r="E47" s="179">
        <v>112580017</v>
      </c>
      <c r="F47" s="182" t="s">
        <v>210</v>
      </c>
      <c r="G47" s="182" t="s">
        <v>303</v>
      </c>
      <c r="H47" s="179" t="s">
        <v>42</v>
      </c>
      <c r="I47" s="179" t="s">
        <v>74</v>
      </c>
      <c r="J47" s="179" t="s">
        <v>75</v>
      </c>
      <c r="K47" s="184">
        <v>45808</v>
      </c>
      <c r="L47" s="185" t="s">
        <v>304</v>
      </c>
      <c r="M47" s="185" t="s">
        <v>305</v>
      </c>
      <c r="N47" s="182">
        <v>962622034</v>
      </c>
      <c r="O47" s="186">
        <v>20</v>
      </c>
      <c r="P47" s="179" t="s">
        <v>22</v>
      </c>
      <c r="Q47" s="179" t="s">
        <v>74</v>
      </c>
      <c r="R47" s="187"/>
      <c r="S47" s="182" t="str">
        <f t="shared" si="13"/>
        <v>016-907-000251275</v>
      </c>
      <c r="T47" s="188">
        <v>102124419</v>
      </c>
      <c r="U47" s="189" t="s">
        <v>306</v>
      </c>
    </row>
    <row r="48" spans="1:21" ht="32.25" customHeight="1">
      <c r="A48" s="196">
        <v>43</v>
      </c>
      <c r="B48" s="183">
        <v>45783</v>
      </c>
      <c r="C48" s="182" t="s">
        <v>125</v>
      </c>
      <c r="D48" s="182" t="s">
        <v>302</v>
      </c>
      <c r="E48" s="179">
        <v>40467305</v>
      </c>
      <c r="F48" s="182" t="s">
        <v>261</v>
      </c>
      <c r="G48" s="182" t="s">
        <v>307</v>
      </c>
      <c r="H48" s="179" t="s">
        <v>42</v>
      </c>
      <c r="I48" s="179" t="s">
        <v>74</v>
      </c>
      <c r="J48" s="179" t="s">
        <v>75</v>
      </c>
      <c r="K48" s="184">
        <v>45808</v>
      </c>
      <c r="L48" s="185" t="s">
        <v>304</v>
      </c>
      <c r="M48" s="185" t="s">
        <v>305</v>
      </c>
      <c r="N48" s="182">
        <v>962622034</v>
      </c>
      <c r="O48" s="186">
        <v>20</v>
      </c>
      <c r="P48" s="179" t="s">
        <v>22</v>
      </c>
      <c r="Q48" s="179" t="s">
        <v>74</v>
      </c>
      <c r="R48" s="187"/>
      <c r="S48" s="182" t="str">
        <f t="shared" ref="S48:S49" si="14">D48</f>
        <v>016-907-000251275</v>
      </c>
      <c r="T48" s="188">
        <v>102124419</v>
      </c>
      <c r="U48" s="189" t="s">
        <v>306</v>
      </c>
    </row>
    <row r="49" spans="1:21" ht="32.25" customHeight="1">
      <c r="A49" s="196">
        <v>44</v>
      </c>
      <c r="B49" s="183">
        <v>45796</v>
      </c>
      <c r="C49" s="182" t="s">
        <v>125</v>
      </c>
      <c r="D49" s="182" t="s">
        <v>343</v>
      </c>
      <c r="E49" s="179">
        <v>113430073</v>
      </c>
      <c r="F49" s="182" t="s">
        <v>91</v>
      </c>
      <c r="G49" s="182" t="s">
        <v>345</v>
      </c>
      <c r="H49" s="179" t="s">
        <v>42</v>
      </c>
      <c r="I49" s="179" t="s">
        <v>74</v>
      </c>
      <c r="J49" s="179" t="s">
        <v>75</v>
      </c>
      <c r="K49" s="184">
        <v>45810</v>
      </c>
      <c r="L49" s="185" t="s">
        <v>349</v>
      </c>
      <c r="M49" s="185" t="s">
        <v>350</v>
      </c>
      <c r="N49" s="182">
        <v>967479757</v>
      </c>
      <c r="O49" s="186">
        <v>15</v>
      </c>
      <c r="P49" s="179" t="s">
        <v>22</v>
      </c>
      <c r="Q49" s="179" t="s">
        <v>74</v>
      </c>
      <c r="R49" s="187"/>
      <c r="S49" s="182" t="str">
        <f t="shared" si="14"/>
        <v>043-907-000024491</v>
      </c>
      <c r="T49" s="188">
        <v>104892013</v>
      </c>
      <c r="U49" s="189" t="s">
        <v>351</v>
      </c>
    </row>
    <row r="50" spans="1:21" ht="32.25" customHeight="1">
      <c r="A50" s="196">
        <v>45</v>
      </c>
      <c r="B50" s="183">
        <v>45796</v>
      </c>
      <c r="C50" s="182" t="s">
        <v>125</v>
      </c>
      <c r="D50" s="182" t="s">
        <v>343</v>
      </c>
      <c r="E50" s="179">
        <v>112570126</v>
      </c>
      <c r="F50" s="182" t="s">
        <v>151</v>
      </c>
      <c r="G50" s="182" t="s">
        <v>346</v>
      </c>
      <c r="H50" s="179" t="s">
        <v>42</v>
      </c>
      <c r="I50" s="179" t="s">
        <v>74</v>
      </c>
      <c r="J50" s="179" t="s">
        <v>75</v>
      </c>
      <c r="K50" s="184">
        <v>45810</v>
      </c>
      <c r="L50" s="185" t="s">
        <v>349</v>
      </c>
      <c r="M50" s="185" t="s">
        <v>350</v>
      </c>
      <c r="N50" s="182">
        <v>967479757</v>
      </c>
      <c r="O50" s="186">
        <v>15</v>
      </c>
      <c r="P50" s="179" t="s">
        <v>22</v>
      </c>
      <c r="Q50" s="179" t="s">
        <v>74</v>
      </c>
      <c r="R50" s="187"/>
      <c r="S50" s="182" t="str">
        <f t="shared" ref="S50:S53" si="15">D50</f>
        <v>043-907-000024491</v>
      </c>
      <c r="T50" s="188">
        <v>104892013</v>
      </c>
      <c r="U50" s="189" t="s">
        <v>351</v>
      </c>
    </row>
    <row r="51" spans="1:21" ht="32.25" customHeight="1">
      <c r="A51" s="196">
        <v>46</v>
      </c>
      <c r="B51" s="183">
        <v>45796</v>
      </c>
      <c r="C51" s="182" t="s">
        <v>125</v>
      </c>
      <c r="D51" s="182" t="s">
        <v>343</v>
      </c>
      <c r="E51" s="179">
        <v>111000051</v>
      </c>
      <c r="F51" s="182" t="s">
        <v>182</v>
      </c>
      <c r="G51" s="182" t="s">
        <v>347</v>
      </c>
      <c r="H51" s="179" t="s">
        <v>42</v>
      </c>
      <c r="I51" s="179" t="s">
        <v>74</v>
      </c>
      <c r="J51" s="179" t="s">
        <v>75</v>
      </c>
      <c r="K51" s="184">
        <v>45810</v>
      </c>
      <c r="L51" s="185" t="s">
        <v>349</v>
      </c>
      <c r="M51" s="185" t="s">
        <v>350</v>
      </c>
      <c r="N51" s="182">
        <v>967479757</v>
      </c>
      <c r="O51" s="186">
        <v>15</v>
      </c>
      <c r="P51" s="179" t="s">
        <v>22</v>
      </c>
      <c r="Q51" s="179" t="s">
        <v>74</v>
      </c>
      <c r="R51" s="187"/>
      <c r="S51" s="182" t="str">
        <f t="shared" si="15"/>
        <v>043-907-000024491</v>
      </c>
      <c r="T51" s="188">
        <v>104892013</v>
      </c>
      <c r="U51" s="189" t="s">
        <v>351</v>
      </c>
    </row>
    <row r="52" spans="1:21" ht="32.25" customHeight="1">
      <c r="A52" s="196">
        <v>47</v>
      </c>
      <c r="B52" s="183">
        <v>45796</v>
      </c>
      <c r="C52" s="182" t="s">
        <v>125</v>
      </c>
      <c r="D52" s="182" t="s">
        <v>343</v>
      </c>
      <c r="E52" s="179">
        <v>40584202</v>
      </c>
      <c r="F52" s="182" t="s">
        <v>344</v>
      </c>
      <c r="G52" s="182" t="s">
        <v>348</v>
      </c>
      <c r="H52" s="179" t="s">
        <v>42</v>
      </c>
      <c r="I52" s="179" t="s">
        <v>74</v>
      </c>
      <c r="J52" s="179" t="s">
        <v>75</v>
      </c>
      <c r="K52" s="184">
        <v>45810</v>
      </c>
      <c r="L52" s="185" t="s">
        <v>349</v>
      </c>
      <c r="M52" s="185" t="s">
        <v>350</v>
      </c>
      <c r="N52" s="182">
        <v>967479757</v>
      </c>
      <c r="O52" s="186">
        <v>15</v>
      </c>
      <c r="P52" s="179" t="s">
        <v>22</v>
      </c>
      <c r="Q52" s="179" t="s">
        <v>74</v>
      </c>
      <c r="R52" s="187"/>
      <c r="S52" s="182" t="str">
        <f t="shared" si="15"/>
        <v>043-907-000024491</v>
      </c>
      <c r="T52" s="188">
        <v>104892013</v>
      </c>
      <c r="U52" s="189" t="s">
        <v>351</v>
      </c>
    </row>
    <row r="53" spans="1:21" ht="32.25" customHeight="1">
      <c r="A53" s="196">
        <v>48</v>
      </c>
      <c r="B53" s="183">
        <v>45695</v>
      </c>
      <c r="C53" s="182" t="s">
        <v>89</v>
      </c>
      <c r="D53" s="182" t="s">
        <v>352</v>
      </c>
      <c r="E53" s="179">
        <v>40782127</v>
      </c>
      <c r="F53" s="182" t="s">
        <v>353</v>
      </c>
      <c r="G53" s="182" t="s">
        <v>354</v>
      </c>
      <c r="H53" s="179" t="s">
        <v>42</v>
      </c>
      <c r="I53" s="179" t="s">
        <v>74</v>
      </c>
      <c r="J53" s="179" t="s">
        <v>75</v>
      </c>
      <c r="K53" s="184">
        <v>45811</v>
      </c>
      <c r="L53" s="185" t="s">
        <v>357</v>
      </c>
      <c r="M53" s="185" t="s">
        <v>358</v>
      </c>
      <c r="N53" s="182">
        <v>993096099</v>
      </c>
      <c r="O53" s="186">
        <v>20</v>
      </c>
      <c r="P53" s="179" t="s">
        <v>22</v>
      </c>
      <c r="Q53" s="179" t="s">
        <v>74</v>
      </c>
      <c r="R53" s="187"/>
      <c r="S53" s="182" t="str">
        <f t="shared" si="15"/>
        <v>001-500-000070726</v>
      </c>
      <c r="T53" s="188">
        <v>40782127</v>
      </c>
      <c r="U53" s="189" t="s">
        <v>359</v>
      </c>
    </row>
    <row r="54" spans="1:21" ht="32.25" customHeight="1">
      <c r="A54" s="196">
        <v>49</v>
      </c>
      <c r="B54" s="183">
        <v>45695</v>
      </c>
      <c r="C54" s="182" t="s">
        <v>89</v>
      </c>
      <c r="D54" s="182" t="s">
        <v>352</v>
      </c>
      <c r="E54" s="179">
        <v>112950020</v>
      </c>
      <c r="F54" s="182" t="s">
        <v>355</v>
      </c>
      <c r="G54" s="182" t="s">
        <v>356</v>
      </c>
      <c r="H54" s="179" t="s">
        <v>42</v>
      </c>
      <c r="I54" s="179" t="s">
        <v>74</v>
      </c>
      <c r="J54" s="179" t="s">
        <v>75</v>
      </c>
      <c r="K54" s="184">
        <v>45811</v>
      </c>
      <c r="L54" s="185" t="s">
        <v>357</v>
      </c>
      <c r="M54" s="185" t="s">
        <v>358</v>
      </c>
      <c r="N54" s="182">
        <v>993096099</v>
      </c>
      <c r="O54" s="186">
        <v>20</v>
      </c>
      <c r="P54" s="179" t="s">
        <v>22</v>
      </c>
      <c r="Q54" s="179" t="s">
        <v>74</v>
      </c>
      <c r="R54" s="187"/>
      <c r="S54" s="182" t="str">
        <f t="shared" ref="S54:S55" si="16">D54</f>
        <v>001-500-000070726</v>
      </c>
      <c r="T54" s="188">
        <v>40782127</v>
      </c>
      <c r="U54" s="189" t="s">
        <v>359</v>
      </c>
    </row>
    <row r="55" spans="1:21" ht="32.25" customHeight="1">
      <c r="A55" s="196">
        <v>50</v>
      </c>
      <c r="B55" s="183">
        <v>45774</v>
      </c>
      <c r="C55" s="182" t="s">
        <v>116</v>
      </c>
      <c r="D55" s="182" t="s">
        <v>397</v>
      </c>
      <c r="E55" s="179">
        <v>41592227</v>
      </c>
      <c r="F55" s="182" t="s">
        <v>398</v>
      </c>
      <c r="G55" s="182" t="s">
        <v>401</v>
      </c>
      <c r="H55" s="179" t="s">
        <v>42</v>
      </c>
      <c r="I55" s="179" t="s">
        <v>74</v>
      </c>
      <c r="J55" s="179" t="s">
        <v>75</v>
      </c>
      <c r="K55" s="184">
        <v>45813</v>
      </c>
      <c r="L55" s="185" t="s">
        <v>405</v>
      </c>
      <c r="M55" s="185" t="s">
        <v>734</v>
      </c>
      <c r="N55" s="182">
        <v>990832551</v>
      </c>
      <c r="O55" s="186">
        <v>15</v>
      </c>
      <c r="P55" s="179" t="s">
        <v>22</v>
      </c>
      <c r="Q55" s="179" t="s">
        <v>74</v>
      </c>
      <c r="R55" s="187"/>
      <c r="S55" s="182" t="str">
        <f t="shared" si="16"/>
        <v>040-101-000000650</v>
      </c>
      <c r="T55" s="188">
        <v>102172053</v>
      </c>
      <c r="U55" s="189" t="s">
        <v>406</v>
      </c>
    </row>
    <row r="56" spans="1:21" ht="32.25" customHeight="1">
      <c r="A56" s="196">
        <v>51</v>
      </c>
      <c r="B56" s="183">
        <v>45774</v>
      </c>
      <c r="C56" s="182" t="s">
        <v>125</v>
      </c>
      <c r="D56" s="182" t="s">
        <v>404</v>
      </c>
      <c r="E56" s="179">
        <v>40584901</v>
      </c>
      <c r="F56" s="182" t="s">
        <v>399</v>
      </c>
      <c r="G56" s="182" t="s">
        <v>402</v>
      </c>
      <c r="H56" s="179" t="s">
        <v>42</v>
      </c>
      <c r="I56" s="179" t="s">
        <v>74</v>
      </c>
      <c r="J56" s="179" t="s">
        <v>75</v>
      </c>
      <c r="K56" s="184">
        <v>45813</v>
      </c>
      <c r="L56" s="185" t="s">
        <v>405</v>
      </c>
      <c r="M56" s="185" t="s">
        <v>734</v>
      </c>
      <c r="N56" s="182">
        <v>990832551</v>
      </c>
      <c r="O56" s="186">
        <v>15</v>
      </c>
      <c r="P56" s="179" t="s">
        <v>22</v>
      </c>
      <c r="Q56" s="179" t="s">
        <v>74</v>
      </c>
      <c r="R56" s="187"/>
      <c r="S56" s="182" t="str">
        <f t="shared" ref="S56:S58" si="17">D56</f>
        <v>043-906-000043088</v>
      </c>
      <c r="T56" s="188">
        <v>102172053</v>
      </c>
      <c r="U56" s="189" t="s">
        <v>406</v>
      </c>
    </row>
    <row r="57" spans="1:21" ht="32.25" customHeight="1">
      <c r="A57" s="196">
        <v>52</v>
      </c>
      <c r="B57" s="183">
        <v>45774</v>
      </c>
      <c r="C57" s="182" t="s">
        <v>116</v>
      </c>
      <c r="D57" s="182" t="s">
        <v>397</v>
      </c>
      <c r="E57" s="179">
        <v>40487192</v>
      </c>
      <c r="F57" s="182" t="s">
        <v>400</v>
      </c>
      <c r="G57" s="182" t="s">
        <v>403</v>
      </c>
      <c r="H57" s="179" t="s">
        <v>42</v>
      </c>
      <c r="I57" s="179" t="s">
        <v>74</v>
      </c>
      <c r="J57" s="179" t="s">
        <v>75</v>
      </c>
      <c r="K57" s="184">
        <v>45813</v>
      </c>
      <c r="L57" s="185" t="s">
        <v>405</v>
      </c>
      <c r="M57" s="185" t="s">
        <v>734</v>
      </c>
      <c r="N57" s="182">
        <v>990832551</v>
      </c>
      <c r="O57" s="186">
        <v>15</v>
      </c>
      <c r="P57" s="179" t="s">
        <v>22</v>
      </c>
      <c r="Q57" s="179" t="s">
        <v>74</v>
      </c>
      <c r="R57" s="187"/>
      <c r="S57" s="182" t="str">
        <f t="shared" si="17"/>
        <v>040-101-000000650</v>
      </c>
      <c r="T57" s="188">
        <v>102172053</v>
      </c>
      <c r="U57" s="189" t="s">
        <v>406</v>
      </c>
    </row>
    <row r="58" spans="1:21" ht="32.25" customHeight="1">
      <c r="A58" s="196">
        <v>53</v>
      </c>
      <c r="B58" s="183">
        <v>45571</v>
      </c>
      <c r="C58" s="182" t="s">
        <v>125</v>
      </c>
      <c r="D58" s="182" t="s">
        <v>407</v>
      </c>
      <c r="E58" s="179">
        <v>112950021</v>
      </c>
      <c r="F58" s="182" t="s">
        <v>408</v>
      </c>
      <c r="G58" s="182" t="s">
        <v>409</v>
      </c>
      <c r="H58" s="179" t="s">
        <v>42</v>
      </c>
      <c r="I58" s="179" t="s">
        <v>74</v>
      </c>
      <c r="J58" s="179" t="s">
        <v>75</v>
      </c>
      <c r="K58" s="184">
        <v>45813</v>
      </c>
      <c r="L58" s="185" t="s">
        <v>411</v>
      </c>
      <c r="M58" s="185" t="s">
        <v>412</v>
      </c>
      <c r="N58" s="182">
        <v>939630930</v>
      </c>
      <c r="O58" s="186">
        <v>20</v>
      </c>
      <c r="P58" s="179" t="s">
        <v>22</v>
      </c>
      <c r="Q58" s="179" t="s">
        <v>74</v>
      </c>
      <c r="R58" s="187"/>
      <c r="S58" s="182" t="str">
        <f t="shared" si="17"/>
        <v>043-904-000042471</v>
      </c>
      <c r="T58" s="188">
        <v>103534202</v>
      </c>
      <c r="U58" s="189" t="s">
        <v>413</v>
      </c>
    </row>
    <row r="59" spans="1:21" ht="32.25" customHeight="1">
      <c r="A59" s="196">
        <v>54</v>
      </c>
      <c r="B59" s="183">
        <v>45571</v>
      </c>
      <c r="C59" s="182" t="s">
        <v>125</v>
      </c>
      <c r="D59" s="182" t="s">
        <v>407</v>
      </c>
      <c r="E59" s="179">
        <v>112580058</v>
      </c>
      <c r="F59" s="182" t="s">
        <v>295</v>
      </c>
      <c r="G59" s="182" t="s">
        <v>410</v>
      </c>
      <c r="H59" s="179" t="s">
        <v>42</v>
      </c>
      <c r="I59" s="179" t="s">
        <v>74</v>
      </c>
      <c r="J59" s="179" t="s">
        <v>75</v>
      </c>
      <c r="K59" s="184">
        <v>45813</v>
      </c>
      <c r="L59" s="185" t="s">
        <v>411</v>
      </c>
      <c r="M59" s="185" t="s">
        <v>412</v>
      </c>
      <c r="N59" s="182">
        <v>939630930</v>
      </c>
      <c r="O59" s="186">
        <v>20</v>
      </c>
      <c r="P59" s="179" t="s">
        <v>22</v>
      </c>
      <c r="Q59" s="179" t="s">
        <v>74</v>
      </c>
      <c r="R59" s="187"/>
      <c r="S59" s="182" t="str">
        <f t="shared" ref="S59:S60" si="18">D59</f>
        <v>043-904-000042471</v>
      </c>
      <c r="T59" s="188">
        <v>103534202</v>
      </c>
      <c r="U59" s="189" t="s">
        <v>413</v>
      </c>
    </row>
    <row r="60" spans="1:21" ht="32.25" customHeight="1">
      <c r="A60" s="196">
        <v>55</v>
      </c>
      <c r="B60" s="183">
        <v>45561</v>
      </c>
      <c r="C60" s="182" t="s">
        <v>176</v>
      </c>
      <c r="D60" s="182" t="s">
        <v>441</v>
      </c>
      <c r="E60" s="179">
        <v>41598031</v>
      </c>
      <c r="F60" s="182" t="s">
        <v>442</v>
      </c>
      <c r="G60" s="182" t="s">
        <v>446</v>
      </c>
      <c r="H60" s="179" t="s">
        <v>42</v>
      </c>
      <c r="I60" s="179" t="s">
        <v>74</v>
      </c>
      <c r="J60" s="179" t="s">
        <v>75</v>
      </c>
      <c r="K60" s="184">
        <v>45814</v>
      </c>
      <c r="L60" s="185" t="s">
        <v>451</v>
      </c>
      <c r="M60" s="185" t="s">
        <v>452</v>
      </c>
      <c r="N60" s="182">
        <v>995572662</v>
      </c>
      <c r="O60" s="186">
        <v>15</v>
      </c>
      <c r="P60" s="179" t="s">
        <v>22</v>
      </c>
      <c r="Q60" s="179" t="s">
        <v>74</v>
      </c>
      <c r="R60" s="187"/>
      <c r="S60" s="182" t="str">
        <f t="shared" si="18"/>
        <v>006-000156526</v>
      </c>
      <c r="T60" s="199" t="s">
        <v>460</v>
      </c>
      <c r="U60" s="189" t="s">
        <v>454</v>
      </c>
    </row>
    <row r="61" spans="1:21" ht="32.25" customHeight="1">
      <c r="A61" s="196">
        <v>56</v>
      </c>
      <c r="B61" s="183">
        <v>45561</v>
      </c>
      <c r="C61" s="182" t="s">
        <v>176</v>
      </c>
      <c r="D61" s="182" t="s">
        <v>441</v>
      </c>
      <c r="E61" s="179">
        <v>40584305</v>
      </c>
      <c r="F61" s="182" t="s">
        <v>443</v>
      </c>
      <c r="G61" s="182" t="s">
        <v>447</v>
      </c>
      <c r="H61" s="179" t="s">
        <v>42</v>
      </c>
      <c r="I61" s="179" t="s">
        <v>74</v>
      </c>
      <c r="J61" s="179" t="s">
        <v>75</v>
      </c>
      <c r="K61" s="184">
        <v>45814</v>
      </c>
      <c r="L61" s="185" t="s">
        <v>451</v>
      </c>
      <c r="M61" s="185" t="s">
        <v>452</v>
      </c>
      <c r="N61" s="182">
        <v>995572662</v>
      </c>
      <c r="O61" s="186">
        <v>15</v>
      </c>
      <c r="P61" s="179" t="s">
        <v>22</v>
      </c>
      <c r="Q61" s="179" t="s">
        <v>74</v>
      </c>
      <c r="R61" s="187"/>
      <c r="S61" s="182" t="str">
        <f t="shared" ref="S61:S65" si="19">D61</f>
        <v>006-000156526</v>
      </c>
      <c r="T61" s="199" t="s">
        <v>460</v>
      </c>
      <c r="U61" s="189" t="s">
        <v>454</v>
      </c>
    </row>
    <row r="62" spans="1:21" ht="32.25" customHeight="1">
      <c r="A62" s="196">
        <v>57</v>
      </c>
      <c r="B62" s="183">
        <v>45561</v>
      </c>
      <c r="C62" s="182" t="s">
        <v>176</v>
      </c>
      <c r="D62" s="182" t="s">
        <v>441</v>
      </c>
      <c r="E62" s="179">
        <v>111030002</v>
      </c>
      <c r="F62" s="182" t="s">
        <v>444</v>
      </c>
      <c r="G62" s="182" t="s">
        <v>448</v>
      </c>
      <c r="H62" s="179" t="s">
        <v>42</v>
      </c>
      <c r="I62" s="179" t="s">
        <v>74</v>
      </c>
      <c r="J62" s="179" t="s">
        <v>75</v>
      </c>
      <c r="K62" s="184">
        <v>45814</v>
      </c>
      <c r="L62" s="185" t="s">
        <v>451</v>
      </c>
      <c r="M62" s="185" t="s">
        <v>452</v>
      </c>
      <c r="N62" s="182">
        <v>995572662</v>
      </c>
      <c r="O62" s="186">
        <v>15</v>
      </c>
      <c r="P62" s="179" t="s">
        <v>22</v>
      </c>
      <c r="Q62" s="179" t="s">
        <v>74</v>
      </c>
      <c r="R62" s="187"/>
      <c r="S62" s="182" t="str">
        <f t="shared" si="19"/>
        <v>006-000156526</v>
      </c>
      <c r="T62" s="199" t="s">
        <v>460</v>
      </c>
      <c r="U62" s="189" t="s">
        <v>454</v>
      </c>
    </row>
    <row r="63" spans="1:21" ht="32.25" customHeight="1">
      <c r="A63" s="196">
        <v>58</v>
      </c>
      <c r="B63" s="183">
        <v>45561</v>
      </c>
      <c r="C63" s="182" t="s">
        <v>176</v>
      </c>
      <c r="D63" s="182" t="s">
        <v>441</v>
      </c>
      <c r="E63" s="179">
        <v>112500048</v>
      </c>
      <c r="F63" s="182" t="s">
        <v>445</v>
      </c>
      <c r="G63" s="182" t="s">
        <v>449</v>
      </c>
      <c r="H63" s="179" t="s">
        <v>42</v>
      </c>
      <c r="I63" s="179" t="s">
        <v>74</v>
      </c>
      <c r="J63" s="179" t="s">
        <v>75</v>
      </c>
      <c r="K63" s="184">
        <v>45814</v>
      </c>
      <c r="L63" s="185" t="s">
        <v>451</v>
      </c>
      <c r="M63" s="185" t="s">
        <v>452</v>
      </c>
      <c r="N63" s="182">
        <v>995572662</v>
      </c>
      <c r="O63" s="186">
        <v>15</v>
      </c>
      <c r="P63" s="179" t="s">
        <v>22</v>
      </c>
      <c r="Q63" s="179" t="s">
        <v>74</v>
      </c>
      <c r="R63" s="187"/>
      <c r="S63" s="182" t="str">
        <f t="shared" si="19"/>
        <v>006-000156526</v>
      </c>
      <c r="T63" s="199" t="s">
        <v>460</v>
      </c>
      <c r="U63" s="189" t="s">
        <v>454</v>
      </c>
    </row>
    <row r="64" spans="1:21" ht="32.25" customHeight="1">
      <c r="A64" s="196">
        <v>59</v>
      </c>
      <c r="B64" s="183">
        <v>45561</v>
      </c>
      <c r="C64" s="182" t="s">
        <v>176</v>
      </c>
      <c r="D64" s="182" t="s">
        <v>441</v>
      </c>
      <c r="E64" s="179">
        <v>113600017</v>
      </c>
      <c r="F64" s="182" t="s">
        <v>453</v>
      </c>
      <c r="G64" s="182" t="s">
        <v>450</v>
      </c>
      <c r="H64" s="179" t="s">
        <v>42</v>
      </c>
      <c r="I64" s="179" t="s">
        <v>74</v>
      </c>
      <c r="J64" s="179" t="s">
        <v>75</v>
      </c>
      <c r="K64" s="184">
        <v>45814</v>
      </c>
      <c r="L64" s="185" t="s">
        <v>451</v>
      </c>
      <c r="M64" s="185" t="s">
        <v>452</v>
      </c>
      <c r="N64" s="182">
        <v>995572662</v>
      </c>
      <c r="O64" s="186">
        <v>15</v>
      </c>
      <c r="P64" s="179" t="s">
        <v>22</v>
      </c>
      <c r="Q64" s="179" t="s">
        <v>74</v>
      </c>
      <c r="R64" s="187"/>
      <c r="S64" s="182" t="str">
        <f t="shared" si="19"/>
        <v>006-000156526</v>
      </c>
      <c r="T64" s="199" t="s">
        <v>460</v>
      </c>
      <c r="U64" s="189" t="s">
        <v>454</v>
      </c>
    </row>
    <row r="65" spans="1:21" ht="31" customHeight="1">
      <c r="A65" s="196">
        <v>60</v>
      </c>
      <c r="B65" s="183">
        <v>45813</v>
      </c>
      <c r="C65" s="182" t="s">
        <v>125</v>
      </c>
      <c r="D65" s="182" t="s">
        <v>455</v>
      </c>
      <c r="E65" s="179">
        <v>112580058</v>
      </c>
      <c r="F65" s="182" t="s">
        <v>295</v>
      </c>
      <c r="G65" s="182" t="s">
        <v>456</v>
      </c>
      <c r="H65" s="179" t="s">
        <v>42</v>
      </c>
      <c r="I65" s="179" t="s">
        <v>74</v>
      </c>
      <c r="J65" s="179" t="s">
        <v>75</v>
      </c>
      <c r="K65" s="184">
        <v>45814</v>
      </c>
      <c r="L65" s="185" t="s">
        <v>458</v>
      </c>
      <c r="M65" s="185" t="s">
        <v>459</v>
      </c>
      <c r="N65" s="182">
        <v>74150020</v>
      </c>
      <c r="O65" s="186">
        <v>20</v>
      </c>
      <c r="P65" s="179" t="s">
        <v>22</v>
      </c>
      <c r="Q65" s="179" t="s">
        <v>74</v>
      </c>
      <c r="R65" s="187"/>
      <c r="S65" s="182" t="str">
        <f t="shared" si="19"/>
        <v>043-907-000025013</v>
      </c>
      <c r="T65" s="199" t="s">
        <v>461</v>
      </c>
      <c r="U65" s="189" t="s">
        <v>462</v>
      </c>
    </row>
    <row r="66" spans="1:21" ht="31" customHeight="1">
      <c r="A66" s="196">
        <v>61</v>
      </c>
      <c r="B66" s="183">
        <v>45813</v>
      </c>
      <c r="C66" s="182" t="s">
        <v>125</v>
      </c>
      <c r="D66" s="182" t="s">
        <v>455</v>
      </c>
      <c r="E66" s="179">
        <v>40466241</v>
      </c>
      <c r="F66" s="182" t="s">
        <v>95</v>
      </c>
      <c r="G66" s="182" t="s">
        <v>457</v>
      </c>
      <c r="H66" s="179" t="s">
        <v>42</v>
      </c>
      <c r="I66" s="179" t="s">
        <v>74</v>
      </c>
      <c r="J66" s="179" t="s">
        <v>75</v>
      </c>
      <c r="K66" s="184">
        <v>45814</v>
      </c>
      <c r="L66" s="185" t="s">
        <v>458</v>
      </c>
      <c r="M66" s="185" t="s">
        <v>459</v>
      </c>
      <c r="N66" s="182">
        <v>74150020</v>
      </c>
      <c r="O66" s="186">
        <v>20</v>
      </c>
      <c r="P66" s="179" t="s">
        <v>22</v>
      </c>
      <c r="Q66" s="179" t="s">
        <v>74</v>
      </c>
      <c r="R66" s="187"/>
      <c r="S66" s="182" t="str">
        <f t="shared" ref="S66:S67" si="20">D66</f>
        <v>043-907-000025013</v>
      </c>
      <c r="T66" s="199" t="s">
        <v>461</v>
      </c>
      <c r="U66" s="189" t="s">
        <v>462</v>
      </c>
    </row>
    <row r="67" spans="1:21" ht="31" customHeight="1">
      <c r="A67" s="196">
        <v>62</v>
      </c>
      <c r="B67" s="183">
        <v>45724</v>
      </c>
      <c r="C67" s="182" t="s">
        <v>89</v>
      </c>
      <c r="D67" s="182" t="s">
        <v>484</v>
      </c>
      <c r="E67" s="179">
        <v>40782127</v>
      </c>
      <c r="F67" s="182" t="s">
        <v>485</v>
      </c>
      <c r="G67" s="182" t="s">
        <v>489</v>
      </c>
      <c r="H67" s="179" t="s">
        <v>42</v>
      </c>
      <c r="I67" s="179" t="s">
        <v>74</v>
      </c>
      <c r="J67" s="179" t="s">
        <v>75</v>
      </c>
      <c r="K67" s="184">
        <v>45814</v>
      </c>
      <c r="L67" s="185" t="s">
        <v>494</v>
      </c>
      <c r="M67" s="185" t="s">
        <v>495</v>
      </c>
      <c r="N67" s="182">
        <v>986353015</v>
      </c>
      <c r="O67" s="186">
        <v>15</v>
      </c>
      <c r="P67" s="179" t="s">
        <v>22</v>
      </c>
      <c r="Q67" s="179" t="s">
        <v>74</v>
      </c>
      <c r="R67" s="187"/>
      <c r="S67" s="182" t="str">
        <f t="shared" si="20"/>
        <v>001-500-000071464</v>
      </c>
      <c r="T67" s="199" t="s">
        <v>496</v>
      </c>
      <c r="U67" s="189" t="s">
        <v>497</v>
      </c>
    </row>
    <row r="68" spans="1:21" ht="31" customHeight="1">
      <c r="A68" s="196">
        <v>63</v>
      </c>
      <c r="B68" s="183">
        <v>45724</v>
      </c>
      <c r="C68" s="182" t="s">
        <v>89</v>
      </c>
      <c r="D68" s="182" t="s">
        <v>484</v>
      </c>
      <c r="E68" s="179">
        <v>112030019</v>
      </c>
      <c r="F68" s="182" t="s">
        <v>486</v>
      </c>
      <c r="G68" s="182" t="s">
        <v>490</v>
      </c>
      <c r="H68" s="179" t="s">
        <v>42</v>
      </c>
      <c r="I68" s="179" t="s">
        <v>74</v>
      </c>
      <c r="J68" s="179" t="s">
        <v>75</v>
      </c>
      <c r="K68" s="184">
        <v>45814</v>
      </c>
      <c r="L68" s="185" t="s">
        <v>494</v>
      </c>
      <c r="M68" s="185" t="s">
        <v>495</v>
      </c>
      <c r="N68" s="182">
        <v>986353015</v>
      </c>
      <c r="O68" s="186">
        <v>15</v>
      </c>
      <c r="P68" s="179" t="s">
        <v>22</v>
      </c>
      <c r="Q68" s="179" t="s">
        <v>74</v>
      </c>
      <c r="R68" s="187"/>
      <c r="S68" s="182" t="str">
        <f t="shared" ref="S68:S71" si="21">D68</f>
        <v>001-500-000071464</v>
      </c>
      <c r="T68" s="199" t="s">
        <v>496</v>
      </c>
      <c r="U68" s="189" t="s">
        <v>497</v>
      </c>
    </row>
    <row r="69" spans="1:21" ht="31" customHeight="1">
      <c r="A69" s="196">
        <v>64</v>
      </c>
      <c r="B69" s="183">
        <v>45724</v>
      </c>
      <c r="C69" s="182" t="s">
        <v>89</v>
      </c>
      <c r="D69" s="182" t="s">
        <v>484</v>
      </c>
      <c r="E69" s="179">
        <v>111000051</v>
      </c>
      <c r="F69" s="182" t="s">
        <v>182</v>
      </c>
      <c r="G69" s="182" t="s">
        <v>491</v>
      </c>
      <c r="H69" s="179" t="s">
        <v>42</v>
      </c>
      <c r="I69" s="179" t="s">
        <v>74</v>
      </c>
      <c r="J69" s="179" t="s">
        <v>75</v>
      </c>
      <c r="K69" s="184">
        <v>45814</v>
      </c>
      <c r="L69" s="185" t="s">
        <v>494</v>
      </c>
      <c r="M69" s="185" t="s">
        <v>495</v>
      </c>
      <c r="N69" s="182">
        <v>986353015</v>
      </c>
      <c r="O69" s="186">
        <v>15</v>
      </c>
      <c r="P69" s="179" t="s">
        <v>22</v>
      </c>
      <c r="Q69" s="179" t="s">
        <v>74</v>
      </c>
      <c r="R69" s="187"/>
      <c r="S69" s="182" t="str">
        <f t="shared" si="21"/>
        <v>001-500-000071464</v>
      </c>
      <c r="T69" s="199" t="s">
        <v>496</v>
      </c>
      <c r="U69" s="189" t="s">
        <v>497</v>
      </c>
    </row>
    <row r="70" spans="1:21" ht="31" customHeight="1">
      <c r="A70" s="196">
        <v>65</v>
      </c>
      <c r="B70" s="183">
        <v>45724</v>
      </c>
      <c r="C70" s="182" t="s">
        <v>89</v>
      </c>
      <c r="D70" s="182" t="s">
        <v>484</v>
      </c>
      <c r="E70" s="179">
        <v>112570126</v>
      </c>
      <c r="F70" s="182" t="s">
        <v>487</v>
      </c>
      <c r="G70" s="182" t="s">
        <v>492</v>
      </c>
      <c r="H70" s="179" t="s">
        <v>42</v>
      </c>
      <c r="I70" s="179" t="s">
        <v>74</v>
      </c>
      <c r="J70" s="179" t="s">
        <v>75</v>
      </c>
      <c r="K70" s="184">
        <v>45814</v>
      </c>
      <c r="L70" s="185" t="s">
        <v>494</v>
      </c>
      <c r="M70" s="185" t="s">
        <v>495</v>
      </c>
      <c r="N70" s="182">
        <v>986353015</v>
      </c>
      <c r="O70" s="186">
        <v>15</v>
      </c>
      <c r="P70" s="179" t="s">
        <v>22</v>
      </c>
      <c r="Q70" s="179" t="s">
        <v>74</v>
      </c>
      <c r="R70" s="187"/>
      <c r="S70" s="182" t="str">
        <f t="shared" si="21"/>
        <v>001-500-000071464</v>
      </c>
      <c r="T70" s="199" t="s">
        <v>496</v>
      </c>
      <c r="U70" s="189" t="s">
        <v>497</v>
      </c>
    </row>
    <row r="71" spans="1:21" ht="31" customHeight="1">
      <c r="A71" s="196">
        <v>66</v>
      </c>
      <c r="B71" s="183">
        <v>45724</v>
      </c>
      <c r="C71" s="182" t="s">
        <v>89</v>
      </c>
      <c r="D71" s="182" t="s">
        <v>484</v>
      </c>
      <c r="E71" s="179">
        <v>40483280</v>
      </c>
      <c r="F71" s="182" t="s">
        <v>488</v>
      </c>
      <c r="G71" s="182" t="s">
        <v>493</v>
      </c>
      <c r="H71" s="179" t="s">
        <v>42</v>
      </c>
      <c r="I71" s="179" t="s">
        <v>74</v>
      </c>
      <c r="J71" s="179" t="s">
        <v>75</v>
      </c>
      <c r="K71" s="184">
        <v>45814</v>
      </c>
      <c r="L71" s="185" t="s">
        <v>494</v>
      </c>
      <c r="M71" s="185" t="s">
        <v>495</v>
      </c>
      <c r="N71" s="182">
        <v>986353015</v>
      </c>
      <c r="O71" s="186">
        <v>30</v>
      </c>
      <c r="P71" s="179" t="s">
        <v>22</v>
      </c>
      <c r="Q71" s="179" t="s">
        <v>74</v>
      </c>
      <c r="R71" s="187"/>
      <c r="S71" s="182" t="str">
        <f t="shared" si="21"/>
        <v>001-500-000071464</v>
      </c>
      <c r="T71" s="199" t="s">
        <v>496</v>
      </c>
      <c r="U71" s="189" t="s">
        <v>497</v>
      </c>
    </row>
    <row r="72" spans="1:21" ht="31" customHeight="1">
      <c r="A72" s="196">
        <v>67</v>
      </c>
      <c r="B72" s="183">
        <v>45620</v>
      </c>
      <c r="C72" s="182" t="s">
        <v>498</v>
      </c>
      <c r="D72" s="182" t="s">
        <v>499</v>
      </c>
      <c r="E72" s="179">
        <v>113430051</v>
      </c>
      <c r="F72" s="182" t="s">
        <v>500</v>
      </c>
      <c r="G72" s="182" t="s">
        <v>502</v>
      </c>
      <c r="H72" s="179" t="s">
        <v>42</v>
      </c>
      <c r="I72" s="179" t="s">
        <v>74</v>
      </c>
      <c r="J72" s="179" t="s">
        <v>75</v>
      </c>
      <c r="K72" s="184">
        <v>45818</v>
      </c>
      <c r="L72" s="185" t="s">
        <v>507</v>
      </c>
      <c r="M72" s="185" t="s">
        <v>508</v>
      </c>
      <c r="N72" s="182">
        <v>995116588</v>
      </c>
      <c r="O72" s="186">
        <v>15</v>
      </c>
      <c r="P72" s="179" t="s">
        <v>22</v>
      </c>
      <c r="Q72" s="179" t="s">
        <v>74</v>
      </c>
      <c r="R72" s="187"/>
      <c r="S72" s="182" t="str">
        <f>D72</f>
        <v>040-104-000008196</v>
      </c>
      <c r="T72" s="199" t="s">
        <v>509</v>
      </c>
      <c r="U72" s="189" t="s">
        <v>510</v>
      </c>
    </row>
    <row r="73" spans="1:21" ht="31" customHeight="1">
      <c r="A73" s="196">
        <v>68</v>
      </c>
      <c r="B73" s="183">
        <v>45620</v>
      </c>
      <c r="C73" s="182" t="s">
        <v>498</v>
      </c>
      <c r="D73" s="182" t="s">
        <v>499</v>
      </c>
      <c r="E73" s="179">
        <v>407822128</v>
      </c>
      <c r="F73" s="182" t="s">
        <v>353</v>
      </c>
      <c r="G73" s="182" t="s">
        <v>503</v>
      </c>
      <c r="H73" s="179" t="s">
        <v>42</v>
      </c>
      <c r="I73" s="179" t="s">
        <v>74</v>
      </c>
      <c r="J73" s="179" t="s">
        <v>75</v>
      </c>
      <c r="K73" s="184">
        <v>45818</v>
      </c>
      <c r="L73" s="185" t="s">
        <v>507</v>
      </c>
      <c r="M73" s="185" t="s">
        <v>508</v>
      </c>
      <c r="N73" s="182">
        <v>995116588</v>
      </c>
      <c r="O73" s="186">
        <v>15</v>
      </c>
      <c r="P73" s="179" t="s">
        <v>22</v>
      </c>
      <c r="Q73" s="179" t="s">
        <v>74</v>
      </c>
      <c r="R73" s="187"/>
      <c r="S73" s="182" t="str">
        <f>D73</f>
        <v>040-104-000008196</v>
      </c>
      <c r="T73" s="199" t="s">
        <v>509</v>
      </c>
      <c r="U73" s="189" t="s">
        <v>510</v>
      </c>
    </row>
    <row r="74" spans="1:21" ht="31" customHeight="1">
      <c r="A74" s="196">
        <v>69</v>
      </c>
      <c r="B74" s="183">
        <v>45620</v>
      </c>
      <c r="C74" s="182" t="s">
        <v>498</v>
      </c>
      <c r="D74" s="182" t="s">
        <v>499</v>
      </c>
      <c r="E74" s="179">
        <v>111000030</v>
      </c>
      <c r="F74" s="182" t="s">
        <v>501</v>
      </c>
      <c r="G74" s="182" t="s">
        <v>504</v>
      </c>
      <c r="H74" s="179" t="s">
        <v>42</v>
      </c>
      <c r="I74" s="179" t="s">
        <v>74</v>
      </c>
      <c r="J74" s="179" t="s">
        <v>75</v>
      </c>
      <c r="K74" s="184">
        <v>45818</v>
      </c>
      <c r="L74" s="185" t="s">
        <v>507</v>
      </c>
      <c r="M74" s="185" t="s">
        <v>508</v>
      </c>
      <c r="N74" s="182">
        <v>995116588</v>
      </c>
      <c r="O74" s="186">
        <v>15</v>
      </c>
      <c r="P74" s="179" t="s">
        <v>22</v>
      </c>
      <c r="Q74" s="179" t="s">
        <v>74</v>
      </c>
      <c r="R74" s="187"/>
      <c r="S74" s="182" t="str">
        <f t="shared" ref="S74:S77" si="22">D74</f>
        <v>040-104-000008196</v>
      </c>
      <c r="T74" s="199" t="s">
        <v>509</v>
      </c>
      <c r="U74" s="189" t="s">
        <v>510</v>
      </c>
    </row>
    <row r="75" spans="1:21" ht="31" customHeight="1">
      <c r="A75" s="196">
        <v>70</v>
      </c>
      <c r="B75" s="183">
        <v>45620</v>
      </c>
      <c r="C75" s="182" t="s">
        <v>498</v>
      </c>
      <c r="D75" s="182" t="s">
        <v>499</v>
      </c>
      <c r="E75" s="179">
        <v>40584305</v>
      </c>
      <c r="F75" s="182" t="s">
        <v>290</v>
      </c>
      <c r="G75" s="182" t="s">
        <v>505</v>
      </c>
      <c r="H75" s="179" t="s">
        <v>42</v>
      </c>
      <c r="I75" s="179" t="s">
        <v>74</v>
      </c>
      <c r="J75" s="179" t="s">
        <v>75</v>
      </c>
      <c r="K75" s="184">
        <v>45818</v>
      </c>
      <c r="L75" s="185" t="s">
        <v>507</v>
      </c>
      <c r="M75" s="185" t="s">
        <v>508</v>
      </c>
      <c r="N75" s="182">
        <v>995116588</v>
      </c>
      <c r="O75" s="186">
        <v>15</v>
      </c>
      <c r="P75" s="179" t="s">
        <v>22</v>
      </c>
      <c r="Q75" s="179" t="s">
        <v>74</v>
      </c>
      <c r="R75" s="187"/>
      <c r="S75" s="182" t="str">
        <f t="shared" si="22"/>
        <v>040-104-000008196</v>
      </c>
      <c r="T75" s="199" t="s">
        <v>509</v>
      </c>
      <c r="U75" s="189" t="s">
        <v>510</v>
      </c>
    </row>
    <row r="76" spans="1:21" ht="31" customHeight="1">
      <c r="A76" s="196">
        <v>71</v>
      </c>
      <c r="B76" s="183">
        <v>45620</v>
      </c>
      <c r="C76" s="182" t="s">
        <v>498</v>
      </c>
      <c r="D76" s="182" t="s">
        <v>499</v>
      </c>
      <c r="E76" s="179">
        <v>112580058</v>
      </c>
      <c r="F76" s="182" t="s">
        <v>295</v>
      </c>
      <c r="G76" s="182" t="s">
        <v>506</v>
      </c>
      <c r="H76" s="179" t="s">
        <v>42</v>
      </c>
      <c r="I76" s="179" t="s">
        <v>74</v>
      </c>
      <c r="J76" s="179" t="s">
        <v>75</v>
      </c>
      <c r="K76" s="184">
        <v>45818</v>
      </c>
      <c r="L76" s="185" t="s">
        <v>507</v>
      </c>
      <c r="M76" s="185" t="s">
        <v>508</v>
      </c>
      <c r="N76" s="182">
        <v>995116588</v>
      </c>
      <c r="O76" s="186">
        <v>15</v>
      </c>
      <c r="P76" s="179" t="s">
        <v>22</v>
      </c>
      <c r="Q76" s="179" t="s">
        <v>74</v>
      </c>
      <c r="R76" s="187"/>
      <c r="S76" s="182" t="str">
        <f t="shared" si="22"/>
        <v>040-104-000008196</v>
      </c>
      <c r="T76" s="199" t="s">
        <v>509</v>
      </c>
      <c r="U76" s="189" t="s">
        <v>510</v>
      </c>
    </row>
    <row r="77" spans="1:21" ht="31" customHeight="1">
      <c r="A77" s="196">
        <v>72</v>
      </c>
      <c r="B77" s="183">
        <v>45815</v>
      </c>
      <c r="C77" s="182" t="s">
        <v>125</v>
      </c>
      <c r="D77" s="182" t="s">
        <v>511</v>
      </c>
      <c r="E77" s="179">
        <v>112570125</v>
      </c>
      <c r="F77" s="182" t="s">
        <v>512</v>
      </c>
      <c r="G77" s="182" t="s">
        <v>514</v>
      </c>
      <c r="H77" s="179" t="s">
        <v>42</v>
      </c>
      <c r="I77" s="179" t="s">
        <v>74</v>
      </c>
      <c r="J77" s="179" t="s">
        <v>75</v>
      </c>
      <c r="K77" s="184">
        <v>45818</v>
      </c>
      <c r="L77" s="185" t="s">
        <v>517</v>
      </c>
      <c r="M77" s="185" t="s">
        <v>518</v>
      </c>
      <c r="N77" s="182">
        <v>98479269</v>
      </c>
      <c r="O77" s="186">
        <v>15</v>
      </c>
      <c r="P77" s="179" t="s">
        <v>22</v>
      </c>
      <c r="Q77" s="179" t="s">
        <v>74</v>
      </c>
      <c r="R77" s="187"/>
      <c r="S77" s="182" t="str">
        <f t="shared" si="22"/>
        <v>016-907-000257154</v>
      </c>
      <c r="T77" s="199" t="s">
        <v>519</v>
      </c>
      <c r="U77" s="189" t="s">
        <v>520</v>
      </c>
    </row>
    <row r="78" spans="1:21" ht="31" customHeight="1">
      <c r="A78" s="196">
        <v>73</v>
      </c>
      <c r="B78" s="183">
        <v>45815</v>
      </c>
      <c r="C78" s="182" t="s">
        <v>125</v>
      </c>
      <c r="D78" s="182" t="s">
        <v>511</v>
      </c>
      <c r="E78" s="179">
        <v>111010028</v>
      </c>
      <c r="F78" s="182" t="s">
        <v>513</v>
      </c>
      <c r="G78" s="182" t="s">
        <v>515</v>
      </c>
      <c r="H78" s="179" t="s">
        <v>42</v>
      </c>
      <c r="I78" s="179" t="s">
        <v>74</v>
      </c>
      <c r="J78" s="179" t="s">
        <v>75</v>
      </c>
      <c r="K78" s="184">
        <v>45818</v>
      </c>
      <c r="L78" s="185" t="s">
        <v>517</v>
      </c>
      <c r="M78" s="185" t="s">
        <v>518</v>
      </c>
      <c r="N78" s="182">
        <v>98479269</v>
      </c>
      <c r="O78" s="186">
        <v>15</v>
      </c>
      <c r="P78" s="179" t="s">
        <v>22</v>
      </c>
      <c r="Q78" s="179" t="s">
        <v>74</v>
      </c>
      <c r="R78" s="187"/>
      <c r="S78" s="182" t="str">
        <f t="shared" ref="S78:S80" si="23">D78</f>
        <v>016-907-000257154</v>
      </c>
      <c r="T78" s="199" t="s">
        <v>519</v>
      </c>
      <c r="U78" s="189" t="s">
        <v>520</v>
      </c>
    </row>
    <row r="79" spans="1:21" ht="31" customHeight="1">
      <c r="A79" s="196">
        <v>74</v>
      </c>
      <c r="B79" s="183">
        <v>45815</v>
      </c>
      <c r="C79" s="182" t="s">
        <v>125</v>
      </c>
      <c r="D79" s="182" t="s">
        <v>511</v>
      </c>
      <c r="E79" s="179">
        <v>40467320</v>
      </c>
      <c r="F79" s="182" t="s">
        <v>248</v>
      </c>
      <c r="G79" s="182" t="s">
        <v>516</v>
      </c>
      <c r="H79" s="179" t="s">
        <v>42</v>
      </c>
      <c r="I79" s="179" t="s">
        <v>74</v>
      </c>
      <c r="J79" s="179" t="s">
        <v>75</v>
      </c>
      <c r="K79" s="184">
        <v>45818</v>
      </c>
      <c r="L79" s="185" t="s">
        <v>517</v>
      </c>
      <c r="M79" s="185" t="s">
        <v>518</v>
      </c>
      <c r="N79" s="182">
        <v>98479269</v>
      </c>
      <c r="O79" s="186">
        <v>15</v>
      </c>
      <c r="P79" s="179" t="s">
        <v>22</v>
      </c>
      <c r="Q79" s="179" t="s">
        <v>74</v>
      </c>
      <c r="R79" s="187"/>
      <c r="S79" s="182" t="str">
        <f t="shared" si="23"/>
        <v>016-907-000257154</v>
      </c>
      <c r="T79" s="199" t="s">
        <v>519</v>
      </c>
      <c r="U79" s="189" t="s">
        <v>520</v>
      </c>
    </row>
    <row r="80" spans="1:21" ht="31" customHeight="1">
      <c r="A80" s="196">
        <v>75</v>
      </c>
      <c r="B80" s="183">
        <v>45812</v>
      </c>
      <c r="C80" s="182" t="s">
        <v>125</v>
      </c>
      <c r="D80" s="182" t="s">
        <v>521</v>
      </c>
      <c r="E80" s="179">
        <v>40584202</v>
      </c>
      <c r="F80" s="182" t="s">
        <v>290</v>
      </c>
      <c r="G80" s="182" t="s">
        <v>523</v>
      </c>
      <c r="H80" s="179" t="s">
        <v>42</v>
      </c>
      <c r="I80" s="179" t="s">
        <v>74</v>
      </c>
      <c r="J80" s="179" t="s">
        <v>75</v>
      </c>
      <c r="K80" s="184">
        <v>45819</v>
      </c>
      <c r="L80" s="185" t="s">
        <v>524</v>
      </c>
      <c r="M80" s="185" t="s">
        <v>525</v>
      </c>
      <c r="N80" s="182">
        <v>993098737</v>
      </c>
      <c r="O80" s="186">
        <v>15</v>
      </c>
      <c r="P80" s="179" t="s">
        <v>22</v>
      </c>
      <c r="Q80" s="179" t="s">
        <v>74</v>
      </c>
      <c r="R80" s="187"/>
      <c r="S80" s="182" t="str">
        <f t="shared" si="23"/>
        <v>043-903-000076718</v>
      </c>
      <c r="T80" s="199" t="s">
        <v>526</v>
      </c>
      <c r="U80" s="189" t="s">
        <v>527</v>
      </c>
    </row>
    <row r="81" spans="1:21" ht="31" customHeight="1">
      <c r="A81" s="196">
        <v>76</v>
      </c>
      <c r="B81" s="183">
        <v>45812</v>
      </c>
      <c r="C81" s="182" t="s">
        <v>125</v>
      </c>
      <c r="D81" s="182" t="s">
        <v>521</v>
      </c>
      <c r="E81" s="179">
        <v>112580058</v>
      </c>
      <c r="F81" s="182" t="s">
        <v>295</v>
      </c>
      <c r="G81" s="182" t="s">
        <v>528</v>
      </c>
      <c r="H81" s="179" t="s">
        <v>42</v>
      </c>
      <c r="I81" s="179" t="s">
        <v>74</v>
      </c>
      <c r="J81" s="179" t="s">
        <v>75</v>
      </c>
      <c r="K81" s="184">
        <v>45819</v>
      </c>
      <c r="L81" s="185" t="s">
        <v>524</v>
      </c>
      <c r="M81" s="185" t="s">
        <v>525</v>
      </c>
      <c r="N81" s="182">
        <v>993098737</v>
      </c>
      <c r="O81" s="186">
        <v>15</v>
      </c>
      <c r="P81" s="179" t="s">
        <v>22</v>
      </c>
      <c r="Q81" s="179" t="s">
        <v>74</v>
      </c>
      <c r="R81" s="187"/>
      <c r="S81" s="182" t="str">
        <f t="shared" ref="S81:S83" si="24">D81</f>
        <v>043-903-000076718</v>
      </c>
      <c r="T81" s="199" t="s">
        <v>526</v>
      </c>
      <c r="U81" s="189" t="s">
        <v>527</v>
      </c>
    </row>
    <row r="82" spans="1:21" ht="31" customHeight="1">
      <c r="A82" s="196">
        <v>77</v>
      </c>
      <c r="B82" s="183">
        <v>45812</v>
      </c>
      <c r="C82" s="182" t="s">
        <v>125</v>
      </c>
      <c r="D82" s="182" t="s">
        <v>521</v>
      </c>
      <c r="E82" s="179">
        <v>41560061</v>
      </c>
      <c r="F82" s="182" t="s">
        <v>522</v>
      </c>
      <c r="G82" s="182" t="s">
        <v>529</v>
      </c>
      <c r="H82" s="179" t="s">
        <v>42</v>
      </c>
      <c r="I82" s="179" t="s">
        <v>74</v>
      </c>
      <c r="J82" s="179" t="s">
        <v>75</v>
      </c>
      <c r="K82" s="184">
        <v>45819</v>
      </c>
      <c r="L82" s="185" t="s">
        <v>524</v>
      </c>
      <c r="M82" s="185" t="s">
        <v>525</v>
      </c>
      <c r="N82" s="182">
        <v>993098737</v>
      </c>
      <c r="O82" s="186">
        <v>15</v>
      </c>
      <c r="P82" s="179" t="s">
        <v>22</v>
      </c>
      <c r="Q82" s="179" t="s">
        <v>74</v>
      </c>
      <c r="R82" s="187"/>
      <c r="S82" s="182" t="str">
        <f t="shared" si="24"/>
        <v>043-903-000076718</v>
      </c>
      <c r="T82" s="199" t="s">
        <v>526</v>
      </c>
      <c r="U82" s="189" t="s">
        <v>527</v>
      </c>
    </row>
    <row r="83" spans="1:21" ht="31" customHeight="1">
      <c r="A83" s="196">
        <v>78</v>
      </c>
      <c r="B83" s="183">
        <v>45817</v>
      </c>
      <c r="C83" s="182" t="s">
        <v>89</v>
      </c>
      <c r="D83" s="182" t="s">
        <v>541</v>
      </c>
      <c r="E83" s="179">
        <v>111000051</v>
      </c>
      <c r="F83" s="182" t="s">
        <v>182</v>
      </c>
      <c r="G83" s="182" t="s">
        <v>542</v>
      </c>
      <c r="H83" s="179" t="s">
        <v>42</v>
      </c>
      <c r="I83" s="179" t="s">
        <v>74</v>
      </c>
      <c r="J83" s="179" t="s">
        <v>75</v>
      </c>
      <c r="K83" s="184">
        <v>45821</v>
      </c>
      <c r="L83" s="185" t="s">
        <v>357</v>
      </c>
      <c r="M83" s="185" t="s">
        <v>543</v>
      </c>
      <c r="N83" s="182">
        <v>993096099</v>
      </c>
      <c r="O83" s="186">
        <v>20</v>
      </c>
      <c r="P83" s="179" t="s">
        <v>22</v>
      </c>
      <c r="Q83" s="179" t="s">
        <v>74</v>
      </c>
      <c r="R83" s="187"/>
      <c r="S83" s="182" t="str">
        <f t="shared" si="24"/>
        <v>001-500-000074113</v>
      </c>
      <c r="T83" s="199" t="s">
        <v>544</v>
      </c>
      <c r="U83" s="189" t="s">
        <v>545</v>
      </c>
    </row>
    <row r="84" spans="1:21" ht="31" customHeight="1">
      <c r="A84" s="196">
        <v>79</v>
      </c>
      <c r="B84" s="183">
        <v>45817</v>
      </c>
      <c r="C84" s="182" t="s">
        <v>89</v>
      </c>
      <c r="D84" s="182" t="s">
        <v>541</v>
      </c>
      <c r="E84" s="179">
        <v>40584305</v>
      </c>
      <c r="F84" s="182" t="s">
        <v>443</v>
      </c>
      <c r="G84" s="182" t="s">
        <v>546</v>
      </c>
      <c r="H84" s="179" t="s">
        <v>42</v>
      </c>
      <c r="I84" s="179" t="s">
        <v>74</v>
      </c>
      <c r="J84" s="179" t="s">
        <v>75</v>
      </c>
      <c r="K84" s="184">
        <v>45821</v>
      </c>
      <c r="L84" s="185" t="s">
        <v>357</v>
      </c>
      <c r="M84" s="185" t="s">
        <v>543</v>
      </c>
      <c r="N84" s="182">
        <v>993096099</v>
      </c>
      <c r="O84" s="186">
        <v>20</v>
      </c>
      <c r="P84" s="179" t="s">
        <v>22</v>
      </c>
      <c r="Q84" s="179" t="s">
        <v>74</v>
      </c>
      <c r="R84" s="187"/>
      <c r="S84" s="182" t="str">
        <f t="shared" ref="S84:S85" si="25">D84</f>
        <v>001-500-000074113</v>
      </c>
      <c r="T84" s="199" t="s">
        <v>544</v>
      </c>
      <c r="U84" s="189" t="s">
        <v>545</v>
      </c>
    </row>
    <row r="85" spans="1:21" ht="31" customHeight="1">
      <c r="A85" s="196">
        <v>80</v>
      </c>
      <c r="B85" s="183">
        <v>45789</v>
      </c>
      <c r="C85" s="182" t="s">
        <v>89</v>
      </c>
      <c r="D85" s="182" t="s">
        <v>547</v>
      </c>
      <c r="E85" s="179">
        <v>112570238</v>
      </c>
      <c r="F85" s="182" t="s">
        <v>548</v>
      </c>
      <c r="G85" s="182" t="s">
        <v>549</v>
      </c>
      <c r="H85" s="179" t="s">
        <v>42</v>
      </c>
      <c r="I85" s="179" t="s">
        <v>74</v>
      </c>
      <c r="J85" s="179" t="s">
        <v>75</v>
      </c>
      <c r="K85" s="184">
        <v>45821</v>
      </c>
      <c r="L85" s="185" t="s">
        <v>550</v>
      </c>
      <c r="M85" s="185" t="s">
        <v>551</v>
      </c>
      <c r="N85" s="182">
        <v>72853604</v>
      </c>
      <c r="O85" s="186">
        <v>15</v>
      </c>
      <c r="P85" s="179" t="s">
        <v>22</v>
      </c>
      <c r="Q85" s="179" t="s">
        <v>74</v>
      </c>
      <c r="R85" s="187"/>
      <c r="S85" s="182" t="str">
        <f t="shared" si="25"/>
        <v>001-500-000073379</v>
      </c>
      <c r="T85" s="199" t="s">
        <v>552</v>
      </c>
      <c r="U85" s="189" t="s">
        <v>553</v>
      </c>
    </row>
    <row r="86" spans="1:21" ht="31" customHeight="1">
      <c r="A86" s="196">
        <v>81</v>
      </c>
      <c r="B86" s="183">
        <v>45789</v>
      </c>
      <c r="C86" s="182" t="s">
        <v>89</v>
      </c>
      <c r="D86" s="182" t="s">
        <v>547</v>
      </c>
      <c r="E86" s="179">
        <v>112030008</v>
      </c>
      <c r="F86" s="182" t="s">
        <v>443</v>
      </c>
      <c r="G86" s="182" t="s">
        <v>554</v>
      </c>
      <c r="H86" s="179" t="s">
        <v>42</v>
      </c>
      <c r="I86" s="179" t="s">
        <v>74</v>
      </c>
      <c r="J86" s="179" t="s">
        <v>75</v>
      </c>
      <c r="K86" s="184">
        <v>45821</v>
      </c>
      <c r="L86" s="185" t="s">
        <v>550</v>
      </c>
      <c r="M86" s="185" t="s">
        <v>551</v>
      </c>
      <c r="N86" s="182">
        <v>72853604</v>
      </c>
      <c r="O86" s="186">
        <v>15</v>
      </c>
      <c r="P86" s="179" t="s">
        <v>22</v>
      </c>
      <c r="Q86" s="179" t="s">
        <v>74</v>
      </c>
      <c r="R86" s="187"/>
      <c r="S86" s="182" t="str">
        <f t="shared" ref="S86:S93" si="26">D86</f>
        <v>001-500-000073379</v>
      </c>
      <c r="T86" s="199" t="s">
        <v>552</v>
      </c>
      <c r="U86" s="189" t="s">
        <v>553</v>
      </c>
    </row>
    <row r="87" spans="1:21" ht="31" customHeight="1">
      <c r="A87" s="196">
        <v>82</v>
      </c>
      <c r="B87" s="183">
        <v>45789</v>
      </c>
      <c r="C87" s="182" t="s">
        <v>89</v>
      </c>
      <c r="D87" s="182" t="s">
        <v>547</v>
      </c>
      <c r="E87" s="179">
        <v>1110000051</v>
      </c>
      <c r="F87" s="182" t="s">
        <v>555</v>
      </c>
      <c r="G87" s="182" t="s">
        <v>556</v>
      </c>
      <c r="H87" s="179" t="s">
        <v>42</v>
      </c>
      <c r="I87" s="179" t="s">
        <v>74</v>
      </c>
      <c r="J87" s="179" t="s">
        <v>75</v>
      </c>
      <c r="K87" s="184">
        <v>45821</v>
      </c>
      <c r="L87" s="185" t="s">
        <v>550</v>
      </c>
      <c r="M87" s="185" t="s">
        <v>551</v>
      </c>
      <c r="N87" s="182">
        <v>72853604</v>
      </c>
      <c r="O87" s="186">
        <v>15</v>
      </c>
      <c r="P87" s="179" t="s">
        <v>22</v>
      </c>
      <c r="Q87" s="179" t="s">
        <v>74</v>
      </c>
      <c r="R87" s="187"/>
      <c r="S87" s="182" t="str">
        <f t="shared" si="26"/>
        <v>001-500-000073379</v>
      </c>
      <c r="T87" s="199" t="s">
        <v>552</v>
      </c>
      <c r="U87" s="189" t="s">
        <v>553</v>
      </c>
    </row>
    <row r="88" spans="1:21" ht="31" customHeight="1">
      <c r="A88" s="196">
        <v>83</v>
      </c>
      <c r="B88" s="183">
        <v>45735</v>
      </c>
      <c r="C88" s="182" t="s">
        <v>498</v>
      </c>
      <c r="D88" s="182" t="s">
        <v>557</v>
      </c>
      <c r="E88" s="179">
        <v>112030019</v>
      </c>
      <c r="F88" s="182" t="s">
        <v>558</v>
      </c>
      <c r="G88" s="182" t="s">
        <v>559</v>
      </c>
      <c r="H88" s="179" t="s">
        <v>42</v>
      </c>
      <c r="I88" s="179" t="s">
        <v>74</v>
      </c>
      <c r="J88" s="179" t="s">
        <v>75</v>
      </c>
      <c r="K88" s="184">
        <v>45824</v>
      </c>
      <c r="L88" s="185" t="s">
        <v>565</v>
      </c>
      <c r="M88" s="185" t="s">
        <v>566</v>
      </c>
      <c r="N88" s="182">
        <v>72892847</v>
      </c>
      <c r="O88" s="186">
        <v>15</v>
      </c>
      <c r="P88" s="179" t="s">
        <v>22</v>
      </c>
      <c r="Q88" s="179" t="s">
        <v>74</v>
      </c>
      <c r="R88" s="187"/>
      <c r="S88" s="182" t="str">
        <f t="shared" si="26"/>
        <v>040-103-000012549</v>
      </c>
      <c r="T88" s="199" t="s">
        <v>567</v>
      </c>
      <c r="U88" s="189" t="s">
        <v>568</v>
      </c>
    </row>
    <row r="89" spans="1:21" ht="31" customHeight="1">
      <c r="A89" s="196">
        <v>84</v>
      </c>
      <c r="B89" s="183">
        <v>45735</v>
      </c>
      <c r="C89" s="182" t="s">
        <v>498</v>
      </c>
      <c r="D89" s="182" t="s">
        <v>557</v>
      </c>
      <c r="E89" s="179">
        <v>111000051</v>
      </c>
      <c r="F89" s="182" t="s">
        <v>104</v>
      </c>
      <c r="G89" s="182" t="s">
        <v>560</v>
      </c>
      <c r="H89" s="179" t="s">
        <v>42</v>
      </c>
      <c r="I89" s="179" t="s">
        <v>74</v>
      </c>
      <c r="J89" s="179" t="s">
        <v>75</v>
      </c>
      <c r="K89" s="184">
        <v>45824</v>
      </c>
      <c r="L89" s="185" t="s">
        <v>565</v>
      </c>
      <c r="M89" s="185" t="s">
        <v>566</v>
      </c>
      <c r="N89" s="182">
        <v>72892847</v>
      </c>
      <c r="O89" s="186">
        <v>15</v>
      </c>
      <c r="P89" s="179" t="s">
        <v>22</v>
      </c>
      <c r="Q89" s="179" t="s">
        <v>74</v>
      </c>
      <c r="R89" s="187"/>
      <c r="S89" s="182" t="str">
        <f t="shared" ref="S89:S92" si="27">D89</f>
        <v>040-103-000012549</v>
      </c>
      <c r="T89" s="199" t="s">
        <v>567</v>
      </c>
      <c r="U89" s="189" t="s">
        <v>568</v>
      </c>
    </row>
    <row r="90" spans="1:21" ht="31" customHeight="1">
      <c r="A90" s="196">
        <v>85</v>
      </c>
      <c r="B90" s="183">
        <v>45735</v>
      </c>
      <c r="C90" s="182" t="s">
        <v>498</v>
      </c>
      <c r="D90" s="182" t="s">
        <v>557</v>
      </c>
      <c r="E90" s="179">
        <v>40782127</v>
      </c>
      <c r="F90" s="182" t="s">
        <v>353</v>
      </c>
      <c r="G90" s="182" t="s">
        <v>561</v>
      </c>
      <c r="H90" s="179" t="s">
        <v>42</v>
      </c>
      <c r="I90" s="179" t="s">
        <v>74</v>
      </c>
      <c r="J90" s="179" t="s">
        <v>75</v>
      </c>
      <c r="K90" s="184">
        <v>45824</v>
      </c>
      <c r="L90" s="185" t="s">
        <v>565</v>
      </c>
      <c r="M90" s="185" t="s">
        <v>566</v>
      </c>
      <c r="N90" s="182">
        <v>72892847</v>
      </c>
      <c r="O90" s="186">
        <v>15</v>
      </c>
      <c r="P90" s="179" t="s">
        <v>22</v>
      </c>
      <c r="Q90" s="179" t="s">
        <v>74</v>
      </c>
      <c r="R90" s="187"/>
      <c r="S90" s="182" t="str">
        <f t="shared" si="27"/>
        <v>040-103-000012549</v>
      </c>
      <c r="T90" s="199" t="s">
        <v>567</v>
      </c>
      <c r="U90" s="189" t="s">
        <v>568</v>
      </c>
    </row>
    <row r="91" spans="1:21" ht="31" customHeight="1">
      <c r="A91" s="196">
        <v>86</v>
      </c>
      <c r="B91" s="183">
        <v>45735</v>
      </c>
      <c r="C91" s="182" t="s">
        <v>498</v>
      </c>
      <c r="D91" s="182" t="s">
        <v>557</v>
      </c>
      <c r="E91" s="179">
        <v>113436051</v>
      </c>
      <c r="F91" s="182" t="s">
        <v>500</v>
      </c>
      <c r="G91" s="206" t="s">
        <v>562</v>
      </c>
      <c r="H91" s="179" t="s">
        <v>42</v>
      </c>
      <c r="I91" s="179" t="s">
        <v>74</v>
      </c>
      <c r="J91" s="179" t="s">
        <v>75</v>
      </c>
      <c r="K91" s="184">
        <v>45824</v>
      </c>
      <c r="L91" s="185" t="s">
        <v>565</v>
      </c>
      <c r="M91" s="185" t="s">
        <v>566</v>
      </c>
      <c r="N91" s="182">
        <v>72892847</v>
      </c>
      <c r="O91" s="186">
        <v>15</v>
      </c>
      <c r="P91" s="179" t="s">
        <v>22</v>
      </c>
      <c r="Q91" s="179" t="s">
        <v>74</v>
      </c>
      <c r="R91" s="187"/>
      <c r="S91" s="182" t="str">
        <f t="shared" si="27"/>
        <v>040-103-000012549</v>
      </c>
      <c r="T91" s="199" t="s">
        <v>567</v>
      </c>
      <c r="U91" s="189" t="s">
        <v>568</v>
      </c>
    </row>
    <row r="92" spans="1:21" ht="31" customHeight="1">
      <c r="A92" s="196">
        <v>87</v>
      </c>
      <c r="B92" s="183">
        <v>45735</v>
      </c>
      <c r="C92" s="182" t="s">
        <v>498</v>
      </c>
      <c r="D92" s="182" t="s">
        <v>557</v>
      </c>
      <c r="E92" s="179">
        <v>113600015</v>
      </c>
      <c r="F92" s="182" t="s">
        <v>563</v>
      </c>
      <c r="G92" s="182" t="s">
        <v>564</v>
      </c>
      <c r="H92" s="179" t="s">
        <v>42</v>
      </c>
      <c r="I92" s="179" t="s">
        <v>74</v>
      </c>
      <c r="J92" s="179" t="s">
        <v>75</v>
      </c>
      <c r="K92" s="184">
        <v>45824</v>
      </c>
      <c r="L92" s="185" t="s">
        <v>565</v>
      </c>
      <c r="M92" s="185" t="s">
        <v>566</v>
      </c>
      <c r="N92" s="182">
        <v>72892847</v>
      </c>
      <c r="O92" s="186">
        <v>15</v>
      </c>
      <c r="P92" s="179" t="s">
        <v>22</v>
      </c>
      <c r="Q92" s="179" t="s">
        <v>74</v>
      </c>
      <c r="R92" s="187"/>
      <c r="S92" s="182" t="str">
        <f t="shared" si="27"/>
        <v>040-103-000012549</v>
      </c>
      <c r="T92" s="199" t="s">
        <v>567</v>
      </c>
      <c r="U92" s="189" t="s">
        <v>568</v>
      </c>
    </row>
    <row r="93" spans="1:21" ht="31" customHeight="1">
      <c r="A93" s="196">
        <v>88</v>
      </c>
      <c r="B93" s="183">
        <v>45692</v>
      </c>
      <c r="C93" s="182" t="s">
        <v>498</v>
      </c>
      <c r="D93" s="182" t="s">
        <v>569</v>
      </c>
      <c r="E93" s="179">
        <v>113436051</v>
      </c>
      <c r="F93" s="182" t="s">
        <v>500</v>
      </c>
      <c r="G93" s="206" t="s">
        <v>570</v>
      </c>
      <c r="H93" s="179" t="s">
        <v>42</v>
      </c>
      <c r="I93" s="179" t="s">
        <v>74</v>
      </c>
      <c r="J93" s="179" t="s">
        <v>75</v>
      </c>
      <c r="K93" s="184">
        <v>45824</v>
      </c>
      <c r="L93" s="185" t="s">
        <v>574</v>
      </c>
      <c r="M93" s="185" t="s">
        <v>575</v>
      </c>
      <c r="N93" s="182">
        <v>985475236</v>
      </c>
      <c r="O93" s="186">
        <v>15</v>
      </c>
      <c r="P93" s="179" t="s">
        <v>22</v>
      </c>
      <c r="Q93" s="179" t="s">
        <v>74</v>
      </c>
      <c r="R93" s="187"/>
      <c r="S93" s="182" t="str">
        <f t="shared" si="26"/>
        <v>040-104-000009784</v>
      </c>
      <c r="T93" s="199" t="s">
        <v>576</v>
      </c>
      <c r="U93" s="189" t="s">
        <v>577</v>
      </c>
    </row>
    <row r="94" spans="1:21" ht="31" customHeight="1">
      <c r="A94" s="196">
        <v>89</v>
      </c>
      <c r="B94" s="183">
        <v>45692</v>
      </c>
      <c r="C94" s="182" t="s">
        <v>498</v>
      </c>
      <c r="D94" s="182" t="s">
        <v>569</v>
      </c>
      <c r="E94" s="179">
        <v>112030019</v>
      </c>
      <c r="F94" s="182" t="s">
        <v>558</v>
      </c>
      <c r="G94" s="182" t="s">
        <v>571</v>
      </c>
      <c r="H94" s="179" t="s">
        <v>42</v>
      </c>
      <c r="I94" s="179" t="s">
        <v>74</v>
      </c>
      <c r="J94" s="179" t="s">
        <v>75</v>
      </c>
      <c r="K94" s="184">
        <v>45824</v>
      </c>
      <c r="L94" s="185" t="s">
        <v>574</v>
      </c>
      <c r="M94" s="185" t="s">
        <v>575</v>
      </c>
      <c r="N94" s="182">
        <v>985475236</v>
      </c>
      <c r="O94" s="186">
        <v>15</v>
      </c>
      <c r="P94" s="179" t="s">
        <v>22</v>
      </c>
      <c r="Q94" s="179" t="s">
        <v>74</v>
      </c>
      <c r="R94" s="187"/>
      <c r="S94" s="182" t="str">
        <f t="shared" ref="S94:S96" si="28">D94</f>
        <v>040-104-000009784</v>
      </c>
      <c r="T94" s="199" t="s">
        <v>576</v>
      </c>
      <c r="U94" s="189" t="s">
        <v>577</v>
      </c>
    </row>
    <row r="95" spans="1:21" ht="31" customHeight="1">
      <c r="A95" s="196">
        <v>90</v>
      </c>
      <c r="B95" s="183">
        <v>45692</v>
      </c>
      <c r="C95" s="182" t="s">
        <v>498</v>
      </c>
      <c r="D95" s="182" t="s">
        <v>569</v>
      </c>
      <c r="E95" s="179">
        <v>111000051</v>
      </c>
      <c r="F95" s="182" t="s">
        <v>104</v>
      </c>
      <c r="G95" s="182" t="s">
        <v>572</v>
      </c>
      <c r="H95" s="179" t="s">
        <v>42</v>
      </c>
      <c r="I95" s="179" t="s">
        <v>74</v>
      </c>
      <c r="J95" s="179" t="s">
        <v>75</v>
      </c>
      <c r="K95" s="184">
        <v>45824</v>
      </c>
      <c r="L95" s="185" t="s">
        <v>574</v>
      </c>
      <c r="M95" s="185" t="s">
        <v>575</v>
      </c>
      <c r="N95" s="182">
        <v>985475236</v>
      </c>
      <c r="O95" s="186">
        <v>15</v>
      </c>
      <c r="P95" s="179" t="s">
        <v>22</v>
      </c>
      <c r="Q95" s="179" t="s">
        <v>74</v>
      </c>
      <c r="R95" s="187"/>
      <c r="S95" s="182" t="str">
        <f t="shared" si="28"/>
        <v>040-104-000009784</v>
      </c>
      <c r="T95" s="199" t="s">
        <v>576</v>
      </c>
      <c r="U95" s="189" t="s">
        <v>577</v>
      </c>
    </row>
    <row r="96" spans="1:21" ht="31" customHeight="1">
      <c r="A96" s="196">
        <v>91</v>
      </c>
      <c r="B96" s="183">
        <v>45692</v>
      </c>
      <c r="C96" s="182" t="s">
        <v>498</v>
      </c>
      <c r="D96" s="182" t="s">
        <v>569</v>
      </c>
      <c r="E96" s="179">
        <v>40782127</v>
      </c>
      <c r="F96" s="182" t="s">
        <v>353</v>
      </c>
      <c r="G96" s="182" t="s">
        <v>573</v>
      </c>
      <c r="H96" s="179" t="s">
        <v>42</v>
      </c>
      <c r="I96" s="179" t="s">
        <v>74</v>
      </c>
      <c r="J96" s="179" t="s">
        <v>75</v>
      </c>
      <c r="K96" s="184">
        <v>45824</v>
      </c>
      <c r="L96" s="185" t="s">
        <v>574</v>
      </c>
      <c r="M96" s="185" t="s">
        <v>575</v>
      </c>
      <c r="N96" s="182">
        <v>985475236</v>
      </c>
      <c r="O96" s="186">
        <v>15</v>
      </c>
      <c r="P96" s="179" t="s">
        <v>22</v>
      </c>
      <c r="Q96" s="179" t="s">
        <v>74</v>
      </c>
      <c r="R96" s="187"/>
      <c r="S96" s="182" t="str">
        <f t="shared" si="28"/>
        <v>040-104-000009784</v>
      </c>
      <c r="T96" s="199" t="s">
        <v>576</v>
      </c>
      <c r="U96" s="189" t="s">
        <v>577</v>
      </c>
    </row>
    <row r="97" spans="1:21" ht="31" customHeight="1">
      <c r="A97" s="196">
        <v>92</v>
      </c>
      <c r="B97" s="183">
        <v>45619</v>
      </c>
      <c r="C97" s="182" t="s">
        <v>498</v>
      </c>
      <c r="D97" s="182" t="s">
        <v>661</v>
      </c>
      <c r="E97" s="179">
        <v>112510035</v>
      </c>
      <c r="F97" s="182" t="s">
        <v>666</v>
      </c>
      <c r="G97" s="182" t="s">
        <v>667</v>
      </c>
      <c r="H97" s="179" t="s">
        <v>42</v>
      </c>
      <c r="I97" s="179" t="s">
        <v>74</v>
      </c>
      <c r="J97" s="179" t="s">
        <v>75</v>
      </c>
      <c r="K97" s="184">
        <v>45824</v>
      </c>
      <c r="L97" s="185" t="s">
        <v>662</v>
      </c>
      <c r="M97" s="185" t="s">
        <v>663</v>
      </c>
      <c r="N97" s="182">
        <v>997273379</v>
      </c>
      <c r="O97" s="186">
        <v>20</v>
      </c>
      <c r="P97" s="179" t="s">
        <v>22</v>
      </c>
      <c r="Q97" s="179" t="s">
        <v>74</v>
      </c>
      <c r="R97" s="187"/>
      <c r="S97" s="182" t="str">
        <f t="shared" ref="S97:S98" si="29">D97</f>
        <v>040-105-000001749</v>
      </c>
      <c r="T97" s="199" t="s">
        <v>664</v>
      </c>
      <c r="U97" s="189" t="s">
        <v>665</v>
      </c>
    </row>
    <row r="98" spans="1:21" ht="31" customHeight="1">
      <c r="A98" s="196">
        <v>93</v>
      </c>
      <c r="B98" s="183">
        <v>45619</v>
      </c>
      <c r="C98" s="182" t="s">
        <v>498</v>
      </c>
      <c r="D98" s="182" t="s">
        <v>661</v>
      </c>
      <c r="E98" s="179">
        <v>40446712</v>
      </c>
      <c r="F98" s="182" t="s">
        <v>668</v>
      </c>
      <c r="G98" s="182" t="s">
        <v>669</v>
      </c>
      <c r="H98" s="179" t="s">
        <v>42</v>
      </c>
      <c r="I98" s="179" t="s">
        <v>74</v>
      </c>
      <c r="J98" s="179" t="s">
        <v>75</v>
      </c>
      <c r="K98" s="184">
        <v>45824</v>
      </c>
      <c r="L98" s="185" t="s">
        <v>662</v>
      </c>
      <c r="M98" s="185" t="s">
        <v>663</v>
      </c>
      <c r="N98" s="182">
        <v>997273379</v>
      </c>
      <c r="O98" s="186">
        <v>20</v>
      </c>
      <c r="P98" s="179" t="s">
        <v>22</v>
      </c>
      <c r="Q98" s="179" t="s">
        <v>74</v>
      </c>
      <c r="R98" s="187"/>
      <c r="S98" s="182" t="str">
        <f t="shared" si="29"/>
        <v>040-105-000001749</v>
      </c>
      <c r="T98" s="199" t="s">
        <v>664</v>
      </c>
      <c r="U98" s="189" t="s">
        <v>665</v>
      </c>
    </row>
    <row r="99" spans="1:21" ht="31" customHeight="1">
      <c r="A99" s="196">
        <v>94</v>
      </c>
      <c r="B99" s="183">
        <v>45730</v>
      </c>
      <c r="C99" s="182" t="s">
        <v>670</v>
      </c>
      <c r="D99" s="182" t="s">
        <v>676</v>
      </c>
      <c r="E99" s="179">
        <v>1110100028</v>
      </c>
      <c r="F99" s="182" t="s">
        <v>513</v>
      </c>
      <c r="G99" s="182" t="s">
        <v>671</v>
      </c>
      <c r="H99" s="179" t="s">
        <v>42</v>
      </c>
      <c r="I99" s="179" t="s">
        <v>74</v>
      </c>
      <c r="J99" s="179" t="s">
        <v>75</v>
      </c>
      <c r="K99" s="184">
        <v>45827</v>
      </c>
      <c r="L99" s="185" t="s">
        <v>672</v>
      </c>
      <c r="M99" s="185" t="s">
        <v>673</v>
      </c>
      <c r="N99" s="182">
        <v>983891711</v>
      </c>
      <c r="O99" s="186">
        <v>15</v>
      </c>
      <c r="P99" s="179" t="s">
        <v>22</v>
      </c>
      <c r="Q99" s="179" t="s">
        <v>74</v>
      </c>
      <c r="R99" s="187"/>
      <c r="S99" s="182" t="str">
        <f t="shared" ref="S99" si="30">D99</f>
        <v>002-201-00006693</v>
      </c>
      <c r="T99" s="199" t="s">
        <v>674</v>
      </c>
      <c r="U99" s="189" t="s">
        <v>675</v>
      </c>
    </row>
    <row r="100" spans="1:21" ht="31" customHeight="1">
      <c r="A100" s="196">
        <v>95</v>
      </c>
      <c r="B100" s="183">
        <v>45730</v>
      </c>
      <c r="C100" s="182" t="s">
        <v>670</v>
      </c>
      <c r="D100" s="182" t="s">
        <v>676</v>
      </c>
      <c r="E100" s="179">
        <v>112520025</v>
      </c>
      <c r="F100" s="182" t="s">
        <v>736</v>
      </c>
      <c r="G100" s="182" t="s">
        <v>737</v>
      </c>
      <c r="H100" s="179" t="s">
        <v>42</v>
      </c>
      <c r="I100" s="179" t="s">
        <v>74</v>
      </c>
      <c r="J100" s="179" t="s">
        <v>75</v>
      </c>
      <c r="K100" s="184">
        <v>45827</v>
      </c>
      <c r="L100" s="185" t="s">
        <v>672</v>
      </c>
      <c r="M100" s="185" t="s">
        <v>673</v>
      </c>
      <c r="N100" s="182">
        <v>983891711</v>
      </c>
      <c r="O100" s="186">
        <v>15</v>
      </c>
      <c r="P100" s="179" t="s">
        <v>22</v>
      </c>
      <c r="Q100" s="179" t="s">
        <v>74</v>
      </c>
      <c r="R100" s="187"/>
      <c r="S100" s="182" t="str">
        <f t="shared" ref="S100:S102" si="31">D100</f>
        <v>002-201-00006693</v>
      </c>
      <c r="T100" s="199" t="s">
        <v>674</v>
      </c>
      <c r="U100" s="189" t="s">
        <v>675</v>
      </c>
    </row>
    <row r="101" spans="1:21" ht="31" customHeight="1">
      <c r="A101" s="196">
        <v>96</v>
      </c>
      <c r="B101" s="183">
        <v>45692</v>
      </c>
      <c r="C101" s="182" t="s">
        <v>498</v>
      </c>
      <c r="D101" s="182" t="s">
        <v>569</v>
      </c>
      <c r="E101" s="179">
        <v>40483182</v>
      </c>
      <c r="F101" s="182" t="s">
        <v>677</v>
      </c>
      <c r="G101" s="182" t="s">
        <v>678</v>
      </c>
      <c r="H101" s="179" t="s">
        <v>42</v>
      </c>
      <c r="I101" s="179" t="s">
        <v>74</v>
      </c>
      <c r="J101" s="179" t="s">
        <v>75</v>
      </c>
      <c r="K101" s="184">
        <v>45827</v>
      </c>
      <c r="L101" s="185" t="s">
        <v>574</v>
      </c>
      <c r="M101" s="185" t="s">
        <v>575</v>
      </c>
      <c r="N101" s="182">
        <v>985475236</v>
      </c>
      <c r="O101" s="186">
        <v>30</v>
      </c>
      <c r="P101" s="179" t="s">
        <v>22</v>
      </c>
      <c r="Q101" s="179" t="s">
        <v>74</v>
      </c>
      <c r="R101" s="187"/>
      <c r="S101" s="182" t="str">
        <f t="shared" si="31"/>
        <v>040-104-000009784</v>
      </c>
      <c r="T101" s="199" t="s">
        <v>576</v>
      </c>
      <c r="U101" s="189" t="s">
        <v>577</v>
      </c>
    </row>
    <row r="102" spans="1:21" ht="31" customHeight="1">
      <c r="A102" s="196">
        <v>97</v>
      </c>
      <c r="B102" s="183">
        <v>45692</v>
      </c>
      <c r="C102" s="182" t="s">
        <v>498</v>
      </c>
      <c r="D102" s="182" t="s">
        <v>569</v>
      </c>
      <c r="E102" s="179">
        <v>112500047</v>
      </c>
      <c r="F102" s="182" t="s">
        <v>268</v>
      </c>
      <c r="G102" s="182" t="s">
        <v>679</v>
      </c>
      <c r="H102" s="179" t="s">
        <v>42</v>
      </c>
      <c r="I102" s="179" t="s">
        <v>74</v>
      </c>
      <c r="J102" s="179" t="s">
        <v>75</v>
      </c>
      <c r="K102" s="184">
        <v>45827</v>
      </c>
      <c r="L102" s="185" t="s">
        <v>574</v>
      </c>
      <c r="M102" s="185" t="s">
        <v>575</v>
      </c>
      <c r="N102" s="182">
        <v>985475236</v>
      </c>
      <c r="O102" s="186">
        <v>20</v>
      </c>
      <c r="P102" s="179" t="s">
        <v>22</v>
      </c>
      <c r="Q102" s="179" t="s">
        <v>74</v>
      </c>
      <c r="R102" s="187"/>
      <c r="S102" s="182" t="str">
        <f t="shared" si="31"/>
        <v>040-104-000009784</v>
      </c>
      <c r="T102" s="199" t="s">
        <v>576</v>
      </c>
      <c r="U102" s="189" t="s">
        <v>577</v>
      </c>
    </row>
    <row r="103" spans="1:21">
      <c r="O103" s="131">
        <f>SUM(O6:O102)</f>
        <v>1640</v>
      </c>
    </row>
    <row r="107" spans="1:21">
      <c r="L107" s="209">
        <v>4</v>
      </c>
      <c r="M107" s="209">
        <v>30</v>
      </c>
      <c r="N107" s="209">
        <f>L107*M107</f>
        <v>120</v>
      </c>
      <c r="O107" s="131"/>
    </row>
    <row r="108" spans="1:21">
      <c r="L108" s="209">
        <v>24</v>
      </c>
      <c r="M108" s="209">
        <v>20</v>
      </c>
      <c r="N108" s="209">
        <f t="shared" ref="N108:N109" si="32">L108*M108</f>
        <v>480</v>
      </c>
    </row>
    <row r="109" spans="1:21">
      <c r="L109" s="209">
        <v>69</v>
      </c>
      <c r="M109" s="209">
        <v>15</v>
      </c>
      <c r="N109" s="209">
        <f t="shared" si="32"/>
        <v>1035</v>
      </c>
    </row>
    <row r="110" spans="1:21">
      <c r="L110" s="209"/>
      <c r="M110" s="209"/>
      <c r="N110" s="209">
        <f>SUM(N107:N109)</f>
        <v>1635</v>
      </c>
    </row>
  </sheetData>
  <hyperlinks>
    <hyperlink ref="U8" r:id="rId1" xr:uid="{9C56C3ED-1890-DF4A-930E-AF34589E8E08}"/>
    <hyperlink ref="U9" r:id="rId2" xr:uid="{A0C42A78-7F23-9440-8C45-013C2BA49D5A}"/>
    <hyperlink ref="U6" r:id="rId3" xr:uid="{E5282AF2-B694-154D-8680-E98648876C05}"/>
    <hyperlink ref="U7" r:id="rId4" xr:uid="{67003120-2763-694F-BF2F-C0F565AE5392}"/>
    <hyperlink ref="U13" r:id="rId5" xr:uid="{57A2E51D-234F-8147-932B-174CB9E594C8}"/>
    <hyperlink ref="U14" r:id="rId6" xr:uid="{8F2BF595-0266-7440-A155-41120AFC684F}"/>
    <hyperlink ref="U17" r:id="rId7" xr:uid="{CAB1A761-CC3F-C748-9970-C91028E318BD}"/>
    <hyperlink ref="U18" r:id="rId8" xr:uid="{D5DF0DE0-244A-E140-86AD-BA0C4971486B}"/>
    <hyperlink ref="U19" r:id="rId9" xr:uid="{E4155D16-FDB6-5149-AE25-67D2799C3A0B}"/>
    <hyperlink ref="U20" r:id="rId10" xr:uid="{B76A74A7-694C-0848-830B-0584B6215925}"/>
    <hyperlink ref="U21" r:id="rId11" xr:uid="{62541F41-256C-1145-8E6E-0E4E95F248B9}"/>
    <hyperlink ref="U22" r:id="rId12" xr:uid="{43BE740D-813E-1D4B-B070-FBB01C42F4F1}"/>
    <hyperlink ref="U23" r:id="rId13" xr:uid="{6A03563B-C302-0640-8BDE-554DA82D6CF7}"/>
    <hyperlink ref="U24" r:id="rId14" xr:uid="{AB7F1FEC-13AA-724D-9210-3DF7D119504C}"/>
    <hyperlink ref="U25" r:id="rId15" xr:uid="{F74B9DF0-188B-4540-B3BC-F0163028A03E}"/>
    <hyperlink ref="U26" r:id="rId16" xr:uid="{5FC3FA59-EED4-5D45-AE8A-D37685590AA5}"/>
    <hyperlink ref="U27" r:id="rId17" xr:uid="{D880ACFA-59D1-5146-A1A6-117E7D6DC16F}"/>
    <hyperlink ref="U28" r:id="rId18" xr:uid="{4CC12389-CD36-F743-AF49-7878BBBF2579}"/>
    <hyperlink ref="U29" r:id="rId19" xr:uid="{350163E3-1B09-9F49-98C5-211E134C5F48}"/>
    <hyperlink ref="U30" r:id="rId20" xr:uid="{A3B0CED8-5A0F-424B-AE08-8ED76713CCF3}"/>
    <hyperlink ref="U31" r:id="rId21" xr:uid="{DB284A1F-4CEB-E84C-97AA-E426B67D1DB7}"/>
    <hyperlink ref="U32" r:id="rId22" xr:uid="{1DF3D7C7-7DEE-5C4B-BD27-8D4DE149C365}"/>
    <hyperlink ref="U33" r:id="rId23" xr:uid="{21423386-F167-0441-BEA9-CB7A4915DACF}"/>
    <hyperlink ref="U15" r:id="rId24" xr:uid="{AA862FC3-A844-3E48-A914-BFA752CFCC50}"/>
    <hyperlink ref="U16" r:id="rId25" xr:uid="{AD3951E3-F3EE-DD46-882D-B8A7B30D12BD}"/>
    <hyperlink ref="U34" r:id="rId26" xr:uid="{A1030336-BD43-3D49-8C33-1931CAD9183B}"/>
    <hyperlink ref="U35" r:id="rId27" xr:uid="{14BBE6DF-0C7A-ED4E-B398-F8444A533607}"/>
    <hyperlink ref="U36" r:id="rId28" xr:uid="{A5987BDF-E01E-D544-8DAF-32B58D79214B}"/>
    <hyperlink ref="U39" r:id="rId29" xr:uid="{33B30314-3E8A-8345-AADB-76E48F14452A}"/>
    <hyperlink ref="U40" r:id="rId30" xr:uid="{D9BF1E3F-6844-0148-9C59-DC231A56D0EA}"/>
    <hyperlink ref="U41" r:id="rId31" xr:uid="{6FAFDA93-B6F5-2445-BF32-BA1984ADD561}"/>
    <hyperlink ref="U37" r:id="rId32" xr:uid="{E3C678CD-3D3F-A447-B2F8-CA712F9C50B8}"/>
    <hyperlink ref="U38" r:id="rId33" xr:uid="{EBC52BE4-4168-6A40-A1F5-D7B5490DA395}"/>
    <hyperlink ref="U42" r:id="rId34" xr:uid="{A3170B0C-DBD4-724C-807F-F7CC50AD9233}"/>
    <hyperlink ref="U43" r:id="rId35" xr:uid="{CF7AD7ED-DA10-544B-9E4A-49F754D274C4}"/>
    <hyperlink ref="U44" r:id="rId36" xr:uid="{04A4019D-9DBF-AF44-A15F-ECB51B7AD9D1}"/>
    <hyperlink ref="U45" r:id="rId37" xr:uid="{80C28283-7BA9-1942-8BF7-6F6617E5BF5A}"/>
    <hyperlink ref="U46" r:id="rId38" xr:uid="{625DD67A-6122-FE46-AE69-4815A28123C3}"/>
    <hyperlink ref="U47" r:id="rId39" xr:uid="{67F52179-21BB-5349-882C-9C994BD74E7F}"/>
    <hyperlink ref="U48" r:id="rId40" xr:uid="{4322085C-CE84-9045-BD28-6A46D51F751D}"/>
    <hyperlink ref="U49" r:id="rId41" xr:uid="{DFE49ACA-5D02-CC46-8EBC-162BBBABA9DB}"/>
    <hyperlink ref="U50" r:id="rId42" xr:uid="{5CF78578-6BBA-BE4B-9AD2-9BC6C683BBF8}"/>
    <hyperlink ref="U51" r:id="rId43" xr:uid="{C966A704-4DA2-FE43-B76D-27C829A4D629}"/>
    <hyperlink ref="U52" r:id="rId44" xr:uid="{DAC95EBE-BE5C-F04C-8982-7C4FACE9C184}"/>
    <hyperlink ref="U53" r:id="rId45" xr:uid="{A4E413BC-06FF-9E4E-B779-E19CFB7A5145}"/>
    <hyperlink ref="U54" r:id="rId46" xr:uid="{DAA9BFD9-B6C4-834A-A5A6-2BD92E7BFFE5}"/>
    <hyperlink ref="U55" r:id="rId47" xr:uid="{88DE99B7-F8AD-9549-BC4B-4B390F344C92}"/>
    <hyperlink ref="U56" r:id="rId48" xr:uid="{7B9AC5C4-575B-D84D-845B-A86BEB374574}"/>
    <hyperlink ref="U57" r:id="rId49" xr:uid="{7B8A5E67-03CC-D846-A4BE-DB4BAEFE2D20}"/>
    <hyperlink ref="U58" r:id="rId50" xr:uid="{E6BE3DAA-1CD5-4E49-8ED7-83FE8CE58E9E}"/>
    <hyperlink ref="U59" r:id="rId51" xr:uid="{A3D51ECF-37FF-4E4A-85DD-12A9578274EA}"/>
    <hyperlink ref="U60" r:id="rId52" xr:uid="{17885632-CBB0-574F-9E2B-A2AAA6B8D295}"/>
    <hyperlink ref="U61" r:id="rId53" xr:uid="{57B9D572-3BE9-C549-96CC-81FE9E800B7C}"/>
    <hyperlink ref="U62" r:id="rId54" xr:uid="{393298F0-0B63-7A48-8562-A2A30E884B59}"/>
    <hyperlink ref="U63" r:id="rId55" xr:uid="{3947DEAE-99D6-4D42-8D68-EBEAC5F74F58}"/>
    <hyperlink ref="U64" r:id="rId56" xr:uid="{AA0F2929-E798-D942-B2A2-24FCE3C4E883}"/>
    <hyperlink ref="U65" r:id="rId57" xr:uid="{8C755174-E142-4E42-92C0-24C31D747694}"/>
    <hyperlink ref="U66" r:id="rId58" xr:uid="{9762E97C-FAE4-3B48-ADC4-25E7797ECB7F}"/>
    <hyperlink ref="U67" r:id="rId59" xr:uid="{92611422-AD7C-4A4E-BFAA-E55ACFDE1D41}"/>
    <hyperlink ref="U68" r:id="rId60" xr:uid="{0FB25009-1472-B547-A20D-6104EAA77800}"/>
    <hyperlink ref="U69" r:id="rId61" xr:uid="{B860B2C4-6B3D-9A46-89F4-62A530A83A46}"/>
    <hyperlink ref="U70" r:id="rId62" xr:uid="{BE95F718-B1D8-6E45-A27F-B53AE496736F}"/>
    <hyperlink ref="U71" r:id="rId63" xr:uid="{7D009006-476E-584E-8AA0-58C52F1F19D0}"/>
    <hyperlink ref="U72" r:id="rId64" xr:uid="{088749F8-5EB7-4A4E-A9DB-7CB2ED0F8BB7}"/>
    <hyperlink ref="U73" r:id="rId65" xr:uid="{73B8919B-A731-9348-B52A-9B518610019C}"/>
    <hyperlink ref="U74" r:id="rId66" xr:uid="{40E1CC42-84A0-5342-BF5C-F96286152B67}"/>
    <hyperlink ref="U75" r:id="rId67" xr:uid="{B4A535CC-FF4E-3845-A4FE-C9F2EE66D833}"/>
    <hyperlink ref="U76" r:id="rId68" xr:uid="{E0390A82-0FF2-FA4C-B32D-ACB7707EFFAC}"/>
    <hyperlink ref="U77" r:id="rId69" xr:uid="{05775E6A-C3D1-CA43-BBF9-21F92D7E5577}"/>
    <hyperlink ref="U78" r:id="rId70" xr:uid="{FF795731-3AB6-DD48-8713-07C9176931E6}"/>
    <hyperlink ref="U79" r:id="rId71" xr:uid="{4764B35C-3126-AF4E-B027-B9226D369AA4}"/>
    <hyperlink ref="U80" r:id="rId72" xr:uid="{DA4AE215-5812-C246-9075-DE9549450AB4}"/>
    <hyperlink ref="U81" r:id="rId73" xr:uid="{85C4CAB5-7E33-8945-BB9A-0E104DAD722E}"/>
    <hyperlink ref="U82" r:id="rId74" xr:uid="{17346043-2282-2940-9365-68978D111718}"/>
    <hyperlink ref="U83" r:id="rId75" xr:uid="{D0E76B77-FE4A-7C44-8D42-FF1183D39131}"/>
    <hyperlink ref="U84" r:id="rId76" xr:uid="{0AC44C0E-56FE-A64F-8EF4-B56483395A1A}"/>
    <hyperlink ref="U85" r:id="rId77" xr:uid="{2816A485-646B-4840-9E84-FF9A6E99AB0D}"/>
    <hyperlink ref="U86" r:id="rId78" xr:uid="{3091BDB6-5C30-2E4E-A1F7-6AFFF30DB066}"/>
    <hyperlink ref="U87" r:id="rId79" xr:uid="{D664A749-C596-454E-B8DC-D618FEF0DA52}"/>
    <hyperlink ref="U88" r:id="rId80" xr:uid="{0594A91A-B217-0549-B47F-2599058FA9BB}"/>
    <hyperlink ref="U89" r:id="rId81" xr:uid="{FD01D990-0806-CE49-8FAD-4E4417E087CE}"/>
    <hyperlink ref="U90" r:id="rId82" xr:uid="{E0E4B4BD-B814-CB4D-BB1E-98F2D0767EA3}"/>
    <hyperlink ref="U91" r:id="rId83" xr:uid="{F47D027C-33F8-2243-9584-912CD2379698}"/>
    <hyperlink ref="U92" r:id="rId84" xr:uid="{6BF4F02F-670F-3940-9939-4CA754F977EA}"/>
    <hyperlink ref="U93" r:id="rId85" xr:uid="{6ACA3DF6-3DF4-2F40-B1B6-F766E7CC58C5}"/>
    <hyperlink ref="U94" r:id="rId86" xr:uid="{8125A698-03E5-4D4C-B515-9686578E7695}"/>
    <hyperlink ref="U95" r:id="rId87" xr:uid="{B17D756F-CF3A-C541-8F9A-C8E9D420DE68}"/>
    <hyperlink ref="U96" r:id="rId88" xr:uid="{97E2DD41-D1A5-AC49-8B19-0BD000C0F709}"/>
    <hyperlink ref="U97" r:id="rId89" xr:uid="{D2F34B60-88D1-9544-9D30-5444F6A9F0D6}"/>
    <hyperlink ref="U98" r:id="rId90" xr:uid="{A7002CA6-F34E-FC4E-B466-CB0F4FD17AF9}"/>
    <hyperlink ref="U99" r:id="rId91" xr:uid="{E1361123-8EE9-AA4F-AFB5-1360DF60BF9D}"/>
    <hyperlink ref="U100" r:id="rId92" xr:uid="{E7727447-69AD-CB43-AEEC-2479656F4A79}"/>
    <hyperlink ref="U101" r:id="rId93" xr:uid="{2A7AD363-967D-B04F-9EB0-25346BFEEB5B}"/>
    <hyperlink ref="U102" r:id="rId94" xr:uid="{008A3B53-36E4-FF46-AD9F-E9C7BDB7913A}"/>
  </hyperlinks>
  <pageMargins left="0.7" right="0.7" top="0.75" bottom="0.75" header="0.3" footer="0.3"/>
  <pageSetup paperSize="9" orientation="portrait" horizontalDpi="0" verticalDpi="0" r:id="rId95"/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3"/>
  <sheetViews>
    <sheetView zoomScale="110" zoomScaleNormal="110" workbookViewId="0">
      <selection activeCell="D7" sqref="D7"/>
    </sheetView>
  </sheetViews>
  <sheetFormatPr baseColWidth="10" defaultRowHeight="15"/>
  <cols>
    <col min="1" max="1" width="6.33203125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9.1640625" customWidth="1"/>
    <col min="15" max="15" width="14.5" customWidth="1"/>
    <col min="16" max="16" width="23" customWidth="1"/>
    <col min="17" max="17" width="12.83203125" bestFit="1" customWidth="1"/>
    <col min="18" max="18" width="11.6640625" bestFit="1" customWidth="1"/>
    <col min="19" max="19" width="24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79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482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738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2" t="s">
        <v>26</v>
      </c>
      <c r="C8" s="132" t="s">
        <v>27</v>
      </c>
      <c r="D8" s="132" t="s">
        <v>28</v>
      </c>
      <c r="E8" s="132" t="s">
        <v>29</v>
      </c>
      <c r="F8" s="132" t="s">
        <v>30</v>
      </c>
      <c r="G8" s="132" t="s">
        <v>31</v>
      </c>
      <c r="H8" s="132" t="s">
        <v>32</v>
      </c>
      <c r="I8" s="132" t="s">
        <v>33</v>
      </c>
      <c r="J8" s="132" t="s">
        <v>34</v>
      </c>
      <c r="K8" s="132" t="s">
        <v>35</v>
      </c>
      <c r="L8" s="132" t="s">
        <v>36</v>
      </c>
      <c r="M8" s="132" t="s">
        <v>37</v>
      </c>
      <c r="N8" s="132" t="s">
        <v>38</v>
      </c>
      <c r="O8" s="132" t="s">
        <v>39</v>
      </c>
      <c r="P8" s="132" t="s">
        <v>40</v>
      </c>
      <c r="Q8" s="132" t="s">
        <v>41</v>
      </c>
      <c r="R8" s="133" t="s">
        <v>18</v>
      </c>
      <c r="S8" s="134" t="s">
        <v>19</v>
      </c>
    </row>
    <row r="9" spans="1:20" s="178" customFormat="1" ht="56.25" customHeight="1">
      <c r="A9" s="166">
        <v>1</v>
      </c>
      <c r="B9" s="167">
        <v>45743</v>
      </c>
      <c r="C9" s="168">
        <v>45797</v>
      </c>
      <c r="D9" s="169">
        <v>1</v>
      </c>
      <c r="E9" s="169"/>
      <c r="F9" s="170"/>
      <c r="G9" s="171">
        <v>112570126</v>
      </c>
      <c r="H9" s="172" t="s">
        <v>151</v>
      </c>
      <c r="I9" s="173" t="s">
        <v>152</v>
      </c>
      <c r="J9" s="174" t="s">
        <v>42</v>
      </c>
      <c r="K9" s="171" t="s">
        <v>76</v>
      </c>
      <c r="L9" s="171" t="s">
        <v>153</v>
      </c>
      <c r="M9" s="170" t="s">
        <v>154</v>
      </c>
      <c r="N9" s="175">
        <v>12.5</v>
      </c>
      <c r="O9" s="200">
        <v>101106086</v>
      </c>
      <c r="P9" s="176" t="s">
        <v>155</v>
      </c>
      <c r="Q9" s="201" t="s">
        <v>156</v>
      </c>
      <c r="R9" s="164"/>
      <c r="S9" s="164" t="s">
        <v>368</v>
      </c>
      <c r="T9" s="177"/>
    </row>
    <row r="10" spans="1:20" s="178" customFormat="1" ht="56.25" customHeight="1">
      <c r="A10" s="166">
        <v>2</v>
      </c>
      <c r="B10" s="167">
        <v>44725</v>
      </c>
      <c r="C10" s="168">
        <v>45804</v>
      </c>
      <c r="D10" s="169">
        <v>1</v>
      </c>
      <c r="E10" s="169">
        <v>60803252</v>
      </c>
      <c r="F10" s="170" t="s">
        <v>360</v>
      </c>
      <c r="G10" s="171">
        <v>112520025</v>
      </c>
      <c r="H10" s="172" t="s">
        <v>361</v>
      </c>
      <c r="I10" s="173" t="s">
        <v>362</v>
      </c>
      <c r="J10" s="174" t="s">
        <v>42</v>
      </c>
      <c r="K10" s="171" t="s">
        <v>76</v>
      </c>
      <c r="L10" s="171" t="s">
        <v>363</v>
      </c>
      <c r="M10" s="170" t="s">
        <v>364</v>
      </c>
      <c r="N10" s="175">
        <v>12.5</v>
      </c>
      <c r="O10" s="200" t="s">
        <v>365</v>
      </c>
      <c r="P10" s="176" t="s">
        <v>369</v>
      </c>
      <c r="Q10" s="201" t="s">
        <v>366</v>
      </c>
      <c r="R10" s="164"/>
      <c r="S10" s="164" t="s">
        <v>367</v>
      </c>
      <c r="T10" s="177"/>
    </row>
    <row r="11" spans="1:20" s="178" customFormat="1" ht="56.25" customHeight="1">
      <c r="A11" s="166">
        <v>3</v>
      </c>
      <c r="B11" s="167">
        <v>45207</v>
      </c>
      <c r="C11" s="168">
        <v>45804</v>
      </c>
      <c r="D11" s="169">
        <v>1</v>
      </c>
      <c r="E11" s="169">
        <v>81214020</v>
      </c>
      <c r="F11" s="170" t="s">
        <v>370</v>
      </c>
      <c r="G11" s="171">
        <v>112610069</v>
      </c>
      <c r="H11" s="172" t="s">
        <v>371</v>
      </c>
      <c r="I11" s="173" t="s">
        <v>372</v>
      </c>
      <c r="J11" s="174" t="s">
        <v>42</v>
      </c>
      <c r="K11" s="171" t="s">
        <v>76</v>
      </c>
      <c r="L11" s="171" t="s">
        <v>373</v>
      </c>
      <c r="M11" s="170" t="s">
        <v>374</v>
      </c>
      <c r="N11" s="175">
        <v>12.5</v>
      </c>
      <c r="O11" s="200" t="s">
        <v>375</v>
      </c>
      <c r="P11" s="176" t="s">
        <v>376</v>
      </c>
      <c r="Q11" s="201" t="s">
        <v>377</v>
      </c>
      <c r="R11" s="164"/>
      <c r="S11" s="164" t="s">
        <v>378</v>
      </c>
      <c r="T11" s="177"/>
    </row>
    <row r="12" spans="1:20" s="178" customFormat="1" ht="56.25" customHeight="1">
      <c r="A12" s="166">
        <v>4</v>
      </c>
      <c r="B12" s="167">
        <v>45207</v>
      </c>
      <c r="C12" s="168">
        <v>45804</v>
      </c>
      <c r="D12" s="169">
        <v>1</v>
      </c>
      <c r="E12" s="169"/>
      <c r="F12" s="170"/>
      <c r="G12" s="171">
        <v>111090006</v>
      </c>
      <c r="H12" s="172" t="s">
        <v>379</v>
      </c>
      <c r="I12" s="173" t="s">
        <v>380</v>
      </c>
      <c r="J12" s="174" t="s">
        <v>42</v>
      </c>
      <c r="K12" s="171" t="s">
        <v>76</v>
      </c>
      <c r="L12" s="171" t="s">
        <v>373</v>
      </c>
      <c r="M12" s="170" t="s">
        <v>381</v>
      </c>
      <c r="N12" s="175">
        <v>18.75</v>
      </c>
      <c r="O12" s="200" t="s">
        <v>375</v>
      </c>
      <c r="P12" s="176" t="s">
        <v>376</v>
      </c>
      <c r="Q12" s="201" t="s">
        <v>377</v>
      </c>
      <c r="R12" s="164"/>
      <c r="S12" s="164" t="s">
        <v>378</v>
      </c>
      <c r="T12" s="177"/>
    </row>
    <row r="13" spans="1:20" s="178" customFormat="1" ht="56.25" customHeight="1">
      <c r="A13" s="166">
        <v>5</v>
      </c>
      <c r="B13" s="167">
        <v>45216</v>
      </c>
      <c r="C13" s="168">
        <v>45805</v>
      </c>
      <c r="D13" s="169">
        <v>1</v>
      </c>
      <c r="E13" s="169">
        <v>83340602</v>
      </c>
      <c r="F13" s="170" t="s">
        <v>382</v>
      </c>
      <c r="G13" s="171">
        <v>111000051</v>
      </c>
      <c r="H13" s="172" t="s">
        <v>182</v>
      </c>
      <c r="I13" s="173" t="s">
        <v>383</v>
      </c>
      <c r="J13" s="174" t="s">
        <v>42</v>
      </c>
      <c r="K13" s="171" t="s">
        <v>76</v>
      </c>
      <c r="L13" s="171" t="s">
        <v>384</v>
      </c>
      <c r="M13" s="170" t="s">
        <v>385</v>
      </c>
      <c r="N13" s="175">
        <v>15</v>
      </c>
      <c r="O13" s="200" t="s">
        <v>388</v>
      </c>
      <c r="P13" s="176" t="s">
        <v>387</v>
      </c>
      <c r="Q13" s="200" t="s">
        <v>386</v>
      </c>
      <c r="R13" s="164"/>
      <c r="S13" s="164" t="s">
        <v>389</v>
      </c>
      <c r="T13" s="177"/>
    </row>
    <row r="14" spans="1:20" s="178" customFormat="1" ht="56.25" customHeight="1">
      <c r="A14" s="166">
        <v>6</v>
      </c>
      <c r="B14" s="167">
        <v>45681</v>
      </c>
      <c r="C14" s="168">
        <v>45805</v>
      </c>
      <c r="D14" s="169">
        <v>1</v>
      </c>
      <c r="E14" s="169">
        <v>81214022</v>
      </c>
      <c r="F14" s="170" t="s">
        <v>390</v>
      </c>
      <c r="G14" s="171">
        <v>112610069</v>
      </c>
      <c r="H14" s="172" t="s">
        <v>371</v>
      </c>
      <c r="I14" s="173" t="s">
        <v>391</v>
      </c>
      <c r="J14" s="174" t="s">
        <v>42</v>
      </c>
      <c r="K14" s="171" t="s">
        <v>76</v>
      </c>
      <c r="L14" s="171" t="s">
        <v>392</v>
      </c>
      <c r="M14" s="170" t="s">
        <v>393</v>
      </c>
      <c r="N14" s="175">
        <v>12.5</v>
      </c>
      <c r="O14" s="200" t="s">
        <v>394</v>
      </c>
      <c r="P14" s="176"/>
      <c r="Q14" s="201" t="s">
        <v>395</v>
      </c>
      <c r="R14" s="164"/>
      <c r="S14" s="164" t="s">
        <v>396</v>
      </c>
      <c r="T14" s="177"/>
    </row>
    <row r="15" spans="1:20" s="178" customFormat="1" ht="56.25" customHeight="1">
      <c r="A15" s="166">
        <v>7</v>
      </c>
      <c r="B15" s="167">
        <v>45762</v>
      </c>
      <c r="C15" s="168">
        <v>45807</v>
      </c>
      <c r="D15" s="169">
        <v>1</v>
      </c>
      <c r="E15" s="169"/>
      <c r="F15" s="170"/>
      <c r="G15" s="171">
        <v>41596006</v>
      </c>
      <c r="H15" s="172" t="s">
        <v>463</v>
      </c>
      <c r="I15" s="173" t="s">
        <v>464</v>
      </c>
      <c r="J15" s="174" t="s">
        <v>42</v>
      </c>
      <c r="K15" s="171" t="s">
        <v>76</v>
      </c>
      <c r="L15" s="171" t="s">
        <v>465</v>
      </c>
      <c r="M15" s="170" t="s">
        <v>466</v>
      </c>
      <c r="N15" s="175">
        <v>15</v>
      </c>
      <c r="O15" s="200" t="s">
        <v>467</v>
      </c>
      <c r="P15" s="176" t="s">
        <v>468</v>
      </c>
      <c r="Q15" s="201" t="s">
        <v>469</v>
      </c>
      <c r="R15" s="164"/>
      <c r="S15" s="164" t="s">
        <v>470</v>
      </c>
      <c r="T15" s="177"/>
    </row>
    <row r="16" spans="1:20" s="178" customFormat="1" ht="56.25" customHeight="1">
      <c r="A16" s="166">
        <v>8</v>
      </c>
      <c r="B16" s="167">
        <v>45597</v>
      </c>
      <c r="C16" s="168">
        <v>45810</v>
      </c>
      <c r="D16" s="169">
        <v>1</v>
      </c>
      <c r="E16" s="169"/>
      <c r="F16" s="170"/>
      <c r="G16" s="171">
        <v>40197155</v>
      </c>
      <c r="H16" s="172" t="s">
        <v>190</v>
      </c>
      <c r="I16" s="173" t="s">
        <v>471</v>
      </c>
      <c r="J16" s="174" t="s">
        <v>42</v>
      </c>
      <c r="K16" s="171" t="s">
        <v>76</v>
      </c>
      <c r="L16" s="171" t="s">
        <v>472</v>
      </c>
      <c r="M16" s="170" t="s">
        <v>473</v>
      </c>
      <c r="N16" s="175">
        <v>12.5</v>
      </c>
      <c r="O16" s="200" t="s">
        <v>474</v>
      </c>
      <c r="P16" s="176" t="s">
        <v>475</v>
      </c>
      <c r="Q16" s="201" t="s">
        <v>476</v>
      </c>
      <c r="R16" s="164"/>
      <c r="S16" s="164" t="s">
        <v>477</v>
      </c>
      <c r="T16" s="177"/>
    </row>
    <row r="17" spans="1:20" s="178" customFormat="1" ht="56.25" customHeight="1">
      <c r="A17" s="166">
        <v>9</v>
      </c>
      <c r="B17" s="167">
        <v>45626</v>
      </c>
      <c r="C17" s="168">
        <v>45814</v>
      </c>
      <c r="D17" s="169">
        <v>1</v>
      </c>
      <c r="E17" s="169"/>
      <c r="F17" s="170"/>
      <c r="G17" s="171">
        <v>112570128</v>
      </c>
      <c r="H17" s="172" t="s">
        <v>120</v>
      </c>
      <c r="I17" s="173" t="s">
        <v>478</v>
      </c>
      <c r="J17" s="174" t="s">
        <v>42</v>
      </c>
      <c r="K17" s="171" t="s">
        <v>76</v>
      </c>
      <c r="L17" s="171" t="s">
        <v>195</v>
      </c>
      <c r="M17" s="170" t="s">
        <v>479</v>
      </c>
      <c r="N17" s="175">
        <v>12.5</v>
      </c>
      <c r="O17" s="200" t="s">
        <v>480</v>
      </c>
      <c r="P17" s="176" t="s">
        <v>197</v>
      </c>
      <c r="Q17" s="201" t="s">
        <v>481</v>
      </c>
      <c r="R17" s="164"/>
      <c r="S17" s="164" t="s">
        <v>187</v>
      </c>
      <c r="T17" s="177"/>
    </row>
    <row r="18" spans="1:20" s="178" customFormat="1" ht="56.25" customHeight="1">
      <c r="A18" s="166">
        <v>10</v>
      </c>
      <c r="B18" s="167">
        <v>45724</v>
      </c>
      <c r="C18" s="168">
        <v>45819</v>
      </c>
      <c r="D18" s="169">
        <v>1</v>
      </c>
      <c r="E18" s="169">
        <v>81483051</v>
      </c>
      <c r="F18" s="170" t="s">
        <v>704</v>
      </c>
      <c r="G18" s="171">
        <v>81483051</v>
      </c>
      <c r="H18" s="172" t="s">
        <v>705</v>
      </c>
      <c r="I18" s="173" t="s">
        <v>706</v>
      </c>
      <c r="J18" s="174" t="s">
        <v>42</v>
      </c>
      <c r="K18" s="171" t="s">
        <v>76</v>
      </c>
      <c r="L18" s="171" t="s">
        <v>494</v>
      </c>
      <c r="M18" s="170" t="s">
        <v>707</v>
      </c>
      <c r="N18" s="175">
        <v>15</v>
      </c>
      <c r="O18" s="200" t="s">
        <v>708</v>
      </c>
      <c r="P18" s="176" t="s">
        <v>709</v>
      </c>
      <c r="Q18" s="201" t="s">
        <v>710</v>
      </c>
      <c r="R18" s="164"/>
      <c r="S18" s="164" t="s">
        <v>711</v>
      </c>
      <c r="T18" s="177"/>
    </row>
    <row r="19" spans="1:20" s="178" customFormat="1" ht="56.25" customHeight="1">
      <c r="A19" s="166">
        <v>11</v>
      </c>
      <c r="B19" s="167">
        <v>44994</v>
      </c>
      <c r="C19" s="168">
        <v>45820</v>
      </c>
      <c r="D19" s="169">
        <v>1</v>
      </c>
      <c r="E19" s="169">
        <v>60803270</v>
      </c>
      <c r="F19" s="170" t="s">
        <v>712</v>
      </c>
      <c r="G19" s="171">
        <v>60803270</v>
      </c>
      <c r="H19" s="172" t="s">
        <v>666</v>
      </c>
      <c r="I19" s="173" t="s">
        <v>713</v>
      </c>
      <c r="J19" s="174" t="s">
        <v>42</v>
      </c>
      <c r="K19" s="171" t="s">
        <v>76</v>
      </c>
      <c r="L19" s="171" t="s">
        <v>714</v>
      </c>
      <c r="M19" s="170" t="s">
        <v>715</v>
      </c>
      <c r="N19" s="175">
        <v>12.5</v>
      </c>
      <c r="O19" s="200" t="s">
        <v>716</v>
      </c>
      <c r="P19" s="176" t="s">
        <v>717</v>
      </c>
      <c r="Q19" s="201" t="s">
        <v>718</v>
      </c>
      <c r="R19" s="164"/>
      <c r="S19" s="164" t="s">
        <v>719</v>
      </c>
      <c r="T19" s="177"/>
    </row>
    <row r="20" spans="1:20" s="178" customFormat="1" ht="56.25" customHeight="1">
      <c r="A20" s="166">
        <v>12</v>
      </c>
      <c r="B20" s="167">
        <v>45388</v>
      </c>
      <c r="C20" s="168">
        <v>45820</v>
      </c>
      <c r="D20" s="169">
        <v>1</v>
      </c>
      <c r="E20" s="169">
        <v>83340602</v>
      </c>
      <c r="F20" s="170" t="s">
        <v>382</v>
      </c>
      <c r="G20" s="171">
        <v>41560061</v>
      </c>
      <c r="H20" s="172" t="s">
        <v>720</v>
      </c>
      <c r="I20" s="173" t="s">
        <v>721</v>
      </c>
      <c r="J20" s="174" t="s">
        <v>42</v>
      </c>
      <c r="K20" s="171" t="s">
        <v>76</v>
      </c>
      <c r="L20" s="171" t="s">
        <v>722</v>
      </c>
      <c r="M20" s="170" t="s">
        <v>723</v>
      </c>
      <c r="N20" s="175">
        <v>15</v>
      </c>
      <c r="O20" s="200" t="s">
        <v>724</v>
      </c>
      <c r="P20" s="176" t="s">
        <v>725</v>
      </c>
      <c r="Q20" s="201" t="s">
        <v>726</v>
      </c>
      <c r="R20" s="164"/>
      <c r="S20" s="164" t="s">
        <v>727</v>
      </c>
      <c r="T20" s="177"/>
    </row>
    <row r="21" spans="1:20" ht="16">
      <c r="J21" s="192"/>
      <c r="N21" s="205">
        <f>SUM(N9:N20)</f>
        <v>166.25</v>
      </c>
    </row>
    <row r="28" spans="1:20" ht="17">
      <c r="J28">
        <v>1</v>
      </c>
      <c r="K28" s="193" t="s">
        <v>728</v>
      </c>
      <c r="L28" s="193">
        <v>18.75</v>
      </c>
      <c r="M28">
        <f>J28*L28</f>
        <v>18.75</v>
      </c>
    </row>
    <row r="29" spans="1:20" ht="17">
      <c r="J29">
        <v>6</v>
      </c>
      <c r="K29" s="193" t="s">
        <v>86</v>
      </c>
      <c r="L29" s="193">
        <v>12.5</v>
      </c>
      <c r="M29">
        <f>J29*L29</f>
        <v>75</v>
      </c>
    </row>
    <row r="30" spans="1:20" ht="17">
      <c r="J30">
        <v>3</v>
      </c>
      <c r="K30" s="193" t="s">
        <v>87</v>
      </c>
      <c r="L30" s="194">
        <v>15</v>
      </c>
      <c r="M30">
        <f t="shared" ref="M30:M32" si="0">J30*L30</f>
        <v>45</v>
      </c>
    </row>
    <row r="31" spans="1:20" ht="17">
      <c r="J31">
        <v>1</v>
      </c>
      <c r="K31" s="193" t="s">
        <v>729</v>
      </c>
      <c r="L31" s="193">
        <v>12.5</v>
      </c>
      <c r="M31">
        <f t="shared" si="0"/>
        <v>12.5</v>
      </c>
    </row>
    <row r="32" spans="1:20" ht="16">
      <c r="J32">
        <v>1</v>
      </c>
      <c r="K32" s="208" t="s">
        <v>730</v>
      </c>
      <c r="L32" s="194">
        <v>15</v>
      </c>
      <c r="M32">
        <f t="shared" si="0"/>
        <v>15</v>
      </c>
    </row>
    <row r="33" spans="13:13">
      <c r="M33">
        <f>SUM(M28:M32)</f>
        <v>166.25</v>
      </c>
    </row>
  </sheetData>
  <hyperlinks>
    <hyperlink ref="P9" r:id="rId1" xr:uid="{D60CC823-1E92-1247-BD8A-BA2457580978}"/>
    <hyperlink ref="P10" r:id="rId2" xr:uid="{524EEE58-29E8-7A44-A217-D1FB6B91810F}"/>
    <hyperlink ref="P11" r:id="rId3" xr:uid="{1B98329E-9223-B746-B316-55B26DDABD64}"/>
    <hyperlink ref="P12" r:id="rId4" xr:uid="{9899EC76-41B5-0345-BA07-67814DE6D31A}"/>
    <hyperlink ref="P13" r:id="rId5" xr:uid="{B9DEFEA4-6D1E-084B-BAD8-41F4609728BC}"/>
    <hyperlink ref="P15" r:id="rId6" xr:uid="{E7DBE714-BF5C-1144-BB72-90067CA556D8}"/>
    <hyperlink ref="P16" r:id="rId7" xr:uid="{72873F9C-3B65-FB46-9FB1-9FE3AC13BC75}"/>
    <hyperlink ref="P17" r:id="rId8" xr:uid="{B2F15C4F-D037-084C-8FE8-4E6727DBD7E7}"/>
    <hyperlink ref="P18" r:id="rId9" xr:uid="{075C1ACA-BE23-6140-B321-3C7CBA5E3098}"/>
    <hyperlink ref="P19" r:id="rId10" xr:uid="{5209AA81-0D7C-1045-B91C-7504316D60A3}"/>
    <hyperlink ref="P20" r:id="rId11" xr:uid="{81B302BE-9A14-894C-8722-439223F03AFB}"/>
  </hyperlinks>
  <pageMargins left="0.7" right="0.7" top="0.75" bottom="0.75" header="0.3" footer="0.3"/>
  <pageSetup paperSize="9" orientation="portrait" horizontalDpi="0" verticalDpi="0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0"/>
  <sheetViews>
    <sheetView topLeftCell="C1" zoomScale="140" zoomScaleNormal="140" workbookViewId="0">
      <selection activeCell="E22" sqref="E22"/>
    </sheetView>
  </sheetViews>
  <sheetFormatPr baseColWidth="10" defaultRowHeight="15"/>
  <cols>
    <col min="1" max="1" width="2.33203125" customWidth="1"/>
    <col min="2" max="2" width="7.6640625" customWidth="1"/>
    <col min="3" max="3" width="10.83203125" customWidth="1"/>
    <col min="4" max="4" width="18.1640625" customWidth="1"/>
    <col min="5" max="5" width="12.83203125" customWidth="1"/>
    <col min="6" max="6" width="28.1640625" customWidth="1"/>
    <col min="7" max="7" width="16" customWidth="1"/>
    <col min="8" max="8" width="7.83203125" customWidth="1"/>
    <col min="9" max="9" width="7.33203125" customWidth="1"/>
    <col min="10" max="10" width="8.33203125" customWidth="1"/>
    <col min="11" max="11" width="8.83203125" customWidth="1"/>
    <col min="12" max="12" width="15" customWidth="1"/>
    <col min="13" max="13" width="13.33203125" customWidth="1"/>
    <col min="14" max="14" width="11.1640625" bestFit="1" customWidth="1"/>
    <col min="16" max="16" width="23.6640625" customWidth="1"/>
    <col min="17" max="17" width="8.6640625" customWidth="1"/>
    <col min="18" max="18" width="6.5" customWidth="1"/>
    <col min="19" max="19" width="19" customWidth="1"/>
    <col min="20" max="20" width="13.83203125" bestFit="1" customWidth="1"/>
    <col min="21" max="21" width="25" customWidth="1"/>
  </cols>
  <sheetData>
    <row r="3" spans="1:21">
      <c r="A3" s="72"/>
      <c r="B3" s="73"/>
      <c r="C3" s="74" t="s">
        <v>43</v>
      </c>
      <c r="D3" s="73"/>
      <c r="E3" s="75"/>
      <c r="F3" s="73"/>
      <c r="G3" s="76"/>
      <c r="H3" s="73"/>
      <c r="I3" s="73"/>
      <c r="J3" s="73"/>
      <c r="K3" s="77"/>
      <c r="L3" s="77"/>
      <c r="M3" s="73"/>
      <c r="N3" s="73"/>
      <c r="O3" s="78"/>
      <c r="P3" s="73"/>
      <c r="Q3" s="73"/>
      <c r="R3" s="73"/>
      <c r="S3" s="73"/>
      <c r="T3" s="73"/>
      <c r="U3" s="79"/>
    </row>
    <row r="4" spans="1:21">
      <c r="A4" s="72"/>
      <c r="B4" s="73"/>
      <c r="C4" s="80" t="s">
        <v>44</v>
      </c>
      <c r="D4" s="73"/>
      <c r="E4" s="73"/>
      <c r="F4" s="73"/>
      <c r="G4" s="76"/>
      <c r="H4" s="73"/>
      <c r="I4" s="73" t="s">
        <v>45</v>
      </c>
      <c r="J4" s="73"/>
      <c r="K4" s="77"/>
      <c r="L4" s="77"/>
      <c r="M4" s="136" t="s">
        <v>483</v>
      </c>
      <c r="N4" s="73"/>
      <c r="O4" s="78"/>
      <c r="P4" s="73"/>
      <c r="Q4" s="81"/>
      <c r="R4" s="73"/>
      <c r="S4" s="73"/>
      <c r="T4" s="82"/>
      <c r="U4" s="83">
        <v>45536</v>
      </c>
    </row>
    <row r="5" spans="1:21" ht="25">
      <c r="A5" s="79"/>
      <c r="B5" s="84" t="s">
        <v>2</v>
      </c>
      <c r="C5" s="84" t="s">
        <v>3</v>
      </c>
      <c r="D5" s="84" t="s">
        <v>4</v>
      </c>
      <c r="E5" s="84" t="s">
        <v>5</v>
      </c>
      <c r="F5" s="84" t="s">
        <v>6</v>
      </c>
      <c r="G5" s="84" t="s">
        <v>7</v>
      </c>
      <c r="H5" s="84" t="s">
        <v>8</v>
      </c>
      <c r="I5" s="84" t="s">
        <v>9</v>
      </c>
      <c r="J5" s="84" t="s">
        <v>10</v>
      </c>
      <c r="K5" s="85" t="s">
        <v>46</v>
      </c>
      <c r="L5" s="85" t="s">
        <v>12</v>
      </c>
      <c r="M5" s="85" t="s">
        <v>13</v>
      </c>
      <c r="N5" s="85" t="s">
        <v>14</v>
      </c>
      <c r="O5" s="86" t="s">
        <v>15</v>
      </c>
      <c r="P5" s="85" t="s">
        <v>47</v>
      </c>
      <c r="Q5" s="85" t="s">
        <v>48</v>
      </c>
      <c r="R5" s="87" t="s">
        <v>49</v>
      </c>
      <c r="S5" s="87" t="s">
        <v>19</v>
      </c>
      <c r="T5" s="88" t="s">
        <v>20</v>
      </c>
      <c r="U5" s="89" t="s">
        <v>50</v>
      </c>
    </row>
    <row r="6" spans="1:21" s="38" customFormat="1" ht="23.25" customHeight="1">
      <c r="A6" s="90">
        <v>1</v>
      </c>
      <c r="B6" s="95">
        <v>45812</v>
      </c>
      <c r="C6" s="96" t="s">
        <v>530</v>
      </c>
      <c r="D6" s="91" t="s">
        <v>521</v>
      </c>
      <c r="E6" s="92">
        <v>111570003</v>
      </c>
      <c r="F6" s="93" t="s">
        <v>78</v>
      </c>
      <c r="G6" s="97" t="s">
        <v>531</v>
      </c>
      <c r="H6" s="98"/>
      <c r="I6" s="99" t="s">
        <v>74</v>
      </c>
      <c r="J6" s="99" t="s">
        <v>75</v>
      </c>
      <c r="K6" s="95">
        <v>45819</v>
      </c>
      <c r="L6" s="96" t="s">
        <v>532</v>
      </c>
      <c r="M6" s="94" t="s">
        <v>533</v>
      </c>
      <c r="N6" s="165">
        <v>993098737</v>
      </c>
      <c r="O6" s="100">
        <v>29</v>
      </c>
      <c r="P6" s="96" t="s">
        <v>540</v>
      </c>
      <c r="Q6" s="96" t="s">
        <v>76</v>
      </c>
      <c r="R6" s="101"/>
      <c r="S6" s="101" t="str">
        <f>D6</f>
        <v>043-903-000076718</v>
      </c>
      <c r="T6" s="165">
        <v>311111175</v>
      </c>
      <c r="U6" s="135" t="s">
        <v>534</v>
      </c>
    </row>
    <row r="7" spans="1:21" s="38" customFormat="1" ht="23.25" customHeight="1">
      <c r="A7" s="90">
        <v>1</v>
      </c>
      <c r="B7" s="95">
        <v>45820</v>
      </c>
      <c r="C7" s="96" t="s">
        <v>535</v>
      </c>
      <c r="D7" s="91"/>
      <c r="E7" s="92">
        <v>111570003</v>
      </c>
      <c r="F7" s="93" t="s">
        <v>78</v>
      </c>
      <c r="G7" s="97" t="s">
        <v>536</v>
      </c>
      <c r="H7" s="98"/>
      <c r="I7" s="99" t="s">
        <v>74</v>
      </c>
      <c r="J7" s="99" t="s">
        <v>75</v>
      </c>
      <c r="K7" s="95">
        <v>45820</v>
      </c>
      <c r="L7" s="96" t="s">
        <v>539</v>
      </c>
      <c r="M7" s="94" t="s">
        <v>252</v>
      </c>
      <c r="N7" s="165">
        <v>987001205</v>
      </c>
      <c r="O7" s="100">
        <v>29</v>
      </c>
      <c r="P7" s="96" t="s">
        <v>82</v>
      </c>
      <c r="Q7" s="96" t="s">
        <v>76</v>
      </c>
      <c r="R7" s="101"/>
      <c r="S7" s="101"/>
      <c r="T7" s="102">
        <v>104627737</v>
      </c>
      <c r="U7" s="135" t="s">
        <v>85</v>
      </c>
    </row>
    <row r="8" spans="1:21" s="38" customFormat="1" ht="23.25" customHeight="1">
      <c r="A8" s="90">
        <v>1</v>
      </c>
      <c r="B8" s="95">
        <v>45820</v>
      </c>
      <c r="C8" s="96" t="s">
        <v>535</v>
      </c>
      <c r="D8" s="91"/>
      <c r="E8" s="92">
        <v>111570002</v>
      </c>
      <c r="F8" s="93" t="s">
        <v>78</v>
      </c>
      <c r="G8" s="97" t="s">
        <v>537</v>
      </c>
      <c r="H8" s="98"/>
      <c r="I8" s="99" t="s">
        <v>74</v>
      </c>
      <c r="J8" s="99" t="s">
        <v>75</v>
      </c>
      <c r="K8" s="95">
        <v>45820</v>
      </c>
      <c r="L8" s="96" t="s">
        <v>539</v>
      </c>
      <c r="M8" s="94" t="s">
        <v>252</v>
      </c>
      <c r="N8" s="165">
        <v>987001205</v>
      </c>
      <c r="O8" s="100">
        <v>29</v>
      </c>
      <c r="P8" s="96" t="s">
        <v>82</v>
      </c>
      <c r="Q8" s="96" t="s">
        <v>76</v>
      </c>
      <c r="R8" s="101"/>
      <c r="S8" s="101"/>
      <c r="T8" s="102">
        <v>104627737</v>
      </c>
      <c r="U8" s="135" t="s">
        <v>85</v>
      </c>
    </row>
    <row r="9" spans="1:21" s="38" customFormat="1" ht="23.25" customHeight="1">
      <c r="A9" s="90">
        <v>1</v>
      </c>
      <c r="B9" s="95">
        <v>45820</v>
      </c>
      <c r="C9" s="96" t="s">
        <v>535</v>
      </c>
      <c r="D9" s="91"/>
      <c r="E9" s="92">
        <v>111570002</v>
      </c>
      <c r="F9" s="93" t="s">
        <v>78</v>
      </c>
      <c r="G9" s="97" t="s">
        <v>538</v>
      </c>
      <c r="H9" s="98"/>
      <c r="I9" s="99" t="s">
        <v>74</v>
      </c>
      <c r="J9" s="99" t="s">
        <v>75</v>
      </c>
      <c r="K9" s="95">
        <v>45820</v>
      </c>
      <c r="L9" s="96" t="s">
        <v>539</v>
      </c>
      <c r="M9" s="94" t="s">
        <v>252</v>
      </c>
      <c r="N9" s="165">
        <v>987001205</v>
      </c>
      <c r="O9" s="100">
        <v>29</v>
      </c>
      <c r="P9" s="96" t="s">
        <v>82</v>
      </c>
      <c r="Q9" s="96" t="s">
        <v>76</v>
      </c>
      <c r="R9" s="101"/>
      <c r="S9" s="101"/>
      <c r="T9" s="102">
        <v>104627737</v>
      </c>
      <c r="U9" s="135" t="s">
        <v>85</v>
      </c>
    </row>
    <row r="10" spans="1:21">
      <c r="O10" s="205">
        <f>SUM(O6:O9)</f>
        <v>116</v>
      </c>
    </row>
    <row r="16" spans="1:21">
      <c r="P16" s="204"/>
    </row>
    <row r="20" spans="4:4">
      <c r="D20" t="s">
        <v>83</v>
      </c>
    </row>
  </sheetData>
  <hyperlinks>
    <hyperlink ref="U6" r:id="rId1" xr:uid="{97C04628-8874-D746-82B2-E8D2D07369A9}"/>
    <hyperlink ref="U7" r:id="rId2" xr:uid="{F4FB7C6B-60EA-A841-9A22-A4AC69DE3B1A}"/>
    <hyperlink ref="U8" r:id="rId3" xr:uid="{92D67241-E4CF-944A-BE74-324CD62DA8E8}"/>
    <hyperlink ref="U9" r:id="rId4" xr:uid="{E7F7DE6E-E3AB-2C41-A5E3-76E3FDBDAF8B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U13"/>
  <sheetViews>
    <sheetView topLeftCell="A3" zoomScale="140" zoomScaleNormal="140" workbookViewId="0">
      <selection activeCell="O14" sqref="O14"/>
    </sheetView>
  </sheetViews>
  <sheetFormatPr baseColWidth="10" defaultRowHeight="15"/>
  <cols>
    <col min="1" max="1" width="4.33203125" customWidth="1"/>
    <col min="3" max="3" width="17.33203125" customWidth="1"/>
    <col min="5" max="5" width="15.33203125" customWidth="1"/>
    <col min="6" max="6" width="25" customWidth="1"/>
    <col min="7" max="7" width="15.6640625" bestFit="1" customWidth="1"/>
    <col min="8" max="8" width="8.33203125" customWidth="1"/>
    <col min="10" max="10" width="15.6640625" customWidth="1"/>
    <col min="11" max="11" width="11" customWidth="1"/>
    <col min="12" max="12" width="18.83203125" customWidth="1"/>
    <col min="13" max="13" width="17.6640625" customWidth="1"/>
    <col min="14" max="14" width="16" customWidth="1"/>
  </cols>
  <sheetData>
    <row r="3" spans="1:2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1">
      <c r="A4" s="5"/>
      <c r="B4" s="5"/>
      <c r="C4" s="103" t="s">
        <v>51</v>
      </c>
      <c r="D4" s="104"/>
      <c r="E4" s="104"/>
      <c r="F4" s="5"/>
      <c r="G4" s="104"/>
      <c r="H4" s="104"/>
      <c r="I4" s="104"/>
      <c r="J4" s="104"/>
      <c r="K4" s="104"/>
      <c r="L4" s="104"/>
      <c r="M4" s="104"/>
      <c r="N4" s="104"/>
      <c r="O4" s="104"/>
      <c r="P4" s="5"/>
    </row>
    <row r="5" spans="1:21" ht="16" thickBot="1">
      <c r="A5" s="5"/>
      <c r="B5" s="104"/>
      <c r="C5" s="105" t="s">
        <v>1</v>
      </c>
      <c r="D5" s="105"/>
      <c r="E5" s="105"/>
      <c r="F5" s="5"/>
      <c r="J5" t="s">
        <v>62</v>
      </c>
      <c r="K5" s="5"/>
      <c r="L5" s="112" t="s">
        <v>88</v>
      </c>
      <c r="P5" s="5"/>
    </row>
    <row r="6" spans="1:21" s="23" customFormat="1" ht="58.5" customHeight="1">
      <c r="A6" s="106"/>
      <c r="B6" s="107" t="s">
        <v>52</v>
      </c>
      <c r="C6" s="108" t="s">
        <v>53</v>
      </c>
      <c r="D6" s="108" t="s">
        <v>4</v>
      </c>
      <c r="E6" s="109" t="s">
        <v>54</v>
      </c>
      <c r="F6" s="108" t="s">
        <v>55</v>
      </c>
      <c r="G6" s="108" t="s">
        <v>56</v>
      </c>
      <c r="H6" s="107" t="s">
        <v>8</v>
      </c>
      <c r="I6" s="108" t="s">
        <v>57</v>
      </c>
      <c r="J6" s="108" t="s">
        <v>58</v>
      </c>
      <c r="K6" s="108" t="s">
        <v>59</v>
      </c>
      <c r="L6" s="108" t="s">
        <v>12</v>
      </c>
      <c r="M6" s="110" t="s">
        <v>60</v>
      </c>
      <c r="N6" s="108" t="s">
        <v>14</v>
      </c>
      <c r="O6" s="111" t="s">
        <v>15</v>
      </c>
      <c r="P6" s="108" t="s">
        <v>61</v>
      </c>
      <c r="Q6" s="110"/>
    </row>
    <row r="7" spans="1:21" s="38" customFormat="1" ht="24" customHeight="1">
      <c r="A7" s="24">
        <v>1</v>
      </c>
      <c r="B7" s="25">
        <v>45799</v>
      </c>
      <c r="C7" s="26" t="s">
        <v>166</v>
      </c>
      <c r="D7" s="26"/>
      <c r="E7" s="27">
        <v>113600016</v>
      </c>
      <c r="F7" s="28" t="s">
        <v>157</v>
      </c>
      <c r="G7" s="29" t="s">
        <v>160</v>
      </c>
      <c r="H7" s="30" t="s">
        <v>42</v>
      </c>
      <c r="I7" s="26" t="s">
        <v>76</v>
      </c>
      <c r="J7" s="29" t="s">
        <v>77</v>
      </c>
      <c r="K7" s="31">
        <v>45800</v>
      </c>
      <c r="L7" s="32" t="s">
        <v>174</v>
      </c>
      <c r="M7" s="32" t="s">
        <v>165</v>
      </c>
      <c r="N7" s="202" t="s">
        <v>175</v>
      </c>
      <c r="O7" s="33">
        <v>15</v>
      </c>
      <c r="P7" s="26" t="s">
        <v>82</v>
      </c>
      <c r="Q7" s="26"/>
      <c r="R7" s="34"/>
      <c r="S7" s="35"/>
      <c r="T7" s="36"/>
      <c r="U7" s="37"/>
    </row>
    <row r="8" spans="1:21" s="38" customFormat="1" ht="24" customHeight="1">
      <c r="A8" s="24">
        <v>2</v>
      </c>
      <c r="B8" s="25">
        <v>45799</v>
      </c>
      <c r="C8" s="26" t="s">
        <v>166</v>
      </c>
      <c r="D8" s="26"/>
      <c r="E8" s="27">
        <v>113600015</v>
      </c>
      <c r="F8" s="28" t="s">
        <v>158</v>
      </c>
      <c r="G8" s="29" t="s">
        <v>161</v>
      </c>
      <c r="H8" s="30" t="s">
        <v>42</v>
      </c>
      <c r="I8" s="26" t="s">
        <v>76</v>
      </c>
      <c r="J8" s="29" t="s">
        <v>77</v>
      </c>
      <c r="K8" s="31">
        <v>45800</v>
      </c>
      <c r="L8" s="32" t="s">
        <v>174</v>
      </c>
      <c r="M8" s="32" t="s">
        <v>165</v>
      </c>
      <c r="N8" s="202" t="s">
        <v>175</v>
      </c>
      <c r="O8" s="33">
        <v>15</v>
      </c>
      <c r="P8" s="26" t="s">
        <v>82</v>
      </c>
      <c r="Q8" s="26"/>
      <c r="R8" s="34"/>
      <c r="S8" s="35"/>
      <c r="T8" s="36"/>
      <c r="U8" s="37"/>
    </row>
    <row r="9" spans="1:21" s="38" customFormat="1" ht="24" customHeight="1">
      <c r="A9" s="24">
        <v>3</v>
      </c>
      <c r="B9" s="25">
        <v>45799</v>
      </c>
      <c r="C9" s="26" t="s">
        <v>166</v>
      </c>
      <c r="D9" s="26"/>
      <c r="E9" s="27">
        <v>113600017</v>
      </c>
      <c r="F9" s="28" t="s">
        <v>159</v>
      </c>
      <c r="G9" s="29" t="s">
        <v>162</v>
      </c>
      <c r="H9" s="30" t="s">
        <v>42</v>
      </c>
      <c r="I9" s="26" t="s">
        <v>76</v>
      </c>
      <c r="J9" s="29" t="s">
        <v>77</v>
      </c>
      <c r="K9" s="31">
        <v>45800</v>
      </c>
      <c r="L9" s="32" t="s">
        <v>174</v>
      </c>
      <c r="M9" s="32" t="s">
        <v>165</v>
      </c>
      <c r="N9" s="202" t="s">
        <v>175</v>
      </c>
      <c r="O9" s="33">
        <v>15</v>
      </c>
      <c r="P9" s="26" t="s">
        <v>82</v>
      </c>
      <c r="Q9" s="26"/>
      <c r="R9" s="34"/>
      <c r="S9" s="35"/>
      <c r="T9" s="36"/>
      <c r="U9" s="37"/>
    </row>
    <row r="10" spans="1:21" s="38" customFormat="1" ht="24" customHeight="1">
      <c r="A10" s="24">
        <v>4</v>
      </c>
      <c r="B10" s="25">
        <v>45799</v>
      </c>
      <c r="C10" s="26" t="s">
        <v>166</v>
      </c>
      <c r="D10" s="26"/>
      <c r="E10" s="27">
        <v>113600015</v>
      </c>
      <c r="F10" s="28" t="s">
        <v>158</v>
      </c>
      <c r="G10" s="29" t="s">
        <v>163</v>
      </c>
      <c r="H10" s="30" t="s">
        <v>42</v>
      </c>
      <c r="I10" s="26" t="s">
        <v>76</v>
      </c>
      <c r="J10" s="29" t="s">
        <v>77</v>
      </c>
      <c r="K10" s="31">
        <v>45800</v>
      </c>
      <c r="L10" s="32" t="s">
        <v>174</v>
      </c>
      <c r="M10" s="32" t="s">
        <v>165</v>
      </c>
      <c r="N10" s="202" t="s">
        <v>175</v>
      </c>
      <c r="O10" s="33">
        <v>15</v>
      </c>
      <c r="P10" s="26" t="s">
        <v>82</v>
      </c>
      <c r="Q10" s="26"/>
      <c r="R10" s="34"/>
      <c r="S10" s="35"/>
      <c r="T10" s="36"/>
      <c r="U10" s="37"/>
    </row>
    <row r="11" spans="1:21" s="38" customFormat="1" ht="24" customHeight="1">
      <c r="A11" s="24">
        <v>5</v>
      </c>
      <c r="B11" s="25">
        <v>45799</v>
      </c>
      <c r="C11" s="26" t="s">
        <v>166</v>
      </c>
      <c r="D11" s="26"/>
      <c r="E11" s="27">
        <v>113600015</v>
      </c>
      <c r="F11" s="28" t="s">
        <v>158</v>
      </c>
      <c r="G11" s="29" t="s">
        <v>164</v>
      </c>
      <c r="H11" s="30" t="s">
        <v>42</v>
      </c>
      <c r="I11" s="26" t="s">
        <v>76</v>
      </c>
      <c r="J11" s="29" t="s">
        <v>77</v>
      </c>
      <c r="K11" s="31">
        <v>45800</v>
      </c>
      <c r="L11" s="32" t="s">
        <v>174</v>
      </c>
      <c r="M11" s="32" t="s">
        <v>165</v>
      </c>
      <c r="N11" s="202" t="s">
        <v>175</v>
      </c>
      <c r="O11" s="33">
        <v>15</v>
      </c>
      <c r="P11" s="26" t="s">
        <v>82</v>
      </c>
      <c r="Q11" s="26"/>
      <c r="R11" s="34"/>
      <c r="S11" s="35"/>
      <c r="T11" s="36"/>
      <c r="U11" s="37"/>
    </row>
    <row r="12" spans="1:21" s="38" customFormat="1" ht="24" customHeight="1">
      <c r="A12" s="24">
        <v>6</v>
      </c>
      <c r="B12" s="25">
        <v>45800</v>
      </c>
      <c r="C12" s="26" t="s">
        <v>250</v>
      </c>
      <c r="D12" s="26"/>
      <c r="E12" s="27">
        <v>404667320</v>
      </c>
      <c r="F12" s="28" t="s">
        <v>248</v>
      </c>
      <c r="G12" s="29" t="s">
        <v>249</v>
      </c>
      <c r="H12" s="30" t="s">
        <v>42</v>
      </c>
      <c r="I12" s="26" t="s">
        <v>76</v>
      </c>
      <c r="J12" s="29" t="s">
        <v>77</v>
      </c>
      <c r="K12" s="31">
        <v>45800</v>
      </c>
      <c r="L12" s="32" t="s">
        <v>251</v>
      </c>
      <c r="M12" s="32" t="s">
        <v>252</v>
      </c>
      <c r="N12" s="203" t="s">
        <v>253</v>
      </c>
      <c r="O12" s="33">
        <v>15</v>
      </c>
      <c r="P12" s="26" t="s">
        <v>82</v>
      </c>
      <c r="Q12" s="26"/>
      <c r="R12" s="34"/>
      <c r="S12" s="35"/>
      <c r="T12" s="36"/>
      <c r="U12" s="37"/>
    </row>
    <row r="13" spans="1:21">
      <c r="O13" s="131">
        <f>SUM(O7:O12)</f>
        <v>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M5" sqref="M5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3"/>
      <c r="B1" s="114" t="s">
        <v>63</v>
      </c>
      <c r="C1" s="115"/>
      <c r="D1" s="114"/>
      <c r="E1" s="116"/>
      <c r="F1" s="116"/>
      <c r="G1" s="117"/>
      <c r="H1" s="117"/>
      <c r="I1" s="117"/>
      <c r="J1" s="117"/>
      <c r="K1" s="117"/>
      <c r="L1" s="117"/>
      <c r="M1" s="118"/>
      <c r="N1" s="117"/>
      <c r="O1" s="117"/>
      <c r="P1" s="117"/>
    </row>
    <row r="2" spans="1:21">
      <c r="A2" s="113"/>
      <c r="B2" s="119" t="s">
        <v>84</v>
      </c>
      <c r="C2" s="120"/>
      <c r="D2" s="116"/>
      <c r="E2" s="116"/>
      <c r="F2" s="116"/>
      <c r="G2" s="117"/>
      <c r="H2" s="117"/>
      <c r="I2" s="117"/>
      <c r="J2" s="117"/>
      <c r="K2" s="117"/>
      <c r="L2" s="117"/>
      <c r="M2" s="118"/>
      <c r="N2" s="117"/>
      <c r="O2" s="117"/>
      <c r="P2" s="117"/>
    </row>
    <row r="3" spans="1:21">
      <c r="A3" s="113"/>
      <c r="B3" s="121"/>
      <c r="C3" s="122"/>
      <c r="D3" s="121"/>
      <c r="E3" s="121"/>
      <c r="F3" s="121"/>
      <c r="G3" s="121"/>
      <c r="H3" s="121"/>
      <c r="I3" s="123"/>
      <c r="J3" s="121"/>
      <c r="K3" s="116"/>
      <c r="L3" s="116"/>
      <c r="M3" s="124"/>
      <c r="N3" s="117"/>
      <c r="O3" s="117"/>
      <c r="P3" s="121"/>
    </row>
    <row r="4" spans="1:21">
      <c r="A4" s="113"/>
      <c r="B4" s="117"/>
      <c r="C4" s="122" t="s">
        <v>0</v>
      </c>
      <c r="D4" s="117"/>
      <c r="E4" s="125"/>
      <c r="F4" s="117"/>
      <c r="G4" s="126"/>
      <c r="H4" s="117"/>
      <c r="I4" s="117"/>
      <c r="J4" s="117"/>
      <c r="K4" s="116"/>
      <c r="L4" s="120"/>
      <c r="M4" s="118"/>
      <c r="N4" s="117"/>
      <c r="O4" s="117"/>
      <c r="P4" s="117"/>
    </row>
    <row r="5" spans="1:21">
      <c r="A5" s="113"/>
      <c r="B5" s="117"/>
      <c r="C5" s="127" t="s">
        <v>1</v>
      </c>
      <c r="D5" s="127" t="s">
        <v>1</v>
      </c>
      <c r="E5" s="117"/>
      <c r="G5" s="117"/>
      <c r="H5" s="117"/>
      <c r="I5" s="117"/>
      <c r="J5" s="117" t="s">
        <v>73</v>
      </c>
      <c r="K5" s="117"/>
      <c r="L5" s="117"/>
      <c r="M5" s="117" t="s">
        <v>88</v>
      </c>
    </row>
    <row r="6" spans="1:21" ht="37">
      <c r="A6" s="113"/>
      <c r="B6" s="128" t="s">
        <v>2</v>
      </c>
      <c r="C6" s="128" t="s">
        <v>3</v>
      </c>
      <c r="D6" s="128" t="s">
        <v>4</v>
      </c>
      <c r="E6" s="128" t="s">
        <v>5</v>
      </c>
      <c r="F6" s="129" t="s">
        <v>6</v>
      </c>
      <c r="G6" s="128" t="s">
        <v>7</v>
      </c>
      <c r="H6" s="128" t="s">
        <v>8</v>
      </c>
      <c r="I6" s="128" t="s">
        <v>9</v>
      </c>
      <c r="J6" s="128" t="s">
        <v>10</v>
      </c>
      <c r="K6" s="128" t="s">
        <v>11</v>
      </c>
      <c r="L6" s="128" t="s">
        <v>65</v>
      </c>
      <c r="M6" s="130" t="s">
        <v>66</v>
      </c>
      <c r="N6" s="128" t="s">
        <v>67</v>
      </c>
      <c r="O6" s="128" t="s">
        <v>64</v>
      </c>
      <c r="P6" s="128" t="s">
        <v>68</v>
      </c>
      <c r="Q6" s="128" t="s">
        <v>69</v>
      </c>
      <c r="R6" s="128" t="s">
        <v>70</v>
      </c>
      <c r="S6" s="128" t="s">
        <v>71</v>
      </c>
      <c r="T6" s="130" t="s">
        <v>72</v>
      </c>
      <c r="U6" s="128" t="s">
        <v>13</v>
      </c>
    </row>
    <row r="7" spans="1:21" s="39" customFormat="1" ht="24" customHeight="1">
      <c r="A7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1"/>
      <c r="O7" s="180"/>
      <c r="P7" s="180"/>
      <c r="Q7" s="180"/>
      <c r="R7" s="180"/>
      <c r="S7" s="180"/>
      <c r="T7" s="180"/>
      <c r="U7" s="180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5"/>
  <sheetViews>
    <sheetView zoomScale="160" zoomScaleNormal="160" workbookViewId="0">
      <pane ySplit="4" topLeftCell="A5" activePane="bottomLeft" state="frozen"/>
      <selection pane="bottomLeft" activeCell="L42" sqref="L42"/>
    </sheetView>
  </sheetViews>
  <sheetFormatPr baseColWidth="10" defaultRowHeight="15"/>
  <cols>
    <col min="1" max="1" width="2.83203125" customWidth="1"/>
    <col min="2" max="2" width="6.1640625" customWidth="1"/>
    <col min="3" max="3" width="6.6640625" customWidth="1"/>
    <col min="5" max="5" width="13.5" customWidth="1"/>
    <col min="6" max="6" width="7.33203125" customWidth="1"/>
    <col min="7" max="7" width="20.5" customWidth="1"/>
    <col min="8" max="8" width="10" customWidth="1"/>
    <col min="9" max="9" width="7" customWidth="1"/>
    <col min="10" max="10" width="7.6640625" customWidth="1"/>
    <col min="11" max="11" width="8.1640625" customWidth="1"/>
    <col min="12" max="12" width="18.33203125" customWidth="1"/>
    <col min="13" max="13" width="18" customWidth="1"/>
    <col min="14" max="14" width="9" customWidth="1"/>
    <col min="15" max="15" width="7.33203125" customWidth="1"/>
    <col min="18" max="18" width="5.1640625" customWidth="1"/>
    <col min="19" max="19" width="13.1640625" customWidth="1"/>
    <col min="20" max="20" width="10.1640625" customWidth="1"/>
    <col min="21" max="21" width="24.83203125" customWidth="1"/>
  </cols>
  <sheetData>
    <row r="1" spans="1:21" ht="16">
      <c r="G1" s="163"/>
    </row>
    <row r="2" spans="1:21">
      <c r="B2" s="137"/>
      <c r="C2" s="138" t="s">
        <v>0</v>
      </c>
      <c r="F2" s="139"/>
      <c r="G2" s="140"/>
      <c r="H2" s="141"/>
      <c r="I2" s="142"/>
      <c r="J2" s="143"/>
      <c r="K2" s="144"/>
      <c r="L2" s="145"/>
      <c r="M2" s="145"/>
      <c r="N2" s="137"/>
      <c r="O2" s="146"/>
      <c r="T2" s="147"/>
    </row>
    <row r="3" spans="1:21">
      <c r="B3" s="137"/>
      <c r="C3" s="148" t="s">
        <v>1</v>
      </c>
      <c r="F3" s="149"/>
      <c r="G3" s="140"/>
      <c r="H3" s="141"/>
      <c r="I3" s="142"/>
      <c r="J3" s="143" t="s">
        <v>80</v>
      </c>
      <c r="K3" s="144"/>
      <c r="L3" s="145"/>
      <c r="M3" s="150"/>
      <c r="N3" s="151" t="s">
        <v>88</v>
      </c>
      <c r="O3" s="146"/>
      <c r="P3" s="152"/>
      <c r="T3" s="147"/>
    </row>
    <row r="4" spans="1:21" ht="30">
      <c r="B4" s="153" t="s">
        <v>11</v>
      </c>
      <c r="C4" s="153" t="s">
        <v>2</v>
      </c>
      <c r="D4" s="153" t="s">
        <v>3</v>
      </c>
      <c r="E4" s="153" t="s">
        <v>4</v>
      </c>
      <c r="F4" s="153" t="s">
        <v>5</v>
      </c>
      <c r="G4" s="153" t="s">
        <v>6</v>
      </c>
      <c r="H4" s="153" t="s">
        <v>7</v>
      </c>
      <c r="I4" s="153" t="s">
        <v>8</v>
      </c>
      <c r="J4" s="153" t="s">
        <v>9</v>
      </c>
      <c r="K4" s="153" t="s">
        <v>10</v>
      </c>
      <c r="L4" s="154" t="s">
        <v>12</v>
      </c>
      <c r="M4" s="154" t="s">
        <v>13</v>
      </c>
      <c r="N4" s="153" t="s">
        <v>14</v>
      </c>
      <c r="O4" s="155" t="s">
        <v>15</v>
      </c>
      <c r="P4" s="153" t="s">
        <v>16</v>
      </c>
      <c r="Q4" s="153" t="s">
        <v>17</v>
      </c>
      <c r="R4" s="156" t="s">
        <v>18</v>
      </c>
      <c r="S4" s="153" t="s">
        <v>19</v>
      </c>
      <c r="T4" s="153" t="s">
        <v>20</v>
      </c>
      <c r="U4" s="157" t="s">
        <v>21</v>
      </c>
    </row>
    <row r="5" spans="1:21">
      <c r="A5">
        <v>1</v>
      </c>
      <c r="B5" s="158">
        <v>45796</v>
      </c>
      <c r="C5" s="158">
        <v>45729</v>
      </c>
      <c r="D5" s="158" t="s">
        <v>125</v>
      </c>
      <c r="E5" s="158" t="s">
        <v>126</v>
      </c>
      <c r="F5" s="159" t="s">
        <v>127</v>
      </c>
      <c r="G5" s="158" t="s">
        <v>128</v>
      </c>
      <c r="H5" s="158" t="s">
        <v>129</v>
      </c>
      <c r="I5" s="159" t="s">
        <v>42</v>
      </c>
      <c r="J5" s="158" t="s">
        <v>76</v>
      </c>
      <c r="K5" s="158" t="s">
        <v>77</v>
      </c>
      <c r="L5" s="158" t="s">
        <v>130</v>
      </c>
      <c r="M5" s="158" t="s">
        <v>131</v>
      </c>
      <c r="N5" s="160">
        <v>4088635</v>
      </c>
      <c r="O5" s="161">
        <v>15</v>
      </c>
      <c r="P5" s="158" t="s">
        <v>81</v>
      </c>
      <c r="Q5" s="158" t="s">
        <v>76</v>
      </c>
      <c r="R5" s="158"/>
      <c r="S5" s="158" t="str">
        <f>E5</f>
        <v>016-907-000253314</v>
      </c>
      <c r="T5" s="162">
        <v>103001095</v>
      </c>
      <c r="U5" s="190" t="s">
        <v>132</v>
      </c>
    </row>
    <row r="6" spans="1:21">
      <c r="A6">
        <v>2</v>
      </c>
      <c r="B6" s="158">
        <v>45798</v>
      </c>
      <c r="C6" s="158">
        <v>45792</v>
      </c>
      <c r="D6" s="158" t="s">
        <v>125</v>
      </c>
      <c r="E6" s="158"/>
      <c r="F6" s="159" t="s">
        <v>133</v>
      </c>
      <c r="G6" s="158" t="s">
        <v>134</v>
      </c>
      <c r="H6" s="158" t="s">
        <v>135</v>
      </c>
      <c r="I6" s="159" t="s">
        <v>42</v>
      </c>
      <c r="J6" s="158" t="s">
        <v>76</v>
      </c>
      <c r="K6" s="158" t="s">
        <v>77</v>
      </c>
      <c r="L6" s="158" t="s">
        <v>136</v>
      </c>
      <c r="M6" s="158" t="s">
        <v>137</v>
      </c>
      <c r="N6" s="160">
        <v>997505782</v>
      </c>
      <c r="O6" s="161">
        <v>36</v>
      </c>
      <c r="P6" s="158" t="s">
        <v>81</v>
      </c>
      <c r="Q6" s="158" t="s">
        <v>76</v>
      </c>
      <c r="R6" s="158"/>
      <c r="S6" s="158">
        <f t="shared" ref="S6:S34" si="0">E6</f>
        <v>0</v>
      </c>
      <c r="T6" s="162">
        <v>703980789</v>
      </c>
      <c r="U6" s="190" t="s">
        <v>138</v>
      </c>
    </row>
    <row r="7" spans="1:21">
      <c r="A7">
        <v>3</v>
      </c>
      <c r="B7" s="158">
        <v>45798</v>
      </c>
      <c r="C7" s="158">
        <v>45795</v>
      </c>
      <c r="D7" s="158" t="s">
        <v>116</v>
      </c>
      <c r="E7" s="158" t="s">
        <v>139</v>
      </c>
      <c r="F7" s="159" t="s">
        <v>140</v>
      </c>
      <c r="G7" s="158" t="s">
        <v>141</v>
      </c>
      <c r="H7" s="158" t="s">
        <v>142</v>
      </c>
      <c r="I7" s="159" t="s">
        <v>42</v>
      </c>
      <c r="J7" s="158" t="s">
        <v>76</v>
      </c>
      <c r="K7" s="158" t="s">
        <v>77</v>
      </c>
      <c r="L7" s="158" t="s">
        <v>143</v>
      </c>
      <c r="M7" s="158" t="s">
        <v>144</v>
      </c>
      <c r="N7" s="160">
        <v>969874886</v>
      </c>
      <c r="O7" s="161">
        <v>36</v>
      </c>
      <c r="P7" s="158" t="s">
        <v>81</v>
      </c>
      <c r="Q7" s="158" t="s">
        <v>76</v>
      </c>
      <c r="R7" s="158"/>
      <c r="S7" s="158" t="str">
        <f t="shared" si="0"/>
        <v>040-103-000013631</v>
      </c>
      <c r="T7" s="162">
        <v>104642152</v>
      </c>
      <c r="U7" s="190" t="s">
        <v>145</v>
      </c>
    </row>
    <row r="8" spans="1:21">
      <c r="A8">
        <v>4</v>
      </c>
      <c r="B8" s="158">
        <v>45798</v>
      </c>
      <c r="C8" s="158">
        <v>45796</v>
      </c>
      <c r="D8" s="158" t="s">
        <v>125</v>
      </c>
      <c r="E8" s="158" t="s">
        <v>146</v>
      </c>
      <c r="F8" s="159" t="s">
        <v>127</v>
      </c>
      <c r="G8" s="158" t="s">
        <v>128</v>
      </c>
      <c r="H8" s="158" t="s">
        <v>147</v>
      </c>
      <c r="I8" s="159" t="s">
        <v>42</v>
      </c>
      <c r="J8" s="158" t="s">
        <v>76</v>
      </c>
      <c r="K8" s="158" t="s">
        <v>77</v>
      </c>
      <c r="L8" s="158" t="s">
        <v>148</v>
      </c>
      <c r="M8" s="158" t="s">
        <v>149</v>
      </c>
      <c r="N8" s="160">
        <v>969808121</v>
      </c>
      <c r="O8" s="161">
        <v>15</v>
      </c>
      <c r="P8" s="158" t="s">
        <v>81</v>
      </c>
      <c r="Q8" s="158" t="s">
        <v>76</v>
      </c>
      <c r="R8" s="158"/>
      <c r="S8" s="158" t="str">
        <f t="shared" si="0"/>
        <v>016-902-0000509872</v>
      </c>
      <c r="T8" s="162">
        <v>927797787</v>
      </c>
      <c r="U8" s="190" t="s">
        <v>150</v>
      </c>
    </row>
    <row r="9" spans="1:21">
      <c r="A9">
        <v>5</v>
      </c>
      <c r="B9" s="158">
        <v>45799</v>
      </c>
      <c r="C9" s="158">
        <v>45765</v>
      </c>
      <c r="D9" s="158" t="s">
        <v>116</v>
      </c>
      <c r="E9" s="158" t="s">
        <v>223</v>
      </c>
      <c r="F9" s="159" t="s">
        <v>224</v>
      </c>
      <c r="G9" s="158" t="s">
        <v>225</v>
      </c>
      <c r="H9" s="158" t="s">
        <v>226</v>
      </c>
      <c r="I9" s="159" t="s">
        <v>42</v>
      </c>
      <c r="J9" s="158" t="s">
        <v>76</v>
      </c>
      <c r="K9" s="158" t="s">
        <v>77</v>
      </c>
      <c r="L9" s="158" t="s">
        <v>227</v>
      </c>
      <c r="M9" s="158" t="s">
        <v>228</v>
      </c>
      <c r="N9" s="160">
        <v>984202032</v>
      </c>
      <c r="O9" s="161">
        <v>29</v>
      </c>
      <c r="P9" s="158" t="s">
        <v>81</v>
      </c>
      <c r="Q9" s="158" t="s">
        <v>76</v>
      </c>
      <c r="R9" s="158"/>
      <c r="S9" s="158" t="str">
        <f t="shared" si="0"/>
        <v>040-104-000010201</v>
      </c>
      <c r="T9" s="162">
        <v>984202032</v>
      </c>
      <c r="U9" s="190" t="s">
        <v>229</v>
      </c>
    </row>
    <row r="10" spans="1:21">
      <c r="A10">
        <v>6</v>
      </c>
      <c r="B10" s="158">
        <v>45799</v>
      </c>
      <c r="C10" s="158">
        <v>45781</v>
      </c>
      <c r="D10" s="158" t="s">
        <v>125</v>
      </c>
      <c r="E10" s="158" t="s">
        <v>235</v>
      </c>
      <c r="F10" s="159" t="s">
        <v>236</v>
      </c>
      <c r="G10" s="158" t="s">
        <v>237</v>
      </c>
      <c r="H10" s="158" t="s">
        <v>238</v>
      </c>
      <c r="I10" s="159" t="s">
        <v>42</v>
      </c>
      <c r="J10" s="158" t="s">
        <v>76</v>
      </c>
      <c r="K10" s="158" t="s">
        <v>77</v>
      </c>
      <c r="L10" s="158" t="s">
        <v>239</v>
      </c>
      <c r="M10" s="158" t="s">
        <v>123</v>
      </c>
      <c r="N10" s="160">
        <v>995470894</v>
      </c>
      <c r="O10" s="161">
        <v>36</v>
      </c>
      <c r="P10" s="158" t="s">
        <v>81</v>
      </c>
      <c r="Q10" s="158" t="s">
        <v>76</v>
      </c>
      <c r="R10" s="158"/>
      <c r="S10" s="158" t="str">
        <f t="shared" si="0"/>
        <v>016-903-000579278</v>
      </c>
      <c r="T10" s="162">
        <v>995470844</v>
      </c>
      <c r="U10" s="190" t="s">
        <v>240</v>
      </c>
    </row>
    <row r="11" spans="1:21">
      <c r="A11">
        <v>7</v>
      </c>
      <c r="B11" s="158">
        <v>45803</v>
      </c>
      <c r="C11" s="158">
        <v>45796</v>
      </c>
      <c r="D11" s="158" t="s">
        <v>125</v>
      </c>
      <c r="E11" s="158" t="s">
        <v>230</v>
      </c>
      <c r="F11" s="159" t="s">
        <v>127</v>
      </c>
      <c r="G11" s="158" t="s">
        <v>128</v>
      </c>
      <c r="H11" s="158" t="s">
        <v>231</v>
      </c>
      <c r="I11" s="159" t="s">
        <v>42</v>
      </c>
      <c r="J11" s="158" t="s">
        <v>76</v>
      </c>
      <c r="K11" s="158" t="s">
        <v>77</v>
      </c>
      <c r="L11" s="158" t="s">
        <v>232</v>
      </c>
      <c r="M11" s="158" t="s">
        <v>233</v>
      </c>
      <c r="N11" s="160">
        <v>9852735574</v>
      </c>
      <c r="O11" s="161">
        <v>15</v>
      </c>
      <c r="P11" s="158" t="s">
        <v>81</v>
      </c>
      <c r="Q11" s="158" t="s">
        <v>76</v>
      </c>
      <c r="R11" s="158"/>
      <c r="S11" s="158" t="str">
        <f t="shared" ref="S11" si="1">E11</f>
        <v>016-902-000509658</v>
      </c>
      <c r="T11" s="162">
        <v>701318735</v>
      </c>
      <c r="U11" s="190" t="s">
        <v>234</v>
      </c>
    </row>
    <row r="12" spans="1:21">
      <c r="A12">
        <v>8</v>
      </c>
      <c r="B12" s="158">
        <v>45804</v>
      </c>
      <c r="C12" s="158">
        <v>45796</v>
      </c>
      <c r="D12" s="158" t="s">
        <v>176</v>
      </c>
      <c r="E12" s="158" t="s">
        <v>308</v>
      </c>
      <c r="F12" s="159" t="s">
        <v>309</v>
      </c>
      <c r="G12" s="158" t="s">
        <v>310</v>
      </c>
      <c r="H12" s="158" t="s">
        <v>311</v>
      </c>
      <c r="I12" s="159" t="s">
        <v>42</v>
      </c>
      <c r="J12" s="158" t="s">
        <v>76</v>
      </c>
      <c r="K12" s="158" t="s">
        <v>77</v>
      </c>
      <c r="L12" s="158" t="s">
        <v>312</v>
      </c>
      <c r="M12" s="158" t="s">
        <v>313</v>
      </c>
      <c r="N12" s="160">
        <v>994988959</v>
      </c>
      <c r="O12" s="161">
        <v>25</v>
      </c>
      <c r="P12" s="158" t="s">
        <v>81</v>
      </c>
      <c r="Q12" s="158" t="s">
        <v>76</v>
      </c>
      <c r="R12" s="158"/>
      <c r="S12" s="158" t="str">
        <f t="shared" si="0"/>
        <v>006-002-000157995</v>
      </c>
      <c r="T12" s="162">
        <v>101204493</v>
      </c>
      <c r="U12" s="190" t="s">
        <v>314</v>
      </c>
    </row>
    <row r="13" spans="1:21">
      <c r="A13">
        <v>9</v>
      </c>
      <c r="B13" s="158">
        <v>45805</v>
      </c>
      <c r="C13" s="158">
        <v>45801</v>
      </c>
      <c r="D13" s="158" t="s">
        <v>176</v>
      </c>
      <c r="E13" s="158" t="s">
        <v>241</v>
      </c>
      <c r="F13" s="159" t="s">
        <v>242</v>
      </c>
      <c r="G13" s="158" t="s">
        <v>243</v>
      </c>
      <c r="H13" s="158" t="s">
        <v>244</v>
      </c>
      <c r="I13" s="159" t="s">
        <v>42</v>
      </c>
      <c r="J13" s="158" t="s">
        <v>76</v>
      </c>
      <c r="K13" s="158" t="s">
        <v>77</v>
      </c>
      <c r="L13" s="158" t="s">
        <v>245</v>
      </c>
      <c r="M13" s="158" t="s">
        <v>246</v>
      </c>
      <c r="N13" s="160">
        <v>983515824</v>
      </c>
      <c r="O13" s="161">
        <v>29</v>
      </c>
      <c r="P13" s="158" t="s">
        <v>81</v>
      </c>
      <c r="Q13" s="158" t="s">
        <v>76</v>
      </c>
      <c r="R13" s="158"/>
      <c r="S13" s="158" t="str">
        <f t="shared" ref="S13" si="2">E13</f>
        <v>006-000138009</v>
      </c>
      <c r="T13" s="162">
        <v>104171004</v>
      </c>
      <c r="U13" s="190" t="s">
        <v>247</v>
      </c>
    </row>
    <row r="14" spans="1:21">
      <c r="A14">
        <v>10</v>
      </c>
      <c r="B14" s="158">
        <v>45806</v>
      </c>
      <c r="C14" s="158">
        <v>45800</v>
      </c>
      <c r="D14" s="158" t="s">
        <v>315</v>
      </c>
      <c r="E14" s="158" t="s">
        <v>316</v>
      </c>
      <c r="F14" s="159" t="s">
        <v>127</v>
      </c>
      <c r="G14" s="158" t="s">
        <v>317</v>
      </c>
      <c r="H14" s="158" t="s">
        <v>318</v>
      </c>
      <c r="I14" s="159" t="s">
        <v>42</v>
      </c>
      <c r="J14" s="158" t="s">
        <v>76</v>
      </c>
      <c r="K14" s="158" t="s">
        <v>77</v>
      </c>
      <c r="L14" s="158" t="s">
        <v>319</v>
      </c>
      <c r="M14" s="158" t="s">
        <v>320</v>
      </c>
      <c r="N14" s="160">
        <v>72827641</v>
      </c>
      <c r="O14" s="161">
        <v>15</v>
      </c>
      <c r="P14" s="158" t="s">
        <v>81</v>
      </c>
      <c r="Q14" s="158" t="s">
        <v>76</v>
      </c>
      <c r="R14" s="158"/>
      <c r="S14" s="158" t="str">
        <f t="shared" si="0"/>
        <v>001-500-000073707</v>
      </c>
      <c r="T14" s="162">
        <v>100718717</v>
      </c>
      <c r="U14" s="190" t="s">
        <v>321</v>
      </c>
    </row>
    <row r="15" spans="1:21">
      <c r="A15">
        <v>11</v>
      </c>
      <c r="B15" s="158">
        <v>45807</v>
      </c>
      <c r="C15" s="158">
        <v>45801</v>
      </c>
      <c r="D15" s="158" t="s">
        <v>315</v>
      </c>
      <c r="E15" s="158" t="s">
        <v>322</v>
      </c>
      <c r="F15" s="159" t="s">
        <v>323</v>
      </c>
      <c r="G15" s="158" t="s">
        <v>324</v>
      </c>
      <c r="H15" s="158" t="s">
        <v>325</v>
      </c>
      <c r="I15" s="159" t="s">
        <v>42</v>
      </c>
      <c r="J15" s="158" t="s">
        <v>76</v>
      </c>
      <c r="K15" s="158" t="s">
        <v>77</v>
      </c>
      <c r="L15" s="158" t="s">
        <v>326</v>
      </c>
      <c r="M15" s="158" t="s">
        <v>327</v>
      </c>
      <c r="N15" s="160">
        <v>989072203</v>
      </c>
      <c r="O15" s="161">
        <v>36</v>
      </c>
      <c r="P15" s="158" t="s">
        <v>81</v>
      </c>
      <c r="Q15" s="158" t="s">
        <v>76</v>
      </c>
      <c r="R15" s="158"/>
      <c r="S15" s="158" t="str">
        <f t="shared" si="0"/>
        <v>001-500-000072702</v>
      </c>
      <c r="T15" s="162">
        <v>112450020</v>
      </c>
      <c r="U15" s="190" t="s">
        <v>328</v>
      </c>
    </row>
    <row r="16" spans="1:21">
      <c r="A16">
        <v>12</v>
      </c>
      <c r="B16" s="158">
        <v>45807</v>
      </c>
      <c r="C16" s="158">
        <v>45804</v>
      </c>
      <c r="D16" s="158" t="s">
        <v>125</v>
      </c>
      <c r="E16" s="158" t="s">
        <v>329</v>
      </c>
      <c r="F16" s="159" t="s">
        <v>330</v>
      </c>
      <c r="G16" s="158" t="s">
        <v>331</v>
      </c>
      <c r="H16" s="158" t="s">
        <v>332</v>
      </c>
      <c r="I16" s="159" t="s">
        <v>42</v>
      </c>
      <c r="J16" s="158" t="s">
        <v>76</v>
      </c>
      <c r="K16" s="158" t="s">
        <v>77</v>
      </c>
      <c r="L16" s="158" t="s">
        <v>333</v>
      </c>
      <c r="M16" s="158" t="s">
        <v>334</v>
      </c>
      <c r="N16" s="160">
        <v>990559662</v>
      </c>
      <c r="O16" s="161">
        <v>36</v>
      </c>
      <c r="P16" s="158" t="s">
        <v>81</v>
      </c>
      <c r="Q16" s="158" t="s">
        <v>76</v>
      </c>
      <c r="R16" s="158"/>
      <c r="S16" s="158" t="str">
        <f t="shared" si="0"/>
        <v>016-907-000265658</v>
      </c>
      <c r="T16" s="162">
        <v>104382841</v>
      </c>
      <c r="U16" s="190" t="s">
        <v>335</v>
      </c>
    </row>
    <row r="17" spans="1:21">
      <c r="A17">
        <v>13</v>
      </c>
      <c r="B17" s="158">
        <v>45808</v>
      </c>
      <c r="C17" s="158">
        <v>45796</v>
      </c>
      <c r="D17" s="158" t="s">
        <v>105</v>
      </c>
      <c r="E17" s="158" t="s">
        <v>336</v>
      </c>
      <c r="F17" s="159" t="s">
        <v>337</v>
      </c>
      <c r="G17" s="158" t="s">
        <v>338</v>
      </c>
      <c r="H17" s="158" t="s">
        <v>339</v>
      </c>
      <c r="I17" s="159" t="s">
        <v>42</v>
      </c>
      <c r="J17" s="158" t="s">
        <v>76</v>
      </c>
      <c r="K17" s="158" t="s">
        <v>77</v>
      </c>
      <c r="L17" s="158" t="s">
        <v>340</v>
      </c>
      <c r="M17" s="158" t="s">
        <v>341</v>
      </c>
      <c r="N17" s="160">
        <v>9390836684</v>
      </c>
      <c r="O17" s="161">
        <v>25</v>
      </c>
      <c r="P17" s="158" t="s">
        <v>81</v>
      </c>
      <c r="Q17" s="158" t="s">
        <v>76</v>
      </c>
      <c r="R17" s="158"/>
      <c r="S17" s="158" t="str">
        <f t="shared" si="0"/>
        <v>001-001-000000917</v>
      </c>
      <c r="T17" s="162">
        <v>104640966</v>
      </c>
      <c r="U17" s="190" t="s">
        <v>342</v>
      </c>
    </row>
    <row r="18" spans="1:21">
      <c r="A18">
        <v>14</v>
      </c>
      <c r="B18" s="158">
        <v>45811</v>
      </c>
      <c r="C18" s="158">
        <v>45805</v>
      </c>
      <c r="D18" s="158" t="s">
        <v>125</v>
      </c>
      <c r="E18" s="158" t="s">
        <v>414</v>
      </c>
      <c r="F18" s="159" t="s">
        <v>415</v>
      </c>
      <c r="G18" s="158" t="s">
        <v>416</v>
      </c>
      <c r="H18" s="158" t="s">
        <v>417</v>
      </c>
      <c r="I18" s="159" t="s">
        <v>42</v>
      </c>
      <c r="J18" s="158" t="s">
        <v>76</v>
      </c>
      <c r="K18" s="158" t="s">
        <v>77</v>
      </c>
      <c r="L18" s="158" t="s">
        <v>418</v>
      </c>
      <c r="M18" s="158" t="s">
        <v>419</v>
      </c>
      <c r="N18" s="160">
        <v>98711654</v>
      </c>
      <c r="O18" s="161">
        <v>29</v>
      </c>
      <c r="P18" s="158" t="s">
        <v>81</v>
      </c>
      <c r="Q18" s="158" t="s">
        <v>76</v>
      </c>
      <c r="R18" s="158"/>
      <c r="S18" s="158" t="str">
        <f t="shared" si="0"/>
        <v>043-903-00075623</v>
      </c>
      <c r="T18" s="162">
        <v>102351145</v>
      </c>
      <c r="U18" s="190" t="s">
        <v>420</v>
      </c>
    </row>
    <row r="19" spans="1:21">
      <c r="A19">
        <v>15</v>
      </c>
      <c r="B19" s="158">
        <v>45812</v>
      </c>
      <c r="C19" s="158" t="s">
        <v>421</v>
      </c>
      <c r="D19" s="158" t="s">
        <v>315</v>
      </c>
      <c r="E19" s="158" t="s">
        <v>422</v>
      </c>
      <c r="F19" s="159" t="s">
        <v>423</v>
      </c>
      <c r="G19" s="158" t="s">
        <v>416</v>
      </c>
      <c r="H19" s="158" t="s">
        <v>424</v>
      </c>
      <c r="I19" s="159" t="s">
        <v>42</v>
      </c>
      <c r="J19" s="158" t="s">
        <v>76</v>
      </c>
      <c r="K19" s="158" t="s">
        <v>77</v>
      </c>
      <c r="L19" s="158" t="s">
        <v>425</v>
      </c>
      <c r="M19" s="158" t="s">
        <v>426</v>
      </c>
      <c r="N19" s="160">
        <v>995035362</v>
      </c>
      <c r="O19" s="161">
        <v>29</v>
      </c>
      <c r="P19" s="158" t="s">
        <v>81</v>
      </c>
      <c r="Q19" s="158" t="s">
        <v>76</v>
      </c>
      <c r="R19" s="158"/>
      <c r="S19" s="158" t="str">
        <f t="shared" si="0"/>
        <v>001-502-000000303</v>
      </c>
      <c r="T19" s="162">
        <v>300823564</v>
      </c>
      <c r="U19" s="190" t="s">
        <v>427</v>
      </c>
    </row>
    <row r="20" spans="1:21">
      <c r="A20">
        <v>16</v>
      </c>
      <c r="B20" s="158">
        <v>45812</v>
      </c>
      <c r="C20" s="158">
        <v>45787</v>
      </c>
      <c r="D20" s="158" t="s">
        <v>116</v>
      </c>
      <c r="E20" s="158" t="s">
        <v>428</v>
      </c>
      <c r="F20" s="159" t="s">
        <v>429</v>
      </c>
      <c r="G20" s="158" t="s">
        <v>430</v>
      </c>
      <c r="H20" s="158" t="s">
        <v>431</v>
      </c>
      <c r="I20" s="159" t="s">
        <v>42</v>
      </c>
      <c r="J20" s="158" t="s">
        <v>76</v>
      </c>
      <c r="K20" s="158" t="s">
        <v>77</v>
      </c>
      <c r="L20" s="158" t="s">
        <v>432</v>
      </c>
      <c r="M20" s="158" t="s">
        <v>433</v>
      </c>
      <c r="N20" s="160">
        <v>998423152</v>
      </c>
      <c r="O20" s="161">
        <v>30</v>
      </c>
      <c r="P20" s="158" t="s">
        <v>81</v>
      </c>
      <c r="Q20" s="158" t="s">
        <v>76</v>
      </c>
      <c r="R20" s="158"/>
      <c r="S20" s="158" t="str">
        <f t="shared" si="0"/>
        <v>040-104-000011309</v>
      </c>
      <c r="T20" s="162">
        <v>101408375</v>
      </c>
      <c r="U20" s="190" t="s">
        <v>434</v>
      </c>
    </row>
    <row r="21" spans="1:21">
      <c r="A21">
        <v>17</v>
      </c>
      <c r="B21" s="158">
        <v>45812</v>
      </c>
      <c r="C21" s="158">
        <v>45626</v>
      </c>
      <c r="D21" s="158" t="s">
        <v>315</v>
      </c>
      <c r="E21" s="158" t="s">
        <v>435</v>
      </c>
      <c r="F21" s="159" t="s">
        <v>436</v>
      </c>
      <c r="G21" s="158" t="s">
        <v>118</v>
      </c>
      <c r="H21" s="158" t="s">
        <v>437</v>
      </c>
      <c r="I21" s="159" t="s">
        <v>42</v>
      </c>
      <c r="J21" s="158" t="s">
        <v>76</v>
      </c>
      <c r="K21" s="158" t="s">
        <v>77</v>
      </c>
      <c r="L21" s="158" t="s">
        <v>438</v>
      </c>
      <c r="M21" s="158" t="s">
        <v>439</v>
      </c>
      <c r="N21" s="160">
        <v>983088242</v>
      </c>
      <c r="O21" s="161">
        <v>25</v>
      </c>
      <c r="P21" s="158" t="s">
        <v>81</v>
      </c>
      <c r="Q21" s="158" t="s">
        <v>76</v>
      </c>
      <c r="R21" s="158"/>
      <c r="S21" s="158" t="str">
        <f t="shared" si="0"/>
        <v>001-500-000068534</v>
      </c>
      <c r="T21" s="162">
        <v>103809232</v>
      </c>
      <c r="U21" s="190" t="s">
        <v>440</v>
      </c>
    </row>
    <row r="22" spans="1:21">
      <c r="A22">
        <v>18</v>
      </c>
      <c r="B22" s="158">
        <v>45813</v>
      </c>
      <c r="C22" s="158">
        <v>45787</v>
      </c>
      <c r="D22" s="158" t="s">
        <v>125</v>
      </c>
      <c r="E22" s="158" t="s">
        <v>578</v>
      </c>
      <c r="F22" s="159" t="s">
        <v>579</v>
      </c>
      <c r="G22" s="158" t="s">
        <v>580</v>
      </c>
      <c r="H22" s="158" t="s">
        <v>581</v>
      </c>
      <c r="I22" s="159" t="s">
        <v>42</v>
      </c>
      <c r="J22" s="158" t="s">
        <v>76</v>
      </c>
      <c r="K22" s="158" t="s">
        <v>77</v>
      </c>
      <c r="L22" s="158" t="s">
        <v>582</v>
      </c>
      <c r="M22" s="158" t="s">
        <v>583</v>
      </c>
      <c r="N22" s="160">
        <v>987779231</v>
      </c>
      <c r="O22" s="161">
        <v>46</v>
      </c>
      <c r="P22" s="158" t="s">
        <v>81</v>
      </c>
      <c r="Q22" s="158" t="s">
        <v>76</v>
      </c>
      <c r="R22" s="158"/>
      <c r="S22" s="158" t="str">
        <f t="shared" si="0"/>
        <v>016-902-000508628</v>
      </c>
      <c r="T22" s="162">
        <v>104536404</v>
      </c>
      <c r="U22" s="190" t="s">
        <v>584</v>
      </c>
    </row>
    <row r="23" spans="1:21">
      <c r="A23">
        <v>19</v>
      </c>
      <c r="B23" s="158">
        <v>45813</v>
      </c>
      <c r="C23" s="158">
        <v>45726</v>
      </c>
      <c r="D23" s="158" t="s">
        <v>125</v>
      </c>
      <c r="E23" s="158" t="s">
        <v>585</v>
      </c>
      <c r="F23" s="159" t="s">
        <v>586</v>
      </c>
      <c r="G23" s="158" t="s">
        <v>587</v>
      </c>
      <c r="H23" s="158" t="s">
        <v>588</v>
      </c>
      <c r="I23" s="159" t="s">
        <v>42</v>
      </c>
      <c r="J23" s="158" t="s">
        <v>76</v>
      </c>
      <c r="K23" s="158" t="s">
        <v>77</v>
      </c>
      <c r="L23" s="158" t="s">
        <v>589</v>
      </c>
      <c r="M23" s="158" t="s">
        <v>590</v>
      </c>
      <c r="N23" s="160">
        <v>984381241</v>
      </c>
      <c r="O23" s="161">
        <v>29</v>
      </c>
      <c r="P23" s="158" t="s">
        <v>81</v>
      </c>
      <c r="Q23" s="158" t="s">
        <v>76</v>
      </c>
      <c r="R23" s="158"/>
      <c r="S23" s="158" t="str">
        <f t="shared" si="0"/>
        <v>043-904-000065151</v>
      </c>
      <c r="T23" s="162">
        <v>2047733</v>
      </c>
      <c r="U23" s="190" t="s">
        <v>591</v>
      </c>
    </row>
    <row r="24" spans="1:21">
      <c r="A24">
        <v>20</v>
      </c>
      <c r="B24" s="158">
        <v>46147</v>
      </c>
      <c r="C24" s="158">
        <v>45799</v>
      </c>
      <c r="D24" s="158" t="s">
        <v>592</v>
      </c>
      <c r="E24" s="158" t="s">
        <v>593</v>
      </c>
      <c r="F24" s="159" t="s">
        <v>127</v>
      </c>
      <c r="G24" s="158" t="s">
        <v>128</v>
      </c>
      <c r="H24" s="158" t="s">
        <v>594</v>
      </c>
      <c r="I24" s="159" t="s">
        <v>42</v>
      </c>
      <c r="J24" s="158" t="s">
        <v>76</v>
      </c>
      <c r="K24" s="158" t="s">
        <v>77</v>
      </c>
      <c r="L24" s="158" t="s">
        <v>595</v>
      </c>
      <c r="M24" s="158" t="s">
        <v>596</v>
      </c>
      <c r="N24" s="160">
        <v>987699160</v>
      </c>
      <c r="O24" s="161">
        <v>15</v>
      </c>
      <c r="P24" s="158" t="s">
        <v>81</v>
      </c>
      <c r="Q24" s="158" t="s">
        <v>76</v>
      </c>
      <c r="R24" s="158"/>
      <c r="S24" s="158" t="str">
        <f t="shared" si="0"/>
        <v>040-103-0000153710</v>
      </c>
      <c r="T24" s="162">
        <v>102621588</v>
      </c>
      <c r="U24" s="190" t="s">
        <v>597</v>
      </c>
    </row>
    <row r="25" spans="1:21">
      <c r="A25">
        <v>21</v>
      </c>
      <c r="B25" s="158">
        <v>45814</v>
      </c>
      <c r="C25" s="158">
        <v>45799</v>
      </c>
      <c r="D25" s="158" t="s">
        <v>315</v>
      </c>
      <c r="E25" s="158" t="s">
        <v>598</v>
      </c>
      <c r="F25" s="159" t="s">
        <v>599</v>
      </c>
      <c r="G25" s="158" t="s">
        <v>182</v>
      </c>
      <c r="H25" s="158" t="s">
        <v>600</v>
      </c>
      <c r="I25" s="159" t="s">
        <v>42</v>
      </c>
      <c r="J25" s="158" t="s">
        <v>76</v>
      </c>
      <c r="K25" s="158" t="s">
        <v>77</v>
      </c>
      <c r="L25" s="158" t="s">
        <v>601</v>
      </c>
      <c r="M25" s="158" t="s">
        <v>733</v>
      </c>
      <c r="N25" s="160">
        <v>997796423</v>
      </c>
      <c r="O25" s="161">
        <v>25</v>
      </c>
      <c r="P25" s="158" t="s">
        <v>81</v>
      </c>
      <c r="Q25" s="158" t="s">
        <v>76</v>
      </c>
      <c r="R25" s="158"/>
      <c r="S25" s="158" t="str">
        <f t="shared" si="0"/>
        <v>001-500-000073682</v>
      </c>
      <c r="T25" s="162">
        <v>104291216</v>
      </c>
      <c r="U25" s="190" t="s">
        <v>602</v>
      </c>
    </row>
    <row r="26" spans="1:21">
      <c r="A26">
        <v>22</v>
      </c>
      <c r="B26" s="158">
        <v>45814</v>
      </c>
      <c r="C26" s="158">
        <v>45805</v>
      </c>
      <c r="D26" s="158" t="s">
        <v>116</v>
      </c>
      <c r="E26" s="158" t="s">
        <v>603</v>
      </c>
      <c r="F26" s="159" t="s">
        <v>604</v>
      </c>
      <c r="G26" s="158" t="s">
        <v>605</v>
      </c>
      <c r="H26" s="158" t="s">
        <v>606</v>
      </c>
      <c r="I26" s="159" t="s">
        <v>42</v>
      </c>
      <c r="J26" s="158" t="s">
        <v>76</v>
      </c>
      <c r="K26" s="158" t="s">
        <v>77</v>
      </c>
      <c r="L26" s="158" t="s">
        <v>607</v>
      </c>
      <c r="M26" s="158" t="s">
        <v>608</v>
      </c>
      <c r="N26" s="160">
        <v>990543737</v>
      </c>
      <c r="O26" s="161">
        <v>25</v>
      </c>
      <c r="P26" s="158" t="s">
        <v>81</v>
      </c>
      <c r="Q26" s="158" t="s">
        <v>76</v>
      </c>
      <c r="R26" s="158"/>
      <c r="S26" s="158" t="str">
        <f t="shared" si="0"/>
        <v>040-104-000011579</v>
      </c>
      <c r="T26" s="162">
        <v>104729447</v>
      </c>
      <c r="U26" s="190" t="s">
        <v>609</v>
      </c>
    </row>
    <row r="27" spans="1:21">
      <c r="A27">
        <v>23</v>
      </c>
      <c r="B27" s="158">
        <v>45814</v>
      </c>
      <c r="C27" s="158">
        <v>45805</v>
      </c>
      <c r="D27" s="158" t="s">
        <v>498</v>
      </c>
      <c r="E27" s="158" t="s">
        <v>610</v>
      </c>
      <c r="F27" s="159" t="s">
        <v>599</v>
      </c>
      <c r="G27" s="158" t="s">
        <v>611</v>
      </c>
      <c r="H27" s="158" t="s">
        <v>612</v>
      </c>
      <c r="I27" s="159" t="s">
        <v>42</v>
      </c>
      <c r="J27" s="158" t="s">
        <v>76</v>
      </c>
      <c r="K27" s="158" t="s">
        <v>77</v>
      </c>
      <c r="L27" s="158" t="s">
        <v>613</v>
      </c>
      <c r="M27" s="158" t="s">
        <v>614</v>
      </c>
      <c r="N27" s="160">
        <v>72816343</v>
      </c>
      <c r="O27" s="161">
        <v>25</v>
      </c>
      <c r="P27" s="158" t="s">
        <v>81</v>
      </c>
      <c r="Q27" s="158" t="s">
        <v>76</v>
      </c>
      <c r="R27" s="158"/>
      <c r="S27" s="158" t="str">
        <f t="shared" si="0"/>
        <v>040-109-000013007</v>
      </c>
      <c r="T27" s="162">
        <v>103578595</v>
      </c>
      <c r="U27" s="190" t="s">
        <v>615</v>
      </c>
    </row>
    <row r="28" spans="1:21">
      <c r="A28">
        <v>24</v>
      </c>
      <c r="B28" s="158">
        <v>45814</v>
      </c>
      <c r="C28" s="158">
        <v>45793</v>
      </c>
      <c r="D28" s="158" t="s">
        <v>315</v>
      </c>
      <c r="E28" s="158" t="s">
        <v>616</v>
      </c>
      <c r="F28" s="159" t="s">
        <v>599</v>
      </c>
      <c r="G28" s="158" t="s">
        <v>182</v>
      </c>
      <c r="H28" s="158" t="s">
        <v>617</v>
      </c>
      <c r="I28" s="159" t="s">
        <v>42</v>
      </c>
      <c r="J28" s="158" t="s">
        <v>76</v>
      </c>
      <c r="K28" s="158" t="s">
        <v>77</v>
      </c>
      <c r="L28" s="158" t="s">
        <v>618</v>
      </c>
      <c r="M28" s="158" t="s">
        <v>619</v>
      </c>
      <c r="N28" s="160">
        <v>72845025</v>
      </c>
      <c r="O28" s="161">
        <v>25</v>
      </c>
      <c r="P28" s="158" t="s">
        <v>81</v>
      </c>
      <c r="Q28" s="158" t="s">
        <v>76</v>
      </c>
      <c r="R28" s="158"/>
      <c r="S28" s="158" t="str">
        <f t="shared" si="0"/>
        <v>001-500-000073489</v>
      </c>
      <c r="T28" s="162">
        <v>10392626</v>
      </c>
      <c r="U28" s="190" t="s">
        <v>620</v>
      </c>
    </row>
    <row r="29" spans="1:21">
      <c r="A29">
        <v>25</v>
      </c>
      <c r="B29" s="158">
        <v>45817</v>
      </c>
      <c r="C29" s="158">
        <v>45808</v>
      </c>
      <c r="D29" s="158" t="s">
        <v>621</v>
      </c>
      <c r="E29" s="158" t="s">
        <v>622</v>
      </c>
      <c r="F29" s="159" t="s">
        <v>623</v>
      </c>
      <c r="G29" s="158" t="s">
        <v>624</v>
      </c>
      <c r="H29" s="158" t="s">
        <v>625</v>
      </c>
      <c r="I29" s="159" t="s">
        <v>42</v>
      </c>
      <c r="J29" s="158" t="s">
        <v>76</v>
      </c>
      <c r="K29" s="158" t="s">
        <v>77</v>
      </c>
      <c r="L29" s="158" t="s">
        <v>626</v>
      </c>
      <c r="M29" s="158" t="s">
        <v>412</v>
      </c>
      <c r="N29" s="160">
        <v>984014275</v>
      </c>
      <c r="O29" s="161">
        <v>15</v>
      </c>
      <c r="P29" s="158" t="s">
        <v>81</v>
      </c>
      <c r="Q29" s="158" t="s">
        <v>76</v>
      </c>
      <c r="R29" s="158"/>
      <c r="S29" s="158" t="str">
        <f t="shared" si="0"/>
        <v>001-500-000073893</v>
      </c>
      <c r="T29" s="162">
        <v>105254163</v>
      </c>
      <c r="U29" s="190" t="s">
        <v>627</v>
      </c>
    </row>
    <row r="30" spans="1:21">
      <c r="A30">
        <v>26</v>
      </c>
      <c r="B30" s="158">
        <v>45818</v>
      </c>
      <c r="C30" s="158">
        <v>45799</v>
      </c>
      <c r="D30" s="158" t="s">
        <v>125</v>
      </c>
      <c r="E30" s="158" t="s">
        <v>628</v>
      </c>
      <c r="F30" s="159" t="s">
        <v>629</v>
      </c>
      <c r="G30" s="158" t="s">
        <v>261</v>
      </c>
      <c r="H30" s="158" t="s">
        <v>630</v>
      </c>
      <c r="I30" s="159" t="s">
        <v>42</v>
      </c>
      <c r="J30" s="158" t="s">
        <v>76</v>
      </c>
      <c r="K30" s="158" t="s">
        <v>77</v>
      </c>
      <c r="L30" s="158" t="s">
        <v>631</v>
      </c>
      <c r="M30" s="158" t="s">
        <v>412</v>
      </c>
      <c r="N30" s="160">
        <v>704075004</v>
      </c>
      <c r="O30" s="161">
        <v>15</v>
      </c>
      <c r="P30" s="158" t="s">
        <v>81</v>
      </c>
      <c r="Q30" s="158" t="s">
        <v>76</v>
      </c>
      <c r="R30" s="158"/>
      <c r="S30" s="158" t="str">
        <f t="shared" si="0"/>
        <v>016-902-000510323</v>
      </c>
      <c r="T30" s="162">
        <v>157400372</v>
      </c>
      <c r="U30" s="190" t="s">
        <v>632</v>
      </c>
    </row>
    <row r="31" spans="1:21">
      <c r="A31">
        <v>27</v>
      </c>
      <c r="B31" s="158">
        <v>45819</v>
      </c>
      <c r="C31" s="158">
        <v>45818</v>
      </c>
      <c r="D31" s="158" t="s">
        <v>315</v>
      </c>
      <c r="E31" s="158" t="s">
        <v>633</v>
      </c>
      <c r="F31" s="159" t="s">
        <v>586</v>
      </c>
      <c r="G31" s="158" t="s">
        <v>587</v>
      </c>
      <c r="H31" s="158" t="s">
        <v>634</v>
      </c>
      <c r="I31" s="159" t="s">
        <v>42</v>
      </c>
      <c r="J31" s="158" t="s">
        <v>76</v>
      </c>
      <c r="K31" s="158" t="s">
        <v>77</v>
      </c>
      <c r="L31" s="158" t="s">
        <v>635</v>
      </c>
      <c r="M31" s="158" t="s">
        <v>636</v>
      </c>
      <c r="N31" s="160">
        <v>997688257</v>
      </c>
      <c r="O31" s="161">
        <v>29</v>
      </c>
      <c r="P31" s="158" t="s">
        <v>81</v>
      </c>
      <c r="Q31" s="158" t="s">
        <v>76</v>
      </c>
      <c r="R31" s="158"/>
      <c r="S31" s="158" t="str">
        <f t="shared" si="0"/>
        <v>001-500-000074138</v>
      </c>
      <c r="T31" s="162">
        <v>101598175</v>
      </c>
      <c r="U31" s="190" t="s">
        <v>637</v>
      </c>
    </row>
    <row r="32" spans="1:21">
      <c r="A32">
        <v>28</v>
      </c>
      <c r="B32" s="158">
        <v>45821</v>
      </c>
      <c r="C32" s="158">
        <v>45748</v>
      </c>
      <c r="D32" s="158" t="s">
        <v>125</v>
      </c>
      <c r="E32" s="158" t="s">
        <v>638</v>
      </c>
      <c r="F32" s="159" t="s">
        <v>639</v>
      </c>
      <c r="G32" s="158" t="s">
        <v>640</v>
      </c>
      <c r="H32" s="158" t="s">
        <v>641</v>
      </c>
      <c r="I32" s="159" t="s">
        <v>42</v>
      </c>
      <c r="J32" s="158" t="s">
        <v>76</v>
      </c>
      <c r="K32" s="158" t="s">
        <v>77</v>
      </c>
      <c r="L32" s="158" t="s">
        <v>642</v>
      </c>
      <c r="M32" s="158" t="s">
        <v>643</v>
      </c>
      <c r="N32" s="160">
        <v>72834165</v>
      </c>
      <c r="O32" s="161">
        <v>29</v>
      </c>
      <c r="P32" s="158" t="s">
        <v>81</v>
      </c>
      <c r="Q32" s="158" t="s">
        <v>76</v>
      </c>
      <c r="R32" s="158"/>
      <c r="S32" s="158" t="str">
        <f t="shared" si="0"/>
        <v>016-907-000246124</v>
      </c>
      <c r="T32" s="207" t="s">
        <v>651</v>
      </c>
      <c r="U32" s="190" t="s">
        <v>644</v>
      </c>
    </row>
    <row r="33" spans="1:21">
      <c r="A33">
        <v>29</v>
      </c>
      <c r="B33" s="158">
        <v>45821</v>
      </c>
      <c r="C33" s="158">
        <v>45820</v>
      </c>
      <c r="D33" s="158" t="s">
        <v>125</v>
      </c>
      <c r="E33" s="158" t="s">
        <v>645</v>
      </c>
      <c r="F33" s="159" t="s">
        <v>646</v>
      </c>
      <c r="G33" s="158" t="s">
        <v>416</v>
      </c>
      <c r="H33" s="158" t="s">
        <v>647</v>
      </c>
      <c r="I33" s="159" t="s">
        <v>42</v>
      </c>
      <c r="J33" s="158" t="s">
        <v>76</v>
      </c>
      <c r="K33" s="158" t="s">
        <v>77</v>
      </c>
      <c r="L33" s="158" t="s">
        <v>648</v>
      </c>
      <c r="M33" s="158" t="s">
        <v>412</v>
      </c>
      <c r="N33" s="160">
        <v>994129517</v>
      </c>
      <c r="O33" s="161">
        <v>29</v>
      </c>
      <c r="P33" s="158" t="s">
        <v>81</v>
      </c>
      <c r="Q33" s="158" t="s">
        <v>76</v>
      </c>
      <c r="R33" s="158"/>
      <c r="S33" s="158" t="str">
        <f t="shared" si="0"/>
        <v>016-907-000257755</v>
      </c>
      <c r="T33" s="207" t="s">
        <v>649</v>
      </c>
      <c r="U33" s="190" t="s">
        <v>650</v>
      </c>
    </row>
    <row r="34" spans="1:21">
      <c r="A34">
        <v>30</v>
      </c>
      <c r="B34" s="158">
        <v>45821</v>
      </c>
      <c r="C34" s="158">
        <v>45809</v>
      </c>
      <c r="D34" s="158" t="s">
        <v>125</v>
      </c>
      <c r="E34" s="158" t="s">
        <v>652</v>
      </c>
      <c r="F34" s="159" t="s">
        <v>599</v>
      </c>
      <c r="G34" s="158" t="s">
        <v>611</v>
      </c>
      <c r="H34" s="158" t="s">
        <v>542</v>
      </c>
      <c r="I34" s="159" t="s">
        <v>42</v>
      </c>
      <c r="J34" s="158" t="s">
        <v>76</v>
      </c>
      <c r="K34" s="158" t="s">
        <v>77</v>
      </c>
      <c r="L34" s="158" t="s">
        <v>653</v>
      </c>
      <c r="M34" s="158" t="s">
        <v>654</v>
      </c>
      <c r="N34" s="160">
        <v>995805576</v>
      </c>
      <c r="O34" s="161">
        <v>29</v>
      </c>
      <c r="P34" s="158" t="s">
        <v>81</v>
      </c>
      <c r="Q34" s="158" t="s">
        <v>76</v>
      </c>
      <c r="R34" s="158"/>
      <c r="S34" s="158" t="str">
        <f t="shared" si="0"/>
        <v>043-903-000077932</v>
      </c>
      <c r="T34" s="207" t="s">
        <v>655</v>
      </c>
      <c r="U34" s="190" t="s">
        <v>656</v>
      </c>
    </row>
    <row r="35" spans="1:21">
      <c r="A35">
        <v>31</v>
      </c>
      <c r="B35" s="158">
        <v>45824</v>
      </c>
      <c r="C35" s="158">
        <v>45822</v>
      </c>
      <c r="D35" s="158" t="s">
        <v>125</v>
      </c>
      <c r="E35" s="158" t="s">
        <v>657</v>
      </c>
      <c r="F35" s="159" t="s">
        <v>658</v>
      </c>
      <c r="G35" s="158" t="s">
        <v>659</v>
      </c>
      <c r="H35" s="158" t="s">
        <v>660</v>
      </c>
      <c r="I35" s="159" t="s">
        <v>42</v>
      </c>
      <c r="J35" s="158" t="s">
        <v>76</v>
      </c>
      <c r="K35" s="158" t="s">
        <v>77</v>
      </c>
      <c r="L35" s="158" t="s">
        <v>648</v>
      </c>
      <c r="M35" s="158" t="s">
        <v>412</v>
      </c>
      <c r="N35" s="160">
        <v>994129517</v>
      </c>
      <c r="O35" s="161">
        <v>25</v>
      </c>
      <c r="P35" s="158" t="s">
        <v>81</v>
      </c>
      <c r="Q35" s="158" t="s">
        <v>76</v>
      </c>
      <c r="R35" s="158"/>
      <c r="S35" s="158" t="str">
        <f t="shared" ref="S35" si="3">E35</f>
        <v>016-907-000257694</v>
      </c>
      <c r="T35" s="207" t="s">
        <v>649</v>
      </c>
      <c r="U35" s="190" t="s">
        <v>650</v>
      </c>
    </row>
    <row r="36" spans="1:21">
      <c r="A36">
        <v>32</v>
      </c>
      <c r="B36" s="158">
        <v>45825</v>
      </c>
      <c r="C36" s="158">
        <v>45694</v>
      </c>
      <c r="D36" s="158" t="s">
        <v>125</v>
      </c>
      <c r="E36" s="158" t="s">
        <v>680</v>
      </c>
      <c r="F36" s="159" t="s">
        <v>681</v>
      </c>
      <c r="G36" s="158" t="s">
        <v>682</v>
      </c>
      <c r="H36" s="158" t="s">
        <v>683</v>
      </c>
      <c r="I36" s="159" t="s">
        <v>42</v>
      </c>
      <c r="J36" s="158" t="s">
        <v>76</v>
      </c>
      <c r="K36" s="158" t="s">
        <v>77</v>
      </c>
      <c r="L36" s="158" t="s">
        <v>684</v>
      </c>
      <c r="M36" s="158" t="s">
        <v>685</v>
      </c>
      <c r="N36" s="160">
        <v>995102591</v>
      </c>
      <c r="O36" s="161">
        <v>25</v>
      </c>
      <c r="P36" s="158" t="s">
        <v>81</v>
      </c>
      <c r="Q36" s="158" t="s">
        <v>76</v>
      </c>
      <c r="R36" s="158"/>
      <c r="S36" s="158" t="str">
        <f t="shared" ref="S36:S38" si="4">E36</f>
        <v>043-102-000038932</v>
      </c>
      <c r="T36" s="207" t="s">
        <v>686</v>
      </c>
      <c r="U36" s="190" t="s">
        <v>687</v>
      </c>
    </row>
    <row r="37" spans="1:21">
      <c r="A37">
        <v>33</v>
      </c>
      <c r="B37" s="158">
        <v>45825</v>
      </c>
      <c r="C37" s="158">
        <v>45789</v>
      </c>
      <c r="D37" s="158" t="s">
        <v>315</v>
      </c>
      <c r="E37" s="158" t="s">
        <v>688</v>
      </c>
      <c r="F37" s="159" t="s">
        <v>689</v>
      </c>
      <c r="G37" s="158" t="s">
        <v>690</v>
      </c>
      <c r="H37" s="158" t="s">
        <v>691</v>
      </c>
      <c r="I37" s="159" t="s">
        <v>42</v>
      </c>
      <c r="J37" s="158" t="s">
        <v>76</v>
      </c>
      <c r="K37" s="158" t="s">
        <v>77</v>
      </c>
      <c r="L37" s="158" t="s">
        <v>692</v>
      </c>
      <c r="M37" s="158" t="s">
        <v>693</v>
      </c>
      <c r="N37" s="160">
        <v>997304787</v>
      </c>
      <c r="O37" s="161">
        <v>29</v>
      </c>
      <c r="P37" s="158" t="s">
        <v>81</v>
      </c>
      <c r="Q37" s="158" t="s">
        <v>76</v>
      </c>
      <c r="R37" s="158"/>
      <c r="S37" s="158" t="str">
        <f t="shared" si="4"/>
        <v>001-500-000073371</v>
      </c>
      <c r="T37" s="207" t="s">
        <v>694</v>
      </c>
      <c r="U37" s="190" t="s">
        <v>695</v>
      </c>
    </row>
    <row r="38" spans="1:21">
      <c r="A38">
        <v>34</v>
      </c>
      <c r="B38" s="158">
        <v>45826</v>
      </c>
      <c r="C38" s="158">
        <v>45772</v>
      </c>
      <c r="D38" s="158" t="s">
        <v>105</v>
      </c>
      <c r="E38" s="158" t="s">
        <v>696</v>
      </c>
      <c r="F38" s="159" t="s">
        <v>697</v>
      </c>
      <c r="G38" s="158" t="s">
        <v>698</v>
      </c>
      <c r="H38" s="158" t="s">
        <v>699</v>
      </c>
      <c r="I38" s="159" t="s">
        <v>42</v>
      </c>
      <c r="J38" s="158" t="s">
        <v>76</v>
      </c>
      <c r="K38" s="158" t="s">
        <v>77</v>
      </c>
      <c r="L38" s="158" t="s">
        <v>701</v>
      </c>
      <c r="M38" s="158" t="s">
        <v>700</v>
      </c>
      <c r="N38" s="160">
        <v>983549145</v>
      </c>
      <c r="O38" s="161">
        <v>25</v>
      </c>
      <c r="P38" s="158" t="s">
        <v>81</v>
      </c>
      <c r="Q38" s="158" t="s">
        <v>76</v>
      </c>
      <c r="R38" s="158"/>
      <c r="S38" s="158" t="str">
        <f t="shared" si="4"/>
        <v>001-101-000003343</v>
      </c>
      <c r="T38" s="207" t="s">
        <v>702</v>
      </c>
      <c r="U38" s="190" t="s">
        <v>703</v>
      </c>
    </row>
    <row r="39" spans="1:21">
      <c r="O39" s="131">
        <f>SUM(O5:O38)</f>
        <v>901</v>
      </c>
    </row>
    <row r="42" spans="1:21">
      <c r="G42" t="s">
        <v>732</v>
      </c>
    </row>
    <row r="45" spans="1:21">
      <c r="G45" t="s">
        <v>731</v>
      </c>
    </row>
  </sheetData>
  <hyperlinks>
    <hyperlink ref="U5" r:id="rId1" xr:uid="{E2F9DA2A-70C7-9E4C-868E-6A07F87DFF67}"/>
    <hyperlink ref="U6" r:id="rId2" xr:uid="{561A087B-66D0-304D-B3EF-43E0A8C58656}"/>
    <hyperlink ref="U7" r:id="rId3" xr:uid="{3DD089FE-4974-7046-B0F1-C211F0AE7001}"/>
    <hyperlink ref="U8" r:id="rId4" xr:uid="{60861E8A-B15A-764A-A76D-4F6B82A9D9E1}"/>
    <hyperlink ref="U9" r:id="rId5" xr:uid="{A23177CB-72AE-A548-BFE5-19B84A044305}"/>
    <hyperlink ref="U11" r:id="rId6" xr:uid="{140D9BAF-486D-2B4E-B5CE-183F2CB6B297}"/>
    <hyperlink ref="U10" r:id="rId7" xr:uid="{22897625-C30B-1543-A90F-BEF07D21F82E}"/>
    <hyperlink ref="U12" r:id="rId8" xr:uid="{1AEB14DD-EA68-0F4F-B641-2ACF0FEE62F3}"/>
    <hyperlink ref="U13" r:id="rId9" xr:uid="{981126D4-FB6A-1645-BFC8-34AD71FE794A}"/>
    <hyperlink ref="U14" r:id="rId10" xr:uid="{097CACA8-5A9E-004E-92E5-B787834650DC}"/>
    <hyperlink ref="U15" r:id="rId11" xr:uid="{6E83DE59-F7B5-0548-837F-B11E712C21BB}"/>
    <hyperlink ref="U16" r:id="rId12" xr:uid="{E78FA5B4-4D6B-E543-B96B-6DC212DF8D6E}"/>
    <hyperlink ref="U17" r:id="rId13" xr:uid="{5D2183CF-D8DD-3A49-8D02-F34C8D856FBF}"/>
    <hyperlink ref="U18" r:id="rId14" xr:uid="{D5453624-A747-2344-A26E-CF7098569041}"/>
    <hyperlink ref="U19" r:id="rId15" xr:uid="{911B4DAB-0214-104D-9AC6-ED74E04A83E2}"/>
    <hyperlink ref="U20" r:id="rId16" xr:uid="{32E3D26E-9619-414C-94D8-9930932336F2}"/>
    <hyperlink ref="U21" r:id="rId17" xr:uid="{D3E2FAA8-64BB-A949-87FA-ABCA0B5DB9F5}"/>
    <hyperlink ref="U22" r:id="rId18" xr:uid="{0019255B-8108-5F4C-ADBC-23EC1B1087BF}"/>
    <hyperlink ref="U23" r:id="rId19" xr:uid="{5B1B9DEA-9B00-4140-B375-316FC0B52284}"/>
    <hyperlink ref="U24" r:id="rId20" xr:uid="{B6E80015-0EFF-934D-84CF-3C438DC7E0A5}"/>
    <hyperlink ref="U25" r:id="rId21" xr:uid="{3832B243-FCE3-D146-BE0F-C6B6F5482994}"/>
    <hyperlink ref="U26" r:id="rId22" xr:uid="{7CCAF45A-668D-9F4D-89C2-CAF90DABDDD0}"/>
    <hyperlink ref="U27" r:id="rId23" xr:uid="{2659A9F6-1B59-3D44-A0F4-D29F496130D1}"/>
    <hyperlink ref="U28" r:id="rId24" xr:uid="{47FFA2EE-F4CA-8C4A-9A7D-A03007B290A4}"/>
    <hyperlink ref="U29" r:id="rId25" xr:uid="{E63BF147-7DE2-D641-91E5-C03C6AAEE09A}"/>
    <hyperlink ref="U30" r:id="rId26" xr:uid="{2E2C16E4-0A2A-564B-AD02-4696159167FA}"/>
    <hyperlink ref="U31" r:id="rId27" xr:uid="{ACFB6D08-E380-824D-AFFC-47A84E44126A}"/>
    <hyperlink ref="U32" r:id="rId28" xr:uid="{5610E892-9D55-D046-8E3C-C4F3126A9403}"/>
    <hyperlink ref="U33" r:id="rId29" xr:uid="{FF5E42D7-54CC-4740-AFD8-37E6C4F55491}"/>
    <hyperlink ref="U34" r:id="rId30" xr:uid="{B6625615-10A7-5C48-89F9-191D37FF7DF1}"/>
    <hyperlink ref="U35" r:id="rId31" xr:uid="{E2A2D3E6-2EE0-704A-999E-E425B0BE1281}"/>
    <hyperlink ref="U36" r:id="rId32" xr:uid="{9248E5C1-1733-874F-8E7C-C3A1B68FB909}"/>
    <hyperlink ref="U37" r:id="rId33" xr:uid="{53C5C495-30EC-184A-B842-E88BE52027DC}"/>
    <hyperlink ref="U38" r:id="rId34" xr:uid="{0B6BAC36-D95D-494E-BB92-39E869725FC1}"/>
  </hyperlinks>
  <pageMargins left="0.7" right="0.7" top="0.75" bottom="0.75" header="0.3" footer="0.3"/>
  <pageSetup paperSize="9" orientation="portrait" horizontalDpi="0" verticalDpi="0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2024-01-22T20:29:31Z</dcterms:created>
  <dcterms:modified xsi:type="dcterms:W3CDTF">2026-04-27T17:26:43Z</dcterms:modified>
</cp:coreProperties>
</file>