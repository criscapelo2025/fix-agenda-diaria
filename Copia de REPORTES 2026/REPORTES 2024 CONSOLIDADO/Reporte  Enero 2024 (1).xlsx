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4 CONSOLIDADO/"/>
    </mc:Choice>
  </mc:AlternateContent>
  <xr:revisionPtr revIDLastSave="0" documentId="13_ncr:1_{83E859AD-E171-D74C-B988-CA47189917A0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1 PRODUCTO" sheetId="3" r:id="rId1"/>
    <sheet name="ALMACEN" sheetId="1" r:id="rId2"/>
    <sheet name="BBQ" sheetId="2" r:id="rId3"/>
    <sheet name="PROMOCION" sheetId="4" r:id="rId4"/>
    <sheet name="GARANTIAS" sheetId="5" r:id="rId5"/>
    <sheet name="CONSOLIDAD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3" l="1"/>
  <c r="K15" i="5"/>
  <c r="O8" i="1" l="1"/>
  <c r="N11" i="5" l="1"/>
  <c r="O9" i="2"/>
  <c r="O37" i="4"/>
  <c r="O7" i="2" l="1"/>
</calcChain>
</file>

<file path=xl/sharedStrings.xml><?xml version="1.0" encoding="utf-8"?>
<sst xmlns="http://schemas.openxmlformats.org/spreadsheetml/2006/main" count="1290" uniqueCount="356">
  <si>
    <t>TEKA ECUADOR S.A.</t>
  </si>
  <si>
    <t>Registro Único de Contribuyente: 1791883144001</t>
  </si>
  <si>
    <t xml:space="preserve">INSTALACION ALMACEN </t>
  </si>
  <si>
    <t>CAPELO</t>
  </si>
  <si>
    <t>FECHA DE COMPRA</t>
  </si>
  <si>
    <t>LUGAR DE COMRPA</t>
  </si>
  <si>
    <t>NUMERO DE FACTURA DE COMPRA</t>
  </si>
  <si>
    <t>CODIGO DEL PRODUCTO</t>
  </si>
  <si>
    <t>DESCRIPCION DE PRODUCTO</t>
  </si>
  <si>
    <t>SERIE DEL EQUIPO</t>
  </si>
  <si>
    <t>GARANTIA DEL EQUIPO</t>
  </si>
  <si>
    <t>TECNICO</t>
  </si>
  <si>
    <t>CIUDAD</t>
  </si>
  <si>
    <t>FECHA INSTALACION</t>
  </si>
  <si>
    <t>NOMBRE DEL CLIENTE</t>
  </si>
  <si>
    <t>DIRECCION INSTALACION</t>
  </si>
  <si>
    <t>CELULAR DEL CLIENTE</t>
  </si>
  <si>
    <t>PRECIO</t>
  </si>
  <si>
    <t>COMO LLEGO INFORMACION</t>
  </si>
  <si>
    <t>Comercial Solis</t>
  </si>
  <si>
    <t xml:space="preserve"> Capelo</t>
  </si>
  <si>
    <t>Cuenca</t>
  </si>
  <si>
    <t>Correo</t>
  </si>
  <si>
    <t>Capelo</t>
  </si>
  <si>
    <t>SAP</t>
  </si>
  <si>
    <t>BBQ</t>
  </si>
  <si>
    <t xml:space="preserve">TEKA ECUADOR S.A. </t>
  </si>
  <si>
    <t>UN SOLO PRODUCTO</t>
  </si>
  <si>
    <t xml:space="preserve">FECHA DE INSTALACION </t>
  </si>
  <si>
    <t xml:space="preserve">FECHA DE COMPRA </t>
  </si>
  <si>
    <t xml:space="preserve">LUGAR DE COMRPA </t>
  </si>
  <si>
    <t xml:space="preserve">CODIGO DEL PRODUCTO </t>
  </si>
  <si>
    <t xml:space="preserve">DESCRIPCION DE PRODUCTO </t>
  </si>
  <si>
    <t xml:space="preserve">SERIE DEL EQUIPO </t>
  </si>
  <si>
    <t xml:space="preserve">TECNICO </t>
  </si>
  <si>
    <t xml:space="preserve">CIUDAD </t>
  </si>
  <si>
    <t xml:space="preserve">DIRECCION INSTALACION 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</si>
  <si>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</si>
  <si>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</si>
  <si>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</si>
  <si>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</si>
  <si>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</si>
  <si>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</si>
  <si>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</si>
  <si>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>PROMOCION</t>
  </si>
  <si>
    <t>Cliente final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</si>
  <si>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</si>
  <si>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</si>
  <si>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</si>
  <si>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</si>
  <si>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</si>
  <si>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</si>
  <si>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</si>
  <si>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>Codigo del Producto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</si>
  <si>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</si>
  <si>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</si>
  <si>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</si>
  <si>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</si>
  <si>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</si>
  <si>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</si>
  <si>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</si>
  <si>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telefono del cliente</t>
  </si>
  <si>
    <t xml:space="preserve">Clientes Visitados </t>
  </si>
  <si>
    <t xml:space="preserve">FECHA </t>
  </si>
  <si>
    <t>LUGAR</t>
  </si>
  <si>
    <t>CÓDIGO</t>
  </si>
  <si>
    <t xml:space="preserve"> NUMERO </t>
  </si>
  <si>
    <t xml:space="preserve">CLIENTE </t>
  </si>
  <si>
    <t>DIRECCIÓN</t>
  </si>
  <si>
    <t>TELÉFONO</t>
  </si>
  <si>
    <t xml:space="preserve">ASUNTO </t>
  </si>
  <si>
    <t>ESTADO</t>
  </si>
  <si>
    <t xml:space="preserve">DE </t>
  </si>
  <si>
    <t>DE</t>
  </si>
  <si>
    <t>GARANTÍA</t>
  </si>
  <si>
    <t>SERIE</t>
  </si>
  <si>
    <t>Vr.</t>
  </si>
  <si>
    <t>CORREO</t>
  </si>
  <si>
    <t>CEDULA</t>
  </si>
  <si>
    <t>OBSERVACIONES</t>
  </si>
  <si>
    <t>COMPRA</t>
  </si>
  <si>
    <t>ADHESIVO</t>
  </si>
  <si>
    <t>LLAMADA</t>
  </si>
  <si>
    <t>CUENCA</t>
  </si>
  <si>
    <t>Técnico:  Cristian Capelo</t>
  </si>
  <si>
    <t>De Christian Capelo</t>
  </si>
  <si>
    <t>Cedula</t>
  </si>
  <si>
    <t>Llamada Cliente</t>
  </si>
  <si>
    <t>Kywi</t>
  </si>
  <si>
    <t>Horno HLB 8416 BK</t>
  </si>
  <si>
    <t>Misicata</t>
  </si>
  <si>
    <t>Av. 24 de Mayo</t>
  </si>
  <si>
    <t>Llamada Almacen</t>
  </si>
  <si>
    <t>Campana CC480</t>
  </si>
  <si>
    <t>Lavavajillas DFI 46950</t>
  </si>
  <si>
    <t>Cocina GBC 95030 KBB</t>
  </si>
  <si>
    <t>Luna Pazmiño</t>
  </si>
  <si>
    <t>Chaullabamba</t>
  </si>
  <si>
    <t>Mercard</t>
  </si>
  <si>
    <t>Sukasa</t>
  </si>
  <si>
    <t>Cocina GBC 75030 KBB</t>
  </si>
  <si>
    <t>Microondas ML 822 BIS L</t>
  </si>
  <si>
    <t>Home Vega</t>
  </si>
  <si>
    <t>T-BBQ 4100 GSS</t>
  </si>
  <si>
    <t>040-101-000000060</t>
  </si>
  <si>
    <t>Cocina GBC 64000 KBB</t>
  </si>
  <si>
    <t>ZP232N00352</t>
  </si>
  <si>
    <t>Victo Roando Veintimilla</t>
  </si>
  <si>
    <t>0101856763001</t>
  </si>
  <si>
    <t>rolando-veintimilla@yahoo.com</t>
  </si>
  <si>
    <t>Horno HLB 760G</t>
  </si>
  <si>
    <t>TZ238K08541</t>
  </si>
  <si>
    <t>001-500-000058818</t>
  </si>
  <si>
    <t>ZP237U00445</t>
  </si>
  <si>
    <t>Rosa Mendoza</t>
  </si>
  <si>
    <t>Chihuahua 1-59</t>
  </si>
  <si>
    <t>0100963800</t>
  </si>
  <si>
    <t>mendozarosa1604@gmail.com</t>
  </si>
  <si>
    <t>Campana DVF 97670 TBL BK</t>
  </si>
  <si>
    <t>FB213500112</t>
  </si>
  <si>
    <t>002-101-000097648</t>
  </si>
  <si>
    <t>ZP22CD00053</t>
  </si>
  <si>
    <t>Ximena Moscoso</t>
  </si>
  <si>
    <t>Av. Ordoñez Lazo</t>
  </si>
  <si>
    <t>0102681251</t>
  </si>
  <si>
    <t>nuchi_@hotmail.com</t>
  </si>
  <si>
    <t>Campana C6310</t>
  </si>
  <si>
    <t>TP213C00068</t>
  </si>
  <si>
    <t>002-101-000097650</t>
  </si>
  <si>
    <t>001-001-000002918</t>
  </si>
  <si>
    <t>Cocina JZC 96324 ABB</t>
  </si>
  <si>
    <t>ZP23A600850</t>
  </si>
  <si>
    <t>Hilda Arcentales</t>
  </si>
  <si>
    <t>Benjamin Carrion</t>
  </si>
  <si>
    <t>0101117216</t>
  </si>
  <si>
    <t>hildav7@hotmail.com</t>
  </si>
  <si>
    <t>043-905-000004463</t>
  </si>
  <si>
    <t>Campana DFV  97670 TBL</t>
  </si>
  <si>
    <t>FB213500174</t>
  </si>
  <si>
    <t>016-902-000430289</t>
  </si>
  <si>
    <t>Cocina EFX 70.1 5G</t>
  </si>
  <si>
    <t>ZP21A400009</t>
  </si>
  <si>
    <t>Claudia Carrasco</t>
  </si>
  <si>
    <t>Ramona Cordero y Leon</t>
  </si>
  <si>
    <t>0104193438</t>
  </si>
  <si>
    <t>claudiamcarrascom@gmail.com</t>
  </si>
  <si>
    <t>Horno HSB 635</t>
  </si>
  <si>
    <t>TZ222094193</t>
  </si>
  <si>
    <t>040-105-000000246</t>
  </si>
  <si>
    <t>Maria Eugenia Chuqui</t>
  </si>
  <si>
    <t>Gorivar 2-69</t>
  </si>
  <si>
    <t>0104133806</t>
  </si>
  <si>
    <t>maria-eugeniachq@hotmail.com</t>
  </si>
  <si>
    <t>Campana DBB-70</t>
  </si>
  <si>
    <t xml:space="preserve">Horno HBS 615 </t>
  </si>
  <si>
    <t>Micoondas MWG 14X</t>
  </si>
  <si>
    <t>PX21AL00389</t>
  </si>
  <si>
    <t>TZ237K17837</t>
  </si>
  <si>
    <t>MW233011941</t>
  </si>
  <si>
    <t>006-002-000154907</t>
  </si>
  <si>
    <t>Cocina GZC 75330 XBB</t>
  </si>
  <si>
    <t>Microondas ML 820 BIS</t>
  </si>
  <si>
    <t>Horno HLB 840 SS</t>
  </si>
  <si>
    <t>Campana GFH 73</t>
  </si>
  <si>
    <t>Lavavajillas DFI 469000</t>
  </si>
  <si>
    <t>ZP234L00149</t>
  </si>
  <si>
    <t>TP234004207</t>
  </si>
  <si>
    <t>TZ235K18543</t>
  </si>
  <si>
    <t>TP233W08643</t>
  </si>
  <si>
    <t>W232800162</t>
  </si>
  <si>
    <t>Mayte Velez</t>
  </si>
  <si>
    <t>Del Onix y Cultura Chaullabamba</t>
  </si>
  <si>
    <t>1720187333</t>
  </si>
  <si>
    <t>maytevelezg98@gmail.com</t>
  </si>
  <si>
    <t>003-104-000030323</t>
  </si>
  <si>
    <t>TZ235615615</t>
  </si>
  <si>
    <t>Boris Albornoz</t>
  </si>
  <si>
    <t>Mariana de Jesus D 32 OEGA</t>
  </si>
  <si>
    <t>0102275419</t>
  </si>
  <si>
    <t>balborno@hotmail.com</t>
  </si>
  <si>
    <t>W233800640</t>
  </si>
  <si>
    <t>001-101-000002511</t>
  </si>
  <si>
    <t>TP235C09518</t>
  </si>
  <si>
    <t>Monica Garcia</t>
  </si>
  <si>
    <t>0104814199</t>
  </si>
  <si>
    <t>asesoriagarciac@gmail.com</t>
  </si>
  <si>
    <t>TP235015594</t>
  </si>
  <si>
    <t>PX22CC00751</t>
  </si>
  <si>
    <t>ZP236700465</t>
  </si>
  <si>
    <t>001-500-000059197</t>
  </si>
  <si>
    <t>TP22C205646</t>
  </si>
  <si>
    <t>Michelle Diaz</t>
  </si>
  <si>
    <t xml:space="preserve">Federico Chopin y Bethoven </t>
  </si>
  <si>
    <t>0105384135</t>
  </si>
  <si>
    <t>arqmichellediazl@gmail.com</t>
  </si>
  <si>
    <t>TZ233E12967</t>
  </si>
  <si>
    <t>001-500-000058159</t>
  </si>
  <si>
    <t>ZP231P00484</t>
  </si>
  <si>
    <t>Jonnatan Peñaranda</t>
  </si>
  <si>
    <t>Ciudadela de las Orquideas</t>
  </si>
  <si>
    <t>0302639745</t>
  </si>
  <si>
    <t>Campana C610</t>
  </si>
  <si>
    <t>TP222204407</t>
  </si>
  <si>
    <t>Vinera RVF10032GBK</t>
  </si>
  <si>
    <t>XH232A00009</t>
  </si>
  <si>
    <t>Eduardo Flores</t>
  </si>
  <si>
    <t>edu.floresvera.abogados@gmail.com</t>
  </si>
  <si>
    <t>Cambio de Producto</t>
  </si>
  <si>
    <t>Actuador Neumatico Trabado</t>
  </si>
  <si>
    <t>Triturador TR 510.1</t>
  </si>
  <si>
    <t>110315AF0153</t>
  </si>
  <si>
    <t>Juan Vicuña</t>
  </si>
  <si>
    <t>Se ajusta mecanismo</t>
  </si>
  <si>
    <t>CO225R00749</t>
  </si>
  <si>
    <t>Almacenes Luna Pazmiño</t>
  </si>
  <si>
    <t>Av. Loja y Pichincha</t>
  </si>
  <si>
    <t>KYWI</t>
  </si>
  <si>
    <t>T-BBQ 3100 GBK</t>
  </si>
  <si>
    <t>CO224J0033</t>
  </si>
  <si>
    <t>CO224J00740</t>
  </si>
  <si>
    <t>CO225R00742</t>
  </si>
  <si>
    <t>Javier Patiño</t>
  </si>
  <si>
    <t>Ricaurte</t>
  </si>
  <si>
    <t>CAPELO - ENERO 2024</t>
  </si>
  <si>
    <t>CAPELO  ENERO 2024</t>
  </si>
  <si>
    <t>CAPELO ENERO 2024</t>
  </si>
  <si>
    <t>ENERO 2024</t>
  </si>
  <si>
    <t>Al 20 DE ENERO 2024</t>
  </si>
  <si>
    <t>CO224J00763</t>
  </si>
  <si>
    <t>SUKASA</t>
  </si>
  <si>
    <t>YH232A00082</t>
  </si>
  <si>
    <t>Sukasa Wayra</t>
  </si>
  <si>
    <t>Cocina FSBR5966G5X</t>
  </si>
  <si>
    <t>1222 045336</t>
  </si>
  <si>
    <t>CO224J000372</t>
  </si>
  <si>
    <t xml:space="preserve">Llamada Almacen </t>
  </si>
  <si>
    <t>kywi</t>
  </si>
  <si>
    <t>Campana C710</t>
  </si>
  <si>
    <t>112580058</t>
  </si>
  <si>
    <t>ZP23AC00427</t>
  </si>
  <si>
    <t>Jhon Zumba</t>
  </si>
  <si>
    <t>Cdla El Paraiso</t>
  </si>
  <si>
    <t>diani9zumba@gmail.com</t>
  </si>
  <si>
    <t>40211501</t>
  </si>
  <si>
    <t>Cocina EFX 70.1 5G AI</t>
  </si>
  <si>
    <t>ZP221M00007</t>
  </si>
  <si>
    <t>Yolanda Gomez</t>
  </si>
  <si>
    <t>Mercado 27 de Febrero</t>
  </si>
  <si>
    <t>agravaaustrojp@gmail.com</t>
  </si>
  <si>
    <t>41560124</t>
  </si>
  <si>
    <t>Horno HSB 615 SS</t>
  </si>
  <si>
    <t>TZ234T22334</t>
  </si>
  <si>
    <t>Klever Salazar</t>
  </si>
  <si>
    <t>Av. De los Migrantes</t>
  </si>
  <si>
    <t>nandosalazars@hotmail.com</t>
  </si>
  <si>
    <t>41560142</t>
  </si>
  <si>
    <t>Horno HSB 635 SS</t>
  </si>
  <si>
    <t>TZ229F15384</t>
  </si>
  <si>
    <t xml:space="preserve">Fanny Aleman </t>
  </si>
  <si>
    <t>Samanes 7</t>
  </si>
  <si>
    <t>fannyaleman@yahoo.com</t>
  </si>
  <si>
    <t>40480321</t>
  </si>
  <si>
    <t>PX22BG00606</t>
  </si>
  <si>
    <t>0411305</t>
  </si>
  <si>
    <t>Jorge Alberto Amaza</t>
  </si>
  <si>
    <t>Tarqui</t>
  </si>
  <si>
    <t>113430016</t>
  </si>
  <si>
    <t>Refrigeradora RFD 77820 GBK</t>
  </si>
  <si>
    <t>MC234F00048</t>
  </si>
  <si>
    <t>Andres Ambrosi</t>
  </si>
  <si>
    <t>andresambrosi@hotmail.com</t>
  </si>
  <si>
    <t>40467306</t>
  </si>
  <si>
    <t>TP237T04966</t>
  </si>
  <si>
    <t>Celso Tisuna</t>
  </si>
  <si>
    <t>Mutualista Azuay</t>
  </si>
  <si>
    <t>001-500-000057053</t>
  </si>
  <si>
    <t>40584305</t>
  </si>
  <si>
    <t>TP235C09531</t>
  </si>
  <si>
    <t>Cesar Palacios</t>
  </si>
  <si>
    <t>Paseo de los Cañaris</t>
  </si>
  <si>
    <t>cesarpalaciosr@hotmail.com</t>
  </si>
  <si>
    <t>113430018</t>
  </si>
  <si>
    <t>Refrigeradora RLF 74920</t>
  </si>
  <si>
    <t>MC232R00020</t>
  </si>
  <si>
    <t>Julia Sarmiento</t>
  </si>
  <si>
    <t>Monay Baguanchi</t>
  </si>
  <si>
    <t>juliasarmiento57@hotmail.com</t>
  </si>
  <si>
    <t>006-002-000154171</t>
  </si>
  <si>
    <t>112570126</t>
  </si>
  <si>
    <t>ZP236700439</t>
  </si>
  <si>
    <t>04030070</t>
  </si>
  <si>
    <t>Pablo Torres</t>
  </si>
  <si>
    <t>arq-pablotl@yahoo.com</t>
  </si>
  <si>
    <t>016-902-000450869</t>
  </si>
  <si>
    <t>40466110</t>
  </si>
  <si>
    <t>Campana C910</t>
  </si>
  <si>
    <t>TP232N04025</t>
  </si>
  <si>
    <t>Ximena Campoverde</t>
  </si>
  <si>
    <t>Urb. Los Capulies</t>
  </si>
  <si>
    <t>ximenacampoverde@hotmail.com</t>
  </si>
  <si>
    <t>016-902-000450912</t>
  </si>
  <si>
    <t>40467320</t>
  </si>
  <si>
    <t>Campana C7310</t>
  </si>
  <si>
    <t>TP237E07565</t>
  </si>
  <si>
    <t>0410532</t>
  </si>
  <si>
    <t>Paulina Jarrin</t>
  </si>
  <si>
    <t>Ramona Cordero</t>
  </si>
  <si>
    <t>pjarrin@gmail.com</t>
  </si>
  <si>
    <t>016-906-0001036648</t>
  </si>
  <si>
    <t>112930045</t>
  </si>
  <si>
    <t>Campana DLV 98660 TRL</t>
  </si>
  <si>
    <t>TP233805544</t>
  </si>
  <si>
    <t>Edison Barbecho</t>
  </si>
  <si>
    <t>40297052</t>
  </si>
  <si>
    <t>Cocina FS13RL96666X</t>
  </si>
  <si>
    <t>SVQ06WIX0ATQ</t>
  </si>
  <si>
    <t>Bertha Vazquez</t>
  </si>
  <si>
    <t>Imbabura 4-76</t>
  </si>
  <si>
    <t>berthavazquez-1945@hotmail.com</t>
  </si>
  <si>
    <t>006-002-000151642</t>
  </si>
  <si>
    <t>112570128</t>
  </si>
  <si>
    <t>ZP224900019</t>
  </si>
  <si>
    <t>Pablo Reiban</t>
  </si>
  <si>
    <t>El Valle</t>
  </si>
  <si>
    <t>paxare1@hotmail.com</t>
  </si>
  <si>
    <t>040-103-000001444</t>
  </si>
  <si>
    <t>002-101-000096821</t>
  </si>
  <si>
    <t>Alm España</t>
  </si>
  <si>
    <t>001-501-000050596</t>
  </si>
  <si>
    <t>002-109-000027033</t>
  </si>
  <si>
    <t>008-501-000007583</t>
  </si>
  <si>
    <t>Megamaxi</t>
  </si>
  <si>
    <t>242-129-000000667</t>
  </si>
  <si>
    <t>001-500-000059219</t>
  </si>
  <si>
    <t>040-103-000001880</t>
  </si>
  <si>
    <t>002-103-000009817</t>
  </si>
  <si>
    <t>Encendido Electrico no Funciona</t>
  </si>
  <si>
    <t>Horno HSB 750G</t>
  </si>
  <si>
    <t>TZ225606693</t>
  </si>
  <si>
    <t>Fernanda Zamora</t>
  </si>
  <si>
    <t>Se Cambia Bujia</t>
  </si>
  <si>
    <t>Se chequea en Almacen</t>
  </si>
  <si>
    <t>1 Producto</t>
  </si>
  <si>
    <t xml:space="preserve">Promocion </t>
  </si>
  <si>
    <t>Ronal Mendoza</t>
  </si>
  <si>
    <t>Almacen</t>
  </si>
  <si>
    <t>Armado</t>
  </si>
  <si>
    <t>Bolivar y 10 de Agosto</t>
  </si>
  <si>
    <t>Garantia</t>
  </si>
  <si>
    <t>YH232A00009</t>
  </si>
  <si>
    <t>220315AF0153</t>
  </si>
  <si>
    <t>Maria Fernanda Zamora</t>
  </si>
  <si>
    <t>0104639042</t>
  </si>
  <si>
    <t>vinera</t>
  </si>
  <si>
    <t>triturador</t>
  </si>
  <si>
    <t>horno a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</si>
</sst>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dd\-mm\-yy;@"/>
    <numFmt numFmtId="165" formatCode="dd/mm/yyyy;@"/>
    <numFmt numFmtId="166" formatCode="mm/yy"/>
    <numFmt numFmtId="167" formatCode="dd/mm/yy"/>
    <numFmt numFmtId="168" formatCode="&quot;$&quot;#,##0.00"/>
    <numFmt numFmtId="169" formatCode="dd/mm/yy;@"/>
    <numFmt numFmtId="170" formatCode="00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8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  <charset val="1"/>
    </font>
    <font>
      <b/>
      <sz val="7"/>
      <name val="Calibri"/>
      <family val="2"/>
      <charset val="1"/>
    </font>
    <font>
      <sz val="9"/>
      <color indexed="63"/>
      <name val="Gothic sans-serif"/>
      <charset val="1"/>
    </font>
    <font>
      <sz val="10"/>
      <color indexed="63"/>
      <name val="Arial"/>
      <family val="2"/>
      <charset val="1"/>
    </font>
    <font>
      <b/>
      <sz val="9"/>
      <color indexed="63"/>
      <name val="Gothic sans-serif"/>
      <charset val="1"/>
    </font>
    <font>
      <b/>
      <sz val="11"/>
      <color indexed="8"/>
      <name val="Calibri"/>
      <family val="2"/>
    </font>
    <font>
      <b/>
      <sz val="12"/>
      <color indexed="8"/>
      <name val="Calibri"/>
      <family val="2"/>
      <charset val="1"/>
    </font>
    <font>
      <b/>
      <sz val="8"/>
      <color indexed="9"/>
      <name val="Arial"/>
      <family val="2"/>
      <charset val="1"/>
    </font>
    <font>
      <b/>
      <sz val="7"/>
      <color indexed="9"/>
      <name val="Arial"/>
      <family val="2"/>
      <charset val="1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  <charset val="1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Arial"/>
      <family val="2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name val="Calibri"/>
      <family val="2"/>
      <charset val="1"/>
    </font>
    <font>
      <b/>
      <sz val="8"/>
      <color indexed="9"/>
      <name val="Calibri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u/>
      <sz val="12.65"/>
      <color theme="10"/>
      <name val="Calibri"/>
      <family val="2"/>
    </font>
    <font>
      <b/>
      <sz val="12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1D222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6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3" fillId="0" borderId="0"/>
    <xf numFmtId="0" fontId="3" fillId="4" borderId="0">
      <alignment horizontal="left"/>
    </xf>
    <xf numFmtId="0" fontId="3" fillId="0" borderId="0"/>
    <xf numFmtId="0" fontId="1" fillId="0" borderId="0"/>
    <xf numFmtId="0" fontId="1" fillId="0" borderId="0"/>
    <xf numFmtId="0" fontId="1" fillId="0" borderId="0"/>
    <xf numFmtId="43" fontId="47" fillId="0" borderId="0" applyFont="0" applyFill="0" applyBorder="0" applyAlignment="0" applyProtection="0"/>
    <xf numFmtId="0" fontId="47" fillId="0" borderId="0"/>
    <xf numFmtId="0" fontId="54" fillId="0" borderId="0" applyNumberFormat="0" applyFill="0" applyBorder="0" applyAlignment="0" applyProtection="0">
      <alignment vertical="top"/>
      <protection locked="0"/>
    </xf>
  </cellStyleXfs>
  <cellXfs count="262">
    <xf numFmtId="0" fontId="0" fillId="0" borderId="0" xfId="0"/>
    <xf numFmtId="0" fontId="3" fillId="0" borderId="0" xfId="2" applyAlignment="1">
      <alignment horizontal="left"/>
    </xf>
    <xf numFmtId="0" fontId="4" fillId="0" borderId="0" xfId="2" applyFont="1" applyAlignment="1">
      <alignment vertical="center"/>
    </xf>
    <xf numFmtId="0" fontId="5" fillId="0" borderId="0" xfId="2" applyFont="1"/>
    <xf numFmtId="0" fontId="6" fillId="0" borderId="1" xfId="2" applyFont="1" applyBorder="1" applyAlignment="1">
      <alignment vertical="center"/>
    </xf>
    <xf numFmtId="0" fontId="7" fillId="0" borderId="0" xfId="2" applyFont="1" applyAlignment="1">
      <alignment horizontal="left"/>
    </xf>
    <xf numFmtId="0" fontId="3" fillId="0" borderId="0" xfId="2"/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10" fillId="0" borderId="0" xfId="0" applyFont="1"/>
    <xf numFmtId="164" fontId="10" fillId="3" borderId="5" xfId="0" applyNumberFormat="1" applyFont="1" applyFill="1" applyBorder="1" applyAlignment="1">
      <alignment horizontal="left" wrapText="1"/>
    </xf>
    <xf numFmtId="165" fontId="10" fillId="3" borderId="5" xfId="0" applyNumberFormat="1" applyFont="1" applyFill="1" applyBorder="1" applyAlignment="1">
      <alignment wrapText="1"/>
    </xf>
    <xf numFmtId="0" fontId="10" fillId="3" borderId="5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horizontal="left" wrapText="1"/>
    </xf>
    <xf numFmtId="0" fontId="11" fillId="3" borderId="5" xfId="0" applyFont="1" applyFill="1" applyBorder="1" applyAlignment="1">
      <alignment horizontal="left" wrapText="1"/>
    </xf>
    <xf numFmtId="0" fontId="10" fillId="0" borderId="5" xfId="0" applyFont="1" applyBorder="1" applyAlignment="1">
      <alignment wrapText="1"/>
    </xf>
    <xf numFmtId="4" fontId="11" fillId="3" borderId="5" xfId="0" applyNumberFormat="1" applyFont="1" applyFill="1" applyBorder="1" applyAlignment="1">
      <alignment horizontal="right" wrapText="1"/>
    </xf>
    <xf numFmtId="49" fontId="10" fillId="3" borderId="5" xfId="0" applyNumberFormat="1" applyFont="1" applyFill="1" applyBorder="1" applyAlignment="1">
      <alignment wrapText="1"/>
    </xf>
    <xf numFmtId="0" fontId="10" fillId="0" borderId="5" xfId="0" applyFont="1" applyBorder="1"/>
    <xf numFmtId="49" fontId="10" fillId="3" borderId="5" xfId="0" applyNumberFormat="1" applyFont="1" applyFill="1" applyBorder="1" applyAlignment="1">
      <alignment horizontal="left"/>
    </xf>
    <xf numFmtId="49" fontId="12" fillId="3" borderId="5" xfId="1" applyNumberFormat="1" applyFont="1" applyFill="1" applyBorder="1" applyAlignment="1" applyProtection="1"/>
    <xf numFmtId="166" fontId="14" fillId="0" borderId="0" xfId="3" applyNumberFormat="1" applyFont="1"/>
    <xf numFmtId="167" fontId="3" fillId="4" borderId="0" xfId="4" applyNumberFormat="1">
      <alignment horizontal="left"/>
    </xf>
    <xf numFmtId="0" fontId="3" fillId="4" borderId="0" xfId="4">
      <alignment horizontal="left"/>
    </xf>
    <xf numFmtId="14" fontId="3" fillId="4" borderId="0" xfId="4" applyNumberFormat="1">
      <alignment horizontal="left"/>
    </xf>
    <xf numFmtId="2" fontId="3" fillId="4" borderId="0" xfId="4" applyNumberFormat="1">
      <alignment horizontal="left"/>
    </xf>
    <xf numFmtId="0" fontId="15" fillId="4" borderId="0" xfId="4" applyFont="1" applyAlignment="1">
      <alignment vertical="center"/>
    </xf>
    <xf numFmtId="0" fontId="16" fillId="4" borderId="0" xfId="4" applyFont="1" applyAlignment="1"/>
    <xf numFmtId="14" fontId="16" fillId="4" borderId="0" xfId="4" applyNumberFormat="1" applyFont="1">
      <alignment horizontal="left"/>
    </xf>
    <xf numFmtId="2" fontId="16" fillId="4" borderId="0" xfId="4" applyNumberFormat="1" applyFont="1">
      <alignment horizontal="left"/>
    </xf>
    <xf numFmtId="167" fontId="16" fillId="4" borderId="0" xfId="4" applyNumberFormat="1" applyFont="1">
      <alignment horizontal="left"/>
    </xf>
    <xf numFmtId="0" fontId="17" fillId="4" borderId="0" xfId="4" applyFont="1" applyAlignment="1">
      <alignment vertical="center"/>
    </xf>
    <xf numFmtId="0" fontId="3" fillId="4" borderId="0" xfId="4" applyAlignment="1"/>
    <xf numFmtId="0" fontId="18" fillId="4" borderId="0" xfId="4" applyFont="1" applyAlignment="1"/>
    <xf numFmtId="0" fontId="19" fillId="4" borderId="0" xfId="4" applyFont="1">
      <alignment horizontal="left"/>
    </xf>
    <xf numFmtId="167" fontId="20" fillId="5" borderId="6" xfId="4" applyNumberFormat="1" applyFont="1" applyFill="1" applyBorder="1" applyAlignment="1">
      <alignment horizontal="left" vertical="center" wrapText="1"/>
    </xf>
    <xf numFmtId="0" fontId="20" fillId="5" borderId="6" xfId="4" applyFont="1" applyFill="1" applyBorder="1" applyAlignment="1">
      <alignment horizontal="left" vertical="center" wrapText="1"/>
    </xf>
    <xf numFmtId="0" fontId="21" fillId="5" borderId="6" xfId="4" applyFont="1" applyFill="1" applyBorder="1" applyAlignment="1">
      <alignment horizontal="left" vertical="center" wrapText="1"/>
    </xf>
    <xf numFmtId="2" fontId="21" fillId="5" borderId="6" xfId="4" applyNumberFormat="1" applyFont="1" applyFill="1" applyBorder="1" applyAlignment="1">
      <alignment horizontal="left" vertical="center" wrapText="1"/>
    </xf>
    <xf numFmtId="0" fontId="22" fillId="0" borderId="0" xfId="2" applyFont="1"/>
    <xf numFmtId="0" fontId="22" fillId="0" borderId="5" xfId="2" applyFont="1" applyBorder="1" applyAlignment="1">
      <alignment horizontal="left"/>
    </xf>
    <xf numFmtId="0" fontId="25" fillId="0" borderId="0" xfId="0" applyFont="1" applyAlignment="1">
      <alignment horizontal="left"/>
    </xf>
    <xf numFmtId="4" fontId="26" fillId="0" borderId="0" xfId="0" applyNumberFormat="1" applyFont="1"/>
    <xf numFmtId="0" fontId="27" fillId="0" borderId="0" xfId="0" applyFont="1" applyAlignment="1">
      <alignment horizontal="left" vertical="center"/>
    </xf>
    <xf numFmtId="0" fontId="28" fillId="0" borderId="0" xfId="0" applyFont="1"/>
    <xf numFmtId="2" fontId="25" fillId="0" borderId="0" xfId="0" applyNumberFormat="1" applyFont="1" applyAlignment="1">
      <alignment horizontal="left"/>
    </xf>
    <xf numFmtId="0" fontId="25" fillId="0" borderId="0" xfId="0" applyFont="1" applyAlignment="1">
      <alignment horizontal="right"/>
    </xf>
    <xf numFmtId="0" fontId="29" fillId="0" borderId="0" xfId="0" applyFont="1"/>
    <xf numFmtId="49" fontId="29" fillId="0" borderId="0" xfId="0" applyNumberFormat="1" applyFont="1" applyAlignment="1">
      <alignment horizontal="left"/>
    </xf>
    <xf numFmtId="1" fontId="25" fillId="0" borderId="0" xfId="0" applyNumberFormat="1" applyFont="1"/>
    <xf numFmtId="2" fontId="30" fillId="0" borderId="0" xfId="0" applyNumberFormat="1" applyFont="1" applyAlignment="1">
      <alignment horizontal="right"/>
    </xf>
    <xf numFmtId="0" fontId="25" fillId="0" borderId="0" xfId="0" applyFont="1" applyAlignment="1">
      <alignment horizontal="center"/>
    </xf>
    <xf numFmtId="4" fontId="31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/>
    </xf>
    <xf numFmtId="49" fontId="25" fillId="0" borderId="0" xfId="0" applyNumberFormat="1" applyFont="1"/>
    <xf numFmtId="0" fontId="32" fillId="0" borderId="0" xfId="0" applyFont="1" applyAlignment="1">
      <alignment horizontal="left"/>
    </xf>
    <xf numFmtId="17" fontId="30" fillId="0" borderId="0" xfId="0" applyNumberFormat="1" applyFont="1" applyAlignment="1">
      <alignment horizontal="left"/>
    </xf>
    <xf numFmtId="0" fontId="33" fillId="6" borderId="7" xfId="0" applyFont="1" applyFill="1" applyBorder="1" applyAlignment="1">
      <alignment horizontal="left" vertical="center" wrapText="1"/>
    </xf>
    <xf numFmtId="1" fontId="33" fillId="6" borderId="7" xfId="0" applyNumberFormat="1" applyFont="1" applyFill="1" applyBorder="1" applyAlignment="1">
      <alignment horizontal="left" vertical="center" wrapText="1"/>
    </xf>
    <xf numFmtId="2" fontId="33" fillId="6" borderId="7" xfId="0" applyNumberFormat="1" applyFont="1" applyFill="1" applyBorder="1" applyAlignment="1">
      <alignment horizontal="left" vertical="center" wrapText="1"/>
    </xf>
    <xf numFmtId="0" fontId="33" fillId="6" borderId="8" xfId="0" applyFont="1" applyFill="1" applyBorder="1" applyAlignment="1">
      <alignment horizontal="left" vertical="center" wrapText="1"/>
    </xf>
    <xf numFmtId="0" fontId="33" fillId="6" borderId="9" xfId="0" applyFont="1" applyFill="1" applyBorder="1" applyAlignment="1">
      <alignment horizontal="left" vertical="center" wrapText="1"/>
    </xf>
    <xf numFmtId="0" fontId="34" fillId="0" borderId="0" xfId="0" applyFont="1"/>
    <xf numFmtId="0" fontId="0" fillId="0" borderId="0" xfId="0" applyAlignment="1">
      <alignment horizontal="right"/>
    </xf>
    <xf numFmtId="0" fontId="36" fillId="0" borderId="0" xfId="0" applyFont="1" applyAlignment="1">
      <alignment horizontal="right"/>
    </xf>
    <xf numFmtId="4" fontId="37" fillId="0" borderId="0" xfId="0" applyNumberFormat="1" applyFont="1"/>
    <xf numFmtId="0" fontId="3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9" fillId="0" borderId="0" xfId="0" applyFont="1"/>
    <xf numFmtId="49" fontId="39" fillId="0" borderId="0" xfId="0" applyNumberFormat="1" applyFont="1" applyAlignment="1">
      <alignment horizontal="left"/>
    </xf>
    <xf numFmtId="1" fontId="0" fillId="0" borderId="0" xfId="0" applyNumberFormat="1"/>
    <xf numFmtId="2" fontId="40" fillId="0" borderId="0" xfId="0" applyNumberFormat="1" applyFont="1" applyAlignment="1">
      <alignment horizontal="right" indent="1"/>
    </xf>
    <xf numFmtId="4" fontId="41" fillId="0" borderId="0" xfId="0" applyNumberFormat="1" applyFont="1" applyAlignment="1">
      <alignment horizontal="left" vertical="center"/>
    </xf>
    <xf numFmtId="0" fontId="42" fillId="0" borderId="0" xfId="5" applyFont="1"/>
    <xf numFmtId="0" fontId="24" fillId="4" borderId="0" xfId="4" applyFont="1" applyAlignment="1">
      <alignment horizontal="center" vertical="center"/>
    </xf>
    <xf numFmtId="1" fontId="24" fillId="4" borderId="0" xfId="4" applyNumberFormat="1" applyFont="1" applyAlignment="1">
      <alignment horizontal="right" vertical="center"/>
    </xf>
    <xf numFmtId="1" fontId="24" fillId="4" borderId="0" xfId="4" applyNumberFormat="1" applyFont="1" applyAlignment="1">
      <alignment horizontal="center" vertical="center"/>
    </xf>
    <xf numFmtId="2" fontId="24" fillId="4" borderId="0" xfId="4" applyNumberFormat="1" applyFont="1" applyAlignment="1">
      <alignment vertical="center"/>
    </xf>
    <xf numFmtId="49" fontId="0" fillId="0" borderId="0" xfId="0" quotePrefix="1" applyNumberFormat="1"/>
    <xf numFmtId="17" fontId="40" fillId="0" borderId="0" xfId="0" quotePrefix="1" applyNumberFormat="1" applyFont="1" applyAlignment="1">
      <alignment horizontal="left"/>
    </xf>
    <xf numFmtId="0" fontId="40" fillId="0" borderId="0" xfId="0" applyFont="1" applyAlignment="1">
      <alignment horizontal="right"/>
    </xf>
    <xf numFmtId="0" fontId="43" fillId="9" borderId="12" xfId="0" applyFont="1" applyFill="1" applyBorder="1" applyAlignment="1">
      <alignment horizontal="center" vertical="center" wrapText="1"/>
    </xf>
    <xf numFmtId="0" fontId="43" fillId="9" borderId="12" xfId="0" applyFont="1" applyFill="1" applyBorder="1" applyAlignment="1">
      <alignment vertical="center" wrapText="1"/>
    </xf>
    <xf numFmtId="0" fontId="43" fillId="9" borderId="12" xfId="0" applyFont="1" applyFill="1" applyBorder="1" applyAlignment="1">
      <alignment horizontal="left" vertical="center" wrapText="1"/>
    </xf>
    <xf numFmtId="1" fontId="43" fillId="9" borderId="12" xfId="0" applyNumberFormat="1" applyFont="1" applyFill="1" applyBorder="1" applyAlignment="1">
      <alignment vertical="center" wrapText="1"/>
    </xf>
    <xf numFmtId="2" fontId="43" fillId="9" borderId="12" xfId="0" applyNumberFormat="1" applyFont="1" applyFill="1" applyBorder="1" applyAlignment="1">
      <alignment horizontal="right" vertical="center" wrapText="1"/>
    </xf>
    <xf numFmtId="0" fontId="44" fillId="0" borderId="0" xfId="0" applyFont="1"/>
    <xf numFmtId="0" fontId="22" fillId="0" borderId="0" xfId="0" applyFont="1" applyAlignment="1">
      <alignment horizontal="right"/>
    </xf>
    <xf numFmtId="164" fontId="22" fillId="10" borderId="5" xfId="0" applyNumberFormat="1" applyFont="1" applyFill="1" applyBorder="1" applyAlignment="1">
      <alignment horizontal="center"/>
    </xf>
    <xf numFmtId="0" fontId="22" fillId="10" borderId="5" xfId="0" applyFont="1" applyFill="1" applyBorder="1" applyAlignment="1">
      <alignment horizontal="center"/>
    </xf>
    <xf numFmtId="0" fontId="22" fillId="10" borderId="5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left"/>
    </xf>
    <xf numFmtId="49" fontId="22" fillId="10" borderId="5" xfId="0" applyNumberFormat="1" applyFont="1" applyFill="1" applyBorder="1" applyAlignment="1">
      <alignment horizontal="center"/>
    </xf>
    <xf numFmtId="1" fontId="22" fillId="10" borderId="5" xfId="0" applyNumberFormat="1" applyFont="1" applyFill="1" applyBorder="1" applyAlignment="1">
      <alignment horizontal="left"/>
    </xf>
    <xf numFmtId="2" fontId="22" fillId="10" borderId="5" xfId="0" applyNumberFormat="1" applyFont="1" applyFill="1" applyBorder="1"/>
    <xf numFmtId="168" fontId="22" fillId="10" borderId="5" xfId="0" applyNumberFormat="1" applyFont="1" applyFill="1" applyBorder="1" applyAlignment="1">
      <alignment horizontal="center"/>
    </xf>
    <xf numFmtId="49" fontId="28" fillId="3" borderId="0" xfId="0" applyNumberFormat="1" applyFont="1" applyFill="1" applyAlignment="1">
      <alignment horizontal="left" wrapText="1"/>
    </xf>
    <xf numFmtId="49" fontId="2" fillId="3" borderId="0" xfId="1" applyNumberFormat="1" applyFill="1" applyBorder="1" applyAlignment="1" applyProtection="1"/>
    <xf numFmtId="0" fontId="0" fillId="0" borderId="0" xfId="0" applyAlignment="1">
      <alignment wrapText="1"/>
    </xf>
    <xf numFmtId="2" fontId="0" fillId="0" borderId="0" xfId="0" applyNumberFormat="1"/>
    <xf numFmtId="4" fontId="41" fillId="0" borderId="0" xfId="6" applyNumberFormat="1" applyFont="1" applyAlignment="1">
      <alignment horizontal="left"/>
    </xf>
    <xf numFmtId="0" fontId="45" fillId="0" borderId="0" xfId="6" applyFont="1" applyAlignment="1">
      <alignment horizontal="center"/>
    </xf>
    <xf numFmtId="0" fontId="46" fillId="0" borderId="0" xfId="6" applyFont="1" applyAlignment="1">
      <alignment vertical="center"/>
    </xf>
    <xf numFmtId="0" fontId="45" fillId="0" borderId="0" xfId="6" applyFont="1"/>
    <xf numFmtId="2" fontId="47" fillId="0" borderId="0" xfId="6" applyNumberFormat="1" applyFont="1" applyAlignment="1">
      <alignment horizontal="left"/>
    </xf>
    <xf numFmtId="0" fontId="48" fillId="0" borderId="0" xfId="0" applyFont="1"/>
    <xf numFmtId="4" fontId="41" fillId="0" borderId="0" xfId="6" applyNumberFormat="1" applyFont="1" applyAlignment="1">
      <alignment horizontal="left" vertical="center"/>
    </xf>
    <xf numFmtId="0" fontId="47" fillId="0" borderId="0" xfId="6" applyFont="1" applyAlignment="1">
      <alignment horizontal="center"/>
    </xf>
    <xf numFmtId="0" fontId="47" fillId="0" borderId="0" xfId="6" applyFont="1"/>
    <xf numFmtId="169" fontId="48" fillId="0" borderId="13" xfId="7" applyNumberFormat="1" applyFont="1" applyBorder="1" applyAlignment="1">
      <alignment horizontal="left"/>
    </xf>
    <xf numFmtId="0" fontId="48" fillId="0" borderId="14" xfId="7" applyFont="1" applyBorder="1" applyAlignment="1">
      <alignment horizontal="left"/>
    </xf>
    <xf numFmtId="0" fontId="49" fillId="0" borderId="14" xfId="7" applyFont="1" applyBorder="1" applyAlignment="1">
      <alignment horizontal="left"/>
    </xf>
    <xf numFmtId="0" fontId="50" fillId="0" borderId="14" xfId="7" applyFont="1" applyBorder="1" applyAlignment="1">
      <alignment horizontal="left" readingOrder="1"/>
    </xf>
    <xf numFmtId="0" fontId="51" fillId="0" borderId="14" xfId="7" applyFont="1" applyBorder="1" applyAlignment="1">
      <alignment horizontal="left"/>
    </xf>
    <xf numFmtId="17" fontId="52" fillId="0" borderId="14" xfId="7" applyNumberFormat="1" applyFont="1" applyBorder="1" applyAlignment="1">
      <alignment horizontal="left"/>
    </xf>
    <xf numFmtId="0" fontId="47" fillId="0" borderId="14" xfId="7" applyFont="1" applyBorder="1" applyAlignment="1">
      <alignment horizontal="left"/>
    </xf>
    <xf numFmtId="49" fontId="45" fillId="0" borderId="15" xfId="7" applyNumberFormat="1" applyFont="1" applyBorder="1" applyAlignment="1">
      <alignment horizontal="left"/>
    </xf>
    <xf numFmtId="169" fontId="48" fillId="0" borderId="16" xfId="7" applyNumberFormat="1" applyFont="1" applyBorder="1" applyAlignment="1">
      <alignment horizontal="left"/>
    </xf>
    <xf numFmtId="0" fontId="48" fillId="0" borderId="0" xfId="7" applyFont="1" applyAlignment="1">
      <alignment horizontal="left"/>
    </xf>
    <xf numFmtId="0" fontId="48" fillId="0" borderId="17" xfId="7" applyFont="1" applyBorder="1" applyAlignment="1">
      <alignment horizontal="left"/>
    </xf>
    <xf numFmtId="169" fontId="48" fillId="0" borderId="18" xfId="7" applyNumberFormat="1" applyFont="1" applyBorder="1" applyAlignment="1">
      <alignment horizontal="left"/>
    </xf>
    <xf numFmtId="0" fontId="48" fillId="0" borderId="19" xfId="7" applyFont="1" applyBorder="1" applyAlignment="1">
      <alignment horizontal="left"/>
    </xf>
    <xf numFmtId="0" fontId="48" fillId="0" borderId="20" xfId="7" applyFont="1" applyBorder="1" applyAlignment="1">
      <alignment horizontal="left"/>
    </xf>
    <xf numFmtId="0" fontId="53" fillId="11" borderId="6" xfId="8" applyFont="1" applyFill="1" applyBorder="1" applyAlignment="1">
      <alignment horizontal="center" wrapText="1"/>
    </xf>
    <xf numFmtId="14" fontId="11" fillId="0" borderId="5" xfId="8" applyNumberFormat="1" applyFont="1" applyBorder="1" applyAlignment="1">
      <alignment horizontal="left" vertical="top"/>
    </xf>
    <xf numFmtId="0" fontId="11" fillId="0" borderId="5" xfId="8" applyFont="1" applyBorder="1" applyAlignment="1">
      <alignment horizontal="center" vertical="top"/>
    </xf>
    <xf numFmtId="0" fontId="11" fillId="0" borderId="5" xfId="8" applyFont="1" applyBorder="1" applyAlignment="1">
      <alignment horizontal="left" vertical="top"/>
    </xf>
    <xf numFmtId="0" fontId="11" fillId="0" borderId="5" xfId="8" applyFont="1" applyBorder="1" applyAlignment="1">
      <alignment vertical="top"/>
    </xf>
    <xf numFmtId="0" fontId="11" fillId="0" borderId="5" xfId="8" quotePrefix="1" applyFont="1" applyBorder="1" applyAlignment="1">
      <alignment horizontal="left" vertical="top"/>
    </xf>
    <xf numFmtId="0" fontId="9" fillId="2" borderId="0" xfId="2" applyFont="1" applyFill="1" applyAlignment="1">
      <alignment vertical="center" wrapText="1"/>
    </xf>
    <xf numFmtId="49" fontId="22" fillId="10" borderId="5" xfId="0" applyNumberFormat="1" applyFont="1" applyFill="1" applyBorder="1" applyAlignment="1">
      <alignment horizontal="left"/>
    </xf>
    <xf numFmtId="49" fontId="2" fillId="10" borderId="5" xfId="1" applyNumberFormat="1" applyFill="1" applyBorder="1" applyAlignment="1">
      <alignment horizontal="center"/>
    </xf>
    <xf numFmtId="0" fontId="2" fillId="0" borderId="5" xfId="1" applyBorder="1" applyAlignment="1">
      <alignment horizontal="left" vertical="top"/>
    </xf>
    <xf numFmtId="14" fontId="11" fillId="3" borderId="5" xfId="8" applyNumberFormat="1" applyFont="1" applyFill="1" applyBorder="1" applyAlignment="1">
      <alignment horizontal="left" vertical="top"/>
    </xf>
    <xf numFmtId="164" fontId="22" fillId="3" borderId="5" xfId="0" applyNumberFormat="1" applyFont="1" applyFill="1" applyBorder="1" applyAlignment="1">
      <alignment horizontal="center"/>
    </xf>
    <xf numFmtId="17" fontId="7" fillId="0" borderId="0" xfId="2" applyNumberFormat="1" applyFont="1" applyAlignment="1">
      <alignment horizontal="left"/>
    </xf>
    <xf numFmtId="14" fontId="35" fillId="7" borderId="10" xfId="0" applyNumberFormat="1" applyFont="1" applyFill="1" applyBorder="1" applyAlignment="1">
      <alignment horizontal="left" vertical="center"/>
    </xf>
    <xf numFmtId="49" fontId="35" fillId="7" borderId="10" xfId="0" applyNumberFormat="1" applyFont="1" applyFill="1" applyBorder="1" applyAlignment="1">
      <alignment horizontal="left" vertical="center"/>
    </xf>
    <xf numFmtId="0" fontId="35" fillId="7" borderId="10" xfId="0" applyFont="1" applyFill="1" applyBorder="1" applyAlignment="1">
      <alignment horizontal="left" vertical="center"/>
    </xf>
    <xf numFmtId="2" fontId="35" fillId="7" borderId="10" xfId="0" applyNumberFormat="1" applyFont="1" applyFill="1" applyBorder="1" applyAlignment="1">
      <alignment horizontal="left" vertical="center"/>
    </xf>
    <xf numFmtId="0" fontId="35" fillId="8" borderId="10" xfId="0" applyFont="1" applyFill="1" applyBorder="1" applyAlignment="1">
      <alignment horizontal="left" vertical="center"/>
    </xf>
    <xf numFmtId="14" fontId="2" fillId="7" borderId="10" xfId="1" applyNumberFormat="1" applyFill="1" applyBorder="1" applyAlignment="1">
      <alignment horizontal="left" vertical="center"/>
    </xf>
    <xf numFmtId="164" fontId="55" fillId="3" borderId="0" xfId="10" applyNumberFormat="1" applyFont="1" applyFill="1" applyAlignment="1">
      <alignment horizontal="left"/>
    </xf>
    <xf numFmtId="0" fontId="55" fillId="3" borderId="0" xfId="10" applyFont="1" applyFill="1" applyAlignment="1">
      <alignment horizontal="left" wrapText="1"/>
    </xf>
    <xf numFmtId="49" fontId="55" fillId="3" borderId="0" xfId="10" applyNumberFormat="1" applyFont="1" applyFill="1" applyAlignment="1">
      <alignment horizontal="left" wrapText="1"/>
    </xf>
    <xf numFmtId="0" fontId="11" fillId="3" borderId="0" xfId="10" applyFont="1" applyFill="1" applyAlignment="1">
      <alignment horizontal="left" wrapText="1"/>
    </xf>
    <xf numFmtId="164" fontId="11" fillId="3" borderId="0" xfId="10" applyNumberFormat="1" applyFont="1" applyFill="1" applyAlignment="1">
      <alignment horizontal="left" wrapText="1"/>
    </xf>
    <xf numFmtId="49" fontId="11" fillId="3" borderId="0" xfId="10" applyNumberFormat="1" applyFont="1" applyFill="1" applyAlignment="1">
      <alignment horizontal="left" wrapText="1"/>
    </xf>
    <xf numFmtId="170" fontId="23" fillId="3" borderId="0" xfId="0" applyNumberFormat="1" applyFont="1" applyFill="1" applyAlignment="1">
      <alignment horizontal="left" wrapText="1"/>
    </xf>
    <xf numFmtId="170" fontId="11" fillId="3" borderId="0" xfId="10" applyNumberFormat="1" applyFont="1" applyFill="1" applyAlignment="1">
      <alignment horizontal="left" wrapText="1"/>
    </xf>
    <xf numFmtId="164" fontId="55" fillId="3" borderId="12" xfId="10" applyNumberFormat="1" applyFont="1" applyFill="1" applyBorder="1" applyAlignment="1">
      <alignment horizontal="left" wrapText="1"/>
    </xf>
    <xf numFmtId="0" fontId="55" fillId="3" borderId="12" xfId="10" applyFont="1" applyFill="1" applyBorder="1" applyAlignment="1">
      <alignment horizontal="left" wrapText="1"/>
    </xf>
    <xf numFmtId="49" fontId="55" fillId="3" borderId="13" xfId="10" applyNumberFormat="1" applyFont="1" applyFill="1" applyBorder="1" applyAlignment="1">
      <alignment horizontal="left" wrapText="1"/>
    </xf>
    <xf numFmtId="49" fontId="55" fillId="3" borderId="12" xfId="10" applyNumberFormat="1" applyFont="1" applyFill="1" applyBorder="1" applyAlignment="1">
      <alignment horizontal="left" wrapText="1"/>
    </xf>
    <xf numFmtId="170" fontId="55" fillId="3" borderId="15" xfId="10" applyNumberFormat="1" applyFont="1" applyFill="1" applyBorder="1" applyAlignment="1" applyProtection="1">
      <alignment horizontal="left" wrapText="1"/>
      <protection locked="0"/>
    </xf>
    <xf numFmtId="164" fontId="55" fillId="3" borderId="11" xfId="10" applyNumberFormat="1" applyFont="1" applyFill="1" applyBorder="1" applyAlignment="1">
      <alignment horizontal="left" wrapText="1"/>
    </xf>
    <xf numFmtId="0" fontId="55" fillId="3" borderId="11" xfId="10" applyFont="1" applyFill="1" applyBorder="1" applyAlignment="1">
      <alignment horizontal="left" wrapText="1"/>
    </xf>
    <xf numFmtId="49" fontId="55" fillId="3" borderId="16" xfId="10" applyNumberFormat="1" applyFont="1" applyFill="1" applyBorder="1" applyAlignment="1">
      <alignment horizontal="left" wrapText="1"/>
    </xf>
    <xf numFmtId="49" fontId="55" fillId="3" borderId="11" xfId="10" applyNumberFormat="1" applyFont="1" applyFill="1" applyBorder="1" applyAlignment="1">
      <alignment horizontal="left" wrapText="1"/>
    </xf>
    <xf numFmtId="170" fontId="55" fillId="3" borderId="17" xfId="10" applyNumberFormat="1" applyFont="1" applyFill="1" applyBorder="1" applyAlignment="1" applyProtection="1">
      <alignment horizontal="left" wrapText="1"/>
      <protection locked="0"/>
    </xf>
    <xf numFmtId="0" fontId="23" fillId="3" borderId="0" xfId="0" applyFont="1" applyFill="1" applyAlignment="1">
      <alignment horizontal="left" wrapText="1"/>
    </xf>
    <xf numFmtId="0" fontId="11" fillId="3" borderId="12" xfId="10" applyFont="1" applyFill="1" applyBorder="1" applyAlignment="1">
      <alignment horizontal="left" wrapText="1"/>
    </xf>
    <xf numFmtId="0" fontId="55" fillId="3" borderId="15" xfId="10" applyFont="1" applyFill="1" applyBorder="1" applyAlignment="1">
      <alignment horizontal="left" wrapText="1"/>
    </xf>
    <xf numFmtId="0" fontId="55" fillId="3" borderId="13" xfId="10" applyFont="1" applyFill="1" applyBorder="1" applyAlignment="1">
      <alignment horizontal="left" wrapText="1"/>
    </xf>
    <xf numFmtId="49" fontId="55" fillId="3" borderId="15" xfId="10" applyNumberFormat="1" applyFont="1" applyFill="1" applyBorder="1" applyAlignment="1">
      <alignment horizontal="left" wrapText="1"/>
    </xf>
    <xf numFmtId="0" fontId="56" fillId="3" borderId="12" xfId="0" applyFont="1" applyFill="1" applyBorder="1" applyAlignment="1">
      <alignment horizontal="left" wrapText="1"/>
    </xf>
    <xf numFmtId="0" fontId="55" fillId="3" borderId="17" xfId="10" applyFont="1" applyFill="1" applyBorder="1" applyAlignment="1">
      <alignment horizontal="left" wrapText="1"/>
    </xf>
    <xf numFmtId="0" fontId="55" fillId="3" borderId="16" xfId="10" applyFont="1" applyFill="1" applyBorder="1" applyAlignment="1">
      <alignment horizontal="left" wrapText="1"/>
    </xf>
    <xf numFmtId="49" fontId="55" fillId="3" borderId="17" xfId="10" applyNumberFormat="1" applyFont="1" applyFill="1" applyBorder="1" applyAlignment="1">
      <alignment horizontal="left" wrapText="1"/>
    </xf>
    <xf numFmtId="0" fontId="55" fillId="3" borderId="11" xfId="0" applyFont="1" applyFill="1" applyBorder="1" applyAlignment="1">
      <alignment horizontal="left" wrapText="1"/>
    </xf>
    <xf numFmtId="0" fontId="10" fillId="0" borderId="6" xfId="0" applyFont="1" applyBorder="1"/>
    <xf numFmtId="167" fontId="22" fillId="0" borderId="11" xfId="2" applyNumberFormat="1" applyFont="1" applyBorder="1" applyAlignment="1">
      <alignment horizontal="left"/>
    </xf>
    <xf numFmtId="0" fontId="22" fillId="0" borderId="11" xfId="2" applyFont="1" applyBorder="1" applyAlignment="1">
      <alignment horizontal="left"/>
    </xf>
    <xf numFmtId="0" fontId="23" fillId="0" borderId="11" xfId="2" applyFont="1" applyBorder="1" applyAlignment="1">
      <alignment horizontal="left"/>
    </xf>
    <xf numFmtId="0" fontId="23" fillId="3" borderId="11" xfId="2" applyFont="1" applyFill="1" applyBorder="1" applyAlignment="1">
      <alignment horizontal="left"/>
    </xf>
    <xf numFmtId="0" fontId="22" fillId="0" borderId="12" xfId="2" applyFont="1" applyBorder="1" applyAlignment="1">
      <alignment horizontal="left"/>
    </xf>
    <xf numFmtId="14" fontId="22" fillId="3" borderId="12" xfId="2" applyNumberFormat="1" applyFont="1" applyFill="1" applyBorder="1" applyAlignment="1">
      <alignment horizontal="left"/>
    </xf>
    <xf numFmtId="14" fontId="10" fillId="0" borderId="6" xfId="0" applyNumberFormat="1" applyFont="1" applyBorder="1"/>
    <xf numFmtId="2" fontId="22" fillId="0" borderId="11" xfId="2" applyNumberFormat="1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0" fontId="35" fillId="0" borderId="0" xfId="0" applyFont="1" applyAlignment="1">
      <alignment horizontal="left"/>
    </xf>
    <xf numFmtId="0" fontId="10" fillId="0" borderId="6" xfId="0" applyFont="1" applyBorder="1" applyAlignment="1">
      <alignment horizontal="left"/>
    </xf>
    <xf numFmtId="14" fontId="10" fillId="3" borderId="5" xfId="0" applyNumberFormat="1" applyFont="1" applyFill="1" applyBorder="1"/>
    <xf numFmtId="4" fontId="0" fillId="0" borderId="0" xfId="0" applyNumberFormat="1"/>
    <xf numFmtId="14" fontId="22" fillId="3" borderId="12" xfId="2" applyNumberFormat="1" applyFont="1" applyFill="1" applyBorder="1"/>
    <xf numFmtId="0" fontId="22" fillId="0" borderId="12" xfId="2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22" fillId="0" borderId="5" xfId="2" applyFont="1" applyBorder="1" applyAlignment="1">
      <alignment horizontal="right"/>
    </xf>
    <xf numFmtId="0" fontId="35" fillId="3" borderId="0" xfId="0" applyFont="1" applyFill="1" applyAlignment="1">
      <alignment horizontal="left"/>
    </xf>
    <xf numFmtId="0" fontId="23" fillId="12" borderId="0" xfId="0" applyFont="1" applyFill="1" applyAlignment="1">
      <alignment horizontal="right" wrapText="1"/>
    </xf>
    <xf numFmtId="14" fontId="57" fillId="13" borderId="6" xfId="0" applyNumberFormat="1" applyFont="1" applyFill="1" applyBorder="1" applyAlignment="1">
      <alignment horizontal="left" vertical="center"/>
    </xf>
    <xf numFmtId="0" fontId="57" fillId="13" borderId="6" xfId="0" applyFont="1" applyFill="1" applyBorder="1" applyAlignment="1">
      <alignment horizontal="left" vertical="center"/>
    </xf>
    <xf numFmtId="0" fontId="47" fillId="12" borderId="6" xfId="10" applyFill="1" applyBorder="1" applyAlignment="1">
      <alignment horizontal="left" wrapText="1"/>
    </xf>
    <xf numFmtId="0" fontId="57" fillId="12" borderId="6" xfId="0" applyFont="1" applyFill="1" applyBorder="1" applyAlignment="1">
      <alignment horizontal="left"/>
    </xf>
    <xf numFmtId="49" fontId="57" fillId="13" borderId="6" xfId="0" applyNumberFormat="1" applyFont="1" applyFill="1" applyBorder="1" applyAlignment="1">
      <alignment horizontal="left" vertical="center"/>
    </xf>
    <xf numFmtId="49" fontId="45" fillId="12" borderId="6" xfId="10" applyNumberFormat="1" applyFont="1" applyFill="1" applyBorder="1" applyAlignment="1">
      <alignment horizontal="left" wrapText="1"/>
    </xf>
    <xf numFmtId="14" fontId="58" fillId="13" borderId="6" xfId="1" applyNumberFormat="1" applyFont="1" applyFill="1" applyBorder="1" applyAlignment="1">
      <alignment horizontal="left" vertical="center"/>
    </xf>
    <xf numFmtId="0" fontId="57" fillId="14" borderId="6" xfId="0" applyFont="1" applyFill="1" applyBorder="1" applyAlignment="1">
      <alignment horizontal="left" vertical="center"/>
    </xf>
    <xf numFmtId="0" fontId="55" fillId="12" borderId="21" xfId="10" applyFont="1" applyFill="1" applyBorder="1" applyAlignment="1">
      <alignment horizontal="left" wrapText="1"/>
    </xf>
    <xf numFmtId="0" fontId="10" fillId="12" borderId="0" xfId="0" applyFont="1" applyFill="1"/>
    <xf numFmtId="0" fontId="57" fillId="12" borderId="6" xfId="0" applyFont="1" applyFill="1" applyBorder="1" applyAlignment="1">
      <alignment horizontal="left" wrapText="1"/>
    </xf>
    <xf numFmtId="0" fontId="57" fillId="12" borderId="6" xfId="0" quotePrefix="1" applyFont="1" applyFill="1" applyBorder="1" applyAlignment="1">
      <alignment horizontal="left" wrapText="1"/>
    </xf>
    <xf numFmtId="0" fontId="10" fillId="12" borderId="21" xfId="0" applyFont="1" applyFill="1" applyBorder="1" applyAlignment="1">
      <alignment horizontal="left" wrapText="1"/>
    </xf>
    <xf numFmtId="0" fontId="10" fillId="12" borderId="21" xfId="0" applyFont="1" applyFill="1" applyBorder="1" applyAlignment="1">
      <alignment horizontal="left"/>
    </xf>
    <xf numFmtId="0" fontId="23" fillId="15" borderId="0" xfId="0" applyFont="1" applyFill="1" applyAlignment="1">
      <alignment horizontal="right" wrapText="1"/>
    </xf>
    <xf numFmtId="164" fontId="59" fillId="15" borderId="6" xfId="0" applyNumberFormat="1" applyFont="1" applyFill="1" applyBorder="1" applyAlignment="1">
      <alignment horizontal="left"/>
    </xf>
    <xf numFmtId="1" fontId="59" fillId="15" borderId="6" xfId="0" applyNumberFormat="1" applyFont="1" applyFill="1" applyBorder="1" applyAlignment="1">
      <alignment horizontal="left"/>
    </xf>
    <xf numFmtId="0" fontId="59" fillId="15" borderId="6" xfId="0" applyFont="1" applyFill="1" applyBorder="1" applyAlignment="1">
      <alignment horizontal="left"/>
    </xf>
    <xf numFmtId="0" fontId="47" fillId="15" borderId="6" xfId="10" applyFill="1" applyBorder="1" applyAlignment="1">
      <alignment horizontal="left" wrapText="1"/>
    </xf>
    <xf numFmtId="0" fontId="57" fillId="15" borderId="6" xfId="0" applyFont="1" applyFill="1" applyBorder="1" applyAlignment="1">
      <alignment horizontal="left" wrapText="1"/>
    </xf>
    <xf numFmtId="49" fontId="59" fillId="15" borderId="6" xfId="0" applyNumberFormat="1" applyFont="1" applyFill="1" applyBorder="1" applyAlignment="1">
      <alignment horizontal="left"/>
    </xf>
    <xf numFmtId="0" fontId="57" fillId="15" borderId="6" xfId="0" quotePrefix="1" applyFont="1" applyFill="1" applyBorder="1" applyAlignment="1">
      <alignment horizontal="left" wrapText="1"/>
    </xf>
    <xf numFmtId="49" fontId="58" fillId="15" borderId="6" xfId="1" applyNumberFormat="1" applyFont="1" applyFill="1" applyBorder="1" applyAlignment="1">
      <alignment horizontal="left"/>
    </xf>
    <xf numFmtId="0" fontId="10" fillId="15" borderId="21" xfId="0" applyFont="1" applyFill="1" applyBorder="1" applyAlignment="1">
      <alignment horizontal="left" wrapText="1"/>
    </xf>
    <xf numFmtId="0" fontId="10" fillId="15" borderId="0" xfId="0" applyFont="1" applyFill="1"/>
    <xf numFmtId="0" fontId="57" fillId="15" borderId="6" xfId="0" applyFont="1" applyFill="1" applyBorder="1" applyAlignment="1">
      <alignment horizontal="left"/>
    </xf>
    <xf numFmtId="0" fontId="10" fillId="15" borderId="0" xfId="0" applyFont="1" applyFill="1" applyAlignment="1">
      <alignment horizontal="left"/>
    </xf>
    <xf numFmtId="0" fontId="23" fillId="16" borderId="0" xfId="0" applyFont="1" applyFill="1" applyAlignment="1">
      <alignment horizontal="right" wrapText="1"/>
    </xf>
    <xf numFmtId="14" fontId="59" fillId="16" borderId="6" xfId="2" applyNumberFormat="1" applyFont="1" applyFill="1" applyBorder="1" applyAlignment="1">
      <alignment horizontal="left"/>
    </xf>
    <xf numFmtId="0" fontId="59" fillId="16" borderId="6" xfId="2" applyFont="1" applyFill="1" applyBorder="1" applyAlignment="1">
      <alignment horizontal="left"/>
    </xf>
    <xf numFmtId="0" fontId="59" fillId="16" borderId="12" xfId="2" applyFont="1" applyFill="1" applyBorder="1" applyAlignment="1">
      <alignment horizontal="left"/>
    </xf>
    <xf numFmtId="0" fontId="47" fillId="16" borderId="6" xfId="10" applyFill="1" applyBorder="1" applyAlignment="1">
      <alignment horizontal="left" wrapText="1"/>
    </xf>
    <xf numFmtId="0" fontId="57" fillId="16" borderId="6" xfId="0" applyFont="1" applyFill="1" applyBorder="1" applyAlignment="1">
      <alignment horizontal="left" wrapText="1"/>
    </xf>
    <xf numFmtId="0" fontId="57" fillId="16" borderId="6" xfId="0" quotePrefix="1" applyFont="1" applyFill="1" applyBorder="1" applyAlignment="1">
      <alignment horizontal="left" wrapText="1"/>
    </xf>
    <xf numFmtId="49" fontId="58" fillId="16" borderId="6" xfId="1" applyNumberFormat="1" applyFont="1" applyFill="1" applyBorder="1" applyAlignment="1">
      <alignment horizontal="left"/>
    </xf>
    <xf numFmtId="49" fontId="59" fillId="16" borderId="6" xfId="0" applyNumberFormat="1" applyFont="1" applyFill="1" applyBorder="1" applyAlignment="1">
      <alignment horizontal="left"/>
    </xf>
    <xf numFmtId="0" fontId="10" fillId="16" borderId="21" xfId="0" applyFont="1" applyFill="1" applyBorder="1" applyAlignment="1">
      <alignment horizontal="left" wrapText="1"/>
    </xf>
    <xf numFmtId="0" fontId="10" fillId="16" borderId="0" xfId="0" applyFont="1" applyFill="1"/>
    <xf numFmtId="14" fontId="57" fillId="16" borderId="6" xfId="0" applyNumberFormat="1" applyFont="1" applyFill="1" applyBorder="1" applyAlignment="1">
      <alignment horizontal="left"/>
    </xf>
    <xf numFmtId="0" fontId="57" fillId="16" borderId="6" xfId="0" applyFont="1" applyFill="1" applyBorder="1" applyAlignment="1">
      <alignment horizontal="left"/>
    </xf>
    <xf numFmtId="14" fontId="58" fillId="17" borderId="6" xfId="1" applyNumberFormat="1" applyFont="1" applyFill="1" applyBorder="1" applyAlignment="1">
      <alignment horizontal="left" vertical="center"/>
    </xf>
    <xf numFmtId="0" fontId="57" fillId="18" borderId="6" xfId="0" applyFont="1" applyFill="1" applyBorder="1" applyAlignment="1">
      <alignment horizontal="left" vertical="center"/>
    </xf>
    <xf numFmtId="0" fontId="23" fillId="19" borderId="0" xfId="0" applyFont="1" applyFill="1" applyAlignment="1">
      <alignment horizontal="right" wrapText="1"/>
    </xf>
    <xf numFmtId="14" fontId="47" fillId="19" borderId="6" xfId="8" applyNumberFormat="1" applyFont="1" applyFill="1" applyBorder="1" applyAlignment="1">
      <alignment horizontal="left" vertical="top"/>
    </xf>
    <xf numFmtId="0" fontId="47" fillId="19" borderId="6" xfId="8" applyFont="1" applyFill="1" applyBorder="1" applyAlignment="1">
      <alignment horizontal="left" vertical="top"/>
    </xf>
    <xf numFmtId="14" fontId="57" fillId="20" borderId="6" xfId="0" applyNumberFormat="1" applyFont="1" applyFill="1" applyBorder="1" applyAlignment="1">
      <alignment horizontal="left" vertical="center"/>
    </xf>
    <xf numFmtId="0" fontId="57" fillId="20" borderId="6" xfId="0" applyFont="1" applyFill="1" applyBorder="1" applyAlignment="1">
      <alignment horizontal="left" vertical="center"/>
    </xf>
    <xf numFmtId="0" fontId="47" fillId="19" borderId="6" xfId="10" applyFill="1" applyBorder="1" applyAlignment="1">
      <alignment horizontal="left" wrapText="1"/>
    </xf>
    <xf numFmtId="0" fontId="57" fillId="19" borderId="6" xfId="0" applyFont="1" applyFill="1" applyBorder="1" applyAlignment="1">
      <alignment horizontal="left"/>
    </xf>
    <xf numFmtId="49" fontId="57" fillId="20" borderId="6" xfId="0" applyNumberFormat="1" applyFont="1" applyFill="1" applyBorder="1" applyAlignment="1">
      <alignment horizontal="left" vertical="center"/>
    </xf>
    <xf numFmtId="14" fontId="58" fillId="20" borderId="6" xfId="1" applyNumberFormat="1" applyFont="1" applyFill="1" applyBorder="1" applyAlignment="1">
      <alignment horizontal="left" vertical="center"/>
    </xf>
    <xf numFmtId="0" fontId="57" fillId="21" borderId="6" xfId="0" applyFont="1" applyFill="1" applyBorder="1" applyAlignment="1">
      <alignment horizontal="left" vertical="center"/>
    </xf>
    <xf numFmtId="0" fontId="10" fillId="19" borderId="21" xfId="0" applyFont="1" applyFill="1" applyBorder="1" applyAlignment="1">
      <alignment horizontal="left"/>
    </xf>
    <xf numFmtId="0" fontId="10" fillId="19" borderId="0" xfId="0" applyFont="1" applyFill="1"/>
    <xf numFmtId="49" fontId="45" fillId="19" borderId="6" xfId="10" applyNumberFormat="1" applyFont="1" applyFill="1" applyBorder="1" applyAlignment="1">
      <alignment horizontal="left" wrapText="1"/>
    </xf>
    <xf numFmtId="164" fontId="59" fillId="19" borderId="6" xfId="0" applyNumberFormat="1" applyFont="1" applyFill="1" applyBorder="1" applyAlignment="1">
      <alignment horizontal="left"/>
    </xf>
    <xf numFmtId="1" fontId="59" fillId="19" borderId="6" xfId="0" applyNumberFormat="1" applyFont="1" applyFill="1" applyBorder="1" applyAlignment="1">
      <alignment horizontal="left"/>
    </xf>
    <xf numFmtId="0" fontId="59" fillId="19" borderId="6" xfId="0" applyFont="1" applyFill="1" applyBorder="1" applyAlignment="1">
      <alignment horizontal="left"/>
    </xf>
    <xf numFmtId="49" fontId="59" fillId="19" borderId="6" xfId="0" applyNumberFormat="1" applyFont="1" applyFill="1" applyBorder="1" applyAlignment="1">
      <alignment horizontal="left"/>
    </xf>
    <xf numFmtId="49" fontId="58" fillId="19" borderId="6" xfId="1" applyNumberFormat="1" applyFont="1" applyFill="1" applyBorder="1" applyAlignment="1">
      <alignment horizontal="left"/>
    </xf>
    <xf numFmtId="0" fontId="23" fillId="22" borderId="0" xfId="0" applyFont="1" applyFill="1" applyAlignment="1">
      <alignment horizontal="right" wrapText="1"/>
    </xf>
    <xf numFmtId="164" fontId="57" fillId="22" borderId="6" xfId="0" applyNumberFormat="1" applyFont="1" applyFill="1" applyBorder="1" applyAlignment="1">
      <alignment horizontal="left" wrapText="1"/>
    </xf>
    <xf numFmtId="0" fontId="57" fillId="22" borderId="6" xfId="0" applyFont="1" applyFill="1" applyBorder="1" applyAlignment="1">
      <alignment horizontal="left" wrapText="1"/>
    </xf>
    <xf numFmtId="0" fontId="59" fillId="22" borderId="6" xfId="2" applyFont="1" applyFill="1" applyBorder="1" applyAlignment="1">
      <alignment horizontal="left"/>
    </xf>
    <xf numFmtId="0" fontId="57" fillId="22" borderId="6" xfId="0" applyFont="1" applyFill="1" applyBorder="1" applyAlignment="1">
      <alignment horizontal="left"/>
    </xf>
    <xf numFmtId="165" fontId="57" fillId="22" borderId="6" xfId="0" applyNumberFormat="1" applyFont="1" applyFill="1" applyBorder="1" applyAlignment="1">
      <alignment horizontal="left" wrapText="1"/>
    </xf>
    <xf numFmtId="0" fontId="10" fillId="22" borderId="0" xfId="0" applyFont="1" applyFill="1"/>
    <xf numFmtId="14" fontId="11" fillId="0" borderId="0" xfId="8" applyNumberFormat="1" applyFont="1" applyAlignment="1">
      <alignment horizontal="left" vertical="top"/>
    </xf>
  </cellXfs>
  <cellStyles count="12">
    <cellStyle name="Hipervínculo" xfId="1" builtinId="8"/>
    <cellStyle name="Hipervínculo 3" xfId="11" xr:uid="{00000000-0005-0000-0000-000001000000}"/>
    <cellStyle name="Millares 10 15" xfId="9" xr:uid="{00000000-0005-0000-0000-000002000000}"/>
    <cellStyle name="Normal" xfId="0" builtinId="0"/>
    <cellStyle name="Normal 104" xfId="7" xr:uid="{00000000-0005-0000-0000-000004000000}"/>
    <cellStyle name="Normal 104 5" xfId="2" xr:uid="{00000000-0005-0000-0000-000005000000}"/>
    <cellStyle name="Normal 2 2 2" xfId="10" xr:uid="{00000000-0005-0000-0000-000006000000}"/>
    <cellStyle name="Normal 2 2 2 2" xfId="3" xr:uid="{00000000-0005-0000-0000-000007000000}"/>
    <cellStyle name="Normal 34 5 8" xfId="8" xr:uid="{00000000-0005-0000-0000-000008000000}"/>
    <cellStyle name="Normal 34 5 8 5" xfId="5" xr:uid="{00000000-0005-0000-0000-000009000000}"/>
    <cellStyle name="Normal 38 4 7" xfId="6" xr:uid="{00000000-0005-0000-0000-00000A000000}"/>
    <cellStyle name="Normal 4 2" xfId="4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133351</xdr:rowOff>
    </xdr:from>
    <xdr:ext cx="647700" cy="408354"/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FD0EAFC9-9294-4844-AEEB-EA63998D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28651"/>
          <a:ext cx="647700" cy="408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110166</xdr:colOff>
      <xdr:row>1</xdr:row>
      <xdr:rowOff>87921</xdr:rowOff>
    </xdr:from>
    <xdr:ext cx="561975" cy="395530"/>
    <xdr:pic>
      <xdr:nvPicPr>
        <xdr:cNvPr id="2" name="image1.png" descr="Logo-Teka">
          <a:extLst>
            <a:ext uri="{FF2B5EF4-FFF2-40B4-BE49-F238E27FC236}">
              <a16:creationId xmlns:a16="http://schemas.microsoft.com/office/drawing/2014/main" id="{B57DB346-B1A5-4758-9677-8818F53C375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616" y="1008671"/>
          <a:ext cx="561975" cy="395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57150</xdr:rowOff>
    </xdr:from>
    <xdr:to>
      <xdr:col>1</xdr:col>
      <xdr:colOff>668430</xdr:colOff>
      <xdr:row>3</xdr:row>
      <xdr:rowOff>95250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AE7E8418-783C-4F01-9682-43C206BD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13182600"/>
          <a:ext cx="63033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109408</xdr:colOff>
      <xdr:row>0</xdr:row>
      <xdr:rowOff>173767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397CA952-049E-4DCA-9CE3-D97C86F8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408" y="3703551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q-pablotl@yahoo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nandosalazars@hotmail.com" TargetMode="External"/><Relationship Id="rId7" Type="http://schemas.openxmlformats.org/officeDocument/2006/relationships/hyperlink" Target="mailto:juliasarmiento57@hotmail.com" TargetMode="External"/><Relationship Id="rId12" Type="http://schemas.openxmlformats.org/officeDocument/2006/relationships/hyperlink" Target="mailto:paxare1@hotmail.com" TargetMode="External"/><Relationship Id="rId2" Type="http://schemas.openxmlformats.org/officeDocument/2006/relationships/hyperlink" Target="mailto:agravaaustrojp@gmail.com" TargetMode="External"/><Relationship Id="rId1" Type="http://schemas.openxmlformats.org/officeDocument/2006/relationships/hyperlink" Target="mailto:diani9zumba@gmail.com" TargetMode="External"/><Relationship Id="rId6" Type="http://schemas.openxmlformats.org/officeDocument/2006/relationships/hyperlink" Target="mailto:cesarpalaciosr@hotmail.com" TargetMode="External"/><Relationship Id="rId11" Type="http://schemas.openxmlformats.org/officeDocument/2006/relationships/hyperlink" Target="mailto:berthavazquez-1945@hotmail.com" TargetMode="External"/><Relationship Id="rId5" Type="http://schemas.openxmlformats.org/officeDocument/2006/relationships/hyperlink" Target="mailto:andresambrosi@hotmail.com" TargetMode="External"/><Relationship Id="rId10" Type="http://schemas.openxmlformats.org/officeDocument/2006/relationships/hyperlink" Target="mailto:pjarrin@gmail.com" TargetMode="External"/><Relationship Id="rId4" Type="http://schemas.openxmlformats.org/officeDocument/2006/relationships/hyperlink" Target="mailto:fannyaleman@yahoo.com" TargetMode="External"/><Relationship Id="rId9" Type="http://schemas.openxmlformats.org/officeDocument/2006/relationships/hyperlink" Target="mailto:ximenacampoverde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hildav7@hotmail.com" TargetMode="External"/><Relationship Id="rId13" Type="http://schemas.openxmlformats.org/officeDocument/2006/relationships/hyperlink" Target="mailto:maria-eugeniachq@hotmail.com" TargetMode="External"/><Relationship Id="rId18" Type="http://schemas.openxmlformats.org/officeDocument/2006/relationships/hyperlink" Target="mailto:maytevelezg98@gmail.com" TargetMode="External"/><Relationship Id="rId26" Type="http://schemas.openxmlformats.org/officeDocument/2006/relationships/hyperlink" Target="mailto:arqmichellediazl@gmail.com" TargetMode="External"/><Relationship Id="rId3" Type="http://schemas.openxmlformats.org/officeDocument/2006/relationships/hyperlink" Target="mailto:mendozarosa1604@gmail.com" TargetMode="External"/><Relationship Id="rId21" Type="http://schemas.openxmlformats.org/officeDocument/2006/relationships/hyperlink" Target="mailto:balborno@hotmail.com" TargetMode="External"/><Relationship Id="rId7" Type="http://schemas.openxmlformats.org/officeDocument/2006/relationships/hyperlink" Target="mailto:hildav7@hotmail.com" TargetMode="External"/><Relationship Id="rId12" Type="http://schemas.openxmlformats.org/officeDocument/2006/relationships/hyperlink" Target="mailto:maria-eugeniachq@hotmail.com" TargetMode="External"/><Relationship Id="rId17" Type="http://schemas.openxmlformats.org/officeDocument/2006/relationships/hyperlink" Target="mailto:maytevelezg98@gmail.com" TargetMode="External"/><Relationship Id="rId25" Type="http://schemas.openxmlformats.org/officeDocument/2006/relationships/hyperlink" Target="mailto:asesoriagarciac@gmail.com" TargetMode="External"/><Relationship Id="rId2" Type="http://schemas.openxmlformats.org/officeDocument/2006/relationships/hyperlink" Target="mailto:rolando-veintimilla@yahoo.com" TargetMode="External"/><Relationship Id="rId16" Type="http://schemas.openxmlformats.org/officeDocument/2006/relationships/hyperlink" Target="mailto:maytevelezg98@gmail.com" TargetMode="External"/><Relationship Id="rId20" Type="http://schemas.openxmlformats.org/officeDocument/2006/relationships/hyperlink" Target="mailto:balborno@hotmail.com" TargetMode="External"/><Relationship Id="rId29" Type="http://schemas.openxmlformats.org/officeDocument/2006/relationships/drawing" Target="../drawings/drawing3.xml"/><Relationship Id="rId1" Type="http://schemas.openxmlformats.org/officeDocument/2006/relationships/hyperlink" Target="mailto:rolando-veintimilla@yahoo.com" TargetMode="External"/><Relationship Id="rId6" Type="http://schemas.openxmlformats.org/officeDocument/2006/relationships/hyperlink" Target="mailto:nuchi_@hotmail.com" TargetMode="External"/><Relationship Id="rId11" Type="http://schemas.openxmlformats.org/officeDocument/2006/relationships/hyperlink" Target="mailto:maria-eugeniachq@hotmail.com" TargetMode="External"/><Relationship Id="rId24" Type="http://schemas.openxmlformats.org/officeDocument/2006/relationships/hyperlink" Target="mailto:asesoriagarciac@gmail.com" TargetMode="External"/><Relationship Id="rId5" Type="http://schemas.openxmlformats.org/officeDocument/2006/relationships/hyperlink" Target="mailto:nuchi_@hotmail.com" TargetMode="External"/><Relationship Id="rId15" Type="http://schemas.openxmlformats.org/officeDocument/2006/relationships/hyperlink" Target="mailto:maytevelezg98@gmail.com" TargetMode="External"/><Relationship Id="rId23" Type="http://schemas.openxmlformats.org/officeDocument/2006/relationships/hyperlink" Target="mailto:asesoriagarciac@gmail.com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mailto:claudiamcarrascom@gmail.com" TargetMode="External"/><Relationship Id="rId19" Type="http://schemas.openxmlformats.org/officeDocument/2006/relationships/hyperlink" Target="mailto:maytevelezg98@gmail.com" TargetMode="External"/><Relationship Id="rId4" Type="http://schemas.openxmlformats.org/officeDocument/2006/relationships/hyperlink" Target="mailto:mendozarosa1604@gmail.com" TargetMode="External"/><Relationship Id="rId9" Type="http://schemas.openxmlformats.org/officeDocument/2006/relationships/hyperlink" Target="mailto:claudiamcarrascom@gmail.com" TargetMode="External"/><Relationship Id="rId14" Type="http://schemas.openxmlformats.org/officeDocument/2006/relationships/hyperlink" Target="mailto:maria-eugeniachq@hotmail.com" TargetMode="External"/><Relationship Id="rId22" Type="http://schemas.openxmlformats.org/officeDocument/2006/relationships/hyperlink" Target="mailto:asesoriagarciac@gmail.com" TargetMode="External"/><Relationship Id="rId27" Type="http://schemas.openxmlformats.org/officeDocument/2006/relationships/hyperlink" Target="mailto:arqmichellediazl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edu.floresvera.abogados@gmail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rolando-veintimilla@yahoo.com" TargetMode="External"/><Relationship Id="rId18" Type="http://schemas.openxmlformats.org/officeDocument/2006/relationships/hyperlink" Target="mailto:nuchi_@hotmail.com" TargetMode="External"/><Relationship Id="rId26" Type="http://schemas.openxmlformats.org/officeDocument/2006/relationships/hyperlink" Target="mailto:maria-eugeniachq@hotmail.com" TargetMode="External"/><Relationship Id="rId39" Type="http://schemas.openxmlformats.org/officeDocument/2006/relationships/hyperlink" Target="mailto:arqmichellediazl@gmail.com" TargetMode="External"/><Relationship Id="rId21" Type="http://schemas.openxmlformats.org/officeDocument/2006/relationships/hyperlink" Target="mailto:claudiamcarrascom@gmail.com" TargetMode="External"/><Relationship Id="rId34" Type="http://schemas.openxmlformats.org/officeDocument/2006/relationships/hyperlink" Target="mailto:asesoriagarciac@gmail.com" TargetMode="External"/><Relationship Id="rId7" Type="http://schemas.openxmlformats.org/officeDocument/2006/relationships/hyperlink" Target="mailto:juliasarmiento57@hotmail.com" TargetMode="External"/><Relationship Id="rId2" Type="http://schemas.openxmlformats.org/officeDocument/2006/relationships/hyperlink" Target="mailto:agravaaustrojp@gmail.com" TargetMode="External"/><Relationship Id="rId16" Type="http://schemas.openxmlformats.org/officeDocument/2006/relationships/hyperlink" Target="mailto:mendozarosa1604@gmail.com" TargetMode="External"/><Relationship Id="rId20" Type="http://schemas.openxmlformats.org/officeDocument/2006/relationships/hyperlink" Target="mailto:hildav7@hotmail.com" TargetMode="External"/><Relationship Id="rId29" Type="http://schemas.openxmlformats.org/officeDocument/2006/relationships/hyperlink" Target="mailto:maytevelezg98@gmail.com" TargetMode="External"/><Relationship Id="rId41" Type="http://schemas.openxmlformats.org/officeDocument/2006/relationships/printerSettings" Target="../printerSettings/printerSettings5.bin"/><Relationship Id="rId1" Type="http://schemas.openxmlformats.org/officeDocument/2006/relationships/hyperlink" Target="mailto:diani9zumba@gmail.com" TargetMode="External"/><Relationship Id="rId6" Type="http://schemas.openxmlformats.org/officeDocument/2006/relationships/hyperlink" Target="mailto:cesarpalaciosr@hotmail.com" TargetMode="External"/><Relationship Id="rId11" Type="http://schemas.openxmlformats.org/officeDocument/2006/relationships/hyperlink" Target="mailto:berthavazquez-1945@hotmail.com" TargetMode="External"/><Relationship Id="rId24" Type="http://schemas.openxmlformats.org/officeDocument/2006/relationships/hyperlink" Target="mailto:maria-eugeniachq@hotmail.com" TargetMode="External"/><Relationship Id="rId32" Type="http://schemas.openxmlformats.org/officeDocument/2006/relationships/hyperlink" Target="mailto:balborno@hotmail.com" TargetMode="External"/><Relationship Id="rId37" Type="http://schemas.openxmlformats.org/officeDocument/2006/relationships/hyperlink" Target="mailto:asesoriagarciac@gmail.com" TargetMode="External"/><Relationship Id="rId40" Type="http://schemas.openxmlformats.org/officeDocument/2006/relationships/hyperlink" Target="mailto:edu.floresvera.abogados@gmail.com" TargetMode="External"/><Relationship Id="rId5" Type="http://schemas.openxmlformats.org/officeDocument/2006/relationships/hyperlink" Target="mailto:andresambrosi@hotmail.com" TargetMode="External"/><Relationship Id="rId15" Type="http://schemas.openxmlformats.org/officeDocument/2006/relationships/hyperlink" Target="mailto:mendozarosa1604@gmail.com" TargetMode="External"/><Relationship Id="rId23" Type="http://schemas.openxmlformats.org/officeDocument/2006/relationships/hyperlink" Target="mailto:maria-eugeniachq@hotmail.com" TargetMode="External"/><Relationship Id="rId28" Type="http://schemas.openxmlformats.org/officeDocument/2006/relationships/hyperlink" Target="mailto:maytevelezg98@gmail.com" TargetMode="External"/><Relationship Id="rId36" Type="http://schemas.openxmlformats.org/officeDocument/2006/relationships/hyperlink" Target="mailto:asesoriagarciac@gmail.com" TargetMode="External"/><Relationship Id="rId10" Type="http://schemas.openxmlformats.org/officeDocument/2006/relationships/hyperlink" Target="mailto:pjarrin@gmail.com" TargetMode="External"/><Relationship Id="rId19" Type="http://schemas.openxmlformats.org/officeDocument/2006/relationships/hyperlink" Target="mailto:hildav7@hotmail.com" TargetMode="External"/><Relationship Id="rId31" Type="http://schemas.openxmlformats.org/officeDocument/2006/relationships/hyperlink" Target="mailto:maytevelezg98@gmail.com" TargetMode="External"/><Relationship Id="rId4" Type="http://schemas.openxmlformats.org/officeDocument/2006/relationships/hyperlink" Target="mailto:fannyaleman@yahoo.com" TargetMode="External"/><Relationship Id="rId9" Type="http://schemas.openxmlformats.org/officeDocument/2006/relationships/hyperlink" Target="mailto:ximenacampoverde@hotmail.com" TargetMode="External"/><Relationship Id="rId14" Type="http://schemas.openxmlformats.org/officeDocument/2006/relationships/hyperlink" Target="mailto:rolando-veintimilla@yahoo.com" TargetMode="External"/><Relationship Id="rId22" Type="http://schemas.openxmlformats.org/officeDocument/2006/relationships/hyperlink" Target="mailto:claudiamcarrascom@gmail.com" TargetMode="External"/><Relationship Id="rId27" Type="http://schemas.openxmlformats.org/officeDocument/2006/relationships/hyperlink" Target="mailto:maytevelezg98@gmail.com" TargetMode="External"/><Relationship Id="rId30" Type="http://schemas.openxmlformats.org/officeDocument/2006/relationships/hyperlink" Target="mailto:maytevelezg98@gmail.com" TargetMode="External"/><Relationship Id="rId35" Type="http://schemas.openxmlformats.org/officeDocument/2006/relationships/hyperlink" Target="mailto:asesoriagarciac@gmail.com" TargetMode="External"/><Relationship Id="rId8" Type="http://schemas.openxmlformats.org/officeDocument/2006/relationships/hyperlink" Target="mailto:arq-pablotl@yahoo.com" TargetMode="External"/><Relationship Id="rId3" Type="http://schemas.openxmlformats.org/officeDocument/2006/relationships/hyperlink" Target="mailto:nandosalazars@hotmail.com" TargetMode="External"/><Relationship Id="rId12" Type="http://schemas.openxmlformats.org/officeDocument/2006/relationships/hyperlink" Target="mailto:paxare1@hotmail.com" TargetMode="External"/><Relationship Id="rId17" Type="http://schemas.openxmlformats.org/officeDocument/2006/relationships/hyperlink" Target="mailto:nuchi_@hotmail.com" TargetMode="External"/><Relationship Id="rId25" Type="http://schemas.openxmlformats.org/officeDocument/2006/relationships/hyperlink" Target="mailto:maria-eugeniachq@hotmail.com" TargetMode="External"/><Relationship Id="rId33" Type="http://schemas.openxmlformats.org/officeDocument/2006/relationships/hyperlink" Target="mailto:balborno@hotmail.com" TargetMode="External"/><Relationship Id="rId38" Type="http://schemas.openxmlformats.org/officeDocument/2006/relationships/hyperlink" Target="mailto:arqmichellediaz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22"/>
  <sheetViews>
    <sheetView tabSelected="1" topLeftCell="E3" zoomScale="85" zoomScaleNormal="85" workbookViewId="0">
      <selection activeCell="O23" sqref="O23"/>
    </sheetView>
  </sheetViews>
  <sheetFormatPr baseColWidth="10" defaultRowHeight="15"/>
  <cols>
    <col min="5" max="5" width="16.1640625" customWidth="1"/>
    <col min="6" max="6" width="12.5" customWidth="1"/>
    <col min="7" max="7" width="18.6640625" customWidth="1"/>
    <col min="9" max="9" width="8.5" customWidth="1"/>
    <col min="14" max="14" width="15.83203125" customWidth="1"/>
    <col min="18" max="18" width="9.5" customWidth="1"/>
    <col min="19" max="19" width="17.1640625" customWidth="1"/>
    <col min="21" max="21" width="27.33203125" customWidth="1"/>
  </cols>
  <sheetData>
    <row r="2" spans="1:21">
      <c r="B2" s="44"/>
      <c r="C2" s="45" t="s">
        <v>26</v>
      </c>
      <c r="F2" s="46"/>
      <c r="G2" s="47"/>
      <c r="H2" s="48"/>
      <c r="I2" s="49"/>
      <c r="J2" s="50"/>
      <c r="K2" s="51"/>
      <c r="L2" s="52"/>
      <c r="M2" s="52"/>
      <c r="N2" s="44"/>
      <c r="O2" s="53"/>
      <c r="T2" s="54"/>
    </row>
    <row r="3" spans="1:21">
      <c r="B3" s="44"/>
      <c r="C3" s="55" t="s">
        <v>1</v>
      </c>
      <c r="F3" s="56"/>
      <c r="G3" s="47"/>
      <c r="H3" s="48"/>
      <c r="I3" s="49"/>
      <c r="J3" s="50" t="s">
        <v>27</v>
      </c>
      <c r="K3" s="51"/>
      <c r="L3" s="52"/>
      <c r="M3" s="57"/>
      <c r="N3" s="58" t="s">
        <v>223</v>
      </c>
      <c r="O3" s="53"/>
      <c r="P3" s="59"/>
      <c r="T3" s="54"/>
    </row>
    <row r="4" spans="1:21" ht="20">
      <c r="B4" s="60" t="s">
        <v>28</v>
      </c>
      <c r="C4" s="60" t="s">
        <v>29</v>
      </c>
      <c r="D4" s="60" t="s">
        <v>30</v>
      </c>
      <c r="E4" s="60" t="s">
        <v>6</v>
      </c>
      <c r="F4" s="60" t="s">
        <v>31</v>
      </c>
      <c r="G4" s="60" t="s">
        <v>32</v>
      </c>
      <c r="H4" s="60" t="s">
        <v>33</v>
      </c>
      <c r="I4" s="60" t="s">
        <v>10</v>
      </c>
      <c r="J4" s="60" t="s">
        <v>34</v>
      </c>
      <c r="K4" s="60" t="s">
        <v>35</v>
      </c>
      <c r="L4" s="61" t="s">
        <v>14</v>
      </c>
      <c r="M4" s="61" t="s">
        <v>36</v>
      </c>
      <c r="N4" s="60" t="s">
        <v>16</v>
      </c>
      <c r="O4" s="62" t="s">
        <v>17</v>
      </c>
      <c r="P4" s="60" t="s">
        <v>37</v>
      </c>
      <c r="Q4" s="60" t="s">
        <v>38</v>
      </c>
      <c r="R4" s="63" t="s">
        <v>39</v>
      </c>
      <c r="S4" s="60" t="s">
        <v>40</v>
      </c>
      <c r="T4" s="60" t="s">
        <v>41</v>
      </c>
      <c r="U4" s="64" t="s">
        <v>42</v>
      </c>
    </row>
    <row r="5" spans="1:21">
      <c r="A5">
        <v>1</v>
      </c>
      <c r="B5" s="140">
        <v>45295</v>
      </c>
      <c r="C5" s="140">
        <v>45288</v>
      </c>
      <c r="D5" s="140" t="s">
        <v>99</v>
      </c>
      <c r="E5" s="140" t="s">
        <v>325</v>
      </c>
      <c r="F5" s="141" t="s">
        <v>238</v>
      </c>
      <c r="G5" s="140" t="s">
        <v>95</v>
      </c>
      <c r="H5" s="140" t="s">
        <v>239</v>
      </c>
      <c r="I5" s="141" t="s">
        <v>24</v>
      </c>
      <c r="J5" s="140" t="s">
        <v>3</v>
      </c>
      <c r="K5" s="140" t="s">
        <v>83</v>
      </c>
      <c r="L5" s="140" t="s">
        <v>240</v>
      </c>
      <c r="M5" s="140" t="s">
        <v>241</v>
      </c>
      <c r="N5" s="142">
        <v>997840829</v>
      </c>
      <c r="O5" s="143">
        <v>29</v>
      </c>
      <c r="P5" s="140" t="s">
        <v>43</v>
      </c>
      <c r="Q5" s="140" t="s">
        <v>3</v>
      </c>
      <c r="R5" s="140"/>
      <c r="S5" s="140" t="s">
        <v>325</v>
      </c>
      <c r="T5" s="144">
        <v>102307931</v>
      </c>
      <c r="U5" s="145" t="s">
        <v>242</v>
      </c>
    </row>
    <row r="6" spans="1:21">
      <c r="A6">
        <v>2</v>
      </c>
      <c r="B6" s="140">
        <v>45295</v>
      </c>
      <c r="C6" s="140">
        <v>45272</v>
      </c>
      <c r="D6" s="140" t="s">
        <v>96</v>
      </c>
      <c r="E6" s="140" t="s">
        <v>326</v>
      </c>
      <c r="F6" s="141" t="s">
        <v>243</v>
      </c>
      <c r="G6" s="140" t="s">
        <v>244</v>
      </c>
      <c r="H6" s="140" t="s">
        <v>245</v>
      </c>
      <c r="I6" s="141" t="s">
        <v>24</v>
      </c>
      <c r="J6" s="140" t="s">
        <v>3</v>
      </c>
      <c r="K6" s="140" t="s">
        <v>83</v>
      </c>
      <c r="L6" s="140" t="s">
        <v>246</v>
      </c>
      <c r="M6" s="140" t="s">
        <v>247</v>
      </c>
      <c r="N6" s="142">
        <v>968171909</v>
      </c>
      <c r="O6" s="143">
        <v>29</v>
      </c>
      <c r="P6" s="140" t="s">
        <v>43</v>
      </c>
      <c r="Q6" s="140" t="s">
        <v>3</v>
      </c>
      <c r="R6" s="140"/>
      <c r="S6" s="140" t="s">
        <v>326</v>
      </c>
      <c r="T6" s="144">
        <v>101722288</v>
      </c>
      <c r="U6" s="145" t="s">
        <v>248</v>
      </c>
    </row>
    <row r="7" spans="1:21">
      <c r="A7">
        <v>3</v>
      </c>
      <c r="B7" s="140">
        <v>45299</v>
      </c>
      <c r="C7" s="140">
        <v>45264</v>
      </c>
      <c r="D7" s="140" t="s">
        <v>327</v>
      </c>
      <c r="E7" s="140" t="s">
        <v>328</v>
      </c>
      <c r="F7" s="141" t="s">
        <v>249</v>
      </c>
      <c r="G7" s="140" t="s">
        <v>250</v>
      </c>
      <c r="H7" s="140" t="s">
        <v>251</v>
      </c>
      <c r="I7" s="141" t="s">
        <v>24</v>
      </c>
      <c r="J7" s="140" t="s">
        <v>3</v>
      </c>
      <c r="K7" s="140" t="s">
        <v>83</v>
      </c>
      <c r="L7" s="140" t="s">
        <v>252</v>
      </c>
      <c r="M7" s="140" t="s">
        <v>253</v>
      </c>
      <c r="N7" s="142">
        <v>984412879</v>
      </c>
      <c r="O7" s="143">
        <v>25</v>
      </c>
      <c r="P7" s="140" t="s">
        <v>43</v>
      </c>
      <c r="Q7" s="140" t="s">
        <v>3</v>
      </c>
      <c r="R7" s="140"/>
      <c r="S7" s="140" t="s">
        <v>328</v>
      </c>
      <c r="T7" s="144">
        <v>301450789</v>
      </c>
      <c r="U7" s="145" t="s">
        <v>254</v>
      </c>
    </row>
    <row r="8" spans="1:21">
      <c r="A8">
        <v>4</v>
      </c>
      <c r="B8" s="140">
        <v>45299</v>
      </c>
      <c r="C8" s="140">
        <v>45273</v>
      </c>
      <c r="D8" s="140" t="s">
        <v>99</v>
      </c>
      <c r="E8" s="140" t="s">
        <v>329</v>
      </c>
      <c r="F8" s="141" t="s">
        <v>255</v>
      </c>
      <c r="G8" s="140" t="s">
        <v>256</v>
      </c>
      <c r="H8" s="140" t="s">
        <v>257</v>
      </c>
      <c r="I8" s="141" t="s">
        <v>24</v>
      </c>
      <c r="J8" s="140" t="s">
        <v>3</v>
      </c>
      <c r="K8" s="140" t="s">
        <v>83</v>
      </c>
      <c r="L8" s="140" t="s">
        <v>258</v>
      </c>
      <c r="M8" s="140" t="s">
        <v>259</v>
      </c>
      <c r="N8" s="142">
        <v>42211221</v>
      </c>
      <c r="O8" s="143">
        <v>25</v>
      </c>
      <c r="P8" s="140" t="s">
        <v>43</v>
      </c>
      <c r="Q8" s="140" t="s">
        <v>3</v>
      </c>
      <c r="R8" s="140"/>
      <c r="S8" s="140" t="s">
        <v>329</v>
      </c>
      <c r="T8" s="144">
        <v>905011920</v>
      </c>
      <c r="U8" s="145" t="s">
        <v>260</v>
      </c>
    </row>
    <row r="9" spans="1:21">
      <c r="A9">
        <v>5</v>
      </c>
      <c r="B9" s="140">
        <v>45300</v>
      </c>
      <c r="C9" s="140">
        <v>45262</v>
      </c>
      <c r="D9" s="140" t="s">
        <v>327</v>
      </c>
      <c r="E9" s="140" t="s">
        <v>330</v>
      </c>
      <c r="F9" s="141" t="s">
        <v>261</v>
      </c>
      <c r="G9" s="140" t="s">
        <v>93</v>
      </c>
      <c r="H9" s="140" t="s">
        <v>262</v>
      </c>
      <c r="I9" s="141" t="s">
        <v>263</v>
      </c>
      <c r="J9" s="140" t="s">
        <v>3</v>
      </c>
      <c r="K9" s="140" t="s">
        <v>83</v>
      </c>
      <c r="L9" s="140" t="s">
        <v>264</v>
      </c>
      <c r="M9" s="140" t="s">
        <v>265</v>
      </c>
      <c r="N9" s="142">
        <v>992597935</v>
      </c>
      <c r="O9" s="143">
        <v>45</v>
      </c>
      <c r="P9" s="140" t="s">
        <v>43</v>
      </c>
      <c r="Q9" s="140" t="s">
        <v>3</v>
      </c>
      <c r="R9" s="140"/>
      <c r="S9" s="140" t="s">
        <v>330</v>
      </c>
      <c r="T9" s="144">
        <v>151328130</v>
      </c>
      <c r="U9" s="145"/>
    </row>
    <row r="10" spans="1:21">
      <c r="A10">
        <v>6</v>
      </c>
      <c r="B10" s="140">
        <v>45300</v>
      </c>
      <c r="C10" s="140">
        <v>45297</v>
      </c>
      <c r="D10" s="140" t="s">
        <v>331</v>
      </c>
      <c r="E10" s="140" t="s">
        <v>332</v>
      </c>
      <c r="F10" s="141" t="s">
        <v>266</v>
      </c>
      <c r="G10" s="140" t="s">
        <v>267</v>
      </c>
      <c r="H10" s="140" t="s">
        <v>268</v>
      </c>
      <c r="I10" s="141" t="s">
        <v>24</v>
      </c>
      <c r="J10" s="140" t="s">
        <v>3</v>
      </c>
      <c r="K10" s="140" t="s">
        <v>83</v>
      </c>
      <c r="L10" s="140" t="s">
        <v>269</v>
      </c>
      <c r="M10" s="140" t="s">
        <v>90</v>
      </c>
      <c r="N10" s="142">
        <v>997581734</v>
      </c>
      <c r="O10" s="143">
        <v>30</v>
      </c>
      <c r="P10" s="140" t="s">
        <v>43</v>
      </c>
      <c r="Q10" s="140" t="s">
        <v>3</v>
      </c>
      <c r="R10" s="140"/>
      <c r="S10" s="140" t="s">
        <v>332</v>
      </c>
      <c r="T10" s="144">
        <v>104420377</v>
      </c>
      <c r="U10" s="145" t="s">
        <v>270</v>
      </c>
    </row>
    <row r="11" spans="1:21">
      <c r="A11">
        <v>7</v>
      </c>
      <c r="B11" s="140">
        <v>45301</v>
      </c>
      <c r="C11" s="140">
        <v>45299</v>
      </c>
      <c r="D11" s="140" t="s">
        <v>19</v>
      </c>
      <c r="E11" s="140" t="s">
        <v>333</v>
      </c>
      <c r="F11" s="141" t="s">
        <v>271</v>
      </c>
      <c r="G11" s="140" t="s">
        <v>237</v>
      </c>
      <c r="H11" s="140" t="s">
        <v>272</v>
      </c>
      <c r="I11" s="141" t="s">
        <v>24</v>
      </c>
      <c r="J11" s="140" t="s">
        <v>3</v>
      </c>
      <c r="K11" s="140" t="s">
        <v>83</v>
      </c>
      <c r="L11" s="140" t="s">
        <v>273</v>
      </c>
      <c r="M11" s="140" t="s">
        <v>274</v>
      </c>
      <c r="N11" s="142">
        <v>998782006</v>
      </c>
      <c r="O11" s="143">
        <v>15</v>
      </c>
      <c r="P11" s="140" t="s">
        <v>43</v>
      </c>
      <c r="Q11" s="140" t="s">
        <v>3</v>
      </c>
      <c r="R11" s="140"/>
      <c r="S11" s="140" t="s">
        <v>333</v>
      </c>
      <c r="T11" s="144">
        <v>102969391</v>
      </c>
      <c r="U11" s="145"/>
    </row>
    <row r="12" spans="1:21">
      <c r="A12">
        <v>8</v>
      </c>
      <c r="B12" s="140">
        <v>45302</v>
      </c>
      <c r="C12" s="140">
        <v>45238</v>
      </c>
      <c r="D12" s="140" t="s">
        <v>19</v>
      </c>
      <c r="E12" s="140" t="s">
        <v>275</v>
      </c>
      <c r="F12" s="141" t="s">
        <v>276</v>
      </c>
      <c r="G12" s="140" t="s">
        <v>101</v>
      </c>
      <c r="H12" s="140" t="s">
        <v>277</v>
      </c>
      <c r="I12" s="141" t="s">
        <v>24</v>
      </c>
      <c r="J12" s="140" t="s">
        <v>3</v>
      </c>
      <c r="K12" s="140" t="s">
        <v>83</v>
      </c>
      <c r="L12" s="140" t="s">
        <v>278</v>
      </c>
      <c r="M12" s="140" t="s">
        <v>279</v>
      </c>
      <c r="N12" s="142">
        <v>999352423</v>
      </c>
      <c r="O12" s="143">
        <v>25</v>
      </c>
      <c r="P12" s="140" t="s">
        <v>43</v>
      </c>
      <c r="Q12" s="140" t="s">
        <v>3</v>
      </c>
      <c r="R12" s="140"/>
      <c r="S12" s="140" t="s">
        <v>275</v>
      </c>
      <c r="T12" s="144">
        <v>101608223</v>
      </c>
      <c r="U12" s="145" t="s">
        <v>280</v>
      </c>
    </row>
    <row r="13" spans="1:21">
      <c r="A13">
        <v>9</v>
      </c>
      <c r="B13" s="140">
        <v>45306</v>
      </c>
      <c r="C13" s="140">
        <v>45303</v>
      </c>
      <c r="D13" s="140" t="s">
        <v>99</v>
      </c>
      <c r="E13" s="140" t="s">
        <v>334</v>
      </c>
      <c r="F13" s="141" t="s">
        <v>281</v>
      </c>
      <c r="G13" s="140" t="s">
        <v>282</v>
      </c>
      <c r="H13" s="140" t="s">
        <v>283</v>
      </c>
      <c r="I13" s="141" t="s">
        <v>24</v>
      </c>
      <c r="J13" s="140" t="s">
        <v>3</v>
      </c>
      <c r="K13" s="140" t="s">
        <v>83</v>
      </c>
      <c r="L13" s="140" t="s">
        <v>284</v>
      </c>
      <c r="M13" s="140" t="s">
        <v>285</v>
      </c>
      <c r="N13" s="142">
        <v>72879192</v>
      </c>
      <c r="O13" s="143">
        <v>30</v>
      </c>
      <c r="P13" s="140" t="s">
        <v>43</v>
      </c>
      <c r="Q13" s="140" t="s">
        <v>3</v>
      </c>
      <c r="R13" s="140"/>
      <c r="S13" s="140" t="s">
        <v>334</v>
      </c>
      <c r="T13" s="144">
        <v>300585445</v>
      </c>
      <c r="U13" s="145" t="s">
        <v>286</v>
      </c>
    </row>
    <row r="14" spans="1:21">
      <c r="A14">
        <v>10</v>
      </c>
      <c r="B14" s="140">
        <v>45307</v>
      </c>
      <c r="C14" s="140">
        <v>45359</v>
      </c>
      <c r="D14" s="140" t="s">
        <v>102</v>
      </c>
      <c r="E14" s="140" t="s">
        <v>287</v>
      </c>
      <c r="F14" s="141" t="s">
        <v>288</v>
      </c>
      <c r="G14" s="140" t="s">
        <v>130</v>
      </c>
      <c r="H14" s="140" t="s">
        <v>289</v>
      </c>
      <c r="I14" s="141" t="s">
        <v>290</v>
      </c>
      <c r="J14" s="140" t="s">
        <v>3</v>
      </c>
      <c r="K14" s="140" t="s">
        <v>83</v>
      </c>
      <c r="L14" s="140" t="s">
        <v>291</v>
      </c>
      <c r="M14" s="140" t="s">
        <v>222</v>
      </c>
      <c r="N14" s="142">
        <v>72869039</v>
      </c>
      <c r="O14" s="143">
        <v>29</v>
      </c>
      <c r="P14" s="140" t="s">
        <v>43</v>
      </c>
      <c r="Q14" s="140" t="s">
        <v>3</v>
      </c>
      <c r="R14" s="140"/>
      <c r="S14" s="140" t="s">
        <v>287</v>
      </c>
      <c r="T14" s="144">
        <v>10459303</v>
      </c>
      <c r="U14" s="145" t="s">
        <v>292</v>
      </c>
    </row>
    <row r="15" spans="1:21">
      <c r="A15">
        <v>11</v>
      </c>
      <c r="B15" s="140">
        <v>45307</v>
      </c>
      <c r="C15" s="140">
        <v>45302</v>
      </c>
      <c r="D15" s="140" t="s">
        <v>88</v>
      </c>
      <c r="E15" s="140" t="s">
        <v>293</v>
      </c>
      <c r="F15" s="141" t="s">
        <v>294</v>
      </c>
      <c r="G15" s="140" t="s">
        <v>295</v>
      </c>
      <c r="H15" s="140" t="s">
        <v>296</v>
      </c>
      <c r="I15" s="141" t="s">
        <v>24</v>
      </c>
      <c r="J15" s="140" t="s">
        <v>3</v>
      </c>
      <c r="K15" s="140" t="s">
        <v>83</v>
      </c>
      <c r="L15" s="140" t="s">
        <v>297</v>
      </c>
      <c r="M15" s="140" t="s">
        <v>298</v>
      </c>
      <c r="N15" s="142">
        <v>994701381</v>
      </c>
      <c r="O15" s="143">
        <v>15</v>
      </c>
      <c r="P15" s="140" t="s">
        <v>43</v>
      </c>
      <c r="Q15" s="140" t="s">
        <v>3</v>
      </c>
      <c r="R15" s="140"/>
      <c r="S15" s="140" t="s">
        <v>293</v>
      </c>
      <c r="T15" s="144">
        <v>102642246</v>
      </c>
      <c r="U15" s="145" t="s">
        <v>299</v>
      </c>
    </row>
    <row r="16" spans="1:21">
      <c r="A16">
        <v>12</v>
      </c>
      <c r="B16" s="140">
        <v>45307</v>
      </c>
      <c r="C16" s="140">
        <v>45303</v>
      </c>
      <c r="D16" s="140" t="s">
        <v>236</v>
      </c>
      <c r="E16" s="140" t="s">
        <v>300</v>
      </c>
      <c r="F16" s="141" t="s">
        <v>301</v>
      </c>
      <c r="G16" s="140" t="s">
        <v>302</v>
      </c>
      <c r="H16" s="140" t="s">
        <v>303</v>
      </c>
      <c r="I16" s="141" t="s">
        <v>304</v>
      </c>
      <c r="J16" s="140" t="s">
        <v>3</v>
      </c>
      <c r="K16" s="140" t="s">
        <v>83</v>
      </c>
      <c r="L16" s="140" t="s">
        <v>305</v>
      </c>
      <c r="M16" s="140" t="s">
        <v>306</v>
      </c>
      <c r="N16" s="142">
        <v>2285172</v>
      </c>
      <c r="O16" s="143">
        <v>15</v>
      </c>
      <c r="P16" s="140" t="s">
        <v>43</v>
      </c>
      <c r="Q16" s="140" t="s">
        <v>3</v>
      </c>
      <c r="R16" s="140"/>
      <c r="S16" s="140" t="s">
        <v>300</v>
      </c>
      <c r="T16" s="144">
        <v>1705700183</v>
      </c>
      <c r="U16" s="145" t="s">
        <v>307</v>
      </c>
    </row>
    <row r="17" spans="1:21">
      <c r="A17">
        <v>13</v>
      </c>
      <c r="B17" s="140">
        <v>45308</v>
      </c>
      <c r="C17" s="140">
        <v>45269</v>
      </c>
      <c r="D17" s="140" t="s">
        <v>236</v>
      </c>
      <c r="E17" s="140" t="s">
        <v>308</v>
      </c>
      <c r="F17" s="141" t="s">
        <v>309</v>
      </c>
      <c r="G17" s="140" t="s">
        <v>310</v>
      </c>
      <c r="H17" s="140" t="s">
        <v>311</v>
      </c>
      <c r="I17" s="141" t="s">
        <v>24</v>
      </c>
      <c r="J17" s="140" t="s">
        <v>3</v>
      </c>
      <c r="K17" s="140" t="s">
        <v>83</v>
      </c>
      <c r="L17" s="140" t="s">
        <v>312</v>
      </c>
      <c r="M17" s="140" t="s">
        <v>222</v>
      </c>
      <c r="N17" s="142">
        <v>993120554</v>
      </c>
      <c r="O17" s="143">
        <v>36</v>
      </c>
      <c r="P17" s="140" t="s">
        <v>43</v>
      </c>
      <c r="Q17" s="140" t="s">
        <v>3</v>
      </c>
      <c r="R17" s="140"/>
      <c r="S17" s="140" t="s">
        <v>308</v>
      </c>
      <c r="T17" s="144">
        <v>104753066</v>
      </c>
      <c r="U17" s="145"/>
    </row>
    <row r="18" spans="1:21">
      <c r="A18">
        <v>14</v>
      </c>
      <c r="B18" s="140">
        <v>45309</v>
      </c>
      <c r="C18" s="140">
        <v>45304</v>
      </c>
      <c r="D18" s="140" t="s">
        <v>99</v>
      </c>
      <c r="E18" s="140" t="s">
        <v>335</v>
      </c>
      <c r="F18" s="141" t="s">
        <v>313</v>
      </c>
      <c r="G18" s="140" t="s">
        <v>314</v>
      </c>
      <c r="H18" s="140" t="s">
        <v>315</v>
      </c>
      <c r="I18" s="141" t="s">
        <v>24</v>
      </c>
      <c r="J18" s="140" t="s">
        <v>3</v>
      </c>
      <c r="K18" s="140" t="s">
        <v>83</v>
      </c>
      <c r="L18" s="140" t="s">
        <v>316</v>
      </c>
      <c r="M18" s="140" t="s">
        <v>317</v>
      </c>
      <c r="N18" s="142">
        <v>2818078</v>
      </c>
      <c r="O18" s="143">
        <v>29</v>
      </c>
      <c r="P18" s="140" t="s">
        <v>43</v>
      </c>
      <c r="Q18" s="140" t="s">
        <v>3</v>
      </c>
      <c r="R18" s="140"/>
      <c r="S18" s="140" t="s">
        <v>335</v>
      </c>
      <c r="T18" s="144">
        <v>100146703</v>
      </c>
      <c r="U18" s="145" t="s">
        <v>318</v>
      </c>
    </row>
    <row r="19" spans="1:21">
      <c r="A19">
        <v>15</v>
      </c>
      <c r="B19" s="140">
        <v>45309</v>
      </c>
      <c r="C19" s="140">
        <v>44865</v>
      </c>
      <c r="D19" s="140" t="s">
        <v>102</v>
      </c>
      <c r="E19" s="140" t="s">
        <v>319</v>
      </c>
      <c r="F19" s="141" t="s">
        <v>320</v>
      </c>
      <c r="G19" s="140" t="s">
        <v>130</v>
      </c>
      <c r="H19" s="140" t="s">
        <v>321</v>
      </c>
      <c r="I19" s="141" t="s">
        <v>24</v>
      </c>
      <c r="J19" s="140" t="s">
        <v>3</v>
      </c>
      <c r="K19" s="140" t="s">
        <v>83</v>
      </c>
      <c r="L19" s="140" t="s">
        <v>322</v>
      </c>
      <c r="M19" s="140" t="s">
        <v>323</v>
      </c>
      <c r="N19" s="142">
        <v>984652092</v>
      </c>
      <c r="O19" s="143">
        <v>29</v>
      </c>
      <c r="P19" s="140" t="s">
        <v>43</v>
      </c>
      <c r="Q19" s="140" t="s">
        <v>3</v>
      </c>
      <c r="R19" s="140"/>
      <c r="S19" s="140" t="s">
        <v>319</v>
      </c>
      <c r="T19" s="144">
        <v>103822656</v>
      </c>
      <c r="U19" s="145" t="s">
        <v>324</v>
      </c>
    </row>
    <row r="22" spans="1:21">
      <c r="O22" s="103">
        <f>SUM(O5:O21)</f>
        <v>406</v>
      </c>
    </row>
  </sheetData>
  <hyperlinks>
    <hyperlink ref="U5" r:id="rId1" xr:uid="{00000000-0004-0000-0000-000000000000}"/>
    <hyperlink ref="U6" r:id="rId2" xr:uid="{00000000-0004-0000-0000-000001000000}"/>
    <hyperlink ref="U7" r:id="rId3" xr:uid="{00000000-0004-0000-0000-000002000000}"/>
    <hyperlink ref="U8" r:id="rId4" xr:uid="{00000000-0004-0000-0000-000003000000}"/>
    <hyperlink ref="U10" r:id="rId5" xr:uid="{00000000-0004-0000-0000-000004000000}"/>
    <hyperlink ref="U12" r:id="rId6" xr:uid="{00000000-0004-0000-0000-000005000000}"/>
    <hyperlink ref="U13" r:id="rId7" xr:uid="{00000000-0004-0000-0000-000006000000}"/>
    <hyperlink ref="U14" r:id="rId8" xr:uid="{00000000-0004-0000-0000-000007000000}"/>
    <hyperlink ref="U15" r:id="rId9" xr:uid="{00000000-0004-0000-0000-000008000000}"/>
    <hyperlink ref="U16" r:id="rId10" xr:uid="{00000000-0004-0000-0000-000009000000}"/>
    <hyperlink ref="U18" r:id="rId11" xr:uid="{00000000-0004-0000-0000-00000A000000}"/>
    <hyperlink ref="U19" r:id="rId12" xr:uid="{00000000-0004-0000-0000-00000B000000}"/>
  </hyperlinks>
  <pageMargins left="0.7" right="0.7" top="0.75" bottom="0.75" header="0.3" footer="0.3"/>
  <pageSetup paperSize="9" orientation="portrait" horizontalDpi="0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8"/>
  <sheetViews>
    <sheetView workbookViewId="0">
      <selection activeCell="N7" sqref="N7"/>
    </sheetView>
  </sheetViews>
  <sheetFormatPr baseColWidth="10" defaultRowHeight="15"/>
  <cols>
    <col min="4" max="4" width="11.83203125" bestFit="1" customWidth="1"/>
    <col min="6" max="6" width="39.6640625" customWidth="1"/>
    <col min="7" max="7" width="14.83203125" customWidth="1"/>
    <col min="13" max="13" width="27.5" customWidth="1"/>
  </cols>
  <sheetData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2">
      <c r="A3" s="1"/>
      <c r="B3" s="1"/>
      <c r="C3" s="2" t="s">
        <v>0</v>
      </c>
      <c r="D3" s="3"/>
      <c r="E3" s="3"/>
      <c r="F3" s="1"/>
      <c r="G3" s="3"/>
      <c r="H3" s="3"/>
      <c r="I3" s="3"/>
      <c r="J3" s="3"/>
      <c r="K3" s="3"/>
      <c r="L3" s="3"/>
      <c r="M3" s="3"/>
      <c r="N3" s="3"/>
      <c r="O3" s="3"/>
      <c r="P3" s="1"/>
    </row>
    <row r="4" spans="1:22" ht="16" thickBot="1">
      <c r="A4" s="1"/>
      <c r="B4" s="3"/>
      <c r="C4" s="4" t="s">
        <v>1</v>
      </c>
      <c r="D4" s="4"/>
      <c r="E4" s="4"/>
      <c r="F4" s="1"/>
      <c r="G4" s="5" t="s">
        <v>2</v>
      </c>
      <c r="H4" s="6"/>
      <c r="I4" s="6"/>
      <c r="J4" s="6" t="s">
        <v>3</v>
      </c>
      <c r="K4" s="1"/>
      <c r="L4" s="139">
        <v>45292</v>
      </c>
      <c r="M4" s="6"/>
      <c r="N4" s="6"/>
      <c r="O4" s="6"/>
      <c r="P4" s="1"/>
    </row>
    <row r="5" spans="1:22" ht="36">
      <c r="A5" s="1"/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10" t="s">
        <v>18</v>
      </c>
      <c r="Q5" s="10" t="s">
        <v>11</v>
      </c>
      <c r="R5" s="10"/>
      <c r="S5" s="133"/>
      <c r="T5" s="133" t="s">
        <v>77</v>
      </c>
    </row>
    <row r="6" spans="1:22" ht="21.75" customHeight="1">
      <c r="A6" s="11">
        <v>1</v>
      </c>
      <c r="B6" s="12">
        <v>45310</v>
      </c>
      <c r="C6" s="13" t="s">
        <v>99</v>
      </c>
      <c r="D6" s="186">
        <v>45310</v>
      </c>
      <c r="E6" s="14">
        <v>113610005</v>
      </c>
      <c r="F6" s="15" t="s">
        <v>203</v>
      </c>
      <c r="G6" s="14" t="s">
        <v>230</v>
      </c>
      <c r="H6" s="16">
        <v>413601</v>
      </c>
      <c r="I6" s="16" t="s">
        <v>20</v>
      </c>
      <c r="J6" s="17" t="s">
        <v>21</v>
      </c>
      <c r="K6" s="12">
        <v>45310</v>
      </c>
      <c r="L6" s="15" t="s">
        <v>231</v>
      </c>
      <c r="M6" s="15" t="s">
        <v>91</v>
      </c>
      <c r="N6" s="43">
        <v>987844003</v>
      </c>
      <c r="O6" s="19">
        <v>15</v>
      </c>
      <c r="P6" s="18" t="s">
        <v>22</v>
      </c>
      <c r="Q6" s="20" t="s">
        <v>23</v>
      </c>
      <c r="R6" s="21"/>
      <c r="S6" s="22" t="s">
        <v>344</v>
      </c>
      <c r="T6" s="23"/>
      <c r="U6" s="11"/>
      <c r="V6" s="11"/>
    </row>
    <row r="7" spans="1:22" ht="34">
      <c r="A7">
        <v>2</v>
      </c>
      <c r="B7" s="12">
        <v>45310</v>
      </c>
      <c r="C7" s="13" t="s">
        <v>99</v>
      </c>
      <c r="D7" s="186">
        <v>45310</v>
      </c>
      <c r="E7" s="14">
        <v>45336</v>
      </c>
      <c r="F7" s="15" t="s">
        <v>232</v>
      </c>
      <c r="G7" s="14" t="s">
        <v>233</v>
      </c>
      <c r="H7" s="16" t="s">
        <v>24</v>
      </c>
      <c r="I7" s="16" t="s">
        <v>20</v>
      </c>
      <c r="J7" s="17" t="s">
        <v>21</v>
      </c>
      <c r="K7" s="12">
        <v>45310</v>
      </c>
      <c r="L7" s="15" t="s">
        <v>231</v>
      </c>
      <c r="M7" s="15" t="s">
        <v>91</v>
      </c>
      <c r="N7" s="43">
        <v>987844003</v>
      </c>
      <c r="O7" s="19">
        <v>15</v>
      </c>
      <c r="P7" s="18" t="s">
        <v>22</v>
      </c>
      <c r="Q7" s="20" t="s">
        <v>23</v>
      </c>
      <c r="R7" s="21"/>
      <c r="S7" s="22" t="s">
        <v>344</v>
      </c>
      <c r="T7" s="23"/>
      <c r="U7" t="s">
        <v>341</v>
      </c>
    </row>
    <row r="8" spans="1:22">
      <c r="O8" s="187">
        <f>SUM(O6:O7)</f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14"/>
  <sheetViews>
    <sheetView topLeftCell="A5" workbookViewId="0">
      <selection activeCell="N6" sqref="N6"/>
    </sheetView>
  </sheetViews>
  <sheetFormatPr baseColWidth="10" defaultRowHeight="15"/>
  <cols>
    <col min="1" max="1" width="11.5" bestFit="1" customWidth="1"/>
    <col min="2" max="2" width="11.83203125" bestFit="1" customWidth="1"/>
    <col min="3" max="3" width="32.6640625" customWidth="1"/>
    <col min="5" max="5" width="11.5" bestFit="1" customWidth="1"/>
    <col min="7" max="7" width="14.83203125" customWidth="1"/>
    <col min="8" max="8" width="11.5" bestFit="1" customWidth="1"/>
    <col min="11" max="11" width="12" bestFit="1" customWidth="1"/>
    <col min="12" max="12" width="12.5" customWidth="1"/>
    <col min="13" max="13" width="32.1640625" customWidth="1"/>
    <col min="14" max="14" width="13.1640625" customWidth="1"/>
    <col min="15" max="15" width="11.5" bestFit="1" customWidth="1"/>
    <col min="16" max="16" width="17.83203125" customWidth="1"/>
  </cols>
  <sheetData>
    <row r="2" spans="1:16">
      <c r="A2" s="24"/>
      <c r="B2" s="25"/>
      <c r="C2" s="26"/>
      <c r="D2" s="26"/>
      <c r="E2" s="26"/>
      <c r="F2" s="26"/>
      <c r="G2" s="26"/>
      <c r="H2" s="26"/>
      <c r="I2" s="26"/>
      <c r="J2" s="26"/>
      <c r="K2" s="27"/>
      <c r="L2" s="26"/>
      <c r="M2" s="26"/>
      <c r="N2" s="26"/>
      <c r="O2" s="28"/>
      <c r="P2" s="26"/>
    </row>
    <row r="3" spans="1:16">
      <c r="A3" s="26"/>
      <c r="B3" s="25"/>
      <c r="C3" s="29" t="s">
        <v>0</v>
      </c>
      <c r="D3" s="30"/>
      <c r="E3" s="30"/>
      <c r="F3" s="26"/>
      <c r="G3" s="30"/>
      <c r="H3" s="30"/>
      <c r="I3" s="30"/>
      <c r="J3" s="30"/>
      <c r="K3" s="31"/>
      <c r="L3" s="30"/>
      <c r="M3" s="30"/>
      <c r="N3" s="30"/>
      <c r="O3" s="32"/>
      <c r="P3" s="26"/>
    </row>
    <row r="4" spans="1:16" ht="16">
      <c r="A4" s="26"/>
      <c r="B4" s="33"/>
      <c r="C4" s="34" t="s">
        <v>1</v>
      </c>
      <c r="D4" s="34"/>
      <c r="E4" s="34"/>
      <c r="F4" s="26"/>
      <c r="G4" s="26"/>
      <c r="H4" s="35"/>
      <c r="I4" s="36" t="s">
        <v>25</v>
      </c>
      <c r="J4" s="35"/>
      <c r="K4" s="27"/>
      <c r="L4" s="37" t="s">
        <v>224</v>
      </c>
      <c r="M4" s="35"/>
      <c r="N4" s="35"/>
      <c r="O4" s="28"/>
      <c r="P4" s="26"/>
    </row>
    <row r="5" spans="1:16" ht="36">
      <c r="A5" s="26"/>
      <c r="B5" s="38" t="s">
        <v>4</v>
      </c>
      <c r="C5" s="39" t="s">
        <v>5</v>
      </c>
      <c r="D5" s="39" t="s">
        <v>6</v>
      </c>
      <c r="E5" s="39" t="s">
        <v>7</v>
      </c>
      <c r="F5" s="39" t="s">
        <v>8</v>
      </c>
      <c r="G5" s="39" t="s">
        <v>9</v>
      </c>
      <c r="H5" s="39" t="s">
        <v>10</v>
      </c>
      <c r="I5" s="39" t="s">
        <v>11</v>
      </c>
      <c r="J5" s="39" t="s">
        <v>12</v>
      </c>
      <c r="K5" s="40" t="s">
        <v>13</v>
      </c>
      <c r="L5" s="40" t="s">
        <v>14</v>
      </c>
      <c r="M5" s="40" t="s">
        <v>15</v>
      </c>
      <c r="N5" s="40" t="s">
        <v>16</v>
      </c>
      <c r="O5" s="41" t="s">
        <v>17</v>
      </c>
      <c r="P5" s="40" t="s">
        <v>18</v>
      </c>
    </row>
    <row r="6" spans="1:16" ht="16">
      <c r="A6" s="42">
        <v>1</v>
      </c>
      <c r="B6" s="175">
        <v>45299</v>
      </c>
      <c r="C6" s="176" t="s">
        <v>96</v>
      </c>
      <c r="D6" s="176"/>
      <c r="E6" s="176">
        <v>111570003</v>
      </c>
      <c r="F6" s="177" t="s">
        <v>103</v>
      </c>
      <c r="G6" s="178" t="s">
        <v>213</v>
      </c>
      <c r="H6" s="176">
        <v>412897</v>
      </c>
      <c r="I6" s="179" t="s">
        <v>3</v>
      </c>
      <c r="J6" s="179" t="s">
        <v>83</v>
      </c>
      <c r="K6" s="188">
        <v>44934</v>
      </c>
      <c r="L6" s="179" t="s">
        <v>214</v>
      </c>
      <c r="M6" s="179" t="s">
        <v>215</v>
      </c>
      <c r="N6" s="189">
        <v>964054103</v>
      </c>
      <c r="O6" s="182">
        <v>29</v>
      </c>
      <c r="P6" s="179" t="s">
        <v>92</v>
      </c>
    </row>
    <row r="7" spans="1:16" ht="16">
      <c r="A7" s="11">
        <v>2</v>
      </c>
      <c r="B7" s="181">
        <v>45299</v>
      </c>
      <c r="C7" s="174" t="s">
        <v>216</v>
      </c>
      <c r="D7" s="174"/>
      <c r="E7" s="174">
        <v>111570002</v>
      </c>
      <c r="F7" s="174" t="s">
        <v>217</v>
      </c>
      <c r="G7" s="174" t="s">
        <v>218</v>
      </c>
      <c r="H7" s="185">
        <v>413105</v>
      </c>
      <c r="I7" s="174" t="s">
        <v>3</v>
      </c>
      <c r="J7" s="174" t="s">
        <v>83</v>
      </c>
      <c r="K7" s="181">
        <v>45299</v>
      </c>
      <c r="L7" s="174" t="s">
        <v>216</v>
      </c>
      <c r="M7" s="174" t="s">
        <v>91</v>
      </c>
      <c r="N7" s="190">
        <v>987001205</v>
      </c>
      <c r="O7" s="183">
        <f>SUM(O6:O6)</f>
        <v>29</v>
      </c>
      <c r="P7" s="174" t="s">
        <v>92</v>
      </c>
    </row>
    <row r="8" spans="1:16" ht="16">
      <c r="A8" s="42">
        <v>3</v>
      </c>
      <c r="B8" s="181">
        <v>45299</v>
      </c>
      <c r="C8" s="174" t="s">
        <v>216</v>
      </c>
      <c r="D8" s="174"/>
      <c r="E8" s="174">
        <v>111570002</v>
      </c>
      <c r="F8" s="174" t="s">
        <v>217</v>
      </c>
      <c r="G8" s="174" t="s">
        <v>219</v>
      </c>
      <c r="H8" s="185">
        <v>406095</v>
      </c>
      <c r="I8" s="174" t="s">
        <v>3</v>
      </c>
      <c r="J8" s="174" t="s">
        <v>83</v>
      </c>
      <c r="K8" s="181">
        <v>45299</v>
      </c>
      <c r="L8" s="174" t="s">
        <v>216</v>
      </c>
      <c r="M8" s="174" t="s">
        <v>91</v>
      </c>
      <c r="N8" s="190">
        <v>987001205</v>
      </c>
      <c r="O8" s="182">
        <v>29</v>
      </c>
      <c r="P8" s="179" t="s">
        <v>92</v>
      </c>
    </row>
    <row r="9" spans="1:16" ht="16">
      <c r="A9" s="11">
        <v>4</v>
      </c>
      <c r="B9" s="181">
        <v>45067</v>
      </c>
      <c r="C9" s="174" t="s">
        <v>216</v>
      </c>
      <c r="D9" s="174"/>
      <c r="E9" s="174">
        <v>111250003</v>
      </c>
      <c r="F9" s="174" t="s">
        <v>103</v>
      </c>
      <c r="G9" s="174" t="s">
        <v>220</v>
      </c>
      <c r="H9" s="185">
        <v>395690</v>
      </c>
      <c r="I9" s="174" t="s">
        <v>3</v>
      </c>
      <c r="J9" s="174" t="s">
        <v>83</v>
      </c>
      <c r="K9" s="181">
        <v>45306</v>
      </c>
      <c r="L9" s="174" t="s">
        <v>221</v>
      </c>
      <c r="M9" s="174" t="s">
        <v>222</v>
      </c>
      <c r="N9" s="190">
        <v>2840737</v>
      </c>
      <c r="O9" s="183">
        <f>SUM(O8:O8)</f>
        <v>29</v>
      </c>
      <c r="P9" s="174" t="s">
        <v>87</v>
      </c>
    </row>
    <row r="10" spans="1:16" ht="16">
      <c r="A10" s="42">
        <v>5</v>
      </c>
      <c r="B10" s="175">
        <v>44945</v>
      </c>
      <c r="C10" s="176" t="s">
        <v>99</v>
      </c>
      <c r="D10" s="176"/>
      <c r="E10" s="176">
        <v>111570002</v>
      </c>
      <c r="F10" s="177" t="s">
        <v>217</v>
      </c>
      <c r="G10" s="178" t="s">
        <v>228</v>
      </c>
      <c r="H10" s="176">
        <v>413519</v>
      </c>
      <c r="I10" s="179" t="s">
        <v>3</v>
      </c>
      <c r="J10" s="179" t="s">
        <v>83</v>
      </c>
      <c r="K10" s="188">
        <v>45310</v>
      </c>
      <c r="L10" s="179" t="s">
        <v>229</v>
      </c>
      <c r="M10" s="179" t="s">
        <v>91</v>
      </c>
      <c r="N10" s="191">
        <v>987844003</v>
      </c>
      <c r="O10" s="182">
        <v>29</v>
      </c>
      <c r="P10" s="179" t="s">
        <v>92</v>
      </c>
    </row>
    <row r="11" spans="1:16" ht="16">
      <c r="A11" s="11">
        <v>6</v>
      </c>
      <c r="B11" s="181">
        <v>45310</v>
      </c>
      <c r="C11" s="174" t="s">
        <v>216</v>
      </c>
      <c r="D11" s="174"/>
      <c r="E11" s="174">
        <v>111570002</v>
      </c>
      <c r="F11" s="174" t="s">
        <v>217</v>
      </c>
      <c r="G11" s="174" t="s">
        <v>234</v>
      </c>
      <c r="H11" s="185">
        <v>413958</v>
      </c>
      <c r="I11" s="174" t="s">
        <v>3</v>
      </c>
      <c r="J11" s="174" t="s">
        <v>83</v>
      </c>
      <c r="K11" s="181">
        <v>45310</v>
      </c>
      <c r="L11" s="174" t="s">
        <v>216</v>
      </c>
      <c r="M11" s="174" t="s">
        <v>91</v>
      </c>
      <c r="N11" s="190">
        <v>987001205</v>
      </c>
      <c r="O11" s="183">
        <v>29</v>
      </c>
      <c r="P11" s="174" t="s">
        <v>235</v>
      </c>
    </row>
    <row r="12" spans="1:16" ht="16">
      <c r="A12" s="42">
        <v>7</v>
      </c>
      <c r="B12" s="175"/>
      <c r="C12" s="176"/>
      <c r="D12" s="176"/>
      <c r="E12" s="176"/>
      <c r="F12" s="177"/>
      <c r="G12" s="178"/>
      <c r="H12" s="176"/>
      <c r="I12" s="179" t="s">
        <v>3</v>
      </c>
      <c r="J12" s="179" t="s">
        <v>83</v>
      </c>
      <c r="K12" s="180"/>
      <c r="L12" s="179"/>
      <c r="M12" s="179"/>
      <c r="N12" s="179"/>
      <c r="O12" s="182"/>
      <c r="P12" s="179"/>
    </row>
    <row r="13" spans="1:16" ht="16">
      <c r="A13" s="11">
        <v>8</v>
      </c>
      <c r="B13" s="181"/>
      <c r="C13" s="174"/>
      <c r="D13" s="174"/>
      <c r="E13" s="174"/>
      <c r="F13" s="174"/>
      <c r="G13" s="174"/>
      <c r="H13" s="174"/>
      <c r="I13" s="174" t="s">
        <v>3</v>
      </c>
      <c r="J13" s="174" t="s">
        <v>83</v>
      </c>
      <c r="K13" s="181"/>
      <c r="L13" s="174"/>
      <c r="M13" s="174"/>
      <c r="N13" s="174"/>
      <c r="O13" s="183"/>
      <c r="P13" s="174"/>
    </row>
    <row r="14" spans="1:16">
      <c r="O14" s="103">
        <v>174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7"/>
  <sheetViews>
    <sheetView topLeftCell="A16" workbookViewId="0">
      <selection activeCell="T25" sqref="T25:T34"/>
    </sheetView>
  </sheetViews>
  <sheetFormatPr baseColWidth="10" defaultRowHeight="15"/>
  <cols>
    <col min="2" max="2" width="11.83203125" bestFit="1" customWidth="1"/>
    <col min="3" max="3" width="17.5" customWidth="1"/>
    <col min="4" max="4" width="20.33203125" customWidth="1"/>
    <col min="6" max="6" width="26.33203125" customWidth="1"/>
    <col min="7" max="7" width="16.5" customWidth="1"/>
    <col min="12" max="12" width="19.83203125" customWidth="1"/>
    <col min="13" max="13" width="24.83203125" customWidth="1"/>
    <col min="14" max="14" width="12.5" bestFit="1" customWidth="1"/>
    <col min="15" max="15" width="14.6640625" customWidth="1"/>
    <col min="16" max="16" width="15.33203125" customWidth="1"/>
    <col min="19" max="19" width="18.83203125" customWidth="1"/>
    <col min="20" max="20" width="15" customWidth="1"/>
    <col min="21" max="21" width="29.5" customWidth="1"/>
  </cols>
  <sheetData>
    <row r="1" spans="1:22">
      <c r="A1" s="66"/>
    </row>
    <row r="2" spans="1:22">
      <c r="A2" s="66"/>
    </row>
    <row r="3" spans="1:22">
      <c r="A3" s="67"/>
      <c r="C3" s="68" t="s">
        <v>26</v>
      </c>
      <c r="E3" s="69"/>
      <c r="G3" s="70"/>
      <c r="H3" s="71"/>
      <c r="I3" s="72"/>
      <c r="J3" s="73"/>
      <c r="K3" s="71"/>
      <c r="L3" s="74"/>
      <c r="M3" s="74"/>
      <c r="N3" s="71"/>
      <c r="O3" s="75"/>
    </row>
    <row r="4" spans="1:22" ht="16">
      <c r="A4" s="67"/>
      <c r="C4" s="76" t="s">
        <v>1</v>
      </c>
      <c r="E4" s="71"/>
      <c r="G4" s="77" t="s">
        <v>44</v>
      </c>
      <c r="H4" s="78"/>
      <c r="I4" s="79"/>
      <c r="J4" s="80"/>
      <c r="K4" s="78"/>
      <c r="L4" s="81"/>
      <c r="M4" s="82"/>
      <c r="N4" s="71" t="s">
        <v>225</v>
      </c>
      <c r="O4" s="75"/>
      <c r="P4" s="83"/>
    </row>
    <row r="5" spans="1:22" ht="24">
      <c r="A5" s="84"/>
      <c r="B5" s="85" t="s">
        <v>29</v>
      </c>
      <c r="C5" s="86" t="s">
        <v>30</v>
      </c>
      <c r="D5" s="86" t="s">
        <v>6</v>
      </c>
      <c r="E5" s="87" t="s">
        <v>31</v>
      </c>
      <c r="F5" s="86" t="s">
        <v>32</v>
      </c>
      <c r="G5" s="87" t="s">
        <v>33</v>
      </c>
      <c r="H5" s="87" t="s">
        <v>10</v>
      </c>
      <c r="I5" s="86" t="s">
        <v>34</v>
      </c>
      <c r="J5" s="87" t="s">
        <v>35</v>
      </c>
      <c r="K5" s="86" t="s">
        <v>28</v>
      </c>
      <c r="L5" s="88" t="s">
        <v>14</v>
      </c>
      <c r="M5" s="88" t="s">
        <v>36</v>
      </c>
      <c r="N5" s="87" t="s">
        <v>16</v>
      </c>
      <c r="O5" s="89" t="s">
        <v>17</v>
      </c>
      <c r="P5" s="86" t="s">
        <v>37</v>
      </c>
      <c r="Q5" s="86" t="s">
        <v>38</v>
      </c>
      <c r="R5" s="85" t="s">
        <v>39</v>
      </c>
      <c r="S5" s="86" t="s">
        <v>40</v>
      </c>
      <c r="T5" s="85" t="s">
        <v>41</v>
      </c>
      <c r="U5" s="85" t="s">
        <v>42</v>
      </c>
      <c r="V5" s="90"/>
    </row>
    <row r="6" spans="1:22" ht="16">
      <c r="A6" s="91">
        <v>1</v>
      </c>
      <c r="B6" s="92">
        <v>45290</v>
      </c>
      <c r="C6" s="93" t="s">
        <v>99</v>
      </c>
      <c r="D6" s="93" t="s">
        <v>104</v>
      </c>
      <c r="E6" s="94">
        <v>112580017</v>
      </c>
      <c r="F6" s="95" t="s">
        <v>105</v>
      </c>
      <c r="G6" s="96" t="s">
        <v>106</v>
      </c>
      <c r="H6" s="93">
        <v>406232</v>
      </c>
      <c r="I6" s="93" t="s">
        <v>23</v>
      </c>
      <c r="J6" s="96" t="s">
        <v>21</v>
      </c>
      <c r="K6" s="138">
        <v>45299</v>
      </c>
      <c r="L6" s="97" t="s">
        <v>107</v>
      </c>
      <c r="M6" s="97" t="s">
        <v>90</v>
      </c>
      <c r="N6" s="93">
        <v>72853594</v>
      </c>
      <c r="O6" s="98">
        <v>20</v>
      </c>
      <c r="P6" s="96" t="s">
        <v>45</v>
      </c>
      <c r="Q6" s="96" t="s">
        <v>23</v>
      </c>
      <c r="R6" s="99"/>
      <c r="S6" s="93" t="s">
        <v>104</v>
      </c>
      <c r="T6" s="134" t="s">
        <v>108</v>
      </c>
      <c r="U6" s="135" t="s">
        <v>109</v>
      </c>
      <c r="V6" s="11"/>
    </row>
    <row r="7" spans="1:22" ht="16">
      <c r="A7" s="91">
        <v>2</v>
      </c>
      <c r="B7" s="92">
        <v>45290</v>
      </c>
      <c r="C7" s="93" t="s">
        <v>99</v>
      </c>
      <c r="D7" s="93" t="s">
        <v>104</v>
      </c>
      <c r="E7" s="94">
        <v>111030002</v>
      </c>
      <c r="F7" s="95" t="s">
        <v>110</v>
      </c>
      <c r="G7" s="96" t="s">
        <v>111</v>
      </c>
      <c r="H7" s="93" t="s">
        <v>24</v>
      </c>
      <c r="I7" s="93" t="s">
        <v>23</v>
      </c>
      <c r="J7" s="96" t="s">
        <v>21</v>
      </c>
      <c r="K7" s="138">
        <v>45299</v>
      </c>
      <c r="L7" s="97" t="s">
        <v>107</v>
      </c>
      <c r="M7" s="97" t="s">
        <v>90</v>
      </c>
      <c r="N7" s="93">
        <v>72853594</v>
      </c>
      <c r="O7" s="98">
        <v>20</v>
      </c>
      <c r="P7" s="96" t="s">
        <v>45</v>
      </c>
      <c r="Q7" s="96" t="s">
        <v>23</v>
      </c>
      <c r="R7" s="99"/>
      <c r="S7" s="93" t="s">
        <v>104</v>
      </c>
      <c r="T7" s="134" t="s">
        <v>108</v>
      </c>
      <c r="U7" s="135" t="s">
        <v>109</v>
      </c>
      <c r="V7" s="11"/>
    </row>
    <row r="8" spans="1:22" ht="16">
      <c r="A8" s="11">
        <v>3</v>
      </c>
      <c r="B8" s="92">
        <v>45286</v>
      </c>
      <c r="C8" s="93" t="s">
        <v>19</v>
      </c>
      <c r="D8" s="93" t="s">
        <v>112</v>
      </c>
      <c r="E8" s="94">
        <v>112580058</v>
      </c>
      <c r="F8" s="95" t="s">
        <v>95</v>
      </c>
      <c r="G8" s="96" t="s">
        <v>113</v>
      </c>
      <c r="H8" s="93" t="s">
        <v>24</v>
      </c>
      <c r="I8" s="93" t="s">
        <v>23</v>
      </c>
      <c r="J8" s="96" t="s">
        <v>21</v>
      </c>
      <c r="K8" s="138">
        <v>45299</v>
      </c>
      <c r="L8" s="97" t="s">
        <v>114</v>
      </c>
      <c r="M8" s="97" t="s">
        <v>115</v>
      </c>
      <c r="N8" s="93">
        <v>982855549</v>
      </c>
      <c r="O8" s="98">
        <v>20</v>
      </c>
      <c r="P8" s="96" t="s">
        <v>45</v>
      </c>
      <c r="Q8" s="96" t="s">
        <v>23</v>
      </c>
      <c r="R8" s="99"/>
      <c r="S8" s="93" t="s">
        <v>112</v>
      </c>
      <c r="T8" s="134" t="s">
        <v>116</v>
      </c>
      <c r="U8" s="135" t="s">
        <v>117</v>
      </c>
    </row>
    <row r="9" spans="1:22" ht="16">
      <c r="A9" s="91">
        <v>4</v>
      </c>
      <c r="B9" s="92">
        <v>45286</v>
      </c>
      <c r="C9" s="93" t="s">
        <v>19</v>
      </c>
      <c r="D9" s="93" t="s">
        <v>112</v>
      </c>
      <c r="E9" s="94">
        <v>112930023</v>
      </c>
      <c r="F9" s="95" t="s">
        <v>118</v>
      </c>
      <c r="G9" s="96" t="s">
        <v>119</v>
      </c>
      <c r="H9" s="93" t="s">
        <v>24</v>
      </c>
      <c r="I9" s="93" t="s">
        <v>23</v>
      </c>
      <c r="J9" s="96" t="s">
        <v>21</v>
      </c>
      <c r="K9" s="138">
        <v>45299</v>
      </c>
      <c r="L9" s="97" t="s">
        <v>114</v>
      </c>
      <c r="M9" s="97" t="s">
        <v>115</v>
      </c>
      <c r="N9" s="93">
        <v>982855549</v>
      </c>
      <c r="O9" s="98">
        <v>20</v>
      </c>
      <c r="P9" s="96" t="s">
        <v>45</v>
      </c>
      <c r="Q9" s="96" t="s">
        <v>23</v>
      </c>
      <c r="R9" s="99"/>
      <c r="S9" s="93" t="s">
        <v>112</v>
      </c>
      <c r="T9" s="134" t="s">
        <v>116</v>
      </c>
      <c r="U9" s="135" t="s">
        <v>117</v>
      </c>
    </row>
    <row r="10" spans="1:22" ht="16">
      <c r="A10" s="91">
        <v>5</v>
      </c>
      <c r="B10" s="92">
        <v>45295</v>
      </c>
      <c r="C10" s="93" t="s">
        <v>96</v>
      </c>
      <c r="D10" s="93" t="s">
        <v>128</v>
      </c>
      <c r="E10" s="94">
        <v>112580027</v>
      </c>
      <c r="F10" s="95" t="s">
        <v>100</v>
      </c>
      <c r="G10" s="96" t="s">
        <v>121</v>
      </c>
      <c r="H10" s="93">
        <v>401745</v>
      </c>
      <c r="I10" s="93" t="s">
        <v>23</v>
      </c>
      <c r="J10" s="96" t="s">
        <v>21</v>
      </c>
      <c r="K10" s="138">
        <v>45300</v>
      </c>
      <c r="L10" s="97" t="s">
        <v>122</v>
      </c>
      <c r="M10" s="97" t="s">
        <v>123</v>
      </c>
      <c r="N10" s="93">
        <v>992114485</v>
      </c>
      <c r="O10" s="98">
        <v>20</v>
      </c>
      <c r="P10" s="96" t="s">
        <v>45</v>
      </c>
      <c r="Q10" s="96" t="s">
        <v>23</v>
      </c>
      <c r="R10" s="99"/>
      <c r="S10" s="93" t="s">
        <v>128</v>
      </c>
      <c r="T10" s="134" t="s">
        <v>124</v>
      </c>
      <c r="U10" s="135" t="s">
        <v>125</v>
      </c>
    </row>
    <row r="11" spans="1:22" ht="16">
      <c r="A11" s="11">
        <v>6</v>
      </c>
      <c r="B11" s="92">
        <v>45295</v>
      </c>
      <c r="C11" s="93" t="s">
        <v>96</v>
      </c>
      <c r="D11" s="93" t="s">
        <v>120</v>
      </c>
      <c r="E11" s="94">
        <v>40461543</v>
      </c>
      <c r="F11" s="95" t="s">
        <v>126</v>
      </c>
      <c r="G11" s="96" t="s">
        <v>127</v>
      </c>
      <c r="H11" s="93" t="s">
        <v>24</v>
      </c>
      <c r="I11" s="93" t="s">
        <v>23</v>
      </c>
      <c r="J11" s="96" t="s">
        <v>21</v>
      </c>
      <c r="K11" s="138">
        <v>45300</v>
      </c>
      <c r="L11" s="97" t="s">
        <v>122</v>
      </c>
      <c r="M11" s="97" t="s">
        <v>123</v>
      </c>
      <c r="N11" s="93">
        <v>992114485</v>
      </c>
      <c r="O11" s="98">
        <v>20</v>
      </c>
      <c r="P11" s="96" t="s">
        <v>45</v>
      </c>
      <c r="Q11" s="96" t="s">
        <v>23</v>
      </c>
      <c r="R11" s="99"/>
      <c r="S11" s="93" t="s">
        <v>120</v>
      </c>
      <c r="T11" s="134" t="s">
        <v>124</v>
      </c>
      <c r="U11" s="135" t="s">
        <v>125</v>
      </c>
    </row>
    <row r="12" spans="1:22" ht="16">
      <c r="A12" s="91">
        <v>7</v>
      </c>
      <c r="B12" s="92">
        <v>45276</v>
      </c>
      <c r="C12" s="93" t="s">
        <v>98</v>
      </c>
      <c r="D12" s="93" t="s">
        <v>129</v>
      </c>
      <c r="E12" s="94">
        <v>112570126</v>
      </c>
      <c r="F12" s="95" t="s">
        <v>130</v>
      </c>
      <c r="G12" s="96" t="s">
        <v>131</v>
      </c>
      <c r="H12" s="93">
        <v>412658</v>
      </c>
      <c r="I12" s="93" t="s">
        <v>23</v>
      </c>
      <c r="J12" s="96" t="s">
        <v>21</v>
      </c>
      <c r="K12" s="138">
        <v>45301</v>
      </c>
      <c r="L12" s="97" t="s">
        <v>132</v>
      </c>
      <c r="M12" s="97" t="s">
        <v>133</v>
      </c>
      <c r="N12" s="93">
        <v>995863307</v>
      </c>
      <c r="O12" s="98">
        <v>20</v>
      </c>
      <c r="P12" s="96" t="s">
        <v>45</v>
      </c>
      <c r="Q12" s="96" t="s">
        <v>23</v>
      </c>
      <c r="R12" s="99"/>
      <c r="S12" s="93" t="s">
        <v>129</v>
      </c>
      <c r="T12" s="134" t="s">
        <v>134</v>
      </c>
      <c r="U12" s="135" t="s">
        <v>135</v>
      </c>
    </row>
    <row r="13" spans="1:22" ht="16">
      <c r="A13" s="91">
        <v>8</v>
      </c>
      <c r="B13" s="92">
        <v>45286</v>
      </c>
      <c r="C13" s="93" t="s">
        <v>88</v>
      </c>
      <c r="D13" s="93" t="s">
        <v>136</v>
      </c>
      <c r="E13" s="94">
        <v>112930023</v>
      </c>
      <c r="F13" s="95" t="s">
        <v>137</v>
      </c>
      <c r="G13" s="96" t="s">
        <v>138</v>
      </c>
      <c r="H13" s="93">
        <v>394365</v>
      </c>
      <c r="I13" s="93" t="s">
        <v>23</v>
      </c>
      <c r="J13" s="96" t="s">
        <v>21</v>
      </c>
      <c r="K13" s="138">
        <v>45301</v>
      </c>
      <c r="L13" s="97" t="s">
        <v>132</v>
      </c>
      <c r="M13" s="97" t="s">
        <v>133</v>
      </c>
      <c r="N13" s="93">
        <v>995863307</v>
      </c>
      <c r="O13" s="98">
        <v>20</v>
      </c>
      <c r="P13" s="96" t="s">
        <v>45</v>
      </c>
      <c r="Q13" s="96" t="s">
        <v>23</v>
      </c>
      <c r="R13" s="99"/>
      <c r="S13" s="93" t="s">
        <v>136</v>
      </c>
      <c r="T13" s="134" t="s">
        <v>134</v>
      </c>
      <c r="U13" s="135" t="s">
        <v>135</v>
      </c>
    </row>
    <row r="14" spans="1:22" ht="16">
      <c r="A14" s="11">
        <v>9</v>
      </c>
      <c r="B14" s="92">
        <v>45144</v>
      </c>
      <c r="C14" s="93" t="s">
        <v>88</v>
      </c>
      <c r="D14" s="93" t="s">
        <v>139</v>
      </c>
      <c r="E14" s="94">
        <v>40211501</v>
      </c>
      <c r="F14" s="95" t="s">
        <v>140</v>
      </c>
      <c r="G14" s="96" t="s">
        <v>141</v>
      </c>
      <c r="H14" s="93" t="s">
        <v>24</v>
      </c>
      <c r="I14" s="93" t="s">
        <v>23</v>
      </c>
      <c r="J14" s="96" t="s">
        <v>21</v>
      </c>
      <c r="K14" s="138">
        <v>45301</v>
      </c>
      <c r="L14" s="97" t="s">
        <v>142</v>
      </c>
      <c r="M14" s="97" t="s">
        <v>143</v>
      </c>
      <c r="N14" s="93">
        <v>991241459</v>
      </c>
      <c r="O14" s="98">
        <v>20</v>
      </c>
      <c r="P14" s="96" t="s">
        <v>45</v>
      </c>
      <c r="Q14" s="96" t="s">
        <v>23</v>
      </c>
      <c r="R14" s="99"/>
      <c r="S14" s="93" t="s">
        <v>139</v>
      </c>
      <c r="T14" s="134" t="s">
        <v>144</v>
      </c>
      <c r="U14" s="135" t="s">
        <v>145</v>
      </c>
    </row>
    <row r="15" spans="1:22" ht="16">
      <c r="A15" s="91">
        <v>10</v>
      </c>
      <c r="B15" s="92">
        <v>45144</v>
      </c>
      <c r="C15" s="93" t="s">
        <v>88</v>
      </c>
      <c r="D15" s="93" t="s">
        <v>139</v>
      </c>
      <c r="E15" s="94">
        <v>41500142</v>
      </c>
      <c r="F15" s="95" t="s">
        <v>146</v>
      </c>
      <c r="G15" s="96" t="s">
        <v>147</v>
      </c>
      <c r="H15" s="93" t="s">
        <v>24</v>
      </c>
      <c r="I15" s="93" t="s">
        <v>23</v>
      </c>
      <c r="J15" s="96" t="s">
        <v>21</v>
      </c>
      <c r="K15" s="138">
        <v>45301</v>
      </c>
      <c r="L15" s="97" t="s">
        <v>142</v>
      </c>
      <c r="M15" s="97" t="s">
        <v>143</v>
      </c>
      <c r="N15" s="93">
        <v>991241459</v>
      </c>
      <c r="O15" s="98">
        <v>20</v>
      </c>
      <c r="P15" s="96" t="s">
        <v>45</v>
      </c>
      <c r="Q15" s="96" t="s">
        <v>23</v>
      </c>
      <c r="R15" s="99"/>
      <c r="S15" s="93" t="s">
        <v>139</v>
      </c>
      <c r="T15" s="134" t="s">
        <v>144</v>
      </c>
      <c r="U15" s="135" t="s">
        <v>145</v>
      </c>
    </row>
    <row r="16" spans="1:22" ht="16">
      <c r="A16" s="91">
        <v>11</v>
      </c>
      <c r="B16" s="92">
        <v>45258</v>
      </c>
      <c r="C16" s="93" t="s">
        <v>99</v>
      </c>
      <c r="D16" s="93" t="s">
        <v>148</v>
      </c>
      <c r="E16" s="94">
        <v>112570126</v>
      </c>
      <c r="F16" s="95" t="s">
        <v>130</v>
      </c>
      <c r="G16" s="96" t="s">
        <v>131</v>
      </c>
      <c r="H16" s="93" t="s">
        <v>24</v>
      </c>
      <c r="I16" s="93" t="s">
        <v>23</v>
      </c>
      <c r="J16" s="96" t="s">
        <v>21</v>
      </c>
      <c r="K16" s="138">
        <v>45307</v>
      </c>
      <c r="L16" s="97" t="s">
        <v>149</v>
      </c>
      <c r="M16" s="97" t="s">
        <v>150</v>
      </c>
      <c r="N16" s="93">
        <v>982087825</v>
      </c>
      <c r="O16" s="98">
        <v>15</v>
      </c>
      <c r="P16" s="96" t="s">
        <v>45</v>
      </c>
      <c r="Q16" s="96" t="s">
        <v>23</v>
      </c>
      <c r="R16" s="99"/>
      <c r="S16" s="93" t="s">
        <v>148</v>
      </c>
      <c r="T16" s="134" t="s">
        <v>151</v>
      </c>
      <c r="U16" s="135" t="s">
        <v>152</v>
      </c>
    </row>
    <row r="17" spans="1:21" ht="16">
      <c r="A17" s="11">
        <v>12</v>
      </c>
      <c r="B17" s="92">
        <v>45258</v>
      </c>
      <c r="C17" s="93" t="s">
        <v>99</v>
      </c>
      <c r="D17" s="93" t="s">
        <v>148</v>
      </c>
      <c r="E17" s="94">
        <v>932100389</v>
      </c>
      <c r="F17" s="95" t="s">
        <v>153</v>
      </c>
      <c r="G17" s="96" t="s">
        <v>156</v>
      </c>
      <c r="H17" s="93" t="s">
        <v>24</v>
      </c>
      <c r="I17" s="93" t="s">
        <v>23</v>
      </c>
      <c r="J17" s="96" t="s">
        <v>21</v>
      </c>
      <c r="K17" s="138">
        <v>45307</v>
      </c>
      <c r="L17" s="97" t="s">
        <v>149</v>
      </c>
      <c r="M17" s="97" t="s">
        <v>150</v>
      </c>
      <c r="N17" s="93">
        <v>982087825</v>
      </c>
      <c r="O17" s="98">
        <v>15</v>
      </c>
      <c r="P17" s="96" t="s">
        <v>45</v>
      </c>
      <c r="Q17" s="96" t="s">
        <v>23</v>
      </c>
      <c r="R17" s="99"/>
      <c r="S17" s="93" t="s">
        <v>148</v>
      </c>
      <c r="T17" s="134" t="s">
        <v>151</v>
      </c>
      <c r="U17" s="135" t="s">
        <v>152</v>
      </c>
    </row>
    <row r="18" spans="1:21" ht="16">
      <c r="A18" s="91">
        <v>13</v>
      </c>
      <c r="B18" s="92">
        <v>45258</v>
      </c>
      <c r="C18" s="93" t="s">
        <v>99</v>
      </c>
      <c r="D18" s="93" t="s">
        <v>148</v>
      </c>
      <c r="E18" s="94">
        <v>41560124</v>
      </c>
      <c r="F18" s="95" t="s">
        <v>154</v>
      </c>
      <c r="G18" s="96" t="s">
        <v>157</v>
      </c>
      <c r="H18" s="93" t="s">
        <v>24</v>
      </c>
      <c r="I18" s="93" t="s">
        <v>23</v>
      </c>
      <c r="J18" s="96" t="s">
        <v>21</v>
      </c>
      <c r="K18" s="138">
        <v>45307</v>
      </c>
      <c r="L18" s="97" t="s">
        <v>149</v>
      </c>
      <c r="M18" s="97" t="s">
        <v>150</v>
      </c>
      <c r="N18" s="93">
        <v>982087825</v>
      </c>
      <c r="O18" s="98">
        <v>15</v>
      </c>
      <c r="P18" s="96" t="s">
        <v>45</v>
      </c>
      <c r="Q18" s="96" t="s">
        <v>23</v>
      </c>
      <c r="R18" s="99"/>
      <c r="S18" s="93" t="s">
        <v>148</v>
      </c>
      <c r="T18" s="134" t="s">
        <v>151</v>
      </c>
      <c r="U18" s="135" t="s">
        <v>152</v>
      </c>
    </row>
    <row r="19" spans="1:21" ht="16">
      <c r="A19" s="91">
        <v>14</v>
      </c>
      <c r="B19" s="92">
        <v>45258</v>
      </c>
      <c r="C19" s="93" t="s">
        <v>99</v>
      </c>
      <c r="D19" s="93" t="s">
        <v>148</v>
      </c>
      <c r="E19" s="94">
        <v>40590835</v>
      </c>
      <c r="F19" s="95" t="s">
        <v>155</v>
      </c>
      <c r="G19" s="96" t="s">
        <v>158</v>
      </c>
      <c r="H19" s="93" t="s">
        <v>24</v>
      </c>
      <c r="I19" s="93" t="s">
        <v>23</v>
      </c>
      <c r="J19" s="96" t="s">
        <v>21</v>
      </c>
      <c r="K19" s="138">
        <v>45307</v>
      </c>
      <c r="L19" s="97" t="s">
        <v>149</v>
      </c>
      <c r="M19" s="97" t="s">
        <v>150</v>
      </c>
      <c r="N19" s="93">
        <v>982087825</v>
      </c>
      <c r="O19" s="98">
        <v>15</v>
      </c>
      <c r="P19" s="96" t="s">
        <v>45</v>
      </c>
      <c r="Q19" s="96" t="s">
        <v>23</v>
      </c>
      <c r="R19" s="99"/>
      <c r="S19" s="93" t="s">
        <v>148</v>
      </c>
      <c r="T19" s="134" t="s">
        <v>151</v>
      </c>
      <c r="U19" s="135" t="s">
        <v>152</v>
      </c>
    </row>
    <row r="20" spans="1:21" ht="16">
      <c r="A20" s="11">
        <v>15</v>
      </c>
      <c r="B20" s="92">
        <v>45260</v>
      </c>
      <c r="C20" s="93" t="s">
        <v>102</v>
      </c>
      <c r="D20" s="93" t="s">
        <v>159</v>
      </c>
      <c r="E20" s="94">
        <v>112570093</v>
      </c>
      <c r="F20" s="95" t="s">
        <v>160</v>
      </c>
      <c r="G20" s="96" t="s">
        <v>165</v>
      </c>
      <c r="H20" s="93" t="s">
        <v>24</v>
      </c>
      <c r="I20" s="93" t="s">
        <v>23</v>
      </c>
      <c r="J20" s="96" t="s">
        <v>21</v>
      </c>
      <c r="K20" s="138">
        <v>45307</v>
      </c>
      <c r="L20" s="97" t="s">
        <v>170</v>
      </c>
      <c r="M20" s="97" t="s">
        <v>171</v>
      </c>
      <c r="N20" s="93">
        <v>2810951</v>
      </c>
      <c r="O20" s="98">
        <v>15</v>
      </c>
      <c r="P20" s="96" t="s">
        <v>45</v>
      </c>
      <c r="Q20" s="96" t="s">
        <v>23</v>
      </c>
      <c r="R20" s="99"/>
      <c r="S20" s="93" t="s">
        <v>159</v>
      </c>
      <c r="T20" s="134" t="s">
        <v>172</v>
      </c>
      <c r="U20" s="135" t="s">
        <v>173</v>
      </c>
    </row>
    <row r="21" spans="1:21" ht="16">
      <c r="A21" s="91">
        <v>16</v>
      </c>
      <c r="B21" s="92">
        <v>45260</v>
      </c>
      <c r="C21" s="93" t="s">
        <v>102</v>
      </c>
      <c r="D21" s="93" t="s">
        <v>159</v>
      </c>
      <c r="E21" s="94">
        <v>40584202</v>
      </c>
      <c r="F21" s="95" t="s">
        <v>161</v>
      </c>
      <c r="G21" s="96" t="s">
        <v>166</v>
      </c>
      <c r="H21" s="93" t="s">
        <v>24</v>
      </c>
      <c r="I21" s="93" t="s">
        <v>23</v>
      </c>
      <c r="J21" s="96" t="s">
        <v>21</v>
      </c>
      <c r="K21" s="138">
        <v>45307</v>
      </c>
      <c r="L21" s="97" t="s">
        <v>170</v>
      </c>
      <c r="M21" s="97" t="s">
        <v>171</v>
      </c>
      <c r="N21" s="93">
        <v>2810951</v>
      </c>
      <c r="O21" s="98">
        <v>15</v>
      </c>
      <c r="P21" s="96" t="s">
        <v>45</v>
      </c>
      <c r="Q21" s="96" t="s">
        <v>23</v>
      </c>
      <c r="R21" s="99"/>
      <c r="S21" s="93" t="s">
        <v>159</v>
      </c>
      <c r="T21" s="134" t="s">
        <v>172</v>
      </c>
      <c r="U21" s="135" t="s">
        <v>173</v>
      </c>
    </row>
    <row r="22" spans="1:21" ht="16">
      <c r="A22" s="91">
        <v>17</v>
      </c>
      <c r="B22" s="92">
        <v>45260</v>
      </c>
      <c r="C22" s="93" t="s">
        <v>102</v>
      </c>
      <c r="D22" s="93" t="s">
        <v>159</v>
      </c>
      <c r="E22" s="94">
        <v>41560074</v>
      </c>
      <c r="F22" s="95" t="s">
        <v>162</v>
      </c>
      <c r="G22" s="96" t="s">
        <v>167</v>
      </c>
      <c r="H22" s="93" t="s">
        <v>24</v>
      </c>
      <c r="I22" s="93" t="s">
        <v>23</v>
      </c>
      <c r="J22" s="96" t="s">
        <v>21</v>
      </c>
      <c r="K22" s="138">
        <v>45307</v>
      </c>
      <c r="L22" s="97" t="s">
        <v>170</v>
      </c>
      <c r="M22" s="97" t="s">
        <v>171</v>
      </c>
      <c r="N22" s="93">
        <v>2810951</v>
      </c>
      <c r="O22" s="98">
        <v>15</v>
      </c>
      <c r="P22" s="96" t="s">
        <v>45</v>
      </c>
      <c r="Q22" s="96" t="s">
        <v>23</v>
      </c>
      <c r="R22" s="99"/>
      <c r="S22" s="93" t="s">
        <v>159</v>
      </c>
      <c r="T22" s="134" t="s">
        <v>172</v>
      </c>
      <c r="U22" s="135" t="s">
        <v>173</v>
      </c>
    </row>
    <row r="23" spans="1:21" ht="16">
      <c r="A23" s="11">
        <v>18</v>
      </c>
      <c r="B23" s="92">
        <v>45260</v>
      </c>
      <c r="C23" s="93" t="s">
        <v>102</v>
      </c>
      <c r="D23" s="93" t="s">
        <v>159</v>
      </c>
      <c r="E23" s="94">
        <v>40446712</v>
      </c>
      <c r="F23" s="95" t="s">
        <v>163</v>
      </c>
      <c r="G23" s="96" t="s">
        <v>168</v>
      </c>
      <c r="H23" s="93" t="s">
        <v>24</v>
      </c>
      <c r="I23" s="93" t="s">
        <v>23</v>
      </c>
      <c r="J23" s="96" t="s">
        <v>21</v>
      </c>
      <c r="K23" s="138">
        <v>45307</v>
      </c>
      <c r="L23" s="97" t="s">
        <v>170</v>
      </c>
      <c r="M23" s="97" t="s">
        <v>171</v>
      </c>
      <c r="N23" s="93">
        <v>2810951</v>
      </c>
      <c r="O23" s="98">
        <v>15</v>
      </c>
      <c r="P23" s="96" t="s">
        <v>45</v>
      </c>
      <c r="Q23" s="96" t="s">
        <v>23</v>
      </c>
      <c r="R23" s="99"/>
      <c r="S23" s="93" t="s">
        <v>159</v>
      </c>
      <c r="T23" s="134" t="s">
        <v>172</v>
      </c>
      <c r="U23" s="135" t="s">
        <v>173</v>
      </c>
    </row>
    <row r="24" spans="1:21" ht="16">
      <c r="A24" s="91">
        <v>19</v>
      </c>
      <c r="B24" s="92">
        <v>45260</v>
      </c>
      <c r="C24" s="93" t="s">
        <v>102</v>
      </c>
      <c r="D24" s="93" t="s">
        <v>159</v>
      </c>
      <c r="E24" s="94">
        <v>114270008</v>
      </c>
      <c r="F24" s="95" t="s">
        <v>164</v>
      </c>
      <c r="G24" s="96" t="s">
        <v>169</v>
      </c>
      <c r="H24" s="93" t="s">
        <v>24</v>
      </c>
      <c r="I24" s="93" t="s">
        <v>23</v>
      </c>
      <c r="J24" s="96" t="s">
        <v>21</v>
      </c>
      <c r="K24" s="138">
        <v>45307</v>
      </c>
      <c r="L24" s="97" t="s">
        <v>170</v>
      </c>
      <c r="M24" s="97" t="s">
        <v>171</v>
      </c>
      <c r="N24" s="93">
        <v>2810951</v>
      </c>
      <c r="O24" s="98">
        <v>15</v>
      </c>
      <c r="P24" s="96" t="s">
        <v>45</v>
      </c>
      <c r="Q24" s="96" t="s">
        <v>23</v>
      </c>
      <c r="R24" s="99"/>
      <c r="S24" s="93" t="s">
        <v>159</v>
      </c>
      <c r="T24" s="134" t="s">
        <v>172</v>
      </c>
      <c r="U24" s="135" t="s">
        <v>173</v>
      </c>
    </row>
    <row r="25" spans="1:21" ht="16">
      <c r="A25" s="91">
        <v>20</v>
      </c>
      <c r="B25" s="92">
        <v>45246</v>
      </c>
      <c r="C25" s="93" t="s">
        <v>99</v>
      </c>
      <c r="D25" s="93" t="s">
        <v>174</v>
      </c>
      <c r="E25" s="94">
        <v>111000051</v>
      </c>
      <c r="F25" s="95" t="s">
        <v>89</v>
      </c>
      <c r="G25" s="96" t="s">
        <v>175</v>
      </c>
      <c r="H25" s="93" t="s">
        <v>24</v>
      </c>
      <c r="I25" s="93" t="s">
        <v>23</v>
      </c>
      <c r="J25" s="96" t="s">
        <v>21</v>
      </c>
      <c r="K25" s="138">
        <v>45309</v>
      </c>
      <c r="L25" s="97" t="s">
        <v>176</v>
      </c>
      <c r="M25" s="97" t="s">
        <v>177</v>
      </c>
      <c r="N25" s="93">
        <v>996102081</v>
      </c>
      <c r="O25" s="98">
        <v>20</v>
      </c>
      <c r="P25" s="96" t="s">
        <v>45</v>
      </c>
      <c r="Q25" s="96" t="s">
        <v>23</v>
      </c>
      <c r="R25" s="99"/>
      <c r="S25" s="93" t="s">
        <v>174</v>
      </c>
      <c r="T25" s="134" t="s">
        <v>178</v>
      </c>
      <c r="U25" s="135" t="s">
        <v>179</v>
      </c>
    </row>
    <row r="26" spans="1:21" ht="16">
      <c r="A26" s="11">
        <v>21</v>
      </c>
      <c r="B26" s="92">
        <v>45246</v>
      </c>
      <c r="C26" s="93" t="s">
        <v>99</v>
      </c>
      <c r="D26" s="93" t="s">
        <v>174</v>
      </c>
      <c r="E26" s="94">
        <v>114270004</v>
      </c>
      <c r="F26" s="95" t="s">
        <v>94</v>
      </c>
      <c r="G26" s="96" t="s">
        <v>180</v>
      </c>
      <c r="H26" s="93" t="s">
        <v>24</v>
      </c>
      <c r="I26" s="93" t="s">
        <v>23</v>
      </c>
      <c r="J26" s="96" t="s">
        <v>21</v>
      </c>
      <c r="K26" s="138">
        <v>45309</v>
      </c>
      <c r="L26" s="97" t="s">
        <v>176</v>
      </c>
      <c r="M26" s="97" t="s">
        <v>177</v>
      </c>
      <c r="N26" s="93">
        <v>996102081</v>
      </c>
      <c r="O26" s="98">
        <v>20</v>
      </c>
      <c r="P26" s="96" t="s">
        <v>45</v>
      </c>
      <c r="Q26" s="96" t="s">
        <v>23</v>
      </c>
      <c r="R26" s="99"/>
      <c r="S26" s="93" t="s">
        <v>174</v>
      </c>
      <c r="T26" s="134" t="s">
        <v>178</v>
      </c>
      <c r="U26" s="135" t="s">
        <v>179</v>
      </c>
    </row>
    <row r="27" spans="1:21" ht="16">
      <c r="A27" s="91">
        <v>22</v>
      </c>
      <c r="B27" s="92">
        <v>45146</v>
      </c>
      <c r="C27" s="93" t="s">
        <v>98</v>
      </c>
      <c r="D27" s="93" t="s">
        <v>181</v>
      </c>
      <c r="E27" s="94">
        <v>40584305</v>
      </c>
      <c r="F27" s="95" t="s">
        <v>101</v>
      </c>
      <c r="G27" s="96" t="s">
        <v>182</v>
      </c>
      <c r="H27" s="93">
        <v>4005903</v>
      </c>
      <c r="I27" s="93" t="s">
        <v>23</v>
      </c>
      <c r="J27" s="96" t="s">
        <v>21</v>
      </c>
      <c r="K27" s="138">
        <v>45309</v>
      </c>
      <c r="L27" s="97" t="s">
        <v>183</v>
      </c>
      <c r="M27" s="97" t="s">
        <v>97</v>
      </c>
      <c r="N27" s="93">
        <v>995344192</v>
      </c>
      <c r="O27" s="98">
        <v>15</v>
      </c>
      <c r="P27" s="96" t="s">
        <v>45</v>
      </c>
      <c r="Q27" s="96" t="s">
        <v>23</v>
      </c>
      <c r="R27" s="99"/>
      <c r="S27" s="93" t="s">
        <v>181</v>
      </c>
      <c r="T27" s="134" t="s">
        <v>184</v>
      </c>
      <c r="U27" s="135" t="s">
        <v>185</v>
      </c>
    </row>
    <row r="28" spans="1:21" ht="16">
      <c r="A28" s="91">
        <v>23</v>
      </c>
      <c r="B28" s="92">
        <v>45146</v>
      </c>
      <c r="C28" s="93" t="s">
        <v>98</v>
      </c>
      <c r="D28" s="93" t="s">
        <v>181</v>
      </c>
      <c r="E28" s="94">
        <v>111000051</v>
      </c>
      <c r="F28" s="95" t="s">
        <v>89</v>
      </c>
      <c r="G28" s="96" t="s">
        <v>186</v>
      </c>
      <c r="H28" s="93">
        <v>405901</v>
      </c>
      <c r="I28" s="93" t="s">
        <v>23</v>
      </c>
      <c r="J28" s="96" t="s">
        <v>21</v>
      </c>
      <c r="K28" s="138">
        <v>45309</v>
      </c>
      <c r="L28" s="97" t="s">
        <v>183</v>
      </c>
      <c r="M28" s="97" t="s">
        <v>97</v>
      </c>
      <c r="N28" s="93">
        <v>995344192</v>
      </c>
      <c r="O28" s="98">
        <v>15</v>
      </c>
      <c r="P28" s="96" t="s">
        <v>45</v>
      </c>
      <c r="Q28" s="96" t="s">
        <v>23</v>
      </c>
      <c r="R28" s="99"/>
      <c r="S28" s="93" t="s">
        <v>181</v>
      </c>
      <c r="T28" s="134" t="s">
        <v>184</v>
      </c>
      <c r="U28" s="135" t="s">
        <v>185</v>
      </c>
    </row>
    <row r="29" spans="1:21" ht="16">
      <c r="A29" s="11">
        <v>24</v>
      </c>
      <c r="B29" s="92">
        <v>45146</v>
      </c>
      <c r="C29" s="93" t="s">
        <v>98</v>
      </c>
      <c r="D29" s="93" t="s">
        <v>181</v>
      </c>
      <c r="E29" s="94">
        <v>40480321</v>
      </c>
      <c r="F29" s="95" t="s">
        <v>93</v>
      </c>
      <c r="G29" s="96" t="s">
        <v>187</v>
      </c>
      <c r="H29" s="93">
        <v>395014</v>
      </c>
      <c r="I29" s="93" t="s">
        <v>23</v>
      </c>
      <c r="J29" s="96" t="s">
        <v>21</v>
      </c>
      <c r="K29" s="138">
        <v>45309</v>
      </c>
      <c r="L29" s="97" t="s">
        <v>183</v>
      </c>
      <c r="M29" s="97" t="s">
        <v>97</v>
      </c>
      <c r="N29" s="93">
        <v>995344192</v>
      </c>
      <c r="O29" s="98">
        <v>30</v>
      </c>
      <c r="P29" s="96" t="s">
        <v>45</v>
      </c>
      <c r="Q29" s="96" t="s">
        <v>23</v>
      </c>
      <c r="R29" s="99"/>
      <c r="S29" s="93" t="s">
        <v>181</v>
      </c>
      <c r="T29" s="134" t="s">
        <v>184</v>
      </c>
      <c r="U29" s="135" t="s">
        <v>185</v>
      </c>
    </row>
    <row r="30" spans="1:21" ht="16">
      <c r="A30" s="91">
        <v>25</v>
      </c>
      <c r="B30" s="92">
        <v>45146</v>
      </c>
      <c r="C30" s="93" t="s">
        <v>98</v>
      </c>
      <c r="D30" s="93" t="s">
        <v>181</v>
      </c>
      <c r="E30" s="94">
        <v>112570126</v>
      </c>
      <c r="F30" s="95" t="s">
        <v>130</v>
      </c>
      <c r="G30" s="96" t="s">
        <v>188</v>
      </c>
      <c r="H30" s="93">
        <v>4004867</v>
      </c>
      <c r="I30" s="93" t="s">
        <v>23</v>
      </c>
      <c r="J30" s="96" t="s">
        <v>21</v>
      </c>
      <c r="K30" s="138">
        <v>45309</v>
      </c>
      <c r="L30" s="97" t="s">
        <v>183</v>
      </c>
      <c r="M30" s="97" t="s">
        <v>97</v>
      </c>
      <c r="N30" s="93">
        <v>995344192</v>
      </c>
      <c r="O30" s="98">
        <v>15</v>
      </c>
      <c r="P30" s="96" t="s">
        <v>45</v>
      </c>
      <c r="Q30" s="96" t="s">
        <v>23</v>
      </c>
      <c r="R30" s="99"/>
      <c r="S30" s="93" t="s">
        <v>181</v>
      </c>
      <c r="T30" s="134" t="s">
        <v>184</v>
      </c>
      <c r="U30" s="135" t="s">
        <v>185</v>
      </c>
    </row>
    <row r="31" spans="1:21" ht="16">
      <c r="A31" s="91">
        <v>26</v>
      </c>
      <c r="B31" s="92">
        <v>45297</v>
      </c>
      <c r="C31" s="93" t="s">
        <v>19</v>
      </c>
      <c r="D31" s="93" t="s">
        <v>189</v>
      </c>
      <c r="E31" s="94">
        <v>40584305</v>
      </c>
      <c r="F31" s="95" t="s">
        <v>101</v>
      </c>
      <c r="G31" s="96" t="s">
        <v>190</v>
      </c>
      <c r="H31" s="93" t="s">
        <v>24</v>
      </c>
      <c r="I31" s="93" t="s">
        <v>23</v>
      </c>
      <c r="J31" s="96" t="s">
        <v>21</v>
      </c>
      <c r="K31" s="138">
        <v>45309</v>
      </c>
      <c r="L31" s="97" t="s">
        <v>191</v>
      </c>
      <c r="M31" s="97" t="s">
        <v>192</v>
      </c>
      <c r="N31" s="93">
        <v>984169795</v>
      </c>
      <c r="O31" s="98">
        <v>20</v>
      </c>
      <c r="P31" s="96" t="s">
        <v>45</v>
      </c>
      <c r="Q31" s="96" t="s">
        <v>23</v>
      </c>
      <c r="R31" s="99"/>
      <c r="S31" s="93" t="s">
        <v>189</v>
      </c>
      <c r="T31" s="134" t="s">
        <v>193</v>
      </c>
      <c r="U31" s="135" t="s">
        <v>194</v>
      </c>
    </row>
    <row r="32" spans="1:21" ht="16">
      <c r="A32" s="11">
        <v>27</v>
      </c>
      <c r="B32" s="92">
        <v>45297</v>
      </c>
      <c r="C32" s="93" t="s">
        <v>19</v>
      </c>
      <c r="D32" s="93" t="s">
        <v>189</v>
      </c>
      <c r="E32" s="94">
        <v>41560074</v>
      </c>
      <c r="F32" s="95" t="s">
        <v>162</v>
      </c>
      <c r="G32" s="96" t="s">
        <v>195</v>
      </c>
      <c r="H32" s="93" t="s">
        <v>24</v>
      </c>
      <c r="I32" s="93" t="s">
        <v>23</v>
      </c>
      <c r="J32" s="96" t="s">
        <v>21</v>
      </c>
      <c r="K32" s="138">
        <v>45309</v>
      </c>
      <c r="L32" s="97" t="s">
        <v>191</v>
      </c>
      <c r="M32" s="97" t="s">
        <v>192</v>
      </c>
      <c r="N32" s="93">
        <v>984169795</v>
      </c>
      <c r="O32" s="98">
        <v>20</v>
      </c>
      <c r="P32" s="96" t="s">
        <v>45</v>
      </c>
      <c r="Q32" s="96" t="s">
        <v>23</v>
      </c>
      <c r="R32" s="99"/>
      <c r="S32" s="93" t="s">
        <v>189</v>
      </c>
      <c r="T32" s="134" t="s">
        <v>193</v>
      </c>
      <c r="U32" s="135" t="s">
        <v>194</v>
      </c>
    </row>
    <row r="33" spans="1:21" ht="16">
      <c r="A33" s="91">
        <v>28</v>
      </c>
      <c r="B33" s="92">
        <v>45266</v>
      </c>
      <c r="C33" s="93" t="s">
        <v>19</v>
      </c>
      <c r="D33" s="93" t="s">
        <v>196</v>
      </c>
      <c r="E33" s="94">
        <v>112580017</v>
      </c>
      <c r="F33" s="95" t="s">
        <v>105</v>
      </c>
      <c r="G33" s="96" t="s">
        <v>197</v>
      </c>
      <c r="H33" s="93">
        <v>400028</v>
      </c>
      <c r="I33" s="93" t="s">
        <v>23</v>
      </c>
      <c r="J33" s="96" t="s">
        <v>21</v>
      </c>
      <c r="K33" s="138">
        <v>45310</v>
      </c>
      <c r="L33" s="97" t="s">
        <v>198</v>
      </c>
      <c r="M33" s="97" t="s">
        <v>199</v>
      </c>
      <c r="N33" s="93">
        <v>999055945</v>
      </c>
      <c r="O33" s="98">
        <v>20</v>
      </c>
      <c r="P33" s="96" t="s">
        <v>45</v>
      </c>
      <c r="Q33" s="96" t="s">
        <v>23</v>
      </c>
      <c r="R33" s="99"/>
      <c r="S33" s="93" t="s">
        <v>196</v>
      </c>
      <c r="T33" s="134" t="s">
        <v>200</v>
      </c>
      <c r="U33" s="135"/>
    </row>
    <row r="34" spans="1:21" ht="16">
      <c r="A34" s="91">
        <v>29</v>
      </c>
      <c r="B34" s="92">
        <v>45266</v>
      </c>
      <c r="C34" s="93" t="s">
        <v>19</v>
      </c>
      <c r="D34" s="93" t="s">
        <v>196</v>
      </c>
      <c r="E34" s="94">
        <v>40461507</v>
      </c>
      <c r="F34" s="95" t="s">
        <v>201</v>
      </c>
      <c r="G34" s="96" t="s">
        <v>202</v>
      </c>
      <c r="H34" s="93" t="s">
        <v>24</v>
      </c>
      <c r="I34" s="93" t="s">
        <v>23</v>
      </c>
      <c r="J34" s="96" t="s">
        <v>21</v>
      </c>
      <c r="K34" s="138">
        <v>45310</v>
      </c>
      <c r="L34" s="97" t="s">
        <v>198</v>
      </c>
      <c r="M34" s="97" t="s">
        <v>199</v>
      </c>
      <c r="N34" s="93">
        <v>999055945</v>
      </c>
      <c r="O34" s="98">
        <v>20</v>
      </c>
      <c r="P34" s="96" t="s">
        <v>45</v>
      </c>
      <c r="Q34" s="96" t="s">
        <v>23</v>
      </c>
      <c r="R34" s="99"/>
      <c r="S34" s="93" t="s">
        <v>196</v>
      </c>
      <c r="T34" s="134" t="s">
        <v>200</v>
      </c>
      <c r="U34" s="135"/>
    </row>
    <row r="35" spans="1:21" ht="16">
      <c r="A35" s="11">
        <v>30</v>
      </c>
      <c r="B35" s="92"/>
      <c r="C35" s="93"/>
      <c r="D35" s="93"/>
      <c r="E35" s="94"/>
      <c r="F35" s="95"/>
      <c r="G35" s="96"/>
      <c r="H35" s="93" t="s">
        <v>24</v>
      </c>
      <c r="I35" s="93" t="s">
        <v>23</v>
      </c>
      <c r="J35" s="96" t="s">
        <v>21</v>
      </c>
      <c r="K35" s="138"/>
      <c r="L35" s="97"/>
      <c r="M35" s="97"/>
      <c r="N35" s="93"/>
      <c r="O35" s="98"/>
      <c r="P35" s="96" t="s">
        <v>45</v>
      </c>
      <c r="Q35" s="96" t="s">
        <v>23</v>
      </c>
      <c r="R35" s="99"/>
      <c r="S35" s="93"/>
      <c r="T35" s="134"/>
      <c r="U35" s="135"/>
    </row>
    <row r="36" spans="1:21" ht="16">
      <c r="A36" s="91">
        <v>31</v>
      </c>
      <c r="B36" s="92"/>
      <c r="C36" s="93"/>
      <c r="D36" s="93"/>
      <c r="E36" s="94"/>
      <c r="F36" s="95"/>
      <c r="G36" s="96"/>
      <c r="H36" s="93" t="s">
        <v>24</v>
      </c>
      <c r="I36" s="93" t="s">
        <v>23</v>
      </c>
      <c r="J36" s="96" t="s">
        <v>21</v>
      </c>
      <c r="K36" s="138"/>
      <c r="L36" s="97"/>
      <c r="M36" s="97"/>
      <c r="N36" s="93"/>
      <c r="O36" s="98"/>
      <c r="P36" s="96" t="s">
        <v>45</v>
      </c>
      <c r="Q36" s="96" t="s">
        <v>23</v>
      </c>
      <c r="R36" s="99"/>
      <c r="S36" s="93"/>
      <c r="T36" s="134"/>
      <c r="U36" s="135"/>
    </row>
    <row r="37" spans="1:21">
      <c r="O37" s="103">
        <f>SUM(O6:O36)</f>
        <v>530</v>
      </c>
    </row>
  </sheetData>
  <hyperlinks>
    <hyperlink ref="U6" r:id="rId1" xr:uid="{00000000-0004-0000-0300-000000000000}"/>
    <hyperlink ref="U7" r:id="rId2" xr:uid="{00000000-0004-0000-0300-000001000000}"/>
    <hyperlink ref="U8" r:id="rId3" xr:uid="{00000000-0004-0000-0300-000002000000}"/>
    <hyperlink ref="U9" r:id="rId4" xr:uid="{00000000-0004-0000-0300-000003000000}"/>
    <hyperlink ref="U10" r:id="rId5" xr:uid="{00000000-0004-0000-0300-000004000000}"/>
    <hyperlink ref="U11" r:id="rId6" xr:uid="{00000000-0004-0000-0300-000005000000}"/>
    <hyperlink ref="U12" r:id="rId7" xr:uid="{00000000-0004-0000-0300-000006000000}"/>
    <hyperlink ref="U13" r:id="rId8" xr:uid="{00000000-0004-0000-0300-000007000000}"/>
    <hyperlink ref="U14" r:id="rId9" xr:uid="{00000000-0004-0000-0300-000008000000}"/>
    <hyperlink ref="U15" r:id="rId10" xr:uid="{00000000-0004-0000-0300-000009000000}"/>
    <hyperlink ref="U16" r:id="rId11" xr:uid="{00000000-0004-0000-0300-00000A000000}"/>
    <hyperlink ref="U17" r:id="rId12" xr:uid="{00000000-0004-0000-0300-00000B000000}"/>
    <hyperlink ref="U18" r:id="rId13" xr:uid="{00000000-0004-0000-0300-00000C000000}"/>
    <hyperlink ref="U19" r:id="rId14" xr:uid="{00000000-0004-0000-0300-00000D000000}"/>
    <hyperlink ref="U20" r:id="rId15" xr:uid="{00000000-0004-0000-0300-00000E000000}"/>
    <hyperlink ref="U21" r:id="rId16" xr:uid="{00000000-0004-0000-0300-00000F000000}"/>
    <hyperlink ref="U22" r:id="rId17" xr:uid="{00000000-0004-0000-0300-000010000000}"/>
    <hyperlink ref="U23" r:id="rId18" xr:uid="{00000000-0004-0000-0300-000011000000}"/>
    <hyperlink ref="U24" r:id="rId19" xr:uid="{00000000-0004-0000-0300-000012000000}"/>
    <hyperlink ref="U25" r:id="rId20" xr:uid="{00000000-0004-0000-0300-000013000000}"/>
    <hyperlink ref="U26" r:id="rId21" xr:uid="{00000000-0004-0000-0300-000014000000}"/>
    <hyperlink ref="U27" r:id="rId22" xr:uid="{00000000-0004-0000-0300-000015000000}"/>
    <hyperlink ref="U28" r:id="rId23" xr:uid="{00000000-0004-0000-0300-000016000000}"/>
    <hyperlink ref="U29" r:id="rId24" xr:uid="{00000000-0004-0000-0300-000017000000}"/>
    <hyperlink ref="U30" r:id="rId25" xr:uid="{00000000-0004-0000-0300-000018000000}"/>
    <hyperlink ref="U31" r:id="rId26" xr:uid="{00000000-0004-0000-0300-000019000000}"/>
    <hyperlink ref="U32" r:id="rId27" xr:uid="{00000000-0004-0000-0300-00001A000000}"/>
  </hyperlinks>
  <pageMargins left="0.7" right="0.7" top="0.75" bottom="0.75" header="0.3" footer="0.3"/>
  <pageSetup paperSize="9" orientation="portrait" horizontalDpi="0" verticalDpi="0" r:id="rId28"/>
  <drawing r:id="rId2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5"/>
  <sheetViews>
    <sheetView topLeftCell="G1" workbookViewId="0">
      <selection activeCell="L15" sqref="L15"/>
    </sheetView>
  </sheetViews>
  <sheetFormatPr baseColWidth="10" defaultRowHeight="15"/>
  <cols>
    <col min="1" max="2" width="11.83203125" bestFit="1" customWidth="1"/>
    <col min="3" max="3" width="12.1640625" bestFit="1" customWidth="1"/>
    <col min="6" max="6" width="34.6640625" customWidth="1"/>
    <col min="8" max="8" width="27.33203125" customWidth="1"/>
    <col min="9" max="9" width="16.1640625" customWidth="1"/>
    <col min="10" max="10" width="11.83203125" bestFit="1" customWidth="1"/>
    <col min="12" max="12" width="23.5" customWidth="1"/>
    <col min="13" max="13" width="19.5" customWidth="1"/>
    <col min="15" max="15" width="12.5" bestFit="1" customWidth="1"/>
  </cols>
  <sheetData>
    <row r="1" spans="1:17">
      <c r="A1" s="65"/>
      <c r="C1" s="100"/>
      <c r="D1" s="101"/>
      <c r="I1" s="102"/>
      <c r="K1" s="103"/>
      <c r="L1" s="103"/>
    </row>
    <row r="2" spans="1:17">
      <c r="A2" s="65"/>
      <c r="B2" s="66"/>
      <c r="C2" s="104" t="s">
        <v>26</v>
      </c>
      <c r="D2" s="105"/>
      <c r="E2" s="106"/>
      <c r="F2" s="107"/>
      <c r="G2" s="108"/>
      <c r="M2" s="109"/>
    </row>
    <row r="3" spans="1:17">
      <c r="A3" s="65"/>
      <c r="B3" s="66"/>
      <c r="C3" s="110" t="s">
        <v>1</v>
      </c>
      <c r="D3" s="111"/>
      <c r="E3" s="112"/>
      <c r="F3" s="112"/>
      <c r="G3" s="108"/>
      <c r="M3" s="109"/>
    </row>
    <row r="4" spans="1:17" ht="20">
      <c r="A4" s="65"/>
      <c r="B4" s="113" t="s">
        <v>85</v>
      </c>
      <c r="C4" s="114"/>
      <c r="D4" s="114"/>
      <c r="E4" s="115" t="s">
        <v>46</v>
      </c>
      <c r="F4" s="116"/>
      <c r="G4" s="115"/>
      <c r="H4" s="117"/>
      <c r="I4" s="114"/>
      <c r="J4" s="118"/>
      <c r="K4" s="118"/>
      <c r="L4" s="119"/>
      <c r="M4" s="120" t="s">
        <v>226</v>
      </c>
    </row>
    <row r="5" spans="1:17">
      <c r="A5" s="65"/>
      <c r="B5" s="121" t="s">
        <v>47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3"/>
    </row>
    <row r="6" spans="1:17">
      <c r="A6" s="65"/>
      <c r="B6" s="124" t="s">
        <v>227</v>
      </c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6"/>
    </row>
    <row r="7" spans="1:17" ht="25">
      <c r="A7" s="65"/>
      <c r="B7" s="127" t="s">
        <v>48</v>
      </c>
      <c r="C7" s="127" t="s">
        <v>49</v>
      </c>
      <c r="D7" s="127" t="s">
        <v>50</v>
      </c>
      <c r="E7" s="127" t="s">
        <v>51</v>
      </c>
      <c r="F7" s="127" t="s">
        <v>52</v>
      </c>
      <c r="G7" s="127" t="s">
        <v>53</v>
      </c>
      <c r="H7" s="127" t="s">
        <v>54</v>
      </c>
      <c r="I7" s="127" t="s">
        <v>55</v>
      </c>
      <c r="J7" s="127" t="s">
        <v>56</v>
      </c>
      <c r="K7" s="127" t="s">
        <v>57</v>
      </c>
      <c r="L7" s="127" t="s">
        <v>58</v>
      </c>
      <c r="M7" s="127" t="s">
        <v>59</v>
      </c>
      <c r="N7" s="127" t="s">
        <v>60</v>
      </c>
      <c r="O7" s="127" t="s">
        <v>86</v>
      </c>
      <c r="P7" s="127" t="s">
        <v>22</v>
      </c>
      <c r="Q7" s="127" t="s">
        <v>61</v>
      </c>
    </row>
    <row r="8" spans="1:17" ht="16">
      <c r="A8" s="11">
        <v>1</v>
      </c>
      <c r="B8" s="128">
        <v>45255</v>
      </c>
      <c r="C8" s="137">
        <v>45300</v>
      </c>
      <c r="D8" s="129">
        <v>1</v>
      </c>
      <c r="E8" s="130"/>
      <c r="F8" s="131" t="s">
        <v>207</v>
      </c>
      <c r="G8" s="130">
        <v>113610005</v>
      </c>
      <c r="H8" s="132" t="s">
        <v>203</v>
      </c>
      <c r="I8" s="128" t="s">
        <v>204</v>
      </c>
      <c r="J8" s="128" t="s">
        <v>24</v>
      </c>
      <c r="K8" s="128" t="s">
        <v>3</v>
      </c>
      <c r="L8" s="130" t="s">
        <v>205</v>
      </c>
      <c r="M8" s="130"/>
      <c r="N8" s="130">
        <v>18.75</v>
      </c>
      <c r="O8" s="130">
        <v>302087317</v>
      </c>
      <c r="P8" s="136" t="s">
        <v>206</v>
      </c>
      <c r="Q8" s="130">
        <v>987271002</v>
      </c>
    </row>
    <row r="9" spans="1:17" ht="16">
      <c r="A9">
        <v>2</v>
      </c>
      <c r="B9" s="128">
        <v>44911</v>
      </c>
      <c r="C9" s="137">
        <v>45302</v>
      </c>
      <c r="D9" s="129">
        <v>1</v>
      </c>
      <c r="E9" s="130"/>
      <c r="F9" s="131" t="s">
        <v>208</v>
      </c>
      <c r="G9" s="130">
        <v>40197155</v>
      </c>
      <c r="H9" s="132" t="s">
        <v>209</v>
      </c>
      <c r="I9" s="128" t="s">
        <v>210</v>
      </c>
      <c r="J9" s="128" t="s">
        <v>24</v>
      </c>
      <c r="K9" s="128" t="s">
        <v>3</v>
      </c>
      <c r="L9" s="130" t="s">
        <v>211</v>
      </c>
      <c r="M9" s="130" t="s">
        <v>212</v>
      </c>
      <c r="N9" s="130">
        <v>12.5</v>
      </c>
      <c r="O9" s="130">
        <v>104054283</v>
      </c>
      <c r="P9" s="136"/>
      <c r="Q9" s="130">
        <v>998343581</v>
      </c>
    </row>
    <row r="10" spans="1:17" ht="16">
      <c r="A10">
        <v>3</v>
      </c>
      <c r="B10" s="128">
        <v>45308</v>
      </c>
      <c r="C10" s="128">
        <v>45308</v>
      </c>
      <c r="D10" s="129">
        <v>1</v>
      </c>
      <c r="E10" s="130"/>
      <c r="F10" s="131" t="s">
        <v>336</v>
      </c>
      <c r="G10" s="130">
        <v>111040006</v>
      </c>
      <c r="H10" s="132" t="s">
        <v>337</v>
      </c>
      <c r="I10" s="128" t="s">
        <v>338</v>
      </c>
      <c r="J10" s="128" t="s">
        <v>24</v>
      </c>
      <c r="K10" s="128" t="s">
        <v>3</v>
      </c>
      <c r="L10" s="130" t="s">
        <v>339</v>
      </c>
      <c r="M10" s="130" t="s">
        <v>340</v>
      </c>
      <c r="N10" s="130">
        <v>18.75</v>
      </c>
      <c r="O10" s="130">
        <v>104639042</v>
      </c>
      <c r="P10" s="136"/>
      <c r="Q10" s="130">
        <v>986379450</v>
      </c>
    </row>
    <row r="11" spans="1:17">
      <c r="N11">
        <f>SUM(N8:N10)</f>
        <v>50</v>
      </c>
    </row>
    <row r="12" spans="1:17" ht="16">
      <c r="I12">
        <v>1</v>
      </c>
      <c r="J12" s="261" t="s">
        <v>353</v>
      </c>
      <c r="K12">
        <v>18.75</v>
      </c>
    </row>
    <row r="13" spans="1:17" ht="16">
      <c r="I13">
        <v>1</v>
      </c>
      <c r="J13" s="261" t="s">
        <v>354</v>
      </c>
      <c r="K13">
        <v>12.5</v>
      </c>
    </row>
    <row r="14" spans="1:17" ht="16">
      <c r="I14">
        <v>1</v>
      </c>
      <c r="J14" s="261" t="s">
        <v>355</v>
      </c>
      <c r="K14">
        <v>18.75</v>
      </c>
    </row>
    <row r="15" spans="1:17">
      <c r="K15">
        <f>SUM(K12:K14)</f>
        <v>50</v>
      </c>
    </row>
  </sheetData>
  <hyperlinks>
    <hyperlink ref="P8" r:id="rId1" xr:uid="{00000000-0004-0000-0400-000000000000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6"/>
  <sheetViews>
    <sheetView topLeftCell="A13" zoomScale="83" zoomScaleNormal="83" workbookViewId="0">
      <pane xSplit="20020" topLeftCell="M1"/>
      <selection activeCell="D64" sqref="D64"/>
      <selection pane="topRight" activeCell="M68" sqref="M68"/>
    </sheetView>
  </sheetViews>
  <sheetFormatPr baseColWidth="10" defaultColWidth="11.5" defaultRowHeight="16"/>
  <cols>
    <col min="1" max="1" width="11.5" style="11"/>
    <col min="2" max="2" width="15.6640625" style="11" customWidth="1"/>
    <col min="3" max="3" width="22.1640625" style="11" customWidth="1"/>
    <col min="4" max="4" width="37.83203125" style="11" customWidth="1"/>
    <col min="5" max="5" width="15.33203125" style="11" customWidth="1"/>
    <col min="6" max="6" width="34.6640625" style="11" customWidth="1"/>
    <col min="7" max="7" width="19.5" style="11" customWidth="1"/>
    <col min="8" max="8" width="16.5" style="11" customWidth="1"/>
    <col min="9" max="9" width="13.5" style="11" customWidth="1"/>
    <col min="10" max="11" width="11.5" style="11"/>
    <col min="12" max="12" width="12.5" style="11" bestFit="1" customWidth="1"/>
    <col min="13" max="13" width="17.83203125" style="11" customWidth="1"/>
    <col min="14" max="14" width="11.5" style="11"/>
    <col min="15" max="15" width="14.6640625" style="11" customWidth="1"/>
    <col min="16" max="16" width="32" style="11" customWidth="1"/>
    <col min="17" max="17" width="34.1640625" style="11" customWidth="1"/>
    <col min="18" max="18" width="49.5" style="11" customWidth="1"/>
    <col min="19" max="16384" width="11.5" style="11"/>
  </cols>
  <sheetData>
    <row r="1" spans="1:18">
      <c r="A1" s="164"/>
      <c r="B1" s="146" t="s">
        <v>0</v>
      </c>
      <c r="C1" s="147"/>
      <c r="D1" s="147"/>
      <c r="E1" s="148"/>
      <c r="F1" s="149"/>
      <c r="G1" s="149"/>
      <c r="H1" s="149"/>
      <c r="I1" s="150"/>
      <c r="J1" s="149"/>
      <c r="K1" s="151"/>
      <c r="L1" s="151"/>
      <c r="M1" s="152"/>
      <c r="N1" s="151"/>
      <c r="O1" s="150"/>
      <c r="P1" s="149"/>
      <c r="Q1" s="164"/>
      <c r="R1" s="164"/>
    </row>
    <row r="2" spans="1:18">
      <c r="A2" s="164"/>
      <c r="B2" s="146" t="s">
        <v>84</v>
      </c>
      <c r="C2" s="147"/>
      <c r="D2" s="147"/>
      <c r="E2" s="148"/>
      <c r="F2" s="149"/>
      <c r="G2" s="149"/>
      <c r="H2" s="149"/>
      <c r="I2" s="150"/>
      <c r="J2" s="149"/>
      <c r="K2" s="151"/>
      <c r="L2" s="151"/>
      <c r="M2" s="153"/>
      <c r="N2" s="151"/>
      <c r="O2" s="150"/>
      <c r="P2" s="149"/>
      <c r="Q2" s="164"/>
      <c r="R2" s="164"/>
    </row>
    <row r="3" spans="1:18">
      <c r="A3" s="164"/>
      <c r="B3" s="146" t="s">
        <v>62</v>
      </c>
      <c r="C3" s="147"/>
      <c r="D3" s="147"/>
      <c r="E3" s="148"/>
      <c r="F3" s="149"/>
      <c r="G3" s="149"/>
      <c r="H3" s="149"/>
      <c r="I3" s="150"/>
      <c r="J3" s="149"/>
      <c r="K3" s="151"/>
      <c r="L3" s="151"/>
      <c r="M3" s="153"/>
      <c r="N3" s="151"/>
      <c r="O3" s="150"/>
      <c r="P3" s="149"/>
      <c r="Q3" s="164"/>
      <c r="R3" s="164"/>
    </row>
    <row r="4" spans="1:18" ht="17">
      <c r="A4" s="164"/>
      <c r="B4" s="154" t="s">
        <v>63</v>
      </c>
      <c r="C4" s="155"/>
      <c r="D4" s="155"/>
      <c r="E4" s="156"/>
      <c r="F4" s="165"/>
      <c r="G4" s="166"/>
      <c r="H4" s="167" t="s">
        <v>64</v>
      </c>
      <c r="I4" s="154" t="s">
        <v>63</v>
      </c>
      <c r="J4" s="168" t="s">
        <v>65</v>
      </c>
      <c r="K4" s="156" t="s">
        <v>66</v>
      </c>
      <c r="L4" s="157"/>
      <c r="M4" s="158"/>
      <c r="N4" s="156"/>
      <c r="O4" s="154" t="s">
        <v>63</v>
      </c>
      <c r="P4" s="169"/>
      <c r="Q4" s="169"/>
      <c r="R4" s="166"/>
    </row>
    <row r="5" spans="1:18" ht="17">
      <c r="A5" s="164"/>
      <c r="B5" s="159"/>
      <c r="C5" s="160" t="s">
        <v>67</v>
      </c>
      <c r="D5" s="160" t="s">
        <v>68</v>
      </c>
      <c r="E5" s="161" t="s">
        <v>69</v>
      </c>
      <c r="F5" s="160" t="s">
        <v>70</v>
      </c>
      <c r="G5" s="170" t="s">
        <v>71</v>
      </c>
      <c r="H5" s="171" t="s">
        <v>72</v>
      </c>
      <c r="I5" s="159" t="s">
        <v>72</v>
      </c>
      <c r="J5" s="172" t="s">
        <v>73</v>
      </c>
      <c r="K5" s="161" t="s">
        <v>73</v>
      </c>
      <c r="L5" s="162" t="s">
        <v>74</v>
      </c>
      <c r="M5" s="163" t="s">
        <v>75</v>
      </c>
      <c r="N5" s="161" t="s">
        <v>76</v>
      </c>
      <c r="O5" s="159" t="s">
        <v>72</v>
      </c>
      <c r="P5" s="173" t="s">
        <v>77</v>
      </c>
      <c r="Q5" s="173" t="s">
        <v>78</v>
      </c>
      <c r="R5" s="170" t="s">
        <v>79</v>
      </c>
    </row>
    <row r="6" spans="1:18" ht="17">
      <c r="A6" s="164"/>
      <c r="B6" s="159"/>
      <c r="C6" s="160"/>
      <c r="D6" s="160"/>
      <c r="E6" s="161"/>
      <c r="F6" s="160"/>
      <c r="G6" s="170"/>
      <c r="H6" s="171" t="s">
        <v>80</v>
      </c>
      <c r="I6" s="159" t="s">
        <v>80</v>
      </c>
      <c r="J6" s="172" t="s">
        <v>11</v>
      </c>
      <c r="K6" s="161" t="s">
        <v>81</v>
      </c>
      <c r="L6" s="162"/>
      <c r="M6" s="163"/>
      <c r="N6" s="161"/>
      <c r="O6" s="159" t="s">
        <v>82</v>
      </c>
      <c r="P6" s="173"/>
      <c r="Q6" s="173"/>
      <c r="R6" s="170"/>
    </row>
    <row r="7" spans="1:18" s="203" customFormat="1">
      <c r="A7" s="193">
        <v>1</v>
      </c>
      <c r="B7" s="194">
        <v>45295</v>
      </c>
      <c r="C7" s="194" t="s">
        <v>240</v>
      </c>
      <c r="D7" s="194" t="s">
        <v>241</v>
      </c>
      <c r="E7" s="195">
        <v>997840829</v>
      </c>
      <c r="F7" s="194" t="s">
        <v>95</v>
      </c>
      <c r="G7" s="196" t="s">
        <v>342</v>
      </c>
      <c r="H7" s="194" t="s">
        <v>99</v>
      </c>
      <c r="I7" s="194">
        <v>45288</v>
      </c>
      <c r="J7" s="197"/>
      <c r="K7" s="197"/>
      <c r="L7" s="198" t="s">
        <v>24</v>
      </c>
      <c r="M7" s="194" t="s">
        <v>239</v>
      </c>
      <c r="N7" s="199"/>
      <c r="O7" s="194">
        <v>45295</v>
      </c>
      <c r="P7" s="200" t="s">
        <v>242</v>
      </c>
      <c r="Q7" s="201">
        <v>102307931</v>
      </c>
      <c r="R7" s="202"/>
    </row>
    <row r="8" spans="1:18" s="203" customFormat="1">
      <c r="A8" s="193">
        <v>2</v>
      </c>
      <c r="B8" s="194">
        <v>45295</v>
      </c>
      <c r="C8" s="194" t="s">
        <v>246</v>
      </c>
      <c r="D8" s="194" t="s">
        <v>247</v>
      </c>
      <c r="E8" s="195">
        <v>968171909</v>
      </c>
      <c r="F8" s="194" t="s">
        <v>244</v>
      </c>
      <c r="G8" s="196" t="s">
        <v>342</v>
      </c>
      <c r="H8" s="194" t="s">
        <v>96</v>
      </c>
      <c r="I8" s="194">
        <v>45272</v>
      </c>
      <c r="J8" s="204"/>
      <c r="K8" s="204"/>
      <c r="L8" s="198" t="s">
        <v>24</v>
      </c>
      <c r="M8" s="194" t="s">
        <v>245</v>
      </c>
      <c r="N8" s="205"/>
      <c r="O8" s="194">
        <v>45295</v>
      </c>
      <c r="P8" s="200" t="s">
        <v>248</v>
      </c>
      <c r="Q8" s="201">
        <v>101722288</v>
      </c>
      <c r="R8" s="206"/>
    </row>
    <row r="9" spans="1:18" s="218" customFormat="1">
      <c r="A9" s="208">
        <v>3</v>
      </c>
      <c r="B9" s="209">
        <v>45299</v>
      </c>
      <c r="C9" s="210" t="s">
        <v>107</v>
      </c>
      <c r="D9" s="210" t="s">
        <v>90</v>
      </c>
      <c r="E9" s="211">
        <v>72853594</v>
      </c>
      <c r="F9" s="211" t="s">
        <v>105</v>
      </c>
      <c r="G9" s="212" t="s">
        <v>343</v>
      </c>
      <c r="H9" s="211" t="s">
        <v>99</v>
      </c>
      <c r="I9" s="209">
        <v>45290</v>
      </c>
      <c r="J9" s="213"/>
      <c r="K9" s="213"/>
      <c r="L9" s="211">
        <v>406232</v>
      </c>
      <c r="M9" s="214" t="s">
        <v>106</v>
      </c>
      <c r="N9" s="215"/>
      <c r="O9" s="209">
        <v>45299</v>
      </c>
      <c r="P9" s="216" t="s">
        <v>109</v>
      </c>
      <c r="Q9" s="214" t="s">
        <v>108</v>
      </c>
      <c r="R9" s="217"/>
    </row>
    <row r="10" spans="1:18" s="218" customFormat="1">
      <c r="A10" s="208">
        <v>4</v>
      </c>
      <c r="B10" s="209">
        <v>45299</v>
      </c>
      <c r="C10" s="210" t="s">
        <v>107</v>
      </c>
      <c r="D10" s="210" t="s">
        <v>90</v>
      </c>
      <c r="E10" s="211">
        <v>72853594</v>
      </c>
      <c r="F10" s="211" t="s">
        <v>110</v>
      </c>
      <c r="G10" s="212" t="s">
        <v>343</v>
      </c>
      <c r="H10" s="211" t="s">
        <v>99</v>
      </c>
      <c r="I10" s="209">
        <v>45290</v>
      </c>
      <c r="J10" s="213"/>
      <c r="K10" s="213"/>
      <c r="L10" s="211" t="s">
        <v>24</v>
      </c>
      <c r="M10" s="214" t="s">
        <v>111</v>
      </c>
      <c r="N10" s="215"/>
      <c r="O10" s="209">
        <v>45299</v>
      </c>
      <c r="P10" s="216" t="s">
        <v>109</v>
      </c>
      <c r="Q10" s="214" t="s">
        <v>108</v>
      </c>
      <c r="R10" s="217"/>
    </row>
    <row r="11" spans="1:18" s="218" customFormat="1">
      <c r="A11" s="208">
        <v>5</v>
      </c>
      <c r="B11" s="209">
        <v>45299</v>
      </c>
      <c r="C11" s="210" t="s">
        <v>114</v>
      </c>
      <c r="D11" s="210" t="s">
        <v>115</v>
      </c>
      <c r="E11" s="211">
        <v>982855549</v>
      </c>
      <c r="F11" s="211" t="s">
        <v>95</v>
      </c>
      <c r="G11" s="212" t="s">
        <v>343</v>
      </c>
      <c r="H11" s="211" t="s">
        <v>19</v>
      </c>
      <c r="I11" s="209">
        <v>45286</v>
      </c>
      <c r="J11" s="213"/>
      <c r="K11" s="213"/>
      <c r="L11" s="211" t="s">
        <v>24</v>
      </c>
      <c r="M11" s="214" t="s">
        <v>113</v>
      </c>
      <c r="N11" s="215"/>
      <c r="O11" s="209">
        <v>45299</v>
      </c>
      <c r="P11" s="216" t="s">
        <v>117</v>
      </c>
      <c r="Q11" s="214" t="s">
        <v>116</v>
      </c>
      <c r="R11" s="217"/>
    </row>
    <row r="12" spans="1:18" s="218" customFormat="1">
      <c r="A12" s="208">
        <v>6</v>
      </c>
      <c r="B12" s="209">
        <v>45299</v>
      </c>
      <c r="C12" s="210" t="s">
        <v>114</v>
      </c>
      <c r="D12" s="210" t="s">
        <v>115</v>
      </c>
      <c r="E12" s="211">
        <v>982855549</v>
      </c>
      <c r="F12" s="211" t="s">
        <v>118</v>
      </c>
      <c r="G12" s="212" t="s">
        <v>343</v>
      </c>
      <c r="H12" s="211" t="s">
        <v>19</v>
      </c>
      <c r="I12" s="209">
        <v>45286</v>
      </c>
      <c r="J12" s="213"/>
      <c r="K12" s="213"/>
      <c r="L12" s="211" t="s">
        <v>24</v>
      </c>
      <c r="M12" s="214" t="s">
        <v>119</v>
      </c>
      <c r="N12" s="215"/>
      <c r="O12" s="209">
        <v>45299</v>
      </c>
      <c r="P12" s="216" t="s">
        <v>117</v>
      </c>
      <c r="Q12" s="214" t="s">
        <v>116</v>
      </c>
      <c r="R12" s="217"/>
    </row>
    <row r="13" spans="1:18" s="231" customFormat="1">
      <c r="A13" s="221">
        <v>7</v>
      </c>
      <c r="B13" s="222">
        <v>44934</v>
      </c>
      <c r="C13" s="223" t="s">
        <v>214</v>
      </c>
      <c r="D13" s="223" t="s">
        <v>215</v>
      </c>
      <c r="E13" s="224">
        <v>964054103</v>
      </c>
      <c r="F13" s="223" t="s">
        <v>103</v>
      </c>
      <c r="G13" s="225" t="s">
        <v>346</v>
      </c>
      <c r="H13" s="223" t="s">
        <v>214</v>
      </c>
      <c r="I13" s="222">
        <v>44934</v>
      </c>
      <c r="J13" s="226"/>
      <c r="K13" s="226"/>
      <c r="L13" s="223">
        <v>412897</v>
      </c>
      <c r="M13" s="223" t="s">
        <v>213</v>
      </c>
      <c r="N13" s="227"/>
      <c r="O13" s="222">
        <v>44934</v>
      </c>
      <c r="P13" s="228"/>
      <c r="Q13" s="229"/>
      <c r="R13" s="230"/>
    </row>
    <row r="14" spans="1:18" s="231" customFormat="1">
      <c r="A14" s="221">
        <v>8</v>
      </c>
      <c r="B14" s="232">
        <v>45299</v>
      </c>
      <c r="C14" s="233" t="s">
        <v>216</v>
      </c>
      <c r="D14" s="233" t="s">
        <v>91</v>
      </c>
      <c r="E14" s="223">
        <v>987844003</v>
      </c>
      <c r="F14" s="233" t="s">
        <v>217</v>
      </c>
      <c r="G14" s="225" t="s">
        <v>346</v>
      </c>
      <c r="H14" s="233" t="s">
        <v>216</v>
      </c>
      <c r="I14" s="232">
        <v>45299</v>
      </c>
      <c r="J14" s="226"/>
      <c r="K14" s="226"/>
      <c r="L14" s="233">
        <v>413105</v>
      </c>
      <c r="M14" s="233" t="s">
        <v>218</v>
      </c>
      <c r="N14" s="227"/>
      <c r="O14" s="232">
        <v>45299</v>
      </c>
      <c r="P14" s="228"/>
      <c r="Q14" s="229"/>
      <c r="R14" s="230"/>
    </row>
    <row r="15" spans="1:18" s="231" customFormat="1">
      <c r="A15" s="221">
        <v>9</v>
      </c>
      <c r="B15" s="232">
        <v>45299</v>
      </c>
      <c r="C15" s="233" t="s">
        <v>216</v>
      </c>
      <c r="D15" s="233" t="s">
        <v>91</v>
      </c>
      <c r="E15" s="223">
        <v>987844003</v>
      </c>
      <c r="F15" s="233" t="s">
        <v>217</v>
      </c>
      <c r="G15" s="225" t="s">
        <v>346</v>
      </c>
      <c r="H15" s="233" t="s">
        <v>216</v>
      </c>
      <c r="I15" s="232">
        <v>45299</v>
      </c>
      <c r="J15" s="226"/>
      <c r="K15" s="226"/>
      <c r="L15" s="233">
        <v>406095</v>
      </c>
      <c r="M15" s="233" t="s">
        <v>219</v>
      </c>
      <c r="N15" s="227"/>
      <c r="O15" s="232">
        <v>45299</v>
      </c>
      <c r="P15" s="228"/>
      <c r="Q15" s="229"/>
      <c r="R15" s="230"/>
    </row>
    <row r="16" spans="1:18" s="218" customFormat="1">
      <c r="A16" s="208">
        <v>10</v>
      </c>
      <c r="B16" s="209">
        <v>45300</v>
      </c>
      <c r="C16" s="210" t="s">
        <v>122</v>
      </c>
      <c r="D16" s="210" t="s">
        <v>123</v>
      </c>
      <c r="E16" s="211">
        <v>992114485</v>
      </c>
      <c r="F16" s="211" t="s">
        <v>100</v>
      </c>
      <c r="G16" s="212" t="s">
        <v>343</v>
      </c>
      <c r="H16" s="211" t="s">
        <v>96</v>
      </c>
      <c r="I16" s="209">
        <v>45295</v>
      </c>
      <c r="J16" s="213"/>
      <c r="K16" s="213"/>
      <c r="L16" s="211">
        <v>401745</v>
      </c>
      <c r="M16" s="214" t="s">
        <v>121</v>
      </c>
      <c r="N16" s="215"/>
      <c r="O16" s="209">
        <v>45300</v>
      </c>
      <c r="P16" s="216" t="s">
        <v>125</v>
      </c>
      <c r="Q16" s="214" t="s">
        <v>124</v>
      </c>
      <c r="R16" s="217"/>
    </row>
    <row r="17" spans="1:18" s="218" customFormat="1">
      <c r="A17" s="208">
        <v>11</v>
      </c>
      <c r="B17" s="209">
        <v>45300</v>
      </c>
      <c r="C17" s="210" t="s">
        <v>122</v>
      </c>
      <c r="D17" s="210" t="s">
        <v>123</v>
      </c>
      <c r="E17" s="211">
        <v>992114485</v>
      </c>
      <c r="F17" s="211" t="s">
        <v>126</v>
      </c>
      <c r="G17" s="212" t="s">
        <v>343</v>
      </c>
      <c r="H17" s="211" t="s">
        <v>96</v>
      </c>
      <c r="I17" s="209">
        <v>45295</v>
      </c>
      <c r="J17" s="213"/>
      <c r="K17" s="213"/>
      <c r="L17" s="211" t="s">
        <v>24</v>
      </c>
      <c r="M17" s="214" t="s">
        <v>127</v>
      </c>
      <c r="N17" s="215"/>
      <c r="O17" s="209">
        <v>45300</v>
      </c>
      <c r="P17" s="216" t="s">
        <v>125</v>
      </c>
      <c r="Q17" s="214" t="s">
        <v>124</v>
      </c>
      <c r="R17" s="217"/>
    </row>
    <row r="18" spans="1:18" s="203" customFormat="1">
      <c r="A18" s="193">
        <v>12</v>
      </c>
      <c r="B18" s="194">
        <v>45299</v>
      </c>
      <c r="C18" s="194" t="s">
        <v>252</v>
      </c>
      <c r="D18" s="194" t="s">
        <v>253</v>
      </c>
      <c r="E18" s="195">
        <v>984412879</v>
      </c>
      <c r="F18" s="194" t="s">
        <v>250</v>
      </c>
      <c r="G18" s="196" t="s">
        <v>342</v>
      </c>
      <c r="H18" s="194" t="s">
        <v>327</v>
      </c>
      <c r="I18" s="194">
        <v>45264</v>
      </c>
      <c r="J18" s="197"/>
      <c r="K18" s="197"/>
      <c r="L18" s="198" t="s">
        <v>24</v>
      </c>
      <c r="M18" s="194" t="s">
        <v>251</v>
      </c>
      <c r="N18" s="197"/>
      <c r="O18" s="194">
        <v>45299</v>
      </c>
      <c r="P18" s="200" t="s">
        <v>254</v>
      </c>
      <c r="Q18" s="201">
        <v>301450789</v>
      </c>
      <c r="R18" s="207"/>
    </row>
    <row r="19" spans="1:18" s="203" customFormat="1">
      <c r="A19" s="193">
        <v>13</v>
      </c>
      <c r="B19" s="194">
        <v>45299</v>
      </c>
      <c r="C19" s="194" t="s">
        <v>258</v>
      </c>
      <c r="D19" s="194" t="s">
        <v>259</v>
      </c>
      <c r="E19" s="195">
        <v>42211221</v>
      </c>
      <c r="F19" s="194" t="s">
        <v>256</v>
      </c>
      <c r="G19" s="196" t="s">
        <v>342</v>
      </c>
      <c r="H19" s="194" t="s">
        <v>99</v>
      </c>
      <c r="I19" s="194">
        <v>45273</v>
      </c>
      <c r="J19" s="197"/>
      <c r="K19" s="197"/>
      <c r="L19" s="198" t="s">
        <v>24</v>
      </c>
      <c r="M19" s="194" t="s">
        <v>257</v>
      </c>
      <c r="N19" s="197"/>
      <c r="O19" s="194">
        <v>45299</v>
      </c>
      <c r="P19" s="200" t="s">
        <v>260</v>
      </c>
      <c r="Q19" s="201">
        <v>905011920</v>
      </c>
      <c r="R19" s="207"/>
    </row>
    <row r="20" spans="1:18" s="203" customFormat="1">
      <c r="A20" s="193">
        <v>14</v>
      </c>
      <c r="B20" s="194">
        <v>45300</v>
      </c>
      <c r="C20" s="194" t="s">
        <v>264</v>
      </c>
      <c r="D20" s="194" t="s">
        <v>265</v>
      </c>
      <c r="E20" s="195">
        <v>992597935</v>
      </c>
      <c r="F20" s="194" t="s">
        <v>93</v>
      </c>
      <c r="G20" s="196" t="s">
        <v>342</v>
      </c>
      <c r="H20" s="194" t="s">
        <v>327</v>
      </c>
      <c r="I20" s="194">
        <v>45262</v>
      </c>
      <c r="J20" s="197"/>
      <c r="K20" s="197"/>
      <c r="L20" s="198" t="s">
        <v>263</v>
      </c>
      <c r="M20" s="194" t="s">
        <v>262</v>
      </c>
      <c r="N20" s="197"/>
      <c r="O20" s="194">
        <v>45300</v>
      </c>
      <c r="P20" s="200"/>
      <c r="Q20" s="201">
        <v>151328130</v>
      </c>
      <c r="R20" s="207"/>
    </row>
    <row r="21" spans="1:18" s="203" customFormat="1">
      <c r="A21" s="193">
        <v>15</v>
      </c>
      <c r="B21" s="194">
        <v>45300</v>
      </c>
      <c r="C21" s="194" t="s">
        <v>269</v>
      </c>
      <c r="D21" s="194" t="s">
        <v>90</v>
      </c>
      <c r="E21" s="195">
        <v>997581734</v>
      </c>
      <c r="F21" s="194" t="s">
        <v>267</v>
      </c>
      <c r="G21" s="196" t="s">
        <v>342</v>
      </c>
      <c r="H21" s="194" t="s">
        <v>331</v>
      </c>
      <c r="I21" s="194">
        <v>45297</v>
      </c>
      <c r="J21" s="197"/>
      <c r="K21" s="197"/>
      <c r="L21" s="198" t="s">
        <v>24</v>
      </c>
      <c r="M21" s="194" t="s">
        <v>268</v>
      </c>
      <c r="N21" s="197"/>
      <c r="O21" s="194">
        <v>45300</v>
      </c>
      <c r="P21" s="200" t="s">
        <v>270</v>
      </c>
      <c r="Q21" s="201">
        <v>104420377</v>
      </c>
      <c r="R21" s="207"/>
    </row>
    <row r="22" spans="1:18" s="247" customFormat="1">
      <c r="A22" s="236">
        <v>16</v>
      </c>
      <c r="B22" s="237">
        <v>45300</v>
      </c>
      <c r="C22" s="238" t="s">
        <v>205</v>
      </c>
      <c r="D22" s="239" t="s">
        <v>347</v>
      </c>
      <c r="E22" s="240">
        <v>987271002</v>
      </c>
      <c r="F22" s="239" t="s">
        <v>203</v>
      </c>
      <c r="G22" s="241" t="s">
        <v>348</v>
      </c>
      <c r="H22" s="239" t="s">
        <v>99</v>
      </c>
      <c r="I22" s="239">
        <v>45285</v>
      </c>
      <c r="J22" s="242"/>
      <c r="K22" s="242"/>
      <c r="L22" s="243" t="s">
        <v>24</v>
      </c>
      <c r="M22" s="239" t="s">
        <v>349</v>
      </c>
      <c r="N22" s="242"/>
      <c r="O22" s="239">
        <v>45300</v>
      </c>
      <c r="P22" s="244" t="s">
        <v>206</v>
      </c>
      <c r="Q22" s="245">
        <v>302087317</v>
      </c>
      <c r="R22" s="246"/>
    </row>
    <row r="23" spans="1:18" s="203" customFormat="1">
      <c r="A23" s="193">
        <v>17</v>
      </c>
      <c r="B23" s="194">
        <v>45301</v>
      </c>
      <c r="C23" s="194" t="s">
        <v>273</v>
      </c>
      <c r="D23" s="194" t="s">
        <v>274</v>
      </c>
      <c r="E23" s="195">
        <v>998782006</v>
      </c>
      <c r="F23" s="194" t="s">
        <v>237</v>
      </c>
      <c r="G23" s="196" t="s">
        <v>342</v>
      </c>
      <c r="H23" s="194" t="s">
        <v>19</v>
      </c>
      <c r="I23" s="194">
        <v>45299</v>
      </c>
      <c r="J23" s="197"/>
      <c r="K23" s="197"/>
      <c r="L23" s="198" t="s">
        <v>24</v>
      </c>
      <c r="M23" s="194" t="s">
        <v>272</v>
      </c>
      <c r="N23" s="197"/>
      <c r="O23" s="194">
        <v>45301</v>
      </c>
      <c r="P23" s="200"/>
      <c r="Q23" s="201">
        <v>102969391</v>
      </c>
      <c r="R23" s="207"/>
    </row>
    <row r="24" spans="1:18" s="218" customFormat="1">
      <c r="A24" s="208">
        <v>18</v>
      </c>
      <c r="B24" s="209">
        <v>45301</v>
      </c>
      <c r="C24" s="210" t="s">
        <v>132</v>
      </c>
      <c r="D24" s="210" t="s">
        <v>133</v>
      </c>
      <c r="E24" s="211">
        <v>995863307</v>
      </c>
      <c r="F24" s="211" t="s">
        <v>130</v>
      </c>
      <c r="G24" s="212" t="s">
        <v>343</v>
      </c>
      <c r="H24" s="211" t="s">
        <v>98</v>
      </c>
      <c r="I24" s="209">
        <v>45276</v>
      </c>
      <c r="J24" s="219"/>
      <c r="K24" s="219"/>
      <c r="L24" s="211">
        <v>412658</v>
      </c>
      <c r="M24" s="214" t="s">
        <v>131</v>
      </c>
      <c r="N24" s="219"/>
      <c r="O24" s="209">
        <v>45301</v>
      </c>
      <c r="P24" s="216" t="s">
        <v>135</v>
      </c>
      <c r="Q24" s="214" t="s">
        <v>134</v>
      </c>
      <c r="R24" s="220"/>
    </row>
    <row r="25" spans="1:18" s="218" customFormat="1">
      <c r="A25" s="208">
        <v>19</v>
      </c>
      <c r="B25" s="209">
        <v>45301</v>
      </c>
      <c r="C25" s="210" t="s">
        <v>132</v>
      </c>
      <c r="D25" s="210" t="s">
        <v>133</v>
      </c>
      <c r="E25" s="211">
        <v>995863307</v>
      </c>
      <c r="F25" s="211" t="s">
        <v>137</v>
      </c>
      <c r="G25" s="212" t="s">
        <v>343</v>
      </c>
      <c r="H25" s="211" t="s">
        <v>88</v>
      </c>
      <c r="I25" s="209">
        <v>45286</v>
      </c>
      <c r="J25" s="219"/>
      <c r="K25" s="219"/>
      <c r="L25" s="211">
        <v>394365</v>
      </c>
      <c r="M25" s="214" t="s">
        <v>138</v>
      </c>
      <c r="N25" s="219"/>
      <c r="O25" s="209">
        <v>45301</v>
      </c>
      <c r="P25" s="216" t="s">
        <v>135</v>
      </c>
      <c r="Q25" s="214" t="s">
        <v>134</v>
      </c>
      <c r="R25" s="220"/>
    </row>
    <row r="26" spans="1:18" s="218" customFormat="1">
      <c r="A26" s="208">
        <v>20</v>
      </c>
      <c r="B26" s="209">
        <v>45301</v>
      </c>
      <c r="C26" s="210" t="s">
        <v>142</v>
      </c>
      <c r="D26" s="210" t="s">
        <v>143</v>
      </c>
      <c r="E26" s="211">
        <v>991241459</v>
      </c>
      <c r="F26" s="211" t="s">
        <v>140</v>
      </c>
      <c r="G26" s="212" t="s">
        <v>343</v>
      </c>
      <c r="H26" s="211" t="s">
        <v>88</v>
      </c>
      <c r="I26" s="209">
        <v>45144</v>
      </c>
      <c r="J26" s="219"/>
      <c r="K26" s="219"/>
      <c r="L26" s="211" t="s">
        <v>24</v>
      </c>
      <c r="M26" s="214" t="s">
        <v>141</v>
      </c>
      <c r="N26" s="219"/>
      <c r="O26" s="209">
        <v>45301</v>
      </c>
      <c r="P26" s="216" t="s">
        <v>145</v>
      </c>
      <c r="Q26" s="214" t="s">
        <v>144</v>
      </c>
      <c r="R26" s="220"/>
    </row>
    <row r="27" spans="1:18" s="218" customFormat="1">
      <c r="A27" s="208">
        <v>21</v>
      </c>
      <c r="B27" s="209">
        <v>45301</v>
      </c>
      <c r="C27" s="210" t="s">
        <v>142</v>
      </c>
      <c r="D27" s="210" t="s">
        <v>143</v>
      </c>
      <c r="E27" s="211">
        <v>991241459</v>
      </c>
      <c r="F27" s="211" t="s">
        <v>146</v>
      </c>
      <c r="G27" s="212" t="s">
        <v>343</v>
      </c>
      <c r="H27" s="211" t="s">
        <v>88</v>
      </c>
      <c r="I27" s="209">
        <v>45144</v>
      </c>
      <c r="J27" s="219"/>
      <c r="K27" s="219"/>
      <c r="L27" s="211" t="s">
        <v>24</v>
      </c>
      <c r="M27" s="214" t="s">
        <v>147</v>
      </c>
      <c r="N27" s="219"/>
      <c r="O27" s="209">
        <v>45301</v>
      </c>
      <c r="P27" s="216" t="s">
        <v>145</v>
      </c>
      <c r="Q27" s="214" t="s">
        <v>144</v>
      </c>
      <c r="R27" s="220"/>
    </row>
    <row r="28" spans="1:18" s="203" customFormat="1">
      <c r="A28" s="193">
        <v>22</v>
      </c>
      <c r="B28" s="194">
        <v>45302</v>
      </c>
      <c r="C28" s="194" t="s">
        <v>278</v>
      </c>
      <c r="D28" s="194" t="s">
        <v>279</v>
      </c>
      <c r="E28" s="195">
        <v>999352423</v>
      </c>
      <c r="F28" s="194" t="s">
        <v>101</v>
      </c>
      <c r="G28" s="196" t="s">
        <v>342</v>
      </c>
      <c r="H28" s="194" t="s">
        <v>19</v>
      </c>
      <c r="I28" s="194">
        <v>45238</v>
      </c>
      <c r="J28" s="197"/>
      <c r="K28" s="197"/>
      <c r="L28" s="198" t="s">
        <v>24</v>
      </c>
      <c r="M28" s="194" t="s">
        <v>277</v>
      </c>
      <c r="N28" s="199"/>
      <c r="O28" s="194">
        <v>45302</v>
      </c>
      <c r="P28" s="200" t="s">
        <v>280</v>
      </c>
      <c r="Q28" s="201">
        <v>101608223</v>
      </c>
    </row>
    <row r="29" spans="1:18" s="247" customFormat="1">
      <c r="A29" s="236">
        <v>23</v>
      </c>
      <c r="B29" s="237">
        <v>45302</v>
      </c>
      <c r="C29" s="239" t="s">
        <v>211</v>
      </c>
      <c r="D29" s="239" t="s">
        <v>97</v>
      </c>
      <c r="E29" s="240">
        <v>998343581</v>
      </c>
      <c r="F29" s="239" t="s">
        <v>209</v>
      </c>
      <c r="G29" s="241" t="s">
        <v>348</v>
      </c>
      <c r="H29" s="239" t="s">
        <v>99</v>
      </c>
      <c r="I29" s="239">
        <v>44911</v>
      </c>
      <c r="J29" s="242"/>
      <c r="K29" s="242"/>
      <c r="L29" s="243" t="s">
        <v>24</v>
      </c>
      <c r="M29" s="239" t="s">
        <v>350</v>
      </c>
      <c r="N29" s="248"/>
      <c r="O29" s="239">
        <v>45302</v>
      </c>
      <c r="P29" s="244"/>
      <c r="Q29" s="245">
        <v>104054283</v>
      </c>
    </row>
    <row r="30" spans="1:18" s="203" customFormat="1">
      <c r="A30" s="193">
        <v>24</v>
      </c>
      <c r="B30" s="194">
        <v>45306</v>
      </c>
      <c r="C30" s="194" t="s">
        <v>284</v>
      </c>
      <c r="D30" s="194" t="s">
        <v>285</v>
      </c>
      <c r="E30" s="195">
        <v>72879192</v>
      </c>
      <c r="F30" s="194" t="s">
        <v>282</v>
      </c>
      <c r="G30" s="196" t="s">
        <v>342</v>
      </c>
      <c r="H30" s="194" t="s">
        <v>99</v>
      </c>
      <c r="I30" s="194">
        <v>45303</v>
      </c>
      <c r="J30" s="204"/>
      <c r="K30" s="204"/>
      <c r="L30" s="198" t="s">
        <v>24</v>
      </c>
      <c r="M30" s="194" t="s">
        <v>283</v>
      </c>
      <c r="N30" s="205"/>
      <c r="O30" s="194">
        <v>45306</v>
      </c>
      <c r="P30" s="200" t="s">
        <v>286</v>
      </c>
      <c r="Q30" s="201">
        <v>300585445</v>
      </c>
    </row>
    <row r="31" spans="1:18" s="231" customFormat="1">
      <c r="A31" s="221">
        <v>25</v>
      </c>
      <c r="B31" s="232">
        <v>45306</v>
      </c>
      <c r="C31" s="233" t="s">
        <v>221</v>
      </c>
      <c r="D31" s="233" t="s">
        <v>222</v>
      </c>
      <c r="E31" s="233">
        <v>2840737</v>
      </c>
      <c r="F31" s="233" t="s">
        <v>103</v>
      </c>
      <c r="G31" s="225" t="s">
        <v>346</v>
      </c>
      <c r="H31" s="233" t="s">
        <v>216</v>
      </c>
      <c r="I31" s="232">
        <v>45067</v>
      </c>
      <c r="J31" s="226"/>
      <c r="K31" s="226"/>
      <c r="L31" s="233">
        <v>395690</v>
      </c>
      <c r="M31" s="233" t="s">
        <v>220</v>
      </c>
      <c r="N31" s="227"/>
      <c r="O31" s="232">
        <v>45306</v>
      </c>
      <c r="P31" s="234"/>
      <c r="Q31" s="235">
        <v>102260346</v>
      </c>
    </row>
    <row r="32" spans="1:18" s="203" customFormat="1">
      <c r="A32" s="193">
        <v>26</v>
      </c>
      <c r="B32" s="194">
        <v>45307</v>
      </c>
      <c r="C32" s="194" t="s">
        <v>291</v>
      </c>
      <c r="D32" s="194" t="s">
        <v>222</v>
      </c>
      <c r="E32" s="195">
        <v>72869039</v>
      </c>
      <c r="F32" s="194" t="s">
        <v>130</v>
      </c>
      <c r="G32" s="196" t="s">
        <v>342</v>
      </c>
      <c r="H32" s="194" t="s">
        <v>102</v>
      </c>
      <c r="I32" s="194">
        <v>45359</v>
      </c>
      <c r="J32" s="197"/>
      <c r="K32" s="197"/>
      <c r="L32" s="198" t="s">
        <v>290</v>
      </c>
      <c r="M32" s="194" t="s">
        <v>289</v>
      </c>
      <c r="N32" s="197"/>
      <c r="O32" s="194">
        <v>45307</v>
      </c>
      <c r="P32" s="200" t="s">
        <v>292</v>
      </c>
      <c r="Q32" s="201">
        <v>10459303</v>
      </c>
    </row>
    <row r="33" spans="1:17" s="203" customFormat="1">
      <c r="A33" s="193">
        <v>27</v>
      </c>
      <c r="B33" s="194">
        <v>45307</v>
      </c>
      <c r="C33" s="194" t="s">
        <v>297</v>
      </c>
      <c r="D33" s="194" t="s">
        <v>298</v>
      </c>
      <c r="E33" s="195">
        <v>994701381</v>
      </c>
      <c r="F33" s="194" t="s">
        <v>295</v>
      </c>
      <c r="G33" s="196" t="s">
        <v>342</v>
      </c>
      <c r="H33" s="194" t="s">
        <v>88</v>
      </c>
      <c r="I33" s="194">
        <v>45302</v>
      </c>
      <c r="J33" s="197"/>
      <c r="K33" s="197"/>
      <c r="L33" s="198" t="s">
        <v>24</v>
      </c>
      <c r="M33" s="194" t="s">
        <v>296</v>
      </c>
      <c r="N33" s="197"/>
      <c r="O33" s="194">
        <v>45307</v>
      </c>
      <c r="P33" s="200" t="s">
        <v>299</v>
      </c>
      <c r="Q33" s="201">
        <v>102642246</v>
      </c>
    </row>
    <row r="34" spans="1:17" s="203" customFormat="1">
      <c r="A34" s="193">
        <v>28</v>
      </c>
      <c r="B34" s="194">
        <v>45307</v>
      </c>
      <c r="C34" s="194" t="s">
        <v>305</v>
      </c>
      <c r="D34" s="194" t="s">
        <v>306</v>
      </c>
      <c r="E34" s="195">
        <v>2285172</v>
      </c>
      <c r="F34" s="194" t="s">
        <v>302</v>
      </c>
      <c r="G34" s="196" t="s">
        <v>342</v>
      </c>
      <c r="H34" s="194" t="s">
        <v>236</v>
      </c>
      <c r="I34" s="194">
        <v>45303</v>
      </c>
      <c r="J34" s="197"/>
      <c r="K34" s="197"/>
      <c r="L34" s="198" t="s">
        <v>304</v>
      </c>
      <c r="M34" s="194" t="s">
        <v>303</v>
      </c>
      <c r="N34" s="197"/>
      <c r="O34" s="194">
        <v>45307</v>
      </c>
      <c r="P34" s="200" t="s">
        <v>307</v>
      </c>
      <c r="Q34" s="201">
        <v>1705700183</v>
      </c>
    </row>
    <row r="35" spans="1:17" s="218" customFormat="1">
      <c r="A35" s="208">
        <v>29</v>
      </c>
      <c r="B35" s="209">
        <v>45307</v>
      </c>
      <c r="C35" s="210" t="s">
        <v>149</v>
      </c>
      <c r="D35" s="210" t="s">
        <v>150</v>
      </c>
      <c r="E35" s="211">
        <v>982087825</v>
      </c>
      <c r="F35" s="211" t="s">
        <v>130</v>
      </c>
      <c r="G35" s="212" t="s">
        <v>343</v>
      </c>
      <c r="H35" s="211" t="s">
        <v>99</v>
      </c>
      <c r="I35" s="209">
        <v>45258</v>
      </c>
      <c r="J35" s="219"/>
      <c r="K35" s="219"/>
      <c r="L35" s="211" t="s">
        <v>24</v>
      </c>
      <c r="M35" s="214" t="s">
        <v>131</v>
      </c>
      <c r="N35" s="219"/>
      <c r="O35" s="209">
        <v>45307</v>
      </c>
      <c r="P35" s="216" t="s">
        <v>152</v>
      </c>
      <c r="Q35" s="214" t="s">
        <v>151</v>
      </c>
    </row>
    <row r="36" spans="1:17" s="218" customFormat="1">
      <c r="A36" s="208">
        <v>30</v>
      </c>
      <c r="B36" s="209">
        <v>45307</v>
      </c>
      <c r="C36" s="210" t="s">
        <v>149</v>
      </c>
      <c r="D36" s="210" t="s">
        <v>150</v>
      </c>
      <c r="E36" s="211">
        <v>982087825</v>
      </c>
      <c r="F36" s="211" t="s">
        <v>153</v>
      </c>
      <c r="G36" s="212" t="s">
        <v>343</v>
      </c>
      <c r="H36" s="211" t="s">
        <v>99</v>
      </c>
      <c r="I36" s="209">
        <v>45258</v>
      </c>
      <c r="J36" s="219"/>
      <c r="K36" s="219"/>
      <c r="L36" s="211" t="s">
        <v>24</v>
      </c>
      <c r="M36" s="214" t="s">
        <v>156</v>
      </c>
      <c r="N36" s="219"/>
      <c r="O36" s="209">
        <v>45307</v>
      </c>
      <c r="P36" s="216" t="s">
        <v>152</v>
      </c>
      <c r="Q36" s="214" t="s">
        <v>151</v>
      </c>
    </row>
    <row r="37" spans="1:17" s="218" customFormat="1">
      <c r="A37" s="208">
        <v>31</v>
      </c>
      <c r="B37" s="209">
        <v>45307</v>
      </c>
      <c r="C37" s="210" t="s">
        <v>149</v>
      </c>
      <c r="D37" s="210" t="s">
        <v>150</v>
      </c>
      <c r="E37" s="211">
        <v>982087825</v>
      </c>
      <c r="F37" s="211" t="s">
        <v>154</v>
      </c>
      <c r="G37" s="212" t="s">
        <v>343</v>
      </c>
      <c r="H37" s="211" t="s">
        <v>99</v>
      </c>
      <c r="I37" s="209">
        <v>45258</v>
      </c>
      <c r="J37" s="219"/>
      <c r="K37" s="219"/>
      <c r="L37" s="211" t="s">
        <v>24</v>
      </c>
      <c r="M37" s="214" t="s">
        <v>157</v>
      </c>
      <c r="N37" s="219"/>
      <c r="O37" s="209">
        <v>45307</v>
      </c>
      <c r="P37" s="216" t="s">
        <v>152</v>
      </c>
      <c r="Q37" s="214" t="s">
        <v>151</v>
      </c>
    </row>
    <row r="38" spans="1:17" s="218" customFormat="1">
      <c r="A38" s="208">
        <v>32</v>
      </c>
      <c r="B38" s="209">
        <v>45307</v>
      </c>
      <c r="C38" s="210" t="s">
        <v>149</v>
      </c>
      <c r="D38" s="210" t="s">
        <v>150</v>
      </c>
      <c r="E38" s="211">
        <v>982087825</v>
      </c>
      <c r="F38" s="211" t="s">
        <v>155</v>
      </c>
      <c r="G38" s="212" t="s">
        <v>343</v>
      </c>
      <c r="H38" s="211" t="s">
        <v>99</v>
      </c>
      <c r="I38" s="209">
        <v>45258</v>
      </c>
      <c r="J38" s="219"/>
      <c r="K38" s="219"/>
      <c r="L38" s="211" t="s">
        <v>24</v>
      </c>
      <c r="M38" s="214" t="s">
        <v>158</v>
      </c>
      <c r="N38" s="219"/>
      <c r="O38" s="209">
        <v>45307</v>
      </c>
      <c r="P38" s="216" t="s">
        <v>152</v>
      </c>
      <c r="Q38" s="214" t="s">
        <v>151</v>
      </c>
    </row>
    <row r="39" spans="1:17" s="218" customFormat="1">
      <c r="A39" s="208">
        <v>33</v>
      </c>
      <c r="B39" s="209">
        <v>45307</v>
      </c>
      <c r="C39" s="210" t="s">
        <v>170</v>
      </c>
      <c r="D39" s="210" t="s">
        <v>171</v>
      </c>
      <c r="E39" s="211">
        <v>2810951</v>
      </c>
      <c r="F39" s="211" t="s">
        <v>160</v>
      </c>
      <c r="G39" s="212" t="s">
        <v>343</v>
      </c>
      <c r="H39" s="211" t="s">
        <v>102</v>
      </c>
      <c r="I39" s="209">
        <v>45260</v>
      </c>
      <c r="J39" s="219"/>
      <c r="K39" s="219"/>
      <c r="L39" s="211" t="s">
        <v>24</v>
      </c>
      <c r="M39" s="214" t="s">
        <v>165</v>
      </c>
      <c r="N39" s="219"/>
      <c r="O39" s="209">
        <v>45307</v>
      </c>
      <c r="P39" s="216" t="s">
        <v>173</v>
      </c>
      <c r="Q39" s="214" t="s">
        <v>172</v>
      </c>
    </row>
    <row r="40" spans="1:17" s="218" customFormat="1">
      <c r="A40" s="208">
        <v>34</v>
      </c>
      <c r="B40" s="209">
        <v>45307</v>
      </c>
      <c r="C40" s="210" t="s">
        <v>170</v>
      </c>
      <c r="D40" s="210" t="s">
        <v>171</v>
      </c>
      <c r="E40" s="211">
        <v>2810951</v>
      </c>
      <c r="F40" s="211" t="s">
        <v>161</v>
      </c>
      <c r="G40" s="212" t="s">
        <v>343</v>
      </c>
      <c r="H40" s="211" t="s">
        <v>102</v>
      </c>
      <c r="I40" s="209">
        <v>45260</v>
      </c>
      <c r="J40" s="219"/>
      <c r="K40" s="219"/>
      <c r="L40" s="211" t="s">
        <v>24</v>
      </c>
      <c r="M40" s="214" t="s">
        <v>166</v>
      </c>
      <c r="N40" s="219"/>
      <c r="O40" s="209">
        <v>45307</v>
      </c>
      <c r="P40" s="216" t="s">
        <v>173</v>
      </c>
      <c r="Q40" s="214" t="s">
        <v>172</v>
      </c>
    </row>
    <row r="41" spans="1:17" s="218" customFormat="1">
      <c r="A41" s="208">
        <v>35</v>
      </c>
      <c r="B41" s="209">
        <v>45307</v>
      </c>
      <c r="C41" s="210" t="s">
        <v>170</v>
      </c>
      <c r="D41" s="210" t="s">
        <v>171</v>
      </c>
      <c r="E41" s="211">
        <v>2810951</v>
      </c>
      <c r="F41" s="211" t="s">
        <v>162</v>
      </c>
      <c r="G41" s="212" t="s">
        <v>343</v>
      </c>
      <c r="H41" s="211" t="s">
        <v>102</v>
      </c>
      <c r="I41" s="209">
        <v>45260</v>
      </c>
      <c r="J41" s="219"/>
      <c r="K41" s="219"/>
      <c r="L41" s="211" t="s">
        <v>24</v>
      </c>
      <c r="M41" s="214" t="s">
        <v>167</v>
      </c>
      <c r="N41" s="219"/>
      <c r="O41" s="209">
        <v>45307</v>
      </c>
      <c r="P41" s="216" t="s">
        <v>173</v>
      </c>
      <c r="Q41" s="214" t="s">
        <v>172</v>
      </c>
    </row>
    <row r="42" spans="1:17" s="218" customFormat="1">
      <c r="A42" s="208">
        <v>36</v>
      </c>
      <c r="B42" s="209">
        <v>45307</v>
      </c>
      <c r="C42" s="210" t="s">
        <v>170</v>
      </c>
      <c r="D42" s="210" t="s">
        <v>171</v>
      </c>
      <c r="E42" s="211">
        <v>2810951</v>
      </c>
      <c r="F42" s="211" t="s">
        <v>163</v>
      </c>
      <c r="G42" s="212" t="s">
        <v>343</v>
      </c>
      <c r="H42" s="211" t="s">
        <v>102</v>
      </c>
      <c r="I42" s="209">
        <v>45260</v>
      </c>
      <c r="J42" s="219"/>
      <c r="K42" s="219"/>
      <c r="L42" s="211" t="s">
        <v>24</v>
      </c>
      <c r="M42" s="214" t="s">
        <v>168</v>
      </c>
      <c r="N42" s="219"/>
      <c r="O42" s="209">
        <v>45307</v>
      </c>
      <c r="P42" s="216" t="s">
        <v>173</v>
      </c>
      <c r="Q42" s="214" t="s">
        <v>172</v>
      </c>
    </row>
    <row r="43" spans="1:17" s="218" customFormat="1">
      <c r="A43" s="208">
        <v>37</v>
      </c>
      <c r="B43" s="209">
        <v>45307</v>
      </c>
      <c r="C43" s="210" t="s">
        <v>170</v>
      </c>
      <c r="D43" s="210" t="s">
        <v>171</v>
      </c>
      <c r="E43" s="211">
        <v>2810951</v>
      </c>
      <c r="F43" s="211" t="s">
        <v>164</v>
      </c>
      <c r="G43" s="212" t="s">
        <v>343</v>
      </c>
      <c r="H43" s="211" t="s">
        <v>102</v>
      </c>
      <c r="I43" s="209">
        <v>45260</v>
      </c>
      <c r="J43" s="219"/>
      <c r="K43" s="219"/>
      <c r="L43" s="211" t="s">
        <v>24</v>
      </c>
      <c r="M43" s="214" t="s">
        <v>169</v>
      </c>
      <c r="N43" s="219"/>
      <c r="O43" s="209">
        <v>45307</v>
      </c>
      <c r="P43" s="216" t="s">
        <v>173</v>
      </c>
      <c r="Q43" s="214" t="s">
        <v>172</v>
      </c>
    </row>
    <row r="44" spans="1:17" s="247" customFormat="1">
      <c r="A44" s="236">
        <v>38</v>
      </c>
      <c r="B44" s="249">
        <v>45308</v>
      </c>
      <c r="C44" s="250" t="s">
        <v>351</v>
      </c>
      <c r="D44" s="250" t="s">
        <v>306</v>
      </c>
      <c r="E44" s="251">
        <v>986379450</v>
      </c>
      <c r="F44" s="251" t="s">
        <v>337</v>
      </c>
      <c r="G44" s="241" t="s">
        <v>348</v>
      </c>
      <c r="H44" s="251" t="s">
        <v>19</v>
      </c>
      <c r="I44" s="249">
        <v>44960</v>
      </c>
      <c r="J44" s="242"/>
      <c r="K44" s="242"/>
      <c r="L44" s="251" t="s">
        <v>24</v>
      </c>
      <c r="M44" s="252" t="s">
        <v>338</v>
      </c>
      <c r="N44" s="242"/>
      <c r="O44" s="249">
        <v>45308</v>
      </c>
      <c r="P44" s="253"/>
      <c r="Q44" s="252" t="s">
        <v>352</v>
      </c>
    </row>
    <row r="45" spans="1:17" s="203" customFormat="1">
      <c r="A45" s="193">
        <v>39</v>
      </c>
      <c r="B45" s="194">
        <v>45308</v>
      </c>
      <c r="C45" s="194" t="s">
        <v>312</v>
      </c>
      <c r="D45" s="194" t="s">
        <v>222</v>
      </c>
      <c r="E45" s="195">
        <v>993120554</v>
      </c>
      <c r="F45" s="194" t="s">
        <v>310</v>
      </c>
      <c r="G45" s="196" t="s">
        <v>342</v>
      </c>
      <c r="H45" s="194" t="s">
        <v>236</v>
      </c>
      <c r="I45" s="194">
        <v>45269</v>
      </c>
      <c r="J45" s="197"/>
      <c r="K45" s="197"/>
      <c r="L45" s="198" t="s">
        <v>24</v>
      </c>
      <c r="M45" s="194" t="s">
        <v>311</v>
      </c>
      <c r="N45" s="197"/>
      <c r="O45" s="194">
        <v>45308</v>
      </c>
      <c r="P45" s="200"/>
      <c r="Q45" s="201">
        <v>104753066</v>
      </c>
    </row>
    <row r="46" spans="1:17" s="203" customFormat="1">
      <c r="A46" s="193">
        <v>40</v>
      </c>
      <c r="B46" s="194">
        <v>45309</v>
      </c>
      <c r="C46" s="194" t="s">
        <v>316</v>
      </c>
      <c r="D46" s="194" t="s">
        <v>317</v>
      </c>
      <c r="E46" s="195">
        <v>2818078</v>
      </c>
      <c r="F46" s="194" t="s">
        <v>314</v>
      </c>
      <c r="G46" s="196" t="s">
        <v>342</v>
      </c>
      <c r="H46" s="194" t="s">
        <v>99</v>
      </c>
      <c r="I46" s="194">
        <v>45304</v>
      </c>
      <c r="J46" s="197"/>
      <c r="K46" s="197"/>
      <c r="L46" s="198" t="s">
        <v>24</v>
      </c>
      <c r="M46" s="194" t="s">
        <v>315</v>
      </c>
      <c r="N46" s="197"/>
      <c r="O46" s="194">
        <v>45309</v>
      </c>
      <c r="P46" s="200" t="s">
        <v>318</v>
      </c>
      <c r="Q46" s="201">
        <v>100146703</v>
      </c>
    </row>
    <row r="47" spans="1:17" s="203" customFormat="1">
      <c r="A47" s="193">
        <v>41</v>
      </c>
      <c r="B47" s="194">
        <v>45309</v>
      </c>
      <c r="C47" s="194" t="s">
        <v>322</v>
      </c>
      <c r="D47" s="194" t="s">
        <v>323</v>
      </c>
      <c r="E47" s="195">
        <v>984652092</v>
      </c>
      <c r="F47" s="194" t="s">
        <v>130</v>
      </c>
      <c r="G47" s="196" t="s">
        <v>342</v>
      </c>
      <c r="H47" s="194" t="s">
        <v>102</v>
      </c>
      <c r="I47" s="194">
        <v>44865</v>
      </c>
      <c r="J47" s="197"/>
      <c r="K47" s="197"/>
      <c r="L47" s="198" t="s">
        <v>24</v>
      </c>
      <c r="M47" s="194" t="s">
        <v>321</v>
      </c>
      <c r="N47" s="199"/>
      <c r="O47" s="194">
        <v>45309</v>
      </c>
      <c r="P47" s="200" t="s">
        <v>324</v>
      </c>
      <c r="Q47" s="201">
        <v>103822656</v>
      </c>
    </row>
    <row r="48" spans="1:17" s="218" customFormat="1">
      <c r="A48" s="208">
        <v>42</v>
      </c>
      <c r="B48" s="209">
        <v>45309</v>
      </c>
      <c r="C48" s="210" t="s">
        <v>176</v>
      </c>
      <c r="D48" s="210" t="s">
        <v>177</v>
      </c>
      <c r="E48" s="211">
        <v>996102081</v>
      </c>
      <c r="F48" s="211" t="s">
        <v>89</v>
      </c>
      <c r="G48" s="219" t="s">
        <v>343</v>
      </c>
      <c r="H48" s="211" t="s">
        <v>99</v>
      </c>
      <c r="I48" s="209">
        <v>45246</v>
      </c>
      <c r="J48" s="213"/>
      <c r="K48" s="213"/>
      <c r="L48" s="211" t="s">
        <v>24</v>
      </c>
      <c r="M48" s="214" t="s">
        <v>175</v>
      </c>
      <c r="N48" s="215"/>
      <c r="O48" s="209">
        <v>45309</v>
      </c>
      <c r="P48" s="216" t="s">
        <v>179</v>
      </c>
      <c r="Q48" s="214" t="s">
        <v>178</v>
      </c>
    </row>
    <row r="49" spans="1:17" s="218" customFormat="1">
      <c r="A49" s="208">
        <v>43</v>
      </c>
      <c r="B49" s="209">
        <v>45309</v>
      </c>
      <c r="C49" s="210" t="s">
        <v>176</v>
      </c>
      <c r="D49" s="210" t="s">
        <v>177</v>
      </c>
      <c r="E49" s="211">
        <v>996102081</v>
      </c>
      <c r="F49" s="211" t="s">
        <v>94</v>
      </c>
      <c r="G49" s="219" t="s">
        <v>343</v>
      </c>
      <c r="H49" s="211" t="s">
        <v>99</v>
      </c>
      <c r="I49" s="209">
        <v>45246</v>
      </c>
      <c r="J49" s="219"/>
      <c r="K49" s="219"/>
      <c r="L49" s="211" t="s">
        <v>24</v>
      </c>
      <c r="M49" s="214" t="s">
        <v>180</v>
      </c>
      <c r="N49" s="219"/>
      <c r="O49" s="209">
        <v>45309</v>
      </c>
      <c r="P49" s="216" t="s">
        <v>179</v>
      </c>
      <c r="Q49" s="214" t="s">
        <v>178</v>
      </c>
    </row>
    <row r="50" spans="1:17" s="218" customFormat="1">
      <c r="A50" s="208">
        <v>44</v>
      </c>
      <c r="B50" s="209">
        <v>45309</v>
      </c>
      <c r="C50" s="210" t="s">
        <v>183</v>
      </c>
      <c r="D50" s="210" t="s">
        <v>97</v>
      </c>
      <c r="E50" s="211">
        <v>995344192</v>
      </c>
      <c r="F50" s="211" t="s">
        <v>101</v>
      </c>
      <c r="G50" s="219" t="s">
        <v>343</v>
      </c>
      <c r="H50" s="211" t="s">
        <v>98</v>
      </c>
      <c r="I50" s="209">
        <v>45146</v>
      </c>
      <c r="J50" s="219"/>
      <c r="K50" s="219"/>
      <c r="L50" s="211">
        <v>4005903</v>
      </c>
      <c r="M50" s="214" t="s">
        <v>182</v>
      </c>
      <c r="N50" s="219"/>
      <c r="O50" s="209">
        <v>45309</v>
      </c>
      <c r="P50" s="216" t="s">
        <v>185</v>
      </c>
      <c r="Q50" s="214" t="s">
        <v>184</v>
      </c>
    </row>
    <row r="51" spans="1:17" s="218" customFormat="1">
      <c r="A51" s="208">
        <v>45</v>
      </c>
      <c r="B51" s="209">
        <v>45309</v>
      </c>
      <c r="C51" s="210" t="s">
        <v>183</v>
      </c>
      <c r="D51" s="210" t="s">
        <v>97</v>
      </c>
      <c r="E51" s="211">
        <v>995344192</v>
      </c>
      <c r="F51" s="211" t="s">
        <v>89</v>
      </c>
      <c r="G51" s="219" t="s">
        <v>343</v>
      </c>
      <c r="H51" s="211" t="s">
        <v>98</v>
      </c>
      <c r="I51" s="209">
        <v>45146</v>
      </c>
      <c r="J51" s="219"/>
      <c r="K51" s="219"/>
      <c r="L51" s="211">
        <v>405901</v>
      </c>
      <c r="M51" s="214" t="s">
        <v>186</v>
      </c>
      <c r="N51" s="219"/>
      <c r="O51" s="209">
        <v>45309</v>
      </c>
      <c r="P51" s="216" t="s">
        <v>185</v>
      </c>
      <c r="Q51" s="214" t="s">
        <v>184</v>
      </c>
    </row>
    <row r="52" spans="1:17" s="218" customFormat="1">
      <c r="A52" s="208">
        <v>46</v>
      </c>
      <c r="B52" s="209">
        <v>45309</v>
      </c>
      <c r="C52" s="210" t="s">
        <v>183</v>
      </c>
      <c r="D52" s="210" t="s">
        <v>97</v>
      </c>
      <c r="E52" s="211">
        <v>995344192</v>
      </c>
      <c r="F52" s="211" t="s">
        <v>93</v>
      </c>
      <c r="G52" s="219" t="s">
        <v>343</v>
      </c>
      <c r="H52" s="211" t="s">
        <v>98</v>
      </c>
      <c r="I52" s="209">
        <v>45146</v>
      </c>
      <c r="J52" s="219"/>
      <c r="K52" s="219"/>
      <c r="L52" s="211">
        <v>395014</v>
      </c>
      <c r="M52" s="214" t="s">
        <v>187</v>
      </c>
      <c r="N52" s="219"/>
      <c r="O52" s="209">
        <v>45309</v>
      </c>
      <c r="P52" s="216" t="s">
        <v>185</v>
      </c>
      <c r="Q52" s="214" t="s">
        <v>184</v>
      </c>
    </row>
    <row r="53" spans="1:17" s="218" customFormat="1">
      <c r="A53" s="208">
        <v>47</v>
      </c>
      <c r="B53" s="209">
        <v>45309</v>
      </c>
      <c r="C53" s="210" t="s">
        <v>183</v>
      </c>
      <c r="D53" s="210" t="s">
        <v>97</v>
      </c>
      <c r="E53" s="211">
        <v>995344192</v>
      </c>
      <c r="F53" s="211" t="s">
        <v>130</v>
      </c>
      <c r="G53" s="219" t="s">
        <v>343</v>
      </c>
      <c r="H53" s="211" t="s">
        <v>98</v>
      </c>
      <c r="I53" s="209">
        <v>45146</v>
      </c>
      <c r="J53" s="219"/>
      <c r="K53" s="219"/>
      <c r="L53" s="211">
        <v>4004867</v>
      </c>
      <c r="M53" s="214" t="s">
        <v>188</v>
      </c>
      <c r="N53" s="219"/>
      <c r="O53" s="209">
        <v>45309</v>
      </c>
      <c r="P53" s="216" t="s">
        <v>185</v>
      </c>
      <c r="Q53" s="214" t="s">
        <v>184</v>
      </c>
    </row>
    <row r="54" spans="1:17" s="218" customFormat="1">
      <c r="A54" s="208">
        <v>48</v>
      </c>
      <c r="B54" s="209">
        <v>45309</v>
      </c>
      <c r="C54" s="210" t="s">
        <v>191</v>
      </c>
      <c r="D54" s="210" t="s">
        <v>192</v>
      </c>
      <c r="E54" s="211">
        <v>984169795</v>
      </c>
      <c r="F54" s="211" t="s">
        <v>101</v>
      </c>
      <c r="G54" s="219" t="s">
        <v>343</v>
      </c>
      <c r="H54" s="211" t="s">
        <v>19</v>
      </c>
      <c r="I54" s="209">
        <v>45297</v>
      </c>
      <c r="J54" s="219"/>
      <c r="K54" s="219"/>
      <c r="L54" s="211" t="s">
        <v>24</v>
      </c>
      <c r="M54" s="214" t="s">
        <v>190</v>
      </c>
      <c r="N54" s="219"/>
      <c r="O54" s="209">
        <v>45309</v>
      </c>
      <c r="P54" s="216" t="s">
        <v>194</v>
      </c>
      <c r="Q54" s="214" t="s">
        <v>193</v>
      </c>
    </row>
    <row r="55" spans="1:17" s="218" customFormat="1">
      <c r="A55" s="208">
        <v>49</v>
      </c>
      <c r="B55" s="209">
        <v>45309</v>
      </c>
      <c r="C55" s="210" t="s">
        <v>191</v>
      </c>
      <c r="D55" s="210" t="s">
        <v>192</v>
      </c>
      <c r="E55" s="211">
        <v>984169795</v>
      </c>
      <c r="F55" s="211" t="s">
        <v>162</v>
      </c>
      <c r="G55" s="219" t="s">
        <v>343</v>
      </c>
      <c r="H55" s="211" t="s">
        <v>19</v>
      </c>
      <c r="I55" s="209">
        <v>45297</v>
      </c>
      <c r="J55" s="219"/>
      <c r="K55" s="219"/>
      <c r="L55" s="211" t="s">
        <v>24</v>
      </c>
      <c r="M55" s="214" t="s">
        <v>195</v>
      </c>
      <c r="N55" s="219"/>
      <c r="O55" s="209">
        <v>45309</v>
      </c>
      <c r="P55" s="216" t="s">
        <v>194</v>
      </c>
      <c r="Q55" s="214" t="s">
        <v>193</v>
      </c>
    </row>
    <row r="56" spans="1:17" s="218" customFormat="1">
      <c r="A56" s="208">
        <v>50</v>
      </c>
      <c r="B56" s="209">
        <v>45310</v>
      </c>
      <c r="C56" s="210" t="s">
        <v>198</v>
      </c>
      <c r="D56" s="210" t="s">
        <v>199</v>
      </c>
      <c r="E56" s="211">
        <v>999055945</v>
      </c>
      <c r="F56" s="211" t="s">
        <v>105</v>
      </c>
      <c r="G56" s="219" t="s">
        <v>343</v>
      </c>
      <c r="H56" s="211" t="s">
        <v>19</v>
      </c>
      <c r="I56" s="209">
        <v>45266</v>
      </c>
      <c r="J56" s="219"/>
      <c r="K56" s="219"/>
      <c r="L56" s="211">
        <v>400028</v>
      </c>
      <c r="M56" s="214" t="s">
        <v>197</v>
      </c>
      <c r="N56" s="219"/>
      <c r="O56" s="209">
        <v>45310</v>
      </c>
      <c r="P56" s="216"/>
      <c r="Q56" s="214" t="s">
        <v>200</v>
      </c>
    </row>
    <row r="57" spans="1:17" s="218" customFormat="1">
      <c r="A57" s="208">
        <v>51</v>
      </c>
      <c r="B57" s="209">
        <v>45310</v>
      </c>
      <c r="C57" s="210" t="s">
        <v>198</v>
      </c>
      <c r="D57" s="210" t="s">
        <v>199</v>
      </c>
      <c r="E57" s="211">
        <v>999055945</v>
      </c>
      <c r="F57" s="211" t="s">
        <v>201</v>
      </c>
      <c r="G57" s="219" t="s">
        <v>343</v>
      </c>
      <c r="H57" s="211" t="s">
        <v>19</v>
      </c>
      <c r="I57" s="209">
        <v>45266</v>
      </c>
      <c r="J57" s="219"/>
      <c r="K57" s="219"/>
      <c r="L57" s="211" t="s">
        <v>24</v>
      </c>
      <c r="M57" s="214" t="s">
        <v>202</v>
      </c>
      <c r="N57" s="219"/>
      <c r="O57" s="209">
        <v>45310</v>
      </c>
      <c r="P57" s="216"/>
      <c r="Q57" s="214" t="s">
        <v>200</v>
      </c>
    </row>
    <row r="58" spans="1:17" s="260" customFormat="1">
      <c r="A58" s="254">
        <v>52</v>
      </c>
      <c r="B58" s="255">
        <v>45310</v>
      </c>
      <c r="C58" s="256" t="s">
        <v>231</v>
      </c>
      <c r="D58" s="256" t="s">
        <v>91</v>
      </c>
      <c r="E58" s="257">
        <v>987844003</v>
      </c>
      <c r="F58" s="256" t="s">
        <v>203</v>
      </c>
      <c r="G58" s="258" t="s">
        <v>345</v>
      </c>
      <c r="H58" s="259" t="s">
        <v>99</v>
      </c>
      <c r="I58" s="255">
        <v>45310</v>
      </c>
      <c r="J58" s="258"/>
      <c r="K58" s="258"/>
      <c r="L58" s="256">
        <v>413601</v>
      </c>
      <c r="M58" s="256" t="s">
        <v>230</v>
      </c>
      <c r="N58" s="258"/>
      <c r="O58" s="255">
        <v>45310</v>
      </c>
      <c r="P58" s="258"/>
      <c r="Q58" s="258"/>
    </row>
    <row r="59" spans="1:17" s="260" customFormat="1">
      <c r="A59" s="254">
        <v>53</v>
      </c>
      <c r="B59" s="255">
        <v>45310</v>
      </c>
      <c r="C59" s="256" t="s">
        <v>231</v>
      </c>
      <c r="D59" s="256" t="s">
        <v>91</v>
      </c>
      <c r="E59" s="257">
        <v>987844003</v>
      </c>
      <c r="F59" s="256" t="s">
        <v>232</v>
      </c>
      <c r="G59" s="258" t="s">
        <v>345</v>
      </c>
      <c r="H59" s="259" t="s">
        <v>99</v>
      </c>
      <c r="I59" s="255">
        <v>45310</v>
      </c>
      <c r="J59" s="258"/>
      <c r="K59" s="258"/>
      <c r="L59" s="256" t="s">
        <v>24</v>
      </c>
      <c r="M59" s="256" t="s">
        <v>233</v>
      </c>
      <c r="N59" s="258"/>
      <c r="O59" s="255">
        <v>45310</v>
      </c>
      <c r="P59" s="258"/>
      <c r="Q59" s="258"/>
    </row>
    <row r="60" spans="1:17" s="231" customFormat="1">
      <c r="A60" s="221">
        <v>54</v>
      </c>
      <c r="B60" s="222">
        <v>45310</v>
      </c>
      <c r="C60" s="223" t="s">
        <v>229</v>
      </c>
      <c r="D60" s="223" t="s">
        <v>91</v>
      </c>
      <c r="E60" s="223">
        <v>987844003</v>
      </c>
      <c r="F60" s="223" t="s">
        <v>217</v>
      </c>
      <c r="G60" s="233" t="s">
        <v>346</v>
      </c>
      <c r="H60" s="223" t="s">
        <v>99</v>
      </c>
      <c r="I60" s="222">
        <v>45310</v>
      </c>
      <c r="J60" s="233"/>
      <c r="K60" s="233"/>
      <c r="L60" s="223">
        <v>413519</v>
      </c>
      <c r="M60" s="223" t="s">
        <v>228</v>
      </c>
      <c r="N60" s="233"/>
      <c r="O60" s="222">
        <v>45310</v>
      </c>
      <c r="P60" s="233"/>
      <c r="Q60" s="233"/>
    </row>
    <row r="61" spans="1:17" s="231" customFormat="1">
      <c r="A61" s="221">
        <v>55</v>
      </c>
      <c r="B61" s="232">
        <v>45310</v>
      </c>
      <c r="C61" s="233" t="s">
        <v>216</v>
      </c>
      <c r="D61" s="233" t="s">
        <v>91</v>
      </c>
      <c r="E61" s="233">
        <v>987001205</v>
      </c>
      <c r="F61" s="233" t="s">
        <v>217</v>
      </c>
      <c r="G61" s="233" t="s">
        <v>346</v>
      </c>
      <c r="H61" s="233" t="s">
        <v>216</v>
      </c>
      <c r="I61" s="232">
        <v>45310</v>
      </c>
      <c r="J61" s="233"/>
      <c r="K61" s="233"/>
      <c r="L61" s="233">
        <v>413958</v>
      </c>
      <c r="M61" s="233" t="s">
        <v>234</v>
      </c>
      <c r="N61" s="233"/>
      <c r="O61" s="232">
        <v>45310</v>
      </c>
      <c r="P61" s="233"/>
      <c r="Q61" s="233"/>
    </row>
    <row r="62" spans="1:17">
      <c r="B62" s="184"/>
      <c r="C62" s="184"/>
      <c r="D62" s="184"/>
      <c r="E62" s="184"/>
      <c r="F62" s="184"/>
      <c r="G62" s="184"/>
      <c r="H62" s="184"/>
      <c r="I62" s="184"/>
      <c r="J62" s="192"/>
      <c r="K62" s="192"/>
      <c r="L62" s="184"/>
      <c r="M62" s="184"/>
      <c r="N62" s="184"/>
      <c r="O62" s="184"/>
      <c r="P62" s="184"/>
      <c r="Q62" s="184"/>
    </row>
    <row r="63" spans="1:17">
      <c r="B63" s="184"/>
      <c r="C63" s="184"/>
      <c r="D63" s="184"/>
      <c r="E63" s="184"/>
      <c r="F63" s="184"/>
      <c r="G63" s="184"/>
      <c r="H63" s="184"/>
      <c r="I63" s="184"/>
      <c r="J63" s="192"/>
      <c r="K63" s="192"/>
      <c r="L63" s="184"/>
      <c r="M63" s="184"/>
      <c r="N63" s="184"/>
      <c r="O63" s="184"/>
      <c r="P63" s="184"/>
      <c r="Q63" s="184"/>
    </row>
    <row r="64" spans="1:17"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</row>
    <row r="65" spans="2:17"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</row>
    <row r="66" spans="2:17"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</row>
  </sheetData>
  <hyperlinks>
    <hyperlink ref="P7" r:id="rId1" xr:uid="{00000000-0004-0000-0500-000000000000}"/>
    <hyperlink ref="P8" r:id="rId2" xr:uid="{00000000-0004-0000-0500-000001000000}"/>
    <hyperlink ref="P18" r:id="rId3" xr:uid="{00000000-0004-0000-0500-000002000000}"/>
    <hyperlink ref="P19" r:id="rId4" xr:uid="{00000000-0004-0000-0500-000003000000}"/>
    <hyperlink ref="P21" r:id="rId5" xr:uid="{00000000-0004-0000-0500-000004000000}"/>
    <hyperlink ref="P28" r:id="rId6" xr:uid="{00000000-0004-0000-0500-000005000000}"/>
    <hyperlink ref="P30" r:id="rId7" xr:uid="{00000000-0004-0000-0500-000006000000}"/>
    <hyperlink ref="P32" r:id="rId8" xr:uid="{00000000-0004-0000-0500-000007000000}"/>
    <hyperlink ref="P33" r:id="rId9" xr:uid="{00000000-0004-0000-0500-000008000000}"/>
    <hyperlink ref="P34" r:id="rId10" xr:uid="{00000000-0004-0000-0500-000009000000}"/>
    <hyperlink ref="P46" r:id="rId11" xr:uid="{00000000-0004-0000-0500-00000A000000}"/>
    <hyperlink ref="P47" r:id="rId12" xr:uid="{00000000-0004-0000-0500-00000B000000}"/>
    <hyperlink ref="P9" r:id="rId13" xr:uid="{00000000-0004-0000-0500-00000C000000}"/>
    <hyperlink ref="P10" r:id="rId14" xr:uid="{00000000-0004-0000-0500-00000D000000}"/>
    <hyperlink ref="P11" r:id="rId15" xr:uid="{00000000-0004-0000-0500-00000E000000}"/>
    <hyperlink ref="P12" r:id="rId16" xr:uid="{00000000-0004-0000-0500-00000F000000}"/>
    <hyperlink ref="P16" r:id="rId17" xr:uid="{00000000-0004-0000-0500-000010000000}"/>
    <hyperlink ref="P17" r:id="rId18" xr:uid="{00000000-0004-0000-0500-000011000000}"/>
    <hyperlink ref="P24" r:id="rId19" xr:uid="{00000000-0004-0000-0500-000012000000}"/>
    <hyperlink ref="P25" r:id="rId20" xr:uid="{00000000-0004-0000-0500-000013000000}"/>
    <hyperlink ref="P26" r:id="rId21" xr:uid="{00000000-0004-0000-0500-000014000000}"/>
    <hyperlink ref="P27" r:id="rId22" xr:uid="{00000000-0004-0000-0500-000015000000}"/>
    <hyperlink ref="P35" r:id="rId23" xr:uid="{00000000-0004-0000-0500-000016000000}"/>
    <hyperlink ref="P36" r:id="rId24" xr:uid="{00000000-0004-0000-0500-000017000000}"/>
    <hyperlink ref="P37" r:id="rId25" xr:uid="{00000000-0004-0000-0500-000018000000}"/>
    <hyperlink ref="P38" r:id="rId26" xr:uid="{00000000-0004-0000-0500-000019000000}"/>
    <hyperlink ref="P39" r:id="rId27" xr:uid="{00000000-0004-0000-0500-00001A000000}"/>
    <hyperlink ref="P40" r:id="rId28" xr:uid="{00000000-0004-0000-0500-00001B000000}"/>
    <hyperlink ref="P41" r:id="rId29" xr:uid="{00000000-0004-0000-0500-00001C000000}"/>
    <hyperlink ref="P42" r:id="rId30" xr:uid="{00000000-0004-0000-0500-00001D000000}"/>
    <hyperlink ref="P43" r:id="rId31" xr:uid="{00000000-0004-0000-0500-00001E000000}"/>
    <hyperlink ref="P48" r:id="rId32" xr:uid="{00000000-0004-0000-0500-00001F000000}"/>
    <hyperlink ref="P49" r:id="rId33" xr:uid="{00000000-0004-0000-0500-000020000000}"/>
    <hyperlink ref="P50" r:id="rId34" xr:uid="{00000000-0004-0000-0500-000021000000}"/>
    <hyperlink ref="P51" r:id="rId35" xr:uid="{00000000-0004-0000-0500-000022000000}"/>
    <hyperlink ref="P52" r:id="rId36" xr:uid="{00000000-0004-0000-0500-000023000000}"/>
    <hyperlink ref="P53" r:id="rId37" xr:uid="{00000000-0004-0000-0500-000024000000}"/>
    <hyperlink ref="P54" r:id="rId38" xr:uid="{00000000-0004-0000-0500-000025000000}"/>
    <hyperlink ref="P55" r:id="rId39" xr:uid="{00000000-0004-0000-0500-000026000000}"/>
    <hyperlink ref="P22" r:id="rId40" xr:uid="{00000000-0004-0000-0500-000027000000}"/>
  </hyperlinks>
  <pageMargins left="0.7" right="0.7" top="0.75" bottom="0.75" header="0.3" footer="0.3"/>
  <pageSetup paperSize="9" orientation="portrait" horizontalDpi="0" verticalDpi="0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 PRODUCTO</vt:lpstr>
      <vt:lpstr>ALMACEN</vt:lpstr>
      <vt:lpstr>BBQ</vt:lpstr>
      <vt:lpstr>PROMOCION</vt:lpstr>
      <vt:lpstr>GARANTIAS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Juani Pao Cardenas Quinde</cp:lastModifiedBy>
  <dcterms:created xsi:type="dcterms:W3CDTF">2023-08-18T15:37:10Z</dcterms:created>
  <dcterms:modified xsi:type="dcterms:W3CDTF">2025-04-09T17:45:40Z</dcterms:modified>
</cp:coreProperties>
</file>