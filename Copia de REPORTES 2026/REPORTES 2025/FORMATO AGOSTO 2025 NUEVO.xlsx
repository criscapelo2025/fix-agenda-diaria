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TODO TEKA/TODO 2025/REPORTES 2025/"/>
    </mc:Choice>
  </mc:AlternateContent>
  <xr:revisionPtr revIDLastSave="0" documentId="13_ncr:1_{D574C21C-2330-F04D-A266-C56844E5492F}" xr6:coauthVersionLast="47" xr6:coauthVersionMax="47" xr10:uidLastSave="{00000000-0000-0000-0000-000000000000}"/>
  <bookViews>
    <workbookView xWindow="0" yWindow="620" windowWidth="44800" windowHeight="2254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ALMACEN" sheetId="5" r:id="rId5"/>
    <sheet name="CONSOLIDADO" sheetId="7" r:id="rId6"/>
    <sheet name="UN PRODUCTO" sheetId="9" r:id="rId7"/>
  </sheets>
  <definedNames>
    <definedName name="_xlnm._FilterDatabase" localSheetId="3" hidden="1">'BASE '!$A$1:$B$907</definedName>
    <definedName name="_xlnm._FilterDatabase" localSheetId="5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1" i="7" l="1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S35" i="9"/>
  <c r="F35" i="9"/>
  <c r="O41" i="9"/>
  <c r="S38" i="9"/>
  <c r="S37" i="9"/>
  <c r="F40" i="9"/>
  <c r="F39" i="9"/>
  <c r="F38" i="9"/>
  <c r="F37" i="9"/>
  <c r="F36" i="9"/>
  <c r="S36" i="9"/>
  <c r="O9" i="4"/>
  <c r="J44" i="1"/>
  <c r="J37" i="1"/>
  <c r="N25" i="1"/>
  <c r="H128" i="3"/>
  <c r="H129" i="3"/>
  <c r="H127" i="3"/>
  <c r="E127" i="3"/>
  <c r="O125" i="3"/>
  <c r="S124" i="3"/>
  <c r="S122" i="3"/>
  <c r="S121" i="3"/>
  <c r="S120" i="3"/>
  <c r="S119" i="3"/>
  <c r="F124" i="3"/>
  <c r="S123" i="3"/>
  <c r="F123" i="3"/>
  <c r="F122" i="3"/>
  <c r="F121" i="3"/>
  <c r="F120" i="3"/>
  <c r="S117" i="3"/>
  <c r="S116" i="3"/>
  <c r="S115" i="3"/>
  <c r="S113" i="3"/>
  <c r="S111" i="3"/>
  <c r="S109" i="3"/>
  <c r="S108" i="3"/>
  <c r="S107" i="3"/>
  <c r="S105" i="3"/>
  <c r="S104" i="3"/>
  <c r="S103" i="3"/>
  <c r="S101" i="3"/>
  <c r="S100" i="3"/>
  <c r="S99" i="3"/>
  <c r="H21" i="1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H130" i="3" l="1"/>
  <c r="S97" i="3"/>
  <c r="S96" i="3"/>
  <c r="S94" i="3"/>
  <c r="S92" i="3"/>
  <c r="S90" i="3"/>
  <c r="S89" i="3"/>
  <c r="S87" i="3"/>
  <c r="F9" i="5"/>
  <c r="S85" i="3"/>
  <c r="S83" i="3"/>
  <c r="S81" i="3"/>
  <c r="S79" i="3"/>
  <c r="S78" i="3"/>
  <c r="S77" i="3"/>
  <c r="S76" i="3"/>
  <c r="S74" i="3"/>
  <c r="S72" i="3"/>
  <c r="S70" i="3" l="1"/>
  <c r="S69" i="3"/>
  <c r="S68" i="3"/>
  <c r="S66" i="3"/>
  <c r="S65" i="3"/>
  <c r="S63" i="3"/>
  <c r="S61" i="3"/>
  <c r="S60" i="3"/>
  <c r="S59" i="3"/>
  <c r="S58" i="3"/>
  <c r="S56" i="3"/>
  <c r="S54" i="3"/>
  <c r="S52" i="3"/>
  <c r="S50" i="3"/>
  <c r="S48" i="3"/>
  <c r="S47" i="3"/>
  <c r="S46" i="3"/>
  <c r="S44" i="3"/>
  <c r="S42" i="3"/>
  <c r="S40" i="3"/>
  <c r="S38" i="3"/>
  <c r="S37" i="3"/>
  <c r="S35" i="3"/>
  <c r="S34" i="3"/>
  <c r="F7" i="4"/>
  <c r="F8" i="4"/>
  <c r="F6" i="4"/>
  <c r="H24" i="1"/>
  <c r="H23" i="1"/>
  <c r="H22" i="1"/>
  <c r="H20" i="1"/>
  <c r="H19" i="1"/>
  <c r="H18" i="1"/>
  <c r="H17" i="1"/>
  <c r="H16" i="1"/>
  <c r="H15" i="1"/>
  <c r="H14" i="1"/>
  <c r="H13" i="1"/>
  <c r="H12" i="1"/>
  <c r="H11" i="1"/>
  <c r="H10" i="1"/>
  <c r="H9" i="1"/>
  <c r="S7" i="4" l="1"/>
  <c r="S32" i="3"/>
  <c r="S31" i="3"/>
  <c r="S30" i="3"/>
  <c r="S28" i="3"/>
  <c r="S27" i="3"/>
  <c r="S26" i="3"/>
  <c r="S24" i="3"/>
  <c r="S22" i="3"/>
  <c r="S21" i="3"/>
  <c r="S20" i="3"/>
  <c r="S18" i="3"/>
  <c r="S16" i="3"/>
  <c r="S15" i="3"/>
  <c r="S13" i="3"/>
  <c r="S12" i="3"/>
  <c r="S8" i="3"/>
  <c r="S7" i="3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6" i="9"/>
  <c r="F23" i="9" l="1"/>
  <c r="F15" i="9"/>
  <c r="J39" i="1"/>
  <c r="J40" i="1"/>
  <c r="J41" i="1"/>
  <c r="J42" i="1"/>
  <c r="J43" i="1"/>
  <c r="J38" i="1"/>
  <c r="S118" i="3"/>
  <c r="F119" i="3"/>
  <c r="F118" i="3"/>
  <c r="F117" i="3"/>
  <c r="F116" i="3"/>
  <c r="S114" i="3"/>
  <c r="S112" i="3"/>
  <c r="S110" i="3"/>
  <c r="F115" i="3"/>
  <c r="F114" i="3"/>
  <c r="F113" i="3"/>
  <c r="F112" i="3"/>
  <c r="S106" i="3"/>
  <c r="S102" i="3"/>
  <c r="S8" i="4"/>
  <c r="S6" i="4"/>
  <c r="S98" i="3" l="1"/>
  <c r="S95" i="3"/>
  <c r="S93" i="3"/>
  <c r="S91" i="3"/>
  <c r="F8" i="5"/>
  <c r="F34" i="9"/>
  <c r="F33" i="9"/>
  <c r="F32" i="9"/>
  <c r="F31" i="9"/>
  <c r="F30" i="9"/>
  <c r="F29" i="9"/>
  <c r="F28" i="9"/>
  <c r="F27" i="9"/>
  <c r="F26" i="9"/>
  <c r="F25" i="9"/>
  <c r="F24" i="9"/>
  <c r="F22" i="9"/>
  <c r="F21" i="9"/>
  <c r="F20" i="9"/>
  <c r="F19" i="9"/>
  <c r="F18" i="9"/>
  <c r="F17" i="9"/>
  <c r="F16" i="9"/>
  <c r="F14" i="9"/>
  <c r="F13" i="9"/>
  <c r="F12" i="9"/>
  <c r="F11" i="9"/>
  <c r="F10" i="9"/>
  <c r="F9" i="9"/>
  <c r="F8" i="9"/>
  <c r="F111" i="3" l="1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S88" i="3"/>
  <c r="F88" i="3"/>
  <c r="S86" i="3"/>
  <c r="S84" i="3"/>
  <c r="S82" i="3"/>
  <c r="S80" i="3"/>
  <c r="S75" i="3"/>
  <c r="S73" i="3"/>
  <c r="S71" i="3"/>
  <c r="S67" i="3"/>
  <c r="S64" i="3"/>
  <c r="S62" i="3"/>
  <c r="S57" i="3"/>
  <c r="S55" i="3"/>
  <c r="S53" i="3"/>
  <c r="S51" i="3"/>
  <c r="S49" i="3"/>
  <c r="S45" i="3"/>
  <c r="S43" i="3"/>
  <c r="S41" i="3"/>
  <c r="S39" i="3"/>
  <c r="S36" i="3"/>
  <c r="S33" i="3"/>
  <c r="S29" i="3"/>
  <c r="S25" i="3"/>
  <c r="S23" i="3"/>
  <c r="S19" i="3"/>
  <c r="S17" i="3"/>
  <c r="S14" i="3"/>
  <c r="S11" i="3"/>
  <c r="S10" i="3"/>
  <c r="S9" i="3"/>
  <c r="S6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7" i="9" l="1"/>
  <c r="F6" i="9"/>
</calcChain>
</file>

<file path=xl/sharedStrings.xml><?xml version="1.0" encoding="utf-8"?>
<sst xmlns="http://schemas.openxmlformats.org/spreadsheetml/2006/main" count="5260" uniqueCount="1721">
  <si>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</si>
  <si>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</si>
  <si>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</si>
  <si>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</si>
  <si>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</si>
  <si>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</si>
  <si>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</si>
  <si>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</si>
  <si>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</si>
  <si>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</si>
  <si>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</si>
  <si>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</si>
  <si>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</si>
  <si>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</si>
  <si>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</si>
  <si>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</si>
  <si>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</si>
  <si>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</si>
  <si>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</si>
  <si>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</si>
  <si>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</si>
  <si>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</si>
  <si>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</si>
  <si>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</si>
  <si>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</si>
  <si>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</si>
  <si>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>LAVAVAJILLAS</t>
  </si>
  <si>
    <t xml:space="preserve">COCINAS </t>
  </si>
  <si>
    <t>MICROONDAS</t>
  </si>
  <si>
    <t>REFRIGERADOR</t>
  </si>
  <si>
    <t>EXTRACTOR</t>
  </si>
  <si>
    <t>HORNO A GAS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</si>
  <si>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</si>
  <si>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</si>
  <si>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</si>
  <si>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</si>
  <si>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</si>
  <si>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</si>
  <si>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</si>
  <si>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</si>
  <si>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</si>
  <si>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</si>
  <si>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</si>
  <si>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</si>
  <si>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</si>
  <si>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</si>
  <si>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</si>
  <si>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</si>
  <si>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</si>
  <si>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</si>
  <si>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</si>
  <si>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Capelo</t>
  </si>
  <si>
    <t>Cuenca</t>
  </si>
  <si>
    <t>Cliente final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</si>
  <si>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</si>
  <si>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</si>
  <si>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</si>
  <si>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</si>
  <si>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</si>
  <si>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</si>
  <si>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</si>
  <si>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</si>
  <si>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</si>
  <si>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</t>
  </si>
  <si>
    <t>CLIENTE FINAL</t>
  </si>
  <si>
    <t>CORREO ELECTRONICO</t>
  </si>
  <si>
    <t xml:space="preserve">BBQ 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</si>
  <si>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</si>
  <si>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</si>
  <si>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</si>
  <si>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</si>
  <si>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</si>
  <si>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</si>
  <si>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</si>
  <si>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</si>
  <si>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</si>
  <si>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</si>
  <si>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</si>
  <si>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</si>
  <si>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</si>
  <si>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</si>
  <si>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</si>
  <si>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</si>
  <si>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</si>
  <si>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</si>
  <si>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</si>
  <si>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</si>
  <si>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</si>
  <si>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</si>
  <si>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</si>
  <si>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</si>
  <si>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</si>
  <si>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</si>
  <si>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</si>
  <si>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</si>
  <si>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</si>
  <si>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</si>
  <si>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</si>
  <si>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</si>
  <si>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</si>
  <si>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</si>
  <si>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</si>
  <si>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</si>
  <si>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</si>
  <si>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</si>
  <si>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</si>
  <si>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</si>
  <si>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</si>
  <si>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</si>
  <si>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</si>
  <si>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</si>
  <si>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</si>
  <si>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</si>
  <si>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</si>
  <si>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</si>
  <si>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</si>
  <si>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</si>
  <si>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</si>
  <si>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</si>
  <si>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</si>
  <si>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</si>
  <si>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</si>
  <si>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</si>
  <si>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</si>
  <si>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</si>
  <si>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</si>
  <si>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</si>
  <si>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</si>
  <si>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</si>
  <si>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</si>
  <si>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</si>
  <si>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</si>
  <si>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</si>
  <si>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</si>
  <si>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</si>
  <si>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</si>
  <si>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</si>
  <si>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</si>
  <si>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</si>
  <si>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</si>
  <si>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</si>
  <si>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</si>
  <si>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</si>
  <si>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</si>
  <si>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</si>
  <si>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</si>
  <si>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</si>
  <si>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</si>
  <si>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</si>
  <si>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</si>
  <si>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</si>
  <si>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</si>
  <si>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</si>
  <si>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</si>
  <si>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</si>
  <si>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</si>
  <si>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</si>
  <si>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</si>
  <si>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</si>
  <si>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</si>
  <si>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</si>
  <si>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</si>
  <si>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</si>
  <si>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</si>
  <si>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</si>
  <si>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</si>
  <si>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</si>
  <si>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</si>
  <si>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</si>
  <si>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</si>
  <si>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</si>
  <si>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</si>
  <si>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</si>
  <si>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</si>
  <si>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</si>
  <si>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</si>
  <si>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</si>
  <si>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</si>
  <si>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</si>
  <si>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</si>
  <si>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</si>
  <si>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</si>
  <si>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</si>
  <si>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</si>
  <si>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</si>
  <si>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</si>
  <si>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</si>
  <si>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</si>
  <si>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</si>
  <si>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</si>
  <si>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</si>
  <si>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</si>
  <si>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</si>
  <si>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</si>
  <si>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</si>
  <si>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</si>
  <si>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</si>
  <si>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</si>
  <si>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</si>
  <si>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</si>
  <si>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</si>
  <si>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</si>
  <si>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</si>
  <si>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</si>
  <si>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</si>
  <si>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</si>
  <si>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</si>
  <si>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</si>
  <si>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</si>
  <si>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</si>
  <si>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</si>
  <si>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</si>
  <si>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</si>
  <si>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</si>
  <si>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</si>
  <si>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</si>
  <si>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</si>
  <si>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</si>
  <si>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</si>
  <si>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</si>
  <si>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</si>
  <si>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</si>
  <si>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</si>
  <si>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</si>
  <si>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</si>
  <si>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</si>
  <si>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</si>
  <si>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</si>
  <si>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</si>
  <si>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</si>
  <si>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</si>
  <si>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</si>
  <si>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</si>
  <si>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</si>
  <si>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</si>
  <si>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</si>
  <si>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</si>
  <si>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</si>
  <si>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</si>
  <si>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</si>
  <si>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</si>
  <si>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</si>
  <si>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</si>
  <si>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</si>
  <si>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</si>
  <si>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</si>
  <si>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</si>
  <si>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</si>
  <si>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</si>
  <si>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</si>
  <si>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</si>
  <si>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</si>
  <si>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</si>
  <si>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</si>
  <si>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</si>
  <si>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</si>
  <si>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</si>
  <si>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</si>
  <si>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</si>
  <si>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</si>
  <si>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</si>
  <si>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</si>
  <si>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</si>
  <si>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</si>
  <si>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</si>
  <si>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</si>
  <si>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</si>
  <si>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</si>
  <si>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</si>
  <si>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</si>
  <si>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</si>
  <si>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</si>
  <si>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</si>
  <si>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</si>
  <si>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</si>
  <si>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</si>
  <si>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</si>
  <si>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</si>
  <si>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</si>
  <si>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</si>
  <si>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</si>
  <si>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</si>
  <si>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</si>
  <si>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</si>
  <si>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</si>
  <si>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</si>
  <si>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</si>
  <si>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</si>
  <si>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</si>
  <si>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</si>
  <si>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</si>
  <si>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</si>
  <si>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</si>
  <si>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</si>
  <si>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</si>
  <si>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</si>
  <si>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</si>
  <si>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</si>
  <si>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</si>
  <si>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</si>
  <si>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</si>
  <si>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</si>
  <si>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</si>
  <si>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</si>
  <si>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</si>
  <si>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</si>
  <si>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</si>
  <si>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</si>
  <si>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</si>
  <si>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</si>
  <si>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</si>
  <si>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</si>
  <si>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</si>
  <si>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</si>
  <si>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</si>
  <si>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</si>
  <si>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</si>
  <si>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</si>
  <si>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</si>
  <si>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</si>
  <si>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</si>
  <si>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</si>
  <si>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</si>
  <si>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</si>
  <si>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</si>
  <si>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</si>
  <si>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</si>
  <si>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</si>
  <si>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</si>
  <si>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</si>
  <si>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</si>
  <si>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</si>
  <si>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</si>
  <si>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</si>
  <si>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</si>
  <si>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</si>
  <si>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</si>
  <si>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</si>
  <si>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</si>
  <si>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</si>
  <si>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</si>
  <si>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</si>
  <si>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</si>
  <si>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</si>
  <si>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</si>
  <si>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</si>
  <si>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</si>
  <si>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</si>
  <si>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</si>
  <si>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</si>
  <si>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</si>
  <si>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</si>
  <si>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</si>
  <si>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</si>
  <si>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</si>
  <si>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</si>
  <si>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</si>
  <si>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</si>
  <si>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</si>
  <si>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</si>
  <si>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</si>
  <si>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</si>
  <si>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</si>
  <si>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</si>
  <si>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</si>
  <si>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</si>
  <si>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</si>
  <si>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</si>
  <si>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</si>
  <si>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</si>
  <si>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</si>
  <si>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</si>
  <si>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</si>
  <si>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</si>
  <si>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</si>
  <si>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</si>
  <si>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</si>
  <si>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</si>
  <si>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</si>
  <si>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</si>
  <si>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</si>
  <si>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</si>
  <si>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</si>
  <si>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</si>
  <si>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</si>
  <si>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</si>
  <si>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</si>
  <si>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</si>
  <si>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</si>
  <si>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</si>
  <si>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</si>
  <si>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</si>
  <si>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</si>
  <si>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</si>
  <si>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</si>
  <si>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</si>
  <si>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</si>
  <si>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</si>
  <si>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</si>
  <si>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</si>
  <si>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</si>
  <si>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</si>
  <si>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</si>
  <si>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</si>
  <si>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</si>
  <si>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</si>
  <si>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</si>
  <si>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</si>
  <si>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</si>
  <si>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</si>
  <si>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</si>
  <si>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</si>
  <si>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</si>
  <si>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</si>
  <si>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</si>
  <si>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</si>
  <si>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</si>
  <si>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</si>
  <si>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</si>
  <si>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</si>
  <si>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</si>
  <si>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</si>
  <si>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</si>
  <si>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</si>
  <si>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</si>
  <si>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</si>
  <si>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</si>
  <si>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</si>
  <si>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</si>
  <si>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</si>
  <si>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</si>
  <si>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</si>
  <si>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</si>
  <si>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</si>
  <si>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</si>
  <si>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</si>
  <si>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</si>
  <si>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</si>
  <si>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</si>
  <si>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</si>
  <si>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</si>
  <si>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</si>
  <si>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</si>
  <si>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</si>
  <si>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</si>
  <si>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</si>
  <si>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</si>
  <si>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</si>
  <si>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</si>
  <si>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</si>
  <si>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</si>
  <si>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</si>
  <si>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</si>
  <si>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</si>
  <si>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</si>
  <si>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</si>
  <si>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</si>
  <si>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</si>
  <si>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</si>
  <si>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</si>
  <si>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</si>
  <si>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</si>
  <si>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</si>
  <si>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</si>
  <si>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</si>
  <si>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</si>
  <si>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</si>
  <si>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</si>
  <si>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</si>
  <si>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</si>
  <si>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</si>
  <si>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</si>
  <si>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</si>
  <si>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</si>
  <si>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</si>
  <si>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</si>
  <si>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</si>
  <si>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</si>
  <si>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</si>
  <si>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</si>
  <si>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</si>
  <si>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</si>
  <si>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</si>
  <si>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</si>
  <si>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</si>
  <si>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</si>
  <si>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</si>
  <si>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</si>
  <si>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</si>
  <si>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</si>
  <si>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</si>
  <si>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</si>
  <si>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</si>
  <si>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</si>
  <si>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</si>
  <si>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</si>
  <si>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</si>
  <si>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</si>
  <si>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</si>
  <si>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</si>
  <si>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</si>
  <si>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</si>
  <si>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</si>
  <si>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</si>
  <si>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</si>
  <si>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</si>
  <si>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</si>
  <si>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</si>
  <si>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</si>
  <si>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</si>
  <si>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</si>
  <si>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</si>
  <si>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</si>
  <si>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</si>
  <si>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</si>
  <si>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</si>
  <si>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</si>
  <si>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</si>
  <si>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</si>
  <si>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</si>
  <si>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</si>
  <si>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</si>
  <si>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</si>
  <si>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</si>
  <si>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</si>
  <si>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</si>
  <si>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</si>
  <si>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</si>
  <si>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</si>
  <si>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</si>
  <si>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</si>
  <si>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</si>
  <si>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</si>
  <si>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</si>
  <si>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</si>
  <si>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</si>
  <si>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</si>
  <si>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</si>
  <si>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</si>
  <si>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</si>
  <si>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</si>
  <si>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</si>
  <si>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</si>
  <si>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</si>
  <si>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</si>
  <si>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</si>
  <si>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</si>
  <si>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</si>
  <si>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</si>
  <si>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</si>
  <si>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</si>
  <si>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</si>
  <si>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</si>
  <si>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</si>
  <si>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</si>
  <si>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</si>
  <si>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</si>
  <si>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</si>
  <si>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</si>
  <si>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</si>
  <si>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</si>
  <si>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</si>
  <si>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</si>
  <si>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</si>
  <si>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</si>
  <si>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</si>
  <si>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</si>
  <si>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</si>
  <si>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</si>
  <si>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</si>
  <si>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</si>
  <si>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</si>
  <si>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</si>
  <si>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</si>
  <si>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</si>
  <si>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</si>
  <si>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</si>
  <si>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</si>
  <si>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</si>
  <si>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</si>
  <si>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</si>
  <si>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</si>
  <si>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</si>
  <si>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</si>
  <si>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</si>
  <si>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</si>
  <si>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</si>
  <si>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</si>
  <si>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</si>
  <si>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</si>
  <si>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</si>
  <si>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</si>
  <si>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</si>
  <si>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</si>
  <si>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</si>
  <si>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</si>
  <si>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</si>
  <si>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</si>
  <si>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</si>
  <si>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</si>
  <si>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</si>
  <si>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</si>
  <si>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</si>
  <si>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</si>
  <si>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</si>
  <si>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</si>
  <si>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</si>
  <si>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</si>
  <si>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</si>
  <si>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</si>
  <si>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</si>
  <si>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</si>
  <si>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</si>
  <si>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</si>
  <si>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</si>
  <si>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</si>
  <si>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</si>
  <si>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</si>
  <si>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</si>
  <si>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</si>
  <si>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</si>
  <si>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</si>
  <si>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</si>
  <si>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</si>
  <si>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</si>
  <si>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</si>
  <si>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</si>
  <si>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</si>
  <si>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</si>
  <si>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</si>
  <si>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</si>
  <si>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</si>
  <si>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</si>
  <si>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</si>
  <si>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</si>
  <si>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</si>
  <si>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</si>
  <si>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</si>
  <si>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</si>
  <si>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</si>
  <si>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</si>
  <si>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</si>
  <si>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</si>
  <si>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</si>
  <si>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</si>
  <si>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</si>
  <si>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</si>
  <si>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</si>
  <si>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</si>
  <si>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</si>
  <si>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</si>
  <si>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</si>
  <si>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</si>
  <si>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</si>
  <si>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</si>
  <si>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</si>
  <si>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</si>
  <si>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</si>
  <si>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</si>
  <si>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</si>
  <si>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</si>
  <si>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</si>
  <si>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</si>
  <si>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</si>
  <si>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</si>
  <si>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</si>
  <si>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</si>
  <si>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</si>
  <si>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</si>
  <si>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</si>
  <si>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</si>
  <si>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</si>
  <si>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</si>
  <si>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</si>
  <si>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</si>
  <si>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</si>
  <si>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</si>
  <si>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</si>
  <si>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</si>
  <si>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</si>
  <si>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</si>
  <si>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</si>
  <si>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</si>
  <si>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</si>
  <si>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</si>
  <si>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</si>
  <si>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</si>
  <si>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</si>
  <si>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</si>
  <si>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</si>
  <si>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</si>
  <si>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</si>
  <si>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</si>
  <si>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</si>
  <si>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</si>
  <si>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</si>
  <si>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</si>
  <si>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</si>
  <si>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</si>
  <si>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</si>
  <si>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</si>
  <si>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</si>
  <si>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</si>
  <si>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</si>
  <si>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</si>
  <si>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</si>
  <si>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</si>
  <si>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</si>
  <si>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</si>
  <si>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</si>
  <si>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</si>
  <si>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</si>
  <si>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</si>
  <si>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</si>
  <si>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</si>
  <si>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</si>
  <si>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</si>
  <si>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</si>
  <si>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</si>
  <si>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</si>
  <si>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</si>
  <si>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</si>
  <si>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</si>
  <si>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</si>
  <si>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</si>
  <si>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</si>
  <si>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</si>
  <si>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</si>
  <si>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</si>
  <si>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</si>
  <si>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</si>
  <si>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</si>
  <si>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</si>
  <si>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</si>
  <si>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</si>
  <si>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</si>
  <si>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</si>
  <si>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</si>
  <si>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</si>
  <si>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</si>
  <si>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</si>
  <si>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</si>
  <si>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</si>
  <si>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</si>
  <si>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</si>
  <si>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</si>
  <si>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</si>
  <si>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</si>
  <si>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</si>
  <si>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</si>
  <si>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</si>
  <si>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</si>
  <si>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</si>
  <si>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</si>
  <si>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</si>
  <si>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</si>
  <si>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</si>
  <si>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</si>
  <si>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</si>
  <si>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</si>
  <si>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</si>
  <si>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</si>
  <si>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</si>
  <si>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</si>
  <si>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</si>
  <si>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</si>
  <si>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</si>
  <si>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</si>
  <si>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</si>
  <si>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</si>
  <si>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</si>
  <si>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</si>
  <si>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</si>
  <si>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</si>
  <si>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</si>
  <si>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</si>
  <si>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</si>
  <si>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</si>
  <si>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</si>
  <si>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</si>
  <si>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</si>
  <si>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</si>
  <si>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</si>
  <si>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</si>
  <si>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</si>
  <si>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</si>
  <si>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</si>
  <si>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</si>
  <si>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</si>
  <si>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</si>
  <si>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</si>
  <si>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</si>
  <si>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</si>
  <si>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</si>
  <si>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</si>
  <si>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</si>
  <si>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</si>
  <si>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</si>
  <si>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</si>
  <si>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</si>
  <si>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</si>
  <si>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</si>
  <si>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</si>
  <si>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</si>
  <si>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</si>
  <si>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</si>
  <si>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</si>
  <si>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</si>
  <si>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</si>
  <si>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</si>
  <si>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</si>
  <si>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</si>
  <si>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</si>
  <si>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</si>
  <si>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</si>
  <si>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</si>
  <si>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</si>
  <si>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</si>
  <si>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</si>
  <si>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</si>
  <si>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</si>
  <si>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</si>
  <si>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</si>
  <si>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</si>
  <si>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</si>
  <si>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</si>
  <si>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</si>
  <si>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</si>
  <si>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</si>
  <si>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</si>
  <si>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</si>
  <si>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</si>
  <si>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</si>
  <si>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</si>
  <si>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</si>
  <si>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</si>
  <si>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</si>
  <si>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</si>
  <si>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</si>
  <si>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</si>
  <si>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</si>
  <si>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</si>
  <si>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</si>
  <si>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</si>
  <si>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</si>
  <si>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</si>
  <si>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</si>
  <si>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</si>
  <si>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</si>
  <si>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</si>
  <si>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</si>
  <si>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</si>
  <si>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</si>
  <si>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</si>
  <si>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</si>
  <si>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</si>
  <si>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</si>
  <si>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</si>
  <si>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</si>
  <si>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</si>
  <si>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</si>
  <si>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</si>
  <si>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</si>
  <si>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</si>
  <si>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</si>
  <si>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</si>
  <si>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</si>
  <si>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</si>
  <si>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</si>
  <si>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</si>
  <si>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</si>
  <si>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</si>
  <si>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</si>
  <si>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</si>
  <si>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</si>
  <si>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</si>
  <si>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</si>
  <si>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</si>
  <si>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</si>
  <si>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</si>
  <si>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</si>
  <si>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</si>
  <si>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</si>
  <si>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</si>
  <si>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</si>
  <si>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</si>
  <si>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</si>
  <si>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</si>
  <si>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</si>
  <si>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</si>
  <si>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</si>
  <si>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</si>
  <si>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</si>
  <si>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</si>
  <si>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</si>
  <si>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</si>
  <si>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</si>
  <si>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</si>
  <si>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</si>
  <si>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</si>
  <si>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</si>
  <si>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</si>
  <si>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</si>
  <si>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</si>
  <si>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</si>
  <si>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</si>
  <si>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</si>
  <si>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</si>
  <si>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</si>
  <si>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</si>
  <si>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</si>
  <si>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</si>
  <si>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</si>
  <si>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</si>
  <si>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</si>
  <si>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</si>
  <si>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</si>
  <si>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</si>
  <si>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</si>
  <si>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</si>
  <si>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</si>
  <si>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</si>
  <si>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</si>
  <si>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</si>
  <si>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</si>
  <si>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</si>
  <si>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</si>
  <si>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</si>
  <si>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</si>
  <si>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</si>
  <si>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</si>
  <si>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</si>
  <si>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</si>
  <si>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</si>
  <si>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</si>
  <si>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</si>
  <si>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</si>
  <si>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</si>
  <si>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</si>
  <si>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</si>
  <si>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</si>
  <si>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</si>
  <si>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</si>
  <si>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</si>
  <si>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</si>
  <si>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</si>
  <si>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</si>
  <si>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</si>
  <si>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</si>
  <si>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</si>
  <si>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</si>
  <si>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</si>
  <si>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</si>
  <si>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</si>
  <si>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</si>
  <si>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</si>
  <si>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</si>
  <si>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</si>
  <si>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</si>
  <si>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</si>
  <si>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</si>
  <si>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</si>
  <si>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</si>
  <si>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</si>
  <si>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</si>
  <si>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</si>
  <si>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</si>
  <si>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</si>
  <si>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</si>
  <si>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</si>
  <si>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</si>
  <si>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</si>
  <si>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</si>
  <si>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</si>
  <si>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</si>
  <si>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</si>
  <si>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</si>
  <si>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</si>
  <si>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</si>
  <si>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</si>
  <si>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</si>
  <si>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</si>
  <si>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</si>
  <si>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</si>
  <si>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</si>
  <si>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</si>
  <si>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</si>
  <si>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</si>
  <si>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</si>
  <si>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</si>
  <si>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</si>
  <si>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</si>
  <si>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</si>
  <si>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</si>
  <si>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</si>
  <si>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</si>
  <si>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</si>
  <si>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</si>
  <si>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</si>
  <si>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</si>
  <si>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</si>
  <si>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</si>
  <si>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</si>
  <si>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</si>
  <si>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</si>
  <si>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</si>
  <si>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</si>
  <si>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</si>
  <si>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</si>
  <si>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</si>
  <si>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</si>
  <si>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 xml:space="preserve">ALMACENES 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</si>
  <si>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</si>
  <si>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</si>
  <si>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</si>
  <si>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</si>
  <si>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</si>
  <si>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</si>
  <si>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</si>
  <si>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</si>
  <si>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</si>
  <si>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</si>
  <si>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OBSERVACION</t>
  </si>
  <si>
    <t xml:space="preserve">SAP TEKA	</t>
  </si>
  <si>
    <t>STOCK</t>
  </si>
  <si>
    <t>CUENCA</t>
  </si>
  <si>
    <t xml:space="preserve">PRODUCTO </t>
  </si>
  <si>
    <t>Técnico:  Cristian Capelo</t>
  </si>
  <si>
    <t>FECHA INTERVENCION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</si>
  <si>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</si>
  <si>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</si>
  <si>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</si>
  <si>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</si>
  <si>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</si>
  <si>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</si>
  <si>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</si>
  <si>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</si>
  <si>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</si>
  <si>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</si>
  <si>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</si>
  <si>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</si>
  <si>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</si>
  <si>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</si>
  <si>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</si>
  <si>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</si>
  <si>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</si>
  <si>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>COMERCIAL SOLIS</t>
  </si>
  <si>
    <t>001-500-000074343</t>
  </si>
  <si>
    <t>ZP24AF00427</t>
  </si>
  <si>
    <t>LORENA TAMAYO</t>
  </si>
  <si>
    <t>SUBIDA A TURI</t>
  </si>
  <si>
    <t>EK24BL00034</t>
  </si>
  <si>
    <t>TZ252327082</t>
  </si>
  <si>
    <t>diegofer21@hotmail.com</t>
  </si>
  <si>
    <t>001-500-000072277</t>
  </si>
  <si>
    <t>TP24BJ60758</t>
  </si>
  <si>
    <t>PX246300239</t>
  </si>
  <si>
    <t>JUANA BARZALLO</t>
  </si>
  <si>
    <t>LA CASTELLANA 4 82</t>
  </si>
  <si>
    <t>no indica</t>
  </si>
  <si>
    <t>0103489167001</t>
  </si>
  <si>
    <t>KYWI</t>
  </si>
  <si>
    <t>043-903-000079060</t>
  </si>
  <si>
    <t>TZ24CA07305</t>
  </si>
  <si>
    <t>ZP24CL00230</t>
  </si>
  <si>
    <t>TP252R03914</t>
  </si>
  <si>
    <t>JENNY CORONEL</t>
  </si>
  <si>
    <t>CHALLUABAMBA</t>
  </si>
  <si>
    <t>0301106498</t>
  </si>
  <si>
    <t>jennycoronel@hotmail.com</t>
  </si>
  <si>
    <t>043-903-000082820</t>
  </si>
  <si>
    <t>001-500-000073894</t>
  </si>
  <si>
    <t>TKAZC5B0609001</t>
  </si>
  <si>
    <t>TP255K00563</t>
  </si>
  <si>
    <t>ZP254W00042</t>
  </si>
  <si>
    <t>DIANA CANTOS</t>
  </si>
  <si>
    <t>AZOGUES</t>
  </si>
  <si>
    <t>0301758256</t>
  </si>
  <si>
    <t>diacantos@hotmail.com</t>
  </si>
  <si>
    <t>001-500-000074988</t>
  </si>
  <si>
    <t>001-500-000074519</t>
  </si>
  <si>
    <t>ZP246000402</t>
  </si>
  <si>
    <t>TZ215606100</t>
  </si>
  <si>
    <t>JHANET ALTAMIRANO</t>
  </si>
  <si>
    <t>RICAURTE</t>
  </si>
  <si>
    <t>0101598233</t>
  </si>
  <si>
    <t>constructora_bya@hotmail.com</t>
  </si>
  <si>
    <t>001-500-000067861</t>
  </si>
  <si>
    <t>ZP232M00001</t>
  </si>
  <si>
    <t>MD22BL00530</t>
  </si>
  <si>
    <t>TZ234E10887</t>
  </si>
  <si>
    <t>TP243K04155</t>
  </si>
  <si>
    <t>PATRICIA SOLIS</t>
  </si>
  <si>
    <t>PAUTE</t>
  </si>
  <si>
    <t>0101895761</t>
  </si>
  <si>
    <t>psolis@hotmail.com</t>
  </si>
  <si>
    <t>001-500-000068124</t>
  </si>
  <si>
    <t>001-501-000007462</t>
  </si>
  <si>
    <t>TP24A801229</t>
  </si>
  <si>
    <t>ZP246C00189</t>
  </si>
  <si>
    <t>ROSA IZQUIERDO</t>
  </si>
  <si>
    <t>CONDOMINIO SANTA CLARA</t>
  </si>
  <si>
    <t>0300712601</t>
  </si>
  <si>
    <t>rizquierdom@hotmail.com</t>
  </si>
  <si>
    <t>MERCARD</t>
  </si>
  <si>
    <t>001-001-000001076</t>
  </si>
  <si>
    <t>TZ24AV22990</t>
  </si>
  <si>
    <t>TP24BJ00797</t>
  </si>
  <si>
    <t>ZP252E00036</t>
  </si>
  <si>
    <t>PX253T00004</t>
  </si>
  <si>
    <t>WILLIAM REYES</t>
  </si>
  <si>
    <t>CONDOMINIO JACARANDA</t>
  </si>
  <si>
    <t>1712762226</t>
  </si>
  <si>
    <t>william_patricio@hotmail.com</t>
  </si>
  <si>
    <t>001-500-000074819</t>
  </si>
  <si>
    <t>SVQ06WV1X0A</t>
  </si>
  <si>
    <t>MC24B110015</t>
  </si>
  <si>
    <t>TZ247H16507</t>
  </si>
  <si>
    <t>TP235902452</t>
  </si>
  <si>
    <t>EDWIN ARGUDO</t>
  </si>
  <si>
    <t>sandyluzuriaga04@hotmail.com</t>
  </si>
  <si>
    <t>017-901-000116470</t>
  </si>
  <si>
    <t>CO249E00632</t>
  </si>
  <si>
    <t>0301639795</t>
  </si>
  <si>
    <t>sendoluzuriga04@hotmail.com</t>
  </si>
  <si>
    <t>017-901-000109951</t>
  </si>
  <si>
    <t>S/N</t>
  </si>
  <si>
    <t>CO249E00591</t>
  </si>
  <si>
    <t>LAMR</t>
  </si>
  <si>
    <t>0105903785</t>
  </si>
  <si>
    <t>ventas@comercialsolis.com.ec</t>
  </si>
  <si>
    <t>CO249E00150</t>
  </si>
  <si>
    <t>LUZ TAPIA</t>
  </si>
  <si>
    <t>QUEMADOR NO ENCIENDE SE REALIZA EL AJUSTE DE LAS BUJIAS</t>
  </si>
  <si>
    <t>0100888932001</t>
  </si>
  <si>
    <t>ficomedina1951@gmail.com</t>
  </si>
  <si>
    <t>001-500-000073652</t>
  </si>
  <si>
    <t>PLACA DE POTENCIA I100 IZQUIERDA</t>
  </si>
  <si>
    <t>ZP22B600020</t>
  </si>
  <si>
    <t>LORENA ANDRADE</t>
  </si>
  <si>
    <t>LA PLACA DE POTENCIOA IZQUIERDA ESTA QUEMADA, SE SUSTITUYE</t>
  </si>
  <si>
    <t>0102311636001</t>
  </si>
  <si>
    <t>carlosugalden@yahoo.com</t>
  </si>
  <si>
    <t>006-000152780</t>
  </si>
  <si>
    <t>JACKELINE SILVA</t>
  </si>
  <si>
    <t>NO ENCIENDE QUEMADOR, SE AJUSTA SENSOR TERMOPAR</t>
  </si>
  <si>
    <t>1706833702</t>
  </si>
  <si>
    <t>jaquesilva1963@gmail.com</t>
  </si>
  <si>
    <t>043-902-000055207</t>
  </si>
  <si>
    <t>ZP246C00194</t>
  </si>
  <si>
    <t>TP231P00587</t>
  </si>
  <si>
    <t>ROSA DELGADO</t>
  </si>
  <si>
    <t>SE AJUSTAN CONEXIONES DEL TRANSFORMADOR</t>
  </si>
  <si>
    <t>0101857902</t>
  </si>
  <si>
    <t>rosamariadelgado@live.com</t>
  </si>
  <si>
    <t>002-103-00007580</t>
  </si>
  <si>
    <t>TP246301464</t>
  </si>
  <si>
    <t>MARIA AGUILAR</t>
  </si>
  <si>
    <t>SE CHEQUEA Y SE ENCUENTRA VENTILADOR SUELDO, SE CORRIGE</t>
  </si>
  <si>
    <t>0704431980</t>
  </si>
  <si>
    <t>suitespresidentecordova@gmail.com</t>
  </si>
  <si>
    <t>001-500-000071190</t>
  </si>
  <si>
    <t>MD249LO5995</t>
  </si>
  <si>
    <t>OSCR CANDO</t>
  </si>
  <si>
    <t>SE AJUSTA MANGUERA DE ENTRADA DE AGUA</t>
  </si>
  <si>
    <t>0101251429</t>
  </si>
  <si>
    <t>gcorreabarzallo@gmail.com</t>
  </si>
  <si>
    <t>001-500-000070569</t>
  </si>
  <si>
    <t>EK24CA00044</t>
  </si>
  <si>
    <t>COMERCIAL SOLIS(DORIS CHICAIZA)</t>
  </si>
  <si>
    <t>LAMAR</t>
  </si>
  <si>
    <t>0987515341</t>
  </si>
  <si>
    <t>COMO HOGAR</t>
  </si>
  <si>
    <t>040-103-000014436</t>
  </si>
  <si>
    <t>PX24C200480</t>
  </si>
  <si>
    <t>LID FERNANDEZ</t>
  </si>
  <si>
    <t>12 DE OCTUBRE CONQUISTADORES</t>
  </si>
  <si>
    <t>0102313483</t>
  </si>
  <si>
    <t>LIDFER@GMAIL.COM</t>
  </si>
  <si>
    <t>001-500-000075033</t>
  </si>
  <si>
    <t>ZP24C401652</t>
  </si>
  <si>
    <t>FRANCISCO RAMIREZ</t>
  </si>
  <si>
    <t>GALLOPINTA Y UBILLA</t>
  </si>
  <si>
    <t>0103788501</t>
  </si>
  <si>
    <t>PACORAMIREZ24@YAHOO.COM</t>
  </si>
  <si>
    <t>040-103-000009750</t>
  </si>
  <si>
    <t>MD247100228</t>
  </si>
  <si>
    <t>GLADYS VILLAVICENCIO</t>
  </si>
  <si>
    <t>0101051878</t>
  </si>
  <si>
    <t>CNVGMVS@HOTMAIL.COM</t>
  </si>
  <si>
    <t>616-902-000517576</t>
  </si>
  <si>
    <t>ZP247H00356</t>
  </si>
  <si>
    <t>HILDA LLIVICURA</t>
  </si>
  <si>
    <t>GUALACEO</t>
  </si>
  <si>
    <t>0103734729</t>
  </si>
  <si>
    <t>ANTONIOROJAS66@YAHOO.COM</t>
  </si>
  <si>
    <t>BOYACA</t>
  </si>
  <si>
    <t>007-006-000152603</t>
  </si>
  <si>
    <t>AW234800288</t>
  </si>
  <si>
    <t>ADRIAN DELGADO</t>
  </si>
  <si>
    <t>0104847512</t>
  </si>
  <si>
    <t>ADELGADO@VELASHD.COM</t>
  </si>
  <si>
    <t>21/525</t>
  </si>
  <si>
    <t>016-909-000582260</t>
  </si>
  <si>
    <t>TP24A801189</t>
  </si>
  <si>
    <t>MACHAEL ASTUDILLO</t>
  </si>
  <si>
    <t>MAYANCELA</t>
  </si>
  <si>
    <t>862 412 0597</t>
  </si>
  <si>
    <t>0107845836</t>
  </si>
  <si>
    <t>ASTUDILLOMAICOL92@GMAIL.COM</t>
  </si>
  <si>
    <t>HOME VEGA</t>
  </si>
  <si>
    <t>006-000158172</t>
  </si>
  <si>
    <t>GEOVANNY CAMPOVERDE</t>
  </si>
  <si>
    <t>BENITO PEREZ Y SALVADOR</t>
  </si>
  <si>
    <t>01049995811</t>
  </si>
  <si>
    <t>EDISSONCAMPO90@GMAIL.COM</t>
  </si>
  <si>
    <t>SUKASA</t>
  </si>
  <si>
    <t>040-103-000008425</t>
  </si>
  <si>
    <t>ZP243N00413</t>
  </si>
  <si>
    <t>RICHARD DOERNER</t>
  </si>
  <si>
    <t>PASEO 3 DE NOVIEMBRE</t>
  </si>
  <si>
    <t>0152458964</t>
  </si>
  <si>
    <t>RADOERNER1@GMAIL.COM</t>
  </si>
  <si>
    <t>040-101-000000490</t>
  </si>
  <si>
    <t>001-500-000071654</t>
  </si>
  <si>
    <t>ZP24C500196</t>
  </si>
  <si>
    <t>TZ24AW24245</t>
  </si>
  <si>
    <t>TP251905672</t>
  </si>
  <si>
    <t>DUNIA MALDONADO</t>
  </si>
  <si>
    <t>PAUCARBAMBA 2 35</t>
  </si>
  <si>
    <t>facturas gmlab@gmail.com</t>
  </si>
  <si>
    <t>WILMER SALAZAR</t>
  </si>
  <si>
    <t>001-500-000072489</t>
  </si>
  <si>
    <t>TP24A408506</t>
  </si>
  <si>
    <t>TZ24CA08118</t>
  </si>
  <si>
    <t>ZP251U00184</t>
  </si>
  <si>
    <t>CHORDELEG/GUALACEO</t>
  </si>
  <si>
    <t>wily.el.cangri@gmail.com</t>
  </si>
  <si>
    <t>040-103-000014992</t>
  </si>
  <si>
    <t>ZP253T00004</t>
  </si>
  <si>
    <t>TZ239B09192</t>
  </si>
  <si>
    <t>ANA MARIA VALLEJO</t>
  </si>
  <si>
    <t>ORDONEZ LASSO</t>
  </si>
  <si>
    <t>amavellejo79@outlook.es</t>
  </si>
  <si>
    <t>COM. LUNA PAZMIÑO</t>
  </si>
  <si>
    <t>002-201-000011122</t>
  </si>
  <si>
    <t>ZP251000211</t>
  </si>
  <si>
    <t>CRISTIAN PEREZ</t>
  </si>
  <si>
    <t>NARANCAY</t>
  </si>
  <si>
    <t>crisperez@2008@hotmail.com</t>
  </si>
  <si>
    <t>TP252R03905</t>
  </si>
  <si>
    <t>016-902-000516620</t>
  </si>
  <si>
    <t>ZP251M00125</t>
  </si>
  <si>
    <t>EK24CA00021</t>
  </si>
  <si>
    <t>DELIA ALVAREZ</t>
  </si>
  <si>
    <t>CONDOMINIO BALTAZARA</t>
  </si>
  <si>
    <t>delavarez10@icloud.com</t>
  </si>
  <si>
    <t>001-500-000073008</t>
  </si>
  <si>
    <t>EK247F00012</t>
  </si>
  <si>
    <t>ZP251000189</t>
  </si>
  <si>
    <t>TP24BK00766</t>
  </si>
  <si>
    <t>TZ252327048</t>
  </si>
  <si>
    <t>PAOLA DAVILA</t>
  </si>
  <si>
    <t>TOTORACOCHA</t>
  </si>
  <si>
    <t>gabiclaf.orellana@gmail.com</t>
  </si>
  <si>
    <t>016-902-000519585</t>
  </si>
  <si>
    <t>TP253U06817</t>
  </si>
  <si>
    <t>TP252B03164</t>
  </si>
  <si>
    <t>NARCISA REYES</t>
  </si>
  <si>
    <t>MANUEL CISNEROS Y VINUEZA</t>
  </si>
  <si>
    <t>nreyes@gmail.com</t>
  </si>
  <si>
    <t>001-500-000074004</t>
  </si>
  <si>
    <t>TP2511003982</t>
  </si>
  <si>
    <t>ZP242P00649</t>
  </si>
  <si>
    <t>ALICIA REYES</t>
  </si>
  <si>
    <t>BANOS</t>
  </si>
  <si>
    <t>alicia.rosi@yahoo.es</t>
  </si>
  <si>
    <t>TP253000285</t>
  </si>
  <si>
    <t>TZ24B010697</t>
  </si>
  <si>
    <t>dsalvarez@icloud.com</t>
  </si>
  <si>
    <t>001-500-000075432</t>
  </si>
  <si>
    <t>ZP253T00067</t>
  </si>
  <si>
    <t>TZ240405126</t>
  </si>
  <si>
    <t>EDGAR MOSQUERA</t>
  </si>
  <si>
    <t>AV 10 DE AGOSTO</t>
  </si>
  <si>
    <t>adchock1804@yahoo.com</t>
  </si>
  <si>
    <t>001-502-000000295</t>
  </si>
  <si>
    <t>TP251000187</t>
  </si>
  <si>
    <t>PRISCILA TORRES</t>
  </si>
  <si>
    <t>ptorresz@hotmail.com</t>
  </si>
  <si>
    <t>ZHUCAY/TARQUI</t>
  </si>
  <si>
    <t>TP251002547</t>
  </si>
  <si>
    <t>TZ252732476</t>
  </si>
  <si>
    <t>MD248L0000386</t>
  </si>
  <si>
    <t>PX253T00009</t>
  </si>
  <si>
    <t>001-500-000075182</t>
  </si>
  <si>
    <t>TP255E07801</t>
  </si>
  <si>
    <t>ZP253T00057</t>
  </si>
  <si>
    <t>PABLO DOMINGUEZ</t>
  </si>
  <si>
    <t>SAYAUSI</t>
  </si>
  <si>
    <t>dominguezpablo805@gmail.com</t>
  </si>
  <si>
    <t>006-002-000157890</t>
  </si>
  <si>
    <t>TP251W06258</t>
  </si>
  <si>
    <t>ZP242900919</t>
  </si>
  <si>
    <t>TZ24B527069</t>
  </si>
  <si>
    <t>TIMOTHY HOCH</t>
  </si>
  <si>
    <t>PASEO 3 NOVIEMBRE</t>
  </si>
  <si>
    <t>tihoch3@gmail.com</t>
  </si>
  <si>
    <t>001-600-000068906</t>
  </si>
  <si>
    <t>TP245E04651</t>
  </si>
  <si>
    <t>TZ246A06449</t>
  </si>
  <si>
    <t>ZP251U00176</t>
  </si>
  <si>
    <t>YH243000035</t>
  </si>
  <si>
    <t xml:space="preserve">PAZ REYES </t>
  </si>
  <si>
    <t>PRADO ALTO 2</t>
  </si>
  <si>
    <t>pazreyescordero@hotmail.com</t>
  </si>
  <si>
    <t>001-600-000068775</t>
  </si>
  <si>
    <t>001-600-000071956</t>
  </si>
  <si>
    <t>040-103-000008413</t>
  </si>
  <si>
    <t>TP246E08448</t>
  </si>
  <si>
    <t>TP246E08447</t>
  </si>
  <si>
    <t>MARIA ELISA MOSCOSO</t>
  </si>
  <si>
    <t>12 OCTUBRE Y DON BOSCO</t>
  </si>
  <si>
    <t>arqmariaelisamoscos@hotmail.com</t>
  </si>
  <si>
    <t>016-902-000511329</t>
  </si>
  <si>
    <t>TP243N09618</t>
  </si>
  <si>
    <t>TZ244R23249</t>
  </si>
  <si>
    <t>BIBLIAN</t>
  </si>
  <si>
    <t>marysalba88@gmail.com</t>
  </si>
  <si>
    <t>MARY SALVA/JHONATAN CRESPO</t>
  </si>
  <si>
    <t>043-906-000043812</t>
  </si>
  <si>
    <t>040-104-000012787</t>
  </si>
  <si>
    <t>ZP255900412</t>
  </si>
  <si>
    <t>TZ246A06533</t>
  </si>
  <si>
    <t>ARIANA RUKEISER</t>
  </si>
  <si>
    <t>arukeiser@yahoo.com</t>
  </si>
  <si>
    <t>TZ249B06753</t>
  </si>
  <si>
    <t>MD249LO5954</t>
  </si>
  <si>
    <t>AP24050980048</t>
  </si>
  <si>
    <t>001-500-000072194</t>
  </si>
  <si>
    <t>VITORIA HOGAR</t>
  </si>
  <si>
    <t>001-001-0000001634</t>
  </si>
  <si>
    <t>TZ243T28753</t>
  </si>
  <si>
    <t>ZP253500732</t>
  </si>
  <si>
    <t>ADRIANA FERNANDEZ</t>
  </si>
  <si>
    <t>ingelecort2018@gmail.com</t>
  </si>
  <si>
    <t>043-903-000087380</t>
  </si>
  <si>
    <t>ZP253S00713</t>
  </si>
  <si>
    <t>TZ256302534</t>
  </si>
  <si>
    <t>ELIANA MUNOZ</t>
  </si>
  <si>
    <t>elianamunoz@gmail.com</t>
  </si>
  <si>
    <t>001-500-000074541</t>
  </si>
  <si>
    <t>ZP251T00186</t>
  </si>
  <si>
    <t>CARLOS ASTUDILLO</t>
  </si>
  <si>
    <t>CRISSTOBAL COLON 5 24</t>
  </si>
  <si>
    <t>carlosfesastudillo@hotmail.com</t>
  </si>
  <si>
    <t>TP253E11287</t>
  </si>
  <si>
    <t>016-907-000161275</t>
  </si>
  <si>
    <t>TP252R03505</t>
  </si>
  <si>
    <t>KARINA CEDILLO</t>
  </si>
  <si>
    <t>RAMONA CORDERO Y GRAL ESCANDON</t>
  </si>
  <si>
    <t>0105037717</t>
  </si>
  <si>
    <t>KARYONGECE@HOTMAIL.COM</t>
  </si>
  <si>
    <t>043-903-000060538</t>
  </si>
  <si>
    <t>TP246C03366</t>
  </si>
  <si>
    <t>CHISTOPER WILTH</t>
  </si>
  <si>
    <t>BAGUANCHI</t>
  </si>
  <si>
    <t>0152392528</t>
  </si>
  <si>
    <t>C.WEITH@OUTLOOK.COM</t>
  </si>
  <si>
    <t>040-103-000005052</t>
  </si>
  <si>
    <t>ZP24CA00728</t>
  </si>
  <si>
    <t>MARIA BENITEZ</t>
  </si>
  <si>
    <t>EL CEBOLLAR</t>
  </si>
  <si>
    <t>0105141967</t>
  </si>
  <si>
    <t>MARICARMEN_6@HOTMAIL.COM</t>
  </si>
  <si>
    <t>007-006-000138259</t>
  </si>
  <si>
    <t>ALEXANDRA MORENO</t>
  </si>
  <si>
    <t>DE LOS ADOBES Y CEREZOS</t>
  </si>
  <si>
    <t>0100964030</t>
  </si>
  <si>
    <t>javieralbarracin27@gmail.com</t>
  </si>
  <si>
    <t>043-905-000083155</t>
  </si>
  <si>
    <t>TP253E11265</t>
  </si>
  <si>
    <t>MARITZA BRACHO</t>
  </si>
  <si>
    <t>CIUDADELA TOMEBAMBA</t>
  </si>
  <si>
    <t>1400230450</t>
  </si>
  <si>
    <t>MARITZABACHOR@GMAIL.COM</t>
  </si>
  <si>
    <t>001-500-000074956</t>
  </si>
  <si>
    <t>Z246C00195</t>
  </si>
  <si>
    <t>ANDRES PENAFIEL</t>
  </si>
  <si>
    <t>GUSTAVO LOMAS Y CAMANO</t>
  </si>
  <si>
    <t>0103156515</t>
  </si>
  <si>
    <t>ESPACIORAL@GMAIL.COM</t>
  </si>
  <si>
    <t>006-000156922</t>
  </si>
  <si>
    <t>JUAN CAMPOZANO</t>
  </si>
  <si>
    <t>0990447215</t>
  </si>
  <si>
    <t>ANA-CALORENA84@HOTMAIL.COM</t>
  </si>
  <si>
    <t>001-500-0000574833</t>
  </si>
  <si>
    <t>ZP246C00193</t>
  </si>
  <si>
    <t>RUBEN CANDO</t>
  </si>
  <si>
    <t>MIGUEL CORDERO Y SOLANO</t>
  </si>
  <si>
    <t>0104431044001</t>
  </si>
  <si>
    <t>MRUBENCANDO@GAIL.COM</t>
  </si>
  <si>
    <t>040-105-00001984</t>
  </si>
  <si>
    <t>SVQ0GWVIXA0</t>
  </si>
  <si>
    <t>IRINA CRESPO</t>
  </si>
  <si>
    <t>RIO AMARILLO CASA 5</t>
  </si>
  <si>
    <t>0102305364</t>
  </si>
  <si>
    <t>IRINACDT@YAHOO.COM</t>
  </si>
  <si>
    <t>001-500-000075588</t>
  </si>
  <si>
    <t>TP253E11280</t>
  </si>
  <si>
    <t>RENE LEON</t>
  </si>
  <si>
    <t>BETHOVEN ED GARCIA</t>
  </si>
  <si>
    <t>0101601052</t>
  </si>
  <si>
    <t>LJORGERENA@YAHOO.COM</t>
  </si>
  <si>
    <t>DECOCASA</t>
  </si>
  <si>
    <t>001-019-000014906</t>
  </si>
  <si>
    <t>TZ22BG16860</t>
  </si>
  <si>
    <t>GUSTAVO GONZALES</t>
  </si>
  <si>
    <t>SOLANO Y DANIELCORDOVA</t>
  </si>
  <si>
    <t>0101215267</t>
  </si>
  <si>
    <t>PAISAJE.GG@GMAIL.COM</t>
  </si>
  <si>
    <t>040-103-000015247</t>
  </si>
  <si>
    <t>ZP243000242</t>
  </si>
  <si>
    <t>LAURA JARA</t>
  </si>
  <si>
    <t>PASEO RIO MIGUIR</t>
  </si>
  <si>
    <t>1400492284</t>
  </si>
  <si>
    <t>LAVAJARASA@GMAIL.COM</t>
  </si>
  <si>
    <t>001-500-000075565</t>
  </si>
  <si>
    <t>TZ24C507101</t>
  </si>
  <si>
    <t>CARMEN LEON</t>
  </si>
  <si>
    <t>AV 1 DE MAYO</t>
  </si>
  <si>
    <t>0107060766</t>
  </si>
  <si>
    <t>CARMIITALEONTV@GMAIL.COM</t>
  </si>
  <si>
    <t>001-500-000075767</t>
  </si>
  <si>
    <t>CO249E00161</t>
  </si>
  <si>
    <t>MERCEDES SEGARRA</t>
  </si>
  <si>
    <t xml:space="preserve">CALLE RETORNO </t>
  </si>
  <si>
    <t>104938469001</t>
  </si>
  <si>
    <t>mscsegarramogrovejo@gmail.com</t>
  </si>
  <si>
    <t>WAYRA PLAZA</t>
  </si>
  <si>
    <t>098990226</t>
  </si>
  <si>
    <t>040-103-000015370</t>
  </si>
  <si>
    <t>ZP24AQ00105</t>
  </si>
  <si>
    <t>JUN SANAY</t>
  </si>
  <si>
    <t>HONDURAS Y NICARAGUA</t>
  </si>
  <si>
    <t>0601774086</t>
  </si>
  <si>
    <t>JUANSANAY@OUTLOOK.COM</t>
  </si>
  <si>
    <t>001-500-000074939</t>
  </si>
  <si>
    <t>AW234800281</t>
  </si>
  <si>
    <t>CARMEN BALAREZO</t>
  </si>
  <si>
    <t>ALFONSO BORRERO 2 60</t>
  </si>
  <si>
    <t>0100927995</t>
  </si>
  <si>
    <t>CARMENBALAREZO@GMAIL.COM</t>
  </si>
  <si>
    <t>TZ216E22875</t>
  </si>
  <si>
    <t>MARIA URGILES</t>
  </si>
  <si>
    <t>SE REVISA Y SE AJUSTA EL SENSOR DE FLAMA</t>
  </si>
  <si>
    <t>0102128741</t>
  </si>
  <si>
    <t>juanca7010@hotmail.com</t>
  </si>
  <si>
    <t>001-500-000041118</t>
  </si>
  <si>
    <t>ZP245Q00481</t>
  </si>
  <si>
    <t>SE REVISA Y SE COLOCA EN SU SITIO LOS MANDOS TOUCH</t>
  </si>
  <si>
    <t>0104993811</t>
  </si>
  <si>
    <t>edissoncampo90@gmail.com</t>
  </si>
  <si>
    <t>ZP235400072</t>
  </si>
  <si>
    <t>ANDREA VILLAVICENCIO</t>
  </si>
  <si>
    <t>SE CORRIGE LA POSICION DE LA TARJETA TOUCH</t>
  </si>
  <si>
    <t>0103121653</t>
  </si>
  <si>
    <t>gerencia@oceacuns.com</t>
  </si>
  <si>
    <t>040-104-000003952</t>
  </si>
  <si>
    <t>PAZ REYES CORDERO</t>
  </si>
  <si>
    <t>EL FILTRO DE CONDUCCION DE AGUA ESTA OBSTRUIDO, SE SOLUCIONA</t>
  </si>
  <si>
    <t>1002771218</t>
  </si>
  <si>
    <t>perezreyescordero@hotmail.com</t>
  </si>
  <si>
    <t>001-500-000068906</t>
  </si>
  <si>
    <t>MARTIN URGILES</t>
  </si>
  <si>
    <t>001-500-000072805</t>
  </si>
  <si>
    <t>TZ24CA07341</t>
  </si>
  <si>
    <t>DEL ARRIERO Y AV. DEL TEJAR</t>
  </si>
  <si>
    <t>c.dani.87@hotmail.com</t>
  </si>
  <si>
    <t>ZP251T00336</t>
  </si>
  <si>
    <t>043-905-000034640</t>
  </si>
  <si>
    <t>MD247L00231</t>
  </si>
  <si>
    <t>JUAN AVILA</t>
  </si>
  <si>
    <t>DON BOSCO</t>
  </si>
  <si>
    <t>gailaj_1036@yahoo.com</t>
  </si>
  <si>
    <t>ZP241X00099</t>
  </si>
  <si>
    <t>TZ242605674</t>
  </si>
  <si>
    <t>040-103-000004141</t>
  </si>
  <si>
    <t>001-500-000075842</t>
  </si>
  <si>
    <t>ZP24CL00237</t>
  </si>
  <si>
    <t>TZ245N21961</t>
  </si>
  <si>
    <t>IVANNA BERMEO</t>
  </si>
  <si>
    <t>MISICATA</t>
  </si>
  <si>
    <t>cris.jim93@hotmail.com</t>
  </si>
  <si>
    <t>001-500-000073019</t>
  </si>
  <si>
    <t>001-500-000068848</t>
  </si>
  <si>
    <t>TP249L09350</t>
  </si>
  <si>
    <t>ZP244W00582</t>
  </si>
  <si>
    <t>FABIAN MOLINA</t>
  </si>
  <si>
    <t>jj.roesner@gmail.com</t>
  </si>
  <si>
    <t>001-500-000075922</t>
  </si>
  <si>
    <t>TP24A408514</t>
  </si>
  <si>
    <t>CARLA SOLANO</t>
  </si>
  <si>
    <t>CORNELIO MERCHAN Y PERALTA</t>
  </si>
  <si>
    <t>0107344467</t>
  </si>
  <si>
    <t>NO INDICA</t>
  </si>
  <si>
    <t>043-904-000080510</t>
  </si>
  <si>
    <t>TP254H07557</t>
  </si>
  <si>
    <t>LUIS BARROS</t>
  </si>
  <si>
    <t>2 DE AGOSTO Y JOSE MEJIA</t>
  </si>
  <si>
    <t>0102898053</t>
  </si>
  <si>
    <t>CDCASITADECARAMELO@GAIL.COM</t>
  </si>
  <si>
    <t>043-903-000087761</t>
  </si>
  <si>
    <t>TP252R0383</t>
  </si>
  <si>
    <t>DIEGO ALEGRIA</t>
  </si>
  <si>
    <t>CARLOS MONTUFAR Y CHORDELEG</t>
  </si>
  <si>
    <t>0927213391</t>
  </si>
  <si>
    <t>DIEGOALEGRIA550@GMAIL.COM</t>
  </si>
  <si>
    <t>TZ225606693</t>
  </si>
  <si>
    <t>MARIA ZAMORA</t>
  </si>
  <si>
    <t>SE AJUSTA LA BUJIA DE ENCENDIDOI</t>
  </si>
  <si>
    <t>0104639012</t>
  </si>
  <si>
    <t>ferzamora1989@gmail.com</t>
  </si>
  <si>
    <t>001-500-000049529</t>
  </si>
  <si>
    <t>MC24B100085</t>
  </si>
  <si>
    <t>MARIA TAMARIZ</t>
  </si>
  <si>
    <t>SE HACE HIELO, SE ACOMODA CAJONES Y PRUEBA DESHIELO</t>
  </si>
  <si>
    <t>0908915085</t>
  </si>
  <si>
    <t>maryeugeniatam@hotmail.com</t>
  </si>
  <si>
    <t>043-904-000068029</t>
  </si>
  <si>
    <t xml:space="preserve">Al 19 De Agosto 2025 </t>
  </si>
  <si>
    <t>AGOSTO 2025</t>
  </si>
  <si>
    <t>CAPELO AGOSTO 2025</t>
  </si>
  <si>
    <t>Clientes Visitados al 19 de AGOSTO 2025</t>
  </si>
  <si>
    <t>006-002-000157433</t>
  </si>
  <si>
    <t>ZP24AN00573</t>
  </si>
  <si>
    <t>TP24AF00375</t>
  </si>
  <si>
    <t>TZ24BF12878</t>
  </si>
  <si>
    <t>REMIGIO CRESPO</t>
  </si>
  <si>
    <t>030171784!</t>
  </si>
  <si>
    <t>remigiocresp011@gmail.com</t>
  </si>
  <si>
    <t>VISITADO/INSTALADO</t>
  </si>
  <si>
    <t>PRADO ALTO II</t>
  </si>
  <si>
    <t>GARANTIA</t>
  </si>
  <si>
    <t xml:space="preserve"> perezreyescordero@hotmail.com </t>
  </si>
  <si>
    <t>PUERTAS DEL SOL</t>
  </si>
  <si>
    <t>KIWI</t>
  </si>
  <si>
    <t xml:space="preserve"> maryeugeniatam@hotmail.com </t>
  </si>
  <si>
    <t xml:space="preserve"> ferzamora1989@gmail.com </t>
  </si>
  <si>
    <t>TURI</t>
  </si>
  <si>
    <t xml:space="preserve"> gerencia@oceacuns.com </t>
  </si>
  <si>
    <t>SAP TEKA</t>
  </si>
  <si>
    <t>VISTA LINDA</t>
  </si>
  <si>
    <t xml:space="preserve"> edissoncampo90@gmail.com </t>
  </si>
  <si>
    <t>EL TEJAR</t>
  </si>
  <si>
    <t xml:space="preserve"> juanca7010@hotmail.com </t>
  </si>
  <si>
    <t>MISICATA KM 1.5</t>
  </si>
  <si>
    <t xml:space="preserve"> carlosugalden@yahoo.com </t>
  </si>
  <si>
    <t>EDIFICIO TERRACOTA</t>
  </si>
  <si>
    <t xml:space="preserve"> ficomedina1951@gmail.com </t>
  </si>
  <si>
    <t>PRESIDENTE CORDOVA</t>
  </si>
  <si>
    <t xml:space="preserve"> suitespresidentecordova@gmail.com </t>
  </si>
  <si>
    <t xml:space="preserve"> gcorreabarzallo@gmail.com </t>
  </si>
  <si>
    <t>CONDOMINIO AKARI II</t>
  </si>
  <si>
    <t xml:space="preserve"> jaquesilva1963@gmail.com </t>
  </si>
  <si>
    <t>AV 12 DE ABRIL</t>
  </si>
  <si>
    <t xml:space="preserve"> rosamariadelgado@live.com </t>
  </si>
  <si>
    <t>freddy@kywi.com.ec</t>
  </si>
  <si>
    <t>trabajo completado sin novedad</t>
  </si>
  <si>
    <t>INSTALAR</t>
  </si>
  <si>
    <t>REPARAR</t>
  </si>
  <si>
    <t>SE JUSTA SENSOR DEL TERMOPAR</t>
  </si>
  <si>
    <t xml:space="preserve">SE AJUSTAN CONEXIONES </t>
  </si>
  <si>
    <t xml:space="preserve">SE ENCUENTRA VENTILADOR SUELTO </t>
  </si>
  <si>
    <t>SE AJUSTA LAS BUJIAS</t>
  </si>
  <si>
    <t>SE CAMBIA PLACA DE POTENCIA</t>
  </si>
  <si>
    <t>SE AJUSTA SENSOR DE FLAMA</t>
  </si>
  <si>
    <t>SE COLOCA BIEN MANDOS TOUCH</t>
  </si>
  <si>
    <t>SE COLOCA BIEN TARJETA TOUCH</t>
  </si>
  <si>
    <t>CONDUCTO DE AGUA OBSTRUIDO</t>
  </si>
  <si>
    <t>SE AJUSTA BUJIAS ENCENDIDO</t>
  </si>
  <si>
    <t>SE COLOCA CAJONES EN POSICION Y DESCONGELA</t>
  </si>
  <si>
    <t>ZP242LOO261</t>
  </si>
  <si>
    <t>ANGEL GARCIA</t>
  </si>
  <si>
    <t>QUEMADOR SE APAGA, SE AJUSTA SENSOR TERMOPAR</t>
  </si>
  <si>
    <t>1203958556</t>
  </si>
  <si>
    <t>angelgarcia34@hotmail.com</t>
  </si>
  <si>
    <t>002-101-000112976</t>
  </si>
  <si>
    <t>016-902-000502715</t>
  </si>
  <si>
    <t>TKZAC5D186700</t>
  </si>
  <si>
    <t>PXZ1B400851</t>
  </si>
  <si>
    <t>ZP24C200895</t>
  </si>
  <si>
    <t>TZ247C12551</t>
  </si>
  <si>
    <t>VERONICA BERMEO</t>
  </si>
  <si>
    <t>DE LOS ADOBES</t>
  </si>
  <si>
    <t>verobermeo5@gmail.com</t>
  </si>
  <si>
    <t>001-500-000067476</t>
  </si>
  <si>
    <t>TZ24CH13258</t>
  </si>
  <si>
    <t>HW251P29148</t>
  </si>
  <si>
    <t>ZP245H00520</t>
  </si>
  <si>
    <t>TKAZC5B0608001</t>
  </si>
  <si>
    <t>FERNANDA SANTA CRUZ</t>
  </si>
  <si>
    <t>CAÑAR</t>
  </si>
  <si>
    <t>fsantacruzcz55@gmail.com</t>
  </si>
  <si>
    <t>043-905-000070432</t>
  </si>
  <si>
    <t>006-000157912</t>
  </si>
  <si>
    <t>TP255E06899</t>
  </si>
  <si>
    <t>ZP235400089</t>
  </si>
  <si>
    <t>TZ239403887</t>
  </si>
  <si>
    <t>TP24AV00156</t>
  </si>
  <si>
    <t>TONY REESE</t>
  </si>
  <si>
    <t>treese1040@me.com</t>
  </si>
  <si>
    <t>001-500-000074967</t>
  </si>
  <si>
    <t>ZP246C00192</t>
  </si>
  <si>
    <t>EK24BL00035</t>
  </si>
  <si>
    <t>JUANA VALDIVIEZO</t>
  </si>
  <si>
    <t>CDLA BELLO HORIZONTE</t>
  </si>
  <si>
    <t>clarivelvaldiviezo70@hotmail.com</t>
  </si>
  <si>
    <t>001-500-000076034</t>
  </si>
  <si>
    <t>TZ245N21864</t>
  </si>
  <si>
    <t>TP255E07963</t>
  </si>
  <si>
    <t>ROBERTO RODAS</t>
  </si>
  <si>
    <t>vivvelezq28@gmail.com</t>
  </si>
  <si>
    <t>001-500-000068014</t>
  </si>
  <si>
    <t>EK24CA00049</t>
  </si>
  <si>
    <t>ZP24C300343</t>
  </si>
  <si>
    <t>TP253Q00272</t>
  </si>
  <si>
    <t>TZ2473031119</t>
  </si>
  <si>
    <t>BELEN CALLE</t>
  </si>
  <si>
    <t>PASEO RIO BLANCO</t>
  </si>
  <si>
    <t>megamueblesbelen@hotmail.com</t>
  </si>
  <si>
    <t>001-502-000000202</t>
  </si>
  <si>
    <t>TZ24AW24314</t>
  </si>
  <si>
    <t>TKAZC5B69001</t>
  </si>
  <si>
    <t>ZP255900272</t>
  </si>
  <si>
    <t>EK24B200047</t>
  </si>
  <si>
    <t>TP251905685</t>
  </si>
  <si>
    <t>MONICA ANDRADE</t>
  </si>
  <si>
    <t>0104219027</t>
  </si>
  <si>
    <t>monicaandrade671@gmail.com</t>
  </si>
  <si>
    <t>044-014-000008336</t>
  </si>
  <si>
    <t>TP253V06865</t>
  </si>
  <si>
    <t>ZP24CH00848</t>
  </si>
  <si>
    <t>EDMUNDO NIOLA</t>
  </si>
  <si>
    <t>HEROES DE VERDELOMA</t>
  </si>
  <si>
    <t>0102120854</t>
  </si>
  <si>
    <t>edniola@live.com</t>
  </si>
  <si>
    <t>ZP252B00379</t>
  </si>
  <si>
    <t>GABRIELA MALO</t>
  </si>
  <si>
    <t>SE SUSTITUYEN 2 CONTROLES</t>
  </si>
  <si>
    <t>0103642328</t>
  </si>
  <si>
    <t>gabymalo@hotmail.com</t>
  </si>
  <si>
    <t>040-104-0000115015</t>
  </si>
  <si>
    <t>60803238/60803290</t>
  </si>
  <si>
    <t>CONJUNTO TOUCH CONTROL AUXLIDER 21/ conj. Touch control tk h5gen 2</t>
  </si>
  <si>
    <t>GENERADOR ENCEND. SSCL 120 240 60 HZ</t>
  </si>
  <si>
    <t>ZP238000499</t>
  </si>
  <si>
    <t>FELIPE BERMEO</t>
  </si>
  <si>
    <t>SE CAMBIA GENERADOR DE ENCENDIDO</t>
  </si>
  <si>
    <t>0102417243</t>
  </si>
  <si>
    <t>felipebermeoq@gmail.com</t>
  </si>
  <si>
    <t>006-000154857</t>
  </si>
  <si>
    <t>cambio de generador de encendido</t>
  </si>
  <si>
    <t>0103104964</t>
  </si>
  <si>
    <t>wilsonortega2020@hotmail.com</t>
  </si>
  <si>
    <t>040-103-000000597</t>
  </si>
  <si>
    <t>ZP235800032</t>
  </si>
  <si>
    <t>WILSON ORTEGA</t>
  </si>
  <si>
    <t>CAFETERA</t>
  </si>
  <si>
    <t>001-500-000074478</t>
  </si>
  <si>
    <t>TZ249P16564</t>
  </si>
  <si>
    <t>XIMENA ULLAURI</t>
  </si>
  <si>
    <t>0979786282</t>
  </si>
  <si>
    <t>XIMEU81@GMAIL.COM</t>
  </si>
  <si>
    <t>OÑA</t>
  </si>
  <si>
    <t>001-500-000075983</t>
  </si>
  <si>
    <t>TP251T00001</t>
  </si>
  <si>
    <t>TATIANA VIDAL</t>
  </si>
  <si>
    <t>0984974851</t>
  </si>
  <si>
    <t>TATIANA.VIDALDQ@HOTMAIL.COM</t>
  </si>
  <si>
    <t>001-500-000075989</t>
  </si>
  <si>
    <t>ZP25590031</t>
  </si>
  <si>
    <t>GUISELLE VILLAVICENCIO</t>
  </si>
  <si>
    <t>0987215757</t>
  </si>
  <si>
    <t>GIPADPUBLICIDAD@HOTMAIL.COM</t>
  </si>
  <si>
    <t>001-500-000071744</t>
  </si>
  <si>
    <t>ZP24BT00885</t>
  </si>
  <si>
    <t>PATRICIA GARCIA</t>
  </si>
  <si>
    <t>01018861109</t>
  </si>
  <si>
    <t>PANFEGARCIA@HOTMAIL.COM</t>
  </si>
  <si>
    <t>001-500-000075819</t>
  </si>
  <si>
    <t>TZ256404931</t>
  </si>
  <si>
    <t>DIEGO ESPINOZA</t>
  </si>
  <si>
    <t>CANTON JAMA</t>
  </si>
  <si>
    <t>PAOLABRAVOM@HOTMAIL.COM</t>
  </si>
  <si>
    <t>006-002-000158293</t>
  </si>
  <si>
    <t>ZP254U00229</t>
  </si>
  <si>
    <t>JUAN CORDERO</t>
  </si>
  <si>
    <t>MENDEZ Y PELAYO</t>
  </si>
  <si>
    <t>BXGONZALES@HOTMAIL.COM</t>
  </si>
  <si>
    <t>007-006-000139214</t>
  </si>
  <si>
    <t>ZP24BT00482</t>
  </si>
  <si>
    <t>NATALY CORDERO</t>
  </si>
  <si>
    <t>ANGUINATY@HOTMAIL.COM</t>
  </si>
  <si>
    <t>006-000156200</t>
  </si>
  <si>
    <t>TP24A801239</t>
  </si>
  <si>
    <t>GONZALO MASACHE</t>
  </si>
  <si>
    <t>ALAMOR</t>
  </si>
  <si>
    <t>JERMAGMASACHE@HOTMAIL.COM</t>
  </si>
  <si>
    <t>001-500-000078970</t>
  </si>
  <si>
    <t>TP249AO1921</t>
  </si>
  <si>
    <t>DIANA ALVARRACIN</t>
  </si>
  <si>
    <t>VICENTE CUESTA Y HORTENCIA MATA</t>
  </si>
  <si>
    <t>DIANA.ALBARRACIN@UCUENCA.EDU.EC</t>
  </si>
  <si>
    <t xml:space="preserve">       </t>
  </si>
  <si>
    <t>SE AJUSTA SENSOR TERMOPAR</t>
  </si>
  <si>
    <t>CAMBIA GENERADOR DE ENCENDIDO</t>
  </si>
  <si>
    <t>ALEJANDRO ANDRADE</t>
  </si>
  <si>
    <t>ESTEVEZ DE TORAL</t>
  </si>
  <si>
    <t>COMERCIAL LUNA PAZMINO</t>
  </si>
  <si>
    <t>AUTOPISTA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</si>
</sst>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dd/mm/yyyy;@"/>
    <numFmt numFmtId="166" formatCode="&quot;$&quot;#,##0.00"/>
    <numFmt numFmtId="167" formatCode="dd\-mm\-yy;@"/>
    <numFmt numFmtId="168" formatCode="_-* #,##0.00_-;\-* #,##0.00_-;_-* &quot;-&quot;??_-;_-@_-"/>
    <numFmt numFmtId="169" formatCode="_-* #,##0.00\ _€_-;\-* #,##0.00\ _€_-;_-* &quot;-&quot;??\ _€_-;_-@_-"/>
    <numFmt numFmtId="170" formatCode="_(&quot;$&quot;\ * #,##0.00_);_(&quot;$&quot;\ * \(#,##0.00\);_(&quot;$&quot;\ * &quot;-&quot;??_);_(@_)"/>
  </numFmts>
  <fonts count="96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5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5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indexed="8"/>
      <name val="Aptos Narrow"/>
      <scheme val="minor"/>
    </font>
    <font>
      <sz val="14"/>
      <color theme="1"/>
      <name val="Aptos Narrow"/>
      <scheme val="minor"/>
    </font>
    <font>
      <sz val="14"/>
      <color indexed="8"/>
      <name val="Aptos Narrow"/>
      <scheme val="minor"/>
    </font>
    <font>
      <sz val="13"/>
      <color rgb="FF1D2228"/>
      <name val="Gothic sans-serif"/>
      <charset val="1"/>
    </font>
    <font>
      <sz val="13"/>
      <color rgb="FF1D2228"/>
      <name val="Arial"/>
      <family val="2"/>
    </font>
    <font>
      <sz val="10"/>
      <color rgb="FF1D2228"/>
      <name val="Arial"/>
      <family val="2"/>
    </font>
    <font>
      <b/>
      <sz val="13"/>
      <color rgb="FF1D2228"/>
      <name val="Gothic sans-serif"/>
      <charset val="1"/>
    </font>
    <font>
      <b/>
      <sz val="13"/>
      <color rgb="FF000000"/>
      <name val="Calibri"/>
      <family val="2"/>
    </font>
    <font>
      <sz val="16"/>
      <color indexed="8"/>
      <name val="Calibri"/>
      <family val="2"/>
    </font>
    <font>
      <sz val="16"/>
      <color theme="1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u/>
      <sz val="12"/>
      <color theme="3" tint="0.249977111117893"/>
      <name val="Aptos Narrow"/>
      <scheme val="minor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u/>
      <sz val="14"/>
      <color theme="4"/>
      <name val="Calibri"/>
      <family val="2"/>
    </font>
    <font>
      <u/>
      <sz val="14"/>
      <color theme="10"/>
      <name val="Calibri"/>
      <family val="2"/>
    </font>
    <font>
      <sz val="14"/>
      <color rgb="FF000000"/>
      <name val="Calibri"/>
      <family val="2"/>
    </font>
    <font>
      <u/>
      <sz val="14"/>
      <color theme="1"/>
      <name val="Calibri"/>
      <family val="2"/>
    </font>
    <font>
      <u/>
      <sz val="14"/>
      <color theme="3" tint="0.249977111117893"/>
      <name val="Calibri"/>
      <family val="2"/>
    </font>
    <font>
      <u/>
      <sz val="14"/>
      <color theme="10"/>
      <name val="Aptos Narrow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indexed="8"/>
      <name val="Calibri"/>
      <family val="2"/>
    </font>
    <font>
      <b/>
      <sz val="14"/>
      <name val="Calibri"/>
      <family val="2"/>
    </font>
    <font>
      <b/>
      <u/>
      <sz val="14"/>
      <color theme="4"/>
      <name val="Calibri"/>
      <family val="2"/>
    </font>
    <font>
      <b/>
      <u/>
      <sz val="11"/>
      <color theme="10"/>
      <name val="Aptos Narrow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12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1" fillId="0" borderId="0"/>
    <xf numFmtId="169" fontId="8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51" fillId="0" borderId="0"/>
    <xf numFmtId="0" fontId="51" fillId="5" borderId="0">
      <alignment horizontal="left"/>
    </xf>
    <xf numFmtId="0" fontId="81" fillId="0" borderId="0"/>
    <xf numFmtId="0" fontId="81" fillId="0" borderId="0"/>
    <xf numFmtId="0" fontId="27" fillId="0" borderId="0" applyNumberFormat="0" applyFill="0" applyBorder="0" applyAlignment="0" applyProtection="0"/>
    <xf numFmtId="0" fontId="21" fillId="0" borderId="0"/>
    <xf numFmtId="0" fontId="81" fillId="0" borderId="0"/>
    <xf numFmtId="43" fontId="21" fillId="0" borderId="0" applyFont="0" applyFill="0" applyBorder="0" applyAlignment="0" applyProtection="0"/>
    <xf numFmtId="0" fontId="51" fillId="0" borderId="0"/>
    <xf numFmtId="43" fontId="21" fillId="0" borderId="0" applyFont="0" applyFill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3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6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7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0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1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4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5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8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81" fillId="30" borderId="0" applyNumberFormat="0" applyBorder="0" applyAlignment="0" applyProtection="0"/>
    <xf numFmtId="0" fontId="5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5" fillId="0" borderId="0" applyBorder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169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168" fontId="81" fillId="0" borderId="0" applyFont="0" applyFill="0" applyBorder="0" applyAlignment="0" applyProtection="0"/>
    <xf numFmtId="168" fontId="81" fillId="0" borderId="0" applyFont="0" applyFill="0" applyBorder="0" applyAlignment="0" applyProtection="0"/>
    <xf numFmtId="168" fontId="81" fillId="0" borderId="0" applyFont="0" applyFill="0" applyBorder="0" applyAlignment="0" applyProtection="0"/>
    <xf numFmtId="168" fontId="81" fillId="0" borderId="0" applyFont="0" applyFill="0" applyBorder="0" applyAlignment="0" applyProtection="0"/>
    <xf numFmtId="168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170" fontId="56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0" fontId="57" fillId="0" borderId="0"/>
    <xf numFmtId="0" fontId="8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81" fillId="0" borderId="0"/>
    <xf numFmtId="0" fontId="81" fillId="0" borderId="0"/>
    <xf numFmtId="0" fontId="2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1" fillId="0" borderId="0"/>
    <xf numFmtId="0" fontId="58" fillId="0" borderId="0"/>
    <xf numFmtId="0" fontId="5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59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0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59" fillId="0" borderId="0"/>
    <xf numFmtId="0" fontId="21" fillId="0" borderId="0"/>
    <xf numFmtId="0" fontId="5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57" fillId="0" borderId="0"/>
    <xf numFmtId="0" fontId="59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61" fillId="0" borderId="0"/>
    <xf numFmtId="0" fontId="51" fillId="5" borderId="0">
      <alignment horizontal="left"/>
    </xf>
    <xf numFmtId="0" fontId="6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81" fillId="31" borderId="23" applyNumberFormat="0" applyFont="0" applyAlignment="0" applyProtection="0"/>
    <xf numFmtId="0" fontId="62" fillId="0" borderId="0"/>
    <xf numFmtId="0" fontId="63" fillId="0" borderId="0"/>
    <xf numFmtId="0" fontId="64" fillId="0" borderId="0"/>
    <xf numFmtId="0" fontId="81" fillId="13" borderId="0" applyNumberFormat="0" applyBorder="0" applyAlignment="0" applyProtection="0"/>
    <xf numFmtId="0" fontId="81" fillId="14" borderId="0" applyNumberFormat="0" applyBorder="0" applyAlignment="0" applyProtection="0"/>
    <xf numFmtId="0" fontId="81" fillId="15" borderId="0" applyNumberFormat="0" applyBorder="0" applyAlignment="0" applyProtection="0"/>
    <xf numFmtId="0" fontId="81" fillId="16" borderId="0" applyNumberFormat="0" applyBorder="0" applyAlignment="0" applyProtection="0"/>
    <xf numFmtId="0" fontId="81" fillId="17" borderId="0" applyNumberFormat="0" applyBorder="0" applyAlignment="0" applyProtection="0"/>
    <xf numFmtId="0" fontId="81" fillId="18" borderId="0" applyNumberFormat="0" applyBorder="0" applyAlignment="0" applyProtection="0"/>
    <xf numFmtId="0" fontId="81" fillId="19" borderId="0" applyNumberFormat="0" applyBorder="0" applyAlignment="0" applyProtection="0"/>
    <xf numFmtId="0" fontId="81" fillId="20" borderId="0" applyNumberFormat="0" applyBorder="0" applyAlignment="0" applyProtection="0"/>
    <xf numFmtId="0" fontId="81" fillId="21" borderId="0" applyNumberFormat="0" applyBorder="0" applyAlignment="0" applyProtection="0"/>
    <xf numFmtId="0" fontId="81" fillId="22" borderId="0" applyNumberFormat="0" applyBorder="0" applyAlignment="0" applyProtection="0"/>
    <xf numFmtId="0" fontId="81" fillId="23" borderId="0" applyNumberFormat="0" applyBorder="0" applyAlignment="0" applyProtection="0"/>
    <xf numFmtId="0" fontId="81" fillId="24" borderId="0" applyNumberFormat="0" applyBorder="0" applyAlignment="0" applyProtection="0"/>
    <xf numFmtId="0" fontId="81" fillId="25" borderId="0" applyNumberFormat="0" applyBorder="0" applyAlignment="0" applyProtection="0"/>
    <xf numFmtId="0" fontId="81" fillId="26" borderId="0" applyNumberFormat="0" applyBorder="0" applyAlignment="0" applyProtection="0"/>
    <xf numFmtId="0" fontId="81" fillId="27" borderId="0" applyNumberFormat="0" applyBorder="0" applyAlignment="0" applyProtection="0"/>
    <xf numFmtId="0" fontId="81" fillId="28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65" fillId="32" borderId="0" applyNumberFormat="0" applyBorder="0" applyAlignment="0" applyProtection="0"/>
    <xf numFmtId="0" fontId="66" fillId="33" borderId="24" applyNumberFormat="0" applyAlignment="0" applyProtection="0"/>
    <xf numFmtId="0" fontId="67" fillId="34" borderId="25" applyNumberFormat="0" applyAlignment="0" applyProtection="0"/>
    <xf numFmtId="0" fontId="68" fillId="0" borderId="26" applyNumberFormat="0" applyFill="0" applyAlignment="0" applyProtection="0"/>
    <xf numFmtId="0" fontId="69" fillId="0" borderId="27" applyNumberFormat="0" applyFill="0" applyAlignment="0" applyProtection="0"/>
    <xf numFmtId="0" fontId="70" fillId="0" borderId="0" applyNumberFormat="0" applyFill="0" applyBorder="0" applyAlignment="0" applyProtection="0"/>
    <xf numFmtId="0" fontId="71" fillId="35" borderId="0" applyNumberFormat="0" applyBorder="0" applyAlignment="0" applyProtection="0"/>
    <xf numFmtId="0" fontId="71" fillId="36" borderId="0" applyNumberFormat="0" applyBorder="0" applyAlignment="0" applyProtection="0"/>
    <xf numFmtId="0" fontId="71" fillId="37" borderId="0" applyNumberFormat="0" applyBorder="0" applyAlignment="0" applyProtection="0"/>
    <xf numFmtId="0" fontId="71" fillId="38" borderId="0" applyNumberFormat="0" applyBorder="0" applyAlignment="0" applyProtection="0"/>
    <xf numFmtId="0" fontId="71" fillId="39" borderId="0" applyNumberFormat="0" applyBorder="0" applyAlignment="0" applyProtection="0"/>
    <xf numFmtId="0" fontId="71" fillId="40" borderId="0" applyNumberFormat="0" applyBorder="0" applyAlignment="0" applyProtection="0"/>
    <xf numFmtId="0" fontId="72" fillId="41" borderId="24" applyNumberFormat="0" applyAlignment="0" applyProtection="0"/>
    <xf numFmtId="0" fontId="73" fillId="42" borderId="0" applyNumberFormat="0" applyBorder="0" applyAlignment="0" applyProtection="0"/>
    <xf numFmtId="0" fontId="74" fillId="43" borderId="0" applyNumberFormat="0" applyBorder="0" applyAlignment="0" applyProtection="0"/>
    <xf numFmtId="0" fontId="81" fillId="31" borderId="23" applyNumberFormat="0" applyFont="0" applyAlignment="0" applyProtection="0"/>
    <xf numFmtId="0" fontId="75" fillId="33" borderId="28" applyNumberFormat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70" fillId="0" borderId="30" applyNumberFormat="0" applyFill="0" applyAlignment="0" applyProtection="0"/>
    <xf numFmtId="0" fontId="80" fillId="0" borderId="31" applyNumberFormat="0" applyFill="0" applyAlignment="0" applyProtection="0"/>
  </cellStyleXfs>
  <cellXfs count="2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1" fontId="0" fillId="0" borderId="0" xfId="0" applyNumberForma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right"/>
    </xf>
    <xf numFmtId="1" fontId="5" fillId="2" borderId="0" xfId="0" applyNumberFormat="1" applyFont="1" applyFill="1" applyAlignment="1">
      <alignment horizontal="left"/>
    </xf>
    <xf numFmtId="0" fontId="7" fillId="0" borderId="0" xfId="1" applyAlignment="1">
      <alignment horizontal="right"/>
    </xf>
    <xf numFmtId="4" fontId="8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10" fillId="0" borderId="0" xfId="2" applyFont="1" applyAlignment="1">
      <alignment vertical="center"/>
    </xf>
    <xf numFmtId="0" fontId="9" fillId="0" borderId="0" xfId="2" applyFont="1"/>
    <xf numFmtId="2" fontId="11" fillId="0" borderId="0" xfId="2" applyNumberFormat="1" applyFont="1" applyAlignment="1">
      <alignment horizontal="left"/>
    </xf>
    <xf numFmtId="0" fontId="12" fillId="0" borderId="0" xfId="1" applyFont="1"/>
    <xf numFmtId="0" fontId="13" fillId="0" borderId="0" xfId="1" applyFont="1"/>
    <xf numFmtId="4" fontId="12" fillId="0" borderId="0" xfId="1" applyNumberFormat="1" applyFont="1" applyAlignment="1">
      <alignment horizontal="right"/>
    </xf>
    <xf numFmtId="1" fontId="14" fillId="0" borderId="0" xfId="1" applyNumberFormat="1" applyFont="1"/>
    <xf numFmtId="0" fontId="7" fillId="0" borderId="0" xfId="1"/>
    <xf numFmtId="4" fontId="8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left"/>
    </xf>
    <xf numFmtId="0" fontId="11" fillId="0" borderId="0" xfId="2" applyFont="1"/>
    <xf numFmtId="164" fontId="15" fillId="0" borderId="2" xfId="3" applyNumberFormat="1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7" fillId="0" borderId="3" xfId="3" applyFont="1" applyBorder="1" applyAlignment="1">
      <alignment horizontal="left"/>
    </xf>
    <xf numFmtId="0" fontId="18" fillId="0" borderId="3" xfId="3" applyFont="1" applyBorder="1" applyAlignment="1">
      <alignment horizontal="left" wrapText="1" readingOrder="1"/>
    </xf>
    <xf numFmtId="0" fontId="17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/>
    </xf>
    <xf numFmtId="17" fontId="20" fillId="0" borderId="3" xfId="3" applyNumberFormat="1" applyFont="1" applyBorder="1" applyAlignment="1">
      <alignment horizontal="left"/>
    </xf>
    <xf numFmtId="0" fontId="21" fillId="0" borderId="3" xfId="3" applyFont="1" applyBorder="1" applyAlignment="1">
      <alignment horizontal="left"/>
    </xf>
    <xf numFmtId="49" fontId="22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4" fillId="0" borderId="0" xfId="0" applyNumberFormat="1" applyFont="1"/>
    <xf numFmtId="164" fontId="15" fillId="0" borderId="5" xfId="3" applyNumberFormat="1" applyFont="1" applyBorder="1" applyAlignment="1">
      <alignment horizontal="left"/>
    </xf>
    <xf numFmtId="0" fontId="15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0" fontId="16" fillId="0" borderId="6" xfId="3" applyFont="1" applyBorder="1" applyAlignment="1">
      <alignment horizontal="left"/>
    </xf>
    <xf numFmtId="164" fontId="15" fillId="0" borderId="7" xfId="3" applyNumberFormat="1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6" fillId="0" borderId="0" xfId="0" applyFont="1"/>
    <xf numFmtId="0" fontId="23" fillId="3" borderId="10" xfId="4" applyFont="1" applyFill="1" applyBorder="1" applyAlignment="1">
      <alignment horizontal="left" wrapText="1"/>
    </xf>
    <xf numFmtId="0" fontId="23" fillId="3" borderId="10" xfId="4" applyFont="1" applyFill="1" applyBorder="1" applyAlignment="1">
      <alignment horizontal="left"/>
    </xf>
    <xf numFmtId="4" fontId="23" fillId="3" borderId="10" xfId="4" applyNumberFormat="1" applyFont="1" applyFill="1" applyBorder="1" applyAlignment="1">
      <alignment horizontal="left" wrapText="1"/>
    </xf>
    <xf numFmtId="1" fontId="23" fillId="3" borderId="10" xfId="4" applyNumberFormat="1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left" vertical="center" wrapText="1"/>
    </xf>
    <xf numFmtId="0" fontId="24" fillId="0" borderId="0" xfId="0" applyFont="1"/>
    <xf numFmtId="14" fontId="15" fillId="4" borderId="11" xfId="5" applyNumberFormat="1" applyFont="1" applyFill="1" applyBorder="1" applyAlignment="1">
      <alignment vertical="center" wrapText="1"/>
    </xf>
    <xf numFmtId="14" fontId="15" fillId="4" borderId="11" xfId="5" applyNumberFormat="1" applyFont="1" applyFill="1" applyBorder="1" applyAlignment="1">
      <alignment horizontal="left" vertical="center" wrapText="1"/>
    </xf>
    <xf numFmtId="0" fontId="15" fillId="4" borderId="11" xfId="5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left" vertical="center" wrapText="1"/>
    </xf>
    <xf numFmtId="0" fontId="25" fillId="4" borderId="1" xfId="5" applyFont="1" applyFill="1" applyBorder="1" applyAlignment="1">
      <alignment horizontal="left" vertical="center" wrapText="1"/>
    </xf>
    <xf numFmtId="0" fontId="26" fillId="0" borderId="12" xfId="5" applyFont="1" applyBorder="1" applyAlignment="1">
      <alignment horizontal="left" vertical="center" wrapText="1"/>
    </xf>
    <xf numFmtId="0" fontId="15" fillId="4" borderId="11" xfId="5" applyFont="1" applyFill="1" applyBorder="1" applyAlignment="1">
      <alignment horizontal="left" vertical="center" wrapText="1"/>
    </xf>
    <xf numFmtId="1" fontId="15" fillId="4" borderId="11" xfId="6" quotePrefix="1" applyNumberFormat="1" applyFont="1" applyFill="1" applyBorder="1" applyAlignment="1">
      <alignment horizontal="left" vertical="center"/>
    </xf>
    <xf numFmtId="43" fontId="15" fillId="4" borderId="11" xfId="7" applyFont="1" applyFill="1" applyBorder="1" applyAlignment="1">
      <alignment vertical="center"/>
    </xf>
    <xf numFmtId="49" fontId="15" fillId="4" borderId="11" xfId="7" applyNumberFormat="1" applyFont="1" applyFill="1" applyBorder="1" applyAlignment="1">
      <alignment horizontal="center" vertical="center"/>
    </xf>
    <xf numFmtId="43" fontId="27" fillId="4" borderId="13" xfId="8" applyNumberFormat="1" applyFill="1" applyBorder="1" applyAlignment="1">
      <alignment horizontal="left" vertical="center"/>
    </xf>
    <xf numFmtId="0" fontId="24" fillId="4" borderId="10" xfId="0" applyFont="1" applyFill="1" applyBorder="1" applyAlignment="1">
      <alignment vertical="center"/>
    </xf>
    <xf numFmtId="14" fontId="15" fillId="4" borderId="11" xfId="5" applyNumberFormat="1" applyFont="1" applyFill="1" applyBorder="1" applyAlignment="1">
      <alignment horizontal="right" vertical="center" wrapText="1"/>
    </xf>
    <xf numFmtId="43" fontId="0" fillId="0" borderId="0" xfId="0" applyNumberFormat="1"/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4" fontId="30" fillId="0" borderId="0" xfId="0" applyNumberFormat="1" applyFont="1"/>
    <xf numFmtId="0" fontId="15" fillId="0" borderId="0" xfId="0" applyFont="1" applyAlignment="1">
      <alignment horizontal="left" vertical="center"/>
    </xf>
    <xf numFmtId="2" fontId="28" fillId="0" borderId="0" xfId="0" applyNumberFormat="1" applyFont="1" applyAlignment="1">
      <alignment horizontal="left"/>
    </xf>
    <xf numFmtId="0" fontId="31" fillId="0" borderId="0" xfId="0" applyFont="1"/>
    <xf numFmtId="49" fontId="31" fillId="0" borderId="0" xfId="0" applyNumberFormat="1" applyFont="1" applyAlignment="1">
      <alignment horizontal="left"/>
    </xf>
    <xf numFmtId="1" fontId="28" fillId="0" borderId="0" xfId="0" applyNumberFormat="1" applyFont="1"/>
    <xf numFmtId="2" fontId="31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32" fillId="0" borderId="0" xfId="9" applyFont="1"/>
    <xf numFmtId="0" fontId="33" fillId="5" borderId="0" xfId="10" applyFont="1" applyAlignment="1">
      <alignment horizontal="center" vertical="center"/>
    </xf>
    <xf numFmtId="1" fontId="33" fillId="5" borderId="0" xfId="10" applyNumberFormat="1" applyFont="1" applyAlignment="1">
      <alignment horizontal="right" vertical="center"/>
    </xf>
    <xf numFmtId="1" fontId="33" fillId="5" borderId="0" xfId="10" applyNumberFormat="1" applyFont="1" applyAlignment="1">
      <alignment horizontal="center" vertical="center"/>
    </xf>
    <xf numFmtId="2" fontId="33" fillId="5" borderId="0" xfId="10" applyNumberFormat="1" applyFont="1" applyAlignment="1">
      <alignment vertical="center"/>
    </xf>
    <xf numFmtId="49" fontId="28" fillId="0" borderId="0" xfId="0" quotePrefix="1" applyNumberFormat="1" applyFont="1"/>
    <xf numFmtId="17" fontId="31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4" fillId="6" borderId="10" xfId="0" applyFont="1" applyFill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center" vertical="center" wrapText="1"/>
    </xf>
    <xf numFmtId="1" fontId="34" fillId="6" borderId="10" xfId="0" applyNumberFormat="1" applyFont="1" applyFill="1" applyBorder="1" applyAlignment="1">
      <alignment horizontal="center" vertical="center" wrapText="1"/>
    </xf>
    <xf numFmtId="2" fontId="34" fillId="6" borderId="10" xfId="0" applyNumberFormat="1" applyFont="1" applyFill="1" applyBorder="1" applyAlignment="1">
      <alignment horizontal="center" vertical="center" wrapText="1"/>
    </xf>
    <xf numFmtId="0" fontId="27" fillId="4" borderId="11" xfId="8" applyNumberFormat="1" applyFill="1" applyBorder="1" applyAlignment="1">
      <alignment horizontal="left" vertical="center"/>
    </xf>
    <xf numFmtId="2" fontId="0" fillId="0" borderId="0" xfId="0" applyNumberFormat="1"/>
    <xf numFmtId="0" fontId="35" fillId="0" borderId="0" xfId="14" applyFont="1"/>
    <xf numFmtId="0" fontId="81" fillId="0" borderId="0" xfId="15"/>
    <xf numFmtId="4" fontId="30" fillId="0" borderId="0" xfId="15" applyNumberFormat="1" applyFont="1"/>
    <xf numFmtId="0" fontId="28" fillId="0" borderId="0" xfId="15" applyFont="1"/>
    <xf numFmtId="0" fontId="15" fillId="0" borderId="0" xfId="15" applyFont="1" applyAlignment="1">
      <alignment vertical="center"/>
    </xf>
    <xf numFmtId="2" fontId="28" fillId="0" borderId="0" xfId="15" applyNumberFormat="1" applyFont="1" applyAlignment="1">
      <alignment horizontal="left"/>
    </xf>
    <xf numFmtId="0" fontId="28" fillId="0" borderId="0" xfId="15" applyFont="1" applyAlignment="1">
      <alignment horizontal="left"/>
    </xf>
    <xf numFmtId="43" fontId="28" fillId="0" borderId="0" xfId="16" applyFont="1" applyFill="1"/>
    <xf numFmtId="0" fontId="36" fillId="0" borderId="0" xfId="15" applyFont="1"/>
    <xf numFmtId="4" fontId="8" fillId="0" borderId="0" xfId="15" applyNumberFormat="1" applyFont="1" applyAlignment="1">
      <alignment horizontal="left" vertical="center"/>
    </xf>
    <xf numFmtId="0" fontId="11" fillId="0" borderId="0" xfId="14" applyFont="1"/>
    <xf numFmtId="17" fontId="28" fillId="0" borderId="0" xfId="15" quotePrefix="1" applyNumberFormat="1" applyFont="1"/>
    <xf numFmtId="17" fontId="36" fillId="0" borderId="0" xfId="15" quotePrefix="1" applyNumberFormat="1" applyFont="1"/>
    <xf numFmtId="0" fontId="1" fillId="0" borderId="0" xfId="15" applyFont="1"/>
    <xf numFmtId="0" fontId="37" fillId="10" borderId="16" xfId="15" applyFont="1" applyFill="1" applyBorder="1" applyAlignment="1">
      <alignment horizontal="center" wrapText="1"/>
    </xf>
    <xf numFmtId="0" fontId="37" fillId="10" borderId="16" xfId="14" applyFont="1" applyFill="1" applyBorder="1" applyAlignment="1">
      <alignment horizontal="left" wrapText="1"/>
    </xf>
    <xf numFmtId="43" fontId="37" fillId="10" borderId="16" xfId="16" applyFont="1" applyFill="1" applyBorder="1" applyAlignment="1">
      <alignment horizontal="left" wrapText="1"/>
    </xf>
    <xf numFmtId="0" fontId="37" fillId="10" borderId="16" xfId="14" applyFont="1" applyFill="1" applyBorder="1" applyAlignment="1">
      <alignment horizontal="center" wrapText="1"/>
    </xf>
    <xf numFmtId="0" fontId="37" fillId="10" borderId="0" xfId="14" applyFont="1" applyFill="1" applyAlignment="1">
      <alignment horizontal="left" wrapText="1"/>
    </xf>
    <xf numFmtId="0" fontId="3" fillId="0" borderId="0" xfId="15" applyFont="1" applyAlignment="1">
      <alignment horizontal="right"/>
    </xf>
    <xf numFmtId="14" fontId="28" fillId="0" borderId="1" xfId="15" applyNumberFormat="1" applyFont="1" applyBorder="1" applyAlignment="1">
      <alignment horizontal="left"/>
    </xf>
    <xf numFmtId="0" fontId="28" fillId="0" borderId="1" xfId="15" applyFont="1" applyBorder="1" applyAlignment="1">
      <alignment horizontal="left" vertical="center"/>
    </xf>
    <xf numFmtId="0" fontId="28" fillId="0" borderId="1" xfId="15" applyFont="1" applyBorder="1" applyAlignment="1">
      <alignment horizontal="left"/>
    </xf>
    <xf numFmtId="0" fontId="28" fillId="0" borderId="1" xfId="15" applyFont="1" applyBorder="1" applyAlignment="1">
      <alignment horizontal="center"/>
    </xf>
    <xf numFmtId="0" fontId="3" fillId="0" borderId="1" xfId="15" quotePrefix="1" applyFont="1" applyBorder="1" applyAlignment="1">
      <alignment horizontal="left"/>
    </xf>
    <xf numFmtId="14" fontId="28" fillId="0" borderId="1" xfId="15" applyNumberFormat="1" applyFont="1" applyBorder="1" applyAlignment="1">
      <alignment horizontal="left" vertical="center"/>
    </xf>
    <xf numFmtId="0" fontId="38" fillId="4" borderId="1" xfId="17" applyFont="1" applyFill="1" applyBorder="1" applyAlignment="1">
      <alignment horizontal="left"/>
    </xf>
    <xf numFmtId="43" fontId="28" fillId="0" borderId="1" xfId="18" applyFont="1" applyBorder="1"/>
    <xf numFmtId="43" fontId="28" fillId="0" borderId="1" xfId="18" applyFont="1" applyBorder="1" applyAlignment="1">
      <alignment horizontal="left" vertical="center"/>
    </xf>
    <xf numFmtId="49" fontId="39" fillId="0" borderId="1" xfId="15" applyNumberFormat="1" applyFont="1" applyBorder="1" applyAlignment="1">
      <alignment horizontal="left" vertical="center"/>
    </xf>
    <xf numFmtId="0" fontId="27" fillId="0" borderId="1" xfId="8" applyBorder="1" applyAlignment="1">
      <alignment horizontal="left" vertical="center"/>
    </xf>
    <xf numFmtId="49" fontId="40" fillId="4" borderId="1" xfId="17" applyNumberFormat="1" applyFont="1" applyFill="1" applyBorder="1" applyAlignment="1">
      <alignment horizontal="left"/>
    </xf>
    <xf numFmtId="0" fontId="3" fillId="0" borderId="0" xfId="15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0" xfId="0" applyFont="1"/>
    <xf numFmtId="0" fontId="44" fillId="0" borderId="17" xfId="0" applyFont="1" applyBorder="1" applyAlignment="1">
      <alignment vertical="center"/>
    </xf>
    <xf numFmtId="17" fontId="45" fillId="0" borderId="0" xfId="0" quotePrefix="1" applyNumberFormat="1" applyFont="1" applyAlignment="1">
      <alignment horizontal="left"/>
    </xf>
    <xf numFmtId="0" fontId="1" fillId="0" borderId="0" xfId="0" quotePrefix="1" applyFont="1"/>
    <xf numFmtId="0" fontId="37" fillId="10" borderId="16" xfId="0" applyFont="1" applyFill="1" applyBorder="1" applyAlignment="1">
      <alignment horizontal="center" wrapText="1"/>
    </xf>
    <xf numFmtId="0" fontId="37" fillId="10" borderId="16" xfId="0" applyFont="1" applyFill="1" applyBorder="1" applyAlignment="1">
      <alignment wrapText="1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18" xfId="0" applyFont="1" applyFill="1" applyBorder="1" applyAlignment="1">
      <alignment wrapText="1"/>
    </xf>
    <xf numFmtId="0" fontId="37" fillId="10" borderId="18" xfId="0" applyFont="1" applyFill="1" applyBorder="1" applyAlignment="1">
      <alignment horizontal="center" wrapText="1"/>
    </xf>
    <xf numFmtId="0" fontId="34" fillId="6" borderId="16" xfId="0" applyFont="1" applyFill="1" applyBorder="1" applyAlignment="1">
      <alignment horizontal="center" vertical="center" wrapText="1"/>
    </xf>
    <xf numFmtId="0" fontId="46" fillId="0" borderId="0" xfId="11" applyFont="1" applyAlignment="1">
      <alignment horizontal="right"/>
    </xf>
    <xf numFmtId="167" fontId="46" fillId="11" borderId="1" xfId="11" applyNumberFormat="1" applyFont="1" applyFill="1" applyBorder="1" applyAlignment="1">
      <alignment horizontal="left"/>
    </xf>
    <xf numFmtId="0" fontId="46" fillId="11" borderId="1" xfId="11" applyFont="1" applyFill="1" applyBorder="1"/>
    <xf numFmtId="0" fontId="46" fillId="0" borderId="1" xfId="11" applyFont="1" applyBorder="1" applyAlignment="1">
      <alignment horizontal="center" vertical="center"/>
    </xf>
    <xf numFmtId="0" fontId="25" fillId="4" borderId="1" xfId="5" applyFont="1" applyFill="1" applyBorder="1" applyAlignment="1">
      <alignment horizontal="left" vertical="center"/>
    </xf>
    <xf numFmtId="1" fontId="46" fillId="11" borderId="1" xfId="11" applyNumberFormat="1" applyFont="1" applyFill="1" applyBorder="1" applyAlignment="1">
      <alignment horizontal="left"/>
    </xf>
    <xf numFmtId="0" fontId="46" fillId="11" borderId="1" xfId="11" applyFont="1" applyFill="1" applyBorder="1" applyAlignment="1">
      <alignment horizontal="left" vertical="center"/>
    </xf>
    <xf numFmtId="0" fontId="46" fillId="11" borderId="1" xfId="11" applyFont="1" applyFill="1" applyBorder="1" applyAlignment="1">
      <alignment horizontal="left"/>
    </xf>
    <xf numFmtId="14" fontId="46" fillId="11" borderId="1" xfId="11" applyNumberFormat="1" applyFont="1" applyFill="1" applyBorder="1" applyAlignment="1">
      <alignment horizontal="left"/>
    </xf>
    <xf numFmtId="1" fontId="46" fillId="11" borderId="1" xfId="11" applyNumberFormat="1" applyFont="1" applyFill="1" applyBorder="1"/>
    <xf numFmtId="49" fontId="47" fillId="4" borderId="1" xfId="0" applyNumberFormat="1" applyFont="1" applyFill="1" applyBorder="1" applyAlignment="1">
      <alignment horizontal="center"/>
    </xf>
    <xf numFmtId="2" fontId="46" fillId="11" borderId="1" xfId="11" applyNumberFormat="1" applyFont="1" applyFill="1" applyBorder="1" applyAlignment="1">
      <alignment horizontal="center"/>
    </xf>
    <xf numFmtId="0" fontId="2" fillId="0" borderId="1" xfId="0" applyFont="1" applyBorder="1"/>
    <xf numFmtId="168" fontId="2" fillId="0" borderId="0" xfId="0" applyNumberFormat="1" applyFont="1"/>
    <xf numFmtId="0" fontId="48" fillId="0" borderId="0" xfId="0" applyFont="1" applyAlignment="1">
      <alignment horizontal="left"/>
    </xf>
    <xf numFmtId="0" fontId="48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34" fillId="7" borderId="16" xfId="0" applyFont="1" applyFill="1" applyBorder="1" applyAlignment="1">
      <alignment horizontal="center" vertical="center" wrapText="1"/>
    </xf>
    <xf numFmtId="1" fontId="34" fillId="6" borderId="16" xfId="0" applyNumberFormat="1" applyFont="1" applyFill="1" applyBorder="1" applyAlignment="1">
      <alignment horizontal="center" vertical="center" wrapText="1"/>
    </xf>
    <xf numFmtId="2" fontId="34" fillId="6" borderId="16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left" vertical="center"/>
    </xf>
    <xf numFmtId="49" fontId="2" fillId="12" borderId="1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5" fillId="0" borderId="1" xfId="12" applyFont="1" applyBorder="1"/>
    <xf numFmtId="14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50" fillId="0" borderId="1" xfId="8" applyFont="1" applyBorder="1"/>
    <xf numFmtId="0" fontId="27" fillId="0" borderId="1" xfId="8" applyBorder="1"/>
    <xf numFmtId="2" fontId="2" fillId="0" borderId="0" xfId="0" applyNumberFormat="1" applyFont="1"/>
    <xf numFmtId="0" fontId="82" fillId="0" borderId="0" xfId="0" applyFont="1"/>
    <xf numFmtId="14" fontId="82" fillId="8" borderId="1" xfId="0" applyNumberFormat="1" applyFont="1" applyFill="1" applyBorder="1" applyAlignment="1">
      <alignment horizontal="left" vertical="center"/>
    </xf>
    <xf numFmtId="0" fontId="82" fillId="0" borderId="1" xfId="0" applyFont="1" applyBorder="1" applyAlignment="1">
      <alignment horizontal="center"/>
    </xf>
    <xf numFmtId="0" fontId="49" fillId="0" borderId="15" xfId="12" applyFont="1" applyBorder="1"/>
    <xf numFmtId="0" fontId="83" fillId="4" borderId="11" xfId="11" applyFont="1" applyFill="1" applyBorder="1" applyAlignment="1">
      <alignment horizontal="left" vertical="center"/>
    </xf>
    <xf numFmtId="0" fontId="83" fillId="4" borderId="11" xfId="11" applyFont="1" applyFill="1" applyBorder="1" applyAlignment="1">
      <alignment horizontal="center" vertical="center"/>
    </xf>
    <xf numFmtId="0" fontId="82" fillId="8" borderId="1" xfId="0" applyFont="1" applyFill="1" applyBorder="1" applyAlignment="1">
      <alignment horizontal="left" vertical="center"/>
    </xf>
    <xf numFmtId="2" fontId="83" fillId="4" borderId="11" xfId="11" applyNumberFormat="1" applyFont="1" applyFill="1" applyBorder="1" applyAlignment="1">
      <alignment horizontal="center" vertical="center"/>
    </xf>
    <xf numFmtId="166" fontId="83" fillId="4" borderId="11" xfId="11" applyNumberFormat="1" applyFont="1" applyFill="1" applyBorder="1" applyAlignment="1">
      <alignment horizontal="center" vertical="center"/>
    </xf>
    <xf numFmtId="0" fontId="84" fillId="4" borderId="11" xfId="13" applyNumberFormat="1" applyFont="1" applyFill="1" applyBorder="1" applyAlignment="1">
      <alignment horizontal="center" vertical="center"/>
    </xf>
    <xf numFmtId="0" fontId="85" fillId="4" borderId="11" xfId="8" applyNumberFormat="1" applyFont="1" applyFill="1" applyBorder="1" applyAlignment="1">
      <alignment horizontal="left" vertical="center"/>
    </xf>
    <xf numFmtId="165" fontId="82" fillId="8" borderId="14" xfId="0" applyNumberFormat="1" applyFont="1" applyFill="1" applyBorder="1" applyAlignment="1">
      <alignment horizontal="left" vertical="center"/>
    </xf>
    <xf numFmtId="14" fontId="83" fillId="4" borderId="11" xfId="11" applyNumberFormat="1" applyFont="1" applyFill="1" applyBorder="1" applyAlignment="1">
      <alignment horizontal="center" vertical="center"/>
    </xf>
    <xf numFmtId="1" fontId="83" fillId="4" borderId="11" xfId="11" applyNumberFormat="1" applyFont="1" applyFill="1" applyBorder="1" applyAlignment="1">
      <alignment horizontal="left" vertical="center"/>
    </xf>
    <xf numFmtId="49" fontId="84" fillId="4" borderId="11" xfId="13" applyNumberFormat="1" applyFont="1" applyFill="1" applyBorder="1" applyAlignment="1">
      <alignment horizontal="center" vertical="center"/>
    </xf>
    <xf numFmtId="0" fontId="83" fillId="4" borderId="11" xfId="11" applyFont="1" applyFill="1" applyBorder="1" applyAlignment="1">
      <alignment horizontal="left" vertical="center" wrapText="1"/>
    </xf>
    <xf numFmtId="0" fontId="86" fillId="9" borderId="12" xfId="0" applyFont="1" applyFill="1" applyBorder="1" applyAlignment="1">
      <alignment horizontal="left" vertical="center"/>
    </xf>
    <xf numFmtId="0" fontId="86" fillId="9" borderId="12" xfId="0" applyFont="1" applyFill="1" applyBorder="1" applyAlignment="1">
      <alignment horizontal="center" vertical="center"/>
    </xf>
    <xf numFmtId="0" fontId="27" fillId="12" borderId="1" xfId="8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82" fillId="0" borderId="32" xfId="0" applyFont="1" applyBorder="1" applyAlignment="1">
      <alignment horizontal="center"/>
    </xf>
    <xf numFmtId="14" fontId="83" fillId="4" borderId="32" xfId="11" applyNumberFormat="1" applyFont="1" applyFill="1" applyBorder="1" applyAlignment="1">
      <alignment horizontal="center" vertical="center"/>
    </xf>
    <xf numFmtId="0" fontId="83" fillId="4" borderId="32" xfId="11" applyFont="1" applyFill="1" applyBorder="1" applyAlignment="1">
      <alignment horizontal="center" vertical="center"/>
    </xf>
    <xf numFmtId="0" fontId="83" fillId="0" borderId="32" xfId="11" applyFont="1" applyBorder="1" applyAlignment="1">
      <alignment horizontal="center" vertical="center"/>
    </xf>
    <xf numFmtId="0" fontId="86" fillId="9" borderId="32" xfId="0" applyFont="1" applyFill="1" applyBorder="1" applyAlignment="1">
      <alignment horizontal="center" vertical="center"/>
    </xf>
    <xf numFmtId="165" fontId="86" fillId="44" borderId="32" xfId="0" applyNumberFormat="1" applyFont="1" applyFill="1" applyBorder="1" applyAlignment="1">
      <alignment horizontal="center" vertical="center"/>
    </xf>
    <xf numFmtId="14" fontId="83" fillId="0" borderId="32" xfId="11" applyNumberFormat="1" applyFont="1" applyBorder="1" applyAlignment="1">
      <alignment horizontal="center" vertical="center"/>
    </xf>
    <xf numFmtId="0" fontId="85" fillId="4" borderId="32" xfId="13" applyNumberFormat="1" applyFont="1" applyFill="1" applyBorder="1" applyAlignment="1">
      <alignment horizontal="center" vertical="center"/>
    </xf>
    <xf numFmtId="0" fontId="87" fillId="4" borderId="32" xfId="13" applyNumberFormat="1" applyFont="1" applyFill="1" applyBorder="1" applyAlignment="1">
      <alignment horizontal="center" vertical="center"/>
    </xf>
    <xf numFmtId="14" fontId="49" fillId="4" borderId="32" xfId="5" applyNumberFormat="1" applyFont="1" applyFill="1" applyBorder="1" applyAlignment="1">
      <alignment horizontal="center" vertical="center" wrapText="1"/>
    </xf>
    <xf numFmtId="0" fontId="49" fillId="4" borderId="32" xfId="5" applyFont="1" applyFill="1" applyBorder="1" applyAlignment="1">
      <alignment horizontal="center" vertical="center" wrapText="1"/>
    </xf>
    <xf numFmtId="0" fontId="82" fillId="4" borderId="32" xfId="0" applyFont="1" applyFill="1" applyBorder="1" applyAlignment="1">
      <alignment horizontal="center" vertical="center"/>
    </xf>
    <xf numFmtId="49" fontId="82" fillId="4" borderId="32" xfId="7" applyNumberFormat="1" applyFont="1" applyFill="1" applyBorder="1" applyAlignment="1">
      <alignment horizontal="center" vertical="center"/>
    </xf>
    <xf numFmtId="14" fontId="82" fillId="0" borderId="32" xfId="0" applyNumberFormat="1" applyFont="1" applyBorder="1" applyAlignment="1">
      <alignment horizontal="center"/>
    </xf>
    <xf numFmtId="0" fontId="85" fillId="0" borderId="32" xfId="13" applyFont="1" applyBorder="1" applyAlignment="1">
      <alignment horizontal="center"/>
    </xf>
    <xf numFmtId="49" fontId="82" fillId="44" borderId="32" xfId="0" applyNumberFormat="1" applyFont="1" applyFill="1" applyBorder="1" applyAlignment="1">
      <alignment horizontal="center" vertical="center"/>
    </xf>
    <xf numFmtId="0" fontId="88" fillId="0" borderId="32" xfId="13" applyFont="1" applyBorder="1" applyAlignment="1">
      <alignment horizontal="center"/>
    </xf>
    <xf numFmtId="14" fontId="82" fillId="0" borderId="32" xfId="15" applyNumberFormat="1" applyFont="1" applyBorder="1" applyAlignment="1">
      <alignment horizontal="center"/>
    </xf>
    <xf numFmtId="0" fontId="82" fillId="0" borderId="32" xfId="15" applyFont="1" applyBorder="1" applyAlignment="1">
      <alignment horizontal="center" vertical="center"/>
    </xf>
    <xf numFmtId="0" fontId="83" fillId="4" borderId="32" xfId="17" applyFont="1" applyFill="1" applyBorder="1" applyAlignment="1">
      <alignment horizontal="center"/>
    </xf>
    <xf numFmtId="0" fontId="82" fillId="0" borderId="32" xfId="15" applyFont="1" applyBorder="1" applyAlignment="1">
      <alignment horizontal="center"/>
    </xf>
    <xf numFmtId="0" fontId="85" fillId="0" borderId="32" xfId="13" applyFont="1" applyBorder="1" applyAlignment="1">
      <alignment horizontal="center" vertical="center"/>
    </xf>
    <xf numFmtId="49" fontId="82" fillId="4" borderId="32" xfId="17" applyNumberFormat="1" applyFont="1" applyFill="1" applyBorder="1" applyAlignment="1">
      <alignment horizontal="center"/>
    </xf>
    <xf numFmtId="14" fontId="83" fillId="11" borderId="32" xfId="11" applyNumberFormat="1" applyFont="1" applyFill="1" applyBorder="1" applyAlignment="1">
      <alignment horizontal="center"/>
    </xf>
    <xf numFmtId="49" fontId="82" fillId="4" borderId="32" xfId="0" applyNumberFormat="1" applyFont="1" applyFill="1" applyBorder="1" applyAlignment="1">
      <alignment horizontal="center"/>
    </xf>
    <xf numFmtId="0" fontId="86" fillId="0" borderId="32" xfId="0" applyFont="1" applyBorder="1" applyAlignment="1">
      <alignment horizontal="center" vertical="center"/>
    </xf>
    <xf numFmtId="0" fontId="86" fillId="9" borderId="32" xfId="0" applyFont="1" applyFill="1" applyBorder="1" applyAlignment="1">
      <alignment horizontal="center"/>
    </xf>
    <xf numFmtId="167" fontId="83" fillId="11" borderId="32" xfId="11" applyNumberFormat="1" applyFont="1" applyFill="1" applyBorder="1" applyAlignment="1">
      <alignment horizontal="center"/>
    </xf>
    <xf numFmtId="1" fontId="86" fillId="9" borderId="32" xfId="0" applyNumberFormat="1" applyFont="1" applyFill="1" applyBorder="1" applyAlignment="1">
      <alignment horizontal="center"/>
    </xf>
    <xf numFmtId="14" fontId="82" fillId="8" borderId="32" xfId="0" applyNumberFormat="1" applyFont="1" applyFill="1" applyBorder="1" applyAlignment="1">
      <alignment horizontal="center" vertical="center"/>
    </xf>
    <xf numFmtId="0" fontId="82" fillId="8" borderId="32" xfId="0" applyFont="1" applyFill="1" applyBorder="1" applyAlignment="1">
      <alignment horizontal="center" vertical="center"/>
    </xf>
    <xf numFmtId="0" fontId="85" fillId="12" borderId="32" xfId="13" applyFont="1" applyFill="1" applyBorder="1" applyAlignment="1">
      <alignment horizontal="center" vertical="center"/>
    </xf>
    <xf numFmtId="49" fontId="82" fillId="8" borderId="32" xfId="0" applyNumberFormat="1" applyFont="1" applyFill="1" applyBorder="1" applyAlignment="1">
      <alignment horizontal="center" vertical="center"/>
    </xf>
    <xf numFmtId="49" fontId="82" fillId="0" borderId="32" xfId="15" applyNumberFormat="1" applyFont="1" applyBorder="1" applyAlignment="1">
      <alignment horizontal="center" vertical="center"/>
    </xf>
    <xf numFmtId="49" fontId="87" fillId="4" borderId="32" xfId="13" applyNumberFormat="1" applyFont="1" applyFill="1" applyBorder="1" applyAlignment="1">
      <alignment horizontal="center" vertical="center"/>
    </xf>
    <xf numFmtId="0" fontId="86" fillId="9" borderId="32" xfId="0" applyFont="1" applyFill="1" applyBorder="1" applyAlignment="1">
      <alignment horizontal="center" vertical="center" wrapText="1"/>
    </xf>
    <xf numFmtId="14" fontId="86" fillId="44" borderId="32" xfId="0" applyNumberFormat="1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horizontal="left" vertical="center" wrapText="1"/>
    </xf>
    <xf numFmtId="1" fontId="83" fillId="4" borderId="32" xfId="11" applyNumberFormat="1" applyFont="1" applyFill="1" applyBorder="1" applyAlignment="1">
      <alignment horizontal="left" vertical="center"/>
    </xf>
    <xf numFmtId="0" fontId="82" fillId="0" borderId="32" xfId="0" applyFont="1" applyBorder="1" applyAlignment="1">
      <alignment horizontal="left"/>
    </xf>
    <xf numFmtId="0" fontId="82" fillId="0" borderId="32" xfId="15" applyFont="1" applyBorder="1" applyAlignment="1">
      <alignment horizontal="left" vertical="center"/>
    </xf>
    <xf numFmtId="1" fontId="83" fillId="11" borderId="32" xfId="11" applyNumberFormat="1" applyFont="1" applyFill="1" applyBorder="1" applyAlignment="1">
      <alignment horizontal="left"/>
    </xf>
    <xf numFmtId="14" fontId="82" fillId="8" borderId="32" xfId="0" applyNumberFormat="1" applyFont="1" applyFill="1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49" fillId="4" borderId="32" xfId="5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43" fontId="85" fillId="9" borderId="32" xfId="13" applyNumberFormat="1" applyFont="1" applyFill="1" applyBorder="1" applyAlignment="1">
      <alignment horizontal="center" vertical="center"/>
    </xf>
    <xf numFmtId="0" fontId="86" fillId="9" borderId="11" xfId="0" applyFont="1" applyFill="1" applyBorder="1" applyAlignment="1">
      <alignment horizontal="center" vertical="center"/>
    </xf>
    <xf numFmtId="0" fontId="89" fillId="0" borderId="32" xfId="13" applyFont="1" applyBorder="1" applyAlignment="1">
      <alignment horizontal="center"/>
    </xf>
    <xf numFmtId="0" fontId="3" fillId="0" borderId="0" xfId="0" quotePrefix="1" applyFont="1"/>
    <xf numFmtId="0" fontId="90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5" fillId="0" borderId="1" xfId="12" applyFont="1" applyBorder="1" applyAlignment="1">
      <alignment horizontal="left"/>
    </xf>
    <xf numFmtId="0" fontId="27" fillId="0" borderId="0" xfId="8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7" fillId="0" borderId="1" xfId="8" applyBorder="1" applyAlignment="1">
      <alignment horizontal="left"/>
    </xf>
    <xf numFmtId="0" fontId="2" fillId="0" borderId="0" xfId="0" applyFont="1" applyAlignment="1">
      <alignment horizontal="right"/>
    </xf>
    <xf numFmtId="14" fontId="82" fillId="8" borderId="1" xfId="0" applyNumberFormat="1" applyFont="1" applyFill="1" applyBorder="1" applyAlignment="1">
      <alignment horizontal="center" vertical="center"/>
    </xf>
    <xf numFmtId="14" fontId="49" fillId="4" borderId="32" xfId="5" applyNumberFormat="1" applyFont="1" applyFill="1" applyBorder="1" applyAlignment="1">
      <alignment horizontal="left" vertical="center" wrapText="1"/>
    </xf>
    <xf numFmtId="0" fontId="82" fillId="4" borderId="32" xfId="0" applyFont="1" applyFill="1" applyBorder="1" applyAlignment="1">
      <alignment horizontal="left" vertical="center"/>
    </xf>
    <xf numFmtId="14" fontId="82" fillId="0" borderId="32" xfId="0" applyNumberFormat="1" applyFont="1" applyBorder="1"/>
    <xf numFmtId="43" fontId="85" fillId="4" borderId="32" xfId="13" applyNumberFormat="1" applyFont="1" applyFill="1" applyBorder="1" applyAlignment="1">
      <alignment horizontal="left" vertical="center"/>
    </xf>
    <xf numFmtId="49" fontId="49" fillId="4" borderId="32" xfId="7" applyNumberFormat="1" applyFont="1" applyFill="1" applyBorder="1" applyAlignment="1">
      <alignment horizontal="center" vertical="center"/>
    </xf>
    <xf numFmtId="0" fontId="82" fillId="4" borderId="32" xfId="0" applyFont="1" applyFill="1" applyBorder="1" applyAlignment="1">
      <alignment horizontal="left" vertical="center" wrapText="1"/>
    </xf>
    <xf numFmtId="0" fontId="83" fillId="4" borderId="32" xfId="11" applyFont="1" applyFill="1" applyBorder="1" applyAlignment="1">
      <alignment horizontal="left" vertical="center"/>
    </xf>
    <xf numFmtId="165" fontId="82" fillId="8" borderId="32" xfId="0" applyNumberFormat="1" applyFont="1" applyFill="1" applyBorder="1" applyAlignment="1">
      <alignment horizontal="center" vertical="center"/>
    </xf>
    <xf numFmtId="14" fontId="82" fillId="0" borderId="32" xfId="0" applyNumberFormat="1" applyFont="1" applyBorder="1" applyAlignment="1">
      <alignment horizontal="left"/>
    </xf>
    <xf numFmtId="0" fontId="82" fillId="0" borderId="32" xfId="0" applyFont="1" applyBorder="1"/>
    <xf numFmtId="0" fontId="85" fillId="0" borderId="32" xfId="13" applyFont="1" applyBorder="1"/>
    <xf numFmtId="49" fontId="82" fillId="12" borderId="32" xfId="0" applyNumberFormat="1" applyFont="1" applyFill="1" applyBorder="1" applyAlignment="1">
      <alignment horizontal="center" vertical="center"/>
    </xf>
    <xf numFmtId="0" fontId="85" fillId="0" borderId="32" xfId="13" applyFont="1" applyBorder="1" applyAlignment="1">
      <alignment horizontal="left"/>
    </xf>
    <xf numFmtId="0" fontId="86" fillId="9" borderId="32" xfId="0" applyFont="1" applyFill="1" applyBorder="1" applyAlignment="1">
      <alignment horizontal="left" vertical="center"/>
    </xf>
    <xf numFmtId="0" fontId="82" fillId="45" borderId="0" xfId="0" applyFont="1" applyFill="1"/>
    <xf numFmtId="165" fontId="82" fillId="46" borderId="14" xfId="0" applyNumberFormat="1" applyFont="1" applyFill="1" applyBorder="1" applyAlignment="1">
      <alignment horizontal="left" vertical="center"/>
    </xf>
    <xf numFmtId="0" fontId="83" fillId="45" borderId="11" xfId="11" applyFont="1" applyFill="1" applyBorder="1" applyAlignment="1">
      <alignment horizontal="left" vertical="center"/>
    </xf>
    <xf numFmtId="0" fontId="83" fillId="45" borderId="11" xfId="11" applyFont="1" applyFill="1" applyBorder="1" applyAlignment="1">
      <alignment horizontal="center" vertical="center"/>
    </xf>
    <xf numFmtId="0" fontId="49" fillId="45" borderId="15" xfId="12" applyFont="1" applyFill="1" applyBorder="1"/>
    <xf numFmtId="14" fontId="83" fillId="45" borderId="11" xfId="11" applyNumberFormat="1" applyFont="1" applyFill="1" applyBorder="1" applyAlignment="1">
      <alignment horizontal="center" vertical="center"/>
    </xf>
    <xf numFmtId="1" fontId="83" fillId="45" borderId="11" xfId="11" applyNumberFormat="1" applyFont="1" applyFill="1" applyBorder="1" applyAlignment="1">
      <alignment horizontal="left" vertical="center"/>
    </xf>
    <xf numFmtId="2" fontId="83" fillId="45" borderId="11" xfId="11" applyNumberFormat="1" applyFont="1" applyFill="1" applyBorder="1" applyAlignment="1">
      <alignment horizontal="center" vertical="center"/>
    </xf>
    <xf numFmtId="166" fontId="83" fillId="45" borderId="11" xfId="11" applyNumberFormat="1" applyFont="1" applyFill="1" applyBorder="1" applyAlignment="1">
      <alignment horizontal="center" vertical="center"/>
    </xf>
    <xf numFmtId="0" fontId="84" fillId="45" borderId="11" xfId="13" applyNumberFormat="1" applyFont="1" applyFill="1" applyBorder="1" applyAlignment="1">
      <alignment horizontal="center" vertical="center"/>
    </xf>
    <xf numFmtId="0" fontId="27" fillId="45" borderId="11" xfId="8" applyNumberFormat="1" applyFill="1" applyBorder="1" applyAlignment="1">
      <alignment horizontal="left" vertical="center"/>
    </xf>
    <xf numFmtId="0" fontId="91" fillId="0" borderId="0" xfId="0" applyFont="1"/>
    <xf numFmtId="165" fontId="91" fillId="8" borderId="14" xfId="0" applyNumberFormat="1" applyFont="1" applyFill="1" applyBorder="1" applyAlignment="1">
      <alignment horizontal="left" vertical="center"/>
    </xf>
    <xf numFmtId="0" fontId="92" fillId="4" borderId="11" xfId="11" applyFont="1" applyFill="1" applyBorder="1" applyAlignment="1">
      <alignment horizontal="left" vertical="center"/>
    </xf>
    <xf numFmtId="0" fontId="92" fillId="4" borderId="11" xfId="11" applyFont="1" applyFill="1" applyBorder="1" applyAlignment="1">
      <alignment horizontal="center" vertical="center"/>
    </xf>
    <xf numFmtId="0" fontId="93" fillId="0" borderId="15" xfId="12" applyFont="1" applyBorder="1"/>
    <xf numFmtId="14" fontId="92" fillId="4" borderId="11" xfId="11" applyNumberFormat="1" applyFont="1" applyFill="1" applyBorder="1" applyAlignment="1">
      <alignment horizontal="center" vertical="center"/>
    </xf>
    <xf numFmtId="1" fontId="92" fillId="4" borderId="11" xfId="11" applyNumberFormat="1" applyFont="1" applyFill="1" applyBorder="1" applyAlignment="1">
      <alignment horizontal="left" vertical="center"/>
    </xf>
    <xf numFmtId="2" fontId="92" fillId="4" borderId="11" xfId="11" applyNumberFormat="1" applyFont="1" applyFill="1" applyBorder="1" applyAlignment="1">
      <alignment horizontal="center" vertical="center"/>
    </xf>
    <xf numFmtId="166" fontId="92" fillId="4" borderId="11" xfId="11" applyNumberFormat="1" applyFont="1" applyFill="1" applyBorder="1" applyAlignment="1">
      <alignment horizontal="center" vertical="center"/>
    </xf>
    <xf numFmtId="49" fontId="94" fillId="4" borderId="11" xfId="13" applyNumberFormat="1" applyFont="1" applyFill="1" applyBorder="1" applyAlignment="1">
      <alignment horizontal="center" vertical="center"/>
    </xf>
    <xf numFmtId="0" fontId="95" fillId="4" borderId="11" xfId="8" applyNumberFormat="1" applyFont="1" applyFill="1" applyBorder="1" applyAlignment="1">
      <alignment horizontal="left" vertical="center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133350</xdr:rowOff>
    </xdr:from>
    <xdr:to>
      <xdr:col>1</xdr:col>
      <xdr:colOff>760095</xdr:colOff>
      <xdr:row>4</xdr:row>
      <xdr:rowOff>15875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0" y="3780091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3</xdr:row>
      <xdr:rowOff>85725</xdr:rowOff>
    </xdr:from>
    <xdr:to>
      <xdr:col>1</xdr:col>
      <xdr:colOff>741045</xdr:colOff>
      <xdr:row>5</xdr:row>
      <xdr:rowOff>158750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0" y="70932675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issoncampo90@gmail.com" TargetMode="External"/><Relationship Id="rId13" Type="http://schemas.openxmlformats.org/officeDocument/2006/relationships/hyperlink" Target="mailto:angelgarcia34@hotmail.com" TargetMode="External"/><Relationship Id="rId3" Type="http://schemas.openxmlformats.org/officeDocument/2006/relationships/hyperlink" Target="mailto:jaquesilva1963@gmail.com" TargetMode="External"/><Relationship Id="rId7" Type="http://schemas.openxmlformats.org/officeDocument/2006/relationships/hyperlink" Target="mailto:juanca7010@hotmail.com" TargetMode="External"/><Relationship Id="rId12" Type="http://schemas.openxmlformats.org/officeDocument/2006/relationships/hyperlink" Target="mailto:maryeugeniatam@hotmail.com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mailto:carlosugalden@yahoo.com" TargetMode="External"/><Relationship Id="rId16" Type="http://schemas.openxmlformats.org/officeDocument/2006/relationships/hyperlink" Target="mailto:wilsonortega2020@hotmail.com" TargetMode="External"/><Relationship Id="rId1" Type="http://schemas.openxmlformats.org/officeDocument/2006/relationships/hyperlink" Target="mailto:ficomedina1951@gmail.com" TargetMode="External"/><Relationship Id="rId6" Type="http://schemas.openxmlformats.org/officeDocument/2006/relationships/hyperlink" Target="mailto:gcorreabarzallo@gmail.com" TargetMode="External"/><Relationship Id="rId11" Type="http://schemas.openxmlformats.org/officeDocument/2006/relationships/hyperlink" Target="mailto:ferzamora1989@gmail.com" TargetMode="External"/><Relationship Id="rId5" Type="http://schemas.openxmlformats.org/officeDocument/2006/relationships/hyperlink" Target="mailto:suitespresidentecordova@gmail.com" TargetMode="External"/><Relationship Id="rId15" Type="http://schemas.openxmlformats.org/officeDocument/2006/relationships/hyperlink" Target="mailto:felipebermeoq@gmail.com" TargetMode="External"/><Relationship Id="rId10" Type="http://schemas.openxmlformats.org/officeDocument/2006/relationships/hyperlink" Target="mailto:perezreyescordero@hotmail.com" TargetMode="External"/><Relationship Id="rId4" Type="http://schemas.openxmlformats.org/officeDocument/2006/relationships/hyperlink" Target="mailto:rosamariadelgado@live.com" TargetMode="External"/><Relationship Id="rId9" Type="http://schemas.openxmlformats.org/officeDocument/2006/relationships/hyperlink" Target="mailto:gerencia@oceacuns.com" TargetMode="External"/><Relationship Id="rId14" Type="http://schemas.openxmlformats.org/officeDocument/2006/relationships/hyperlink" Target="mailto:gabymalo@hot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wily.el.cangri@gmail.com" TargetMode="External"/><Relationship Id="rId21" Type="http://schemas.openxmlformats.org/officeDocument/2006/relationships/hyperlink" Target="mailto:william_patricio@hotmail.com" TargetMode="External"/><Relationship Id="rId42" Type="http://schemas.openxmlformats.org/officeDocument/2006/relationships/hyperlink" Target="mailto:alicia.rosi@yahoo.es" TargetMode="External"/><Relationship Id="rId47" Type="http://schemas.openxmlformats.org/officeDocument/2006/relationships/hyperlink" Target="mailto:ptorresz@hotmail.com" TargetMode="External"/><Relationship Id="rId63" Type="http://schemas.openxmlformats.org/officeDocument/2006/relationships/hyperlink" Target="mailto:marysalba88@gmail.com" TargetMode="External"/><Relationship Id="rId68" Type="http://schemas.openxmlformats.org/officeDocument/2006/relationships/hyperlink" Target="mailto:pazreyescordero@hotmail.com" TargetMode="External"/><Relationship Id="rId84" Type="http://schemas.openxmlformats.org/officeDocument/2006/relationships/hyperlink" Target="mailto:jj.roesner@gmail.com" TargetMode="External"/><Relationship Id="rId89" Type="http://schemas.openxmlformats.org/officeDocument/2006/relationships/hyperlink" Target="mailto:verobermeo5@gmail.com" TargetMode="External"/><Relationship Id="rId112" Type="http://schemas.openxmlformats.org/officeDocument/2006/relationships/hyperlink" Target="mailto:monicaandrade671@gmail.com" TargetMode="External"/><Relationship Id="rId16" Type="http://schemas.openxmlformats.org/officeDocument/2006/relationships/hyperlink" Target="mailto:rizquierdom@hotmail.com" TargetMode="External"/><Relationship Id="rId107" Type="http://schemas.openxmlformats.org/officeDocument/2006/relationships/hyperlink" Target="mailto:megamueblesbelen@hotmail.com" TargetMode="External"/><Relationship Id="rId11" Type="http://schemas.openxmlformats.org/officeDocument/2006/relationships/hyperlink" Target="mailto:constructora_bya@hotmail.com" TargetMode="External"/><Relationship Id="rId32" Type="http://schemas.openxmlformats.org/officeDocument/2006/relationships/hyperlink" Target="mailto:crisperez@2008@hotmail.com" TargetMode="External"/><Relationship Id="rId37" Type="http://schemas.openxmlformats.org/officeDocument/2006/relationships/hyperlink" Target="mailto:gabiclaf.orellana@gmail.com" TargetMode="External"/><Relationship Id="rId53" Type="http://schemas.openxmlformats.org/officeDocument/2006/relationships/hyperlink" Target="mailto:dominguezpablo805@gmail.com" TargetMode="External"/><Relationship Id="rId58" Type="http://schemas.openxmlformats.org/officeDocument/2006/relationships/hyperlink" Target="mailto:pazreyescordero@hotmail.com" TargetMode="External"/><Relationship Id="rId74" Type="http://schemas.openxmlformats.org/officeDocument/2006/relationships/hyperlink" Target="mailto:carlosfesastudillo@hotmail.com" TargetMode="External"/><Relationship Id="rId79" Type="http://schemas.openxmlformats.org/officeDocument/2006/relationships/hyperlink" Target="mailto:gailaj_1036@yahoo.com" TargetMode="External"/><Relationship Id="rId102" Type="http://schemas.openxmlformats.org/officeDocument/2006/relationships/hyperlink" Target="mailto:vivvelezq28@gmail.com" TargetMode="External"/><Relationship Id="rId5" Type="http://schemas.openxmlformats.org/officeDocument/2006/relationships/hyperlink" Target="mailto:jennycoronel@hotmail.com" TargetMode="External"/><Relationship Id="rId90" Type="http://schemas.openxmlformats.org/officeDocument/2006/relationships/hyperlink" Target="mailto:verobermeo5@gmail.com" TargetMode="External"/><Relationship Id="rId95" Type="http://schemas.openxmlformats.org/officeDocument/2006/relationships/hyperlink" Target="mailto:fsantacruzcz55@gmail.com" TargetMode="External"/><Relationship Id="rId22" Type="http://schemas.openxmlformats.org/officeDocument/2006/relationships/hyperlink" Target="mailto:sandyluzuriaga04@hotmail.com" TargetMode="External"/><Relationship Id="rId27" Type="http://schemas.openxmlformats.org/officeDocument/2006/relationships/hyperlink" Target="mailto:wily.el.cangri@gmail.com" TargetMode="External"/><Relationship Id="rId43" Type="http://schemas.openxmlformats.org/officeDocument/2006/relationships/hyperlink" Target="mailto:dsalvarez@icloud.com" TargetMode="External"/><Relationship Id="rId48" Type="http://schemas.openxmlformats.org/officeDocument/2006/relationships/hyperlink" Target="mailto:ptorresz@hotmail.com" TargetMode="External"/><Relationship Id="rId64" Type="http://schemas.openxmlformats.org/officeDocument/2006/relationships/hyperlink" Target="mailto:marysalba88@gmail.com" TargetMode="External"/><Relationship Id="rId69" Type="http://schemas.openxmlformats.org/officeDocument/2006/relationships/hyperlink" Target="mailto:pazreyescordero@hotmail.com" TargetMode="External"/><Relationship Id="rId113" Type="http://schemas.openxmlformats.org/officeDocument/2006/relationships/hyperlink" Target="mailto:edniola@live.com" TargetMode="External"/><Relationship Id="rId80" Type="http://schemas.openxmlformats.org/officeDocument/2006/relationships/hyperlink" Target="mailto:gailaj_1036@yahoo.com" TargetMode="External"/><Relationship Id="rId85" Type="http://schemas.openxmlformats.org/officeDocument/2006/relationships/hyperlink" Target="mailto:remigiocresp011@gmail.com" TargetMode="External"/><Relationship Id="rId12" Type="http://schemas.openxmlformats.org/officeDocument/2006/relationships/hyperlink" Target="mailto:psolis@hotmail.com" TargetMode="External"/><Relationship Id="rId17" Type="http://schemas.openxmlformats.org/officeDocument/2006/relationships/hyperlink" Target="mailto:rizquierdom@hotmail.com" TargetMode="External"/><Relationship Id="rId33" Type="http://schemas.openxmlformats.org/officeDocument/2006/relationships/hyperlink" Target="mailto:delavarez10@icloud.com" TargetMode="External"/><Relationship Id="rId38" Type="http://schemas.openxmlformats.org/officeDocument/2006/relationships/hyperlink" Target="mailto:gabiclaf.orellana@gmail.com" TargetMode="External"/><Relationship Id="rId59" Type="http://schemas.openxmlformats.org/officeDocument/2006/relationships/hyperlink" Target="mailto:pazreyescordero@hotmail.com" TargetMode="External"/><Relationship Id="rId103" Type="http://schemas.openxmlformats.org/officeDocument/2006/relationships/hyperlink" Target="mailto:vivvelezq28@gmail.com" TargetMode="External"/><Relationship Id="rId108" Type="http://schemas.openxmlformats.org/officeDocument/2006/relationships/hyperlink" Target="mailto:monicaandrade671@gmail.com" TargetMode="External"/><Relationship Id="rId54" Type="http://schemas.openxmlformats.org/officeDocument/2006/relationships/hyperlink" Target="mailto:tihoch3@gmail.com" TargetMode="External"/><Relationship Id="rId70" Type="http://schemas.openxmlformats.org/officeDocument/2006/relationships/hyperlink" Target="mailto:ingelecort2018@gmail.com" TargetMode="External"/><Relationship Id="rId75" Type="http://schemas.openxmlformats.org/officeDocument/2006/relationships/hyperlink" Target="mailto:carlosfesastudillo@hotmail.com" TargetMode="External"/><Relationship Id="rId91" Type="http://schemas.openxmlformats.org/officeDocument/2006/relationships/hyperlink" Target="mailto:verobermeo5@gmail.com" TargetMode="External"/><Relationship Id="rId96" Type="http://schemas.openxmlformats.org/officeDocument/2006/relationships/hyperlink" Target="mailto:treese1040@me.com" TargetMode="External"/><Relationship Id="rId1" Type="http://schemas.openxmlformats.org/officeDocument/2006/relationships/hyperlink" Target="mailto:diegofer21@hotmail.com" TargetMode="External"/><Relationship Id="rId6" Type="http://schemas.openxmlformats.org/officeDocument/2006/relationships/hyperlink" Target="mailto:jennycoronel@hotmail.com" TargetMode="External"/><Relationship Id="rId15" Type="http://schemas.openxmlformats.org/officeDocument/2006/relationships/hyperlink" Target="mailto:psolis@hotmail.com" TargetMode="External"/><Relationship Id="rId23" Type="http://schemas.openxmlformats.org/officeDocument/2006/relationships/hyperlink" Target="mailto:sandyluzuriaga04@hotmail.com" TargetMode="External"/><Relationship Id="rId28" Type="http://schemas.openxmlformats.org/officeDocument/2006/relationships/hyperlink" Target="mailto:wily.el.cangri@gmail.com" TargetMode="External"/><Relationship Id="rId36" Type="http://schemas.openxmlformats.org/officeDocument/2006/relationships/hyperlink" Target="mailto:gabiclaf.orellana@gmail.com" TargetMode="External"/><Relationship Id="rId49" Type="http://schemas.openxmlformats.org/officeDocument/2006/relationships/hyperlink" Target="mailto:ptorresz@hotmail.com" TargetMode="External"/><Relationship Id="rId57" Type="http://schemas.openxmlformats.org/officeDocument/2006/relationships/hyperlink" Target="mailto:pazreyescordero@hotmail.com" TargetMode="External"/><Relationship Id="rId106" Type="http://schemas.openxmlformats.org/officeDocument/2006/relationships/hyperlink" Target="mailto:megamueblesbelen@hotmail.com" TargetMode="External"/><Relationship Id="rId114" Type="http://schemas.openxmlformats.org/officeDocument/2006/relationships/hyperlink" Target="mailto:edniola@live.com" TargetMode="External"/><Relationship Id="rId10" Type="http://schemas.openxmlformats.org/officeDocument/2006/relationships/hyperlink" Target="mailto:constructora_bya@hotmail.com" TargetMode="External"/><Relationship Id="rId31" Type="http://schemas.openxmlformats.org/officeDocument/2006/relationships/hyperlink" Target="mailto:crisperez@2008@hotmail.com" TargetMode="External"/><Relationship Id="rId44" Type="http://schemas.openxmlformats.org/officeDocument/2006/relationships/hyperlink" Target="mailto:dsalvarez@icloud.com" TargetMode="External"/><Relationship Id="rId52" Type="http://schemas.openxmlformats.org/officeDocument/2006/relationships/hyperlink" Target="mailto:dominguezpablo805@gmail.com" TargetMode="External"/><Relationship Id="rId60" Type="http://schemas.openxmlformats.org/officeDocument/2006/relationships/hyperlink" Target="mailto:pazreyescordero@hotmail.com" TargetMode="External"/><Relationship Id="rId65" Type="http://schemas.openxmlformats.org/officeDocument/2006/relationships/hyperlink" Target="mailto:arukeiser@yahoo.com" TargetMode="External"/><Relationship Id="rId73" Type="http://schemas.openxmlformats.org/officeDocument/2006/relationships/hyperlink" Target="mailto:elianamunoz@gmail.com" TargetMode="External"/><Relationship Id="rId78" Type="http://schemas.openxmlformats.org/officeDocument/2006/relationships/hyperlink" Target="mailto:gailaj_1036@yahoo.com" TargetMode="External"/><Relationship Id="rId81" Type="http://schemas.openxmlformats.org/officeDocument/2006/relationships/hyperlink" Target="mailto:cris.jim93@hotmail.com" TargetMode="External"/><Relationship Id="rId86" Type="http://schemas.openxmlformats.org/officeDocument/2006/relationships/hyperlink" Target="mailto:remigiocresp011@gmail.com" TargetMode="External"/><Relationship Id="rId94" Type="http://schemas.openxmlformats.org/officeDocument/2006/relationships/hyperlink" Target="mailto:fsantacruzcz55@gmail.com" TargetMode="External"/><Relationship Id="rId99" Type="http://schemas.openxmlformats.org/officeDocument/2006/relationships/hyperlink" Target="mailto:treese1040@me.com" TargetMode="External"/><Relationship Id="rId101" Type="http://schemas.openxmlformats.org/officeDocument/2006/relationships/hyperlink" Target="mailto:clarivelvaldiviezo70@hotmail.com" TargetMode="External"/><Relationship Id="rId4" Type="http://schemas.openxmlformats.org/officeDocument/2006/relationships/hyperlink" Target="mailto:jennycoronel@hotmail.com" TargetMode="External"/><Relationship Id="rId9" Type="http://schemas.openxmlformats.org/officeDocument/2006/relationships/hyperlink" Target="mailto:diacantos@hotmail.com" TargetMode="External"/><Relationship Id="rId13" Type="http://schemas.openxmlformats.org/officeDocument/2006/relationships/hyperlink" Target="mailto:psolis@hotmail.com" TargetMode="External"/><Relationship Id="rId18" Type="http://schemas.openxmlformats.org/officeDocument/2006/relationships/hyperlink" Target="mailto:william_patricio@hotmail.com" TargetMode="External"/><Relationship Id="rId39" Type="http://schemas.openxmlformats.org/officeDocument/2006/relationships/hyperlink" Target="mailto:nreyes@gmail.com" TargetMode="External"/><Relationship Id="rId109" Type="http://schemas.openxmlformats.org/officeDocument/2006/relationships/hyperlink" Target="mailto:monicaandrade671@gmail.com" TargetMode="External"/><Relationship Id="rId34" Type="http://schemas.openxmlformats.org/officeDocument/2006/relationships/hyperlink" Target="mailto:delavarez10@icloud.com" TargetMode="External"/><Relationship Id="rId50" Type="http://schemas.openxmlformats.org/officeDocument/2006/relationships/hyperlink" Target="mailto:ptorresz@hotmail.com" TargetMode="External"/><Relationship Id="rId55" Type="http://schemas.openxmlformats.org/officeDocument/2006/relationships/hyperlink" Target="mailto:tihoch3@gmail.com" TargetMode="External"/><Relationship Id="rId76" Type="http://schemas.openxmlformats.org/officeDocument/2006/relationships/hyperlink" Target="mailto:c.dani.87@hotmail.com" TargetMode="External"/><Relationship Id="rId97" Type="http://schemas.openxmlformats.org/officeDocument/2006/relationships/hyperlink" Target="mailto:treese1040@me.com" TargetMode="External"/><Relationship Id="rId104" Type="http://schemas.openxmlformats.org/officeDocument/2006/relationships/hyperlink" Target="mailto:megamueblesbelen@hotmail.com" TargetMode="External"/><Relationship Id="rId7" Type="http://schemas.openxmlformats.org/officeDocument/2006/relationships/hyperlink" Target="mailto:diacantos@hotmail.com" TargetMode="External"/><Relationship Id="rId71" Type="http://schemas.openxmlformats.org/officeDocument/2006/relationships/hyperlink" Target="mailto:ingelecort2018@gmail.com" TargetMode="External"/><Relationship Id="rId92" Type="http://schemas.openxmlformats.org/officeDocument/2006/relationships/hyperlink" Target="mailto:fsantacruzcz55@gmail.com" TargetMode="External"/><Relationship Id="rId2" Type="http://schemas.openxmlformats.org/officeDocument/2006/relationships/hyperlink" Target="mailto:diegofer21@hotmail.com" TargetMode="External"/><Relationship Id="rId29" Type="http://schemas.openxmlformats.org/officeDocument/2006/relationships/hyperlink" Target="mailto:amavellejo79@outlook.es" TargetMode="External"/><Relationship Id="rId24" Type="http://schemas.openxmlformats.org/officeDocument/2006/relationships/hyperlink" Target="mailto:sandyluzuriaga04@hotmail.com" TargetMode="External"/><Relationship Id="rId40" Type="http://schemas.openxmlformats.org/officeDocument/2006/relationships/hyperlink" Target="mailto:nreyes@gmail.com" TargetMode="External"/><Relationship Id="rId45" Type="http://schemas.openxmlformats.org/officeDocument/2006/relationships/hyperlink" Target="mailto:adchock1804@yahoo.com" TargetMode="External"/><Relationship Id="rId66" Type="http://schemas.openxmlformats.org/officeDocument/2006/relationships/hyperlink" Target="mailto:arukeiser@yahoo.com" TargetMode="External"/><Relationship Id="rId87" Type="http://schemas.openxmlformats.org/officeDocument/2006/relationships/hyperlink" Target="mailto:remigiocresp011@gmail.com" TargetMode="External"/><Relationship Id="rId110" Type="http://schemas.openxmlformats.org/officeDocument/2006/relationships/hyperlink" Target="mailto:monicaandrade671@gmail.com" TargetMode="External"/><Relationship Id="rId115" Type="http://schemas.openxmlformats.org/officeDocument/2006/relationships/drawing" Target="../drawings/drawing2.xml"/><Relationship Id="rId61" Type="http://schemas.openxmlformats.org/officeDocument/2006/relationships/hyperlink" Target="mailto:arqmariaelisamoscos@hotmail.com" TargetMode="External"/><Relationship Id="rId82" Type="http://schemas.openxmlformats.org/officeDocument/2006/relationships/hyperlink" Target="mailto:cris.jim93@hotmail.com" TargetMode="External"/><Relationship Id="rId19" Type="http://schemas.openxmlformats.org/officeDocument/2006/relationships/hyperlink" Target="mailto:william_patricio@hotmail.com" TargetMode="External"/><Relationship Id="rId14" Type="http://schemas.openxmlformats.org/officeDocument/2006/relationships/hyperlink" Target="mailto:psolis@hotmail.com" TargetMode="External"/><Relationship Id="rId30" Type="http://schemas.openxmlformats.org/officeDocument/2006/relationships/hyperlink" Target="mailto:amavellejo79@outlook.es" TargetMode="External"/><Relationship Id="rId35" Type="http://schemas.openxmlformats.org/officeDocument/2006/relationships/hyperlink" Target="mailto:gabiclaf.orellana@gmail.com" TargetMode="External"/><Relationship Id="rId56" Type="http://schemas.openxmlformats.org/officeDocument/2006/relationships/hyperlink" Target="mailto:tihoch3@gmail.com" TargetMode="External"/><Relationship Id="rId77" Type="http://schemas.openxmlformats.org/officeDocument/2006/relationships/hyperlink" Target="mailto:c.dani.87@hotmail.com" TargetMode="External"/><Relationship Id="rId100" Type="http://schemas.openxmlformats.org/officeDocument/2006/relationships/hyperlink" Target="mailto:clarivelvaldiviezo70@hotmail.com" TargetMode="External"/><Relationship Id="rId105" Type="http://schemas.openxmlformats.org/officeDocument/2006/relationships/hyperlink" Target="mailto:megamueblesbelen@hotmail.com" TargetMode="External"/><Relationship Id="rId8" Type="http://schemas.openxmlformats.org/officeDocument/2006/relationships/hyperlink" Target="mailto:diacantos@hotmail.com" TargetMode="External"/><Relationship Id="rId51" Type="http://schemas.openxmlformats.org/officeDocument/2006/relationships/hyperlink" Target="mailto:ptorresz@hotmail.com" TargetMode="External"/><Relationship Id="rId72" Type="http://schemas.openxmlformats.org/officeDocument/2006/relationships/hyperlink" Target="mailto:elianamunoz@gmail.com" TargetMode="External"/><Relationship Id="rId93" Type="http://schemas.openxmlformats.org/officeDocument/2006/relationships/hyperlink" Target="mailto:fsantacruzcz55@gmail.com" TargetMode="External"/><Relationship Id="rId98" Type="http://schemas.openxmlformats.org/officeDocument/2006/relationships/hyperlink" Target="mailto:treese1040@me.com" TargetMode="External"/><Relationship Id="rId3" Type="http://schemas.openxmlformats.org/officeDocument/2006/relationships/hyperlink" Target="mailto:diegofer21@hotmail.com" TargetMode="External"/><Relationship Id="rId25" Type="http://schemas.openxmlformats.org/officeDocument/2006/relationships/hyperlink" Target="mailto:sandyluzuriaga04@hotmail.com" TargetMode="External"/><Relationship Id="rId46" Type="http://schemas.openxmlformats.org/officeDocument/2006/relationships/hyperlink" Target="mailto:adchock1804@yahoo.com" TargetMode="External"/><Relationship Id="rId67" Type="http://schemas.openxmlformats.org/officeDocument/2006/relationships/hyperlink" Target="mailto:pazreyescordero@hotmail.com" TargetMode="External"/><Relationship Id="rId20" Type="http://schemas.openxmlformats.org/officeDocument/2006/relationships/hyperlink" Target="mailto:william_patricio@hotmail.com" TargetMode="External"/><Relationship Id="rId41" Type="http://schemas.openxmlformats.org/officeDocument/2006/relationships/hyperlink" Target="mailto:alicia.rosi@yahoo.es" TargetMode="External"/><Relationship Id="rId62" Type="http://schemas.openxmlformats.org/officeDocument/2006/relationships/hyperlink" Target="mailto:arqmariaelisamoscos@hotmail.com" TargetMode="External"/><Relationship Id="rId83" Type="http://schemas.openxmlformats.org/officeDocument/2006/relationships/hyperlink" Target="mailto:jj.roesner@gmail.com" TargetMode="External"/><Relationship Id="rId88" Type="http://schemas.openxmlformats.org/officeDocument/2006/relationships/hyperlink" Target="mailto:verobermeo5@gmail.com" TargetMode="External"/><Relationship Id="rId111" Type="http://schemas.openxmlformats.org/officeDocument/2006/relationships/hyperlink" Target="mailto:monicaandrade67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scsegarramogrovejo@gmail.com" TargetMode="External"/><Relationship Id="rId2" Type="http://schemas.openxmlformats.org/officeDocument/2006/relationships/hyperlink" Target="mailto:ventas@comercialsolis.com.ec" TargetMode="External"/><Relationship Id="rId1" Type="http://schemas.openxmlformats.org/officeDocument/2006/relationships/hyperlink" Target="mailto:sendoluzuriga04@hotmail.com" TargetMode="Externa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LJORGERENA@YAHOO.COM" TargetMode="External"/><Relationship Id="rId21" Type="http://schemas.openxmlformats.org/officeDocument/2006/relationships/hyperlink" Target="mailto:william_patricio@hotmail.com" TargetMode="External"/><Relationship Id="rId42" Type="http://schemas.openxmlformats.org/officeDocument/2006/relationships/hyperlink" Target="mailto:alicia.rosi@yahoo.es" TargetMode="External"/><Relationship Id="rId63" Type="http://schemas.openxmlformats.org/officeDocument/2006/relationships/hyperlink" Target="mailto:marysalba88@gmail.com" TargetMode="External"/><Relationship Id="rId84" Type="http://schemas.openxmlformats.org/officeDocument/2006/relationships/hyperlink" Target="mailto:jj.roesner@gmail.com" TargetMode="External"/><Relationship Id="rId138" Type="http://schemas.openxmlformats.org/officeDocument/2006/relationships/hyperlink" Target="mailto:treese1040@me.com" TargetMode="External"/><Relationship Id="rId159" Type="http://schemas.openxmlformats.org/officeDocument/2006/relationships/hyperlink" Target="mailto:PANFEGARCIA@HOTMAIL.COM" TargetMode="External"/><Relationship Id="rId107" Type="http://schemas.openxmlformats.org/officeDocument/2006/relationships/hyperlink" Target="mailto:RADOERNER1@GMAIL.COM" TargetMode="External"/><Relationship Id="rId11" Type="http://schemas.openxmlformats.org/officeDocument/2006/relationships/hyperlink" Target="mailto:constructora_bya@hotmail.com" TargetMode="External"/><Relationship Id="rId32" Type="http://schemas.openxmlformats.org/officeDocument/2006/relationships/hyperlink" Target="mailto:crisperez@2008@hotmail.com" TargetMode="External"/><Relationship Id="rId53" Type="http://schemas.openxmlformats.org/officeDocument/2006/relationships/hyperlink" Target="mailto:dominguezpablo805@gmail.com" TargetMode="External"/><Relationship Id="rId74" Type="http://schemas.openxmlformats.org/officeDocument/2006/relationships/hyperlink" Target="mailto:carlosfesastudillo@hotmail.com" TargetMode="External"/><Relationship Id="rId128" Type="http://schemas.openxmlformats.org/officeDocument/2006/relationships/hyperlink" Target="mailto:sendoluzuriga04@hotmail.com" TargetMode="External"/><Relationship Id="rId149" Type="http://schemas.openxmlformats.org/officeDocument/2006/relationships/hyperlink" Target="mailto:megamueblesbelen@hotmail.com" TargetMode="External"/><Relationship Id="rId5" Type="http://schemas.openxmlformats.org/officeDocument/2006/relationships/hyperlink" Target="mailto:jennycoronel@hotmail.com" TargetMode="External"/><Relationship Id="rId95" Type="http://schemas.openxmlformats.org/officeDocument/2006/relationships/hyperlink" Target="mailto:edissoncampo90@gmail.com" TargetMode="External"/><Relationship Id="rId160" Type="http://schemas.openxmlformats.org/officeDocument/2006/relationships/hyperlink" Target="mailto:PAOLABRAVOM@HOTMAIL.COM" TargetMode="External"/><Relationship Id="rId22" Type="http://schemas.openxmlformats.org/officeDocument/2006/relationships/hyperlink" Target="mailto:sandyluzuriaga04@hotmail.com" TargetMode="External"/><Relationship Id="rId43" Type="http://schemas.openxmlformats.org/officeDocument/2006/relationships/hyperlink" Target="mailto:dsalvarez@icloud.com" TargetMode="External"/><Relationship Id="rId64" Type="http://schemas.openxmlformats.org/officeDocument/2006/relationships/hyperlink" Target="mailto:marysalba88@gmail.com" TargetMode="External"/><Relationship Id="rId118" Type="http://schemas.openxmlformats.org/officeDocument/2006/relationships/hyperlink" Target="mailto:PAISAJE.GG@GMAIL.COM" TargetMode="External"/><Relationship Id="rId139" Type="http://schemas.openxmlformats.org/officeDocument/2006/relationships/hyperlink" Target="mailto:treese1040@me.com" TargetMode="External"/><Relationship Id="rId85" Type="http://schemas.openxmlformats.org/officeDocument/2006/relationships/hyperlink" Target="mailto:remigiocresp011@gmail.com" TargetMode="External"/><Relationship Id="rId150" Type="http://schemas.openxmlformats.org/officeDocument/2006/relationships/hyperlink" Target="mailto:monicaandrade671@gmail.com" TargetMode="External"/><Relationship Id="rId12" Type="http://schemas.openxmlformats.org/officeDocument/2006/relationships/hyperlink" Target="mailto:psolis@hotmail.com" TargetMode="External"/><Relationship Id="rId33" Type="http://schemas.openxmlformats.org/officeDocument/2006/relationships/hyperlink" Target="mailto:delavarez10@icloud.com" TargetMode="External"/><Relationship Id="rId108" Type="http://schemas.openxmlformats.org/officeDocument/2006/relationships/hyperlink" Target="mailto:KARYONGECE@HOTMAIL.COM" TargetMode="External"/><Relationship Id="rId129" Type="http://schemas.openxmlformats.org/officeDocument/2006/relationships/hyperlink" Target="mailto:freddy@kywi.com.ec" TargetMode="External"/><Relationship Id="rId54" Type="http://schemas.openxmlformats.org/officeDocument/2006/relationships/hyperlink" Target="mailto:tihoch3@gmail.com" TargetMode="External"/><Relationship Id="rId70" Type="http://schemas.openxmlformats.org/officeDocument/2006/relationships/hyperlink" Target="mailto:ingelecort2018@gmail.com" TargetMode="External"/><Relationship Id="rId75" Type="http://schemas.openxmlformats.org/officeDocument/2006/relationships/hyperlink" Target="mailto:carlosfesastudillo@hotmail.com" TargetMode="External"/><Relationship Id="rId91" Type="http://schemas.openxmlformats.org/officeDocument/2006/relationships/hyperlink" Target="mailto:gcorreabarzallo@gmail.com" TargetMode="External"/><Relationship Id="rId96" Type="http://schemas.openxmlformats.org/officeDocument/2006/relationships/hyperlink" Target="mailto:gerencia@oceacuns.com" TargetMode="External"/><Relationship Id="rId140" Type="http://schemas.openxmlformats.org/officeDocument/2006/relationships/hyperlink" Target="mailto:treese1040@me.com" TargetMode="External"/><Relationship Id="rId145" Type="http://schemas.openxmlformats.org/officeDocument/2006/relationships/hyperlink" Target="mailto:vivvelezq28@gmail.com" TargetMode="External"/><Relationship Id="rId161" Type="http://schemas.openxmlformats.org/officeDocument/2006/relationships/hyperlink" Target="mailto:BXGONZALES@HOTMAIL.COM" TargetMode="External"/><Relationship Id="rId166" Type="http://schemas.openxmlformats.org/officeDocument/2006/relationships/hyperlink" Target="mailto:angelgarcia34@hotmail.com" TargetMode="External"/><Relationship Id="rId1" Type="http://schemas.openxmlformats.org/officeDocument/2006/relationships/hyperlink" Target="mailto:diegofer21@hotmail.com" TargetMode="External"/><Relationship Id="rId6" Type="http://schemas.openxmlformats.org/officeDocument/2006/relationships/hyperlink" Target="mailto:jennycoronel@hotmail.com" TargetMode="External"/><Relationship Id="rId23" Type="http://schemas.openxmlformats.org/officeDocument/2006/relationships/hyperlink" Target="mailto:sandyluzuriaga04@hotmail.com" TargetMode="External"/><Relationship Id="rId28" Type="http://schemas.openxmlformats.org/officeDocument/2006/relationships/hyperlink" Target="mailto:wily.el.cangri@gmail.com" TargetMode="External"/><Relationship Id="rId49" Type="http://schemas.openxmlformats.org/officeDocument/2006/relationships/hyperlink" Target="mailto:ptorresz@hotmail.com" TargetMode="External"/><Relationship Id="rId114" Type="http://schemas.openxmlformats.org/officeDocument/2006/relationships/hyperlink" Target="mailto:ANA-CALORENA84@HOTMAIL.COM" TargetMode="External"/><Relationship Id="rId119" Type="http://schemas.openxmlformats.org/officeDocument/2006/relationships/hyperlink" Target="mailto:LAVAJARASA@GMAIL.COM" TargetMode="External"/><Relationship Id="rId44" Type="http://schemas.openxmlformats.org/officeDocument/2006/relationships/hyperlink" Target="mailto:dsalvarez@icloud.com" TargetMode="External"/><Relationship Id="rId60" Type="http://schemas.openxmlformats.org/officeDocument/2006/relationships/hyperlink" Target="mailto:pazreyescordero@hotmail.com" TargetMode="External"/><Relationship Id="rId65" Type="http://schemas.openxmlformats.org/officeDocument/2006/relationships/hyperlink" Target="mailto:arukeiser@yahoo.com" TargetMode="External"/><Relationship Id="rId81" Type="http://schemas.openxmlformats.org/officeDocument/2006/relationships/hyperlink" Target="mailto:cris.jim93@hotmail.com" TargetMode="External"/><Relationship Id="rId86" Type="http://schemas.openxmlformats.org/officeDocument/2006/relationships/hyperlink" Target="mailto:remigiocresp011@gmail.com" TargetMode="External"/><Relationship Id="rId130" Type="http://schemas.openxmlformats.org/officeDocument/2006/relationships/hyperlink" Target="mailto:verobermeo5@gmail.com" TargetMode="External"/><Relationship Id="rId135" Type="http://schemas.openxmlformats.org/officeDocument/2006/relationships/hyperlink" Target="mailto:fsantacruzcz55@gmail.com" TargetMode="External"/><Relationship Id="rId151" Type="http://schemas.openxmlformats.org/officeDocument/2006/relationships/hyperlink" Target="mailto:monicaandrade671@gmail.com" TargetMode="External"/><Relationship Id="rId156" Type="http://schemas.openxmlformats.org/officeDocument/2006/relationships/hyperlink" Target="mailto:edniola@live.com" TargetMode="External"/><Relationship Id="rId13" Type="http://schemas.openxmlformats.org/officeDocument/2006/relationships/hyperlink" Target="mailto:psolis@hotmail.com" TargetMode="External"/><Relationship Id="rId18" Type="http://schemas.openxmlformats.org/officeDocument/2006/relationships/hyperlink" Target="mailto:william_patricio@hotmail.com" TargetMode="External"/><Relationship Id="rId39" Type="http://schemas.openxmlformats.org/officeDocument/2006/relationships/hyperlink" Target="mailto:nreyes@gmail.com" TargetMode="External"/><Relationship Id="rId109" Type="http://schemas.openxmlformats.org/officeDocument/2006/relationships/hyperlink" Target="mailto:C.WEITH@OUTLOOK.COM" TargetMode="External"/><Relationship Id="rId34" Type="http://schemas.openxmlformats.org/officeDocument/2006/relationships/hyperlink" Target="mailto:delavarez10@icloud.com" TargetMode="External"/><Relationship Id="rId50" Type="http://schemas.openxmlformats.org/officeDocument/2006/relationships/hyperlink" Target="mailto:ptorresz@hotmail.com" TargetMode="External"/><Relationship Id="rId55" Type="http://schemas.openxmlformats.org/officeDocument/2006/relationships/hyperlink" Target="mailto:tihoch3@gmail.com" TargetMode="External"/><Relationship Id="rId76" Type="http://schemas.openxmlformats.org/officeDocument/2006/relationships/hyperlink" Target="mailto:c.dani.87@hotmail.com" TargetMode="External"/><Relationship Id="rId97" Type="http://schemas.openxmlformats.org/officeDocument/2006/relationships/hyperlink" Target="mailto:perezreyescordero@hotmail.com" TargetMode="External"/><Relationship Id="rId104" Type="http://schemas.openxmlformats.org/officeDocument/2006/relationships/hyperlink" Target="mailto:ADELGADO@VELASHD.COM" TargetMode="External"/><Relationship Id="rId120" Type="http://schemas.openxmlformats.org/officeDocument/2006/relationships/hyperlink" Target="mailto:CARMIITALEONTV@GMAIL.COM" TargetMode="External"/><Relationship Id="rId125" Type="http://schemas.openxmlformats.org/officeDocument/2006/relationships/hyperlink" Target="mailto:sendoluzuriga04@hotmail.com" TargetMode="External"/><Relationship Id="rId141" Type="http://schemas.openxmlformats.org/officeDocument/2006/relationships/hyperlink" Target="mailto:treese1040@me.com" TargetMode="External"/><Relationship Id="rId146" Type="http://schemas.openxmlformats.org/officeDocument/2006/relationships/hyperlink" Target="mailto:megamueblesbelen@hotmail.com" TargetMode="External"/><Relationship Id="rId167" Type="http://schemas.openxmlformats.org/officeDocument/2006/relationships/hyperlink" Target="mailto:gabymalo@hotmail.com" TargetMode="External"/><Relationship Id="rId7" Type="http://schemas.openxmlformats.org/officeDocument/2006/relationships/hyperlink" Target="mailto:diacantos@hotmail.com" TargetMode="External"/><Relationship Id="rId71" Type="http://schemas.openxmlformats.org/officeDocument/2006/relationships/hyperlink" Target="mailto:ingelecort2018@gmail.com" TargetMode="External"/><Relationship Id="rId92" Type="http://schemas.openxmlformats.org/officeDocument/2006/relationships/hyperlink" Target="mailto:ficomedina1951@gmail.com" TargetMode="External"/><Relationship Id="rId162" Type="http://schemas.openxmlformats.org/officeDocument/2006/relationships/hyperlink" Target="mailto:ANGUINATY@HOTMAIL.COM" TargetMode="External"/><Relationship Id="rId2" Type="http://schemas.openxmlformats.org/officeDocument/2006/relationships/hyperlink" Target="mailto:diegofer21@hotmail.com" TargetMode="External"/><Relationship Id="rId29" Type="http://schemas.openxmlformats.org/officeDocument/2006/relationships/hyperlink" Target="mailto:amavellejo79@outlook.es" TargetMode="External"/><Relationship Id="rId24" Type="http://schemas.openxmlformats.org/officeDocument/2006/relationships/hyperlink" Target="mailto:sandyluzuriaga04@hotmail.com" TargetMode="External"/><Relationship Id="rId40" Type="http://schemas.openxmlformats.org/officeDocument/2006/relationships/hyperlink" Target="mailto:nreyes@gmail.com" TargetMode="External"/><Relationship Id="rId45" Type="http://schemas.openxmlformats.org/officeDocument/2006/relationships/hyperlink" Target="mailto:adchock1804@yahoo.com" TargetMode="External"/><Relationship Id="rId66" Type="http://schemas.openxmlformats.org/officeDocument/2006/relationships/hyperlink" Target="mailto:arukeiser@yahoo.com" TargetMode="External"/><Relationship Id="rId87" Type="http://schemas.openxmlformats.org/officeDocument/2006/relationships/hyperlink" Target="mailto:remigiocresp011@gmail.com" TargetMode="External"/><Relationship Id="rId110" Type="http://schemas.openxmlformats.org/officeDocument/2006/relationships/hyperlink" Target="mailto:MARICARMEN_6@HOTMAIL.COM" TargetMode="External"/><Relationship Id="rId115" Type="http://schemas.openxmlformats.org/officeDocument/2006/relationships/hyperlink" Target="mailto:MRUBENCANDO@GAIL.COM" TargetMode="External"/><Relationship Id="rId131" Type="http://schemas.openxmlformats.org/officeDocument/2006/relationships/hyperlink" Target="mailto:verobermeo5@gmail.com" TargetMode="External"/><Relationship Id="rId136" Type="http://schemas.openxmlformats.org/officeDocument/2006/relationships/hyperlink" Target="mailto:fsantacruzcz55@gmail.com" TargetMode="External"/><Relationship Id="rId157" Type="http://schemas.openxmlformats.org/officeDocument/2006/relationships/hyperlink" Target="mailto:TATIANA.VIDALDQ@HOTMAIL.COM" TargetMode="External"/><Relationship Id="rId61" Type="http://schemas.openxmlformats.org/officeDocument/2006/relationships/hyperlink" Target="mailto:arqmariaelisamoscos@hotmail.com" TargetMode="External"/><Relationship Id="rId82" Type="http://schemas.openxmlformats.org/officeDocument/2006/relationships/hyperlink" Target="mailto:cris.jim93@hotmail.com" TargetMode="External"/><Relationship Id="rId152" Type="http://schemas.openxmlformats.org/officeDocument/2006/relationships/hyperlink" Target="mailto:monicaandrade671@gmail.com" TargetMode="External"/><Relationship Id="rId19" Type="http://schemas.openxmlformats.org/officeDocument/2006/relationships/hyperlink" Target="mailto:william_patricio@hotmail.com" TargetMode="External"/><Relationship Id="rId14" Type="http://schemas.openxmlformats.org/officeDocument/2006/relationships/hyperlink" Target="mailto:psolis@hotmail.com" TargetMode="External"/><Relationship Id="rId30" Type="http://schemas.openxmlformats.org/officeDocument/2006/relationships/hyperlink" Target="mailto:amavellejo79@outlook.es" TargetMode="External"/><Relationship Id="rId35" Type="http://schemas.openxmlformats.org/officeDocument/2006/relationships/hyperlink" Target="mailto:gabiclaf.orellana@gmail.com" TargetMode="External"/><Relationship Id="rId56" Type="http://schemas.openxmlformats.org/officeDocument/2006/relationships/hyperlink" Target="mailto:tihoch3@gmail.com" TargetMode="External"/><Relationship Id="rId77" Type="http://schemas.openxmlformats.org/officeDocument/2006/relationships/hyperlink" Target="mailto:c.dani.87@hotmail.com" TargetMode="External"/><Relationship Id="rId100" Type="http://schemas.openxmlformats.org/officeDocument/2006/relationships/hyperlink" Target="mailto:LIDFER@GMAIL.COM" TargetMode="External"/><Relationship Id="rId105" Type="http://schemas.openxmlformats.org/officeDocument/2006/relationships/hyperlink" Target="mailto:ASTUDILLOMAICOL92@GMAIL.COM" TargetMode="External"/><Relationship Id="rId126" Type="http://schemas.openxmlformats.org/officeDocument/2006/relationships/hyperlink" Target="mailto:ventas@comercialsolis.com.ec" TargetMode="External"/><Relationship Id="rId147" Type="http://schemas.openxmlformats.org/officeDocument/2006/relationships/hyperlink" Target="mailto:megamueblesbelen@hotmail.com" TargetMode="External"/><Relationship Id="rId168" Type="http://schemas.openxmlformats.org/officeDocument/2006/relationships/hyperlink" Target="mailto:felipebermeoq@gmail.com" TargetMode="External"/><Relationship Id="rId8" Type="http://schemas.openxmlformats.org/officeDocument/2006/relationships/hyperlink" Target="mailto:diacantos@hotmail.com" TargetMode="External"/><Relationship Id="rId51" Type="http://schemas.openxmlformats.org/officeDocument/2006/relationships/hyperlink" Target="mailto:ptorresz@hotmail.com" TargetMode="External"/><Relationship Id="rId72" Type="http://schemas.openxmlformats.org/officeDocument/2006/relationships/hyperlink" Target="mailto:elianamunoz@gmail.com" TargetMode="External"/><Relationship Id="rId93" Type="http://schemas.openxmlformats.org/officeDocument/2006/relationships/hyperlink" Target="mailto:carlosugalden@yahoo.com" TargetMode="External"/><Relationship Id="rId98" Type="http://schemas.openxmlformats.org/officeDocument/2006/relationships/hyperlink" Target="mailto:ferzamora1989@gmail.com" TargetMode="External"/><Relationship Id="rId121" Type="http://schemas.openxmlformats.org/officeDocument/2006/relationships/hyperlink" Target="mailto:JUANSANAY@OUTLOOK.COM" TargetMode="External"/><Relationship Id="rId142" Type="http://schemas.openxmlformats.org/officeDocument/2006/relationships/hyperlink" Target="mailto:clarivelvaldiviezo70@hotmail.com" TargetMode="External"/><Relationship Id="rId163" Type="http://schemas.openxmlformats.org/officeDocument/2006/relationships/hyperlink" Target="mailto:JERMAGMASACHE@HOTMAIL.COM" TargetMode="External"/><Relationship Id="rId3" Type="http://schemas.openxmlformats.org/officeDocument/2006/relationships/hyperlink" Target="mailto:diegofer21@hotmail.com" TargetMode="External"/><Relationship Id="rId25" Type="http://schemas.openxmlformats.org/officeDocument/2006/relationships/hyperlink" Target="mailto:sandyluzuriaga04@hotmail.com" TargetMode="External"/><Relationship Id="rId46" Type="http://schemas.openxmlformats.org/officeDocument/2006/relationships/hyperlink" Target="mailto:adchock1804@yahoo.com" TargetMode="External"/><Relationship Id="rId67" Type="http://schemas.openxmlformats.org/officeDocument/2006/relationships/hyperlink" Target="mailto:pazreyescordero@hotmail.com" TargetMode="External"/><Relationship Id="rId116" Type="http://schemas.openxmlformats.org/officeDocument/2006/relationships/hyperlink" Target="mailto:IRINACDT@YAHOO.COM" TargetMode="External"/><Relationship Id="rId137" Type="http://schemas.openxmlformats.org/officeDocument/2006/relationships/hyperlink" Target="mailto:fsantacruzcz55@gmail.com" TargetMode="External"/><Relationship Id="rId158" Type="http://schemas.openxmlformats.org/officeDocument/2006/relationships/hyperlink" Target="mailto:GIPADPUBLICIDAD@HOTMAIL.COM" TargetMode="External"/><Relationship Id="rId20" Type="http://schemas.openxmlformats.org/officeDocument/2006/relationships/hyperlink" Target="mailto:william_patricio@hotmail.com" TargetMode="External"/><Relationship Id="rId41" Type="http://schemas.openxmlformats.org/officeDocument/2006/relationships/hyperlink" Target="mailto:alicia.rosi@yahoo.es" TargetMode="External"/><Relationship Id="rId62" Type="http://schemas.openxmlformats.org/officeDocument/2006/relationships/hyperlink" Target="mailto:arqmariaelisamoscos@hotmail.com" TargetMode="External"/><Relationship Id="rId83" Type="http://schemas.openxmlformats.org/officeDocument/2006/relationships/hyperlink" Target="mailto:jj.roesner@gmail.com" TargetMode="External"/><Relationship Id="rId88" Type="http://schemas.openxmlformats.org/officeDocument/2006/relationships/hyperlink" Target="mailto:jaquesilva1963@gmail.com" TargetMode="External"/><Relationship Id="rId111" Type="http://schemas.openxmlformats.org/officeDocument/2006/relationships/hyperlink" Target="mailto:javieralbarracin27@gmail.com" TargetMode="External"/><Relationship Id="rId132" Type="http://schemas.openxmlformats.org/officeDocument/2006/relationships/hyperlink" Target="mailto:verobermeo5@gmail.com" TargetMode="External"/><Relationship Id="rId153" Type="http://schemas.openxmlformats.org/officeDocument/2006/relationships/hyperlink" Target="mailto:monicaandrade671@gmail.com" TargetMode="External"/><Relationship Id="rId15" Type="http://schemas.openxmlformats.org/officeDocument/2006/relationships/hyperlink" Target="mailto:psolis@hotmail.com" TargetMode="External"/><Relationship Id="rId36" Type="http://schemas.openxmlformats.org/officeDocument/2006/relationships/hyperlink" Target="mailto:gabiclaf.orellana@gmail.com" TargetMode="External"/><Relationship Id="rId57" Type="http://schemas.openxmlformats.org/officeDocument/2006/relationships/hyperlink" Target="mailto:pazreyescordero@hotmail.com" TargetMode="External"/><Relationship Id="rId106" Type="http://schemas.openxmlformats.org/officeDocument/2006/relationships/hyperlink" Target="mailto:EDISSONCAMPO90@GMAIL.COM" TargetMode="External"/><Relationship Id="rId127" Type="http://schemas.openxmlformats.org/officeDocument/2006/relationships/hyperlink" Target="mailto:mscsegarramogrovejo@gmail.com" TargetMode="External"/><Relationship Id="rId10" Type="http://schemas.openxmlformats.org/officeDocument/2006/relationships/hyperlink" Target="mailto:constructora_bya@hotmail.com" TargetMode="External"/><Relationship Id="rId31" Type="http://schemas.openxmlformats.org/officeDocument/2006/relationships/hyperlink" Target="mailto:crisperez@2008@hotmail.com" TargetMode="External"/><Relationship Id="rId52" Type="http://schemas.openxmlformats.org/officeDocument/2006/relationships/hyperlink" Target="mailto:dominguezpablo805@gmail.com" TargetMode="External"/><Relationship Id="rId73" Type="http://schemas.openxmlformats.org/officeDocument/2006/relationships/hyperlink" Target="mailto:elianamunoz@gmail.com" TargetMode="External"/><Relationship Id="rId78" Type="http://schemas.openxmlformats.org/officeDocument/2006/relationships/hyperlink" Target="mailto:gailaj_1036@yahoo.com" TargetMode="External"/><Relationship Id="rId94" Type="http://schemas.openxmlformats.org/officeDocument/2006/relationships/hyperlink" Target="mailto:juanca7010@hotmail.com" TargetMode="External"/><Relationship Id="rId99" Type="http://schemas.openxmlformats.org/officeDocument/2006/relationships/hyperlink" Target="mailto:maryeugeniatam@hotmail.com" TargetMode="External"/><Relationship Id="rId101" Type="http://schemas.openxmlformats.org/officeDocument/2006/relationships/hyperlink" Target="mailto:PACORAMIREZ24@YAHOO.COM" TargetMode="External"/><Relationship Id="rId122" Type="http://schemas.openxmlformats.org/officeDocument/2006/relationships/hyperlink" Target="mailto:CARMENBALAREZO@GMAIL.COM" TargetMode="External"/><Relationship Id="rId143" Type="http://schemas.openxmlformats.org/officeDocument/2006/relationships/hyperlink" Target="mailto:clarivelvaldiviezo70@hotmail.com" TargetMode="External"/><Relationship Id="rId148" Type="http://schemas.openxmlformats.org/officeDocument/2006/relationships/hyperlink" Target="mailto:megamueblesbelen@hotmail.com" TargetMode="External"/><Relationship Id="rId164" Type="http://schemas.openxmlformats.org/officeDocument/2006/relationships/hyperlink" Target="mailto:DIANA.ALBARRACIN@UCUENCA.EDU.EC" TargetMode="External"/><Relationship Id="rId169" Type="http://schemas.openxmlformats.org/officeDocument/2006/relationships/hyperlink" Target="mailto:wilsonortega2020@hotmail.com" TargetMode="External"/><Relationship Id="rId4" Type="http://schemas.openxmlformats.org/officeDocument/2006/relationships/hyperlink" Target="mailto:jennycoronel@hotmail.com" TargetMode="External"/><Relationship Id="rId9" Type="http://schemas.openxmlformats.org/officeDocument/2006/relationships/hyperlink" Target="mailto:diacantos@hotmail.com" TargetMode="External"/><Relationship Id="rId26" Type="http://schemas.openxmlformats.org/officeDocument/2006/relationships/hyperlink" Target="mailto:wily.el.cangri@gmail.com" TargetMode="External"/><Relationship Id="rId47" Type="http://schemas.openxmlformats.org/officeDocument/2006/relationships/hyperlink" Target="mailto:ptorresz@hotmail.com" TargetMode="External"/><Relationship Id="rId68" Type="http://schemas.openxmlformats.org/officeDocument/2006/relationships/hyperlink" Target="mailto:pazreyescordero@hotmail.com" TargetMode="External"/><Relationship Id="rId89" Type="http://schemas.openxmlformats.org/officeDocument/2006/relationships/hyperlink" Target="mailto:rosamariadelgado@live.com" TargetMode="External"/><Relationship Id="rId112" Type="http://schemas.openxmlformats.org/officeDocument/2006/relationships/hyperlink" Target="mailto:MARITZABACHOR@GMAIL.COM" TargetMode="External"/><Relationship Id="rId133" Type="http://schemas.openxmlformats.org/officeDocument/2006/relationships/hyperlink" Target="mailto:verobermeo5@gmail.com" TargetMode="External"/><Relationship Id="rId154" Type="http://schemas.openxmlformats.org/officeDocument/2006/relationships/hyperlink" Target="mailto:monicaandrade671@gmail.com" TargetMode="External"/><Relationship Id="rId16" Type="http://schemas.openxmlformats.org/officeDocument/2006/relationships/hyperlink" Target="mailto:rizquierdom@hotmail.com" TargetMode="External"/><Relationship Id="rId37" Type="http://schemas.openxmlformats.org/officeDocument/2006/relationships/hyperlink" Target="mailto:gabiclaf.orellana@gmail.com" TargetMode="External"/><Relationship Id="rId58" Type="http://schemas.openxmlformats.org/officeDocument/2006/relationships/hyperlink" Target="mailto:pazreyescordero@hotmail.com" TargetMode="External"/><Relationship Id="rId79" Type="http://schemas.openxmlformats.org/officeDocument/2006/relationships/hyperlink" Target="mailto:gailaj_1036@yahoo.com" TargetMode="External"/><Relationship Id="rId102" Type="http://schemas.openxmlformats.org/officeDocument/2006/relationships/hyperlink" Target="mailto:CNVGMVS@HOTMAIL.COM" TargetMode="External"/><Relationship Id="rId123" Type="http://schemas.openxmlformats.org/officeDocument/2006/relationships/hyperlink" Target="mailto:CDCASITADECARAMELO@GAIL.COM" TargetMode="External"/><Relationship Id="rId144" Type="http://schemas.openxmlformats.org/officeDocument/2006/relationships/hyperlink" Target="mailto:vivvelezq28@gmail.com" TargetMode="External"/><Relationship Id="rId90" Type="http://schemas.openxmlformats.org/officeDocument/2006/relationships/hyperlink" Target="mailto:suitespresidentecordova@gmail.com" TargetMode="External"/><Relationship Id="rId165" Type="http://schemas.openxmlformats.org/officeDocument/2006/relationships/hyperlink" Target="mailto:XIMEU81@GMAIL.COM" TargetMode="External"/><Relationship Id="rId27" Type="http://schemas.openxmlformats.org/officeDocument/2006/relationships/hyperlink" Target="mailto:wily.el.cangri@gmail.com" TargetMode="External"/><Relationship Id="rId48" Type="http://schemas.openxmlformats.org/officeDocument/2006/relationships/hyperlink" Target="mailto:ptorresz@hotmail.com" TargetMode="External"/><Relationship Id="rId69" Type="http://schemas.openxmlformats.org/officeDocument/2006/relationships/hyperlink" Target="mailto:pazreyescordero@hotmail.com" TargetMode="External"/><Relationship Id="rId113" Type="http://schemas.openxmlformats.org/officeDocument/2006/relationships/hyperlink" Target="mailto:ESPACIORAL@GMAIL.COM" TargetMode="External"/><Relationship Id="rId134" Type="http://schemas.openxmlformats.org/officeDocument/2006/relationships/hyperlink" Target="mailto:fsantacruzcz55@gmail.com" TargetMode="External"/><Relationship Id="rId80" Type="http://schemas.openxmlformats.org/officeDocument/2006/relationships/hyperlink" Target="mailto:gailaj_1036@yahoo.com" TargetMode="External"/><Relationship Id="rId155" Type="http://schemas.openxmlformats.org/officeDocument/2006/relationships/hyperlink" Target="mailto:edniola@live.com" TargetMode="External"/><Relationship Id="rId17" Type="http://schemas.openxmlformats.org/officeDocument/2006/relationships/hyperlink" Target="mailto:rizquierdom@hotmail.com" TargetMode="External"/><Relationship Id="rId38" Type="http://schemas.openxmlformats.org/officeDocument/2006/relationships/hyperlink" Target="mailto:gabiclaf.orellana@gmail.com" TargetMode="External"/><Relationship Id="rId59" Type="http://schemas.openxmlformats.org/officeDocument/2006/relationships/hyperlink" Target="mailto:pazreyescordero@hotmail.com" TargetMode="External"/><Relationship Id="rId103" Type="http://schemas.openxmlformats.org/officeDocument/2006/relationships/hyperlink" Target="mailto:ANTONIOROJAS66@YAHOO.COM" TargetMode="External"/><Relationship Id="rId124" Type="http://schemas.openxmlformats.org/officeDocument/2006/relationships/hyperlink" Target="mailto:DIEGOALEGRIA550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TZABACHOR@GMAIL.COM" TargetMode="External"/><Relationship Id="rId18" Type="http://schemas.openxmlformats.org/officeDocument/2006/relationships/hyperlink" Target="mailto:LJORGERENA@YAHOO.COM" TargetMode="External"/><Relationship Id="rId26" Type="http://schemas.openxmlformats.org/officeDocument/2006/relationships/hyperlink" Target="mailto:TATIANA.VIDALDQ@HOTMAIL.COM" TargetMode="External"/><Relationship Id="rId3" Type="http://schemas.openxmlformats.org/officeDocument/2006/relationships/hyperlink" Target="mailto:CNVGMVS@HOTMAIL.COM" TargetMode="External"/><Relationship Id="rId21" Type="http://schemas.openxmlformats.org/officeDocument/2006/relationships/hyperlink" Target="mailto:CARMIITALEONTV@GMAIL.COM" TargetMode="External"/><Relationship Id="rId34" Type="http://schemas.openxmlformats.org/officeDocument/2006/relationships/hyperlink" Target="mailto:XIMEU81@GMAIL.COM" TargetMode="External"/><Relationship Id="rId7" Type="http://schemas.openxmlformats.org/officeDocument/2006/relationships/hyperlink" Target="mailto:EDISSONCAMPO90@GMAIL.COM" TargetMode="External"/><Relationship Id="rId12" Type="http://schemas.openxmlformats.org/officeDocument/2006/relationships/hyperlink" Target="mailto:javieralbarracin27@gmail.com" TargetMode="External"/><Relationship Id="rId17" Type="http://schemas.openxmlformats.org/officeDocument/2006/relationships/hyperlink" Target="mailto:IRINACDT@YAHOO.COM" TargetMode="External"/><Relationship Id="rId25" Type="http://schemas.openxmlformats.org/officeDocument/2006/relationships/hyperlink" Target="mailto:DIEGOALEGRIA550@GMAIL.COM" TargetMode="External"/><Relationship Id="rId33" Type="http://schemas.openxmlformats.org/officeDocument/2006/relationships/hyperlink" Target="mailto:DIANA.ALBARRACIN@UCUENCA.EDU.EC" TargetMode="External"/><Relationship Id="rId2" Type="http://schemas.openxmlformats.org/officeDocument/2006/relationships/hyperlink" Target="mailto:PACORAMIREZ24@YAHOO.COM" TargetMode="External"/><Relationship Id="rId16" Type="http://schemas.openxmlformats.org/officeDocument/2006/relationships/hyperlink" Target="mailto:MRUBENCANDO@GAIL.COM" TargetMode="External"/><Relationship Id="rId20" Type="http://schemas.openxmlformats.org/officeDocument/2006/relationships/hyperlink" Target="mailto:LAVAJARASA@GMAIL.COM" TargetMode="External"/><Relationship Id="rId29" Type="http://schemas.openxmlformats.org/officeDocument/2006/relationships/hyperlink" Target="mailto:PAOLABRAVOM@HOTMAIL.COM" TargetMode="External"/><Relationship Id="rId1" Type="http://schemas.openxmlformats.org/officeDocument/2006/relationships/hyperlink" Target="mailto:LIDFER@GMAIL.COM" TargetMode="External"/><Relationship Id="rId6" Type="http://schemas.openxmlformats.org/officeDocument/2006/relationships/hyperlink" Target="mailto:ASTUDILLOMAICOL92@GMAIL.COM" TargetMode="External"/><Relationship Id="rId11" Type="http://schemas.openxmlformats.org/officeDocument/2006/relationships/hyperlink" Target="mailto:MARICARMEN_6@HOTMAIL.COM" TargetMode="External"/><Relationship Id="rId24" Type="http://schemas.openxmlformats.org/officeDocument/2006/relationships/hyperlink" Target="mailto:CDCASITADECARAMELO@GAIL.COM" TargetMode="External"/><Relationship Id="rId32" Type="http://schemas.openxmlformats.org/officeDocument/2006/relationships/hyperlink" Target="mailto:JERMAGMASACHE@HOTMAIL.COM" TargetMode="External"/><Relationship Id="rId5" Type="http://schemas.openxmlformats.org/officeDocument/2006/relationships/hyperlink" Target="mailto:ADELGADO@VELASHD.COM" TargetMode="External"/><Relationship Id="rId15" Type="http://schemas.openxmlformats.org/officeDocument/2006/relationships/hyperlink" Target="mailto:ANA-CALORENA84@HOTMAIL.COM" TargetMode="External"/><Relationship Id="rId23" Type="http://schemas.openxmlformats.org/officeDocument/2006/relationships/hyperlink" Target="mailto:CARMENBALAREZO@GMAIL.COM" TargetMode="External"/><Relationship Id="rId28" Type="http://schemas.openxmlformats.org/officeDocument/2006/relationships/hyperlink" Target="mailto:PANFEGARCIA@HOTMAIL.COM" TargetMode="External"/><Relationship Id="rId10" Type="http://schemas.openxmlformats.org/officeDocument/2006/relationships/hyperlink" Target="mailto:C.WEITH@OUTLOOK.COM" TargetMode="External"/><Relationship Id="rId19" Type="http://schemas.openxmlformats.org/officeDocument/2006/relationships/hyperlink" Target="mailto:PAISAJE.GG@GMAIL.COM" TargetMode="External"/><Relationship Id="rId31" Type="http://schemas.openxmlformats.org/officeDocument/2006/relationships/hyperlink" Target="mailto:ANGUINATY@HOTMAIL.COM" TargetMode="External"/><Relationship Id="rId4" Type="http://schemas.openxmlformats.org/officeDocument/2006/relationships/hyperlink" Target="mailto:ANTONIOROJAS66@YAHOO.COM" TargetMode="External"/><Relationship Id="rId9" Type="http://schemas.openxmlformats.org/officeDocument/2006/relationships/hyperlink" Target="mailto:KARYONGECE@HOTMAIL.COM" TargetMode="External"/><Relationship Id="rId14" Type="http://schemas.openxmlformats.org/officeDocument/2006/relationships/hyperlink" Target="mailto:ESPACIORAL@GMAIL.COM" TargetMode="External"/><Relationship Id="rId22" Type="http://schemas.openxmlformats.org/officeDocument/2006/relationships/hyperlink" Target="mailto:JUANSANAY@OUTLOOK.COM" TargetMode="External"/><Relationship Id="rId27" Type="http://schemas.openxmlformats.org/officeDocument/2006/relationships/hyperlink" Target="mailto:GIPADPUBLICIDAD@HOTMAIL.COM" TargetMode="External"/><Relationship Id="rId30" Type="http://schemas.openxmlformats.org/officeDocument/2006/relationships/hyperlink" Target="mailto:BXGONZALES@HOTMAIL.COM" TargetMode="External"/><Relationship Id="rId35" Type="http://schemas.openxmlformats.org/officeDocument/2006/relationships/drawing" Target="../drawings/drawing5.xml"/><Relationship Id="rId8" Type="http://schemas.openxmlformats.org/officeDocument/2006/relationships/hyperlink" Target="mailto:RADOERN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4"/>
  <sheetViews>
    <sheetView topLeftCell="A31" workbookViewId="0">
      <selection activeCell="M28" sqref="M28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6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/>
      <c r="P2" s="7"/>
      <c r="Q2" s="7"/>
      <c r="R2" s="7"/>
    </row>
    <row r="3" spans="1:28" ht="18">
      <c r="B3" s="11"/>
      <c r="C3" s="12" t="s">
        <v>0</v>
      </c>
      <c r="D3" s="13"/>
      <c r="E3" s="14"/>
      <c r="F3" s="15"/>
      <c r="G3" s="16"/>
      <c r="H3" s="17"/>
      <c r="I3" s="17"/>
      <c r="J3" s="17"/>
      <c r="K3" s="17"/>
      <c r="L3" s="17"/>
      <c r="M3" s="18"/>
      <c r="N3" s="19"/>
      <c r="O3" s="20"/>
      <c r="P3" s="21"/>
      <c r="Q3" s="21"/>
      <c r="R3" s="21"/>
      <c r="S3" s="21"/>
    </row>
    <row r="4" spans="1:28" ht="18">
      <c r="B4" s="11"/>
      <c r="C4" s="22" t="s">
        <v>1</v>
      </c>
      <c r="D4" s="23"/>
      <c r="E4" s="24"/>
      <c r="F4" s="24"/>
      <c r="G4" s="16"/>
      <c r="H4" s="17"/>
      <c r="I4" s="17"/>
      <c r="J4" s="17"/>
      <c r="K4" s="17"/>
      <c r="L4" s="17"/>
      <c r="M4" s="18"/>
      <c r="N4" s="19"/>
      <c r="O4" s="20"/>
      <c r="P4" s="21"/>
      <c r="Q4" s="21"/>
      <c r="R4" s="21"/>
      <c r="S4" s="21"/>
    </row>
    <row r="5" spans="1:28" ht="24">
      <c r="B5" s="25" t="s">
        <v>2</v>
      </c>
      <c r="C5" s="26"/>
      <c r="D5" s="27"/>
      <c r="E5" s="28" t="s">
        <v>3</v>
      </c>
      <c r="F5" s="29"/>
      <c r="G5" s="30"/>
      <c r="H5" s="31"/>
      <c r="I5" s="32"/>
      <c r="J5" s="33"/>
      <c r="K5" s="33"/>
      <c r="L5" s="34"/>
      <c r="M5" s="35" t="s">
        <v>1531</v>
      </c>
      <c r="N5" s="36"/>
      <c r="O5" s="37"/>
    </row>
    <row r="6" spans="1:28" ht="17">
      <c r="B6" s="38" t="s">
        <v>4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41"/>
      <c r="N6" s="36"/>
      <c r="O6" s="37"/>
    </row>
    <row r="7" spans="1:28" ht="18">
      <c r="B7" s="42" t="s">
        <v>1530</v>
      </c>
      <c r="C7" s="43"/>
      <c r="D7" s="44"/>
      <c r="E7" s="44"/>
      <c r="F7" s="44"/>
      <c r="G7" s="44"/>
      <c r="H7" s="44" t="s">
        <v>5</v>
      </c>
      <c r="I7" s="44"/>
      <c r="J7" s="44"/>
      <c r="K7" s="44"/>
      <c r="L7" s="44"/>
      <c r="M7" s="45"/>
      <c r="N7" s="36"/>
      <c r="O7" s="37"/>
    </row>
    <row r="8" spans="1:28" ht="36">
      <c r="A8" s="46"/>
      <c r="B8" s="47" t="s">
        <v>6</v>
      </c>
      <c r="C8" s="47" t="s">
        <v>7</v>
      </c>
      <c r="D8" s="47" t="s">
        <v>8</v>
      </c>
      <c r="E8" s="47" t="s">
        <v>9</v>
      </c>
      <c r="F8" s="47" t="s">
        <v>10</v>
      </c>
      <c r="G8" s="47" t="s">
        <v>11</v>
      </c>
      <c r="H8" s="47" t="s">
        <v>12</v>
      </c>
      <c r="I8" s="47" t="s">
        <v>13</v>
      </c>
      <c r="J8" s="47" t="s">
        <v>14</v>
      </c>
      <c r="K8" s="47" t="s">
        <v>15</v>
      </c>
      <c r="L8" s="47" t="s">
        <v>16</v>
      </c>
      <c r="M8" s="48" t="s">
        <v>17</v>
      </c>
      <c r="N8" s="49" t="s">
        <v>18</v>
      </c>
      <c r="O8" s="50" t="s">
        <v>19</v>
      </c>
      <c r="P8" s="47" t="s">
        <v>20</v>
      </c>
      <c r="Q8" s="47" t="s">
        <v>21</v>
      </c>
      <c r="R8" s="51" t="s">
        <v>22</v>
      </c>
      <c r="S8" s="51" t="s">
        <v>23</v>
      </c>
      <c r="T8" s="52"/>
      <c r="U8" s="46"/>
      <c r="V8" s="46"/>
      <c r="W8" s="46"/>
      <c r="X8" s="46"/>
      <c r="Y8" s="46"/>
      <c r="Z8" s="46"/>
      <c r="AA8" s="46"/>
      <c r="AB8" s="46"/>
    </row>
    <row r="9" spans="1:28" ht="54">
      <c r="A9">
        <v>1</v>
      </c>
      <c r="B9" s="53">
        <v>45842</v>
      </c>
      <c r="C9" s="54">
        <v>45859</v>
      </c>
      <c r="D9" s="55">
        <v>1</v>
      </c>
      <c r="E9" s="55"/>
      <c r="F9" s="56"/>
      <c r="G9" s="57">
        <v>112580027</v>
      </c>
      <c r="H9" s="58" t="str">
        <f t="shared" ref="H9:H24" si="0">VLOOKUP(G9,PROD,2,FALSE)</f>
        <v>GBC 75030 KBB CRISTAL COCINA GAS</v>
      </c>
      <c r="I9" s="59" t="s">
        <v>1149</v>
      </c>
      <c r="J9" s="60" t="s">
        <v>24</v>
      </c>
      <c r="K9" s="59" t="s">
        <v>25</v>
      </c>
      <c r="L9" s="59" t="s">
        <v>1144</v>
      </c>
      <c r="M9" s="56" t="s">
        <v>1145</v>
      </c>
      <c r="N9" s="61">
        <v>12.5</v>
      </c>
      <c r="O9" s="62" t="s">
        <v>1146</v>
      </c>
      <c r="P9" s="63" t="s">
        <v>1147</v>
      </c>
      <c r="Q9" s="64">
        <v>999079486</v>
      </c>
      <c r="R9" s="64"/>
      <c r="S9" s="64" t="s">
        <v>1148</v>
      </c>
    </row>
    <row r="10" spans="1:28" ht="54">
      <c r="A10">
        <v>2</v>
      </c>
      <c r="B10" s="53">
        <v>45036</v>
      </c>
      <c r="C10" s="54">
        <v>45859</v>
      </c>
      <c r="D10" s="55">
        <v>1</v>
      </c>
      <c r="E10" s="55"/>
      <c r="F10" s="56"/>
      <c r="G10" s="59">
        <v>40584305</v>
      </c>
      <c r="H10" s="58" t="str">
        <f t="shared" si="0"/>
        <v>ML 822 BIS - MICROONDAS (112030008)</v>
      </c>
      <c r="I10" s="59" t="s">
        <v>1150</v>
      </c>
      <c r="J10" s="60" t="s">
        <v>24</v>
      </c>
      <c r="K10" s="59" t="s">
        <v>25</v>
      </c>
      <c r="L10" s="59" t="s">
        <v>1151</v>
      </c>
      <c r="M10" s="56" t="s">
        <v>1152</v>
      </c>
      <c r="N10" s="61">
        <v>15</v>
      </c>
      <c r="O10" s="62" t="s">
        <v>1153</v>
      </c>
      <c r="P10" s="63" t="s">
        <v>1154</v>
      </c>
      <c r="Q10" s="64">
        <v>989302476</v>
      </c>
      <c r="R10" s="64"/>
      <c r="S10" s="64" t="s">
        <v>1155</v>
      </c>
    </row>
    <row r="11" spans="1:28" ht="72">
      <c r="A11">
        <v>3</v>
      </c>
      <c r="B11" s="53">
        <v>45712</v>
      </c>
      <c r="C11" s="54">
        <v>45861</v>
      </c>
      <c r="D11" s="55">
        <v>1</v>
      </c>
      <c r="E11" s="55"/>
      <c r="F11" s="56"/>
      <c r="G11" s="59">
        <v>40461543</v>
      </c>
      <c r="H11" s="58" t="str">
        <f t="shared" si="0"/>
        <v>C 6310 INOX CAMPANA (110V-60HZ) C/KIT</v>
      </c>
      <c r="I11" s="59" t="s">
        <v>1156</v>
      </c>
      <c r="J11" s="60" t="s">
        <v>24</v>
      </c>
      <c r="K11" s="59" t="s">
        <v>25</v>
      </c>
      <c r="L11" s="59" t="s">
        <v>1157</v>
      </c>
      <c r="M11" s="56" t="s">
        <v>1158</v>
      </c>
      <c r="N11" s="61">
        <v>12.5</v>
      </c>
      <c r="O11" s="62" t="s">
        <v>1159</v>
      </c>
      <c r="P11" s="63" t="s">
        <v>1160</v>
      </c>
      <c r="Q11" s="64">
        <v>987233336</v>
      </c>
      <c r="R11" s="64"/>
      <c r="S11" s="64" t="s">
        <v>1161</v>
      </c>
    </row>
    <row r="12" spans="1:28" ht="36">
      <c r="A12">
        <v>4</v>
      </c>
      <c r="B12" s="53">
        <v>45689</v>
      </c>
      <c r="C12" s="54">
        <v>45861</v>
      </c>
      <c r="D12" s="55">
        <v>1</v>
      </c>
      <c r="E12" s="55"/>
      <c r="F12" s="56"/>
      <c r="G12" s="59">
        <v>40782127</v>
      </c>
      <c r="H12" s="58" t="str">
        <f t="shared" si="0"/>
        <v>DW8 57 FIM PANELABLE LAVAVAJILLAS</v>
      </c>
      <c r="I12" s="59" t="s">
        <v>1162</v>
      </c>
      <c r="J12" s="60" t="s">
        <v>24</v>
      </c>
      <c r="K12" s="59" t="s">
        <v>25</v>
      </c>
      <c r="L12" s="59" t="s">
        <v>1163</v>
      </c>
      <c r="M12" s="56" t="s">
        <v>1164</v>
      </c>
      <c r="N12" s="61">
        <v>18.75</v>
      </c>
      <c r="O12" s="62" t="s">
        <v>1165</v>
      </c>
      <c r="P12" s="63" t="s">
        <v>1166</v>
      </c>
      <c r="Q12" s="64">
        <v>984014275</v>
      </c>
      <c r="R12" s="64"/>
      <c r="S12" s="64" t="s">
        <v>1167</v>
      </c>
    </row>
    <row r="13" spans="1:28" ht="54">
      <c r="A13">
        <v>5</v>
      </c>
      <c r="B13" s="53">
        <v>45799</v>
      </c>
      <c r="C13" s="54">
        <v>45862</v>
      </c>
      <c r="D13" s="55">
        <v>1</v>
      </c>
      <c r="E13" s="55"/>
      <c r="F13" s="56"/>
      <c r="G13" s="57">
        <v>111570003</v>
      </c>
      <c r="H13" s="58" t="str">
        <f t="shared" si="0"/>
        <v>COCINA GOURMET BBQ 4100 G SS</v>
      </c>
      <c r="I13" s="59" t="s">
        <v>1131</v>
      </c>
      <c r="J13" s="60" t="s">
        <v>24</v>
      </c>
      <c r="K13" s="59" t="s">
        <v>25</v>
      </c>
      <c r="L13" s="59" t="s">
        <v>1132</v>
      </c>
      <c r="M13" s="56" t="s">
        <v>1133</v>
      </c>
      <c r="N13" s="61">
        <v>12.5</v>
      </c>
      <c r="O13" s="62" t="s">
        <v>1134</v>
      </c>
      <c r="P13" s="63" t="s">
        <v>1135</v>
      </c>
      <c r="Q13" s="64">
        <v>989739803</v>
      </c>
      <c r="R13" s="64"/>
      <c r="S13" s="64" t="s">
        <v>1136</v>
      </c>
    </row>
    <row r="14" spans="1:28" ht="72">
      <c r="A14">
        <v>6</v>
      </c>
      <c r="B14" s="53">
        <v>44974</v>
      </c>
      <c r="C14" s="54">
        <v>45863</v>
      </c>
      <c r="D14" s="55">
        <v>1</v>
      </c>
      <c r="E14" s="55">
        <v>60803269</v>
      </c>
      <c r="F14" s="56" t="s">
        <v>1137</v>
      </c>
      <c r="G14" s="57">
        <v>112510035</v>
      </c>
      <c r="H14" s="58" t="str">
        <f t="shared" si="0"/>
        <v>IZF 64440 MSP BK COCINA INDUCCION</v>
      </c>
      <c r="I14" s="59" t="s">
        <v>1138</v>
      </c>
      <c r="J14" s="60" t="s">
        <v>24</v>
      </c>
      <c r="K14" s="59" t="s">
        <v>25</v>
      </c>
      <c r="L14" s="59" t="s">
        <v>1139</v>
      </c>
      <c r="M14" s="56" t="s">
        <v>1140</v>
      </c>
      <c r="N14" s="61">
        <v>12.5</v>
      </c>
      <c r="O14" s="62" t="s">
        <v>1141</v>
      </c>
      <c r="P14" s="63" t="s">
        <v>1142</v>
      </c>
      <c r="Q14" s="64">
        <v>998411628</v>
      </c>
      <c r="R14" s="64"/>
      <c r="S14" s="64" t="s">
        <v>1143</v>
      </c>
    </row>
    <row r="15" spans="1:28" ht="36">
      <c r="A15">
        <v>7</v>
      </c>
      <c r="B15" s="53">
        <v>45769</v>
      </c>
      <c r="C15" s="54">
        <v>45868</v>
      </c>
      <c r="D15" s="55">
        <v>1</v>
      </c>
      <c r="E15" s="55"/>
      <c r="F15" s="56"/>
      <c r="G15" s="59">
        <v>111040006</v>
      </c>
      <c r="H15" s="58" t="str">
        <f t="shared" si="0"/>
        <v>HSB 750 G SS HORNO A GAS</v>
      </c>
      <c r="I15" s="59" t="s">
        <v>1453</v>
      </c>
      <c r="J15" s="60" t="s">
        <v>24</v>
      </c>
      <c r="K15" s="59" t="s">
        <v>25</v>
      </c>
      <c r="L15" s="59" t="s">
        <v>1454</v>
      </c>
      <c r="M15" s="56" t="s">
        <v>1455</v>
      </c>
      <c r="N15" s="61">
        <v>18.75</v>
      </c>
      <c r="O15" s="62" t="s">
        <v>1456</v>
      </c>
      <c r="P15" s="63" t="s">
        <v>1457</v>
      </c>
      <c r="Q15" s="64">
        <v>990307165</v>
      </c>
      <c r="R15" s="64"/>
      <c r="S15" s="64" t="s">
        <v>1458</v>
      </c>
    </row>
    <row r="16" spans="1:28" ht="54">
      <c r="A16">
        <v>8</v>
      </c>
      <c r="B16" s="53">
        <v>45827</v>
      </c>
      <c r="C16" s="54">
        <v>45874</v>
      </c>
      <c r="D16" s="55">
        <v>1</v>
      </c>
      <c r="E16" s="55"/>
      <c r="F16" s="56"/>
      <c r="G16" s="57">
        <v>112570128</v>
      </c>
      <c r="H16" s="58" t="str">
        <f t="shared" si="0"/>
        <v>JZC 96342 BBB BK (LAT) COCINA MIXTA GAS - INDUCCION</v>
      </c>
      <c r="I16" s="59" t="s">
        <v>1459</v>
      </c>
      <c r="J16" s="60" t="s">
        <v>24</v>
      </c>
      <c r="K16" s="59" t="s">
        <v>25</v>
      </c>
      <c r="L16" s="59" t="s">
        <v>1212</v>
      </c>
      <c r="M16" s="56" t="s">
        <v>1460</v>
      </c>
      <c r="N16" s="61">
        <v>12.5</v>
      </c>
      <c r="O16" s="62" t="s">
        <v>1461</v>
      </c>
      <c r="P16" s="63" t="s">
        <v>1462</v>
      </c>
      <c r="Q16" s="64">
        <v>983162005</v>
      </c>
      <c r="R16" s="64"/>
      <c r="S16" s="64" t="s">
        <v>1211</v>
      </c>
    </row>
    <row r="17" spans="1:19" ht="54">
      <c r="A17">
        <v>9</v>
      </c>
      <c r="B17" s="65">
        <v>45398</v>
      </c>
      <c r="C17" s="54">
        <v>45877</v>
      </c>
      <c r="D17" s="55">
        <v>1</v>
      </c>
      <c r="E17" s="55"/>
      <c r="F17" s="56"/>
      <c r="G17" s="57">
        <v>112500047</v>
      </c>
      <c r="H17" s="58" t="str">
        <f t="shared" si="0"/>
        <v>IZF 99700 MST COCINA INDUCCION</v>
      </c>
      <c r="I17" s="59" t="s">
        <v>1463</v>
      </c>
      <c r="J17" s="60" t="s">
        <v>24</v>
      </c>
      <c r="K17" s="59" t="s">
        <v>25</v>
      </c>
      <c r="L17" s="59" t="s">
        <v>1464</v>
      </c>
      <c r="M17" s="56" t="s">
        <v>1465</v>
      </c>
      <c r="N17" s="61">
        <v>12.5</v>
      </c>
      <c r="O17" s="62" t="s">
        <v>1466</v>
      </c>
      <c r="P17" s="63" t="s">
        <v>1467</v>
      </c>
      <c r="Q17" s="64">
        <v>992598515</v>
      </c>
      <c r="R17" s="64"/>
      <c r="S17" s="64" t="s">
        <v>1468</v>
      </c>
    </row>
    <row r="18" spans="1:19" ht="72">
      <c r="A18">
        <v>10</v>
      </c>
      <c r="B18" s="53">
        <v>45635</v>
      </c>
      <c r="C18" s="54">
        <v>45517</v>
      </c>
      <c r="D18" s="55">
        <v>1</v>
      </c>
      <c r="E18" s="55"/>
      <c r="F18" s="56"/>
      <c r="G18" s="57">
        <v>41598031</v>
      </c>
      <c r="H18" s="58" t="str">
        <f t="shared" si="0"/>
        <v>CAFETERA INTEGRACION CLC 855 GM INOX</v>
      </c>
      <c r="I18" s="59" t="s">
        <v>1338</v>
      </c>
      <c r="J18" s="60" t="s">
        <v>24</v>
      </c>
      <c r="K18" s="59" t="s">
        <v>25</v>
      </c>
      <c r="L18" s="59" t="s">
        <v>1469</v>
      </c>
      <c r="M18" s="56" t="s">
        <v>1470</v>
      </c>
      <c r="N18" s="61">
        <v>12.5</v>
      </c>
      <c r="O18" s="62" t="s">
        <v>1471</v>
      </c>
      <c r="P18" s="63" t="s">
        <v>1472</v>
      </c>
      <c r="Q18" s="64">
        <v>984459007</v>
      </c>
      <c r="R18" s="64"/>
      <c r="S18" s="64" t="s">
        <v>1473</v>
      </c>
    </row>
    <row r="19" spans="1:19" ht="47" customHeight="1">
      <c r="A19">
        <v>11</v>
      </c>
      <c r="B19" s="53">
        <v>44960</v>
      </c>
      <c r="C19" s="54">
        <v>45881</v>
      </c>
      <c r="D19" s="55">
        <v>1</v>
      </c>
      <c r="E19" s="55"/>
      <c r="F19" s="56"/>
      <c r="G19" s="57">
        <v>111040006</v>
      </c>
      <c r="H19" s="58" t="str">
        <f t="shared" si="0"/>
        <v>HSB 750 G SS HORNO A GAS</v>
      </c>
      <c r="I19" s="59" t="s">
        <v>1518</v>
      </c>
      <c r="J19" s="60" t="s">
        <v>24</v>
      </c>
      <c r="K19" s="59" t="s">
        <v>25</v>
      </c>
      <c r="L19" s="59" t="s">
        <v>1519</v>
      </c>
      <c r="M19" s="56" t="s">
        <v>1520</v>
      </c>
      <c r="N19" s="61">
        <v>18.75</v>
      </c>
      <c r="O19" s="62" t="s">
        <v>1521</v>
      </c>
      <c r="P19" s="63" t="s">
        <v>1522</v>
      </c>
      <c r="Q19" s="64">
        <v>986379450</v>
      </c>
      <c r="R19" s="64"/>
      <c r="S19" s="64" t="s">
        <v>1523</v>
      </c>
    </row>
    <row r="20" spans="1:19" ht="54">
      <c r="A20">
        <v>12</v>
      </c>
      <c r="B20" s="53">
        <v>45748</v>
      </c>
      <c r="C20" s="54">
        <v>45882</v>
      </c>
      <c r="D20" s="55">
        <v>1</v>
      </c>
      <c r="E20" s="55"/>
      <c r="F20" s="56"/>
      <c r="G20" s="57">
        <v>113430018</v>
      </c>
      <c r="H20" s="58" t="str">
        <f t="shared" si="0"/>
        <v>RLF 74920 SS SBS REFRIGERADORA</v>
      </c>
      <c r="I20" s="59" t="s">
        <v>1524</v>
      </c>
      <c r="J20" s="60" t="s">
        <v>24</v>
      </c>
      <c r="K20" s="59" t="s">
        <v>25</v>
      </c>
      <c r="L20" s="59" t="s">
        <v>1525</v>
      </c>
      <c r="M20" s="56" t="s">
        <v>1526</v>
      </c>
      <c r="N20" s="61">
        <v>18.75</v>
      </c>
      <c r="O20" s="62" t="s">
        <v>1527</v>
      </c>
      <c r="P20" s="63" t="s">
        <v>1528</v>
      </c>
      <c r="Q20" s="64">
        <v>992150336</v>
      </c>
      <c r="R20" s="64"/>
      <c r="S20" s="64" t="s">
        <v>1529</v>
      </c>
    </row>
    <row r="21" spans="1:19" ht="54">
      <c r="A21">
        <v>13</v>
      </c>
      <c r="B21" s="53">
        <v>45575</v>
      </c>
      <c r="C21" s="54">
        <v>45882</v>
      </c>
      <c r="D21" s="55">
        <v>1</v>
      </c>
      <c r="E21" s="55"/>
      <c r="F21" s="56"/>
      <c r="G21" s="57">
        <v>112570073</v>
      </c>
      <c r="H21" s="58" t="str">
        <f t="shared" si="0"/>
        <v>GZC 96310 XBB CRISTAL COCINA GAS</v>
      </c>
      <c r="I21" s="59" t="s">
        <v>1582</v>
      </c>
      <c r="J21" s="60" t="s">
        <v>24</v>
      </c>
      <c r="K21" s="59" t="s">
        <v>25</v>
      </c>
      <c r="L21" s="59" t="s">
        <v>1583</v>
      </c>
      <c r="M21" s="56" t="s">
        <v>1584</v>
      </c>
      <c r="N21" s="61">
        <v>12.5</v>
      </c>
      <c r="O21" s="62" t="s">
        <v>1585</v>
      </c>
      <c r="P21" s="63" t="s">
        <v>1586</v>
      </c>
      <c r="Q21" s="64">
        <v>59103138</v>
      </c>
      <c r="R21" s="64"/>
      <c r="S21" s="64" t="s">
        <v>1587</v>
      </c>
    </row>
    <row r="22" spans="1:19" ht="72">
      <c r="A22">
        <v>14</v>
      </c>
      <c r="B22" s="65">
        <v>45806</v>
      </c>
      <c r="C22" s="54">
        <v>45884</v>
      </c>
      <c r="D22" s="55">
        <v>1</v>
      </c>
      <c r="E22" s="55" t="s">
        <v>1653</v>
      </c>
      <c r="F22" s="56" t="s">
        <v>1654</v>
      </c>
      <c r="G22" s="57">
        <v>112500047</v>
      </c>
      <c r="H22" s="58" t="str">
        <f t="shared" si="0"/>
        <v>IZF 99700 MST COCINA INDUCCION</v>
      </c>
      <c r="I22" s="59" t="s">
        <v>1647</v>
      </c>
      <c r="J22" s="60" t="s">
        <v>24</v>
      </c>
      <c r="K22" s="59" t="s">
        <v>25</v>
      </c>
      <c r="L22" s="59" t="s">
        <v>1648</v>
      </c>
      <c r="M22" s="56" t="s">
        <v>1649</v>
      </c>
      <c r="N22" s="61">
        <v>12.5</v>
      </c>
      <c r="O22" s="62" t="s">
        <v>1650</v>
      </c>
      <c r="P22" s="63" t="s">
        <v>1651</v>
      </c>
      <c r="Q22" s="64">
        <v>999100747</v>
      </c>
      <c r="R22" s="64"/>
      <c r="S22" s="64" t="s">
        <v>1652</v>
      </c>
    </row>
    <row r="23" spans="1:19" ht="54">
      <c r="A23">
        <v>15</v>
      </c>
      <c r="B23" s="65">
        <v>45259</v>
      </c>
      <c r="C23" s="54">
        <v>45887</v>
      </c>
      <c r="D23" s="55">
        <v>1</v>
      </c>
      <c r="E23" s="55">
        <v>8139016</v>
      </c>
      <c r="F23" s="56" t="s">
        <v>1655</v>
      </c>
      <c r="G23" s="57">
        <v>112580027</v>
      </c>
      <c r="H23" s="58" t="str">
        <f t="shared" si="0"/>
        <v>GBC 75030 KBB CRISTAL COCINA GAS</v>
      </c>
      <c r="I23" s="59" t="s">
        <v>1656</v>
      </c>
      <c r="J23" s="60" t="s">
        <v>24</v>
      </c>
      <c r="K23" s="59" t="s">
        <v>25</v>
      </c>
      <c r="L23" s="59" t="s">
        <v>1657</v>
      </c>
      <c r="M23" s="56" t="s">
        <v>1658</v>
      </c>
      <c r="N23" s="61">
        <v>12.5</v>
      </c>
      <c r="O23" s="62" t="s">
        <v>1659</v>
      </c>
      <c r="P23" s="63" t="s">
        <v>1660</v>
      </c>
      <c r="Q23" s="64">
        <v>999850384</v>
      </c>
      <c r="R23" s="64"/>
      <c r="S23" s="64" t="s">
        <v>1661</v>
      </c>
    </row>
    <row r="24" spans="1:19" ht="54">
      <c r="A24">
        <v>16</v>
      </c>
      <c r="B24" s="65">
        <v>45058</v>
      </c>
      <c r="C24" s="54">
        <v>45887</v>
      </c>
      <c r="D24" s="55">
        <v>1</v>
      </c>
      <c r="E24" s="55">
        <v>8139016</v>
      </c>
      <c r="F24" s="56" t="s">
        <v>1655</v>
      </c>
      <c r="G24" s="57">
        <v>112580058</v>
      </c>
      <c r="H24" s="58" t="str">
        <f t="shared" si="0"/>
        <v>GBC 95030 KBB BK COCINA GAS</v>
      </c>
      <c r="I24" s="59" t="s">
        <v>1666</v>
      </c>
      <c r="J24" s="60" t="s">
        <v>24</v>
      </c>
      <c r="K24" s="59" t="s">
        <v>25</v>
      </c>
      <c r="L24" s="59" t="s">
        <v>1667</v>
      </c>
      <c r="M24" s="56" t="s">
        <v>1662</v>
      </c>
      <c r="N24" s="61">
        <v>12.5</v>
      </c>
      <c r="O24" s="62" t="s">
        <v>1663</v>
      </c>
      <c r="P24" s="63" t="s">
        <v>1664</v>
      </c>
      <c r="Q24" s="64">
        <v>99785097</v>
      </c>
      <c r="R24" s="64"/>
      <c r="S24" s="64" t="s">
        <v>1665</v>
      </c>
    </row>
    <row r="25" spans="1:19">
      <c r="N25" s="66">
        <f>SUM(N9:N24)</f>
        <v>227.5</v>
      </c>
    </row>
    <row r="36" spans="7:10">
      <c r="G36">
        <v>1</v>
      </c>
      <c r="H36" t="s">
        <v>57</v>
      </c>
      <c r="I36">
        <v>12.5</v>
      </c>
      <c r="J36">
        <v>12.5</v>
      </c>
    </row>
    <row r="37" spans="7:10" ht="16">
      <c r="G37" s="1">
        <v>1</v>
      </c>
      <c r="H37" s="1" t="s">
        <v>1668</v>
      </c>
      <c r="I37" s="1">
        <v>12.5</v>
      </c>
      <c r="J37" s="1">
        <f>G37*I37</f>
        <v>12.5</v>
      </c>
    </row>
    <row r="38" spans="7:10" ht="16">
      <c r="G38" s="1">
        <v>1</v>
      </c>
      <c r="H38" s="1" t="s">
        <v>26</v>
      </c>
      <c r="I38" s="1">
        <v>18.75</v>
      </c>
      <c r="J38" s="1">
        <f>G38*I38</f>
        <v>18.75</v>
      </c>
    </row>
    <row r="39" spans="7:10" ht="16">
      <c r="G39" s="1">
        <v>8</v>
      </c>
      <c r="H39" s="1" t="s">
        <v>27</v>
      </c>
      <c r="I39" s="1">
        <v>12.5</v>
      </c>
      <c r="J39" s="1">
        <f t="shared" ref="J39:J43" si="1">G39*I39</f>
        <v>100</v>
      </c>
    </row>
    <row r="40" spans="7:10" ht="16">
      <c r="G40" s="1">
        <v>1</v>
      </c>
      <c r="H40" s="1" t="s">
        <v>28</v>
      </c>
      <c r="I40" s="1">
        <v>15</v>
      </c>
      <c r="J40" s="1">
        <f t="shared" si="1"/>
        <v>15</v>
      </c>
    </row>
    <row r="41" spans="7:10" ht="16">
      <c r="G41" s="1">
        <v>1</v>
      </c>
      <c r="H41" s="1" t="s">
        <v>29</v>
      </c>
      <c r="I41" s="1">
        <v>18.75</v>
      </c>
      <c r="J41" s="1">
        <f t="shared" si="1"/>
        <v>18.75</v>
      </c>
    </row>
    <row r="42" spans="7:10" ht="16">
      <c r="G42" s="1">
        <v>1</v>
      </c>
      <c r="H42" s="1" t="s">
        <v>30</v>
      </c>
      <c r="I42" s="1">
        <v>12.5</v>
      </c>
      <c r="J42" s="1">
        <f t="shared" si="1"/>
        <v>12.5</v>
      </c>
    </row>
    <row r="43" spans="7:10" ht="16">
      <c r="G43" s="1">
        <v>2</v>
      </c>
      <c r="H43" s="1" t="s">
        <v>31</v>
      </c>
      <c r="I43" s="1">
        <v>18.75</v>
      </c>
      <c r="J43" s="1">
        <f t="shared" si="1"/>
        <v>37.5</v>
      </c>
    </row>
    <row r="44" spans="7:10" ht="16">
      <c r="G44" s="1"/>
      <c r="H44" s="1"/>
      <c r="I44" s="1"/>
      <c r="J44" s="1">
        <f>SUM(J36:J43)</f>
        <v>227.5</v>
      </c>
    </row>
  </sheetData>
  <hyperlinks>
    <hyperlink ref="P13" r:id="rId1" xr:uid="{B5EC5C44-3723-9541-ADF2-4461BE6CBDB1}"/>
    <hyperlink ref="P14" r:id="rId2" xr:uid="{02B58657-91DB-BA48-B371-467EB946EE42}"/>
    <hyperlink ref="P9" r:id="rId3" xr:uid="{13A736DC-BF13-1948-B8C0-6F455BBBAB7D}"/>
    <hyperlink ref="P10" r:id="rId4" xr:uid="{B0D3F798-809F-3A4C-BEDC-F9F464D2F7AD}"/>
    <hyperlink ref="P11" r:id="rId5" xr:uid="{CDAC1220-1DC5-F64C-B05A-34EADE2AB63D}"/>
    <hyperlink ref="P12" r:id="rId6" xr:uid="{AE93AF28-0357-874E-AD2A-A1CD43A4D920}"/>
    <hyperlink ref="P15" r:id="rId7" xr:uid="{A6B5E9BD-9B95-7043-93F4-9D479656862B}"/>
    <hyperlink ref="P16" r:id="rId8" xr:uid="{89AC593C-E2BC-9342-8E65-E2440CAFFD03}"/>
    <hyperlink ref="P17" r:id="rId9" xr:uid="{D1177A06-C2EF-8C4A-AE7C-F7B720AF53C4}"/>
    <hyperlink ref="P18" r:id="rId10" xr:uid="{6806488F-0B93-AD48-B46A-89D55263E8C6}"/>
    <hyperlink ref="P19" r:id="rId11" xr:uid="{B5B27EF5-A4F5-0E42-BF2D-F4FB66B1898D}"/>
    <hyperlink ref="P20" r:id="rId12" xr:uid="{7D9A5AD2-45FA-7745-801D-42EAAAE2EC6E}"/>
    <hyperlink ref="P21" r:id="rId13" xr:uid="{7793AEA2-C5B5-C44C-81EF-344DF6EE2F10}"/>
    <hyperlink ref="P22" r:id="rId14" xr:uid="{496C1B1E-3231-7941-8F33-A48B1BB0E0B2}"/>
    <hyperlink ref="P23" r:id="rId15" xr:uid="{8936D21A-E396-DB4D-8900-DDE4B9E92B6E}"/>
    <hyperlink ref="P24" r:id="rId16" xr:uid="{57321450-4DE7-D24E-9995-5CDA1BC0E48F}"/>
  </hyperlinks>
  <pageMargins left="0.7" right="0.7" top="0.75" bottom="0.75" header="0.3" footer="0.3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1"/>
  <sheetViews>
    <sheetView tabSelected="1" topLeftCell="A6" zoomScale="140" zoomScaleNormal="140" workbookViewId="0">
      <selection activeCell="A14" sqref="A14:XFD14"/>
    </sheetView>
  </sheetViews>
  <sheetFormatPr baseColWidth="10" defaultRowHeight="15"/>
  <cols>
    <col min="1" max="1" width="5.5" customWidth="1"/>
    <col min="2" max="2" width="13" customWidth="1"/>
    <col min="3" max="3" width="22.6640625" customWidth="1"/>
    <col min="4" max="4" width="22" customWidth="1"/>
    <col min="5" max="5" width="32.33203125" customWidth="1"/>
    <col min="6" max="6" width="47" customWidth="1"/>
    <col min="7" max="7" width="18.33203125" customWidth="1"/>
    <col min="8" max="8" width="7.6640625" customWidth="1"/>
    <col min="9" max="9" width="9.1640625" customWidth="1"/>
    <col min="10" max="10" width="10" customWidth="1"/>
    <col min="11" max="11" width="11.33203125" customWidth="1"/>
    <col min="12" max="12" width="27.6640625" customWidth="1"/>
    <col min="13" max="13" width="33.5" customWidth="1"/>
    <col min="14" max="14" width="13.5" customWidth="1"/>
    <col min="15" max="15" width="7.6640625" customWidth="1"/>
    <col min="16" max="16" width="13.6640625" customWidth="1"/>
    <col min="18" max="18" width="7.6640625" customWidth="1"/>
    <col min="19" max="19" width="22.83203125" customWidth="1"/>
    <col min="20" max="20" width="26.6640625" customWidth="1"/>
    <col min="21" max="21" width="31.1640625" customWidth="1"/>
  </cols>
  <sheetData>
    <row r="2" spans="1:21" ht="18">
      <c r="C2" s="67"/>
      <c r="D2" s="67"/>
      <c r="E2" s="67"/>
      <c r="F2" s="67"/>
      <c r="G2" s="67"/>
      <c r="H2" s="67"/>
      <c r="I2" s="67"/>
      <c r="J2" s="67"/>
      <c r="K2" s="68"/>
      <c r="L2" s="67"/>
      <c r="M2" s="67"/>
      <c r="N2" s="67"/>
      <c r="O2" s="67"/>
      <c r="P2" s="67"/>
      <c r="Q2" s="67"/>
      <c r="R2" s="67"/>
      <c r="S2" s="67"/>
    </row>
    <row r="3" spans="1:21" ht="18">
      <c r="A3" s="69"/>
      <c r="C3" s="70" t="s">
        <v>0</v>
      </c>
      <c r="D3" s="67"/>
      <c r="E3" s="71"/>
      <c r="F3" s="67"/>
      <c r="G3" s="72"/>
      <c r="H3" s="68"/>
      <c r="I3" s="73"/>
      <c r="J3" s="74"/>
      <c r="K3" s="68"/>
      <c r="L3" s="75"/>
      <c r="M3" s="75"/>
      <c r="N3" s="68"/>
      <c r="O3" s="76"/>
      <c r="P3" s="67"/>
      <c r="Q3" s="67"/>
      <c r="R3" s="67"/>
      <c r="S3" s="67"/>
    </row>
    <row r="4" spans="1:21" ht="18">
      <c r="A4" s="69"/>
      <c r="C4" s="77" t="s">
        <v>1</v>
      </c>
      <c r="D4" s="67"/>
      <c r="E4" s="68"/>
      <c r="F4" s="67"/>
      <c r="G4" s="78"/>
      <c r="H4" s="79"/>
      <c r="I4" s="80"/>
      <c r="J4" s="81" t="s">
        <v>32</v>
      </c>
      <c r="K4" s="79"/>
      <c r="L4" s="82"/>
      <c r="M4" s="83"/>
      <c r="N4" s="68" t="s">
        <v>1532</v>
      </c>
      <c r="O4" s="76"/>
      <c r="P4" s="84"/>
      <c r="Q4" s="67"/>
      <c r="R4" s="67"/>
      <c r="S4" s="67"/>
    </row>
    <row r="5" spans="1:21" s="1" customFormat="1" ht="51">
      <c r="A5" s="85"/>
      <c r="B5" s="86" t="s">
        <v>33</v>
      </c>
      <c r="C5" s="86" t="s">
        <v>34</v>
      </c>
      <c r="D5" s="86" t="s">
        <v>35</v>
      </c>
      <c r="E5" s="86" t="s">
        <v>36</v>
      </c>
      <c r="F5" s="87" t="s">
        <v>37</v>
      </c>
      <c r="G5" s="86" t="s">
        <v>38</v>
      </c>
      <c r="H5" s="86" t="s">
        <v>39</v>
      </c>
      <c r="I5" s="86" t="s">
        <v>40</v>
      </c>
      <c r="J5" s="86" t="s">
        <v>41</v>
      </c>
      <c r="K5" s="86" t="s">
        <v>42</v>
      </c>
      <c r="L5" s="88" t="s">
        <v>43</v>
      </c>
      <c r="M5" s="88" t="s">
        <v>44</v>
      </c>
      <c r="N5" s="86" t="s">
        <v>45</v>
      </c>
      <c r="O5" s="89" t="s">
        <v>46</v>
      </c>
      <c r="P5" s="86" t="s">
        <v>47</v>
      </c>
      <c r="Q5" s="86" t="s">
        <v>48</v>
      </c>
      <c r="R5" s="86" t="s">
        <v>22</v>
      </c>
      <c r="S5" s="86" t="s">
        <v>23</v>
      </c>
      <c r="T5" s="86" t="s">
        <v>49</v>
      </c>
      <c r="U5" s="86" t="s">
        <v>50</v>
      </c>
    </row>
    <row r="6" spans="1:21" s="176" customFormat="1" ht="19">
      <c r="A6" s="176">
        <v>1</v>
      </c>
      <c r="B6" s="177">
        <v>45826</v>
      </c>
      <c r="C6" s="177" t="s">
        <v>1046</v>
      </c>
      <c r="D6" s="177" t="s">
        <v>1047</v>
      </c>
      <c r="E6" s="178">
        <v>112580027</v>
      </c>
      <c r="F6" s="179" t="str">
        <f t="shared" ref="F6:F67" si="0">VLOOKUP(E6,PROD,2,FALSE)</f>
        <v>GBC 75030 KBB CRISTAL COCINA GAS</v>
      </c>
      <c r="G6" s="180" t="s">
        <v>1048</v>
      </c>
      <c r="H6" s="181" t="s">
        <v>24</v>
      </c>
      <c r="I6" s="181" t="s">
        <v>51</v>
      </c>
      <c r="J6" s="181" t="s">
        <v>52</v>
      </c>
      <c r="K6" s="258">
        <v>45859</v>
      </c>
      <c r="L6" s="177" t="s">
        <v>1049</v>
      </c>
      <c r="M6" s="177" t="s">
        <v>1050</v>
      </c>
      <c r="N6" s="182">
        <v>992666015</v>
      </c>
      <c r="O6" s="183">
        <v>15</v>
      </c>
      <c r="P6" s="181" t="s">
        <v>53</v>
      </c>
      <c r="Q6" s="181" t="s">
        <v>51</v>
      </c>
      <c r="R6" s="184"/>
      <c r="S6" s="180" t="str">
        <f>D6</f>
        <v>001-500-000074343</v>
      </c>
      <c r="T6" s="185">
        <v>102688365</v>
      </c>
      <c r="U6" s="186" t="s">
        <v>1053</v>
      </c>
    </row>
    <row r="7" spans="1:21" s="176" customFormat="1" ht="19">
      <c r="A7" s="176">
        <v>2</v>
      </c>
      <c r="B7" s="177">
        <v>45826</v>
      </c>
      <c r="C7" s="177" t="s">
        <v>1046</v>
      </c>
      <c r="D7" s="177" t="s">
        <v>1047</v>
      </c>
      <c r="E7" s="178">
        <v>112950020</v>
      </c>
      <c r="F7" s="179" t="str">
        <f t="shared" si="0"/>
        <v>DVN 74030 TCL BK CAMPANA (110V-60HZ) C/KIT</v>
      </c>
      <c r="G7" s="180" t="s">
        <v>1051</v>
      </c>
      <c r="H7" s="181" t="s">
        <v>24</v>
      </c>
      <c r="I7" s="181" t="s">
        <v>51</v>
      </c>
      <c r="J7" s="181" t="s">
        <v>52</v>
      </c>
      <c r="K7" s="258">
        <v>45859</v>
      </c>
      <c r="L7" s="177" t="s">
        <v>1049</v>
      </c>
      <c r="M7" s="177" t="s">
        <v>1050</v>
      </c>
      <c r="N7" s="182">
        <v>992666015</v>
      </c>
      <c r="O7" s="183">
        <v>15</v>
      </c>
      <c r="P7" s="181" t="s">
        <v>53</v>
      </c>
      <c r="Q7" s="181" t="s">
        <v>51</v>
      </c>
      <c r="R7" s="184"/>
      <c r="S7" s="180" t="str">
        <f t="shared" ref="S7:S8" si="1">D7</f>
        <v>001-500-000074343</v>
      </c>
      <c r="T7" s="185">
        <v>102688365</v>
      </c>
      <c r="U7" s="186" t="s">
        <v>1053</v>
      </c>
    </row>
    <row r="8" spans="1:21" s="176" customFormat="1" ht="19">
      <c r="A8" s="176">
        <v>3</v>
      </c>
      <c r="B8" s="177">
        <v>45826</v>
      </c>
      <c r="C8" s="177" t="s">
        <v>1046</v>
      </c>
      <c r="D8" s="177" t="s">
        <v>1047</v>
      </c>
      <c r="E8" s="178">
        <v>111000051</v>
      </c>
      <c r="F8" s="179" t="str">
        <f t="shared" si="0"/>
        <v>HLB 8416 "AIR FRY" - HORNO ELEC</v>
      </c>
      <c r="G8" s="180" t="s">
        <v>1052</v>
      </c>
      <c r="H8" s="181" t="s">
        <v>24</v>
      </c>
      <c r="I8" s="181" t="s">
        <v>51</v>
      </c>
      <c r="J8" s="181" t="s">
        <v>52</v>
      </c>
      <c r="K8" s="258">
        <v>45859</v>
      </c>
      <c r="L8" s="177" t="s">
        <v>1049</v>
      </c>
      <c r="M8" s="177" t="s">
        <v>1050</v>
      </c>
      <c r="N8" s="182">
        <v>992666015</v>
      </c>
      <c r="O8" s="183">
        <v>15</v>
      </c>
      <c r="P8" s="181" t="s">
        <v>53</v>
      </c>
      <c r="Q8" s="181" t="s">
        <v>51</v>
      </c>
      <c r="R8" s="184"/>
      <c r="S8" s="180" t="str">
        <f t="shared" si="1"/>
        <v>001-500-000074343</v>
      </c>
      <c r="T8" s="185">
        <v>102688365</v>
      </c>
      <c r="U8" s="186" t="s">
        <v>1053</v>
      </c>
    </row>
    <row r="9" spans="1:21" s="176" customFormat="1" ht="19">
      <c r="A9" s="176">
        <v>4</v>
      </c>
      <c r="B9" s="187">
        <v>45861</v>
      </c>
      <c r="C9" s="180" t="s">
        <v>1046</v>
      </c>
      <c r="D9" s="180" t="s">
        <v>1054</v>
      </c>
      <c r="E9" s="181">
        <v>112030008</v>
      </c>
      <c r="F9" s="179" t="str">
        <f t="shared" si="0"/>
        <v>ML 8220 BIS - MICROONDAS</v>
      </c>
      <c r="G9" s="180" t="s">
        <v>1055</v>
      </c>
      <c r="H9" s="181" t="s">
        <v>24</v>
      </c>
      <c r="I9" s="181" t="s">
        <v>51</v>
      </c>
      <c r="J9" s="181" t="s">
        <v>52</v>
      </c>
      <c r="K9" s="188">
        <v>45860</v>
      </c>
      <c r="L9" s="189" t="s">
        <v>1057</v>
      </c>
      <c r="M9" s="189" t="s">
        <v>1058</v>
      </c>
      <c r="N9" s="180">
        <v>939621899</v>
      </c>
      <c r="O9" s="183">
        <v>20</v>
      </c>
      <c r="P9" s="181" t="s">
        <v>53</v>
      </c>
      <c r="Q9" s="181" t="s">
        <v>51</v>
      </c>
      <c r="R9" s="184"/>
      <c r="S9" s="180" t="str">
        <f t="shared" ref="S9:S67" si="2">D9</f>
        <v>001-500-000072277</v>
      </c>
      <c r="T9" s="190" t="s">
        <v>1060</v>
      </c>
      <c r="U9" s="186" t="s">
        <v>1059</v>
      </c>
    </row>
    <row r="10" spans="1:21" s="176" customFormat="1" ht="19">
      <c r="A10" s="176">
        <v>5</v>
      </c>
      <c r="B10" s="187">
        <v>45861</v>
      </c>
      <c r="C10" s="180" t="s">
        <v>1046</v>
      </c>
      <c r="D10" s="180" t="s">
        <v>1054</v>
      </c>
      <c r="E10" s="181">
        <v>40480321</v>
      </c>
      <c r="F10" s="179" t="str">
        <f t="shared" si="0"/>
        <v>CC 480 ISLA INOX CAMPANA (40480301)</v>
      </c>
      <c r="G10" s="180" t="s">
        <v>1056</v>
      </c>
      <c r="H10" s="181" t="s">
        <v>24</v>
      </c>
      <c r="I10" s="181" t="s">
        <v>51</v>
      </c>
      <c r="J10" s="181" t="s">
        <v>52</v>
      </c>
      <c r="K10" s="188">
        <v>45860</v>
      </c>
      <c r="L10" s="189" t="s">
        <v>1057</v>
      </c>
      <c r="M10" s="189" t="s">
        <v>1058</v>
      </c>
      <c r="N10" s="180">
        <v>939621899</v>
      </c>
      <c r="O10" s="183">
        <v>30</v>
      </c>
      <c r="P10" s="181" t="s">
        <v>53</v>
      </c>
      <c r="Q10" s="181" t="s">
        <v>51</v>
      </c>
      <c r="R10" s="184"/>
      <c r="S10" s="180" t="str">
        <f t="shared" si="2"/>
        <v>001-500-000072277</v>
      </c>
      <c r="T10" s="190" t="s">
        <v>1060</v>
      </c>
      <c r="U10" s="186" t="s">
        <v>1059</v>
      </c>
    </row>
    <row r="11" spans="1:21" s="176" customFormat="1" ht="19">
      <c r="A11" s="176">
        <v>6</v>
      </c>
      <c r="B11" s="187">
        <v>45829</v>
      </c>
      <c r="C11" s="180" t="s">
        <v>1061</v>
      </c>
      <c r="D11" s="180" t="s">
        <v>1062</v>
      </c>
      <c r="E11" s="178">
        <v>111000051</v>
      </c>
      <c r="F11" s="179" t="str">
        <f t="shared" si="0"/>
        <v>HLB 8416 "AIR FRY" - HORNO ELEC</v>
      </c>
      <c r="G11" s="180" t="s">
        <v>1063</v>
      </c>
      <c r="H11" s="181" t="s">
        <v>24</v>
      </c>
      <c r="I11" s="181" t="s">
        <v>51</v>
      </c>
      <c r="J11" s="181" t="s">
        <v>52</v>
      </c>
      <c r="K11" s="188">
        <v>45860</v>
      </c>
      <c r="L11" s="189" t="s">
        <v>1066</v>
      </c>
      <c r="M11" s="189" t="s">
        <v>1067</v>
      </c>
      <c r="N11" s="180">
        <v>999167603</v>
      </c>
      <c r="O11" s="183">
        <v>15</v>
      </c>
      <c r="P11" s="181" t="s">
        <v>53</v>
      </c>
      <c r="Q11" s="181" t="s">
        <v>51</v>
      </c>
      <c r="R11" s="184"/>
      <c r="S11" s="180" t="str">
        <f t="shared" si="2"/>
        <v>043-903-000079060</v>
      </c>
      <c r="T11" s="190" t="s">
        <v>1068</v>
      </c>
      <c r="U11" s="186" t="s">
        <v>1069</v>
      </c>
    </row>
    <row r="12" spans="1:21" s="176" customFormat="1" ht="19">
      <c r="A12" s="176">
        <v>7</v>
      </c>
      <c r="B12" s="187">
        <v>45829</v>
      </c>
      <c r="C12" s="180" t="s">
        <v>1061</v>
      </c>
      <c r="D12" s="180" t="s">
        <v>1062</v>
      </c>
      <c r="E12" s="181">
        <v>112580058</v>
      </c>
      <c r="F12" s="179" t="str">
        <f t="shared" si="0"/>
        <v>GBC 95030 KBB BK COCINA GAS</v>
      </c>
      <c r="G12" s="180" t="s">
        <v>1064</v>
      </c>
      <c r="H12" s="181" t="s">
        <v>24</v>
      </c>
      <c r="I12" s="181" t="s">
        <v>51</v>
      </c>
      <c r="J12" s="181" t="s">
        <v>52</v>
      </c>
      <c r="K12" s="188">
        <v>45860</v>
      </c>
      <c r="L12" s="189" t="s">
        <v>1066</v>
      </c>
      <c r="M12" s="189" t="s">
        <v>1067</v>
      </c>
      <c r="N12" s="180">
        <v>999167603</v>
      </c>
      <c r="O12" s="183">
        <v>15</v>
      </c>
      <c r="P12" s="181" t="s">
        <v>53</v>
      </c>
      <c r="Q12" s="181" t="s">
        <v>51</v>
      </c>
      <c r="R12" s="184"/>
      <c r="S12" s="180" t="str">
        <f t="shared" ref="S12:S13" si="3">D12</f>
        <v>043-903-000079060</v>
      </c>
      <c r="T12" s="190" t="s">
        <v>1068</v>
      </c>
      <c r="U12" s="186" t="s">
        <v>1069</v>
      </c>
    </row>
    <row r="13" spans="1:21" s="176" customFormat="1" ht="19">
      <c r="A13" s="176">
        <v>8</v>
      </c>
      <c r="B13" s="187">
        <v>45853</v>
      </c>
      <c r="C13" s="180" t="s">
        <v>1061</v>
      </c>
      <c r="D13" s="180" t="s">
        <v>1070</v>
      </c>
      <c r="E13" s="181">
        <v>40466111</v>
      </c>
      <c r="F13" s="179" t="str">
        <f t="shared" si="0"/>
        <v>C 910 NEGRA CAMPANA (110V-60HZ) C/KIT</v>
      </c>
      <c r="G13" s="180" t="s">
        <v>1065</v>
      </c>
      <c r="H13" s="181" t="s">
        <v>24</v>
      </c>
      <c r="I13" s="181" t="s">
        <v>51</v>
      </c>
      <c r="J13" s="181" t="s">
        <v>52</v>
      </c>
      <c r="K13" s="188">
        <v>45860</v>
      </c>
      <c r="L13" s="189" t="s">
        <v>1066</v>
      </c>
      <c r="M13" s="189" t="s">
        <v>1067</v>
      </c>
      <c r="N13" s="180">
        <v>999167603</v>
      </c>
      <c r="O13" s="183">
        <v>15</v>
      </c>
      <c r="P13" s="181" t="s">
        <v>53</v>
      </c>
      <c r="Q13" s="181" t="s">
        <v>51</v>
      </c>
      <c r="R13" s="184"/>
      <c r="S13" s="180" t="str">
        <f t="shared" si="3"/>
        <v>043-903-000082820</v>
      </c>
      <c r="T13" s="190" t="s">
        <v>1068</v>
      </c>
      <c r="U13" s="186" t="s">
        <v>1069</v>
      </c>
    </row>
    <row r="14" spans="1:21" s="284" customFormat="1" ht="19">
      <c r="A14" s="284">
        <v>9</v>
      </c>
      <c r="B14" s="285">
        <v>45850</v>
      </c>
      <c r="C14" s="286" t="s">
        <v>1046</v>
      </c>
      <c r="D14" s="286" t="s">
        <v>1079</v>
      </c>
      <c r="E14" s="287">
        <v>113430051</v>
      </c>
      <c r="F14" s="288" t="str">
        <f t="shared" si="0"/>
        <v>RMF 77960 GBK MX REFRIGERADORA</v>
      </c>
      <c r="G14" s="286" t="s">
        <v>1072</v>
      </c>
      <c r="H14" s="287" t="s">
        <v>24</v>
      </c>
      <c r="I14" s="287" t="s">
        <v>51</v>
      </c>
      <c r="J14" s="287" t="s">
        <v>52</v>
      </c>
      <c r="K14" s="289">
        <v>45861</v>
      </c>
      <c r="L14" s="290" t="s">
        <v>1075</v>
      </c>
      <c r="M14" s="290" t="s">
        <v>1076</v>
      </c>
      <c r="N14" s="286">
        <v>992536257</v>
      </c>
      <c r="O14" s="291">
        <v>15</v>
      </c>
      <c r="P14" s="287" t="s">
        <v>53</v>
      </c>
      <c r="Q14" s="287" t="s">
        <v>51</v>
      </c>
      <c r="R14" s="292"/>
      <c r="S14" s="286" t="str">
        <f t="shared" si="2"/>
        <v>001-500-000074988</v>
      </c>
      <c r="T14" s="293" t="s">
        <v>1077</v>
      </c>
      <c r="U14" s="294" t="s">
        <v>1078</v>
      </c>
    </row>
    <row r="15" spans="1:21" s="176" customFormat="1" ht="19">
      <c r="A15" s="176">
        <v>10</v>
      </c>
      <c r="B15" s="187">
        <v>45808</v>
      </c>
      <c r="C15" s="180" t="s">
        <v>1046</v>
      </c>
      <c r="D15" s="180" t="s">
        <v>1071</v>
      </c>
      <c r="E15" s="181">
        <v>40467305</v>
      </c>
      <c r="F15" s="179" t="str">
        <f t="shared" si="0"/>
        <v>C 710 NEGRA CAMPANA (110V-60HZ) C/KIT</v>
      </c>
      <c r="G15" s="180" t="s">
        <v>1073</v>
      </c>
      <c r="H15" s="181" t="s">
        <v>24</v>
      </c>
      <c r="I15" s="181" t="s">
        <v>51</v>
      </c>
      <c r="J15" s="181" t="s">
        <v>52</v>
      </c>
      <c r="K15" s="188">
        <v>45861</v>
      </c>
      <c r="L15" s="189" t="s">
        <v>1075</v>
      </c>
      <c r="M15" s="189" t="s">
        <v>1076</v>
      </c>
      <c r="N15" s="180">
        <v>992536257</v>
      </c>
      <c r="O15" s="183">
        <v>15</v>
      </c>
      <c r="P15" s="181" t="s">
        <v>53</v>
      </c>
      <c r="Q15" s="181" t="s">
        <v>51</v>
      </c>
      <c r="R15" s="184"/>
      <c r="S15" s="180" t="str">
        <f t="shared" ref="S15:S16" si="4">D15</f>
        <v>001-500-000073894</v>
      </c>
      <c r="T15" s="190" t="s">
        <v>1077</v>
      </c>
      <c r="U15" s="90" t="s">
        <v>1078</v>
      </c>
    </row>
    <row r="16" spans="1:21" s="176" customFormat="1" ht="19">
      <c r="A16" s="176">
        <v>11</v>
      </c>
      <c r="B16" s="187">
        <v>45808</v>
      </c>
      <c r="C16" s="180" t="s">
        <v>1046</v>
      </c>
      <c r="D16" s="180" t="s">
        <v>1071</v>
      </c>
      <c r="E16" s="181">
        <v>112580017</v>
      </c>
      <c r="F16" s="179" t="str">
        <f t="shared" si="0"/>
        <v>GBC 64000 KBB CRISTAL COCINA GAS</v>
      </c>
      <c r="G16" s="180" t="s">
        <v>1074</v>
      </c>
      <c r="H16" s="181" t="s">
        <v>24</v>
      </c>
      <c r="I16" s="181" t="s">
        <v>51</v>
      </c>
      <c r="J16" s="181" t="s">
        <v>52</v>
      </c>
      <c r="K16" s="188">
        <v>45861</v>
      </c>
      <c r="L16" s="189" t="s">
        <v>1075</v>
      </c>
      <c r="M16" s="189" t="s">
        <v>1076</v>
      </c>
      <c r="N16" s="180">
        <v>992536257</v>
      </c>
      <c r="O16" s="183">
        <v>15</v>
      </c>
      <c r="P16" s="181" t="s">
        <v>53</v>
      </c>
      <c r="Q16" s="181" t="s">
        <v>51</v>
      </c>
      <c r="R16" s="184"/>
      <c r="S16" s="180" t="str">
        <f t="shared" si="4"/>
        <v>001-500-000073894</v>
      </c>
      <c r="T16" s="190" t="s">
        <v>1077</v>
      </c>
      <c r="U16" s="90" t="s">
        <v>1078</v>
      </c>
    </row>
    <row r="17" spans="1:21" s="176" customFormat="1" ht="19">
      <c r="A17" s="176">
        <v>12</v>
      </c>
      <c r="B17" s="187">
        <v>45834</v>
      </c>
      <c r="C17" s="180" t="s">
        <v>1046</v>
      </c>
      <c r="D17" s="180" t="s">
        <v>1080</v>
      </c>
      <c r="E17" s="181">
        <v>112570125</v>
      </c>
      <c r="F17" s="179" t="str">
        <f t="shared" si="0"/>
        <v>JZC 95314 ABB BK (LAT) COCINA MIXTA GAS - INDUCCION (40213032)</v>
      </c>
      <c r="G17" s="180" t="s">
        <v>1081</v>
      </c>
      <c r="H17" s="181" t="s">
        <v>24</v>
      </c>
      <c r="I17" s="181" t="s">
        <v>51</v>
      </c>
      <c r="J17" s="181" t="s">
        <v>52</v>
      </c>
      <c r="K17" s="188">
        <v>45861</v>
      </c>
      <c r="L17" s="189" t="s">
        <v>1083</v>
      </c>
      <c r="M17" s="189" t="s">
        <v>1084</v>
      </c>
      <c r="N17" s="180">
        <v>993040205</v>
      </c>
      <c r="O17" s="183">
        <v>20</v>
      </c>
      <c r="P17" s="181" t="s">
        <v>53</v>
      </c>
      <c r="Q17" s="181" t="s">
        <v>51</v>
      </c>
      <c r="R17" s="184"/>
      <c r="S17" s="180" t="str">
        <f t="shared" si="2"/>
        <v>001-500-000074519</v>
      </c>
      <c r="T17" s="190" t="s">
        <v>1085</v>
      </c>
      <c r="U17" s="90" t="s">
        <v>1086</v>
      </c>
    </row>
    <row r="18" spans="1:21" s="176" customFormat="1" ht="19">
      <c r="A18" s="176">
        <v>13</v>
      </c>
      <c r="B18" s="187">
        <v>45834</v>
      </c>
      <c r="C18" s="180" t="s">
        <v>1046</v>
      </c>
      <c r="D18" s="180" t="s">
        <v>1080</v>
      </c>
      <c r="E18" s="181">
        <v>111000050</v>
      </c>
      <c r="F18" s="179" t="str">
        <f t="shared" si="0"/>
        <v>HLB 8510 P "MAESTRO PIZZA"</v>
      </c>
      <c r="G18" s="180" t="s">
        <v>1082</v>
      </c>
      <c r="H18" s="181" t="s">
        <v>24</v>
      </c>
      <c r="I18" s="181" t="s">
        <v>51</v>
      </c>
      <c r="J18" s="181" t="s">
        <v>52</v>
      </c>
      <c r="K18" s="188">
        <v>45861</v>
      </c>
      <c r="L18" s="189" t="s">
        <v>1083</v>
      </c>
      <c r="M18" s="189" t="s">
        <v>1084</v>
      </c>
      <c r="N18" s="180">
        <v>993040205</v>
      </c>
      <c r="O18" s="183">
        <v>20</v>
      </c>
      <c r="P18" s="181" t="s">
        <v>53</v>
      </c>
      <c r="Q18" s="181" t="s">
        <v>51</v>
      </c>
      <c r="R18" s="184"/>
      <c r="S18" s="180" t="str">
        <f t="shared" ref="S18" si="5">D18</f>
        <v>001-500-000074519</v>
      </c>
      <c r="T18" s="190" t="s">
        <v>1085</v>
      </c>
      <c r="U18" s="90" t="s">
        <v>1086</v>
      </c>
    </row>
    <row r="19" spans="1:21" s="176" customFormat="1" ht="20">
      <c r="A19" s="176">
        <v>14</v>
      </c>
      <c r="B19" s="187">
        <v>45619</v>
      </c>
      <c r="C19" s="180" t="s">
        <v>1046</v>
      </c>
      <c r="D19" s="180" t="s">
        <v>1096</v>
      </c>
      <c r="E19" s="181">
        <v>112730000</v>
      </c>
      <c r="F19" s="179" t="str">
        <f t="shared" si="0"/>
        <v>AFF 87601 HOOD IN HOB</v>
      </c>
      <c r="G19" s="191" t="s">
        <v>1088</v>
      </c>
      <c r="H19" s="181" t="s">
        <v>24</v>
      </c>
      <c r="I19" s="181" t="s">
        <v>51</v>
      </c>
      <c r="J19" s="181" t="s">
        <v>52</v>
      </c>
      <c r="K19" s="188">
        <v>45862</v>
      </c>
      <c r="L19" s="189" t="s">
        <v>1092</v>
      </c>
      <c r="M19" s="189" t="s">
        <v>1093</v>
      </c>
      <c r="N19" s="180">
        <v>997438391</v>
      </c>
      <c r="O19" s="183">
        <v>15</v>
      </c>
      <c r="P19" s="181" t="s">
        <v>53</v>
      </c>
      <c r="Q19" s="181" t="s">
        <v>51</v>
      </c>
      <c r="R19" s="184"/>
      <c r="S19" s="180" t="str">
        <f t="shared" si="2"/>
        <v>001-500-000068124</v>
      </c>
      <c r="T19" s="190" t="s">
        <v>1094</v>
      </c>
      <c r="U19" s="90" t="s">
        <v>1095</v>
      </c>
    </row>
    <row r="20" spans="1:21" s="176" customFormat="1" ht="19">
      <c r="A20" s="176">
        <v>15</v>
      </c>
      <c r="B20" s="187">
        <v>45619</v>
      </c>
      <c r="C20" s="180" t="s">
        <v>1046</v>
      </c>
      <c r="D20" s="180" t="s">
        <v>1096</v>
      </c>
      <c r="E20" s="181">
        <v>40782128</v>
      </c>
      <c r="F20" s="179" t="str">
        <f t="shared" si="0"/>
        <v>DW8 57 FIM-D LAVAVAJILLAS</v>
      </c>
      <c r="G20" s="180" t="s">
        <v>1089</v>
      </c>
      <c r="H20" s="181" t="s">
        <v>24</v>
      </c>
      <c r="I20" s="181" t="s">
        <v>51</v>
      </c>
      <c r="J20" s="181" t="s">
        <v>52</v>
      </c>
      <c r="K20" s="188">
        <v>45862</v>
      </c>
      <c r="L20" s="189" t="s">
        <v>1092</v>
      </c>
      <c r="M20" s="189" t="s">
        <v>1093</v>
      </c>
      <c r="N20" s="180">
        <v>997438391</v>
      </c>
      <c r="O20" s="183">
        <v>15</v>
      </c>
      <c r="P20" s="181" t="s">
        <v>53</v>
      </c>
      <c r="Q20" s="181" t="s">
        <v>51</v>
      </c>
      <c r="R20" s="184"/>
      <c r="S20" s="180" t="str">
        <f t="shared" ref="S20:S22" si="6">D20</f>
        <v>001-500-000068124</v>
      </c>
      <c r="T20" s="190" t="s">
        <v>1094</v>
      </c>
      <c r="U20" s="90" t="s">
        <v>1095</v>
      </c>
    </row>
    <row r="21" spans="1:21" s="176" customFormat="1" ht="19">
      <c r="A21" s="176">
        <v>16</v>
      </c>
      <c r="B21" s="187">
        <v>45610</v>
      </c>
      <c r="C21" s="180" t="s">
        <v>1046</v>
      </c>
      <c r="D21" s="180" t="s">
        <v>1087</v>
      </c>
      <c r="E21" s="181">
        <v>111010028</v>
      </c>
      <c r="F21" s="179" t="str">
        <f t="shared" si="0"/>
        <v>HSB 646 "AIRFRY" - HORNO ELEC</v>
      </c>
      <c r="G21" s="180" t="s">
        <v>1090</v>
      </c>
      <c r="H21" s="181" t="s">
        <v>24</v>
      </c>
      <c r="I21" s="181" t="s">
        <v>51</v>
      </c>
      <c r="J21" s="181" t="s">
        <v>52</v>
      </c>
      <c r="K21" s="188">
        <v>45862</v>
      </c>
      <c r="L21" s="189" t="s">
        <v>1092</v>
      </c>
      <c r="M21" s="189" t="s">
        <v>1093</v>
      </c>
      <c r="N21" s="180">
        <v>997438391</v>
      </c>
      <c r="O21" s="183">
        <v>15</v>
      </c>
      <c r="P21" s="181" t="s">
        <v>53</v>
      </c>
      <c r="Q21" s="181" t="s">
        <v>51</v>
      </c>
      <c r="R21" s="184"/>
      <c r="S21" s="180" t="str">
        <f t="shared" si="6"/>
        <v>001-500-000067861</v>
      </c>
      <c r="T21" s="190" t="s">
        <v>1094</v>
      </c>
      <c r="U21" s="90" t="s">
        <v>1095</v>
      </c>
    </row>
    <row r="22" spans="1:21" s="176" customFormat="1" ht="19">
      <c r="A22" s="176">
        <v>17</v>
      </c>
      <c r="B22" s="187">
        <v>45610</v>
      </c>
      <c r="C22" s="180" t="s">
        <v>1046</v>
      </c>
      <c r="D22" s="180" t="s">
        <v>1087</v>
      </c>
      <c r="E22" s="181">
        <v>40584012</v>
      </c>
      <c r="F22" s="179" t="str">
        <f t="shared" si="0"/>
        <v>MS 620 BIS - MICROONDAS</v>
      </c>
      <c r="G22" s="180" t="s">
        <v>1091</v>
      </c>
      <c r="H22" s="181" t="s">
        <v>24</v>
      </c>
      <c r="I22" s="181" t="s">
        <v>51</v>
      </c>
      <c r="J22" s="181" t="s">
        <v>52</v>
      </c>
      <c r="K22" s="188">
        <v>45862</v>
      </c>
      <c r="L22" s="189" t="s">
        <v>1092</v>
      </c>
      <c r="M22" s="189" t="s">
        <v>1093</v>
      </c>
      <c r="N22" s="180">
        <v>997438391</v>
      </c>
      <c r="O22" s="183">
        <v>15</v>
      </c>
      <c r="P22" s="181" t="s">
        <v>53</v>
      </c>
      <c r="Q22" s="181" t="s">
        <v>51</v>
      </c>
      <c r="R22" s="184"/>
      <c r="S22" s="180" t="str">
        <f t="shared" si="6"/>
        <v>001-500-000067861</v>
      </c>
      <c r="T22" s="190" t="s">
        <v>1094</v>
      </c>
      <c r="U22" s="90" t="s">
        <v>1095</v>
      </c>
    </row>
    <row r="23" spans="1:21" s="176" customFormat="1" ht="19">
      <c r="A23" s="176">
        <v>18</v>
      </c>
      <c r="B23" s="187">
        <v>45841</v>
      </c>
      <c r="C23" s="180" t="s">
        <v>1046</v>
      </c>
      <c r="D23" s="180" t="s">
        <v>1097</v>
      </c>
      <c r="E23" s="181">
        <v>40467320</v>
      </c>
      <c r="F23" s="179" t="str">
        <f t="shared" si="0"/>
        <v>C 7310 INOX CAMPANA (110V-60HZ) C/KIT</v>
      </c>
      <c r="G23" s="180" t="s">
        <v>1098</v>
      </c>
      <c r="H23" s="181" t="s">
        <v>24</v>
      </c>
      <c r="I23" s="181" t="s">
        <v>51</v>
      </c>
      <c r="J23" s="181" t="s">
        <v>52</v>
      </c>
      <c r="K23" s="188">
        <v>45863</v>
      </c>
      <c r="L23" s="189" t="s">
        <v>1100</v>
      </c>
      <c r="M23" s="189" t="s">
        <v>1101</v>
      </c>
      <c r="N23" s="180">
        <v>997377346</v>
      </c>
      <c r="O23" s="183">
        <v>20</v>
      </c>
      <c r="P23" s="181" t="s">
        <v>53</v>
      </c>
      <c r="Q23" s="181" t="s">
        <v>51</v>
      </c>
      <c r="R23" s="184"/>
      <c r="S23" s="180" t="str">
        <f t="shared" si="2"/>
        <v>001-501-000007462</v>
      </c>
      <c r="T23" s="190" t="s">
        <v>1102</v>
      </c>
      <c r="U23" s="90" t="s">
        <v>1103</v>
      </c>
    </row>
    <row r="24" spans="1:21" s="176" customFormat="1" ht="19">
      <c r="A24" s="176">
        <v>19</v>
      </c>
      <c r="B24" s="187">
        <v>45841</v>
      </c>
      <c r="C24" s="180" t="s">
        <v>1046</v>
      </c>
      <c r="D24" s="180" t="s">
        <v>1097</v>
      </c>
      <c r="E24" s="181">
        <v>112580027</v>
      </c>
      <c r="F24" s="179" t="str">
        <f t="shared" si="0"/>
        <v>GBC 75030 KBB CRISTAL COCINA GAS</v>
      </c>
      <c r="G24" s="180" t="s">
        <v>1099</v>
      </c>
      <c r="H24" s="181" t="s">
        <v>24</v>
      </c>
      <c r="I24" s="181" t="s">
        <v>51</v>
      </c>
      <c r="J24" s="181" t="s">
        <v>52</v>
      </c>
      <c r="K24" s="188">
        <v>45863</v>
      </c>
      <c r="L24" s="189" t="s">
        <v>1100</v>
      </c>
      <c r="M24" s="189" t="s">
        <v>1101</v>
      </c>
      <c r="N24" s="180">
        <v>997377346</v>
      </c>
      <c r="O24" s="183">
        <v>20</v>
      </c>
      <c r="P24" s="181" t="s">
        <v>53</v>
      </c>
      <c r="Q24" s="181" t="s">
        <v>51</v>
      </c>
      <c r="R24" s="184"/>
      <c r="S24" s="180" t="str">
        <f t="shared" ref="S24" si="7">D24</f>
        <v>001-501-000007462</v>
      </c>
      <c r="T24" s="190" t="s">
        <v>1102</v>
      </c>
      <c r="U24" s="90" t="s">
        <v>1103</v>
      </c>
    </row>
    <row r="25" spans="1:21" s="176" customFormat="1" ht="19">
      <c r="A25" s="176">
        <v>20</v>
      </c>
      <c r="B25" s="187">
        <v>45845</v>
      </c>
      <c r="C25" s="180" t="s">
        <v>1046</v>
      </c>
      <c r="D25" s="180" t="s">
        <v>1114</v>
      </c>
      <c r="E25" s="181">
        <v>41560142</v>
      </c>
      <c r="F25" s="179" t="str">
        <f t="shared" si="0"/>
        <v>HSB 635 INOX HORNO ELEC (41521810)</v>
      </c>
      <c r="G25" s="180" t="s">
        <v>1106</v>
      </c>
      <c r="H25" s="181" t="s">
        <v>24</v>
      </c>
      <c r="I25" s="181" t="s">
        <v>51</v>
      </c>
      <c r="J25" s="181" t="s">
        <v>52</v>
      </c>
      <c r="K25" s="188">
        <v>45863</v>
      </c>
      <c r="L25" s="189" t="s">
        <v>1110</v>
      </c>
      <c r="M25" s="189" t="s">
        <v>1111</v>
      </c>
      <c r="N25" s="180">
        <v>998636499</v>
      </c>
      <c r="O25" s="183">
        <v>15</v>
      </c>
      <c r="P25" s="181" t="s">
        <v>53</v>
      </c>
      <c r="Q25" s="181" t="s">
        <v>51</v>
      </c>
      <c r="R25" s="184"/>
      <c r="S25" s="180" t="str">
        <f t="shared" si="2"/>
        <v>001-500-000074819</v>
      </c>
      <c r="T25" s="190" t="s">
        <v>1112</v>
      </c>
      <c r="U25" s="90" t="s">
        <v>1113</v>
      </c>
    </row>
    <row r="26" spans="1:21" s="176" customFormat="1" ht="19">
      <c r="A26" s="176">
        <v>21</v>
      </c>
      <c r="B26" s="187">
        <v>45845</v>
      </c>
      <c r="C26" s="180" t="s">
        <v>1046</v>
      </c>
      <c r="D26" s="180" t="s">
        <v>1114</v>
      </c>
      <c r="E26" s="181">
        <v>112030008</v>
      </c>
      <c r="F26" s="179" t="str">
        <f t="shared" si="0"/>
        <v>ML 8220 BIS - MICROONDAS</v>
      </c>
      <c r="G26" s="180" t="s">
        <v>1107</v>
      </c>
      <c r="H26" s="181" t="s">
        <v>24</v>
      </c>
      <c r="I26" s="181" t="s">
        <v>51</v>
      </c>
      <c r="J26" s="181" t="s">
        <v>52</v>
      </c>
      <c r="K26" s="188">
        <v>45863</v>
      </c>
      <c r="L26" s="189" t="s">
        <v>1110</v>
      </c>
      <c r="M26" s="189" t="s">
        <v>1111</v>
      </c>
      <c r="N26" s="180">
        <v>998636499</v>
      </c>
      <c r="O26" s="183">
        <v>15</v>
      </c>
      <c r="P26" s="181" t="s">
        <v>53</v>
      </c>
      <c r="Q26" s="181" t="s">
        <v>51</v>
      </c>
      <c r="R26" s="184"/>
      <c r="S26" s="180" t="str">
        <f t="shared" ref="S26:S28" si="8">D26</f>
        <v>001-500-000074819</v>
      </c>
      <c r="T26" s="190" t="s">
        <v>1112</v>
      </c>
      <c r="U26" s="90" t="s">
        <v>1113</v>
      </c>
    </row>
    <row r="27" spans="1:21" s="176" customFormat="1" ht="19">
      <c r="A27" s="176">
        <v>22</v>
      </c>
      <c r="B27" s="187">
        <v>45845</v>
      </c>
      <c r="C27" s="180" t="s">
        <v>1046</v>
      </c>
      <c r="D27" s="180" t="s">
        <v>1114</v>
      </c>
      <c r="E27" s="181">
        <v>112570073</v>
      </c>
      <c r="F27" s="179" t="str">
        <f t="shared" si="0"/>
        <v>GZC 96310 XBB CRISTAL COCINA GAS</v>
      </c>
      <c r="G27" s="180" t="s">
        <v>1108</v>
      </c>
      <c r="H27" s="181" t="s">
        <v>24</v>
      </c>
      <c r="I27" s="181" t="s">
        <v>51</v>
      </c>
      <c r="J27" s="181" t="s">
        <v>52</v>
      </c>
      <c r="K27" s="188">
        <v>45863</v>
      </c>
      <c r="L27" s="189" t="s">
        <v>1110</v>
      </c>
      <c r="M27" s="189" t="s">
        <v>1111</v>
      </c>
      <c r="N27" s="180">
        <v>998636499</v>
      </c>
      <c r="O27" s="183">
        <v>15</v>
      </c>
      <c r="P27" s="181" t="s">
        <v>53</v>
      </c>
      <c r="Q27" s="181" t="s">
        <v>51</v>
      </c>
      <c r="R27" s="184"/>
      <c r="S27" s="180" t="str">
        <f t="shared" si="8"/>
        <v>001-500-000074819</v>
      </c>
      <c r="T27" s="190" t="s">
        <v>1112</v>
      </c>
      <c r="U27" s="90" t="s">
        <v>1113</v>
      </c>
    </row>
    <row r="28" spans="1:21" s="176" customFormat="1" ht="19">
      <c r="A28" s="176">
        <v>23</v>
      </c>
      <c r="B28" s="187">
        <v>45846</v>
      </c>
      <c r="C28" s="180" t="s">
        <v>1104</v>
      </c>
      <c r="D28" s="180" t="s">
        <v>1105</v>
      </c>
      <c r="E28" s="181">
        <v>40483182</v>
      </c>
      <c r="F28" s="179" t="str">
        <f t="shared" si="0"/>
        <v>CUERPO DPL ISLA 1180</v>
      </c>
      <c r="G28" s="180" t="s">
        <v>1109</v>
      </c>
      <c r="H28" s="181" t="s">
        <v>24</v>
      </c>
      <c r="I28" s="181" t="s">
        <v>51</v>
      </c>
      <c r="J28" s="181" t="s">
        <v>52</v>
      </c>
      <c r="K28" s="188">
        <v>45863</v>
      </c>
      <c r="L28" s="189" t="s">
        <v>1110</v>
      </c>
      <c r="M28" s="189" t="s">
        <v>1111</v>
      </c>
      <c r="N28" s="180">
        <v>998636499</v>
      </c>
      <c r="O28" s="183">
        <v>30</v>
      </c>
      <c r="P28" s="181" t="s">
        <v>53</v>
      </c>
      <c r="Q28" s="181" t="s">
        <v>51</v>
      </c>
      <c r="R28" s="184"/>
      <c r="S28" s="180" t="str">
        <f t="shared" si="8"/>
        <v>001-001-000001076</v>
      </c>
      <c r="T28" s="190" t="s">
        <v>1112</v>
      </c>
      <c r="U28" s="90" t="s">
        <v>1113</v>
      </c>
    </row>
    <row r="29" spans="1:21" s="176" customFormat="1" ht="19">
      <c r="A29" s="176">
        <v>24</v>
      </c>
      <c r="B29" s="187">
        <v>45622</v>
      </c>
      <c r="C29" s="180" t="s">
        <v>1172</v>
      </c>
      <c r="D29" s="180" t="s">
        <v>1223</v>
      </c>
      <c r="E29" s="181">
        <v>40297052</v>
      </c>
      <c r="F29" s="179" t="str">
        <f t="shared" si="0"/>
        <v>COCINA A GAS FS3RL966GGX</v>
      </c>
      <c r="G29" s="180" t="s">
        <v>1115</v>
      </c>
      <c r="H29" s="181" t="s">
        <v>24</v>
      </c>
      <c r="I29" s="181" t="s">
        <v>51</v>
      </c>
      <c r="J29" s="181" t="s">
        <v>52</v>
      </c>
      <c r="K29" s="188">
        <v>45866</v>
      </c>
      <c r="L29" s="189" t="s">
        <v>1119</v>
      </c>
      <c r="M29" s="189" t="s">
        <v>1076</v>
      </c>
      <c r="N29" s="180">
        <v>998823465</v>
      </c>
      <c r="O29" s="183">
        <v>15</v>
      </c>
      <c r="P29" s="181" t="s">
        <v>53</v>
      </c>
      <c r="Q29" s="181" t="s">
        <v>51</v>
      </c>
      <c r="R29" s="184"/>
      <c r="S29" s="180" t="str">
        <f t="shared" si="2"/>
        <v>040-101-000000490</v>
      </c>
      <c r="T29" s="185">
        <v>301639735</v>
      </c>
      <c r="U29" s="90" t="s">
        <v>1120</v>
      </c>
    </row>
    <row r="30" spans="1:21" s="176" customFormat="1" ht="19">
      <c r="A30" s="176">
        <v>25</v>
      </c>
      <c r="B30" s="187">
        <v>45622</v>
      </c>
      <c r="C30" s="180" t="s">
        <v>1172</v>
      </c>
      <c r="D30" s="180" t="s">
        <v>1223</v>
      </c>
      <c r="E30" s="181">
        <v>113430018</v>
      </c>
      <c r="F30" s="179" t="str">
        <f t="shared" si="0"/>
        <v>RLF 74920 SS SBS REFRIGERADORA</v>
      </c>
      <c r="G30" s="180" t="s">
        <v>1116</v>
      </c>
      <c r="H30" s="181" t="s">
        <v>24</v>
      </c>
      <c r="I30" s="181" t="s">
        <v>51</v>
      </c>
      <c r="J30" s="181" t="s">
        <v>52</v>
      </c>
      <c r="K30" s="188">
        <v>45866</v>
      </c>
      <c r="L30" s="189" t="s">
        <v>1119</v>
      </c>
      <c r="M30" s="189" t="s">
        <v>1076</v>
      </c>
      <c r="N30" s="180">
        <v>998823465</v>
      </c>
      <c r="O30" s="183">
        <v>15</v>
      </c>
      <c r="P30" s="181" t="s">
        <v>53</v>
      </c>
      <c r="Q30" s="181" t="s">
        <v>51</v>
      </c>
      <c r="R30" s="184"/>
      <c r="S30" s="180" t="str">
        <f t="shared" ref="S30:S32" si="9">D30</f>
        <v>040-101-000000490</v>
      </c>
      <c r="T30" s="185">
        <v>301639735</v>
      </c>
      <c r="U30" s="90" t="s">
        <v>1120</v>
      </c>
    </row>
    <row r="31" spans="1:21" s="176" customFormat="1" ht="19">
      <c r="A31" s="176">
        <v>26</v>
      </c>
      <c r="B31" s="187">
        <v>45622</v>
      </c>
      <c r="C31" s="180" t="s">
        <v>1172</v>
      </c>
      <c r="D31" s="180" t="s">
        <v>1223</v>
      </c>
      <c r="E31" s="181">
        <v>111010028</v>
      </c>
      <c r="F31" s="179" t="str">
        <f t="shared" si="0"/>
        <v>HSB 646 "AIRFRY" - HORNO ELEC</v>
      </c>
      <c r="G31" s="180" t="s">
        <v>1117</v>
      </c>
      <c r="H31" s="181" t="s">
        <v>24</v>
      </c>
      <c r="I31" s="181" t="s">
        <v>51</v>
      </c>
      <c r="J31" s="181" t="s">
        <v>52</v>
      </c>
      <c r="K31" s="188">
        <v>45866</v>
      </c>
      <c r="L31" s="189" t="s">
        <v>1119</v>
      </c>
      <c r="M31" s="189" t="s">
        <v>1076</v>
      </c>
      <c r="N31" s="180">
        <v>998823465</v>
      </c>
      <c r="O31" s="183">
        <v>15</v>
      </c>
      <c r="P31" s="181" t="s">
        <v>53</v>
      </c>
      <c r="Q31" s="181" t="s">
        <v>51</v>
      </c>
      <c r="R31" s="184"/>
      <c r="S31" s="180" t="str">
        <f t="shared" si="9"/>
        <v>040-101-000000490</v>
      </c>
      <c r="T31" s="185">
        <v>301639735</v>
      </c>
      <c r="U31" s="90" t="s">
        <v>1120</v>
      </c>
    </row>
    <row r="32" spans="1:21" s="176" customFormat="1" ht="19">
      <c r="A32" s="176">
        <v>27</v>
      </c>
      <c r="B32" s="187">
        <v>45667</v>
      </c>
      <c r="C32" s="180" t="s">
        <v>1061</v>
      </c>
      <c r="D32" s="180" t="s">
        <v>1125</v>
      </c>
      <c r="E32" s="181">
        <v>40584105</v>
      </c>
      <c r="F32" s="179" t="str">
        <f t="shared" si="0"/>
        <v>MS 622 BIS - MICROONDAS</v>
      </c>
      <c r="G32" s="180" t="s">
        <v>1118</v>
      </c>
      <c r="H32" s="181" t="s">
        <v>24</v>
      </c>
      <c r="I32" s="181" t="s">
        <v>51</v>
      </c>
      <c r="J32" s="181" t="s">
        <v>52</v>
      </c>
      <c r="K32" s="188">
        <v>45866</v>
      </c>
      <c r="L32" s="189" t="s">
        <v>1119</v>
      </c>
      <c r="M32" s="189" t="s">
        <v>1076</v>
      </c>
      <c r="N32" s="180">
        <v>998823465</v>
      </c>
      <c r="O32" s="183">
        <v>15</v>
      </c>
      <c r="P32" s="181" t="s">
        <v>53</v>
      </c>
      <c r="Q32" s="181" t="s">
        <v>51</v>
      </c>
      <c r="R32" s="184"/>
      <c r="S32" s="180" t="str">
        <f t="shared" si="9"/>
        <v>017-901-000109951</v>
      </c>
      <c r="T32" s="185">
        <v>301639735</v>
      </c>
      <c r="U32" s="90" t="s">
        <v>1120</v>
      </c>
    </row>
    <row r="33" spans="1:21" s="176" customFormat="1" ht="19">
      <c r="A33" s="176">
        <v>28</v>
      </c>
      <c r="B33" s="187">
        <v>45731</v>
      </c>
      <c r="C33" s="180" t="s">
        <v>1046</v>
      </c>
      <c r="D33" s="180" t="s">
        <v>1224</v>
      </c>
      <c r="E33" s="115">
        <v>112570128</v>
      </c>
      <c r="F33" s="179" t="str">
        <f t="shared" si="0"/>
        <v>JZC 96342 BBB BK (LAT) COCINA MIXTA GAS - INDUCCION</v>
      </c>
      <c r="G33" s="180" t="s">
        <v>1225</v>
      </c>
      <c r="H33" s="181" t="s">
        <v>24</v>
      </c>
      <c r="I33" s="181" t="s">
        <v>51</v>
      </c>
      <c r="J33" s="181" t="s">
        <v>52</v>
      </c>
      <c r="K33" s="188">
        <v>45866</v>
      </c>
      <c r="L33" s="189" t="s">
        <v>1228</v>
      </c>
      <c r="M33" s="189" t="s">
        <v>1229</v>
      </c>
      <c r="N33" s="180">
        <v>991095384</v>
      </c>
      <c r="O33" s="183">
        <v>15</v>
      </c>
      <c r="P33" s="181" t="s">
        <v>53</v>
      </c>
      <c r="Q33" s="181" t="s">
        <v>51</v>
      </c>
      <c r="R33" s="184"/>
      <c r="S33" s="180" t="str">
        <f t="shared" si="2"/>
        <v>001-500-000071654</v>
      </c>
      <c r="T33" s="185">
        <v>104934518</v>
      </c>
      <c r="U33" s="186" t="s">
        <v>1230</v>
      </c>
    </row>
    <row r="34" spans="1:21" s="176" customFormat="1" ht="19">
      <c r="A34" s="176">
        <v>29</v>
      </c>
      <c r="B34" s="187">
        <v>45731</v>
      </c>
      <c r="C34" s="180" t="s">
        <v>1046</v>
      </c>
      <c r="D34" s="180" t="s">
        <v>1224</v>
      </c>
      <c r="E34" s="181">
        <v>111000078</v>
      </c>
      <c r="F34" s="179" t="str">
        <f t="shared" si="0"/>
        <v>HLB 8400 FBK HORNO ELEC</v>
      </c>
      <c r="G34" s="180" t="s">
        <v>1226</v>
      </c>
      <c r="H34" s="181" t="s">
        <v>24</v>
      </c>
      <c r="I34" s="181" t="s">
        <v>51</v>
      </c>
      <c r="J34" s="181" t="s">
        <v>52</v>
      </c>
      <c r="K34" s="188">
        <v>45866</v>
      </c>
      <c r="L34" s="189" t="s">
        <v>1228</v>
      </c>
      <c r="M34" s="189" t="s">
        <v>1229</v>
      </c>
      <c r="N34" s="180">
        <v>991095384</v>
      </c>
      <c r="O34" s="183">
        <v>15</v>
      </c>
      <c r="P34" s="181" t="s">
        <v>53</v>
      </c>
      <c r="Q34" s="181" t="s">
        <v>51</v>
      </c>
      <c r="R34" s="184"/>
      <c r="S34" s="180" t="str">
        <f t="shared" ref="S34" si="10">D34</f>
        <v>001-500-000071654</v>
      </c>
      <c r="T34" s="185">
        <v>104934518</v>
      </c>
      <c r="U34" s="186" t="s">
        <v>1230</v>
      </c>
    </row>
    <row r="35" spans="1:21" s="176" customFormat="1" ht="19">
      <c r="A35" s="176">
        <v>30</v>
      </c>
      <c r="B35" s="187">
        <v>45731</v>
      </c>
      <c r="C35" s="180" t="s">
        <v>1046</v>
      </c>
      <c r="D35" s="180" t="s">
        <v>1224</v>
      </c>
      <c r="E35" s="181">
        <v>112030008</v>
      </c>
      <c r="F35" s="179" t="str">
        <f t="shared" si="0"/>
        <v>ML 8220 BIS - MICROONDAS</v>
      </c>
      <c r="G35" s="180" t="s">
        <v>1227</v>
      </c>
      <c r="H35" s="181" t="s">
        <v>24</v>
      </c>
      <c r="I35" s="181" t="s">
        <v>51</v>
      </c>
      <c r="J35" s="181" t="s">
        <v>52</v>
      </c>
      <c r="K35" s="188">
        <v>45866</v>
      </c>
      <c r="L35" s="189" t="s">
        <v>1228</v>
      </c>
      <c r="M35" s="189" t="s">
        <v>1229</v>
      </c>
      <c r="N35" s="180">
        <v>991095384</v>
      </c>
      <c r="O35" s="183">
        <v>15</v>
      </c>
      <c r="P35" s="181" t="s">
        <v>53</v>
      </c>
      <c r="Q35" s="181" t="s">
        <v>51</v>
      </c>
      <c r="R35" s="184"/>
      <c r="S35" s="180" t="str">
        <f t="shared" ref="S35" si="11">D35</f>
        <v>001-500-000071654</v>
      </c>
      <c r="T35" s="185">
        <v>104934518</v>
      </c>
      <c r="U35" s="186" t="s">
        <v>1230</v>
      </c>
    </row>
    <row r="36" spans="1:21" s="176" customFormat="1" ht="19">
      <c r="A36" s="176">
        <v>31</v>
      </c>
      <c r="B36" s="187">
        <v>45763</v>
      </c>
      <c r="C36" s="180" t="s">
        <v>1231</v>
      </c>
      <c r="D36" s="180" t="s">
        <v>1232</v>
      </c>
      <c r="E36" s="181">
        <v>40466111</v>
      </c>
      <c r="F36" s="179" t="str">
        <f t="shared" si="0"/>
        <v>C 910 NEGRA CAMPANA (110V-60HZ) C/KIT</v>
      </c>
      <c r="G36" s="180" t="s">
        <v>1233</v>
      </c>
      <c r="H36" s="181" t="s">
        <v>24</v>
      </c>
      <c r="I36" s="181" t="s">
        <v>51</v>
      </c>
      <c r="J36" s="181" t="s">
        <v>52</v>
      </c>
      <c r="K36" s="188">
        <v>45866</v>
      </c>
      <c r="L36" s="189" t="s">
        <v>1231</v>
      </c>
      <c r="M36" s="189" t="s">
        <v>1236</v>
      </c>
      <c r="N36" s="180">
        <v>978319576</v>
      </c>
      <c r="O36" s="183">
        <v>15</v>
      </c>
      <c r="P36" s="181" t="s">
        <v>53</v>
      </c>
      <c r="Q36" s="181" t="s">
        <v>51</v>
      </c>
      <c r="R36" s="184"/>
      <c r="S36" s="180" t="str">
        <f t="shared" si="2"/>
        <v>001-500-000072489</v>
      </c>
      <c r="T36" s="185">
        <v>106265895</v>
      </c>
      <c r="U36" s="90" t="s">
        <v>1237</v>
      </c>
    </row>
    <row r="37" spans="1:21" s="176" customFormat="1" ht="19">
      <c r="A37" s="176">
        <v>32</v>
      </c>
      <c r="B37" s="187">
        <v>45763</v>
      </c>
      <c r="C37" s="180" t="s">
        <v>1231</v>
      </c>
      <c r="D37" s="180" t="s">
        <v>1232</v>
      </c>
      <c r="E37" s="181">
        <v>111020071</v>
      </c>
      <c r="F37" s="179" t="str">
        <f t="shared" si="0"/>
        <v>HBB 510 BK 220-240  50/60 HORNO ELEC</v>
      </c>
      <c r="G37" s="180" t="s">
        <v>1234</v>
      </c>
      <c r="H37" s="181" t="s">
        <v>24</v>
      </c>
      <c r="I37" s="181" t="s">
        <v>51</v>
      </c>
      <c r="J37" s="181" t="s">
        <v>52</v>
      </c>
      <c r="K37" s="188">
        <v>45866</v>
      </c>
      <c r="L37" s="189" t="s">
        <v>1231</v>
      </c>
      <c r="M37" s="189" t="s">
        <v>1236</v>
      </c>
      <c r="N37" s="180">
        <v>978319576</v>
      </c>
      <c r="O37" s="183">
        <v>15</v>
      </c>
      <c r="P37" s="181" t="s">
        <v>53</v>
      </c>
      <c r="Q37" s="181" t="s">
        <v>51</v>
      </c>
      <c r="R37" s="184"/>
      <c r="S37" s="180" t="str">
        <f t="shared" ref="S37:S38" si="12">D37</f>
        <v>001-500-000072489</v>
      </c>
      <c r="T37" s="185">
        <v>106265895</v>
      </c>
      <c r="U37" s="90" t="s">
        <v>1237</v>
      </c>
    </row>
    <row r="38" spans="1:21" s="176" customFormat="1" ht="19">
      <c r="A38" s="176">
        <v>33</v>
      </c>
      <c r="B38" s="187">
        <v>45763</v>
      </c>
      <c r="C38" s="180" t="s">
        <v>1231</v>
      </c>
      <c r="D38" s="180" t="s">
        <v>1232</v>
      </c>
      <c r="E38" s="181">
        <v>112580058</v>
      </c>
      <c r="F38" s="179" t="str">
        <f t="shared" si="0"/>
        <v>GBC 95030 KBB BK COCINA GAS</v>
      </c>
      <c r="G38" s="180" t="s">
        <v>1235</v>
      </c>
      <c r="H38" s="181" t="s">
        <v>24</v>
      </c>
      <c r="I38" s="181" t="s">
        <v>51</v>
      </c>
      <c r="J38" s="181" t="s">
        <v>52</v>
      </c>
      <c r="K38" s="188">
        <v>45866</v>
      </c>
      <c r="L38" s="189" t="s">
        <v>1231</v>
      </c>
      <c r="M38" s="189" t="s">
        <v>1236</v>
      </c>
      <c r="N38" s="180">
        <v>978319576</v>
      </c>
      <c r="O38" s="183">
        <v>15</v>
      </c>
      <c r="P38" s="181" t="s">
        <v>53</v>
      </c>
      <c r="Q38" s="181" t="s">
        <v>51</v>
      </c>
      <c r="R38" s="184"/>
      <c r="S38" s="180" t="str">
        <f t="shared" si="12"/>
        <v>001-500-000072489</v>
      </c>
      <c r="T38" s="185">
        <v>106265895</v>
      </c>
      <c r="U38" s="90" t="s">
        <v>1237</v>
      </c>
    </row>
    <row r="39" spans="1:21" s="176" customFormat="1" ht="19">
      <c r="A39" s="176">
        <v>34</v>
      </c>
      <c r="B39" s="187">
        <v>45863</v>
      </c>
      <c r="C39" s="180" t="s">
        <v>1216</v>
      </c>
      <c r="D39" s="180" t="s">
        <v>1238</v>
      </c>
      <c r="E39" s="181">
        <v>112580017</v>
      </c>
      <c r="F39" s="179" t="str">
        <f t="shared" si="0"/>
        <v>GBC 64000 KBB CRISTAL COCINA GAS</v>
      </c>
      <c r="G39" s="180" t="s">
        <v>1239</v>
      </c>
      <c r="H39" s="181" t="s">
        <v>24</v>
      </c>
      <c r="I39" s="181" t="s">
        <v>51</v>
      </c>
      <c r="J39" s="181" t="s">
        <v>52</v>
      </c>
      <c r="K39" s="188">
        <v>45867</v>
      </c>
      <c r="L39" s="189" t="s">
        <v>1241</v>
      </c>
      <c r="M39" s="189" t="s">
        <v>1242</v>
      </c>
      <c r="N39" s="180">
        <v>967604796</v>
      </c>
      <c r="O39" s="183">
        <v>20</v>
      </c>
      <c r="P39" s="181" t="s">
        <v>53</v>
      </c>
      <c r="Q39" s="181" t="s">
        <v>51</v>
      </c>
      <c r="R39" s="184"/>
      <c r="S39" s="180" t="str">
        <f t="shared" si="2"/>
        <v>040-103-000014992</v>
      </c>
      <c r="T39" s="185">
        <v>1034114371</v>
      </c>
      <c r="U39" s="90" t="s">
        <v>1243</v>
      </c>
    </row>
    <row r="40" spans="1:21" s="176" customFormat="1" ht="19">
      <c r="A40" s="176">
        <v>35</v>
      </c>
      <c r="B40" s="187">
        <v>45863</v>
      </c>
      <c r="C40" s="180" t="s">
        <v>1216</v>
      </c>
      <c r="D40" s="180" t="s">
        <v>1238</v>
      </c>
      <c r="E40" s="181">
        <v>111020071</v>
      </c>
      <c r="F40" s="179" t="str">
        <f t="shared" si="0"/>
        <v>HBB 510 BK 220-240  50/60 HORNO ELEC</v>
      </c>
      <c r="G40" s="180" t="s">
        <v>1240</v>
      </c>
      <c r="H40" s="181" t="s">
        <v>24</v>
      </c>
      <c r="I40" s="181" t="s">
        <v>51</v>
      </c>
      <c r="J40" s="181" t="s">
        <v>52</v>
      </c>
      <c r="K40" s="188">
        <v>45867</v>
      </c>
      <c r="L40" s="189" t="s">
        <v>1241</v>
      </c>
      <c r="M40" s="189" t="s">
        <v>1242</v>
      </c>
      <c r="N40" s="180">
        <v>967604796</v>
      </c>
      <c r="O40" s="183">
        <v>20</v>
      </c>
      <c r="P40" s="181" t="s">
        <v>53</v>
      </c>
      <c r="Q40" s="181" t="s">
        <v>51</v>
      </c>
      <c r="R40" s="184"/>
      <c r="S40" s="180" t="str">
        <f t="shared" ref="S40" si="13">D40</f>
        <v>040-103-000014992</v>
      </c>
      <c r="T40" s="185">
        <v>1034114371</v>
      </c>
      <c r="U40" s="90" t="s">
        <v>1243</v>
      </c>
    </row>
    <row r="41" spans="1:21" s="176" customFormat="1" ht="19">
      <c r="A41" s="176">
        <v>36</v>
      </c>
      <c r="B41" s="187">
        <v>45814</v>
      </c>
      <c r="C41" s="180" t="s">
        <v>1244</v>
      </c>
      <c r="D41" s="180" t="s">
        <v>1245</v>
      </c>
      <c r="E41" s="181">
        <v>112580058</v>
      </c>
      <c r="F41" s="179" t="str">
        <f t="shared" si="0"/>
        <v>GBC 95030 KBB BK COCINA GAS</v>
      </c>
      <c r="G41" s="180" t="s">
        <v>1246</v>
      </c>
      <c r="H41" s="181" t="s">
        <v>24</v>
      </c>
      <c r="I41" s="181" t="s">
        <v>51</v>
      </c>
      <c r="J41" s="181" t="s">
        <v>52</v>
      </c>
      <c r="K41" s="188">
        <v>45868</v>
      </c>
      <c r="L41" s="189" t="s">
        <v>1247</v>
      </c>
      <c r="M41" s="189" t="s">
        <v>1248</v>
      </c>
      <c r="N41" s="180">
        <v>991703653</v>
      </c>
      <c r="O41" s="183">
        <v>20</v>
      </c>
      <c r="P41" s="181" t="s">
        <v>53</v>
      </c>
      <c r="Q41" s="181" t="s">
        <v>51</v>
      </c>
      <c r="R41" s="184"/>
      <c r="S41" s="180" t="str">
        <f>D42</f>
        <v>002-201-000011122</v>
      </c>
      <c r="T41" s="185">
        <v>105036396</v>
      </c>
      <c r="U41" s="90" t="s">
        <v>1249</v>
      </c>
    </row>
    <row r="42" spans="1:21" s="176" customFormat="1" ht="19">
      <c r="A42" s="176">
        <v>37</v>
      </c>
      <c r="B42" s="187">
        <v>45814</v>
      </c>
      <c r="C42" s="180" t="s">
        <v>1244</v>
      </c>
      <c r="D42" s="180" t="s">
        <v>1245</v>
      </c>
      <c r="E42" s="181">
        <v>40466111</v>
      </c>
      <c r="F42" s="179" t="str">
        <f t="shared" si="0"/>
        <v>C 910 NEGRA CAMPANA (110V-60HZ) C/KIT</v>
      </c>
      <c r="G42" s="180" t="s">
        <v>1250</v>
      </c>
      <c r="H42" s="181" t="s">
        <v>24</v>
      </c>
      <c r="I42" s="181" t="s">
        <v>51</v>
      </c>
      <c r="J42" s="181" t="s">
        <v>52</v>
      </c>
      <c r="K42" s="188">
        <v>45868</v>
      </c>
      <c r="L42" s="189" t="s">
        <v>1247</v>
      </c>
      <c r="M42" s="189" t="s">
        <v>1248</v>
      </c>
      <c r="N42" s="180">
        <v>991703653</v>
      </c>
      <c r="O42" s="183">
        <v>20</v>
      </c>
      <c r="P42" s="181" t="s">
        <v>53</v>
      </c>
      <c r="Q42" s="181" t="s">
        <v>51</v>
      </c>
      <c r="R42" s="184"/>
      <c r="S42" s="180" t="str">
        <f>D43</f>
        <v>016-902-000516620</v>
      </c>
      <c r="T42" s="185">
        <v>105036396</v>
      </c>
      <c r="U42" s="90" t="s">
        <v>1249</v>
      </c>
    </row>
    <row r="43" spans="1:21" s="176" customFormat="1" ht="19">
      <c r="A43" s="176">
        <v>38</v>
      </c>
      <c r="B43" s="187">
        <v>45848</v>
      </c>
      <c r="C43" s="180" t="s">
        <v>1061</v>
      </c>
      <c r="D43" s="180" t="s">
        <v>1251</v>
      </c>
      <c r="E43" s="181">
        <v>112570128</v>
      </c>
      <c r="F43" s="179" t="str">
        <f t="shared" si="0"/>
        <v>JZC 96342 BBB BK (LAT) COCINA MIXTA GAS - INDUCCION</v>
      </c>
      <c r="G43" s="180" t="s">
        <v>1252</v>
      </c>
      <c r="H43" s="181" t="s">
        <v>24</v>
      </c>
      <c r="I43" s="181" t="s">
        <v>51</v>
      </c>
      <c r="J43" s="181" t="s">
        <v>52</v>
      </c>
      <c r="K43" s="188">
        <v>45868</v>
      </c>
      <c r="L43" s="189" t="s">
        <v>1254</v>
      </c>
      <c r="M43" s="189" t="s">
        <v>1255</v>
      </c>
      <c r="N43" s="180">
        <v>939445052</v>
      </c>
      <c r="O43" s="183">
        <v>20</v>
      </c>
      <c r="P43" s="181" t="s">
        <v>53</v>
      </c>
      <c r="Q43" s="181" t="s">
        <v>51</v>
      </c>
      <c r="R43" s="184"/>
      <c r="S43" s="180" t="str">
        <f t="shared" si="2"/>
        <v>016-902-000516620</v>
      </c>
      <c r="T43" s="185">
        <v>101468403</v>
      </c>
      <c r="U43" s="90" t="s">
        <v>1256</v>
      </c>
    </row>
    <row r="44" spans="1:21" s="176" customFormat="1" ht="19">
      <c r="A44" s="176">
        <v>39</v>
      </c>
      <c r="B44" s="187">
        <v>45848</v>
      </c>
      <c r="C44" s="180" t="s">
        <v>1061</v>
      </c>
      <c r="D44" s="180" t="s">
        <v>1251</v>
      </c>
      <c r="E44" s="181">
        <v>112950021</v>
      </c>
      <c r="F44" s="179" t="str">
        <f t="shared" si="0"/>
        <v>DVN 94030 TCL BK CAMPANA (110V-60HZ) C/KIT</v>
      </c>
      <c r="G44" s="180" t="s">
        <v>1253</v>
      </c>
      <c r="H44" s="181" t="s">
        <v>24</v>
      </c>
      <c r="I44" s="181" t="s">
        <v>51</v>
      </c>
      <c r="J44" s="181" t="s">
        <v>52</v>
      </c>
      <c r="K44" s="188">
        <v>45868</v>
      </c>
      <c r="L44" s="189" t="s">
        <v>1254</v>
      </c>
      <c r="M44" s="189" t="s">
        <v>1255</v>
      </c>
      <c r="N44" s="180">
        <v>939445052</v>
      </c>
      <c r="O44" s="183">
        <v>20</v>
      </c>
      <c r="P44" s="181" t="s">
        <v>53</v>
      </c>
      <c r="Q44" s="181" t="s">
        <v>51</v>
      </c>
      <c r="R44" s="184"/>
      <c r="S44" s="180" t="str">
        <f t="shared" ref="S44" si="14">D44</f>
        <v>016-902-000516620</v>
      </c>
      <c r="T44" s="185">
        <v>101468403</v>
      </c>
      <c r="U44" s="90" t="s">
        <v>1256</v>
      </c>
    </row>
    <row r="45" spans="1:21" s="176" customFormat="1" ht="19">
      <c r="A45" s="176">
        <v>40</v>
      </c>
      <c r="B45" s="187">
        <v>45780</v>
      </c>
      <c r="C45" s="180" t="s">
        <v>1046</v>
      </c>
      <c r="D45" s="180" t="s">
        <v>1257</v>
      </c>
      <c r="E45" s="181">
        <v>112950021</v>
      </c>
      <c r="F45" s="179" t="str">
        <f t="shared" si="0"/>
        <v>DVN 94030 TCL BK CAMPANA (110V-60HZ) C/KIT</v>
      </c>
      <c r="G45" s="180" t="s">
        <v>1258</v>
      </c>
      <c r="H45" s="181" t="s">
        <v>24</v>
      </c>
      <c r="I45" s="181" t="s">
        <v>51</v>
      </c>
      <c r="J45" s="181" t="s">
        <v>52</v>
      </c>
      <c r="K45" s="188">
        <v>45869</v>
      </c>
      <c r="L45" s="189" t="s">
        <v>1262</v>
      </c>
      <c r="M45" s="189" t="s">
        <v>1263</v>
      </c>
      <c r="N45" s="180">
        <v>999777047</v>
      </c>
      <c r="O45" s="183">
        <v>15</v>
      </c>
      <c r="P45" s="181" t="s">
        <v>53</v>
      </c>
      <c r="Q45" s="181" t="s">
        <v>51</v>
      </c>
      <c r="R45" s="184"/>
      <c r="S45" s="180" t="str">
        <f t="shared" si="2"/>
        <v>001-500-000073008</v>
      </c>
      <c r="T45" s="185">
        <v>104380910</v>
      </c>
      <c r="U45" s="90" t="s">
        <v>1264</v>
      </c>
    </row>
    <row r="46" spans="1:21" s="176" customFormat="1" ht="19">
      <c r="A46" s="176">
        <v>41</v>
      </c>
      <c r="B46" s="187">
        <v>45780</v>
      </c>
      <c r="C46" s="180" t="s">
        <v>1046</v>
      </c>
      <c r="D46" s="180" t="s">
        <v>1257</v>
      </c>
      <c r="E46" s="181">
        <v>112580058</v>
      </c>
      <c r="F46" s="179" t="str">
        <f t="shared" si="0"/>
        <v>GBC 95030 KBB BK COCINA GAS</v>
      </c>
      <c r="G46" s="180" t="s">
        <v>1259</v>
      </c>
      <c r="H46" s="181" t="s">
        <v>24</v>
      </c>
      <c r="I46" s="181" t="s">
        <v>51</v>
      </c>
      <c r="J46" s="181" t="s">
        <v>52</v>
      </c>
      <c r="K46" s="188">
        <v>45869</v>
      </c>
      <c r="L46" s="189" t="s">
        <v>1262</v>
      </c>
      <c r="M46" s="189" t="s">
        <v>1263</v>
      </c>
      <c r="N46" s="180">
        <v>999777047</v>
      </c>
      <c r="O46" s="183">
        <v>15</v>
      </c>
      <c r="P46" s="181" t="s">
        <v>53</v>
      </c>
      <c r="Q46" s="181" t="s">
        <v>51</v>
      </c>
      <c r="R46" s="184"/>
      <c r="S46" s="180" t="str">
        <f t="shared" ref="S46:S48" si="15">D46</f>
        <v>001-500-000073008</v>
      </c>
      <c r="T46" s="185">
        <v>104380910</v>
      </c>
      <c r="U46" s="90" t="s">
        <v>1264</v>
      </c>
    </row>
    <row r="47" spans="1:21" s="176" customFormat="1" ht="19">
      <c r="A47" s="176">
        <v>42</v>
      </c>
      <c r="B47" s="187">
        <v>45780</v>
      </c>
      <c r="C47" s="180" t="s">
        <v>1046</v>
      </c>
      <c r="D47" s="180" t="s">
        <v>1257</v>
      </c>
      <c r="E47" s="181">
        <v>112030008</v>
      </c>
      <c r="F47" s="179" t="str">
        <f t="shared" si="0"/>
        <v>ML 8220 BIS - MICROONDAS</v>
      </c>
      <c r="G47" s="180" t="s">
        <v>1260</v>
      </c>
      <c r="H47" s="181" t="s">
        <v>24</v>
      </c>
      <c r="I47" s="181" t="s">
        <v>51</v>
      </c>
      <c r="J47" s="181" t="s">
        <v>52</v>
      </c>
      <c r="K47" s="188">
        <v>45869</v>
      </c>
      <c r="L47" s="189" t="s">
        <v>1262</v>
      </c>
      <c r="M47" s="189" t="s">
        <v>1263</v>
      </c>
      <c r="N47" s="180">
        <v>999777047</v>
      </c>
      <c r="O47" s="183">
        <v>15</v>
      </c>
      <c r="P47" s="181" t="s">
        <v>53</v>
      </c>
      <c r="Q47" s="181" t="s">
        <v>51</v>
      </c>
      <c r="R47" s="184"/>
      <c r="S47" s="180" t="str">
        <f t="shared" si="15"/>
        <v>001-500-000073008</v>
      </c>
      <c r="T47" s="185">
        <v>104380910</v>
      </c>
      <c r="U47" s="90" t="s">
        <v>1264</v>
      </c>
    </row>
    <row r="48" spans="1:21" s="176" customFormat="1" ht="19">
      <c r="A48" s="176">
        <v>43</v>
      </c>
      <c r="B48" s="187">
        <v>45780</v>
      </c>
      <c r="C48" s="180" t="s">
        <v>1046</v>
      </c>
      <c r="D48" s="180" t="s">
        <v>1257</v>
      </c>
      <c r="E48" s="181">
        <v>111000051</v>
      </c>
      <c r="F48" s="179" t="str">
        <f t="shared" si="0"/>
        <v>HLB 8416 "AIR FRY" - HORNO ELEC</v>
      </c>
      <c r="G48" s="180" t="s">
        <v>1261</v>
      </c>
      <c r="H48" s="181" t="s">
        <v>24</v>
      </c>
      <c r="I48" s="181" t="s">
        <v>51</v>
      </c>
      <c r="J48" s="181" t="s">
        <v>52</v>
      </c>
      <c r="K48" s="188">
        <v>45869</v>
      </c>
      <c r="L48" s="189" t="s">
        <v>1262</v>
      </c>
      <c r="M48" s="189" t="s">
        <v>1263</v>
      </c>
      <c r="N48" s="180">
        <v>999777047</v>
      </c>
      <c r="O48" s="183">
        <v>15</v>
      </c>
      <c r="P48" s="181" t="s">
        <v>53</v>
      </c>
      <c r="Q48" s="181" t="s">
        <v>51</v>
      </c>
      <c r="R48" s="184"/>
      <c r="S48" s="180" t="str">
        <f t="shared" si="15"/>
        <v>001-500-000073008</v>
      </c>
      <c r="T48" s="185">
        <v>104380910</v>
      </c>
      <c r="U48" s="90" t="s">
        <v>1264</v>
      </c>
    </row>
    <row r="49" spans="1:21" s="176" customFormat="1" ht="19">
      <c r="A49" s="176">
        <v>44</v>
      </c>
      <c r="B49" s="187">
        <v>45862</v>
      </c>
      <c r="C49" s="180" t="s">
        <v>1061</v>
      </c>
      <c r="D49" s="180" t="s">
        <v>1265</v>
      </c>
      <c r="E49" s="181">
        <v>40466241</v>
      </c>
      <c r="F49" s="179" t="str">
        <f t="shared" si="0"/>
        <v>C 9310 INOX CAMPANA (110V-60HZ) C/KIT</v>
      </c>
      <c r="G49" s="180" t="s">
        <v>1266</v>
      </c>
      <c r="H49" s="181" t="s">
        <v>24</v>
      </c>
      <c r="I49" s="181" t="s">
        <v>51</v>
      </c>
      <c r="J49" s="181" t="s">
        <v>52</v>
      </c>
      <c r="K49" s="188">
        <v>45870</v>
      </c>
      <c r="L49" s="189" t="s">
        <v>1268</v>
      </c>
      <c r="M49" s="189" t="s">
        <v>1269</v>
      </c>
      <c r="N49" s="180">
        <v>999357222</v>
      </c>
      <c r="O49" s="183">
        <v>20</v>
      </c>
      <c r="P49" s="181" t="s">
        <v>53</v>
      </c>
      <c r="Q49" s="181" t="s">
        <v>51</v>
      </c>
      <c r="R49" s="184"/>
      <c r="S49" s="180" t="str">
        <f t="shared" si="2"/>
        <v>016-902-000519585</v>
      </c>
      <c r="T49" s="185">
        <v>703744532</v>
      </c>
      <c r="U49" s="90" t="s">
        <v>1270</v>
      </c>
    </row>
    <row r="50" spans="1:21" s="176" customFormat="1" ht="19">
      <c r="A50" s="176">
        <v>45</v>
      </c>
      <c r="B50" s="187">
        <v>45862</v>
      </c>
      <c r="C50" s="180" t="s">
        <v>1061</v>
      </c>
      <c r="D50" s="180" t="s">
        <v>1265</v>
      </c>
      <c r="E50" s="181">
        <v>40466241</v>
      </c>
      <c r="F50" s="179" t="str">
        <f t="shared" si="0"/>
        <v>C 9310 INOX CAMPANA (110V-60HZ) C/KIT</v>
      </c>
      <c r="G50" s="180" t="s">
        <v>1267</v>
      </c>
      <c r="H50" s="181" t="s">
        <v>24</v>
      </c>
      <c r="I50" s="181" t="s">
        <v>51</v>
      </c>
      <c r="J50" s="181" t="s">
        <v>52</v>
      </c>
      <c r="K50" s="188">
        <v>45870</v>
      </c>
      <c r="L50" s="189" t="s">
        <v>1268</v>
      </c>
      <c r="M50" s="189" t="s">
        <v>1269</v>
      </c>
      <c r="N50" s="180">
        <v>999357222</v>
      </c>
      <c r="O50" s="183">
        <v>20</v>
      </c>
      <c r="P50" s="181" t="s">
        <v>53</v>
      </c>
      <c r="Q50" s="181" t="s">
        <v>51</v>
      </c>
      <c r="R50" s="184"/>
      <c r="S50" s="180" t="str">
        <f t="shared" ref="S50" si="16">D50</f>
        <v>016-902-000519585</v>
      </c>
      <c r="T50" s="185">
        <v>703744532</v>
      </c>
      <c r="U50" s="90" t="s">
        <v>1270</v>
      </c>
    </row>
    <row r="51" spans="1:21" s="176" customFormat="1" ht="19">
      <c r="A51" s="176">
        <v>46</v>
      </c>
      <c r="B51" s="187">
        <v>45845</v>
      </c>
      <c r="C51" s="180" t="s">
        <v>1046</v>
      </c>
      <c r="D51" s="180" t="s">
        <v>1271</v>
      </c>
      <c r="E51" s="181">
        <v>40461543</v>
      </c>
      <c r="F51" s="179" t="str">
        <f t="shared" si="0"/>
        <v>C 6310 INOX CAMPANA (110V-60HZ) C/KIT</v>
      </c>
      <c r="G51" s="180" t="s">
        <v>1272</v>
      </c>
      <c r="H51" s="181" t="s">
        <v>24</v>
      </c>
      <c r="I51" s="181" t="s">
        <v>51</v>
      </c>
      <c r="J51" s="181" t="s">
        <v>52</v>
      </c>
      <c r="K51" s="188">
        <v>45870</v>
      </c>
      <c r="L51" s="189" t="s">
        <v>1274</v>
      </c>
      <c r="M51" s="189" t="s">
        <v>1275</v>
      </c>
      <c r="N51" s="180">
        <v>983444924</v>
      </c>
      <c r="O51" s="183">
        <v>20</v>
      </c>
      <c r="P51" s="181" t="s">
        <v>53</v>
      </c>
      <c r="Q51" s="181" t="s">
        <v>51</v>
      </c>
      <c r="R51" s="184"/>
      <c r="S51" s="180" t="str">
        <f t="shared" si="2"/>
        <v>001-500-000074004</v>
      </c>
      <c r="T51" s="185">
        <v>702657391</v>
      </c>
      <c r="U51" s="90" t="s">
        <v>1276</v>
      </c>
    </row>
    <row r="52" spans="1:21" s="176" customFormat="1" ht="19">
      <c r="A52" s="176">
        <v>47</v>
      </c>
      <c r="B52" s="187">
        <v>45845</v>
      </c>
      <c r="C52" s="180" t="s">
        <v>1046</v>
      </c>
      <c r="D52" s="180" t="s">
        <v>1271</v>
      </c>
      <c r="E52" s="181">
        <v>112610071</v>
      </c>
      <c r="F52" s="179" t="str">
        <f t="shared" si="0"/>
        <v>GSC 64320 XBA IX (LAT) COCINA INOX</v>
      </c>
      <c r="G52" s="180" t="s">
        <v>1273</v>
      </c>
      <c r="H52" s="181" t="s">
        <v>24</v>
      </c>
      <c r="I52" s="181" t="s">
        <v>51</v>
      </c>
      <c r="J52" s="181" t="s">
        <v>52</v>
      </c>
      <c r="K52" s="188">
        <v>45870</v>
      </c>
      <c r="L52" s="189" t="s">
        <v>1274</v>
      </c>
      <c r="M52" s="189" t="s">
        <v>1275</v>
      </c>
      <c r="N52" s="180">
        <v>983444924</v>
      </c>
      <c r="O52" s="183">
        <v>20</v>
      </c>
      <c r="P52" s="181" t="s">
        <v>53</v>
      </c>
      <c r="Q52" s="181" t="s">
        <v>51</v>
      </c>
      <c r="R52" s="184"/>
      <c r="S52" s="180" t="str">
        <f t="shared" ref="S52" si="17">D52</f>
        <v>001-500-000074004</v>
      </c>
      <c r="T52" s="185">
        <v>702657391</v>
      </c>
      <c r="U52" s="90" t="s">
        <v>1276</v>
      </c>
    </row>
    <row r="53" spans="1:21" s="176" customFormat="1" ht="19">
      <c r="A53" s="176">
        <v>48</v>
      </c>
      <c r="B53" s="187">
        <v>45848</v>
      </c>
      <c r="C53" s="180" t="s">
        <v>1061</v>
      </c>
      <c r="D53" s="180" t="s">
        <v>1251</v>
      </c>
      <c r="E53" s="181">
        <v>40584202</v>
      </c>
      <c r="F53" s="179" t="str">
        <f t="shared" si="0"/>
        <v>ML 820 BIS - MICROONDAS</v>
      </c>
      <c r="G53" s="180" t="s">
        <v>1277</v>
      </c>
      <c r="H53" s="181" t="s">
        <v>24</v>
      </c>
      <c r="I53" s="181" t="s">
        <v>51</v>
      </c>
      <c r="J53" s="181" t="s">
        <v>52</v>
      </c>
      <c r="K53" s="188">
        <v>45873</v>
      </c>
      <c r="L53" s="189" t="s">
        <v>1254</v>
      </c>
      <c r="M53" s="189" t="s">
        <v>1255</v>
      </c>
      <c r="N53" s="180">
        <v>939445052</v>
      </c>
      <c r="O53" s="183">
        <v>20</v>
      </c>
      <c r="P53" s="181" t="s">
        <v>53</v>
      </c>
      <c r="Q53" s="181" t="s">
        <v>51</v>
      </c>
      <c r="R53" s="184"/>
      <c r="S53" s="180" t="str">
        <f t="shared" si="2"/>
        <v>016-902-000516620</v>
      </c>
      <c r="T53" s="185">
        <v>101468463</v>
      </c>
      <c r="U53" s="90" t="s">
        <v>1279</v>
      </c>
    </row>
    <row r="54" spans="1:21" s="176" customFormat="1" ht="19">
      <c r="A54" s="176">
        <v>49</v>
      </c>
      <c r="B54" s="187">
        <v>45848</v>
      </c>
      <c r="C54" s="180" t="s">
        <v>1061</v>
      </c>
      <c r="D54" s="180" t="s">
        <v>1251</v>
      </c>
      <c r="E54" s="181">
        <v>111010040</v>
      </c>
      <c r="F54" s="179" t="str">
        <f t="shared" si="0"/>
        <v>HSB 610 NEGRO HORNO ELEC</v>
      </c>
      <c r="G54" s="180" t="s">
        <v>1278</v>
      </c>
      <c r="H54" s="181" t="s">
        <v>24</v>
      </c>
      <c r="I54" s="181" t="s">
        <v>51</v>
      </c>
      <c r="J54" s="181" t="s">
        <v>52</v>
      </c>
      <c r="K54" s="188">
        <v>45873</v>
      </c>
      <c r="L54" s="189" t="s">
        <v>1254</v>
      </c>
      <c r="M54" s="189" t="s">
        <v>1255</v>
      </c>
      <c r="N54" s="180">
        <v>939445052</v>
      </c>
      <c r="O54" s="183">
        <v>20</v>
      </c>
      <c r="P54" s="181" t="s">
        <v>53</v>
      </c>
      <c r="Q54" s="181" t="s">
        <v>51</v>
      </c>
      <c r="R54" s="184"/>
      <c r="S54" s="180" t="str">
        <f t="shared" ref="S54" si="18">D54</f>
        <v>016-902-000516620</v>
      </c>
      <c r="T54" s="185">
        <v>101468463</v>
      </c>
      <c r="U54" s="90" t="s">
        <v>1279</v>
      </c>
    </row>
    <row r="55" spans="1:21" s="176" customFormat="1" ht="19">
      <c r="A55" s="176">
        <v>50</v>
      </c>
      <c r="B55" s="187">
        <v>45866</v>
      </c>
      <c r="C55" s="180" t="s">
        <v>1046</v>
      </c>
      <c r="D55" s="180" t="s">
        <v>1280</v>
      </c>
      <c r="E55" s="181">
        <v>112580058</v>
      </c>
      <c r="F55" s="179" t="str">
        <f t="shared" si="0"/>
        <v>GBC 95030 KBB BK COCINA GAS</v>
      </c>
      <c r="G55" s="180" t="s">
        <v>1281</v>
      </c>
      <c r="H55" s="181" t="s">
        <v>24</v>
      </c>
      <c r="I55" s="181" t="s">
        <v>51</v>
      </c>
      <c r="J55" s="181" t="s">
        <v>52</v>
      </c>
      <c r="K55" s="188">
        <v>45874</v>
      </c>
      <c r="L55" s="189" t="s">
        <v>1283</v>
      </c>
      <c r="M55" s="189" t="s">
        <v>1284</v>
      </c>
      <c r="N55" s="180">
        <v>984878335</v>
      </c>
      <c r="O55" s="183">
        <v>20</v>
      </c>
      <c r="P55" s="181" t="s">
        <v>53</v>
      </c>
      <c r="Q55" s="181" t="s">
        <v>51</v>
      </c>
      <c r="R55" s="184"/>
      <c r="S55" s="180" t="str">
        <f t="shared" si="2"/>
        <v>001-500-000075432</v>
      </c>
      <c r="T55" s="185">
        <v>104146881</v>
      </c>
      <c r="U55" s="90" t="s">
        <v>1285</v>
      </c>
    </row>
    <row r="56" spans="1:21" s="176" customFormat="1" ht="19">
      <c r="A56" s="176">
        <v>51</v>
      </c>
      <c r="B56" s="187">
        <v>45866</v>
      </c>
      <c r="C56" s="180" t="s">
        <v>1046</v>
      </c>
      <c r="D56" s="180" t="s">
        <v>1280</v>
      </c>
      <c r="E56" s="181">
        <v>111030002</v>
      </c>
      <c r="F56" s="179" t="str">
        <f t="shared" si="0"/>
        <v>HLB 760 G SS HORNO A GAS</v>
      </c>
      <c r="G56" s="180" t="s">
        <v>1282</v>
      </c>
      <c r="H56" s="181" t="s">
        <v>24</v>
      </c>
      <c r="I56" s="181" t="s">
        <v>51</v>
      </c>
      <c r="J56" s="181" t="s">
        <v>52</v>
      </c>
      <c r="K56" s="188">
        <v>45874</v>
      </c>
      <c r="L56" s="189" t="s">
        <v>1283</v>
      </c>
      <c r="M56" s="189" t="s">
        <v>1284</v>
      </c>
      <c r="N56" s="180">
        <v>984878335</v>
      </c>
      <c r="O56" s="183">
        <v>20</v>
      </c>
      <c r="P56" s="181" t="s">
        <v>53</v>
      </c>
      <c r="Q56" s="181" t="s">
        <v>51</v>
      </c>
      <c r="R56" s="184"/>
      <c r="S56" s="180" t="str">
        <f t="shared" ref="S56" si="19">D56</f>
        <v>001-500-000075432</v>
      </c>
      <c r="T56" s="185">
        <v>104146881</v>
      </c>
      <c r="U56" s="90" t="s">
        <v>1285</v>
      </c>
    </row>
    <row r="57" spans="1:21" s="176" customFormat="1" ht="19">
      <c r="A57" s="176">
        <v>52</v>
      </c>
      <c r="B57" s="187">
        <v>45805</v>
      </c>
      <c r="C57" s="180" t="s">
        <v>1046</v>
      </c>
      <c r="D57" s="180" t="s">
        <v>1286</v>
      </c>
      <c r="E57" s="181">
        <v>112030019</v>
      </c>
      <c r="F57" s="179" t="str">
        <f t="shared" si="0"/>
        <v>ML 8220 BIS FBK- MICROONDAS</v>
      </c>
      <c r="G57" s="180" t="s">
        <v>1291</v>
      </c>
      <c r="H57" s="181" t="s">
        <v>24</v>
      </c>
      <c r="I57" s="181" t="s">
        <v>51</v>
      </c>
      <c r="J57" s="181" t="s">
        <v>52</v>
      </c>
      <c r="K57" s="188">
        <v>45875</v>
      </c>
      <c r="L57" s="189" t="s">
        <v>1288</v>
      </c>
      <c r="M57" s="189" t="s">
        <v>1290</v>
      </c>
      <c r="N57" s="180">
        <v>998282791</v>
      </c>
      <c r="O57" s="183">
        <v>15</v>
      </c>
      <c r="P57" s="181" t="s">
        <v>53</v>
      </c>
      <c r="Q57" s="181" t="s">
        <v>51</v>
      </c>
      <c r="R57" s="184"/>
      <c r="S57" s="180" t="str">
        <f t="shared" si="2"/>
        <v>001-502-000000295</v>
      </c>
      <c r="T57" s="185">
        <v>103035697</v>
      </c>
      <c r="U57" s="90" t="s">
        <v>1289</v>
      </c>
    </row>
    <row r="58" spans="1:21" s="176" customFormat="1" ht="19">
      <c r="A58" s="176">
        <v>53</v>
      </c>
      <c r="B58" s="187">
        <v>45805</v>
      </c>
      <c r="C58" s="180" t="s">
        <v>1046</v>
      </c>
      <c r="D58" s="180" t="s">
        <v>1286</v>
      </c>
      <c r="E58" s="181">
        <v>111000051</v>
      </c>
      <c r="F58" s="179" t="str">
        <f t="shared" si="0"/>
        <v>HLB 8416 "AIR FRY" - HORNO ELEC</v>
      </c>
      <c r="G58" s="180" t="s">
        <v>1292</v>
      </c>
      <c r="H58" s="181" t="s">
        <v>24</v>
      </c>
      <c r="I58" s="181" t="s">
        <v>51</v>
      </c>
      <c r="J58" s="181" t="s">
        <v>52</v>
      </c>
      <c r="K58" s="188">
        <v>45875</v>
      </c>
      <c r="L58" s="189" t="s">
        <v>1288</v>
      </c>
      <c r="M58" s="189" t="s">
        <v>1290</v>
      </c>
      <c r="N58" s="180">
        <v>998282791</v>
      </c>
      <c r="O58" s="183">
        <v>15</v>
      </c>
      <c r="P58" s="181" t="s">
        <v>53</v>
      </c>
      <c r="Q58" s="181" t="s">
        <v>51</v>
      </c>
      <c r="R58" s="184"/>
      <c r="S58" s="180" t="str">
        <f t="shared" ref="S58:S61" si="20">D58</f>
        <v>001-502-000000295</v>
      </c>
      <c r="T58" s="185">
        <v>103035697</v>
      </c>
      <c r="U58" s="90" t="s">
        <v>1289</v>
      </c>
    </row>
    <row r="59" spans="1:21" s="176" customFormat="1" ht="19">
      <c r="A59" s="176">
        <v>54</v>
      </c>
      <c r="B59" s="187">
        <v>45805</v>
      </c>
      <c r="C59" s="180" t="s">
        <v>1046</v>
      </c>
      <c r="D59" s="180" t="s">
        <v>1286</v>
      </c>
      <c r="E59" s="181">
        <v>112580058</v>
      </c>
      <c r="F59" s="179" t="str">
        <f t="shared" si="0"/>
        <v>GBC 95030 KBB BK COCINA GAS</v>
      </c>
      <c r="G59" s="180" t="s">
        <v>1287</v>
      </c>
      <c r="H59" s="181" t="s">
        <v>24</v>
      </c>
      <c r="I59" s="181" t="s">
        <v>51</v>
      </c>
      <c r="J59" s="181" t="s">
        <v>52</v>
      </c>
      <c r="K59" s="188">
        <v>45875</v>
      </c>
      <c r="L59" s="189" t="s">
        <v>1288</v>
      </c>
      <c r="M59" s="189" t="s">
        <v>1290</v>
      </c>
      <c r="N59" s="180">
        <v>998282791</v>
      </c>
      <c r="O59" s="183">
        <v>15</v>
      </c>
      <c r="P59" s="181" t="s">
        <v>53</v>
      </c>
      <c r="Q59" s="181" t="s">
        <v>51</v>
      </c>
      <c r="R59" s="184"/>
      <c r="S59" s="180" t="str">
        <f t="shared" si="20"/>
        <v>001-502-000000295</v>
      </c>
      <c r="T59" s="185">
        <v>103035697</v>
      </c>
      <c r="U59" s="90" t="s">
        <v>1289</v>
      </c>
    </row>
    <row r="60" spans="1:21" s="176" customFormat="1" ht="19">
      <c r="A60" s="176">
        <v>55</v>
      </c>
      <c r="B60" s="187">
        <v>45805</v>
      </c>
      <c r="C60" s="180" t="s">
        <v>1046</v>
      </c>
      <c r="D60" s="180" t="s">
        <v>1286</v>
      </c>
      <c r="E60" s="181">
        <v>40782127</v>
      </c>
      <c r="F60" s="179" t="str">
        <f t="shared" si="0"/>
        <v>DW8 57 FIM PANELABLE LAVAVAJILLAS</v>
      </c>
      <c r="G60" s="180" t="s">
        <v>1293</v>
      </c>
      <c r="H60" s="181" t="s">
        <v>24</v>
      </c>
      <c r="I60" s="181" t="s">
        <v>51</v>
      </c>
      <c r="J60" s="181" t="s">
        <v>52</v>
      </c>
      <c r="K60" s="188">
        <v>45875</v>
      </c>
      <c r="L60" s="189" t="s">
        <v>1288</v>
      </c>
      <c r="M60" s="189" t="s">
        <v>1290</v>
      </c>
      <c r="N60" s="180">
        <v>998282791</v>
      </c>
      <c r="O60" s="183">
        <v>15</v>
      </c>
      <c r="P60" s="181" t="s">
        <v>53</v>
      </c>
      <c r="Q60" s="181" t="s">
        <v>51</v>
      </c>
      <c r="R60" s="184"/>
      <c r="S60" s="180" t="str">
        <f t="shared" si="20"/>
        <v>001-502-000000295</v>
      </c>
      <c r="T60" s="185">
        <v>103035697</v>
      </c>
      <c r="U60" s="90" t="s">
        <v>1289</v>
      </c>
    </row>
    <row r="61" spans="1:21" s="176" customFormat="1" ht="19">
      <c r="A61" s="176">
        <v>56</v>
      </c>
      <c r="B61" s="187">
        <v>45805</v>
      </c>
      <c r="C61" s="180" t="s">
        <v>1046</v>
      </c>
      <c r="D61" s="180" t="s">
        <v>1286</v>
      </c>
      <c r="E61" s="181">
        <v>40483182</v>
      </c>
      <c r="F61" s="179" t="str">
        <f t="shared" si="0"/>
        <v>CUERPO DPL ISLA 1180</v>
      </c>
      <c r="G61" s="180" t="s">
        <v>1294</v>
      </c>
      <c r="H61" s="181" t="s">
        <v>24</v>
      </c>
      <c r="I61" s="181" t="s">
        <v>51</v>
      </c>
      <c r="J61" s="181" t="s">
        <v>52</v>
      </c>
      <c r="K61" s="188">
        <v>45875</v>
      </c>
      <c r="L61" s="189" t="s">
        <v>1288</v>
      </c>
      <c r="M61" s="189" t="s">
        <v>1290</v>
      </c>
      <c r="N61" s="180">
        <v>998282791</v>
      </c>
      <c r="O61" s="183">
        <v>30</v>
      </c>
      <c r="P61" s="181" t="s">
        <v>53</v>
      </c>
      <c r="Q61" s="181" t="s">
        <v>51</v>
      </c>
      <c r="R61" s="184"/>
      <c r="S61" s="180" t="str">
        <f t="shared" si="20"/>
        <v>001-502-000000295</v>
      </c>
      <c r="T61" s="185">
        <v>103035697</v>
      </c>
      <c r="U61" s="90" t="s">
        <v>1289</v>
      </c>
    </row>
    <row r="62" spans="1:21" s="176" customFormat="1" ht="19">
      <c r="A62" s="176">
        <v>57</v>
      </c>
      <c r="B62" s="187">
        <v>45857</v>
      </c>
      <c r="C62" s="180" t="s">
        <v>1046</v>
      </c>
      <c r="D62" s="180" t="s">
        <v>1295</v>
      </c>
      <c r="E62" s="181">
        <v>40467305</v>
      </c>
      <c r="F62" s="179" t="str">
        <f t="shared" si="0"/>
        <v>C 710 NEGRA CAMPANA (110V-60HZ) C/KIT</v>
      </c>
      <c r="G62" s="180" t="s">
        <v>1296</v>
      </c>
      <c r="H62" s="181" t="s">
        <v>24</v>
      </c>
      <c r="I62" s="181" t="s">
        <v>51</v>
      </c>
      <c r="J62" s="181" t="s">
        <v>52</v>
      </c>
      <c r="K62" s="188">
        <v>45875</v>
      </c>
      <c r="L62" s="189" t="s">
        <v>1298</v>
      </c>
      <c r="M62" s="189" t="s">
        <v>1299</v>
      </c>
      <c r="N62" s="180">
        <v>317479916</v>
      </c>
      <c r="O62" s="183">
        <v>20</v>
      </c>
      <c r="P62" s="181" t="s">
        <v>53</v>
      </c>
      <c r="Q62" s="181" t="s">
        <v>51</v>
      </c>
      <c r="R62" s="184"/>
      <c r="S62" s="180" t="str">
        <f t="shared" si="2"/>
        <v>001-500-000075182</v>
      </c>
      <c r="T62" s="185">
        <v>103164562</v>
      </c>
      <c r="U62" s="90" t="s">
        <v>1300</v>
      </c>
    </row>
    <row r="63" spans="1:21" s="176" customFormat="1" ht="19">
      <c r="A63" s="176">
        <v>58</v>
      </c>
      <c r="B63" s="187">
        <v>45857</v>
      </c>
      <c r="C63" s="180" t="s">
        <v>1046</v>
      </c>
      <c r="D63" s="180" t="s">
        <v>1295</v>
      </c>
      <c r="E63" s="181">
        <v>112580058</v>
      </c>
      <c r="F63" s="179" t="str">
        <f t="shared" si="0"/>
        <v>GBC 95030 KBB BK COCINA GAS</v>
      </c>
      <c r="G63" s="180" t="s">
        <v>1297</v>
      </c>
      <c r="H63" s="181" t="s">
        <v>24</v>
      </c>
      <c r="I63" s="181" t="s">
        <v>51</v>
      </c>
      <c r="J63" s="181" t="s">
        <v>52</v>
      </c>
      <c r="K63" s="188">
        <v>45875</v>
      </c>
      <c r="L63" s="189" t="s">
        <v>1298</v>
      </c>
      <c r="M63" s="189" t="s">
        <v>1299</v>
      </c>
      <c r="N63" s="180">
        <v>317479916</v>
      </c>
      <c r="O63" s="183">
        <v>20</v>
      </c>
      <c r="P63" s="181" t="s">
        <v>53</v>
      </c>
      <c r="Q63" s="181" t="s">
        <v>51</v>
      </c>
      <c r="R63" s="184"/>
      <c r="S63" s="180" t="str">
        <f t="shared" ref="S63" si="21">D63</f>
        <v>001-500-000075182</v>
      </c>
      <c r="T63" s="185">
        <v>103164562</v>
      </c>
      <c r="U63" s="90" t="s">
        <v>1300</v>
      </c>
    </row>
    <row r="64" spans="1:21" s="176" customFormat="1" ht="19">
      <c r="A64" s="176">
        <v>59</v>
      </c>
      <c r="B64" s="187">
        <v>45774</v>
      </c>
      <c r="C64" s="180" t="s">
        <v>1210</v>
      </c>
      <c r="D64" s="180" t="s">
        <v>1301</v>
      </c>
      <c r="E64" s="181">
        <v>40461507</v>
      </c>
      <c r="F64" s="179" t="str">
        <f t="shared" si="0"/>
        <v>C 610 NEGRA CAMPANA (110V-60HZ) C/KIT</v>
      </c>
      <c r="G64" s="180" t="s">
        <v>1302</v>
      </c>
      <c r="H64" s="181" t="s">
        <v>24</v>
      </c>
      <c r="I64" s="181" t="s">
        <v>51</v>
      </c>
      <c r="J64" s="181" t="s">
        <v>52</v>
      </c>
      <c r="K64" s="188">
        <v>45875</v>
      </c>
      <c r="L64" s="189" t="s">
        <v>1305</v>
      </c>
      <c r="M64" s="189" t="s">
        <v>1306</v>
      </c>
      <c r="N64" s="180">
        <v>3708771</v>
      </c>
      <c r="O64" s="183">
        <v>15</v>
      </c>
      <c r="P64" s="181" t="s">
        <v>53</v>
      </c>
      <c r="Q64" s="181" t="s">
        <v>51</v>
      </c>
      <c r="R64" s="184"/>
      <c r="S64" s="180" t="str">
        <f t="shared" si="2"/>
        <v>006-002-000157890</v>
      </c>
      <c r="T64" s="185">
        <v>157783762</v>
      </c>
      <c r="U64" s="90" t="s">
        <v>1307</v>
      </c>
    </row>
    <row r="65" spans="1:21" s="176" customFormat="1" ht="19">
      <c r="A65" s="176">
        <v>60</v>
      </c>
      <c r="B65" s="187">
        <v>45774</v>
      </c>
      <c r="C65" s="180" t="s">
        <v>1210</v>
      </c>
      <c r="D65" s="180" t="s">
        <v>1301</v>
      </c>
      <c r="E65" s="181">
        <v>112510035</v>
      </c>
      <c r="F65" s="179" t="str">
        <f t="shared" si="0"/>
        <v>IZF 64440 MSP BK COCINA INDUCCION</v>
      </c>
      <c r="G65" s="180" t="s">
        <v>1303</v>
      </c>
      <c r="H65" s="181" t="s">
        <v>24</v>
      </c>
      <c r="I65" s="181" t="s">
        <v>51</v>
      </c>
      <c r="J65" s="181" t="s">
        <v>52</v>
      </c>
      <c r="K65" s="188">
        <v>45875</v>
      </c>
      <c r="L65" s="189" t="s">
        <v>1305</v>
      </c>
      <c r="M65" s="189" t="s">
        <v>1306</v>
      </c>
      <c r="N65" s="180">
        <v>3708771</v>
      </c>
      <c r="O65" s="183">
        <v>15</v>
      </c>
      <c r="P65" s="181" t="s">
        <v>53</v>
      </c>
      <c r="Q65" s="181" t="s">
        <v>51</v>
      </c>
      <c r="R65" s="184"/>
      <c r="S65" s="180" t="str">
        <f t="shared" ref="S65:S66" si="22">D65</f>
        <v>006-002-000157890</v>
      </c>
      <c r="T65" s="185">
        <v>157783762</v>
      </c>
      <c r="U65" s="90" t="s">
        <v>1307</v>
      </c>
    </row>
    <row r="66" spans="1:21" s="176" customFormat="1" ht="19">
      <c r="A66" s="176">
        <v>61</v>
      </c>
      <c r="B66" s="187">
        <v>45774</v>
      </c>
      <c r="C66" s="180" t="s">
        <v>1210</v>
      </c>
      <c r="D66" s="180" t="s">
        <v>1301</v>
      </c>
      <c r="E66" s="181">
        <v>111000051</v>
      </c>
      <c r="F66" s="179" t="str">
        <f t="shared" si="0"/>
        <v>HLB 8416 "AIR FRY" - HORNO ELEC</v>
      </c>
      <c r="G66" s="180" t="s">
        <v>1304</v>
      </c>
      <c r="H66" s="181" t="s">
        <v>24</v>
      </c>
      <c r="I66" s="181" t="s">
        <v>51</v>
      </c>
      <c r="J66" s="181" t="s">
        <v>52</v>
      </c>
      <c r="K66" s="188">
        <v>45875</v>
      </c>
      <c r="L66" s="189" t="s">
        <v>1305</v>
      </c>
      <c r="M66" s="189" t="s">
        <v>1306</v>
      </c>
      <c r="N66" s="180">
        <v>3708771</v>
      </c>
      <c r="O66" s="183">
        <v>15</v>
      </c>
      <c r="P66" s="181" t="s">
        <v>53</v>
      </c>
      <c r="Q66" s="181" t="s">
        <v>51</v>
      </c>
      <c r="R66" s="184"/>
      <c r="S66" s="180" t="str">
        <f t="shared" si="22"/>
        <v>006-002-000157890</v>
      </c>
      <c r="T66" s="185">
        <v>157783762</v>
      </c>
      <c r="U66" s="90" t="s">
        <v>1307</v>
      </c>
    </row>
    <row r="67" spans="1:21" s="176" customFormat="1" ht="19">
      <c r="A67" s="176">
        <v>62</v>
      </c>
      <c r="B67" s="187">
        <v>45635</v>
      </c>
      <c r="C67" s="180" t="s">
        <v>1046</v>
      </c>
      <c r="D67" s="180" t="s">
        <v>1308</v>
      </c>
      <c r="E67" s="181">
        <v>112030019</v>
      </c>
      <c r="F67" s="179" t="str">
        <f t="shared" si="0"/>
        <v>ML 8220 BIS FBK- MICROONDAS</v>
      </c>
      <c r="G67" s="180" t="s">
        <v>1309</v>
      </c>
      <c r="H67" s="181" t="s">
        <v>24</v>
      </c>
      <c r="I67" s="181" t="s">
        <v>51</v>
      </c>
      <c r="J67" s="181" t="s">
        <v>52</v>
      </c>
      <c r="K67" s="188">
        <v>45875</v>
      </c>
      <c r="L67" s="189" t="s">
        <v>1313</v>
      </c>
      <c r="M67" s="189" t="s">
        <v>1314</v>
      </c>
      <c r="N67" s="180">
        <v>984459007</v>
      </c>
      <c r="O67" s="183">
        <v>15</v>
      </c>
      <c r="P67" s="181" t="s">
        <v>53</v>
      </c>
      <c r="Q67" s="181" t="s">
        <v>51</v>
      </c>
      <c r="R67" s="184"/>
      <c r="S67" s="180" t="str">
        <f t="shared" si="2"/>
        <v>001-600-000068906</v>
      </c>
      <c r="T67" s="185">
        <v>1852871248</v>
      </c>
      <c r="U67" s="90" t="s">
        <v>1315</v>
      </c>
    </row>
    <row r="68" spans="1:21" s="176" customFormat="1" ht="19">
      <c r="A68" s="176">
        <v>63</v>
      </c>
      <c r="B68" s="187">
        <v>45635</v>
      </c>
      <c r="C68" s="180" t="s">
        <v>1046</v>
      </c>
      <c r="D68" s="180" t="s">
        <v>1316</v>
      </c>
      <c r="E68" s="181">
        <v>111000078</v>
      </c>
      <c r="F68" s="179" t="str">
        <f t="shared" ref="F68:F87" si="23">VLOOKUP(E68,PROD,2,FALSE)</f>
        <v>HLB 8400 FBK HORNO ELEC</v>
      </c>
      <c r="G68" s="180" t="s">
        <v>1310</v>
      </c>
      <c r="H68" s="181" t="s">
        <v>24</v>
      </c>
      <c r="I68" s="181" t="s">
        <v>51</v>
      </c>
      <c r="J68" s="181" t="s">
        <v>52</v>
      </c>
      <c r="K68" s="188">
        <v>45875</v>
      </c>
      <c r="L68" s="189" t="s">
        <v>1313</v>
      </c>
      <c r="M68" s="189" t="s">
        <v>1314</v>
      </c>
      <c r="N68" s="180">
        <v>984459007</v>
      </c>
      <c r="O68" s="183">
        <v>15</v>
      </c>
      <c r="P68" s="181" t="s">
        <v>53</v>
      </c>
      <c r="Q68" s="181" t="s">
        <v>51</v>
      </c>
      <c r="R68" s="184"/>
      <c r="S68" s="180" t="str">
        <f t="shared" ref="S68:S70" si="24">D68</f>
        <v>001-600-000068775</v>
      </c>
      <c r="T68" s="185">
        <v>1852871248</v>
      </c>
      <c r="U68" s="90" t="s">
        <v>1315</v>
      </c>
    </row>
    <row r="69" spans="1:21" s="176" customFormat="1" ht="19">
      <c r="A69" s="176">
        <v>64</v>
      </c>
      <c r="B69" s="187">
        <v>45635</v>
      </c>
      <c r="C69" s="180" t="s">
        <v>1046</v>
      </c>
      <c r="D69" s="180" t="s">
        <v>1317</v>
      </c>
      <c r="E69" s="181">
        <v>112580058</v>
      </c>
      <c r="F69" s="179" t="str">
        <f t="shared" si="23"/>
        <v>GBC 95030 KBB BK COCINA GAS</v>
      </c>
      <c r="G69" s="180" t="s">
        <v>1311</v>
      </c>
      <c r="H69" s="181" t="s">
        <v>24</v>
      </c>
      <c r="I69" s="181" t="s">
        <v>51</v>
      </c>
      <c r="J69" s="181" t="s">
        <v>52</v>
      </c>
      <c r="K69" s="188">
        <v>45875</v>
      </c>
      <c r="L69" s="189" t="s">
        <v>1313</v>
      </c>
      <c r="M69" s="189" t="s">
        <v>1314</v>
      </c>
      <c r="N69" s="180">
        <v>984459007</v>
      </c>
      <c r="O69" s="183">
        <v>15</v>
      </c>
      <c r="P69" s="181" t="s">
        <v>53</v>
      </c>
      <c r="Q69" s="181" t="s">
        <v>51</v>
      </c>
      <c r="R69" s="184"/>
      <c r="S69" s="180" t="str">
        <f t="shared" si="24"/>
        <v>001-600-000071956</v>
      </c>
      <c r="T69" s="185">
        <v>1852871248</v>
      </c>
      <c r="U69" s="90" t="s">
        <v>1315</v>
      </c>
    </row>
    <row r="70" spans="1:21" s="176" customFormat="1" ht="19">
      <c r="A70" s="176">
        <v>65</v>
      </c>
      <c r="B70" s="187">
        <v>45635</v>
      </c>
      <c r="C70" s="180" t="s">
        <v>1046</v>
      </c>
      <c r="D70" s="180" t="s">
        <v>1308</v>
      </c>
      <c r="E70" s="181">
        <v>113610005</v>
      </c>
      <c r="F70" s="179" t="str">
        <f t="shared" si="23"/>
        <v>RVF 10032 VINERA</v>
      </c>
      <c r="G70" s="180" t="s">
        <v>1312</v>
      </c>
      <c r="H70" s="181" t="s">
        <v>24</v>
      </c>
      <c r="I70" s="181" t="s">
        <v>51</v>
      </c>
      <c r="J70" s="181" t="s">
        <v>52</v>
      </c>
      <c r="K70" s="188">
        <v>45875</v>
      </c>
      <c r="L70" s="189" t="s">
        <v>1313</v>
      </c>
      <c r="M70" s="189" t="s">
        <v>1314</v>
      </c>
      <c r="N70" s="180">
        <v>984459007</v>
      </c>
      <c r="O70" s="183">
        <v>15</v>
      </c>
      <c r="P70" s="181" t="s">
        <v>53</v>
      </c>
      <c r="Q70" s="181" t="s">
        <v>51</v>
      </c>
      <c r="R70" s="184"/>
      <c r="S70" s="180" t="str">
        <f t="shared" si="24"/>
        <v>001-600-000068906</v>
      </c>
      <c r="T70" s="185">
        <v>1852871248</v>
      </c>
      <c r="U70" s="90" t="s">
        <v>1315</v>
      </c>
    </row>
    <row r="71" spans="1:21" s="176" customFormat="1" ht="19">
      <c r="A71" s="176">
        <v>66</v>
      </c>
      <c r="B71" s="187">
        <v>45551</v>
      </c>
      <c r="C71" s="180" t="s">
        <v>1172</v>
      </c>
      <c r="D71" s="180" t="s">
        <v>1318</v>
      </c>
      <c r="E71" s="181">
        <v>40446712</v>
      </c>
      <c r="F71" s="179" t="str">
        <f t="shared" si="23"/>
        <v>GFH 73 INOX CAMPANA (110V-60HZ) C/KIT</v>
      </c>
      <c r="G71" s="180" t="s">
        <v>1319</v>
      </c>
      <c r="H71" s="181" t="s">
        <v>24</v>
      </c>
      <c r="I71" s="181" t="s">
        <v>51</v>
      </c>
      <c r="J71" s="181" t="s">
        <v>52</v>
      </c>
      <c r="K71" s="188">
        <v>45876</v>
      </c>
      <c r="L71" s="189" t="s">
        <v>1321</v>
      </c>
      <c r="M71" s="189" t="s">
        <v>1322</v>
      </c>
      <c r="N71" s="180">
        <v>995300011</v>
      </c>
      <c r="O71" s="183">
        <v>20</v>
      </c>
      <c r="P71" s="181" t="s">
        <v>53</v>
      </c>
      <c r="Q71" s="181" t="s">
        <v>51</v>
      </c>
      <c r="R71" s="184"/>
      <c r="S71" s="180" t="str">
        <f t="shared" ref="S71:S86" si="25">D71</f>
        <v>040-103-000008413</v>
      </c>
      <c r="T71" s="185">
        <v>104406756</v>
      </c>
      <c r="U71" s="90" t="s">
        <v>1323</v>
      </c>
    </row>
    <row r="72" spans="1:21" s="176" customFormat="1" ht="19">
      <c r="A72" s="176">
        <v>67</v>
      </c>
      <c r="B72" s="187">
        <v>45551</v>
      </c>
      <c r="C72" s="180" t="s">
        <v>1172</v>
      </c>
      <c r="D72" s="180" t="s">
        <v>1318</v>
      </c>
      <c r="E72" s="181">
        <v>40446712</v>
      </c>
      <c r="F72" s="179" t="str">
        <f t="shared" si="23"/>
        <v>GFH 73 INOX CAMPANA (110V-60HZ) C/KIT</v>
      </c>
      <c r="G72" s="180" t="s">
        <v>1320</v>
      </c>
      <c r="H72" s="181" t="s">
        <v>24</v>
      </c>
      <c r="I72" s="181" t="s">
        <v>51</v>
      </c>
      <c r="J72" s="181" t="s">
        <v>52</v>
      </c>
      <c r="K72" s="188">
        <v>45876</v>
      </c>
      <c r="L72" s="189" t="s">
        <v>1321</v>
      </c>
      <c r="M72" s="189" t="s">
        <v>1322</v>
      </c>
      <c r="N72" s="180">
        <v>995300011</v>
      </c>
      <c r="O72" s="183">
        <v>20</v>
      </c>
      <c r="P72" s="181" t="s">
        <v>53</v>
      </c>
      <c r="Q72" s="181" t="s">
        <v>51</v>
      </c>
      <c r="R72" s="184"/>
      <c r="S72" s="180" t="str">
        <f t="shared" ref="S72" si="26">D72</f>
        <v>040-103-000008413</v>
      </c>
      <c r="T72" s="185">
        <v>104406756</v>
      </c>
      <c r="U72" s="90" t="s">
        <v>1323</v>
      </c>
    </row>
    <row r="73" spans="1:21" s="176" customFormat="1" ht="19">
      <c r="A73" s="176">
        <v>68</v>
      </c>
      <c r="B73" s="187">
        <v>45840</v>
      </c>
      <c r="C73" s="180" t="s">
        <v>1061</v>
      </c>
      <c r="D73" s="180" t="s">
        <v>1324</v>
      </c>
      <c r="E73" s="181">
        <v>40584012</v>
      </c>
      <c r="F73" s="179" t="str">
        <f t="shared" si="23"/>
        <v>MS 620 BIS - MICROONDAS</v>
      </c>
      <c r="G73" s="180" t="s">
        <v>1325</v>
      </c>
      <c r="H73" s="181" t="s">
        <v>24</v>
      </c>
      <c r="I73" s="181" t="s">
        <v>51</v>
      </c>
      <c r="J73" s="181" t="s">
        <v>52</v>
      </c>
      <c r="K73" s="188">
        <v>45876</v>
      </c>
      <c r="L73" s="189" t="s">
        <v>1329</v>
      </c>
      <c r="M73" s="189" t="s">
        <v>1327</v>
      </c>
      <c r="N73" s="180">
        <v>995259470</v>
      </c>
      <c r="O73" s="183">
        <v>20</v>
      </c>
      <c r="P73" s="181" t="s">
        <v>53</v>
      </c>
      <c r="Q73" s="181" t="s">
        <v>51</v>
      </c>
      <c r="R73" s="184"/>
      <c r="S73" s="180" t="str">
        <f t="shared" si="25"/>
        <v>016-902-000511329</v>
      </c>
      <c r="T73" s="185">
        <v>151688541</v>
      </c>
      <c r="U73" s="90" t="s">
        <v>1328</v>
      </c>
    </row>
    <row r="74" spans="1:21" s="176" customFormat="1" ht="19">
      <c r="A74" s="176">
        <v>69</v>
      </c>
      <c r="B74" s="187">
        <v>45840</v>
      </c>
      <c r="C74" s="180" t="s">
        <v>1061</v>
      </c>
      <c r="D74" s="180" t="s">
        <v>1330</v>
      </c>
      <c r="E74" s="181">
        <v>41560124</v>
      </c>
      <c r="F74" s="179" t="str">
        <f t="shared" si="23"/>
        <v>HSB 615 INOX HORNO ELEC</v>
      </c>
      <c r="G74" s="180" t="s">
        <v>1326</v>
      </c>
      <c r="H74" s="181" t="s">
        <v>24</v>
      </c>
      <c r="I74" s="181" t="s">
        <v>51</v>
      </c>
      <c r="J74" s="181" t="s">
        <v>52</v>
      </c>
      <c r="K74" s="188">
        <v>45876</v>
      </c>
      <c r="L74" s="189" t="s">
        <v>1329</v>
      </c>
      <c r="M74" s="189" t="s">
        <v>1327</v>
      </c>
      <c r="N74" s="180">
        <v>995259470</v>
      </c>
      <c r="O74" s="183">
        <v>20</v>
      </c>
      <c r="P74" s="181" t="s">
        <v>53</v>
      </c>
      <c r="Q74" s="181" t="s">
        <v>51</v>
      </c>
      <c r="R74" s="184"/>
      <c r="S74" s="180" t="str">
        <f t="shared" ref="S74" si="27">D74</f>
        <v>043-906-000043812</v>
      </c>
      <c r="T74" s="185">
        <v>151688541</v>
      </c>
      <c r="U74" s="90" t="s">
        <v>1328</v>
      </c>
    </row>
    <row r="75" spans="1:21" s="176" customFormat="1" ht="19">
      <c r="A75" s="176">
        <v>70</v>
      </c>
      <c r="B75" s="187">
        <v>45874</v>
      </c>
      <c r="C75" s="180" t="s">
        <v>1172</v>
      </c>
      <c r="D75" s="180" t="s">
        <v>1331</v>
      </c>
      <c r="E75" s="181">
        <v>112500046</v>
      </c>
      <c r="F75" s="179" t="str">
        <f t="shared" si="23"/>
        <v>IZF 88700 MST COCINA INDUCCION</v>
      </c>
      <c r="G75" s="180" t="s">
        <v>1332</v>
      </c>
      <c r="H75" s="181" t="s">
        <v>24</v>
      </c>
      <c r="I75" s="181" t="s">
        <v>51</v>
      </c>
      <c r="J75" s="181" t="s">
        <v>52</v>
      </c>
      <c r="K75" s="188">
        <v>45877</v>
      </c>
      <c r="L75" s="189" t="s">
        <v>1334</v>
      </c>
      <c r="M75" s="189" t="s">
        <v>1220</v>
      </c>
      <c r="N75" s="180">
        <v>8616872</v>
      </c>
      <c r="O75" s="183">
        <v>20</v>
      </c>
      <c r="P75" s="181" t="s">
        <v>53</v>
      </c>
      <c r="Q75" s="181" t="s">
        <v>51</v>
      </c>
      <c r="R75" s="184"/>
      <c r="S75" s="180" t="str">
        <f t="shared" si="25"/>
        <v>040-104-000012787</v>
      </c>
      <c r="T75" s="185">
        <v>587320585</v>
      </c>
      <c r="U75" s="90" t="s">
        <v>1335</v>
      </c>
    </row>
    <row r="76" spans="1:21" s="176" customFormat="1" ht="19">
      <c r="A76" s="176">
        <v>71</v>
      </c>
      <c r="B76" s="187">
        <v>45874</v>
      </c>
      <c r="C76" s="180" t="s">
        <v>1172</v>
      </c>
      <c r="D76" s="180" t="s">
        <v>1331</v>
      </c>
      <c r="E76" s="181">
        <v>111000078</v>
      </c>
      <c r="F76" s="179" t="str">
        <f t="shared" si="23"/>
        <v>HLB 8400 FBK HORNO ELEC</v>
      </c>
      <c r="G76" s="180" t="s">
        <v>1333</v>
      </c>
      <c r="H76" s="181" t="s">
        <v>24</v>
      </c>
      <c r="I76" s="181" t="s">
        <v>51</v>
      </c>
      <c r="J76" s="181" t="s">
        <v>52</v>
      </c>
      <c r="K76" s="188">
        <v>45877</v>
      </c>
      <c r="L76" s="189" t="s">
        <v>1334</v>
      </c>
      <c r="M76" s="189" t="s">
        <v>1220</v>
      </c>
      <c r="N76" s="180">
        <v>8616872</v>
      </c>
      <c r="O76" s="183">
        <v>20</v>
      </c>
      <c r="P76" s="181" t="s">
        <v>53</v>
      </c>
      <c r="Q76" s="181" t="s">
        <v>51</v>
      </c>
      <c r="R76" s="184"/>
      <c r="S76" s="180" t="str">
        <f t="shared" ref="S76:S79" si="28">D76</f>
        <v>040-104-000012787</v>
      </c>
      <c r="T76" s="185">
        <v>587320585</v>
      </c>
      <c r="U76" s="90" t="s">
        <v>1335</v>
      </c>
    </row>
    <row r="77" spans="1:21" s="176" customFormat="1" ht="19">
      <c r="A77" s="176">
        <v>72</v>
      </c>
      <c r="B77" s="187">
        <v>45629</v>
      </c>
      <c r="C77" s="180" t="s">
        <v>1046</v>
      </c>
      <c r="D77" s="180" t="s">
        <v>1308</v>
      </c>
      <c r="E77" s="181">
        <v>111000030</v>
      </c>
      <c r="F77" s="179" t="str">
        <f t="shared" si="23"/>
        <v>STEAKMASTER - HORNO ELEC</v>
      </c>
      <c r="G77" s="180" t="s">
        <v>1336</v>
      </c>
      <c r="H77" s="181" t="s">
        <v>24</v>
      </c>
      <c r="I77" s="181" t="s">
        <v>51</v>
      </c>
      <c r="J77" s="181" t="s">
        <v>52</v>
      </c>
      <c r="K77" s="188">
        <v>45877</v>
      </c>
      <c r="L77" s="189" t="s">
        <v>1313</v>
      </c>
      <c r="M77" s="189" t="s">
        <v>1314</v>
      </c>
      <c r="N77" s="180">
        <v>984459007</v>
      </c>
      <c r="O77" s="183">
        <v>15</v>
      </c>
      <c r="P77" s="181" t="s">
        <v>53</v>
      </c>
      <c r="Q77" s="181" t="s">
        <v>51</v>
      </c>
      <c r="R77" s="184"/>
      <c r="S77" s="180" t="str">
        <f t="shared" si="28"/>
        <v>001-600-000068906</v>
      </c>
      <c r="T77" s="185">
        <v>1852871248</v>
      </c>
      <c r="U77" s="90" t="s">
        <v>1315</v>
      </c>
    </row>
    <row r="78" spans="1:21" s="176" customFormat="1" ht="19">
      <c r="A78" s="176">
        <v>73</v>
      </c>
      <c r="B78" s="187">
        <v>45629</v>
      </c>
      <c r="C78" s="180" t="s">
        <v>1046</v>
      </c>
      <c r="D78" s="180" t="s">
        <v>1339</v>
      </c>
      <c r="E78" s="181">
        <v>40782127</v>
      </c>
      <c r="F78" s="179" t="str">
        <f t="shared" si="23"/>
        <v>DW8 57 FIM PANELABLE LAVAVAJILLAS</v>
      </c>
      <c r="G78" s="180" t="s">
        <v>1337</v>
      </c>
      <c r="H78" s="181" t="s">
        <v>24</v>
      </c>
      <c r="I78" s="181" t="s">
        <v>51</v>
      </c>
      <c r="J78" s="181" t="s">
        <v>52</v>
      </c>
      <c r="K78" s="188">
        <v>45877</v>
      </c>
      <c r="L78" s="189" t="s">
        <v>1313</v>
      </c>
      <c r="M78" s="189" t="s">
        <v>1314</v>
      </c>
      <c r="N78" s="180">
        <v>984459007</v>
      </c>
      <c r="O78" s="183">
        <v>15</v>
      </c>
      <c r="P78" s="181" t="s">
        <v>53</v>
      </c>
      <c r="Q78" s="181" t="s">
        <v>51</v>
      </c>
      <c r="R78" s="184"/>
      <c r="S78" s="180" t="str">
        <f t="shared" si="28"/>
        <v>001-500-000072194</v>
      </c>
      <c r="T78" s="185">
        <v>1852871248</v>
      </c>
      <c r="U78" s="90" t="s">
        <v>1315</v>
      </c>
    </row>
    <row r="79" spans="1:21" s="176" customFormat="1" ht="19">
      <c r="A79" s="176">
        <v>74</v>
      </c>
      <c r="B79" s="187">
        <v>45629</v>
      </c>
      <c r="C79" s="180" t="s">
        <v>1046</v>
      </c>
      <c r="D79" s="180" t="s">
        <v>1308</v>
      </c>
      <c r="E79" s="181">
        <v>41598031</v>
      </c>
      <c r="F79" s="179" t="str">
        <f t="shared" si="23"/>
        <v>CAFETERA INTEGRACION CLC 855 GM INOX</v>
      </c>
      <c r="G79" s="180" t="s">
        <v>1338</v>
      </c>
      <c r="H79" s="181" t="s">
        <v>24</v>
      </c>
      <c r="I79" s="181" t="s">
        <v>51</v>
      </c>
      <c r="J79" s="181" t="s">
        <v>52</v>
      </c>
      <c r="K79" s="188">
        <v>45877</v>
      </c>
      <c r="L79" s="189" t="s">
        <v>1313</v>
      </c>
      <c r="M79" s="189" t="s">
        <v>1314</v>
      </c>
      <c r="N79" s="180">
        <v>984459007</v>
      </c>
      <c r="O79" s="183">
        <v>15</v>
      </c>
      <c r="P79" s="181" t="s">
        <v>53</v>
      </c>
      <c r="Q79" s="181" t="s">
        <v>51</v>
      </c>
      <c r="R79" s="184"/>
      <c r="S79" s="180" t="str">
        <f t="shared" si="28"/>
        <v>001-600-000068906</v>
      </c>
      <c r="T79" s="185">
        <v>1852871248</v>
      </c>
      <c r="U79" s="90" t="s">
        <v>1315</v>
      </c>
    </row>
    <row r="80" spans="1:21" s="176" customFormat="1" ht="19">
      <c r="A80" s="176">
        <v>75</v>
      </c>
      <c r="B80" s="187">
        <v>45841</v>
      </c>
      <c r="C80" s="180" t="s">
        <v>1340</v>
      </c>
      <c r="D80" s="180" t="s">
        <v>1341</v>
      </c>
      <c r="E80" s="181">
        <v>41560061</v>
      </c>
      <c r="F80" s="179" t="str">
        <f t="shared" si="23"/>
        <v>HLB 830 INOX HORNO ELEC</v>
      </c>
      <c r="G80" s="180" t="s">
        <v>1342</v>
      </c>
      <c r="H80" s="181" t="s">
        <v>24</v>
      </c>
      <c r="I80" s="181" t="s">
        <v>51</v>
      </c>
      <c r="J80" s="181" t="s">
        <v>52</v>
      </c>
      <c r="K80" s="188">
        <v>45877</v>
      </c>
      <c r="L80" s="189" t="s">
        <v>1344</v>
      </c>
      <c r="M80" s="189" t="s">
        <v>1084</v>
      </c>
      <c r="N80" s="180">
        <v>983567767</v>
      </c>
      <c r="O80" s="183">
        <v>20</v>
      </c>
      <c r="P80" s="181" t="s">
        <v>53</v>
      </c>
      <c r="Q80" s="181" t="s">
        <v>51</v>
      </c>
      <c r="R80" s="184"/>
      <c r="S80" s="180" t="str">
        <f t="shared" si="25"/>
        <v>001-001-0000001634</v>
      </c>
      <c r="T80" s="185">
        <v>105397426</v>
      </c>
      <c r="U80" s="90" t="s">
        <v>1345</v>
      </c>
    </row>
    <row r="81" spans="1:21" s="176" customFormat="1" ht="19">
      <c r="A81" s="176">
        <v>76</v>
      </c>
      <c r="B81" s="187">
        <v>45841</v>
      </c>
      <c r="C81" s="180" t="s">
        <v>1340</v>
      </c>
      <c r="D81" s="180" t="s">
        <v>1341</v>
      </c>
      <c r="E81" s="181">
        <v>112580027</v>
      </c>
      <c r="F81" s="179" t="str">
        <f t="shared" si="23"/>
        <v>GBC 75030 KBB CRISTAL COCINA GAS</v>
      </c>
      <c r="G81" s="180" t="s">
        <v>1343</v>
      </c>
      <c r="H81" s="181" t="s">
        <v>24</v>
      </c>
      <c r="I81" s="181" t="s">
        <v>51</v>
      </c>
      <c r="J81" s="181" t="s">
        <v>52</v>
      </c>
      <c r="K81" s="188">
        <v>45877</v>
      </c>
      <c r="L81" s="189" t="s">
        <v>1344</v>
      </c>
      <c r="M81" s="189" t="s">
        <v>1084</v>
      </c>
      <c r="N81" s="180">
        <v>983567767</v>
      </c>
      <c r="O81" s="183">
        <v>20</v>
      </c>
      <c r="P81" s="181" t="s">
        <v>53</v>
      </c>
      <c r="Q81" s="181" t="s">
        <v>51</v>
      </c>
      <c r="R81" s="184"/>
      <c r="S81" s="180" t="str">
        <f t="shared" ref="S81" si="29">D81</f>
        <v>001-001-0000001634</v>
      </c>
      <c r="T81" s="185">
        <v>105397426</v>
      </c>
      <c r="U81" s="90" t="s">
        <v>1345</v>
      </c>
    </row>
    <row r="82" spans="1:21" s="176" customFormat="1" ht="19">
      <c r="A82" s="176">
        <v>77</v>
      </c>
      <c r="B82" s="187">
        <v>45877</v>
      </c>
      <c r="C82" s="180" t="s">
        <v>1061</v>
      </c>
      <c r="D82" s="180" t="s">
        <v>1346</v>
      </c>
      <c r="E82" s="181">
        <v>112580027</v>
      </c>
      <c r="F82" s="179" t="str">
        <f t="shared" si="23"/>
        <v>GBC 75030 KBB CRISTAL COCINA GAS</v>
      </c>
      <c r="G82" s="180" t="s">
        <v>1347</v>
      </c>
      <c r="H82" s="181" t="s">
        <v>24</v>
      </c>
      <c r="I82" s="181" t="s">
        <v>51</v>
      </c>
      <c r="J82" s="181" t="s">
        <v>52</v>
      </c>
      <c r="K82" s="188">
        <v>45877</v>
      </c>
      <c r="L82" s="189" t="s">
        <v>1349</v>
      </c>
      <c r="M82" s="189" t="s">
        <v>1067</v>
      </c>
      <c r="N82" s="180">
        <v>9733935125</v>
      </c>
      <c r="O82" s="183">
        <v>20</v>
      </c>
      <c r="P82" s="181" t="s">
        <v>53</v>
      </c>
      <c r="Q82" s="181" t="s">
        <v>51</v>
      </c>
      <c r="R82" s="184"/>
      <c r="S82" s="180" t="str">
        <f t="shared" si="25"/>
        <v>043-903-000087380</v>
      </c>
      <c r="T82" s="185">
        <v>301409314</v>
      </c>
      <c r="U82" s="90" t="s">
        <v>1350</v>
      </c>
    </row>
    <row r="83" spans="1:21" s="176" customFormat="1" ht="19">
      <c r="A83" s="176">
        <v>78</v>
      </c>
      <c r="B83" s="187">
        <v>45877</v>
      </c>
      <c r="C83" s="180" t="s">
        <v>1061</v>
      </c>
      <c r="D83" s="180" t="s">
        <v>1346</v>
      </c>
      <c r="E83" s="181">
        <v>111010040</v>
      </c>
      <c r="F83" s="179" t="str">
        <f t="shared" si="23"/>
        <v>HSB 610 NEGRO HORNO ELEC</v>
      </c>
      <c r="G83" s="180" t="s">
        <v>1348</v>
      </c>
      <c r="H83" s="181" t="s">
        <v>24</v>
      </c>
      <c r="I83" s="181" t="s">
        <v>51</v>
      </c>
      <c r="J83" s="181" t="s">
        <v>52</v>
      </c>
      <c r="K83" s="188">
        <v>45877</v>
      </c>
      <c r="L83" s="189" t="s">
        <v>1349</v>
      </c>
      <c r="M83" s="189" t="s">
        <v>1067</v>
      </c>
      <c r="N83" s="180">
        <v>9733935125</v>
      </c>
      <c r="O83" s="183">
        <v>20</v>
      </c>
      <c r="P83" s="181" t="s">
        <v>53</v>
      </c>
      <c r="Q83" s="181" t="s">
        <v>51</v>
      </c>
      <c r="R83" s="184"/>
      <c r="S83" s="180" t="str">
        <f t="shared" ref="S83" si="30">D83</f>
        <v>043-903-000087380</v>
      </c>
      <c r="T83" s="185">
        <v>301409314</v>
      </c>
      <c r="U83" s="90" t="s">
        <v>1350</v>
      </c>
    </row>
    <row r="84" spans="1:21" s="176" customFormat="1" ht="19">
      <c r="A84" s="176">
        <v>79</v>
      </c>
      <c r="B84" s="187">
        <v>45835</v>
      </c>
      <c r="C84" s="180" t="s">
        <v>1046</v>
      </c>
      <c r="D84" s="180" t="s">
        <v>1351</v>
      </c>
      <c r="E84" s="181">
        <v>112580017</v>
      </c>
      <c r="F84" s="179" t="str">
        <f t="shared" si="23"/>
        <v>GBC 64000 KBB CRISTAL COCINA GAS</v>
      </c>
      <c r="G84" s="180" t="s">
        <v>1352</v>
      </c>
      <c r="H84" s="181" t="s">
        <v>24</v>
      </c>
      <c r="I84" s="181" t="s">
        <v>51</v>
      </c>
      <c r="J84" s="181" t="s">
        <v>52</v>
      </c>
      <c r="K84" s="188">
        <v>45877</v>
      </c>
      <c r="L84" s="189" t="s">
        <v>1353</v>
      </c>
      <c r="M84" s="189" t="s">
        <v>1354</v>
      </c>
      <c r="N84" s="180">
        <v>984940306</v>
      </c>
      <c r="O84" s="183">
        <v>20</v>
      </c>
      <c r="P84" s="181" t="s">
        <v>53</v>
      </c>
      <c r="Q84" s="181" t="s">
        <v>51</v>
      </c>
      <c r="R84" s="184"/>
      <c r="S84" s="180" t="str">
        <f t="shared" si="25"/>
        <v>001-500-000074541</v>
      </c>
      <c r="T84" s="185">
        <v>1033358016</v>
      </c>
      <c r="U84" s="90" t="s">
        <v>1355</v>
      </c>
    </row>
    <row r="85" spans="1:21" s="176" customFormat="1" ht="19">
      <c r="A85" s="176">
        <v>80</v>
      </c>
      <c r="B85" s="187">
        <v>45835</v>
      </c>
      <c r="C85" s="180" t="s">
        <v>1046</v>
      </c>
      <c r="D85" s="180" t="s">
        <v>1351</v>
      </c>
      <c r="E85" s="181">
        <v>40446712</v>
      </c>
      <c r="F85" s="179" t="str">
        <f t="shared" si="23"/>
        <v>GFH 73 INOX CAMPANA (110V-60HZ) C/KIT</v>
      </c>
      <c r="G85" s="180" t="s">
        <v>1356</v>
      </c>
      <c r="H85" s="181" t="s">
        <v>24</v>
      </c>
      <c r="I85" s="181" t="s">
        <v>51</v>
      </c>
      <c r="J85" s="181" t="s">
        <v>52</v>
      </c>
      <c r="K85" s="188">
        <v>45877</v>
      </c>
      <c r="L85" s="189" t="s">
        <v>1353</v>
      </c>
      <c r="M85" s="189" t="s">
        <v>1354</v>
      </c>
      <c r="N85" s="180">
        <v>984940306</v>
      </c>
      <c r="O85" s="183">
        <v>20</v>
      </c>
      <c r="P85" s="181" t="s">
        <v>53</v>
      </c>
      <c r="Q85" s="181" t="s">
        <v>51</v>
      </c>
      <c r="R85" s="184"/>
      <c r="S85" s="180" t="str">
        <f t="shared" ref="S85" si="31">D85</f>
        <v>001-500-000074541</v>
      </c>
      <c r="T85" s="185">
        <v>1033358016</v>
      </c>
      <c r="U85" s="90" t="s">
        <v>1355</v>
      </c>
    </row>
    <row r="86" spans="1:21" s="176" customFormat="1" ht="19">
      <c r="A86" s="176">
        <v>81</v>
      </c>
      <c r="B86" s="187">
        <v>45773</v>
      </c>
      <c r="C86" s="180" t="s">
        <v>1046</v>
      </c>
      <c r="D86" s="180" t="s">
        <v>1475</v>
      </c>
      <c r="E86" s="181">
        <v>111000051</v>
      </c>
      <c r="F86" s="179" t="str">
        <f t="shared" si="23"/>
        <v>HLB 8416 "AIR FRY" - HORNO ELEC</v>
      </c>
      <c r="G86" s="180" t="s">
        <v>1476</v>
      </c>
      <c r="H86" s="181" t="s">
        <v>24</v>
      </c>
      <c r="I86" s="181" t="s">
        <v>51</v>
      </c>
      <c r="J86" s="181" t="s">
        <v>52</v>
      </c>
      <c r="K86" s="188">
        <v>45881</v>
      </c>
      <c r="L86" s="189" t="s">
        <v>1474</v>
      </c>
      <c r="M86" s="189" t="s">
        <v>1477</v>
      </c>
      <c r="N86" s="180">
        <v>983563405</v>
      </c>
      <c r="O86" s="183">
        <v>20</v>
      </c>
      <c r="P86" s="181" t="s">
        <v>53</v>
      </c>
      <c r="Q86" s="181" t="s">
        <v>51</v>
      </c>
      <c r="R86" s="184"/>
      <c r="S86" s="180" t="str">
        <f t="shared" si="25"/>
        <v>001-500-000072805</v>
      </c>
      <c r="T86" s="185">
        <v>105784219</v>
      </c>
      <c r="U86" s="90" t="s">
        <v>1478</v>
      </c>
    </row>
    <row r="87" spans="1:21" s="176" customFormat="1" ht="19">
      <c r="A87" s="176">
        <v>82</v>
      </c>
      <c r="B87" s="187">
        <v>45773</v>
      </c>
      <c r="C87" s="180" t="s">
        <v>1046</v>
      </c>
      <c r="D87" s="180" t="s">
        <v>1475</v>
      </c>
      <c r="E87" s="181">
        <v>112580027</v>
      </c>
      <c r="F87" s="179" t="str">
        <f t="shared" si="23"/>
        <v>GBC 75030 KBB CRISTAL COCINA GAS</v>
      </c>
      <c r="G87" s="180" t="s">
        <v>1479</v>
      </c>
      <c r="H87" s="181" t="s">
        <v>24</v>
      </c>
      <c r="I87" s="181" t="s">
        <v>51</v>
      </c>
      <c r="J87" s="181" t="s">
        <v>52</v>
      </c>
      <c r="K87" s="188">
        <v>45881</v>
      </c>
      <c r="L87" s="189" t="s">
        <v>1474</v>
      </c>
      <c r="M87" s="189" t="s">
        <v>1477</v>
      </c>
      <c r="N87" s="180">
        <v>983563405</v>
      </c>
      <c r="O87" s="183">
        <v>20</v>
      </c>
      <c r="P87" s="181" t="s">
        <v>53</v>
      </c>
      <c r="Q87" s="181" t="s">
        <v>51</v>
      </c>
      <c r="R87" s="184"/>
      <c r="S87" s="180" t="str">
        <f t="shared" ref="S87" si="32">D87</f>
        <v>001-500-000072805</v>
      </c>
      <c r="T87" s="185">
        <v>105784219</v>
      </c>
      <c r="U87" s="90" t="s">
        <v>1478</v>
      </c>
    </row>
    <row r="88" spans="1:21" s="176" customFormat="1" ht="19">
      <c r="A88" s="176">
        <v>83</v>
      </c>
      <c r="B88" s="187">
        <v>45682</v>
      </c>
      <c r="C88" s="180" t="s">
        <v>1061</v>
      </c>
      <c r="D88" s="180" t="s">
        <v>1480</v>
      </c>
      <c r="E88" s="181">
        <v>40782128</v>
      </c>
      <c r="F88" s="179" t="str">
        <f t="shared" ref="F88:F111" si="33">VLOOKUP(E88,PROD,2,FALSE)</f>
        <v>DW8 57 FIM-D LAVAVAJILLAS</v>
      </c>
      <c r="G88" s="180" t="s">
        <v>1481</v>
      </c>
      <c r="H88" s="181" t="s">
        <v>24</v>
      </c>
      <c r="I88" s="181" t="s">
        <v>51</v>
      </c>
      <c r="J88" s="181" t="s">
        <v>52</v>
      </c>
      <c r="K88" s="188">
        <v>45882</v>
      </c>
      <c r="L88" s="189" t="s">
        <v>1482</v>
      </c>
      <c r="M88" s="189" t="s">
        <v>1483</v>
      </c>
      <c r="N88" s="180">
        <v>974708255</v>
      </c>
      <c r="O88" s="183">
        <v>15</v>
      </c>
      <c r="P88" s="181" t="s">
        <v>53</v>
      </c>
      <c r="Q88" s="181" t="s">
        <v>51</v>
      </c>
      <c r="R88" s="184"/>
      <c r="S88" s="180" t="str">
        <f t="shared" ref="S88" si="34">D88</f>
        <v>043-905-000034640</v>
      </c>
      <c r="T88" s="185">
        <v>104483367</v>
      </c>
      <c r="U88" s="90" t="s">
        <v>1484</v>
      </c>
    </row>
    <row r="89" spans="1:21" s="176" customFormat="1" ht="19">
      <c r="A89" s="176">
        <v>84</v>
      </c>
      <c r="B89" s="187">
        <v>45382</v>
      </c>
      <c r="C89" s="180" t="s">
        <v>1172</v>
      </c>
      <c r="D89" s="180" t="s">
        <v>1487</v>
      </c>
      <c r="E89" s="181">
        <v>112610071</v>
      </c>
      <c r="F89" s="179" t="str">
        <f t="shared" si="33"/>
        <v>GSC 64320 XBA IX (LAT) COCINA INOX</v>
      </c>
      <c r="G89" s="180" t="s">
        <v>1485</v>
      </c>
      <c r="H89" s="181" t="s">
        <v>24</v>
      </c>
      <c r="I89" s="181" t="s">
        <v>51</v>
      </c>
      <c r="J89" s="181" t="s">
        <v>52</v>
      </c>
      <c r="K89" s="188">
        <v>45882</v>
      </c>
      <c r="L89" s="189" t="s">
        <v>1482</v>
      </c>
      <c r="M89" s="189" t="s">
        <v>1483</v>
      </c>
      <c r="N89" s="180">
        <v>974708255</v>
      </c>
      <c r="O89" s="183">
        <v>15</v>
      </c>
      <c r="P89" s="181" t="s">
        <v>53</v>
      </c>
      <c r="Q89" s="181" t="s">
        <v>51</v>
      </c>
      <c r="R89" s="184"/>
      <c r="S89" s="180" t="str">
        <f t="shared" ref="S89:S90" si="35">D89</f>
        <v>040-103-000004141</v>
      </c>
      <c r="T89" s="185">
        <v>104483367</v>
      </c>
      <c r="U89" s="90" t="s">
        <v>1484</v>
      </c>
    </row>
    <row r="90" spans="1:21" s="176" customFormat="1" ht="19">
      <c r="A90" s="176">
        <v>85</v>
      </c>
      <c r="B90" s="187">
        <v>45682</v>
      </c>
      <c r="C90" s="180" t="s">
        <v>1061</v>
      </c>
      <c r="D90" s="180" t="s">
        <v>1480</v>
      </c>
      <c r="E90" s="181">
        <v>40584401</v>
      </c>
      <c r="F90" s="179" t="str">
        <f t="shared" si="33"/>
        <v>MLC 844 - MICROONDAS</v>
      </c>
      <c r="G90" s="180" t="s">
        <v>1486</v>
      </c>
      <c r="H90" s="181" t="s">
        <v>24</v>
      </c>
      <c r="I90" s="181" t="s">
        <v>51</v>
      </c>
      <c r="J90" s="181" t="s">
        <v>52</v>
      </c>
      <c r="K90" s="188">
        <v>45882</v>
      </c>
      <c r="L90" s="189" t="s">
        <v>1482</v>
      </c>
      <c r="M90" s="189" t="s">
        <v>1483</v>
      </c>
      <c r="N90" s="180">
        <v>974708255</v>
      </c>
      <c r="O90" s="183">
        <v>15</v>
      </c>
      <c r="P90" s="181" t="s">
        <v>53</v>
      </c>
      <c r="Q90" s="181" t="s">
        <v>51</v>
      </c>
      <c r="R90" s="184"/>
      <c r="S90" s="180" t="str">
        <f t="shared" si="35"/>
        <v>043-905-000034640</v>
      </c>
      <c r="T90" s="185">
        <v>104483367</v>
      </c>
      <c r="U90" s="90" t="s">
        <v>1484</v>
      </c>
    </row>
    <row r="91" spans="1:21" s="176" customFormat="1" ht="19">
      <c r="A91" s="176">
        <v>86</v>
      </c>
      <c r="B91" s="187">
        <v>45780</v>
      </c>
      <c r="C91" s="180" t="s">
        <v>1046</v>
      </c>
      <c r="D91" s="180" t="s">
        <v>1494</v>
      </c>
      <c r="E91" s="181">
        <v>112580058</v>
      </c>
      <c r="F91" s="179" t="str">
        <f t="shared" si="33"/>
        <v>GBC 95030 KBB BK COCINA GAS</v>
      </c>
      <c r="G91" s="180" t="s">
        <v>1489</v>
      </c>
      <c r="H91" s="181" t="s">
        <v>24</v>
      </c>
      <c r="I91" s="181" t="s">
        <v>51</v>
      </c>
      <c r="J91" s="181" t="s">
        <v>52</v>
      </c>
      <c r="K91" s="188">
        <v>45882</v>
      </c>
      <c r="L91" s="189" t="s">
        <v>1491</v>
      </c>
      <c r="M91" s="189" t="s">
        <v>1492</v>
      </c>
      <c r="N91" s="180">
        <v>987519109</v>
      </c>
      <c r="O91" s="183">
        <v>20</v>
      </c>
      <c r="P91" s="181" t="s">
        <v>53</v>
      </c>
      <c r="Q91" s="181" t="s">
        <v>51</v>
      </c>
      <c r="R91" s="184"/>
      <c r="S91" s="180" t="str">
        <f t="shared" ref="S91" si="36">D91</f>
        <v>001-500-000073019</v>
      </c>
      <c r="T91" s="185">
        <v>104671938</v>
      </c>
      <c r="U91" s="90" t="s">
        <v>1493</v>
      </c>
    </row>
    <row r="92" spans="1:21" s="176" customFormat="1" ht="19">
      <c r="A92" s="176">
        <v>87</v>
      </c>
      <c r="B92" s="187">
        <v>45878</v>
      </c>
      <c r="C92" s="180" t="s">
        <v>1046</v>
      </c>
      <c r="D92" s="180" t="s">
        <v>1488</v>
      </c>
      <c r="E92" s="181">
        <v>111010040</v>
      </c>
      <c r="F92" s="179" t="str">
        <f t="shared" si="33"/>
        <v>HSB 610 NEGRO HORNO ELEC</v>
      </c>
      <c r="G92" s="180" t="s">
        <v>1490</v>
      </c>
      <c r="H92" s="181" t="s">
        <v>24</v>
      </c>
      <c r="I92" s="181" t="s">
        <v>51</v>
      </c>
      <c r="J92" s="181" t="s">
        <v>52</v>
      </c>
      <c r="K92" s="188">
        <v>45882</v>
      </c>
      <c r="L92" s="189" t="s">
        <v>1491</v>
      </c>
      <c r="M92" s="189" t="s">
        <v>1492</v>
      </c>
      <c r="N92" s="180">
        <v>987519109</v>
      </c>
      <c r="O92" s="183">
        <v>20</v>
      </c>
      <c r="P92" s="181" t="s">
        <v>53</v>
      </c>
      <c r="Q92" s="181" t="s">
        <v>51</v>
      </c>
      <c r="R92" s="184"/>
      <c r="S92" s="180" t="str">
        <f t="shared" ref="S92" si="37">D92</f>
        <v>001-500-000075842</v>
      </c>
      <c r="T92" s="185">
        <v>104671938</v>
      </c>
      <c r="U92" s="90" t="s">
        <v>1493</v>
      </c>
    </row>
    <row r="93" spans="1:21" s="176" customFormat="1" ht="19">
      <c r="A93" s="176">
        <v>88</v>
      </c>
      <c r="B93" s="187">
        <v>45632</v>
      </c>
      <c r="C93" s="180" t="s">
        <v>1046</v>
      </c>
      <c r="D93" s="180" t="s">
        <v>1495</v>
      </c>
      <c r="E93" s="181">
        <v>112960004</v>
      </c>
      <c r="F93" s="179" t="str">
        <f t="shared" si="33"/>
        <v>DPL 980 CAMPANA (110V-60HZ) C/KIT</v>
      </c>
      <c r="G93" s="180" t="s">
        <v>1496</v>
      </c>
      <c r="H93" s="181" t="s">
        <v>24</v>
      </c>
      <c r="I93" s="181" t="s">
        <v>51</v>
      </c>
      <c r="J93" s="181" t="s">
        <v>52</v>
      </c>
      <c r="K93" s="188">
        <v>45883</v>
      </c>
      <c r="L93" s="189" t="s">
        <v>1498</v>
      </c>
      <c r="M93" s="189" t="s">
        <v>1220</v>
      </c>
      <c r="N93" s="180">
        <v>998470332</v>
      </c>
      <c r="O93" s="183">
        <v>30</v>
      </c>
      <c r="P93" s="181" t="s">
        <v>53</v>
      </c>
      <c r="Q93" s="181" t="s">
        <v>51</v>
      </c>
      <c r="R93" s="184"/>
      <c r="S93" s="180" t="str">
        <f t="shared" ref="S93:S95" si="38">D93</f>
        <v>001-500-000068848</v>
      </c>
      <c r="T93" s="185">
        <v>152551396</v>
      </c>
      <c r="U93" s="90" t="s">
        <v>1499</v>
      </c>
    </row>
    <row r="94" spans="1:21" s="176" customFormat="1" ht="19">
      <c r="A94" s="176">
        <v>89</v>
      </c>
      <c r="B94" s="187">
        <v>45632</v>
      </c>
      <c r="C94" s="180" t="s">
        <v>1046</v>
      </c>
      <c r="D94" s="180" t="s">
        <v>1495</v>
      </c>
      <c r="E94" s="181">
        <v>112500048</v>
      </c>
      <c r="F94" s="179" t="str">
        <f t="shared" si="33"/>
        <v>IZS 97630 MST COCINA INDUCCION</v>
      </c>
      <c r="G94" s="180" t="s">
        <v>1497</v>
      </c>
      <c r="H94" s="181" t="s">
        <v>24</v>
      </c>
      <c r="I94" s="181" t="s">
        <v>51</v>
      </c>
      <c r="J94" s="181" t="s">
        <v>52</v>
      </c>
      <c r="K94" s="188">
        <v>45883</v>
      </c>
      <c r="L94" s="189" t="s">
        <v>1498</v>
      </c>
      <c r="M94" s="189" t="s">
        <v>1220</v>
      </c>
      <c r="N94" s="180">
        <v>998470332</v>
      </c>
      <c r="O94" s="183">
        <v>20</v>
      </c>
      <c r="P94" s="181" t="s">
        <v>53</v>
      </c>
      <c r="Q94" s="181" t="s">
        <v>51</v>
      </c>
      <c r="R94" s="184"/>
      <c r="S94" s="180" t="str">
        <f t="shared" ref="S94" si="39">D94</f>
        <v>001-500-000068848</v>
      </c>
      <c r="T94" s="185">
        <v>152551396</v>
      </c>
      <c r="U94" s="90" t="s">
        <v>1499</v>
      </c>
    </row>
    <row r="95" spans="1:21" s="176" customFormat="1" ht="19">
      <c r="A95" s="176">
        <v>90</v>
      </c>
      <c r="B95" s="187">
        <v>45687</v>
      </c>
      <c r="C95" s="180" t="s">
        <v>1210</v>
      </c>
      <c r="D95" s="180" t="s">
        <v>1534</v>
      </c>
      <c r="E95" s="181">
        <v>112570068</v>
      </c>
      <c r="F95" s="179" t="str">
        <f t="shared" si="33"/>
        <v>GZC 95320 XBB CRISTAL COCINA GAS</v>
      </c>
      <c r="G95" s="180" t="s">
        <v>1535</v>
      </c>
      <c r="H95" s="181" t="s">
        <v>24</v>
      </c>
      <c r="I95" s="181" t="s">
        <v>51</v>
      </c>
      <c r="J95" s="181" t="s">
        <v>52</v>
      </c>
      <c r="K95" s="188">
        <v>45883</v>
      </c>
      <c r="L95" s="189" t="s">
        <v>1538</v>
      </c>
      <c r="M95" s="189" t="s">
        <v>1492</v>
      </c>
      <c r="N95" s="180">
        <v>989546457</v>
      </c>
      <c r="O95" s="183">
        <v>15</v>
      </c>
      <c r="P95" s="181" t="s">
        <v>53</v>
      </c>
      <c r="Q95" s="181" t="s">
        <v>51</v>
      </c>
      <c r="R95" s="184"/>
      <c r="S95" s="180" t="str">
        <f t="shared" si="38"/>
        <v>006-002-000157433</v>
      </c>
      <c r="T95" s="185" t="s">
        <v>1539</v>
      </c>
      <c r="U95" s="90" t="s">
        <v>1540</v>
      </c>
    </row>
    <row r="96" spans="1:21" s="176" customFormat="1" ht="19">
      <c r="A96" s="176">
        <v>91</v>
      </c>
      <c r="B96" s="187">
        <v>45687</v>
      </c>
      <c r="C96" s="180" t="s">
        <v>1210</v>
      </c>
      <c r="D96" s="180" t="s">
        <v>1534</v>
      </c>
      <c r="E96" s="181">
        <v>112030019</v>
      </c>
      <c r="F96" s="179" t="str">
        <f t="shared" si="33"/>
        <v>ML 8220 BIS FBK- MICROONDAS</v>
      </c>
      <c r="G96" s="180" t="s">
        <v>1536</v>
      </c>
      <c r="H96" s="181" t="s">
        <v>24</v>
      </c>
      <c r="I96" s="181" t="s">
        <v>51</v>
      </c>
      <c r="J96" s="181" t="s">
        <v>52</v>
      </c>
      <c r="K96" s="188">
        <v>45883</v>
      </c>
      <c r="L96" s="189" t="s">
        <v>1538</v>
      </c>
      <c r="M96" s="189" t="s">
        <v>1492</v>
      </c>
      <c r="N96" s="180">
        <v>989546457</v>
      </c>
      <c r="O96" s="183">
        <v>15</v>
      </c>
      <c r="P96" s="181" t="s">
        <v>53</v>
      </c>
      <c r="Q96" s="181" t="s">
        <v>51</v>
      </c>
      <c r="R96" s="184"/>
      <c r="S96" s="180" t="str">
        <f t="shared" ref="S96:S97" si="40">D96</f>
        <v>006-002-000157433</v>
      </c>
      <c r="T96" s="185" t="s">
        <v>1539</v>
      </c>
      <c r="U96" s="90" t="s">
        <v>1540</v>
      </c>
    </row>
    <row r="97" spans="1:21" s="176" customFormat="1" ht="19">
      <c r="A97" s="176">
        <v>92</v>
      </c>
      <c r="B97" s="187">
        <v>45687</v>
      </c>
      <c r="C97" s="180" t="s">
        <v>1210</v>
      </c>
      <c r="D97" s="180" t="s">
        <v>1534</v>
      </c>
      <c r="E97" s="181">
        <v>111000078</v>
      </c>
      <c r="F97" s="179" t="str">
        <f t="shared" si="33"/>
        <v>HLB 8400 FBK HORNO ELEC</v>
      </c>
      <c r="G97" s="180" t="s">
        <v>1537</v>
      </c>
      <c r="H97" s="181" t="s">
        <v>24</v>
      </c>
      <c r="I97" s="181" t="s">
        <v>51</v>
      </c>
      <c r="J97" s="181" t="s">
        <v>52</v>
      </c>
      <c r="K97" s="188">
        <v>45883</v>
      </c>
      <c r="L97" s="189" t="s">
        <v>1538</v>
      </c>
      <c r="M97" s="189" t="s">
        <v>1492</v>
      </c>
      <c r="N97" s="180">
        <v>989546457</v>
      </c>
      <c r="O97" s="183">
        <v>15</v>
      </c>
      <c r="P97" s="181" t="s">
        <v>53</v>
      </c>
      <c r="Q97" s="181" t="s">
        <v>51</v>
      </c>
      <c r="R97" s="184"/>
      <c r="S97" s="180" t="str">
        <f t="shared" si="40"/>
        <v>006-002-000157433</v>
      </c>
      <c r="T97" s="185" t="s">
        <v>1539</v>
      </c>
      <c r="U97" s="90" t="s">
        <v>1540</v>
      </c>
    </row>
    <row r="98" spans="1:21" s="176" customFormat="1" ht="19">
      <c r="A98" s="176">
        <v>93</v>
      </c>
      <c r="B98" s="187">
        <v>45375</v>
      </c>
      <c r="C98" s="180" t="s">
        <v>1061</v>
      </c>
      <c r="D98" s="180" t="s">
        <v>1588</v>
      </c>
      <c r="E98" s="181">
        <v>111030002</v>
      </c>
      <c r="F98" s="179" t="str">
        <f t="shared" si="33"/>
        <v>HLB 760 G SS HORNO A GAS</v>
      </c>
      <c r="G98" s="180" t="s">
        <v>1592</v>
      </c>
      <c r="H98" s="181" t="s">
        <v>24</v>
      </c>
      <c r="I98" s="181" t="s">
        <v>51</v>
      </c>
      <c r="J98" s="181" t="s">
        <v>52</v>
      </c>
      <c r="K98" s="188">
        <v>45884</v>
      </c>
      <c r="L98" s="189" t="s">
        <v>1593</v>
      </c>
      <c r="M98" s="189" t="s">
        <v>1594</v>
      </c>
      <c r="N98" s="180">
        <v>998445658</v>
      </c>
      <c r="O98" s="183">
        <v>15</v>
      </c>
      <c r="P98" s="181" t="s">
        <v>53</v>
      </c>
      <c r="Q98" s="181" t="s">
        <v>51</v>
      </c>
      <c r="R98" s="184"/>
      <c r="S98" s="180" t="str">
        <f t="shared" ref="S98" si="41">D98</f>
        <v>016-902-000502715</v>
      </c>
      <c r="T98" s="185">
        <v>105351738</v>
      </c>
      <c r="U98" s="90" t="s">
        <v>1595</v>
      </c>
    </row>
    <row r="99" spans="1:21" s="176" customFormat="1" ht="19">
      <c r="A99" s="176">
        <v>94</v>
      </c>
      <c r="B99" s="187">
        <v>45375</v>
      </c>
      <c r="C99" s="180" t="s">
        <v>1061</v>
      </c>
      <c r="D99" s="180" t="s">
        <v>1588</v>
      </c>
      <c r="E99" s="181">
        <v>112580058</v>
      </c>
      <c r="F99" s="179" t="str">
        <f t="shared" si="33"/>
        <v>GBC 95030 KBB BK COCINA GAS</v>
      </c>
      <c r="G99" s="180" t="s">
        <v>1591</v>
      </c>
      <c r="H99" s="181" t="s">
        <v>24</v>
      </c>
      <c r="I99" s="181" t="s">
        <v>51</v>
      </c>
      <c r="J99" s="181" t="s">
        <v>52</v>
      </c>
      <c r="K99" s="188">
        <v>45884</v>
      </c>
      <c r="L99" s="189" t="s">
        <v>1593</v>
      </c>
      <c r="M99" s="189" t="s">
        <v>1594</v>
      </c>
      <c r="N99" s="180">
        <v>998445658</v>
      </c>
      <c r="O99" s="183">
        <v>15</v>
      </c>
      <c r="P99" s="181" t="s">
        <v>53</v>
      </c>
      <c r="Q99" s="181" t="s">
        <v>51</v>
      </c>
      <c r="R99" s="184"/>
      <c r="S99" s="180" t="str">
        <f t="shared" ref="S99:S101" si="42">D99</f>
        <v>016-902-000502715</v>
      </c>
      <c r="T99" s="185">
        <v>105351738</v>
      </c>
      <c r="U99" s="90" t="s">
        <v>1595</v>
      </c>
    </row>
    <row r="100" spans="1:21" s="176" customFormat="1" ht="19">
      <c r="A100" s="176">
        <v>95</v>
      </c>
      <c r="B100" s="187">
        <v>45375</v>
      </c>
      <c r="C100" s="180" t="s">
        <v>1061</v>
      </c>
      <c r="D100" s="180" t="s">
        <v>1588</v>
      </c>
      <c r="E100" s="181">
        <v>40455334</v>
      </c>
      <c r="F100" s="179" t="str">
        <f t="shared" si="33"/>
        <v>NC 980 CRISTAL CAMPANA (110V-60HZ) C/KIT</v>
      </c>
      <c r="G100" s="180" t="s">
        <v>1590</v>
      </c>
      <c r="H100" s="181" t="s">
        <v>24</v>
      </c>
      <c r="I100" s="181" t="s">
        <v>51</v>
      </c>
      <c r="J100" s="181" t="s">
        <v>52</v>
      </c>
      <c r="K100" s="188">
        <v>45884</v>
      </c>
      <c r="L100" s="189" t="s">
        <v>1593</v>
      </c>
      <c r="M100" s="189" t="s">
        <v>1594</v>
      </c>
      <c r="N100" s="180">
        <v>998445658</v>
      </c>
      <c r="O100" s="183">
        <v>15</v>
      </c>
      <c r="P100" s="181" t="s">
        <v>53</v>
      </c>
      <c r="Q100" s="181" t="s">
        <v>51</v>
      </c>
      <c r="R100" s="184"/>
      <c r="S100" s="180" t="str">
        <f t="shared" si="42"/>
        <v>016-902-000502715</v>
      </c>
      <c r="T100" s="185">
        <v>105351738</v>
      </c>
      <c r="U100" s="90" t="s">
        <v>1595</v>
      </c>
    </row>
    <row r="101" spans="1:21" s="176" customFormat="1" ht="19">
      <c r="A101" s="176">
        <v>96</v>
      </c>
      <c r="B101" s="187">
        <v>45375</v>
      </c>
      <c r="C101" s="180" t="s">
        <v>1061</v>
      </c>
      <c r="D101" s="180" t="s">
        <v>1588</v>
      </c>
      <c r="E101" s="181">
        <v>113430051</v>
      </c>
      <c r="F101" s="179" t="str">
        <f t="shared" si="33"/>
        <v>RMF 77960 GBK MX REFRIGERADORA</v>
      </c>
      <c r="G101" s="180" t="s">
        <v>1589</v>
      </c>
      <c r="H101" s="181" t="s">
        <v>24</v>
      </c>
      <c r="I101" s="181" t="s">
        <v>51</v>
      </c>
      <c r="J101" s="181" t="s">
        <v>52</v>
      </c>
      <c r="K101" s="188">
        <v>45884</v>
      </c>
      <c r="L101" s="189" t="s">
        <v>1593</v>
      </c>
      <c r="M101" s="189" t="s">
        <v>1594</v>
      </c>
      <c r="N101" s="180">
        <v>998445658</v>
      </c>
      <c r="O101" s="183">
        <v>15</v>
      </c>
      <c r="P101" s="181" t="s">
        <v>53</v>
      </c>
      <c r="Q101" s="181" t="s">
        <v>51</v>
      </c>
      <c r="R101" s="184"/>
      <c r="S101" s="180" t="str">
        <f t="shared" si="42"/>
        <v>016-902-000502715</v>
      </c>
      <c r="T101" s="185">
        <v>105351738</v>
      </c>
      <c r="U101" s="90" t="s">
        <v>1595</v>
      </c>
    </row>
    <row r="102" spans="1:21" s="176" customFormat="1" ht="19">
      <c r="A102" s="176">
        <v>97</v>
      </c>
      <c r="B102" s="187">
        <v>45772</v>
      </c>
      <c r="C102" s="180" t="s">
        <v>1061</v>
      </c>
      <c r="D102" s="180" t="s">
        <v>1604</v>
      </c>
      <c r="E102" s="181">
        <v>113430051</v>
      </c>
      <c r="F102" s="179" t="str">
        <f t="shared" si="33"/>
        <v>RMF 77960 GBK MX REFRIGERADORA</v>
      </c>
      <c r="G102" s="180" t="s">
        <v>1600</v>
      </c>
      <c r="H102" s="181" t="s">
        <v>24</v>
      </c>
      <c r="I102" s="181" t="s">
        <v>51</v>
      </c>
      <c r="J102" s="181" t="s">
        <v>52</v>
      </c>
      <c r="K102" s="188">
        <v>45884</v>
      </c>
      <c r="L102" s="189" t="s">
        <v>1601</v>
      </c>
      <c r="M102" s="189" t="s">
        <v>1602</v>
      </c>
      <c r="N102" s="180">
        <v>984243154</v>
      </c>
      <c r="O102" s="183">
        <v>15</v>
      </c>
      <c r="P102" s="181" t="s">
        <v>53</v>
      </c>
      <c r="Q102" s="181" t="s">
        <v>51</v>
      </c>
      <c r="R102" s="184"/>
      <c r="S102" s="180" t="str">
        <f t="shared" ref="S102:S106" si="43">D102</f>
        <v>043-905-000070432</v>
      </c>
      <c r="T102" s="185">
        <v>302111521</v>
      </c>
      <c r="U102" s="90" t="s">
        <v>1603</v>
      </c>
    </row>
    <row r="103" spans="1:21" s="176" customFormat="1" ht="19">
      <c r="A103" s="176">
        <v>98</v>
      </c>
      <c r="B103" s="187">
        <v>45956</v>
      </c>
      <c r="C103" s="180" t="s">
        <v>1046</v>
      </c>
      <c r="D103" s="180" t="s">
        <v>1596</v>
      </c>
      <c r="E103" s="181">
        <v>112580027</v>
      </c>
      <c r="F103" s="179" t="str">
        <f t="shared" si="33"/>
        <v>GBC 75030 KBB CRISTAL COCINA GAS</v>
      </c>
      <c r="G103" s="180" t="s">
        <v>1599</v>
      </c>
      <c r="H103" s="181" t="s">
        <v>24</v>
      </c>
      <c r="I103" s="181" t="s">
        <v>51</v>
      </c>
      <c r="J103" s="181" t="s">
        <v>52</v>
      </c>
      <c r="K103" s="188">
        <v>45884</v>
      </c>
      <c r="L103" s="189" t="s">
        <v>1601</v>
      </c>
      <c r="M103" s="189" t="s">
        <v>1602</v>
      </c>
      <c r="N103" s="180">
        <v>984243154</v>
      </c>
      <c r="O103" s="183">
        <v>15</v>
      </c>
      <c r="P103" s="181" t="s">
        <v>53</v>
      </c>
      <c r="Q103" s="181" t="s">
        <v>51</v>
      </c>
      <c r="R103" s="184"/>
      <c r="S103" s="180" t="str">
        <f t="shared" ref="S103:S105" si="44">D103</f>
        <v>001-500-000067476</v>
      </c>
      <c r="T103" s="185">
        <v>302111521</v>
      </c>
      <c r="U103" s="90" t="s">
        <v>1603</v>
      </c>
    </row>
    <row r="104" spans="1:21" s="176" customFormat="1" ht="19">
      <c r="A104" s="176">
        <v>99</v>
      </c>
      <c r="B104" s="187">
        <v>45772</v>
      </c>
      <c r="C104" s="180" t="s">
        <v>1061</v>
      </c>
      <c r="D104" s="180" t="s">
        <v>1604</v>
      </c>
      <c r="E104" s="181">
        <v>40590830</v>
      </c>
      <c r="F104" s="179" t="str">
        <f t="shared" si="33"/>
        <v>MWG 11X - MICROONDAS</v>
      </c>
      <c r="G104" s="180" t="s">
        <v>1598</v>
      </c>
      <c r="H104" s="181" t="s">
        <v>24</v>
      </c>
      <c r="I104" s="181" t="s">
        <v>51</v>
      </c>
      <c r="J104" s="181" t="s">
        <v>52</v>
      </c>
      <c r="K104" s="188">
        <v>45884</v>
      </c>
      <c r="L104" s="189" t="s">
        <v>1601</v>
      </c>
      <c r="M104" s="189" t="s">
        <v>1602</v>
      </c>
      <c r="N104" s="180">
        <v>984243154</v>
      </c>
      <c r="O104" s="183">
        <v>15</v>
      </c>
      <c r="P104" s="181" t="s">
        <v>53</v>
      </c>
      <c r="Q104" s="181" t="s">
        <v>51</v>
      </c>
      <c r="R104" s="184"/>
      <c r="S104" s="180" t="str">
        <f t="shared" si="44"/>
        <v>043-905-000070432</v>
      </c>
      <c r="T104" s="185">
        <v>302111521</v>
      </c>
      <c r="U104" s="90" t="s">
        <v>1603</v>
      </c>
    </row>
    <row r="105" spans="1:21" s="176" customFormat="1" ht="19">
      <c r="A105" s="176">
        <v>100</v>
      </c>
      <c r="B105" s="187">
        <v>45772</v>
      </c>
      <c r="C105" s="180" t="s">
        <v>1061</v>
      </c>
      <c r="D105" s="180" t="s">
        <v>1604</v>
      </c>
      <c r="E105" s="181">
        <v>111000051</v>
      </c>
      <c r="F105" s="179" t="str">
        <f t="shared" si="33"/>
        <v>HLB 8416 "AIR FRY" - HORNO ELEC</v>
      </c>
      <c r="G105" s="180" t="s">
        <v>1597</v>
      </c>
      <c r="H105" s="181" t="s">
        <v>24</v>
      </c>
      <c r="I105" s="181" t="s">
        <v>51</v>
      </c>
      <c r="J105" s="181" t="s">
        <v>52</v>
      </c>
      <c r="K105" s="188">
        <v>45884</v>
      </c>
      <c r="L105" s="189" t="s">
        <v>1601</v>
      </c>
      <c r="M105" s="189" t="s">
        <v>1602</v>
      </c>
      <c r="N105" s="180">
        <v>984243154</v>
      </c>
      <c r="O105" s="183">
        <v>15</v>
      </c>
      <c r="P105" s="181" t="s">
        <v>53</v>
      </c>
      <c r="Q105" s="181" t="s">
        <v>51</v>
      </c>
      <c r="R105" s="184"/>
      <c r="S105" s="180" t="str">
        <f t="shared" si="44"/>
        <v>043-905-000070432</v>
      </c>
      <c r="T105" s="185">
        <v>302111521</v>
      </c>
      <c r="U105" s="90" t="s">
        <v>1603</v>
      </c>
    </row>
    <row r="106" spans="1:21" s="176" customFormat="1" ht="19">
      <c r="A106" s="176">
        <v>101</v>
      </c>
      <c r="B106" s="187">
        <v>45775</v>
      </c>
      <c r="C106" s="180" t="s">
        <v>1210</v>
      </c>
      <c r="D106" s="180" t="s">
        <v>1605</v>
      </c>
      <c r="E106" s="181">
        <v>112030019</v>
      </c>
      <c r="F106" s="179" t="str">
        <f t="shared" si="33"/>
        <v>ML 8220 BIS FBK- MICROONDAS</v>
      </c>
      <c r="G106" s="180" t="s">
        <v>1606</v>
      </c>
      <c r="H106" s="181" t="s">
        <v>24</v>
      </c>
      <c r="I106" s="181" t="s">
        <v>51</v>
      </c>
      <c r="J106" s="181" t="s">
        <v>52</v>
      </c>
      <c r="K106" s="188">
        <v>45884</v>
      </c>
      <c r="L106" s="189" t="s">
        <v>1610</v>
      </c>
      <c r="M106" s="189" t="s">
        <v>1220</v>
      </c>
      <c r="N106" s="180">
        <v>2989591</v>
      </c>
      <c r="O106" s="183">
        <v>15</v>
      </c>
      <c r="P106" s="181" t="s">
        <v>53</v>
      </c>
      <c r="Q106" s="181" t="s">
        <v>51</v>
      </c>
      <c r="R106" s="184"/>
      <c r="S106" s="180" t="str">
        <f t="shared" si="43"/>
        <v>006-000157912</v>
      </c>
      <c r="T106" s="185">
        <v>152523197</v>
      </c>
      <c r="U106" s="90" t="s">
        <v>1611</v>
      </c>
    </row>
    <row r="107" spans="1:21" s="176" customFormat="1" ht="19">
      <c r="A107" s="176">
        <v>102</v>
      </c>
      <c r="B107" s="187">
        <v>45775</v>
      </c>
      <c r="C107" s="180" t="s">
        <v>1210</v>
      </c>
      <c r="D107" s="180" t="s">
        <v>1605</v>
      </c>
      <c r="E107" s="181">
        <v>112500047</v>
      </c>
      <c r="F107" s="179" t="str">
        <f t="shared" si="33"/>
        <v>IZF 99700 MST COCINA INDUCCION</v>
      </c>
      <c r="G107" s="180" t="s">
        <v>1607</v>
      </c>
      <c r="H107" s="181" t="s">
        <v>24</v>
      </c>
      <c r="I107" s="181" t="s">
        <v>51</v>
      </c>
      <c r="J107" s="181" t="s">
        <v>52</v>
      </c>
      <c r="K107" s="188">
        <v>45884</v>
      </c>
      <c r="L107" s="189" t="s">
        <v>1610</v>
      </c>
      <c r="M107" s="189" t="s">
        <v>1220</v>
      </c>
      <c r="N107" s="180">
        <v>2989591</v>
      </c>
      <c r="O107" s="183">
        <v>15</v>
      </c>
      <c r="P107" s="181" t="s">
        <v>53</v>
      </c>
      <c r="Q107" s="181" t="s">
        <v>51</v>
      </c>
      <c r="R107" s="184"/>
      <c r="S107" s="180" t="str">
        <f t="shared" ref="S107:S109" si="45">D107</f>
        <v>006-000157912</v>
      </c>
      <c r="T107" s="185">
        <v>152523197</v>
      </c>
      <c r="U107" s="90" t="s">
        <v>1611</v>
      </c>
    </row>
    <row r="108" spans="1:21" s="176" customFormat="1" ht="19">
      <c r="A108" s="176">
        <v>103</v>
      </c>
      <c r="B108" s="187">
        <v>45775</v>
      </c>
      <c r="C108" s="180" t="s">
        <v>1210</v>
      </c>
      <c r="D108" s="180" t="s">
        <v>1605</v>
      </c>
      <c r="E108" s="181">
        <v>41592227</v>
      </c>
      <c r="F108" s="179" t="str">
        <f t="shared" si="33"/>
        <v>HLF 940 INOX HORNO ELEC</v>
      </c>
      <c r="G108" s="180" t="s">
        <v>1608</v>
      </c>
      <c r="H108" s="181" t="s">
        <v>24</v>
      </c>
      <c r="I108" s="181" t="s">
        <v>51</v>
      </c>
      <c r="J108" s="181" t="s">
        <v>52</v>
      </c>
      <c r="K108" s="188">
        <v>45884</v>
      </c>
      <c r="L108" s="189" t="s">
        <v>1610</v>
      </c>
      <c r="M108" s="189" t="s">
        <v>1220</v>
      </c>
      <c r="N108" s="180">
        <v>2989591</v>
      </c>
      <c r="O108" s="183">
        <v>15</v>
      </c>
      <c r="P108" s="181" t="s">
        <v>53</v>
      </c>
      <c r="Q108" s="181" t="s">
        <v>51</v>
      </c>
      <c r="R108" s="184"/>
      <c r="S108" s="180" t="str">
        <f t="shared" si="45"/>
        <v>006-000157912</v>
      </c>
      <c r="T108" s="185">
        <v>152523197</v>
      </c>
      <c r="U108" s="90" t="s">
        <v>1611</v>
      </c>
    </row>
    <row r="109" spans="1:21" s="176" customFormat="1" ht="19">
      <c r="A109" s="176">
        <v>104</v>
      </c>
      <c r="B109" s="187">
        <v>45775</v>
      </c>
      <c r="C109" s="180" t="s">
        <v>1210</v>
      </c>
      <c r="D109" s="180" t="s">
        <v>1605</v>
      </c>
      <c r="E109" s="181">
        <v>40446712</v>
      </c>
      <c r="F109" s="179" t="str">
        <f t="shared" si="33"/>
        <v>GFH 73 INOX CAMPANA (110V-60HZ) C/KIT</v>
      </c>
      <c r="G109" s="180" t="s">
        <v>1609</v>
      </c>
      <c r="H109" s="181" t="s">
        <v>24</v>
      </c>
      <c r="I109" s="181" t="s">
        <v>51</v>
      </c>
      <c r="J109" s="181" t="s">
        <v>52</v>
      </c>
      <c r="K109" s="188">
        <v>45884</v>
      </c>
      <c r="L109" s="189" t="s">
        <v>1610</v>
      </c>
      <c r="M109" s="189" t="s">
        <v>1220</v>
      </c>
      <c r="N109" s="180">
        <v>2989591</v>
      </c>
      <c r="O109" s="183">
        <v>15</v>
      </c>
      <c r="P109" s="181" t="s">
        <v>53</v>
      </c>
      <c r="Q109" s="181" t="s">
        <v>51</v>
      </c>
      <c r="R109" s="184"/>
      <c r="S109" s="180" t="str">
        <f t="shared" si="45"/>
        <v>006-000157912</v>
      </c>
      <c r="T109" s="185">
        <v>152523197</v>
      </c>
      <c r="U109" s="90" t="s">
        <v>1611</v>
      </c>
    </row>
    <row r="110" spans="1:21" s="176" customFormat="1" ht="19">
      <c r="A110" s="176">
        <v>105</v>
      </c>
      <c r="B110" s="187">
        <v>45850</v>
      </c>
      <c r="C110" s="180" t="s">
        <v>1046</v>
      </c>
      <c r="D110" s="180" t="s">
        <v>1612</v>
      </c>
      <c r="E110" s="181">
        <v>112580027</v>
      </c>
      <c r="F110" s="179" t="str">
        <f t="shared" si="33"/>
        <v>GBC 75030 KBB CRISTAL COCINA GAS</v>
      </c>
      <c r="G110" s="180" t="s">
        <v>1613</v>
      </c>
      <c r="H110" s="181" t="s">
        <v>24</v>
      </c>
      <c r="I110" s="181" t="s">
        <v>51</v>
      </c>
      <c r="J110" s="181" t="s">
        <v>52</v>
      </c>
      <c r="K110" s="188">
        <v>45887</v>
      </c>
      <c r="L110" s="189" t="s">
        <v>1615</v>
      </c>
      <c r="M110" s="189" t="s">
        <v>1616</v>
      </c>
      <c r="N110" s="180">
        <v>991210118</v>
      </c>
      <c r="O110" s="183">
        <v>20</v>
      </c>
      <c r="P110" s="181" t="s">
        <v>53</v>
      </c>
      <c r="Q110" s="181" t="s">
        <v>51</v>
      </c>
      <c r="R110" s="184"/>
      <c r="S110" s="180" t="str">
        <f>D110</f>
        <v>001-500-000074967</v>
      </c>
      <c r="T110" s="185">
        <v>103084547</v>
      </c>
      <c r="U110" s="90" t="s">
        <v>1617</v>
      </c>
    </row>
    <row r="111" spans="1:21" s="176" customFormat="1" ht="19">
      <c r="A111" s="176">
        <v>106</v>
      </c>
      <c r="B111" s="187">
        <v>45850</v>
      </c>
      <c r="C111" s="180" t="s">
        <v>1046</v>
      </c>
      <c r="D111" s="180" t="s">
        <v>1612</v>
      </c>
      <c r="E111" s="181">
        <v>112950020</v>
      </c>
      <c r="F111" s="179" t="str">
        <f t="shared" si="33"/>
        <v>DVN 74030 TCL BK CAMPANA (110V-60HZ) C/KIT</v>
      </c>
      <c r="G111" s="180" t="s">
        <v>1614</v>
      </c>
      <c r="H111" s="181" t="s">
        <v>24</v>
      </c>
      <c r="I111" s="181" t="s">
        <v>51</v>
      </c>
      <c r="J111" s="181" t="s">
        <v>52</v>
      </c>
      <c r="K111" s="188">
        <v>45887</v>
      </c>
      <c r="L111" s="189" t="s">
        <v>1615</v>
      </c>
      <c r="M111" s="189" t="s">
        <v>1616</v>
      </c>
      <c r="N111" s="180">
        <v>991210118</v>
      </c>
      <c r="O111" s="183">
        <v>20</v>
      </c>
      <c r="P111" s="181" t="s">
        <v>53</v>
      </c>
      <c r="Q111" s="181" t="s">
        <v>51</v>
      </c>
      <c r="R111" s="184"/>
      <c r="S111" s="180" t="str">
        <f>D111</f>
        <v>001-500-000074967</v>
      </c>
      <c r="T111" s="185">
        <v>103084547</v>
      </c>
      <c r="U111" s="90" t="s">
        <v>1617</v>
      </c>
    </row>
    <row r="112" spans="1:21" s="176" customFormat="1" ht="19">
      <c r="A112" s="176">
        <v>107</v>
      </c>
      <c r="B112" s="187">
        <v>45884</v>
      </c>
      <c r="C112" s="180" t="s">
        <v>1046</v>
      </c>
      <c r="D112" s="180" t="s">
        <v>1618</v>
      </c>
      <c r="E112" s="181">
        <v>111010041</v>
      </c>
      <c r="F112" s="179" t="str">
        <f t="shared" ref="F112:F115" si="46">VLOOKUP(E112,PROD,2,FALSE)</f>
        <v>HSB 630 NEGRO HORNO ELEC</v>
      </c>
      <c r="G112" s="180" t="s">
        <v>1619</v>
      </c>
      <c r="H112" s="181" t="s">
        <v>24</v>
      </c>
      <c r="I112" s="181" t="s">
        <v>51</v>
      </c>
      <c r="J112" s="181" t="s">
        <v>52</v>
      </c>
      <c r="K112" s="188">
        <v>45888</v>
      </c>
      <c r="L112" s="189" t="s">
        <v>1621</v>
      </c>
      <c r="M112" s="189" t="s">
        <v>1067</v>
      </c>
      <c r="N112" s="180">
        <v>984394412</v>
      </c>
      <c r="O112" s="183">
        <v>20</v>
      </c>
      <c r="P112" s="181" t="s">
        <v>53</v>
      </c>
      <c r="Q112" s="181" t="s">
        <v>51</v>
      </c>
      <c r="R112" s="184"/>
      <c r="S112" s="180" t="str">
        <f t="shared" ref="S112:S114" si="47">D112</f>
        <v>001-500-000076034</v>
      </c>
      <c r="T112" s="185">
        <v>301990610</v>
      </c>
      <c r="U112" s="90" t="s">
        <v>1622</v>
      </c>
    </row>
    <row r="113" spans="1:21" s="176" customFormat="1" ht="19">
      <c r="A113" s="176">
        <v>108</v>
      </c>
      <c r="B113" s="187">
        <v>45884</v>
      </c>
      <c r="C113" s="180" t="s">
        <v>1046</v>
      </c>
      <c r="D113" s="180" t="s">
        <v>1618</v>
      </c>
      <c r="E113" s="181">
        <v>40467305</v>
      </c>
      <c r="F113" s="179" t="str">
        <f t="shared" si="46"/>
        <v>C 710 NEGRA CAMPANA (110V-60HZ) C/KIT</v>
      </c>
      <c r="G113" s="180" t="s">
        <v>1620</v>
      </c>
      <c r="H113" s="181" t="s">
        <v>24</v>
      </c>
      <c r="I113" s="181" t="s">
        <v>51</v>
      </c>
      <c r="J113" s="181" t="s">
        <v>52</v>
      </c>
      <c r="K113" s="188">
        <v>45888</v>
      </c>
      <c r="L113" s="189" t="s">
        <v>1621</v>
      </c>
      <c r="M113" s="189" t="s">
        <v>1067</v>
      </c>
      <c r="N113" s="180">
        <v>984394412</v>
      </c>
      <c r="O113" s="183">
        <v>20</v>
      </c>
      <c r="P113" s="181" t="s">
        <v>53</v>
      </c>
      <c r="Q113" s="181" t="s">
        <v>51</v>
      </c>
      <c r="R113" s="184"/>
      <c r="S113" s="180" t="str">
        <f t="shared" ref="S113" si="48">D113</f>
        <v>001-500-000076034</v>
      </c>
      <c r="T113" s="185">
        <v>301990610</v>
      </c>
      <c r="U113" s="90" t="s">
        <v>1622</v>
      </c>
    </row>
    <row r="114" spans="1:21" s="176" customFormat="1" ht="19">
      <c r="A114" s="176">
        <v>109</v>
      </c>
      <c r="B114" s="187">
        <v>45615</v>
      </c>
      <c r="C114" s="180" t="s">
        <v>1046</v>
      </c>
      <c r="D114" s="180" t="s">
        <v>1623</v>
      </c>
      <c r="E114" s="181">
        <v>112950021</v>
      </c>
      <c r="F114" s="179" t="str">
        <f t="shared" si="46"/>
        <v>DVN 94030 TCL BK CAMPANA (110V-60HZ) C/KIT</v>
      </c>
      <c r="G114" s="192" t="s">
        <v>1624</v>
      </c>
      <c r="H114" s="193" t="s">
        <v>24</v>
      </c>
      <c r="I114" s="193" t="s">
        <v>51</v>
      </c>
      <c r="J114" s="193" t="s">
        <v>52</v>
      </c>
      <c r="K114" s="188">
        <v>45888</v>
      </c>
      <c r="L114" s="189" t="s">
        <v>1628</v>
      </c>
      <c r="M114" s="189" t="s">
        <v>1629</v>
      </c>
      <c r="N114" s="180">
        <v>987008849</v>
      </c>
      <c r="O114" s="183">
        <v>15</v>
      </c>
      <c r="P114" s="181" t="s">
        <v>53</v>
      </c>
      <c r="Q114" s="181" t="s">
        <v>51</v>
      </c>
      <c r="R114" s="184"/>
      <c r="S114" s="180" t="str">
        <f t="shared" si="47"/>
        <v>001-500-000068014</v>
      </c>
      <c r="T114" s="185">
        <v>104804455</v>
      </c>
      <c r="U114" s="90" t="s">
        <v>1630</v>
      </c>
    </row>
    <row r="115" spans="1:21" s="176" customFormat="1" ht="19">
      <c r="A115" s="176">
        <v>110</v>
      </c>
      <c r="B115" s="187">
        <v>45615</v>
      </c>
      <c r="C115" s="180" t="s">
        <v>1046</v>
      </c>
      <c r="D115" s="180" t="s">
        <v>1623</v>
      </c>
      <c r="E115" s="181">
        <v>112570126</v>
      </c>
      <c r="F115" s="179" t="str">
        <f t="shared" si="46"/>
        <v>JZC 96324 ABB BK (LAT) COCINA MIXTA GAS - INDUCCION (40213042)</v>
      </c>
      <c r="G115" s="180" t="s">
        <v>1625</v>
      </c>
      <c r="H115" s="181" t="s">
        <v>24</v>
      </c>
      <c r="I115" s="181" t="s">
        <v>51</v>
      </c>
      <c r="J115" s="181" t="s">
        <v>52</v>
      </c>
      <c r="K115" s="188">
        <v>45888</v>
      </c>
      <c r="L115" s="189" t="s">
        <v>1628</v>
      </c>
      <c r="M115" s="189" t="s">
        <v>1629</v>
      </c>
      <c r="N115" s="180">
        <v>987008849</v>
      </c>
      <c r="O115" s="183">
        <v>15</v>
      </c>
      <c r="P115" s="181" t="s">
        <v>53</v>
      </c>
      <c r="Q115" s="181" t="s">
        <v>51</v>
      </c>
      <c r="R115" s="184"/>
      <c r="S115" s="180" t="str">
        <f t="shared" ref="S115:S117" si="49">D115</f>
        <v>001-500-000068014</v>
      </c>
      <c r="T115" s="185">
        <v>104804455</v>
      </c>
      <c r="U115" s="90" t="s">
        <v>1630</v>
      </c>
    </row>
    <row r="116" spans="1:21" s="176" customFormat="1" ht="19">
      <c r="A116" s="176">
        <v>111</v>
      </c>
      <c r="B116" s="187">
        <v>45615</v>
      </c>
      <c r="C116" s="180" t="s">
        <v>1046</v>
      </c>
      <c r="D116" s="180" t="s">
        <v>1623</v>
      </c>
      <c r="E116" s="181">
        <v>40584202</v>
      </c>
      <c r="F116" s="179" t="str">
        <f t="shared" ref="F116:F119" si="50">VLOOKUP(E116,PROD,2,FALSE)</f>
        <v>ML 820 BIS - MICROONDAS</v>
      </c>
      <c r="G116" s="180" t="s">
        <v>1626</v>
      </c>
      <c r="H116" s="181" t="s">
        <v>24</v>
      </c>
      <c r="I116" s="181" t="s">
        <v>51</v>
      </c>
      <c r="J116" s="181" t="s">
        <v>52</v>
      </c>
      <c r="K116" s="188">
        <v>45888</v>
      </c>
      <c r="L116" s="189" t="s">
        <v>1628</v>
      </c>
      <c r="M116" s="189" t="s">
        <v>1629</v>
      </c>
      <c r="N116" s="180">
        <v>987008849</v>
      </c>
      <c r="O116" s="183">
        <v>15</v>
      </c>
      <c r="P116" s="181" t="s">
        <v>53</v>
      </c>
      <c r="Q116" s="181" t="s">
        <v>51</v>
      </c>
      <c r="R116" s="184"/>
      <c r="S116" s="180" t="str">
        <f t="shared" si="49"/>
        <v>001-500-000068014</v>
      </c>
      <c r="T116" s="185">
        <v>104804455</v>
      </c>
      <c r="U116" s="90" t="s">
        <v>1630</v>
      </c>
    </row>
    <row r="117" spans="1:21" s="273" customFormat="1" ht="19">
      <c r="A117" s="273">
        <v>112</v>
      </c>
      <c r="B117" s="274">
        <v>45615</v>
      </c>
      <c r="C117" s="275" t="s">
        <v>1046</v>
      </c>
      <c r="D117" s="275" t="s">
        <v>1623</v>
      </c>
      <c r="E117" s="276">
        <v>41560061</v>
      </c>
      <c r="F117" s="277" t="str">
        <f t="shared" si="50"/>
        <v>HLB 830 INOX HORNO ELEC</v>
      </c>
      <c r="G117" s="275" t="s">
        <v>1627</v>
      </c>
      <c r="H117" s="276" t="s">
        <v>24</v>
      </c>
      <c r="I117" s="276" t="s">
        <v>51</v>
      </c>
      <c r="J117" s="276" t="s">
        <v>52</v>
      </c>
      <c r="K117" s="278">
        <v>45888</v>
      </c>
      <c r="L117" s="279" t="s">
        <v>1628</v>
      </c>
      <c r="M117" s="279" t="s">
        <v>1629</v>
      </c>
      <c r="N117" s="275">
        <v>987008849</v>
      </c>
      <c r="O117" s="280">
        <v>15</v>
      </c>
      <c r="P117" s="276" t="s">
        <v>53</v>
      </c>
      <c r="Q117" s="276" t="s">
        <v>51</v>
      </c>
      <c r="R117" s="281"/>
      <c r="S117" s="275" t="str">
        <f t="shared" si="49"/>
        <v>001-500-000068014</v>
      </c>
      <c r="T117" s="282">
        <v>104804455</v>
      </c>
      <c r="U117" s="283" t="s">
        <v>1630</v>
      </c>
    </row>
    <row r="118" spans="1:21" s="176" customFormat="1" ht="19">
      <c r="A118" s="176">
        <v>113</v>
      </c>
      <c r="B118" s="187">
        <v>45749</v>
      </c>
      <c r="C118" s="180" t="s">
        <v>1046</v>
      </c>
      <c r="D118" s="180" t="s">
        <v>1631</v>
      </c>
      <c r="E118" s="181">
        <v>111000078</v>
      </c>
      <c r="F118" s="179" t="str">
        <f t="shared" si="50"/>
        <v>HLB 8400 FBK HORNO ELEC</v>
      </c>
      <c r="G118" s="192" t="s">
        <v>1632</v>
      </c>
      <c r="H118" s="193" t="s">
        <v>24</v>
      </c>
      <c r="I118" s="193" t="s">
        <v>51</v>
      </c>
      <c r="J118" s="193" t="s">
        <v>52</v>
      </c>
      <c r="K118" s="188">
        <v>45888</v>
      </c>
      <c r="L118" s="189" t="s">
        <v>1637</v>
      </c>
      <c r="M118" s="189" t="s">
        <v>1248</v>
      </c>
      <c r="N118" s="180">
        <v>989185719</v>
      </c>
      <c r="O118" s="183">
        <v>15</v>
      </c>
      <c r="P118" s="181" t="s">
        <v>53</v>
      </c>
      <c r="Q118" s="181" t="s">
        <v>51</v>
      </c>
      <c r="R118" s="184"/>
      <c r="S118" s="180" t="str">
        <f t="shared" ref="S118" si="51">D118</f>
        <v>001-502-000000202</v>
      </c>
      <c r="T118" s="190" t="s">
        <v>1638</v>
      </c>
      <c r="U118" s="90" t="s">
        <v>1639</v>
      </c>
    </row>
    <row r="119" spans="1:21" s="176" customFormat="1" ht="19">
      <c r="A119" s="176">
        <v>114</v>
      </c>
      <c r="B119" s="187">
        <v>45749</v>
      </c>
      <c r="C119" s="180" t="s">
        <v>1046</v>
      </c>
      <c r="D119" s="180" t="s">
        <v>1631</v>
      </c>
      <c r="E119" s="181">
        <v>113430051</v>
      </c>
      <c r="F119" s="179" t="str">
        <f t="shared" si="50"/>
        <v>RMF 77960 GBK MX REFRIGERADORA</v>
      </c>
      <c r="G119" s="180" t="s">
        <v>1633</v>
      </c>
      <c r="H119" s="181" t="s">
        <v>24</v>
      </c>
      <c r="I119" s="181" t="s">
        <v>51</v>
      </c>
      <c r="J119" s="181" t="s">
        <v>52</v>
      </c>
      <c r="K119" s="188">
        <v>45888</v>
      </c>
      <c r="L119" s="189" t="s">
        <v>1637</v>
      </c>
      <c r="M119" s="189" t="s">
        <v>1248</v>
      </c>
      <c r="N119" s="180">
        <v>989185719</v>
      </c>
      <c r="O119" s="183">
        <v>15</v>
      </c>
      <c r="P119" s="181" t="s">
        <v>53</v>
      </c>
      <c r="Q119" s="181" t="s">
        <v>51</v>
      </c>
      <c r="R119" s="184"/>
      <c r="S119" s="180" t="str">
        <f t="shared" ref="S119:S122" si="52">D119</f>
        <v>001-502-000000202</v>
      </c>
      <c r="T119" s="190" t="s">
        <v>1638</v>
      </c>
      <c r="U119" s="90" t="s">
        <v>1639</v>
      </c>
    </row>
    <row r="120" spans="1:21" s="176" customFormat="1" ht="19">
      <c r="A120" s="176">
        <v>115</v>
      </c>
      <c r="B120" s="187">
        <v>45749</v>
      </c>
      <c r="C120" s="180" t="s">
        <v>1046</v>
      </c>
      <c r="D120" s="180" t="s">
        <v>1631</v>
      </c>
      <c r="E120" s="181">
        <v>112580058</v>
      </c>
      <c r="F120" s="179" t="str">
        <f t="shared" ref="F120:F124" si="53">VLOOKUP(E120,PROD,2,FALSE)</f>
        <v>GBC 95030 KBB BK COCINA GAS</v>
      </c>
      <c r="G120" s="192" t="s">
        <v>1634</v>
      </c>
      <c r="H120" s="193" t="s">
        <v>24</v>
      </c>
      <c r="I120" s="193" t="s">
        <v>51</v>
      </c>
      <c r="J120" s="193" t="s">
        <v>52</v>
      </c>
      <c r="K120" s="188">
        <v>45888</v>
      </c>
      <c r="L120" s="189" t="s">
        <v>1637</v>
      </c>
      <c r="M120" s="189" t="s">
        <v>1248</v>
      </c>
      <c r="N120" s="180">
        <v>989185719</v>
      </c>
      <c r="O120" s="183">
        <v>15</v>
      </c>
      <c r="P120" s="181" t="s">
        <v>53</v>
      </c>
      <c r="Q120" s="181" t="s">
        <v>51</v>
      </c>
      <c r="R120" s="184"/>
      <c r="S120" s="180" t="str">
        <f t="shared" si="52"/>
        <v>001-502-000000202</v>
      </c>
      <c r="T120" s="190" t="s">
        <v>1638</v>
      </c>
      <c r="U120" s="90" t="s">
        <v>1639</v>
      </c>
    </row>
    <row r="121" spans="1:21" s="176" customFormat="1" ht="19">
      <c r="A121" s="176">
        <v>116</v>
      </c>
      <c r="B121" s="187">
        <v>45749</v>
      </c>
      <c r="C121" s="180" t="s">
        <v>1046</v>
      </c>
      <c r="D121" s="180" t="s">
        <v>1631</v>
      </c>
      <c r="E121" s="181">
        <v>112950021</v>
      </c>
      <c r="F121" s="179" t="str">
        <f t="shared" si="53"/>
        <v>DVN 94030 TCL BK CAMPANA (110V-60HZ) C/KIT</v>
      </c>
      <c r="G121" s="180" t="s">
        <v>1635</v>
      </c>
      <c r="H121" s="181" t="s">
        <v>24</v>
      </c>
      <c r="I121" s="181" t="s">
        <v>51</v>
      </c>
      <c r="J121" s="181" t="s">
        <v>52</v>
      </c>
      <c r="K121" s="188">
        <v>45888</v>
      </c>
      <c r="L121" s="189" t="s">
        <v>1637</v>
      </c>
      <c r="M121" s="189" t="s">
        <v>1248</v>
      </c>
      <c r="N121" s="180">
        <v>989185719</v>
      </c>
      <c r="O121" s="183">
        <v>15</v>
      </c>
      <c r="P121" s="181" t="s">
        <v>53</v>
      </c>
      <c r="Q121" s="181" t="s">
        <v>51</v>
      </c>
      <c r="R121" s="184"/>
      <c r="S121" s="180" t="str">
        <f t="shared" si="52"/>
        <v>001-502-000000202</v>
      </c>
      <c r="T121" s="190" t="s">
        <v>1638</v>
      </c>
      <c r="U121" s="90" t="s">
        <v>1639</v>
      </c>
    </row>
    <row r="122" spans="1:21" s="176" customFormat="1" ht="19">
      <c r="A122" s="176">
        <v>117</v>
      </c>
      <c r="B122" s="187">
        <v>45749</v>
      </c>
      <c r="C122" s="180" t="s">
        <v>1046</v>
      </c>
      <c r="D122" s="180" t="s">
        <v>1631</v>
      </c>
      <c r="E122" s="181">
        <v>112030019</v>
      </c>
      <c r="F122" s="179" t="str">
        <f t="shared" si="53"/>
        <v>ML 8220 BIS FBK- MICROONDAS</v>
      </c>
      <c r="G122" s="192" t="s">
        <v>1636</v>
      </c>
      <c r="H122" s="193" t="s">
        <v>24</v>
      </c>
      <c r="I122" s="193" t="s">
        <v>51</v>
      </c>
      <c r="J122" s="193" t="s">
        <v>52</v>
      </c>
      <c r="K122" s="188">
        <v>45888</v>
      </c>
      <c r="L122" s="189" t="s">
        <v>1637</v>
      </c>
      <c r="M122" s="189" t="s">
        <v>1248</v>
      </c>
      <c r="N122" s="180">
        <v>989185719</v>
      </c>
      <c r="O122" s="183">
        <v>15</v>
      </c>
      <c r="P122" s="181" t="s">
        <v>53</v>
      </c>
      <c r="Q122" s="181" t="s">
        <v>51</v>
      </c>
      <c r="R122" s="184"/>
      <c r="S122" s="180" t="str">
        <f t="shared" si="52"/>
        <v>001-502-000000202</v>
      </c>
      <c r="T122" s="190" t="s">
        <v>1638</v>
      </c>
      <c r="U122" s="90" t="s">
        <v>1639</v>
      </c>
    </row>
    <row r="123" spans="1:21" s="176" customFormat="1" ht="19">
      <c r="A123" s="176">
        <v>118</v>
      </c>
      <c r="B123" s="187">
        <v>45879</v>
      </c>
      <c r="C123" s="180" t="s">
        <v>1172</v>
      </c>
      <c r="D123" s="180" t="s">
        <v>1640</v>
      </c>
      <c r="E123" s="181">
        <v>40467305</v>
      </c>
      <c r="F123" s="179" t="str">
        <f t="shared" si="53"/>
        <v>C 710 NEGRA CAMPANA (110V-60HZ) C/KIT</v>
      </c>
      <c r="G123" s="180" t="s">
        <v>1641</v>
      </c>
      <c r="H123" s="181" t="s">
        <v>24</v>
      </c>
      <c r="I123" s="181" t="s">
        <v>51</v>
      </c>
      <c r="J123" s="181" t="s">
        <v>52</v>
      </c>
      <c r="K123" s="188">
        <v>45888</v>
      </c>
      <c r="L123" s="189" t="s">
        <v>1643</v>
      </c>
      <c r="M123" s="189" t="s">
        <v>1644</v>
      </c>
      <c r="N123" s="180">
        <v>72840525</v>
      </c>
      <c r="O123" s="183">
        <v>20</v>
      </c>
      <c r="P123" s="181" t="s">
        <v>53</v>
      </c>
      <c r="Q123" s="181" t="s">
        <v>51</v>
      </c>
      <c r="R123" s="184"/>
      <c r="S123" s="180" t="str">
        <f t="shared" ref="S123" si="54">D123</f>
        <v>044-014-000008336</v>
      </c>
      <c r="T123" s="190" t="s">
        <v>1645</v>
      </c>
      <c r="U123" s="90" t="s">
        <v>1646</v>
      </c>
    </row>
    <row r="124" spans="1:21" s="176" customFormat="1" ht="19">
      <c r="A124" s="176">
        <v>119</v>
      </c>
      <c r="B124" s="187">
        <v>45879</v>
      </c>
      <c r="C124" s="180" t="s">
        <v>1172</v>
      </c>
      <c r="D124" s="180" t="s">
        <v>1640</v>
      </c>
      <c r="E124" s="181">
        <v>112570093</v>
      </c>
      <c r="F124" s="179" t="str">
        <f t="shared" si="53"/>
        <v>GZC 75330 XBB CRISTAL COCINA GAS</v>
      </c>
      <c r="G124" s="192" t="s">
        <v>1642</v>
      </c>
      <c r="H124" s="193" t="s">
        <v>24</v>
      </c>
      <c r="I124" s="193" t="s">
        <v>51</v>
      </c>
      <c r="J124" s="193" t="s">
        <v>52</v>
      </c>
      <c r="K124" s="188">
        <v>45888</v>
      </c>
      <c r="L124" s="189" t="s">
        <v>1643</v>
      </c>
      <c r="M124" s="189" t="s">
        <v>1644</v>
      </c>
      <c r="N124" s="180">
        <v>72840525</v>
      </c>
      <c r="O124" s="183">
        <v>20</v>
      </c>
      <c r="P124" s="181" t="s">
        <v>53</v>
      </c>
      <c r="Q124" s="181" t="s">
        <v>51</v>
      </c>
      <c r="R124" s="184"/>
      <c r="S124" s="180" t="str">
        <f t="shared" ref="S124" si="55">D124</f>
        <v>044-014-000008336</v>
      </c>
      <c r="T124" s="190" t="s">
        <v>1645</v>
      </c>
      <c r="U124" s="90" t="s">
        <v>1646</v>
      </c>
    </row>
    <row r="125" spans="1:21">
      <c r="O125" s="91">
        <f>SUM(O6:O124)</f>
        <v>2065</v>
      </c>
    </row>
    <row r="127" spans="1:21" ht="20">
      <c r="E127" s="3">
        <f>COUNTIF(O6:O120,30)</f>
        <v>4</v>
      </c>
      <c r="F127" s="3" t="s">
        <v>54</v>
      </c>
      <c r="G127" s="3">
        <v>30</v>
      </c>
      <c r="H127" s="3">
        <f>E127*G127</f>
        <v>120</v>
      </c>
    </row>
    <row r="128" spans="1:21" ht="20">
      <c r="E128" s="3">
        <v>44</v>
      </c>
      <c r="F128" s="3" t="s">
        <v>54</v>
      </c>
      <c r="G128" s="3">
        <v>20</v>
      </c>
      <c r="H128" s="3">
        <f t="shared" ref="H128:H129" si="56">E128*G128</f>
        <v>880</v>
      </c>
    </row>
    <row r="129" spans="5:8" ht="20">
      <c r="E129" s="247">
        <v>71</v>
      </c>
      <c r="F129" s="3" t="s">
        <v>54</v>
      </c>
      <c r="G129" s="3">
        <v>15</v>
      </c>
      <c r="H129" s="3">
        <f t="shared" si="56"/>
        <v>1065</v>
      </c>
    </row>
    <row r="130" spans="5:8" ht="22">
      <c r="H130" s="248">
        <f>SUM(H127:H129)</f>
        <v>2065</v>
      </c>
    </row>
    <row r="131" spans="5:8" ht="20">
      <c r="E131" s="3"/>
      <c r="F131" s="3"/>
      <c r="G131" s="3"/>
      <c r="H131" s="3"/>
    </row>
  </sheetData>
  <hyperlinks>
    <hyperlink ref="U6" r:id="rId1" xr:uid="{3D61FA64-7AEA-1D48-9C27-B1A99E5D3F4E}"/>
    <hyperlink ref="U7" r:id="rId2" xr:uid="{CF7DFCEC-63FB-664B-AFC8-DFCD020F73EC}"/>
    <hyperlink ref="U8" r:id="rId3" xr:uid="{BCAD7863-70B2-644C-A245-E41A0D509E21}"/>
    <hyperlink ref="U11" r:id="rId4" xr:uid="{756D49B9-9738-A34E-80C5-D3D16F022AEE}"/>
    <hyperlink ref="U12" r:id="rId5" xr:uid="{A8CA329F-A553-A842-91B4-D555FD067442}"/>
    <hyperlink ref="U13" r:id="rId6" xr:uid="{0D7768C8-3DF6-004D-B34C-90BC093F0123}"/>
    <hyperlink ref="U14" r:id="rId7" xr:uid="{CF79862E-597F-864A-9970-B9CA2AB3882A}"/>
    <hyperlink ref="U15" r:id="rId8" xr:uid="{F6A82A44-46E9-2246-9D7F-FBE2157A3DA5}"/>
    <hyperlink ref="U16" r:id="rId9" xr:uid="{EEE1F90E-892C-2945-83CF-AE848C8966E9}"/>
    <hyperlink ref="U17" r:id="rId10" xr:uid="{EE5B29BE-F3EC-7D45-9E32-9CB188B2443F}"/>
    <hyperlink ref="U18" r:id="rId11" xr:uid="{8A5BBBEE-8146-4849-9D28-7E04C3FFF737}"/>
    <hyperlink ref="U19" r:id="rId12" xr:uid="{234D42E3-1BE5-684B-8322-87FF4DEDBCCA}"/>
    <hyperlink ref="U20" r:id="rId13" xr:uid="{1AF4F354-B6F0-CC40-8BB2-06B23C590F6C}"/>
    <hyperlink ref="U21" r:id="rId14" xr:uid="{8DE7A294-6BDE-B64E-B5F4-16E80D007905}"/>
    <hyperlink ref="U22" r:id="rId15" xr:uid="{4D480881-74E6-904E-BF4D-DD4A856F4900}"/>
    <hyperlink ref="U23" r:id="rId16" xr:uid="{707F648A-96B7-D641-B35C-056F999E8A2B}"/>
    <hyperlink ref="U24" r:id="rId17" xr:uid="{A5C06C9C-C4C9-9942-90AF-7C9CACD38D25}"/>
    <hyperlink ref="U25" r:id="rId18" xr:uid="{61A1BA55-D71E-6D43-8B2E-9DEDA4F9DDC4}"/>
    <hyperlink ref="U26" r:id="rId19" xr:uid="{6DF827B6-BA8D-DB46-B68B-5F31000D32EB}"/>
    <hyperlink ref="U27" r:id="rId20" xr:uid="{C00F225F-A3AA-9543-AD52-5C8F2A2C42C0}"/>
    <hyperlink ref="U28" r:id="rId21" xr:uid="{E3E6244F-7D44-2B4B-AA4F-E7C889033D33}"/>
    <hyperlink ref="U29" r:id="rId22" xr:uid="{B5CBB4D0-E9D5-6546-BDD7-E776F45589E9}"/>
    <hyperlink ref="U30" r:id="rId23" xr:uid="{9248B158-CD8C-3446-B949-2C56C0FB21D9}"/>
    <hyperlink ref="U31" r:id="rId24" xr:uid="{2E121912-DB10-D444-893F-C380E1508FD7}"/>
    <hyperlink ref="U32" r:id="rId25" xr:uid="{9C1CAA49-5A93-2F48-AED9-14A39605C360}"/>
    <hyperlink ref="U36" r:id="rId26" xr:uid="{163B0889-4A99-7842-ABA1-3C9B0E41B22B}"/>
    <hyperlink ref="U37" r:id="rId27" xr:uid="{2E4F0394-6250-124A-8AA0-E55C76AA6C31}"/>
    <hyperlink ref="U38" r:id="rId28" xr:uid="{38DE5F79-2B0B-CB43-9558-A046B84D8834}"/>
    <hyperlink ref="U39" r:id="rId29" xr:uid="{07524D0D-B755-CF48-A614-B72D1F6BCBBE}"/>
    <hyperlink ref="U40" r:id="rId30" xr:uid="{13A0F07C-3486-CF47-BE05-0B6DC5832CC4}"/>
    <hyperlink ref="U41" r:id="rId31" xr:uid="{68D4AF68-6BC1-2A4A-B31E-B0D1AA29414E}"/>
    <hyperlink ref="U42" r:id="rId32" xr:uid="{FC451968-1723-D948-99F4-CF9C12C976AF}"/>
    <hyperlink ref="U43" r:id="rId33" xr:uid="{61E6A068-28ED-E24D-9850-FAA7A1229DD2}"/>
    <hyperlink ref="U44" r:id="rId34" xr:uid="{D69F50BF-4871-BF47-BF00-1644EFC4264F}"/>
    <hyperlink ref="U45" r:id="rId35" xr:uid="{400890F9-EB90-9141-B473-284003793390}"/>
    <hyperlink ref="U46" r:id="rId36" xr:uid="{5E2B34BB-FEEB-3144-BDDB-49845CA93626}"/>
    <hyperlink ref="U47" r:id="rId37" xr:uid="{D15E553C-4B55-5245-959B-3A9DC3C4801A}"/>
    <hyperlink ref="U48" r:id="rId38" xr:uid="{359316AB-58ED-1546-909B-896E0BC826D2}"/>
    <hyperlink ref="U49" r:id="rId39" xr:uid="{7A507CBA-A38A-7B49-8DC9-B562DF4FB6E1}"/>
    <hyperlink ref="U50" r:id="rId40" xr:uid="{F7724C10-64ED-2948-A42A-8973E84374FB}"/>
    <hyperlink ref="U51" r:id="rId41" xr:uid="{D4393233-A2BA-E842-A3D4-95D0302447E0}"/>
    <hyperlink ref="U52" r:id="rId42" xr:uid="{0D7121C0-2AF6-5C49-B016-1C881BEF82B6}"/>
    <hyperlink ref="U53" r:id="rId43" xr:uid="{2043ED44-9635-3C41-9BA6-61D2F7B5FEC1}"/>
    <hyperlink ref="U54" r:id="rId44" xr:uid="{CBFA72EB-3EB4-6E4D-9D66-36D4794FB4E0}"/>
    <hyperlink ref="U55" r:id="rId45" xr:uid="{F7794E7F-D782-B74A-8066-140CCD8A69BE}"/>
    <hyperlink ref="U56" r:id="rId46" xr:uid="{4586BC78-4008-CF48-9C37-ABF04679F6D4}"/>
    <hyperlink ref="U57" r:id="rId47" xr:uid="{6600BC20-5C43-2E4F-AE12-32EFBB082F46}"/>
    <hyperlink ref="U58" r:id="rId48" xr:uid="{A0FEED4E-60CC-364C-BC67-692330E48A25}"/>
    <hyperlink ref="U59" r:id="rId49" xr:uid="{79A4D07A-8412-E748-A92C-86396BC1222E}"/>
    <hyperlink ref="U60" r:id="rId50" xr:uid="{EEE9A6F8-94AE-1C44-9EC5-F3BF5CE38258}"/>
    <hyperlink ref="U61" r:id="rId51" xr:uid="{FBFBA673-2F89-3E4E-BD84-38080EFC1906}"/>
    <hyperlink ref="U62" r:id="rId52" xr:uid="{53E78203-4F94-2348-81E1-060FABEB8B30}"/>
    <hyperlink ref="U63" r:id="rId53" xr:uid="{15FE8CFF-10E3-D54A-B3CB-2942F35E2BB4}"/>
    <hyperlink ref="U64" r:id="rId54" xr:uid="{7DBDCB3E-51D0-0140-A0AD-B829C3A50C8E}"/>
    <hyperlink ref="U65" r:id="rId55" xr:uid="{EDCCA777-B726-5442-BDB5-6CB9747054F7}"/>
    <hyperlink ref="U66" r:id="rId56" xr:uid="{91C30B73-B99F-AA4B-96F8-8FD3BC318801}"/>
    <hyperlink ref="U67" r:id="rId57" xr:uid="{4B5AA9C2-3F3B-F045-B733-D3F71FD0C894}"/>
    <hyperlink ref="U68" r:id="rId58" xr:uid="{86099B5E-D6C7-214F-9E5D-27590D9356EA}"/>
    <hyperlink ref="U69" r:id="rId59" xr:uid="{7E3A1C21-C742-8346-9EA1-3B2CCF99D5E5}"/>
    <hyperlink ref="U70" r:id="rId60" xr:uid="{0C214868-53DA-1B4D-B076-98586B7F8B25}"/>
    <hyperlink ref="U71" r:id="rId61" xr:uid="{8B043363-1160-2D48-B9C0-A75C86226D47}"/>
    <hyperlink ref="U72" r:id="rId62" xr:uid="{34DA8125-7699-E14D-A8F4-A4E17E374AED}"/>
    <hyperlink ref="U73" r:id="rId63" xr:uid="{8B8F6F30-BA64-5245-863A-36EE796C3471}"/>
    <hyperlink ref="U74" r:id="rId64" xr:uid="{AC2E026A-ACD1-FE43-849F-91C0DD2BA84E}"/>
    <hyperlink ref="U75" r:id="rId65" xr:uid="{7C07B645-6FA9-1640-86C8-D932479A53E1}"/>
    <hyperlink ref="U76" r:id="rId66" xr:uid="{C5F1997B-6B05-0D40-B0E2-30B858711F9A}"/>
    <hyperlink ref="U77" r:id="rId67" xr:uid="{7C71BE20-F57A-7040-BF8B-D93DA6D4910C}"/>
    <hyperlink ref="U78" r:id="rId68" xr:uid="{ECBDDA85-54FD-394A-A6F0-7128E58F36E1}"/>
    <hyperlink ref="U79" r:id="rId69" xr:uid="{90EC79E5-57DD-0745-B965-ADC1850F19AC}"/>
    <hyperlink ref="U80" r:id="rId70" xr:uid="{4E4CF1CC-B7E6-C844-BD42-AF86E3F3A55A}"/>
    <hyperlink ref="U81" r:id="rId71" xr:uid="{2492F47F-02D5-3343-9843-3394908ABC75}"/>
    <hyperlink ref="U82" r:id="rId72" xr:uid="{BFD73A77-C65D-104A-95A1-90EAEE176278}"/>
    <hyperlink ref="U83" r:id="rId73" xr:uid="{3B34AC5E-46FE-D941-9DB3-46A1E3C724E8}"/>
    <hyperlink ref="U84" r:id="rId74" xr:uid="{9ABEFD8B-8408-994C-87EA-1470F5413F28}"/>
    <hyperlink ref="U85" r:id="rId75" xr:uid="{F7D4766A-F0B4-E74F-B945-B81255AB9C97}"/>
    <hyperlink ref="U86" r:id="rId76" xr:uid="{B81470FB-5417-214D-9C8B-517CB3E79660}"/>
    <hyperlink ref="U87" r:id="rId77" xr:uid="{BDDF463F-849C-744C-9B83-82E27FD48D55}"/>
    <hyperlink ref="U88" r:id="rId78" xr:uid="{7CCAA67B-C09C-DF4F-82F9-A83B01C84C44}"/>
    <hyperlink ref="U89" r:id="rId79" xr:uid="{3D5ECA98-F078-224E-8554-834F0B25E49A}"/>
    <hyperlink ref="U90" r:id="rId80" xr:uid="{829CBB37-0E77-3F4B-9CEC-D9105218FC83}"/>
    <hyperlink ref="U91" r:id="rId81" xr:uid="{DC840194-615F-F241-9110-38E4C2346B22}"/>
    <hyperlink ref="U92" r:id="rId82" xr:uid="{57797A92-7B26-FB44-9893-151312459DBC}"/>
    <hyperlink ref="U93" r:id="rId83" xr:uid="{2A8E5392-93C8-C443-B7E3-FA4B50779E1B}"/>
    <hyperlink ref="U94" r:id="rId84" xr:uid="{2D61308C-AF5A-4D4E-9B90-F5C5F3259BE1}"/>
    <hyperlink ref="U95" r:id="rId85" xr:uid="{1EEB8C5A-4E93-544D-88DD-48E7CB774B04}"/>
    <hyperlink ref="U96" r:id="rId86" xr:uid="{86F62BC7-2FE7-4449-9A44-65F1C2DF7600}"/>
    <hyperlink ref="U97" r:id="rId87" xr:uid="{9B7920C7-666A-D641-821D-69ABF160370A}"/>
    <hyperlink ref="U98" r:id="rId88" xr:uid="{40E8363C-D659-7740-88B7-9D5B1F784B37}"/>
    <hyperlink ref="U99" r:id="rId89" xr:uid="{FF2E2620-16DF-1349-BE36-C505AABF345D}"/>
    <hyperlink ref="U100" r:id="rId90" xr:uid="{DCE8F700-8733-E440-82B8-93BD8D8A8612}"/>
    <hyperlink ref="U101" r:id="rId91" xr:uid="{02594436-08C5-D640-975A-C8C2C9401362}"/>
    <hyperlink ref="U102" r:id="rId92" xr:uid="{F1268AD5-6A7F-FA41-BF39-F1D44A1438DD}"/>
    <hyperlink ref="U103" r:id="rId93" xr:uid="{C1270DAF-9DC4-844C-8078-5BD8C65C7919}"/>
    <hyperlink ref="U104" r:id="rId94" xr:uid="{81C03E52-6297-D24C-AEE6-042311B83CE1}"/>
    <hyperlink ref="U105" r:id="rId95" xr:uid="{86FCFC0B-BF68-AF48-873C-3FC2E1F0C58E}"/>
    <hyperlink ref="U106" r:id="rId96" xr:uid="{87008CED-667A-4441-8783-59E7C180A939}"/>
    <hyperlink ref="U107" r:id="rId97" xr:uid="{BB263849-7298-344E-8DFA-83032EBD2FA4}"/>
    <hyperlink ref="U108" r:id="rId98" xr:uid="{C580C461-40EA-BB49-8879-8D57371BBB61}"/>
    <hyperlink ref="U109" r:id="rId99" xr:uid="{58D65366-C9FF-FA44-B2A9-C79E6282D313}"/>
    <hyperlink ref="U110" r:id="rId100" xr:uid="{FB48D952-15B8-2445-8E0B-1E146CD50CB2}"/>
    <hyperlink ref="U111" r:id="rId101" xr:uid="{2366E1C8-F20E-0249-9AA6-EFE4955D401B}"/>
    <hyperlink ref="U112" r:id="rId102" xr:uid="{D12BFB78-A59A-4C46-B250-71D0CD47C280}"/>
    <hyperlink ref="U113" r:id="rId103" xr:uid="{A84A5DBA-BB25-7441-A7CF-3E8478383F2C}"/>
    <hyperlink ref="U114" r:id="rId104" xr:uid="{7637387D-EE79-5D49-848B-253C8CECA3A9}"/>
    <hyperlink ref="U115" r:id="rId105" xr:uid="{1110590C-FF58-444E-BC21-22D9A922488F}"/>
    <hyperlink ref="U116" r:id="rId106" xr:uid="{7E646625-EF27-B948-B46E-91F7075675B9}"/>
    <hyperlink ref="U117" r:id="rId107" xr:uid="{93D15086-8C47-2840-A0F3-C3C8B3C076EF}"/>
    <hyperlink ref="U118" r:id="rId108" xr:uid="{AFD121A9-AA5E-3F47-9F3B-904A99025A81}"/>
    <hyperlink ref="U119" r:id="rId109" xr:uid="{010845A5-75A2-4C4A-BD2B-5A72DEEC8AD0}"/>
    <hyperlink ref="U120" r:id="rId110" xr:uid="{6E49278C-7384-624A-8743-A7B107B38573}"/>
    <hyperlink ref="U121" r:id="rId111" xr:uid="{3D01973A-24A9-BB45-BC3C-63DF2EB7C637}"/>
    <hyperlink ref="U122" r:id="rId112" xr:uid="{0A36B58A-4FCC-8041-B16B-94981E3BB8ED}"/>
    <hyperlink ref="U123" r:id="rId113" xr:uid="{9E6172EF-7889-2348-980F-A8D1FC76AD34}"/>
    <hyperlink ref="U124" r:id="rId114" xr:uid="{551521FC-370D-244A-B37B-C679096CCF47}"/>
  </hyperlinks>
  <pageMargins left="0.7" right="0.7" top="0.75" bottom="0.75" header="0.3" footer="0.3"/>
  <drawing r:id="rId1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0"/>
  <sheetViews>
    <sheetView workbookViewId="0">
      <selection activeCell="B17" sqref="B17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2.6640625" customWidth="1"/>
    <col min="5" max="5" width="16.5" customWidth="1"/>
    <col min="6" max="6" width="41.1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20.6640625" customWidth="1"/>
    <col min="13" max="13" width="18.33203125" customWidth="1"/>
    <col min="15" max="15" width="7.5" customWidth="1"/>
    <col min="16" max="16" width="25.6640625" customWidth="1"/>
    <col min="17" max="17" width="12.33203125" customWidth="1"/>
    <col min="18" max="18" width="10.83203125" customWidth="1"/>
    <col min="19" max="19" width="20.33203125" customWidth="1"/>
    <col min="20" max="20" width="18.5" customWidth="1"/>
    <col min="21" max="21" width="31" customWidth="1"/>
  </cols>
  <sheetData>
    <row r="2" spans="1:21" ht="18"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</row>
    <row r="3" spans="1:21" ht="18">
      <c r="A3" s="92"/>
      <c r="B3" s="93"/>
      <c r="C3" s="94" t="s">
        <v>55</v>
      </c>
      <c r="D3" s="95"/>
      <c r="E3" s="96"/>
      <c r="F3" s="95"/>
      <c r="G3" s="97"/>
      <c r="H3" s="95"/>
      <c r="I3" s="95"/>
      <c r="J3" s="95"/>
      <c r="K3" s="98"/>
      <c r="L3" s="98"/>
      <c r="M3" s="95"/>
      <c r="N3" s="95"/>
      <c r="O3" s="99"/>
      <c r="P3" s="95"/>
      <c r="Q3" s="95"/>
      <c r="R3" s="95"/>
      <c r="S3" s="95"/>
      <c r="T3" s="95"/>
      <c r="U3" s="100"/>
    </row>
    <row r="4" spans="1:21" ht="16" customHeight="1">
      <c r="A4" s="92"/>
      <c r="B4" s="93"/>
      <c r="C4" s="101" t="s">
        <v>56</v>
      </c>
      <c r="D4" s="95"/>
      <c r="E4" s="95"/>
      <c r="F4" s="95"/>
      <c r="G4" s="97"/>
      <c r="H4" s="95"/>
      <c r="I4" s="95" t="s">
        <v>57</v>
      </c>
      <c r="J4" s="95"/>
      <c r="K4" s="98"/>
      <c r="L4" s="98"/>
      <c r="M4" s="95" t="s">
        <v>1532</v>
      </c>
      <c r="N4" s="95"/>
      <c r="O4" s="99"/>
      <c r="P4" s="95"/>
      <c r="Q4" s="102"/>
      <c r="R4" s="95"/>
      <c r="S4" s="95"/>
      <c r="T4" s="103"/>
      <c r="U4" s="104">
        <v>43678</v>
      </c>
    </row>
    <row r="5" spans="1:21" s="1" customFormat="1" ht="53" customHeight="1">
      <c r="A5" s="105"/>
      <c r="B5" s="106" t="s">
        <v>33</v>
      </c>
      <c r="C5" s="106" t="s">
        <v>34</v>
      </c>
      <c r="D5" s="106" t="s">
        <v>35</v>
      </c>
      <c r="E5" s="106" t="s">
        <v>36</v>
      </c>
      <c r="F5" s="106" t="s">
        <v>37</v>
      </c>
      <c r="G5" s="106" t="s">
        <v>38</v>
      </c>
      <c r="H5" s="106" t="s">
        <v>39</v>
      </c>
      <c r="I5" s="106" t="s">
        <v>40</v>
      </c>
      <c r="J5" s="106" t="s">
        <v>41</v>
      </c>
      <c r="K5" s="107" t="s">
        <v>58</v>
      </c>
      <c r="L5" s="107" t="s">
        <v>43</v>
      </c>
      <c r="M5" s="107" t="s">
        <v>44</v>
      </c>
      <c r="N5" s="107" t="s">
        <v>45</v>
      </c>
      <c r="O5" s="108" t="s">
        <v>46</v>
      </c>
      <c r="P5" s="107" t="s">
        <v>59</v>
      </c>
      <c r="Q5" s="107" t="s">
        <v>60</v>
      </c>
      <c r="R5" s="109" t="s">
        <v>61</v>
      </c>
      <c r="S5" s="109" t="s">
        <v>23</v>
      </c>
      <c r="T5" s="110" t="s">
        <v>49</v>
      </c>
      <c r="U5" s="107" t="s">
        <v>62</v>
      </c>
    </row>
    <row r="6" spans="1:21" ht="20">
      <c r="A6" s="111">
        <v>1</v>
      </c>
      <c r="B6" s="112">
        <v>45870</v>
      </c>
      <c r="C6" s="113" t="s">
        <v>1024</v>
      </c>
      <c r="D6" s="114" t="s">
        <v>1126</v>
      </c>
      <c r="E6" s="115">
        <v>111570002</v>
      </c>
      <c r="F6" s="179" t="str">
        <f t="shared" ref="F6:F8" si="0">VLOOKUP(E6,PROD,2,FALSE)</f>
        <v>COCINA GOURMET BBQ 3100 G BK-SS</v>
      </c>
      <c r="G6" s="114" t="s">
        <v>1127</v>
      </c>
      <c r="H6" s="116" t="s">
        <v>63</v>
      </c>
      <c r="I6" s="117" t="s">
        <v>51</v>
      </c>
      <c r="J6" s="117" t="s">
        <v>52</v>
      </c>
      <c r="K6" s="112">
        <v>45866</v>
      </c>
      <c r="L6" s="113" t="s">
        <v>1046</v>
      </c>
      <c r="M6" s="113" t="s">
        <v>1128</v>
      </c>
      <c r="N6" s="118">
        <v>987515341</v>
      </c>
      <c r="O6" s="119">
        <v>29</v>
      </c>
      <c r="P6" s="113" t="s">
        <v>65</v>
      </c>
      <c r="Q6" s="113" t="s">
        <v>25</v>
      </c>
      <c r="R6" s="120"/>
      <c r="S6" s="120" t="str">
        <f>D6</f>
        <v>S/N</v>
      </c>
      <c r="T6" s="121" t="s">
        <v>1129</v>
      </c>
      <c r="U6" s="122" t="s">
        <v>1130</v>
      </c>
    </row>
    <row r="7" spans="1:21" ht="20">
      <c r="A7" s="111">
        <v>1</v>
      </c>
      <c r="B7" s="112">
        <v>45824</v>
      </c>
      <c r="C7" s="113" t="s">
        <v>1061</v>
      </c>
      <c r="D7" s="114" t="s">
        <v>1121</v>
      </c>
      <c r="E7" s="115">
        <v>111570003</v>
      </c>
      <c r="F7" s="179" t="str">
        <f t="shared" si="0"/>
        <v>COCINA GOURMET BBQ 4100 G SS</v>
      </c>
      <c r="G7" s="114" t="s">
        <v>1122</v>
      </c>
      <c r="H7" s="116" t="s">
        <v>63</v>
      </c>
      <c r="I7" s="117" t="s">
        <v>51</v>
      </c>
      <c r="J7" s="117" t="s">
        <v>52</v>
      </c>
      <c r="K7" s="112">
        <v>45866</v>
      </c>
      <c r="L7" s="113" t="s">
        <v>1119</v>
      </c>
      <c r="M7" s="113" t="s">
        <v>1076</v>
      </c>
      <c r="N7" s="118">
        <v>998523465</v>
      </c>
      <c r="O7" s="119">
        <v>29</v>
      </c>
      <c r="P7" s="113" t="s">
        <v>64</v>
      </c>
      <c r="Q7" s="113" t="s">
        <v>25</v>
      </c>
      <c r="R7" s="120"/>
      <c r="S7" s="120" t="str">
        <f>D7</f>
        <v>017-901-000116470</v>
      </c>
      <c r="T7" s="121" t="s">
        <v>1123</v>
      </c>
      <c r="U7" s="122" t="s">
        <v>1124</v>
      </c>
    </row>
    <row r="8" spans="1:21" ht="20">
      <c r="A8" s="111">
        <v>3</v>
      </c>
      <c r="B8" s="112">
        <v>45875</v>
      </c>
      <c r="C8" s="113" t="s">
        <v>1046</v>
      </c>
      <c r="D8" s="114" t="s">
        <v>1433</v>
      </c>
      <c r="E8" s="115">
        <v>111570003</v>
      </c>
      <c r="F8" s="179" t="str">
        <f t="shared" si="0"/>
        <v>COCINA GOURMET BBQ 4100 G SS</v>
      </c>
      <c r="G8" s="114" t="s">
        <v>1434</v>
      </c>
      <c r="H8" s="116" t="s">
        <v>63</v>
      </c>
      <c r="I8" s="117" t="s">
        <v>51</v>
      </c>
      <c r="J8" s="117" t="s">
        <v>52</v>
      </c>
      <c r="K8" s="112">
        <v>45877</v>
      </c>
      <c r="L8" s="113" t="s">
        <v>1435</v>
      </c>
      <c r="M8" s="113" t="s">
        <v>1436</v>
      </c>
      <c r="N8" s="118">
        <v>997557010</v>
      </c>
      <c r="O8" s="119">
        <v>29</v>
      </c>
      <c r="P8" s="113" t="s">
        <v>64</v>
      </c>
      <c r="Q8" s="113" t="s">
        <v>25</v>
      </c>
      <c r="R8" s="120"/>
      <c r="S8" s="120" t="str">
        <f t="shared" ref="S8" si="1">D8</f>
        <v>001-500-000075767</v>
      </c>
      <c r="T8" s="123" t="s">
        <v>1437</v>
      </c>
      <c r="U8" s="122" t="s">
        <v>1438</v>
      </c>
    </row>
    <row r="9" spans="1:21">
      <c r="O9" s="66">
        <f>SUM(O6:O8)</f>
        <v>87</v>
      </c>
    </row>
    <row r="10" spans="1:21" ht="20">
      <c r="E10" s="124">
        <v>3</v>
      </c>
      <c r="F10" s="124" t="s">
        <v>66</v>
      </c>
      <c r="G10" s="125">
        <v>29</v>
      </c>
      <c r="H10" s="125">
        <v>87</v>
      </c>
    </row>
  </sheetData>
  <hyperlinks>
    <hyperlink ref="U7" r:id="rId1" xr:uid="{75C7DD72-6B82-3648-9572-51396693D040}"/>
    <hyperlink ref="U6" r:id="rId2" xr:uid="{1FC8EC94-26ED-2246-8343-44B044359A2C}"/>
    <hyperlink ref="U8" r:id="rId3" xr:uid="{5B7D2781-5067-6C4F-90F5-E2C4A5C0DB78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643"/>
    </sheetView>
  </sheetViews>
  <sheetFormatPr baseColWidth="10" defaultRowHeight="15"/>
  <cols>
    <col min="2" max="2" width="81.5" bestFit="1" customWidth="1"/>
  </cols>
  <sheetData>
    <row r="1" spans="1:2">
      <c r="A1" t="s">
        <v>67</v>
      </c>
      <c r="B1" t="s">
        <v>68</v>
      </c>
    </row>
    <row r="2" spans="1:2" hidden="1">
      <c r="A2" t="s">
        <v>69</v>
      </c>
      <c r="B2" t="s">
        <v>70</v>
      </c>
    </row>
    <row r="3" spans="1:2" hidden="1">
      <c r="A3">
        <v>915061</v>
      </c>
      <c r="B3" t="s">
        <v>71</v>
      </c>
    </row>
    <row r="4" spans="1:2" hidden="1">
      <c r="A4">
        <v>981061</v>
      </c>
      <c r="B4" t="s">
        <v>72</v>
      </c>
    </row>
    <row r="5" spans="1:2" hidden="1">
      <c r="A5">
        <v>982061</v>
      </c>
      <c r="B5" t="s">
        <v>73</v>
      </c>
    </row>
    <row r="6" spans="1:2" hidden="1">
      <c r="A6">
        <v>1010061</v>
      </c>
      <c r="B6" t="s">
        <v>74</v>
      </c>
    </row>
    <row r="7" spans="1:2" hidden="1">
      <c r="A7">
        <v>1070061</v>
      </c>
      <c r="B7" t="s">
        <v>75</v>
      </c>
    </row>
    <row r="8" spans="1:2" hidden="1">
      <c r="A8">
        <v>1080061</v>
      </c>
      <c r="B8" t="s">
        <v>76</v>
      </c>
    </row>
    <row r="9" spans="1:2" hidden="1">
      <c r="A9">
        <v>8731112</v>
      </c>
      <c r="B9" t="s">
        <v>77</v>
      </c>
    </row>
    <row r="10" spans="1:2" hidden="1">
      <c r="A10">
        <v>10101003</v>
      </c>
      <c r="B10" t="s">
        <v>78</v>
      </c>
    </row>
    <row r="11" spans="1:2" hidden="1">
      <c r="A11">
        <v>10101102</v>
      </c>
      <c r="B11" t="s">
        <v>79</v>
      </c>
    </row>
    <row r="12" spans="1:2" hidden="1">
      <c r="A12">
        <v>10101103</v>
      </c>
      <c r="B12" t="s">
        <v>80</v>
      </c>
    </row>
    <row r="13" spans="1:2" hidden="1">
      <c r="A13">
        <v>10103001</v>
      </c>
      <c r="B13" t="s">
        <v>81</v>
      </c>
    </row>
    <row r="14" spans="1:2" hidden="1">
      <c r="A14">
        <v>10104078</v>
      </c>
      <c r="B14" t="s">
        <v>82</v>
      </c>
    </row>
    <row r="15" spans="1:2" hidden="1">
      <c r="A15">
        <v>10104309</v>
      </c>
      <c r="B15" t="s">
        <v>83</v>
      </c>
    </row>
    <row r="16" spans="1:2" hidden="1">
      <c r="A16">
        <v>10104310</v>
      </c>
      <c r="B16" t="s">
        <v>84</v>
      </c>
    </row>
    <row r="17" spans="1:2" hidden="1">
      <c r="A17">
        <v>10105252</v>
      </c>
      <c r="B17" t="s">
        <v>85</v>
      </c>
    </row>
    <row r="18" spans="1:2" hidden="1">
      <c r="A18">
        <v>10107004</v>
      </c>
      <c r="B18" t="s">
        <v>86</v>
      </c>
    </row>
    <row r="19" spans="1:2" hidden="1">
      <c r="A19">
        <v>10107015</v>
      </c>
      <c r="B19" t="s">
        <v>87</v>
      </c>
    </row>
    <row r="20" spans="1:2" hidden="1">
      <c r="A20">
        <v>10107017</v>
      </c>
      <c r="B20" t="s">
        <v>88</v>
      </c>
    </row>
    <row r="21" spans="1:2" hidden="1">
      <c r="A21">
        <v>10108009</v>
      </c>
      <c r="B21" t="s">
        <v>89</v>
      </c>
    </row>
    <row r="22" spans="1:2" hidden="1">
      <c r="A22">
        <v>10108035</v>
      </c>
      <c r="B22" t="s">
        <v>90</v>
      </c>
    </row>
    <row r="23" spans="1:2" hidden="1">
      <c r="A23">
        <v>10110004</v>
      </c>
      <c r="B23" t="s">
        <v>91</v>
      </c>
    </row>
    <row r="24" spans="1:2" hidden="1">
      <c r="A24">
        <v>10111005</v>
      </c>
      <c r="B24" t="s">
        <v>92</v>
      </c>
    </row>
    <row r="25" spans="1:2" hidden="1">
      <c r="A25">
        <v>10118002</v>
      </c>
      <c r="B25" t="s">
        <v>93</v>
      </c>
    </row>
    <row r="26" spans="1:2" hidden="1">
      <c r="A26">
        <v>10118004</v>
      </c>
      <c r="B26" t="s">
        <v>94</v>
      </c>
    </row>
    <row r="27" spans="1:2" hidden="1">
      <c r="A27">
        <v>10118005</v>
      </c>
      <c r="B27" t="s">
        <v>95</v>
      </c>
    </row>
    <row r="28" spans="1:2" hidden="1">
      <c r="A28">
        <v>10119007</v>
      </c>
      <c r="B28" t="s">
        <v>96</v>
      </c>
    </row>
    <row r="29" spans="1:2" hidden="1">
      <c r="A29">
        <v>10119011</v>
      </c>
      <c r="B29" t="s">
        <v>97</v>
      </c>
    </row>
    <row r="30" spans="1:2" hidden="1">
      <c r="A30">
        <v>10119013</v>
      </c>
      <c r="B30" t="s">
        <v>98</v>
      </c>
    </row>
    <row r="31" spans="1:2" hidden="1">
      <c r="A31">
        <v>10119021</v>
      </c>
      <c r="B31" t="s">
        <v>99</v>
      </c>
    </row>
    <row r="32" spans="1:2" hidden="1">
      <c r="A32">
        <v>10119038</v>
      </c>
      <c r="B32" t="s">
        <v>100</v>
      </c>
    </row>
    <row r="33" spans="1:2" hidden="1">
      <c r="A33">
        <v>10119080</v>
      </c>
      <c r="B33" t="s">
        <v>101</v>
      </c>
    </row>
    <row r="34" spans="1:2" hidden="1">
      <c r="A34">
        <v>10119081</v>
      </c>
      <c r="B34" t="s">
        <v>102</v>
      </c>
    </row>
    <row r="35" spans="1:2" hidden="1">
      <c r="A35">
        <v>10120025</v>
      </c>
      <c r="B35" t="s">
        <v>103</v>
      </c>
    </row>
    <row r="36" spans="1:2" hidden="1">
      <c r="A36">
        <v>10120028</v>
      </c>
      <c r="B36" t="s">
        <v>104</v>
      </c>
    </row>
    <row r="37" spans="1:2" hidden="1">
      <c r="A37">
        <v>10120098</v>
      </c>
      <c r="B37" t="s">
        <v>105</v>
      </c>
    </row>
    <row r="38" spans="1:2" hidden="1">
      <c r="A38">
        <v>10120117</v>
      </c>
      <c r="B38" t="s">
        <v>106</v>
      </c>
    </row>
    <row r="39" spans="1:2" hidden="1">
      <c r="A39">
        <v>10124066</v>
      </c>
      <c r="B39" t="s">
        <v>107</v>
      </c>
    </row>
    <row r="40" spans="1:2" hidden="1">
      <c r="A40">
        <v>10125003</v>
      </c>
      <c r="B40" t="s">
        <v>108</v>
      </c>
    </row>
    <row r="41" spans="1:2" hidden="1">
      <c r="A41">
        <v>10125004</v>
      </c>
      <c r="B41" t="s">
        <v>109</v>
      </c>
    </row>
    <row r="42" spans="1:2" hidden="1">
      <c r="A42">
        <v>10125006</v>
      </c>
      <c r="B42" t="s">
        <v>110</v>
      </c>
    </row>
    <row r="43" spans="1:2" hidden="1">
      <c r="A43">
        <v>10125019</v>
      </c>
      <c r="B43" t="s">
        <v>111</v>
      </c>
    </row>
    <row r="44" spans="1:2" hidden="1">
      <c r="A44">
        <v>10125041</v>
      </c>
      <c r="B44" t="s">
        <v>112</v>
      </c>
    </row>
    <row r="45" spans="1:2" hidden="1">
      <c r="A45">
        <v>10125042</v>
      </c>
      <c r="B45" t="s">
        <v>113</v>
      </c>
    </row>
    <row r="46" spans="1:2" hidden="1">
      <c r="A46">
        <v>10125047</v>
      </c>
      <c r="B46" t="s">
        <v>114</v>
      </c>
    </row>
    <row r="47" spans="1:2" hidden="1">
      <c r="A47">
        <v>10125048</v>
      </c>
      <c r="B47" t="s">
        <v>115</v>
      </c>
    </row>
    <row r="48" spans="1:2" hidden="1">
      <c r="A48">
        <v>10125073</v>
      </c>
      <c r="B48" t="s">
        <v>116</v>
      </c>
    </row>
    <row r="49" spans="1:2" hidden="1">
      <c r="A49">
        <v>10125077</v>
      </c>
      <c r="B49" t="s">
        <v>117</v>
      </c>
    </row>
    <row r="50" spans="1:2" hidden="1">
      <c r="A50">
        <v>10125085</v>
      </c>
      <c r="B50" t="s">
        <v>118</v>
      </c>
    </row>
    <row r="51" spans="1:2" hidden="1">
      <c r="A51">
        <v>10125114</v>
      </c>
      <c r="B51" t="s">
        <v>119</v>
      </c>
    </row>
    <row r="52" spans="1:2" hidden="1">
      <c r="A52">
        <v>10125121</v>
      </c>
      <c r="B52" t="s">
        <v>120</v>
      </c>
    </row>
    <row r="53" spans="1:2" hidden="1">
      <c r="A53">
        <v>10125122</v>
      </c>
      <c r="B53" t="s">
        <v>121</v>
      </c>
    </row>
    <row r="54" spans="1:2" hidden="1">
      <c r="A54">
        <v>10125124</v>
      </c>
      <c r="B54" t="s">
        <v>122</v>
      </c>
    </row>
    <row r="55" spans="1:2" hidden="1">
      <c r="A55">
        <v>10125134</v>
      </c>
      <c r="B55" t="s">
        <v>123</v>
      </c>
    </row>
    <row r="56" spans="1:2" hidden="1">
      <c r="A56">
        <v>10125148</v>
      </c>
      <c r="B56" t="s">
        <v>124</v>
      </c>
    </row>
    <row r="57" spans="1:2" hidden="1">
      <c r="A57">
        <v>10125155</v>
      </c>
      <c r="B57" t="s">
        <v>125</v>
      </c>
    </row>
    <row r="58" spans="1:2" hidden="1">
      <c r="A58">
        <v>10125166</v>
      </c>
      <c r="B58" t="s">
        <v>126</v>
      </c>
    </row>
    <row r="59" spans="1:2" hidden="1">
      <c r="A59">
        <v>10131004</v>
      </c>
      <c r="B59" t="s">
        <v>127</v>
      </c>
    </row>
    <row r="60" spans="1:2" hidden="1">
      <c r="A60">
        <v>10131009</v>
      </c>
      <c r="B60" t="s">
        <v>128</v>
      </c>
    </row>
    <row r="61" spans="1:2" hidden="1">
      <c r="A61">
        <v>10131033</v>
      </c>
      <c r="B61" t="s">
        <v>129</v>
      </c>
    </row>
    <row r="62" spans="1:2" hidden="1">
      <c r="A62">
        <v>10133010</v>
      </c>
      <c r="B62" t="s">
        <v>130</v>
      </c>
    </row>
    <row r="63" spans="1:2" hidden="1">
      <c r="A63">
        <v>10133011</v>
      </c>
      <c r="B63" t="s">
        <v>131</v>
      </c>
    </row>
    <row r="64" spans="1:2" hidden="1">
      <c r="A64">
        <v>10135012</v>
      </c>
      <c r="B64" t="s">
        <v>132</v>
      </c>
    </row>
    <row r="65" spans="1:2" hidden="1">
      <c r="A65">
        <v>10135013</v>
      </c>
      <c r="B65" t="s">
        <v>133</v>
      </c>
    </row>
    <row r="66" spans="1:2" hidden="1">
      <c r="A66">
        <v>10135014</v>
      </c>
      <c r="B66" t="s">
        <v>134</v>
      </c>
    </row>
    <row r="67" spans="1:2" hidden="1">
      <c r="A67">
        <v>10135015</v>
      </c>
      <c r="B67" t="s">
        <v>135</v>
      </c>
    </row>
    <row r="68" spans="1:2" hidden="1">
      <c r="A68">
        <v>10135016</v>
      </c>
      <c r="B68" t="s">
        <v>136</v>
      </c>
    </row>
    <row r="69" spans="1:2" hidden="1">
      <c r="A69">
        <v>10135017</v>
      </c>
      <c r="B69" t="s">
        <v>137</v>
      </c>
    </row>
    <row r="70" spans="1:2" hidden="1">
      <c r="A70">
        <v>10135018</v>
      </c>
      <c r="B70" t="s">
        <v>138</v>
      </c>
    </row>
    <row r="71" spans="1:2" hidden="1">
      <c r="A71">
        <v>10135019</v>
      </c>
      <c r="B71" t="s">
        <v>139</v>
      </c>
    </row>
    <row r="72" spans="1:2" hidden="1">
      <c r="A72">
        <v>10136001</v>
      </c>
      <c r="B72" t="s">
        <v>140</v>
      </c>
    </row>
    <row r="73" spans="1:2" hidden="1">
      <c r="A73">
        <v>10138002</v>
      </c>
      <c r="B73" t="s">
        <v>141</v>
      </c>
    </row>
    <row r="74" spans="1:2" hidden="1">
      <c r="A74">
        <v>10138003</v>
      </c>
      <c r="B74" t="s">
        <v>142</v>
      </c>
    </row>
    <row r="75" spans="1:2" hidden="1">
      <c r="A75">
        <v>10138005</v>
      </c>
      <c r="B75" t="s">
        <v>143</v>
      </c>
    </row>
    <row r="76" spans="1:2" hidden="1">
      <c r="A76">
        <v>10138006</v>
      </c>
      <c r="B76" t="s">
        <v>144</v>
      </c>
    </row>
    <row r="77" spans="1:2" hidden="1">
      <c r="A77">
        <v>10138011</v>
      </c>
      <c r="B77" t="s">
        <v>145</v>
      </c>
    </row>
    <row r="78" spans="1:2" hidden="1">
      <c r="A78">
        <v>10181650</v>
      </c>
      <c r="B78" t="s">
        <v>146</v>
      </c>
    </row>
    <row r="79" spans="1:2" hidden="1">
      <c r="A79">
        <v>10181651</v>
      </c>
      <c r="B79" t="s">
        <v>147</v>
      </c>
    </row>
    <row r="80" spans="1:2" hidden="1">
      <c r="A80">
        <v>10181711</v>
      </c>
      <c r="B80" t="s">
        <v>148</v>
      </c>
    </row>
    <row r="81" spans="1:2" hidden="1">
      <c r="A81">
        <v>10184550</v>
      </c>
      <c r="B81" t="s">
        <v>149</v>
      </c>
    </row>
    <row r="82" spans="1:2" hidden="1">
      <c r="A82">
        <v>10184551</v>
      </c>
      <c r="B82" t="s">
        <v>150</v>
      </c>
    </row>
    <row r="83" spans="1:2" hidden="1">
      <c r="A83">
        <v>10184812</v>
      </c>
      <c r="B83" t="s">
        <v>151</v>
      </c>
    </row>
    <row r="84" spans="1:2" hidden="1">
      <c r="A84">
        <v>1019700</v>
      </c>
      <c r="B84" t="s">
        <v>152</v>
      </c>
    </row>
    <row r="85" spans="1:2" hidden="1">
      <c r="A85">
        <v>10204016</v>
      </c>
      <c r="B85" t="s">
        <v>153</v>
      </c>
    </row>
    <row r="86" spans="1:2" hidden="1">
      <c r="A86">
        <v>10204086</v>
      </c>
      <c r="B86" t="s">
        <v>154</v>
      </c>
    </row>
    <row r="87" spans="1:2" hidden="1">
      <c r="A87">
        <v>10204103</v>
      </c>
      <c r="B87" t="s">
        <v>155</v>
      </c>
    </row>
    <row r="88" spans="1:2" hidden="1">
      <c r="A88">
        <v>10204686</v>
      </c>
      <c r="B88" t="s">
        <v>156</v>
      </c>
    </row>
    <row r="89" spans="1:2" hidden="1">
      <c r="A89">
        <v>10205013</v>
      </c>
      <c r="B89" t="s">
        <v>157</v>
      </c>
    </row>
    <row r="90" spans="1:2" hidden="1">
      <c r="A90">
        <v>10205014</v>
      </c>
      <c r="B90" t="s">
        <v>158</v>
      </c>
    </row>
    <row r="91" spans="1:2" hidden="1">
      <c r="A91">
        <v>10205018</v>
      </c>
      <c r="B91" t="s">
        <v>159</v>
      </c>
    </row>
    <row r="92" spans="1:2" hidden="1">
      <c r="A92">
        <v>10205047</v>
      </c>
      <c r="B92" t="s">
        <v>160</v>
      </c>
    </row>
    <row r="93" spans="1:2" hidden="1">
      <c r="A93">
        <v>10205048</v>
      </c>
      <c r="B93" t="s">
        <v>161</v>
      </c>
    </row>
    <row r="94" spans="1:2" hidden="1">
      <c r="A94">
        <v>10205049</v>
      </c>
      <c r="B94" t="s">
        <v>162</v>
      </c>
    </row>
    <row r="95" spans="1:2" hidden="1">
      <c r="A95">
        <v>10205050</v>
      </c>
      <c r="B95" t="s">
        <v>163</v>
      </c>
    </row>
    <row r="96" spans="1:2" hidden="1">
      <c r="A96">
        <v>10206007</v>
      </c>
      <c r="B96" t="s">
        <v>164</v>
      </c>
    </row>
    <row r="97" spans="1:2" hidden="1">
      <c r="A97">
        <v>10206062</v>
      </c>
      <c r="B97" t="s">
        <v>165</v>
      </c>
    </row>
    <row r="98" spans="1:2" hidden="1">
      <c r="A98">
        <v>10206064</v>
      </c>
      <c r="B98" t="s">
        <v>166</v>
      </c>
    </row>
    <row r="99" spans="1:2" hidden="1">
      <c r="A99">
        <v>10208009</v>
      </c>
      <c r="B99" t="s">
        <v>167</v>
      </c>
    </row>
    <row r="100" spans="1:2" hidden="1">
      <c r="A100">
        <v>10208036</v>
      </c>
      <c r="B100" t="s">
        <v>168</v>
      </c>
    </row>
    <row r="101" spans="1:2" hidden="1">
      <c r="A101">
        <v>10208093</v>
      </c>
      <c r="B101" t="s">
        <v>169</v>
      </c>
    </row>
    <row r="102" spans="1:2" hidden="1">
      <c r="A102">
        <v>10209025</v>
      </c>
      <c r="B102" t="s">
        <v>170</v>
      </c>
    </row>
    <row r="103" spans="1:2" hidden="1">
      <c r="A103">
        <v>10209029</v>
      </c>
      <c r="B103" t="s">
        <v>171</v>
      </c>
    </row>
    <row r="104" spans="1:2" hidden="1">
      <c r="A104">
        <v>10209055</v>
      </c>
      <c r="B104" t="s">
        <v>172</v>
      </c>
    </row>
    <row r="105" spans="1:2" hidden="1">
      <c r="A105">
        <v>10210002</v>
      </c>
      <c r="B105" t="s">
        <v>173</v>
      </c>
    </row>
    <row r="106" spans="1:2" hidden="1">
      <c r="A106">
        <v>10210005</v>
      </c>
      <c r="B106" t="s">
        <v>174</v>
      </c>
    </row>
    <row r="107" spans="1:2" hidden="1">
      <c r="A107">
        <v>10210009</v>
      </c>
      <c r="B107" t="s">
        <v>175</v>
      </c>
    </row>
    <row r="108" spans="1:2" hidden="1">
      <c r="A108">
        <v>10210011</v>
      </c>
      <c r="B108" t="s">
        <v>176</v>
      </c>
    </row>
    <row r="109" spans="1:2" hidden="1">
      <c r="A109">
        <v>10210020</v>
      </c>
      <c r="B109" t="s">
        <v>177</v>
      </c>
    </row>
    <row r="110" spans="1:2" hidden="1">
      <c r="A110">
        <v>10210022</v>
      </c>
      <c r="B110" t="s">
        <v>178</v>
      </c>
    </row>
    <row r="111" spans="1:2" hidden="1">
      <c r="A111">
        <v>10210028</v>
      </c>
      <c r="B111" t="s">
        <v>179</v>
      </c>
    </row>
    <row r="112" spans="1:2" hidden="1">
      <c r="A112">
        <v>10210029</v>
      </c>
      <c r="B112" t="s">
        <v>180</v>
      </c>
    </row>
    <row r="113" spans="1:2" hidden="1">
      <c r="A113">
        <v>10210042</v>
      </c>
      <c r="B113" t="s">
        <v>181</v>
      </c>
    </row>
    <row r="114" spans="1:2" hidden="1">
      <c r="A114">
        <v>10210065</v>
      </c>
      <c r="B114" t="s">
        <v>182</v>
      </c>
    </row>
    <row r="115" spans="1:2" hidden="1">
      <c r="A115">
        <v>10210068</v>
      </c>
      <c r="B115" t="s">
        <v>183</v>
      </c>
    </row>
    <row r="116" spans="1:2" hidden="1">
      <c r="A116">
        <v>10210071</v>
      </c>
      <c r="B116" t="s">
        <v>184</v>
      </c>
    </row>
    <row r="117" spans="1:2" hidden="1">
      <c r="A117">
        <v>10210072</v>
      </c>
      <c r="B117" t="s">
        <v>185</v>
      </c>
    </row>
    <row r="118" spans="1:2" hidden="1">
      <c r="A118">
        <v>10210084</v>
      </c>
      <c r="B118" t="s">
        <v>186</v>
      </c>
    </row>
    <row r="119" spans="1:2" hidden="1">
      <c r="A119">
        <v>10210085</v>
      </c>
      <c r="B119" t="s">
        <v>187</v>
      </c>
    </row>
    <row r="120" spans="1:2" hidden="1">
      <c r="A120">
        <v>10210088</v>
      </c>
      <c r="B120" t="s">
        <v>188</v>
      </c>
    </row>
    <row r="121" spans="1:2" hidden="1">
      <c r="A121">
        <v>10210109</v>
      </c>
      <c r="B121" t="s">
        <v>189</v>
      </c>
    </row>
    <row r="122" spans="1:2" hidden="1">
      <c r="A122">
        <v>10210145</v>
      </c>
      <c r="B122" t="s">
        <v>190</v>
      </c>
    </row>
    <row r="123" spans="1:2" hidden="1">
      <c r="A123">
        <v>10210146</v>
      </c>
      <c r="B123" t="s">
        <v>191</v>
      </c>
    </row>
    <row r="124" spans="1:2" hidden="1">
      <c r="A124">
        <v>10210147</v>
      </c>
      <c r="B124" t="s">
        <v>192</v>
      </c>
    </row>
    <row r="125" spans="1:2" hidden="1">
      <c r="A125">
        <v>10210148</v>
      </c>
      <c r="B125" t="s">
        <v>193</v>
      </c>
    </row>
    <row r="126" spans="1:2" hidden="1">
      <c r="A126">
        <v>10210149</v>
      </c>
      <c r="B126" t="s">
        <v>194</v>
      </c>
    </row>
    <row r="127" spans="1:2" hidden="1">
      <c r="A127">
        <v>10210150</v>
      </c>
      <c r="B127" t="s">
        <v>195</v>
      </c>
    </row>
    <row r="128" spans="1:2" hidden="1">
      <c r="A128">
        <v>10210151</v>
      </c>
      <c r="B128" t="s">
        <v>196</v>
      </c>
    </row>
    <row r="129" spans="1:2" hidden="1">
      <c r="A129">
        <v>10210152</v>
      </c>
      <c r="B129" t="s">
        <v>197</v>
      </c>
    </row>
    <row r="130" spans="1:2" hidden="1">
      <c r="A130">
        <v>10210160</v>
      </c>
      <c r="B130" t="s">
        <v>198</v>
      </c>
    </row>
    <row r="131" spans="1:2" hidden="1">
      <c r="A131">
        <v>10210163</v>
      </c>
      <c r="B131" t="s">
        <v>199</v>
      </c>
    </row>
    <row r="132" spans="1:2" hidden="1">
      <c r="A132">
        <v>10210171</v>
      </c>
      <c r="B132" t="s">
        <v>200</v>
      </c>
    </row>
    <row r="133" spans="1:2" hidden="1">
      <c r="A133">
        <v>10210174</v>
      </c>
      <c r="B133" t="s">
        <v>201</v>
      </c>
    </row>
    <row r="134" spans="1:2" hidden="1">
      <c r="A134">
        <v>10210176</v>
      </c>
      <c r="B134" t="s">
        <v>202</v>
      </c>
    </row>
    <row r="135" spans="1:2" hidden="1">
      <c r="A135">
        <v>10210205</v>
      </c>
      <c r="B135" t="s">
        <v>203</v>
      </c>
    </row>
    <row r="136" spans="1:2" hidden="1">
      <c r="A136">
        <v>10307001</v>
      </c>
      <c r="B136" t="s">
        <v>204</v>
      </c>
    </row>
    <row r="137" spans="1:2" hidden="1">
      <c r="A137">
        <v>10307002</v>
      </c>
      <c r="B137" t="s">
        <v>205</v>
      </c>
    </row>
    <row r="138" spans="1:2" hidden="1">
      <c r="A138">
        <v>111000001</v>
      </c>
      <c r="B138" t="s">
        <v>206</v>
      </c>
    </row>
    <row r="139" spans="1:2" hidden="1">
      <c r="A139">
        <v>111000030</v>
      </c>
      <c r="B139" t="s">
        <v>207</v>
      </c>
    </row>
    <row r="140" spans="1:2" hidden="1">
      <c r="A140">
        <v>111000050</v>
      </c>
      <c r="B140" t="s">
        <v>208</v>
      </c>
    </row>
    <row r="141" spans="1:2" hidden="1">
      <c r="A141">
        <v>111000051</v>
      </c>
      <c r="B141" t="s">
        <v>209</v>
      </c>
    </row>
    <row r="142" spans="1:2" hidden="1">
      <c r="A142">
        <v>111000059</v>
      </c>
      <c r="B142" t="s">
        <v>210</v>
      </c>
    </row>
    <row r="143" spans="1:2" hidden="1">
      <c r="A143">
        <v>111000078</v>
      </c>
      <c r="B143" t="s">
        <v>211</v>
      </c>
    </row>
    <row r="144" spans="1:2" hidden="1">
      <c r="A144">
        <v>111000099</v>
      </c>
      <c r="B144" t="s">
        <v>212</v>
      </c>
    </row>
    <row r="145" spans="1:2" hidden="1">
      <c r="A145">
        <v>111010028</v>
      </c>
      <c r="B145" t="s">
        <v>213</v>
      </c>
    </row>
    <row r="146" spans="1:2" hidden="1">
      <c r="A146">
        <v>111010040</v>
      </c>
      <c r="B146" t="s">
        <v>214</v>
      </c>
    </row>
    <row r="147" spans="1:2" hidden="1">
      <c r="A147">
        <v>111010041</v>
      </c>
      <c r="B147" t="s">
        <v>215</v>
      </c>
    </row>
    <row r="148" spans="1:2" hidden="1">
      <c r="A148">
        <v>111010093</v>
      </c>
      <c r="B148" t="s">
        <v>216</v>
      </c>
    </row>
    <row r="149" spans="1:2" hidden="1">
      <c r="A149">
        <v>111010095</v>
      </c>
      <c r="B149" t="s">
        <v>217</v>
      </c>
    </row>
    <row r="150" spans="1:2" hidden="1">
      <c r="A150">
        <v>111010100</v>
      </c>
      <c r="B150" t="s">
        <v>218</v>
      </c>
    </row>
    <row r="151" spans="1:2" hidden="1">
      <c r="A151">
        <v>111020071</v>
      </c>
      <c r="B151" t="s">
        <v>219</v>
      </c>
    </row>
    <row r="152" spans="1:2" hidden="1">
      <c r="A152">
        <v>111020081</v>
      </c>
      <c r="B152" t="s">
        <v>220</v>
      </c>
    </row>
    <row r="153" spans="1:2" hidden="1">
      <c r="A153">
        <v>111020086</v>
      </c>
      <c r="B153" t="s">
        <v>221</v>
      </c>
    </row>
    <row r="154" spans="1:2" hidden="1">
      <c r="A154">
        <v>111030002</v>
      </c>
      <c r="B154" t="s">
        <v>222</v>
      </c>
    </row>
    <row r="155" spans="1:2" hidden="1">
      <c r="A155">
        <v>111040003</v>
      </c>
      <c r="B155" t="s">
        <v>223</v>
      </c>
    </row>
    <row r="156" spans="1:2" hidden="1">
      <c r="A156">
        <v>111040006</v>
      </c>
      <c r="B156" t="s">
        <v>223</v>
      </c>
    </row>
    <row r="157" spans="1:2" hidden="1">
      <c r="A157">
        <v>111040015</v>
      </c>
      <c r="B157" t="s">
        <v>224</v>
      </c>
    </row>
    <row r="158" spans="1:2" hidden="1">
      <c r="A158">
        <v>11107010</v>
      </c>
      <c r="B158" t="s">
        <v>225</v>
      </c>
    </row>
    <row r="159" spans="1:2" hidden="1">
      <c r="A159">
        <v>11107011</v>
      </c>
      <c r="B159" t="s">
        <v>226</v>
      </c>
    </row>
    <row r="160" spans="1:2" hidden="1">
      <c r="A160">
        <v>11107029</v>
      </c>
      <c r="B160" t="s">
        <v>227</v>
      </c>
    </row>
    <row r="161" spans="1:2" hidden="1">
      <c r="A161">
        <v>11107076</v>
      </c>
      <c r="B161" t="s">
        <v>228</v>
      </c>
    </row>
    <row r="162" spans="1:2" hidden="1">
      <c r="A162">
        <v>11110004</v>
      </c>
      <c r="B162" t="s">
        <v>91</v>
      </c>
    </row>
    <row r="163" spans="1:2" hidden="1">
      <c r="A163">
        <v>111160032</v>
      </c>
      <c r="B163" t="s">
        <v>229</v>
      </c>
    </row>
    <row r="164" spans="1:2" hidden="1">
      <c r="A164">
        <v>11119007</v>
      </c>
      <c r="B164" t="s">
        <v>230</v>
      </c>
    </row>
    <row r="165" spans="1:2" hidden="1">
      <c r="A165">
        <v>11119010</v>
      </c>
      <c r="B165" t="s">
        <v>231</v>
      </c>
    </row>
    <row r="166" spans="1:2" hidden="1">
      <c r="A166">
        <v>11119086</v>
      </c>
      <c r="B166" t="s">
        <v>232</v>
      </c>
    </row>
    <row r="167" spans="1:2" hidden="1">
      <c r="A167">
        <v>111200005</v>
      </c>
      <c r="B167" t="s">
        <v>233</v>
      </c>
    </row>
    <row r="168" spans="1:2" hidden="1">
      <c r="A168">
        <v>11120027</v>
      </c>
      <c r="B168" t="s">
        <v>234</v>
      </c>
    </row>
    <row r="169" spans="1:2" hidden="1">
      <c r="A169">
        <v>11120029</v>
      </c>
      <c r="B169" t="s">
        <v>235</v>
      </c>
    </row>
    <row r="170" spans="1:2" hidden="1">
      <c r="A170">
        <v>11120037</v>
      </c>
      <c r="B170" t="s">
        <v>236</v>
      </c>
    </row>
    <row r="171" spans="1:2" hidden="1">
      <c r="A171">
        <v>11120086</v>
      </c>
      <c r="B171" t="s">
        <v>237</v>
      </c>
    </row>
    <row r="172" spans="1:2" hidden="1">
      <c r="A172">
        <v>11120102</v>
      </c>
      <c r="B172" t="s">
        <v>238</v>
      </c>
    </row>
    <row r="173" spans="1:2" hidden="1">
      <c r="A173">
        <v>11120110</v>
      </c>
      <c r="B173" t="s">
        <v>239</v>
      </c>
    </row>
    <row r="174" spans="1:2" hidden="1">
      <c r="A174">
        <v>11120111</v>
      </c>
      <c r="B174" t="s">
        <v>240</v>
      </c>
    </row>
    <row r="175" spans="1:2" hidden="1">
      <c r="A175">
        <v>11120112</v>
      </c>
      <c r="B175" t="s">
        <v>241</v>
      </c>
    </row>
    <row r="176" spans="1:2" hidden="1">
      <c r="A176" t="s">
        <v>242</v>
      </c>
      <c r="B176" t="s">
        <v>243</v>
      </c>
    </row>
    <row r="177" spans="1:2" hidden="1">
      <c r="A177">
        <v>11120113</v>
      </c>
      <c r="B177" t="s">
        <v>244</v>
      </c>
    </row>
    <row r="178" spans="1:2" hidden="1">
      <c r="A178">
        <v>11120114</v>
      </c>
      <c r="B178" t="s">
        <v>245</v>
      </c>
    </row>
    <row r="179" spans="1:2" hidden="1">
      <c r="A179">
        <v>11120115</v>
      </c>
      <c r="B179" t="s">
        <v>246</v>
      </c>
    </row>
    <row r="180" spans="1:2" hidden="1">
      <c r="A180">
        <v>11124030</v>
      </c>
      <c r="B180" t="s">
        <v>247</v>
      </c>
    </row>
    <row r="181" spans="1:2" hidden="1">
      <c r="A181" t="s">
        <v>248</v>
      </c>
      <c r="B181" t="s">
        <v>249</v>
      </c>
    </row>
    <row r="182" spans="1:2" hidden="1">
      <c r="A182">
        <v>11124031</v>
      </c>
      <c r="B182" t="s">
        <v>250</v>
      </c>
    </row>
    <row r="183" spans="1:2" hidden="1">
      <c r="A183" t="s">
        <v>251</v>
      </c>
      <c r="B183" t="s">
        <v>252</v>
      </c>
    </row>
    <row r="184" spans="1:2" hidden="1">
      <c r="A184">
        <v>11124032</v>
      </c>
      <c r="B184" t="s">
        <v>253</v>
      </c>
    </row>
    <row r="185" spans="1:2" hidden="1">
      <c r="A185">
        <v>11124033</v>
      </c>
      <c r="B185" t="s">
        <v>254</v>
      </c>
    </row>
    <row r="186" spans="1:2" hidden="1">
      <c r="A186">
        <v>11124042</v>
      </c>
      <c r="B186" t="s">
        <v>255</v>
      </c>
    </row>
    <row r="187" spans="1:2" hidden="1">
      <c r="A187">
        <v>11124043</v>
      </c>
      <c r="B187" t="s">
        <v>256</v>
      </c>
    </row>
    <row r="188" spans="1:2" hidden="1">
      <c r="A188">
        <v>11124044</v>
      </c>
      <c r="B188" t="s">
        <v>257</v>
      </c>
    </row>
    <row r="189" spans="1:2" hidden="1">
      <c r="A189">
        <v>11127003</v>
      </c>
      <c r="B189" t="s">
        <v>258</v>
      </c>
    </row>
    <row r="190" spans="1:2" hidden="1">
      <c r="A190">
        <v>11133013</v>
      </c>
      <c r="B190" t="s">
        <v>259</v>
      </c>
    </row>
    <row r="191" spans="1:2" hidden="1">
      <c r="A191">
        <v>11133014</v>
      </c>
      <c r="B191" t="s">
        <v>260</v>
      </c>
    </row>
    <row r="192" spans="1:2" hidden="1">
      <c r="A192">
        <v>11138013</v>
      </c>
      <c r="B192" t="s">
        <v>261</v>
      </c>
    </row>
    <row r="193" spans="1:2" hidden="1">
      <c r="A193">
        <v>11138014</v>
      </c>
      <c r="B193" t="s">
        <v>262</v>
      </c>
    </row>
    <row r="194" spans="1:2" hidden="1">
      <c r="A194">
        <v>11138015</v>
      </c>
      <c r="B194" t="s">
        <v>263</v>
      </c>
    </row>
    <row r="195" spans="1:2" hidden="1">
      <c r="A195">
        <v>111490006</v>
      </c>
      <c r="B195" t="s">
        <v>264</v>
      </c>
    </row>
    <row r="196" spans="1:2" hidden="1">
      <c r="A196">
        <v>111570002</v>
      </c>
      <c r="B196" t="s">
        <v>265</v>
      </c>
    </row>
    <row r="197" spans="1:2" hidden="1">
      <c r="A197">
        <v>111570003</v>
      </c>
      <c r="B197" t="s">
        <v>266</v>
      </c>
    </row>
    <row r="198" spans="1:2" hidden="1">
      <c r="A198">
        <v>111580000</v>
      </c>
      <c r="B198" t="s">
        <v>267</v>
      </c>
    </row>
    <row r="199" spans="1:2" hidden="1">
      <c r="A199">
        <v>111630008</v>
      </c>
      <c r="B199" t="s">
        <v>268</v>
      </c>
    </row>
    <row r="200" spans="1:2" hidden="1">
      <c r="A200">
        <v>111630014</v>
      </c>
      <c r="B200" t="s">
        <v>269</v>
      </c>
    </row>
    <row r="201" spans="1:2" hidden="1">
      <c r="A201">
        <v>111910000</v>
      </c>
      <c r="B201" t="s">
        <v>270</v>
      </c>
    </row>
    <row r="202" spans="1:2" hidden="1">
      <c r="A202">
        <v>112030008</v>
      </c>
      <c r="B202" t="s">
        <v>271</v>
      </c>
    </row>
    <row r="203" spans="1:2" hidden="1">
      <c r="A203">
        <v>112030009</v>
      </c>
      <c r="B203" t="s">
        <v>272</v>
      </c>
    </row>
    <row r="204" spans="1:2" hidden="1">
      <c r="A204">
        <v>112030010</v>
      </c>
      <c r="B204" t="s">
        <v>273</v>
      </c>
    </row>
    <row r="205" spans="1:2" hidden="1">
      <c r="A205">
        <v>112030019</v>
      </c>
      <c r="B205" t="s">
        <v>274</v>
      </c>
    </row>
    <row r="206" spans="1:2" hidden="1">
      <c r="A206">
        <v>112030023</v>
      </c>
      <c r="B206" t="s">
        <v>275</v>
      </c>
    </row>
    <row r="207" spans="1:2" hidden="1">
      <c r="A207">
        <v>112070010</v>
      </c>
      <c r="B207" t="s">
        <v>276</v>
      </c>
    </row>
    <row r="208" spans="1:2" hidden="1">
      <c r="A208">
        <v>112500011</v>
      </c>
      <c r="B208" t="s">
        <v>199</v>
      </c>
    </row>
    <row r="209" spans="1:2" hidden="1">
      <c r="A209">
        <v>112500046</v>
      </c>
      <c r="B209" t="s">
        <v>277</v>
      </c>
    </row>
    <row r="210" spans="1:2" hidden="1">
      <c r="A210">
        <v>112500047</v>
      </c>
      <c r="B210" t="s">
        <v>278</v>
      </c>
    </row>
    <row r="211" spans="1:2" hidden="1">
      <c r="A211">
        <v>112500048</v>
      </c>
      <c r="B211" t="s">
        <v>279</v>
      </c>
    </row>
    <row r="212" spans="1:2" hidden="1">
      <c r="A212">
        <v>112500049</v>
      </c>
      <c r="B212" t="s">
        <v>280</v>
      </c>
    </row>
    <row r="213" spans="1:2" hidden="1">
      <c r="A213">
        <v>112500052</v>
      </c>
      <c r="B213" t="s">
        <v>281</v>
      </c>
    </row>
    <row r="214" spans="1:2" hidden="1">
      <c r="A214">
        <v>112500053</v>
      </c>
      <c r="B214" t="s">
        <v>282</v>
      </c>
    </row>
    <row r="215" spans="1:2" hidden="1">
      <c r="A215">
        <v>112510001</v>
      </c>
      <c r="B215" t="s">
        <v>283</v>
      </c>
    </row>
    <row r="216" spans="1:2" hidden="1">
      <c r="A216">
        <v>112510035</v>
      </c>
      <c r="B216" t="s">
        <v>284</v>
      </c>
    </row>
    <row r="217" spans="1:2" hidden="1">
      <c r="A217">
        <v>112510036</v>
      </c>
      <c r="B217" t="s">
        <v>285</v>
      </c>
    </row>
    <row r="218" spans="1:2" hidden="1">
      <c r="A218">
        <v>112520010</v>
      </c>
      <c r="B218" t="s">
        <v>198</v>
      </c>
    </row>
    <row r="219" spans="1:2" hidden="1">
      <c r="A219">
        <v>112520024</v>
      </c>
      <c r="B219" t="s">
        <v>286</v>
      </c>
    </row>
    <row r="220" spans="1:2" hidden="1">
      <c r="A220">
        <v>112520025</v>
      </c>
      <c r="B220" t="s">
        <v>287</v>
      </c>
    </row>
    <row r="221" spans="1:2" hidden="1">
      <c r="A221">
        <v>112570005</v>
      </c>
      <c r="B221" t="s">
        <v>288</v>
      </c>
    </row>
    <row r="222" spans="1:2" hidden="1">
      <c r="A222">
        <v>112570016</v>
      </c>
      <c r="B222" t="s">
        <v>289</v>
      </c>
    </row>
    <row r="223" spans="1:2" hidden="1">
      <c r="A223">
        <v>112570041</v>
      </c>
      <c r="B223" t="s">
        <v>290</v>
      </c>
    </row>
    <row r="224" spans="1:2" hidden="1">
      <c r="A224">
        <v>112570068</v>
      </c>
      <c r="B224" t="s">
        <v>291</v>
      </c>
    </row>
    <row r="225" spans="1:2" hidden="1">
      <c r="A225">
        <v>112570073</v>
      </c>
      <c r="B225" t="s">
        <v>292</v>
      </c>
    </row>
    <row r="226" spans="1:2" hidden="1">
      <c r="A226">
        <v>112570093</v>
      </c>
      <c r="B226" t="s">
        <v>293</v>
      </c>
    </row>
    <row r="227" spans="1:2" hidden="1">
      <c r="A227">
        <v>112570123</v>
      </c>
      <c r="B227" t="s">
        <v>294</v>
      </c>
    </row>
    <row r="228" spans="1:2" hidden="1">
      <c r="A228">
        <v>112570124</v>
      </c>
      <c r="B228" t="s">
        <v>295</v>
      </c>
    </row>
    <row r="229" spans="1:2" hidden="1">
      <c r="A229">
        <v>112570125</v>
      </c>
      <c r="B229" t="s">
        <v>296</v>
      </c>
    </row>
    <row r="230" spans="1:2" hidden="1">
      <c r="A230">
        <v>112570126</v>
      </c>
      <c r="B230" t="s">
        <v>297</v>
      </c>
    </row>
    <row r="231" spans="1:2" hidden="1">
      <c r="A231">
        <v>112570127</v>
      </c>
      <c r="B231" t="s">
        <v>298</v>
      </c>
    </row>
    <row r="232" spans="1:2" hidden="1">
      <c r="A232">
        <v>112570128</v>
      </c>
      <c r="B232" t="s">
        <v>299</v>
      </c>
    </row>
    <row r="233" spans="1:2" hidden="1">
      <c r="A233">
        <v>112570209</v>
      </c>
      <c r="B233" t="s">
        <v>300</v>
      </c>
    </row>
    <row r="234" spans="1:2" hidden="1">
      <c r="A234">
        <v>112570211</v>
      </c>
      <c r="B234" t="s">
        <v>301</v>
      </c>
    </row>
    <row r="235" spans="1:2" hidden="1">
      <c r="A235">
        <v>112570238</v>
      </c>
      <c r="B235" t="s">
        <v>302</v>
      </c>
    </row>
    <row r="236" spans="1:2" hidden="1">
      <c r="A236">
        <v>112570242</v>
      </c>
      <c r="B236" t="s">
        <v>303</v>
      </c>
    </row>
    <row r="237" spans="1:2" hidden="1">
      <c r="A237">
        <v>112570244</v>
      </c>
      <c r="B237" t="s">
        <v>304</v>
      </c>
    </row>
    <row r="238" spans="1:2" hidden="1">
      <c r="A238">
        <v>112570246</v>
      </c>
      <c r="B238" t="s">
        <v>305</v>
      </c>
    </row>
    <row r="239" spans="1:2" hidden="1">
      <c r="A239">
        <v>112580017</v>
      </c>
      <c r="B239" t="s">
        <v>306</v>
      </c>
    </row>
    <row r="240" spans="1:2" hidden="1">
      <c r="A240">
        <v>112580027</v>
      </c>
      <c r="B240" t="s">
        <v>307</v>
      </c>
    </row>
    <row r="241" spans="1:2" hidden="1">
      <c r="A241">
        <v>112580058</v>
      </c>
      <c r="B241" t="s">
        <v>308</v>
      </c>
    </row>
    <row r="242" spans="1:2" hidden="1">
      <c r="A242">
        <v>112600000</v>
      </c>
      <c r="B242" t="s">
        <v>309</v>
      </c>
    </row>
    <row r="243" spans="1:2" hidden="1">
      <c r="A243">
        <v>112600001</v>
      </c>
      <c r="B243" t="s">
        <v>310</v>
      </c>
    </row>
    <row r="244" spans="1:2" hidden="1">
      <c r="A244">
        <v>112610067</v>
      </c>
      <c r="B244" t="s">
        <v>311</v>
      </c>
    </row>
    <row r="245" spans="1:2" hidden="1">
      <c r="A245">
        <v>112610068</v>
      </c>
      <c r="B245" t="s">
        <v>312</v>
      </c>
    </row>
    <row r="246" spans="1:2" hidden="1">
      <c r="A246">
        <v>112610069</v>
      </c>
      <c r="B246" t="s">
        <v>313</v>
      </c>
    </row>
    <row r="247" spans="1:2" hidden="1">
      <c r="A247">
        <v>112610070</v>
      </c>
      <c r="B247" t="s">
        <v>314</v>
      </c>
    </row>
    <row r="248" spans="1:2" hidden="1">
      <c r="A248">
        <v>112610071</v>
      </c>
      <c r="B248" t="s">
        <v>315</v>
      </c>
    </row>
    <row r="249" spans="1:2" hidden="1">
      <c r="A249">
        <v>112620016</v>
      </c>
      <c r="B249" t="s">
        <v>316</v>
      </c>
    </row>
    <row r="250" spans="1:2" hidden="1">
      <c r="A250">
        <v>112660000</v>
      </c>
      <c r="B250" t="s">
        <v>317</v>
      </c>
    </row>
    <row r="251" spans="1:2" hidden="1">
      <c r="A251">
        <v>112730000</v>
      </c>
      <c r="B251" t="s">
        <v>318</v>
      </c>
    </row>
    <row r="252" spans="1:2" hidden="1">
      <c r="A252">
        <v>112890000</v>
      </c>
      <c r="B252" t="s">
        <v>319</v>
      </c>
    </row>
    <row r="253" spans="1:2" hidden="1">
      <c r="A253">
        <v>112910007</v>
      </c>
      <c r="B253" t="s">
        <v>320</v>
      </c>
    </row>
    <row r="254" spans="1:2" hidden="1">
      <c r="A254">
        <v>112930022</v>
      </c>
      <c r="B254" t="s">
        <v>321</v>
      </c>
    </row>
    <row r="255" spans="1:2" hidden="1">
      <c r="A255">
        <v>112930023</v>
      </c>
      <c r="B255" t="s">
        <v>322</v>
      </c>
    </row>
    <row r="256" spans="1:2" hidden="1">
      <c r="A256">
        <v>112930045</v>
      </c>
      <c r="B256" t="s">
        <v>323</v>
      </c>
    </row>
    <row r="257" spans="1:2" hidden="1">
      <c r="A257">
        <v>112930047</v>
      </c>
      <c r="B257" t="s">
        <v>324</v>
      </c>
    </row>
    <row r="258" spans="1:2" hidden="1">
      <c r="A258">
        <v>112930048</v>
      </c>
      <c r="B258" t="s">
        <v>325</v>
      </c>
    </row>
    <row r="259" spans="1:2" hidden="1">
      <c r="A259">
        <v>112930049</v>
      </c>
      <c r="B259" t="s">
        <v>326</v>
      </c>
    </row>
    <row r="260" spans="1:2" hidden="1">
      <c r="A260">
        <v>112930063</v>
      </c>
      <c r="B260" t="s">
        <v>327</v>
      </c>
    </row>
    <row r="261" spans="1:2" hidden="1">
      <c r="A261">
        <v>112930068</v>
      </c>
      <c r="B261" t="s">
        <v>328</v>
      </c>
    </row>
    <row r="262" spans="1:2" hidden="1">
      <c r="A262">
        <v>112930076</v>
      </c>
      <c r="B262" t="s">
        <v>329</v>
      </c>
    </row>
    <row r="263" spans="1:2" hidden="1">
      <c r="A263">
        <v>112950019</v>
      </c>
      <c r="B263" t="s">
        <v>330</v>
      </c>
    </row>
    <row r="264" spans="1:2" hidden="1">
      <c r="A264">
        <v>112950020</v>
      </c>
      <c r="B264" t="s">
        <v>331</v>
      </c>
    </row>
    <row r="265" spans="1:2" hidden="1">
      <c r="A265">
        <v>112950021</v>
      </c>
      <c r="B265" t="s">
        <v>332</v>
      </c>
    </row>
    <row r="266" spans="1:2" hidden="1">
      <c r="A266">
        <v>112960004</v>
      </c>
      <c r="B266" t="s">
        <v>333</v>
      </c>
    </row>
    <row r="267" spans="1:2" hidden="1">
      <c r="A267">
        <v>112970010</v>
      </c>
      <c r="B267" t="s">
        <v>334</v>
      </c>
    </row>
    <row r="268" spans="1:2" hidden="1">
      <c r="A268">
        <v>113100004</v>
      </c>
      <c r="B268" t="s">
        <v>335</v>
      </c>
    </row>
    <row r="269" spans="1:2" hidden="1">
      <c r="A269">
        <v>113120009</v>
      </c>
      <c r="B269" t="s">
        <v>336</v>
      </c>
    </row>
    <row r="270" spans="1:2" hidden="1">
      <c r="A270">
        <v>113120010</v>
      </c>
      <c r="B270" t="s">
        <v>337</v>
      </c>
    </row>
    <row r="271" spans="1:2" hidden="1">
      <c r="A271">
        <v>113290025</v>
      </c>
      <c r="B271" t="s">
        <v>338</v>
      </c>
    </row>
    <row r="272" spans="1:2" hidden="1">
      <c r="A272">
        <v>113290044</v>
      </c>
      <c r="B272" t="s">
        <v>339</v>
      </c>
    </row>
    <row r="273" spans="1:2" hidden="1">
      <c r="A273">
        <v>113430016</v>
      </c>
      <c r="B273" t="s">
        <v>340</v>
      </c>
    </row>
    <row r="274" spans="1:2" hidden="1">
      <c r="A274">
        <v>113430018</v>
      </c>
      <c r="B274" t="s">
        <v>341</v>
      </c>
    </row>
    <row r="275" spans="1:2" hidden="1">
      <c r="A275">
        <v>113430051</v>
      </c>
      <c r="B275" t="s">
        <v>342</v>
      </c>
    </row>
    <row r="276" spans="1:2" hidden="1">
      <c r="A276">
        <v>113430073</v>
      </c>
      <c r="B276" t="s">
        <v>343</v>
      </c>
    </row>
    <row r="277" spans="1:2" hidden="1">
      <c r="A277">
        <v>113600014</v>
      </c>
      <c r="B277" t="s">
        <v>344</v>
      </c>
    </row>
    <row r="278" spans="1:2" hidden="1">
      <c r="A278">
        <v>113600015</v>
      </c>
      <c r="B278" t="s">
        <v>345</v>
      </c>
    </row>
    <row r="279" spans="1:2" hidden="1">
      <c r="A279">
        <v>113600016</v>
      </c>
      <c r="B279" t="s">
        <v>346</v>
      </c>
    </row>
    <row r="280" spans="1:2" hidden="1">
      <c r="A280">
        <v>113600017</v>
      </c>
      <c r="B280" t="s">
        <v>347</v>
      </c>
    </row>
    <row r="281" spans="1:2" hidden="1">
      <c r="A281">
        <v>113610005</v>
      </c>
      <c r="B281" t="s">
        <v>348</v>
      </c>
    </row>
    <row r="282" spans="1:2" hidden="1">
      <c r="A282">
        <v>113620002</v>
      </c>
      <c r="B282" t="s">
        <v>349</v>
      </c>
    </row>
    <row r="283" spans="1:2" hidden="1">
      <c r="A283">
        <v>114270004</v>
      </c>
      <c r="B283" t="s">
        <v>350</v>
      </c>
    </row>
    <row r="284" spans="1:2" hidden="1">
      <c r="A284">
        <v>114270008</v>
      </c>
      <c r="B284" t="s">
        <v>351</v>
      </c>
    </row>
    <row r="285" spans="1:2" hidden="1">
      <c r="A285">
        <v>114300004</v>
      </c>
      <c r="B285" t="s">
        <v>352</v>
      </c>
    </row>
    <row r="286" spans="1:2" hidden="1">
      <c r="A286">
        <v>115000004</v>
      </c>
      <c r="B286" t="s">
        <v>353</v>
      </c>
    </row>
    <row r="287" spans="1:2" hidden="1">
      <c r="A287">
        <v>115000005</v>
      </c>
      <c r="B287" t="s">
        <v>354</v>
      </c>
    </row>
    <row r="288" spans="1:2" hidden="1">
      <c r="A288">
        <v>115000007</v>
      </c>
      <c r="B288" t="s">
        <v>355</v>
      </c>
    </row>
    <row r="289" spans="1:2" hidden="1">
      <c r="A289">
        <v>115000008</v>
      </c>
      <c r="B289" t="s">
        <v>356</v>
      </c>
    </row>
    <row r="290" spans="1:2" hidden="1">
      <c r="A290">
        <v>115000018</v>
      </c>
      <c r="B290" t="s">
        <v>357</v>
      </c>
    </row>
    <row r="291" spans="1:2" hidden="1">
      <c r="A291">
        <v>115000020</v>
      </c>
      <c r="B291" t="s">
        <v>358</v>
      </c>
    </row>
    <row r="292" spans="1:2" hidden="1">
      <c r="A292">
        <v>115000022</v>
      </c>
      <c r="B292" t="s">
        <v>359</v>
      </c>
    </row>
    <row r="293" spans="1:2" hidden="1">
      <c r="A293">
        <v>115000025</v>
      </c>
      <c r="B293" t="s">
        <v>360</v>
      </c>
    </row>
    <row r="294" spans="1:2" hidden="1">
      <c r="A294">
        <v>115000046</v>
      </c>
      <c r="B294" t="s">
        <v>361</v>
      </c>
    </row>
    <row r="295" spans="1:2" hidden="1">
      <c r="A295">
        <v>115000047</v>
      </c>
      <c r="B295" t="s">
        <v>362</v>
      </c>
    </row>
    <row r="296" spans="1:2" hidden="1">
      <c r="A296">
        <v>115000048</v>
      </c>
      <c r="B296" t="s">
        <v>363</v>
      </c>
    </row>
    <row r="297" spans="1:2" hidden="1">
      <c r="A297">
        <v>115000052</v>
      </c>
      <c r="B297" t="s">
        <v>364</v>
      </c>
    </row>
    <row r="298" spans="1:2" hidden="1">
      <c r="A298">
        <v>115000054</v>
      </c>
      <c r="B298" t="s">
        <v>365</v>
      </c>
    </row>
    <row r="299" spans="1:2" hidden="1">
      <c r="A299">
        <v>115000055</v>
      </c>
      <c r="B299" t="s">
        <v>366</v>
      </c>
    </row>
    <row r="300" spans="1:2" hidden="1">
      <c r="A300">
        <v>115000056</v>
      </c>
      <c r="B300" t="s">
        <v>367</v>
      </c>
    </row>
    <row r="301" spans="1:2" hidden="1">
      <c r="A301">
        <v>115000057</v>
      </c>
      <c r="B301" t="s">
        <v>368</v>
      </c>
    </row>
    <row r="302" spans="1:2" hidden="1">
      <c r="A302">
        <v>115000075</v>
      </c>
      <c r="B302" t="s">
        <v>369</v>
      </c>
    </row>
    <row r="303" spans="1:2" hidden="1">
      <c r="A303">
        <v>115000081</v>
      </c>
      <c r="B303" t="s">
        <v>370</v>
      </c>
    </row>
    <row r="304" spans="1:2" hidden="1">
      <c r="A304">
        <v>115000082</v>
      </c>
      <c r="B304" t="s">
        <v>371</v>
      </c>
    </row>
    <row r="305" spans="1:2" hidden="1">
      <c r="A305">
        <v>115000083</v>
      </c>
      <c r="B305" t="s">
        <v>372</v>
      </c>
    </row>
    <row r="306" spans="1:2" hidden="1">
      <c r="A306">
        <v>115000088</v>
      </c>
      <c r="B306" t="s">
        <v>373</v>
      </c>
    </row>
    <row r="307" spans="1:2" hidden="1">
      <c r="A307">
        <v>115010029</v>
      </c>
      <c r="B307" t="s">
        <v>374</v>
      </c>
    </row>
    <row r="308" spans="1:2" hidden="1">
      <c r="A308">
        <v>115010031</v>
      </c>
      <c r="B308" t="s">
        <v>375</v>
      </c>
    </row>
    <row r="309" spans="1:2" hidden="1">
      <c r="A309">
        <v>115010046</v>
      </c>
      <c r="B309" t="s">
        <v>376</v>
      </c>
    </row>
    <row r="310" spans="1:2" hidden="1">
      <c r="A310">
        <v>115020012</v>
      </c>
      <c r="B310" t="s">
        <v>377</v>
      </c>
    </row>
    <row r="311" spans="1:2" hidden="1">
      <c r="A311">
        <v>115020025</v>
      </c>
      <c r="B311" t="s">
        <v>378</v>
      </c>
    </row>
    <row r="312" spans="1:2" hidden="1">
      <c r="A312">
        <v>115030007</v>
      </c>
      <c r="B312" t="s">
        <v>379</v>
      </c>
    </row>
    <row r="313" spans="1:2" hidden="1">
      <c r="A313">
        <v>115030012</v>
      </c>
      <c r="B313" t="s">
        <v>380</v>
      </c>
    </row>
    <row r="314" spans="1:2" hidden="1">
      <c r="A314">
        <v>115030016</v>
      </c>
      <c r="B314" t="s">
        <v>381</v>
      </c>
    </row>
    <row r="315" spans="1:2" hidden="1">
      <c r="A315">
        <v>115030017</v>
      </c>
      <c r="B315" t="s">
        <v>382</v>
      </c>
    </row>
    <row r="316" spans="1:2" hidden="1">
      <c r="A316">
        <v>115030024</v>
      </c>
      <c r="B316" t="s">
        <v>383</v>
      </c>
    </row>
    <row r="317" spans="1:2" hidden="1">
      <c r="A317">
        <v>115030026</v>
      </c>
      <c r="B317" t="s">
        <v>384</v>
      </c>
    </row>
    <row r="318" spans="1:2" hidden="1">
      <c r="A318">
        <v>115040008</v>
      </c>
      <c r="B318" t="s">
        <v>385</v>
      </c>
    </row>
    <row r="319" spans="1:2" hidden="1">
      <c r="A319">
        <v>115050000</v>
      </c>
      <c r="B319" t="s">
        <v>386</v>
      </c>
    </row>
    <row r="320" spans="1:2" hidden="1">
      <c r="A320">
        <v>115050005</v>
      </c>
      <c r="B320" t="s">
        <v>387</v>
      </c>
    </row>
    <row r="321" spans="1:2" hidden="1">
      <c r="A321">
        <v>115050014</v>
      </c>
      <c r="B321" t="s">
        <v>388</v>
      </c>
    </row>
    <row r="322" spans="1:2" hidden="1">
      <c r="A322">
        <v>115100011</v>
      </c>
      <c r="B322" t="s">
        <v>389</v>
      </c>
    </row>
    <row r="323" spans="1:2" hidden="1">
      <c r="A323">
        <v>115100013</v>
      </c>
      <c r="B323" t="s">
        <v>390</v>
      </c>
    </row>
    <row r="324" spans="1:2" hidden="1">
      <c r="A324">
        <v>115100014</v>
      </c>
      <c r="B324" t="s">
        <v>391</v>
      </c>
    </row>
    <row r="325" spans="1:2" hidden="1">
      <c r="A325">
        <v>115100015</v>
      </c>
      <c r="B325" t="s">
        <v>392</v>
      </c>
    </row>
    <row r="326" spans="1:2" hidden="1">
      <c r="A326">
        <v>115100016</v>
      </c>
      <c r="B326" t="s">
        <v>393</v>
      </c>
    </row>
    <row r="327" spans="1:2" hidden="1">
      <c r="A327">
        <v>115100023</v>
      </c>
      <c r="B327" t="s">
        <v>394</v>
      </c>
    </row>
    <row r="328" spans="1:2" hidden="1">
      <c r="A328">
        <v>115110011</v>
      </c>
      <c r="B328" t="s">
        <v>395</v>
      </c>
    </row>
    <row r="329" spans="1:2" hidden="1">
      <c r="A329">
        <v>115110017</v>
      </c>
      <c r="B329" t="s">
        <v>396</v>
      </c>
    </row>
    <row r="330" spans="1:2" hidden="1">
      <c r="A330">
        <v>115110031</v>
      </c>
      <c r="B330" t="s">
        <v>397</v>
      </c>
    </row>
    <row r="331" spans="1:2" hidden="1">
      <c r="A331">
        <v>115110040</v>
      </c>
      <c r="B331" t="s">
        <v>398</v>
      </c>
    </row>
    <row r="332" spans="1:2" hidden="1">
      <c r="A332">
        <v>115110041</v>
      </c>
      <c r="B332" t="s">
        <v>399</v>
      </c>
    </row>
    <row r="333" spans="1:2" hidden="1">
      <c r="A333">
        <v>115110050</v>
      </c>
      <c r="B333" t="s">
        <v>400</v>
      </c>
    </row>
    <row r="334" spans="1:2" hidden="1">
      <c r="A334">
        <v>115110051</v>
      </c>
      <c r="B334" t="s">
        <v>401</v>
      </c>
    </row>
    <row r="335" spans="1:2" hidden="1">
      <c r="A335">
        <v>115120002</v>
      </c>
      <c r="B335" t="s">
        <v>402</v>
      </c>
    </row>
    <row r="336" spans="1:2" hidden="1">
      <c r="A336">
        <v>115120021</v>
      </c>
      <c r="B336" t="s">
        <v>403</v>
      </c>
    </row>
    <row r="337" spans="1:2" hidden="1">
      <c r="A337">
        <v>115120040</v>
      </c>
      <c r="B337" t="s">
        <v>404</v>
      </c>
    </row>
    <row r="338" spans="1:2" hidden="1">
      <c r="A338">
        <v>115120050</v>
      </c>
      <c r="B338" t="s">
        <v>405</v>
      </c>
    </row>
    <row r="339" spans="1:2" hidden="1">
      <c r="A339">
        <v>115120051</v>
      </c>
      <c r="B339" t="s">
        <v>406</v>
      </c>
    </row>
    <row r="340" spans="1:2" hidden="1">
      <c r="A340">
        <v>115120052</v>
      </c>
      <c r="B340" t="s">
        <v>407</v>
      </c>
    </row>
    <row r="341" spans="1:2" hidden="1">
      <c r="A341">
        <v>115120053</v>
      </c>
      <c r="B341" t="s">
        <v>408</v>
      </c>
    </row>
    <row r="342" spans="1:2" hidden="1">
      <c r="A342">
        <v>115120073</v>
      </c>
      <c r="B342" t="s">
        <v>409</v>
      </c>
    </row>
    <row r="343" spans="1:2" hidden="1">
      <c r="A343">
        <v>115120074</v>
      </c>
      <c r="B343" t="s">
        <v>410</v>
      </c>
    </row>
    <row r="344" spans="1:2" hidden="1">
      <c r="A344">
        <v>115130004</v>
      </c>
      <c r="B344" t="s">
        <v>411</v>
      </c>
    </row>
    <row r="345" spans="1:2" hidden="1">
      <c r="A345">
        <v>115130007</v>
      </c>
      <c r="B345" t="s">
        <v>412</v>
      </c>
    </row>
    <row r="346" spans="1:2" hidden="1">
      <c r="A346">
        <v>115160004</v>
      </c>
      <c r="B346" t="s">
        <v>413</v>
      </c>
    </row>
    <row r="347" spans="1:2" hidden="1">
      <c r="A347">
        <v>115160006</v>
      </c>
      <c r="B347" t="s">
        <v>414</v>
      </c>
    </row>
    <row r="348" spans="1:2" hidden="1">
      <c r="A348">
        <v>115160007</v>
      </c>
      <c r="B348" t="s">
        <v>415</v>
      </c>
    </row>
    <row r="349" spans="1:2" hidden="1">
      <c r="A349">
        <v>115160010</v>
      </c>
      <c r="B349" t="s">
        <v>416</v>
      </c>
    </row>
    <row r="350" spans="1:2" hidden="1">
      <c r="A350">
        <v>115170001</v>
      </c>
      <c r="B350" t="s">
        <v>417</v>
      </c>
    </row>
    <row r="351" spans="1:2" hidden="1">
      <c r="A351">
        <v>115170007</v>
      </c>
      <c r="B351" t="s">
        <v>418</v>
      </c>
    </row>
    <row r="352" spans="1:2" hidden="1">
      <c r="A352">
        <v>115180006</v>
      </c>
      <c r="B352" t="s">
        <v>419</v>
      </c>
    </row>
    <row r="353" spans="1:2" hidden="1">
      <c r="A353">
        <v>115180012</v>
      </c>
      <c r="B353" t="s">
        <v>420</v>
      </c>
    </row>
    <row r="354" spans="1:2" hidden="1">
      <c r="A354">
        <v>115230015</v>
      </c>
      <c r="B354" t="s">
        <v>421</v>
      </c>
    </row>
    <row r="355" spans="1:2" hidden="1">
      <c r="A355">
        <v>115230020</v>
      </c>
      <c r="B355" t="s">
        <v>422</v>
      </c>
    </row>
    <row r="356" spans="1:2" hidden="1">
      <c r="A356">
        <v>115230051</v>
      </c>
      <c r="B356" t="s">
        <v>423</v>
      </c>
    </row>
    <row r="357" spans="1:2" hidden="1">
      <c r="A357">
        <v>115230054</v>
      </c>
      <c r="B357" t="s">
        <v>424</v>
      </c>
    </row>
    <row r="358" spans="1:2" hidden="1">
      <c r="A358">
        <v>115230057</v>
      </c>
      <c r="B358" t="s">
        <v>425</v>
      </c>
    </row>
    <row r="359" spans="1:2" hidden="1">
      <c r="A359">
        <v>115260001</v>
      </c>
      <c r="B359" t="s">
        <v>426</v>
      </c>
    </row>
    <row r="360" spans="1:2" hidden="1">
      <c r="A360">
        <v>115260024</v>
      </c>
      <c r="B360" t="s">
        <v>427</v>
      </c>
    </row>
    <row r="361" spans="1:2" hidden="1">
      <c r="A361">
        <v>115260038</v>
      </c>
      <c r="B361" t="s">
        <v>428</v>
      </c>
    </row>
    <row r="362" spans="1:2" hidden="1">
      <c r="A362">
        <v>115330015</v>
      </c>
      <c r="B362" t="s">
        <v>429</v>
      </c>
    </row>
    <row r="363" spans="1:2" hidden="1">
      <c r="A363">
        <v>115360001</v>
      </c>
      <c r="B363" t="s">
        <v>430</v>
      </c>
    </row>
    <row r="364" spans="1:2" hidden="1">
      <c r="A364">
        <v>115360008</v>
      </c>
      <c r="B364" t="s">
        <v>431</v>
      </c>
    </row>
    <row r="365" spans="1:2" hidden="1">
      <c r="A365">
        <v>115400002</v>
      </c>
      <c r="B365" t="s">
        <v>432</v>
      </c>
    </row>
    <row r="366" spans="1:2" hidden="1">
      <c r="A366">
        <v>115890038</v>
      </c>
      <c r="B366" t="s">
        <v>433</v>
      </c>
    </row>
    <row r="367" spans="1:2" hidden="1">
      <c r="A367">
        <v>115890039</v>
      </c>
      <c r="B367" t="s">
        <v>434</v>
      </c>
    </row>
    <row r="368" spans="1:2" hidden="1">
      <c r="A368">
        <v>115890040</v>
      </c>
      <c r="B368" t="s">
        <v>435</v>
      </c>
    </row>
    <row r="369" spans="1:2" hidden="1">
      <c r="A369">
        <v>115890043</v>
      </c>
      <c r="B369" t="s">
        <v>436</v>
      </c>
    </row>
    <row r="370" spans="1:2" hidden="1">
      <c r="A370">
        <v>116020020</v>
      </c>
      <c r="B370" t="s">
        <v>437</v>
      </c>
    </row>
    <row r="371" spans="1:2" hidden="1">
      <c r="A371">
        <v>116030003</v>
      </c>
      <c r="B371" t="s">
        <v>438</v>
      </c>
    </row>
    <row r="372" spans="1:2" hidden="1">
      <c r="A372">
        <v>12127001</v>
      </c>
      <c r="B372" t="s">
        <v>439</v>
      </c>
    </row>
    <row r="373" spans="1:2" hidden="1">
      <c r="A373">
        <v>12127002</v>
      </c>
      <c r="B373" t="s">
        <v>440</v>
      </c>
    </row>
    <row r="374" spans="1:2" hidden="1">
      <c r="A374">
        <v>12128009</v>
      </c>
      <c r="B374" t="s">
        <v>441</v>
      </c>
    </row>
    <row r="375" spans="1:2" hidden="1">
      <c r="A375">
        <v>12128010</v>
      </c>
      <c r="B375" t="s">
        <v>442</v>
      </c>
    </row>
    <row r="376" spans="1:2" hidden="1">
      <c r="A376">
        <v>12128011</v>
      </c>
      <c r="B376" t="s">
        <v>443</v>
      </c>
    </row>
    <row r="377" spans="1:2" hidden="1">
      <c r="A377">
        <v>12128016</v>
      </c>
      <c r="B377" t="s">
        <v>444</v>
      </c>
    </row>
    <row r="378" spans="1:2" hidden="1">
      <c r="A378">
        <v>12129008</v>
      </c>
      <c r="B378" t="s">
        <v>445</v>
      </c>
    </row>
    <row r="379" spans="1:2" hidden="1">
      <c r="A379">
        <v>12129016</v>
      </c>
      <c r="B379" t="s">
        <v>446</v>
      </c>
    </row>
    <row r="380" spans="1:2" hidden="1">
      <c r="A380">
        <v>12139013</v>
      </c>
      <c r="B380" t="s">
        <v>447</v>
      </c>
    </row>
    <row r="381" spans="1:2" hidden="1">
      <c r="A381">
        <v>13139001</v>
      </c>
      <c r="B381" t="s">
        <v>448</v>
      </c>
    </row>
    <row r="382" spans="1:2" hidden="1">
      <c r="A382">
        <v>13139002</v>
      </c>
      <c r="B382" t="s">
        <v>449</v>
      </c>
    </row>
    <row r="383" spans="1:2" hidden="1">
      <c r="A383">
        <v>13139003</v>
      </c>
      <c r="B383" t="s">
        <v>450</v>
      </c>
    </row>
    <row r="384" spans="1:2" hidden="1">
      <c r="A384">
        <v>13139004</v>
      </c>
      <c r="B384" t="s">
        <v>451</v>
      </c>
    </row>
    <row r="385" spans="1:2" hidden="1">
      <c r="A385">
        <v>13139005</v>
      </c>
      <c r="B385" t="s">
        <v>452</v>
      </c>
    </row>
    <row r="386" spans="1:2" hidden="1">
      <c r="A386">
        <v>13139006</v>
      </c>
      <c r="B386" t="s">
        <v>453</v>
      </c>
    </row>
    <row r="387" spans="1:2" hidden="1">
      <c r="A387">
        <v>13139007</v>
      </c>
      <c r="B387" t="s">
        <v>454</v>
      </c>
    </row>
    <row r="388" spans="1:2" hidden="1">
      <c r="A388">
        <v>13139008</v>
      </c>
      <c r="B388" t="s">
        <v>455</v>
      </c>
    </row>
    <row r="389" spans="1:2" hidden="1">
      <c r="A389">
        <v>13139009</v>
      </c>
      <c r="B389" t="s">
        <v>456</v>
      </c>
    </row>
    <row r="390" spans="1:2" hidden="1">
      <c r="A390">
        <v>13139010</v>
      </c>
      <c r="B390" t="s">
        <v>457</v>
      </c>
    </row>
    <row r="391" spans="1:2" hidden="1">
      <c r="A391">
        <v>1764</v>
      </c>
      <c r="B391" t="s">
        <v>319</v>
      </c>
    </row>
    <row r="392" spans="1:2" hidden="1">
      <c r="A392">
        <v>18151202</v>
      </c>
      <c r="B392" t="s">
        <v>458</v>
      </c>
    </row>
    <row r="393" spans="1:2" hidden="1">
      <c r="A393">
        <v>1815202</v>
      </c>
      <c r="B393" t="s">
        <v>459</v>
      </c>
    </row>
    <row r="394" spans="1:2" hidden="1">
      <c r="A394" t="s">
        <v>460</v>
      </c>
      <c r="B394" t="s">
        <v>461</v>
      </c>
    </row>
    <row r="395" spans="1:2" hidden="1">
      <c r="A395" t="s">
        <v>462</v>
      </c>
      <c r="B395" t="s">
        <v>461</v>
      </c>
    </row>
    <row r="396" spans="1:2" hidden="1">
      <c r="A396">
        <v>18161002</v>
      </c>
      <c r="B396" t="s">
        <v>463</v>
      </c>
    </row>
    <row r="397" spans="1:2" hidden="1">
      <c r="A397">
        <v>181740210</v>
      </c>
      <c r="B397" t="s">
        <v>464</v>
      </c>
    </row>
    <row r="398" spans="1:2" hidden="1">
      <c r="A398">
        <v>182010210</v>
      </c>
      <c r="B398" t="s">
        <v>465</v>
      </c>
    </row>
    <row r="399" spans="1:2" hidden="1">
      <c r="A399">
        <v>182020200</v>
      </c>
      <c r="B399" t="s">
        <v>466</v>
      </c>
    </row>
    <row r="400" spans="1:2" hidden="1">
      <c r="A400">
        <v>182020210</v>
      </c>
      <c r="B400" t="s">
        <v>467</v>
      </c>
    </row>
    <row r="401" spans="1:2" hidden="1">
      <c r="A401" t="s">
        <v>468</v>
      </c>
      <c r="B401" t="s">
        <v>467</v>
      </c>
    </row>
    <row r="402" spans="1:2" hidden="1">
      <c r="A402" t="s">
        <v>469</v>
      </c>
      <c r="B402" t="s">
        <v>470</v>
      </c>
    </row>
    <row r="403" spans="1:2" hidden="1">
      <c r="A403" t="s">
        <v>471</v>
      </c>
      <c r="B403" t="s">
        <v>470</v>
      </c>
    </row>
    <row r="404" spans="1:2" hidden="1">
      <c r="A404" t="s">
        <v>472</v>
      </c>
      <c r="B404" t="s">
        <v>473</v>
      </c>
    </row>
    <row r="405" spans="1:2" hidden="1">
      <c r="A405" t="s">
        <v>474</v>
      </c>
      <c r="B405" t="s">
        <v>473</v>
      </c>
    </row>
    <row r="406" spans="1:2" hidden="1">
      <c r="A406">
        <v>239991200</v>
      </c>
      <c r="B406" t="s">
        <v>475</v>
      </c>
    </row>
    <row r="407" spans="1:2" hidden="1">
      <c r="A407" t="s">
        <v>476</v>
      </c>
      <c r="B407" t="s">
        <v>475</v>
      </c>
    </row>
    <row r="408" spans="1:2" hidden="1">
      <c r="A408" t="s">
        <v>477</v>
      </c>
      <c r="B408" t="s">
        <v>475</v>
      </c>
    </row>
    <row r="409" spans="1:2" hidden="1">
      <c r="A409">
        <v>241020200</v>
      </c>
      <c r="B409" t="s">
        <v>478</v>
      </c>
    </row>
    <row r="410" spans="1:2" hidden="1">
      <c r="A410">
        <v>242320200</v>
      </c>
      <c r="B410" t="s">
        <v>479</v>
      </c>
    </row>
    <row r="411" spans="1:2" hidden="1">
      <c r="A411" t="s">
        <v>480</v>
      </c>
      <c r="B411" t="s">
        <v>481</v>
      </c>
    </row>
    <row r="412" spans="1:2" hidden="1">
      <c r="A412">
        <v>243860210</v>
      </c>
      <c r="B412" t="s">
        <v>482</v>
      </c>
    </row>
    <row r="413" spans="1:2" hidden="1">
      <c r="A413" t="s">
        <v>483</v>
      </c>
      <c r="B413" t="s">
        <v>484</v>
      </c>
    </row>
    <row r="414" spans="1:2" hidden="1">
      <c r="A414">
        <v>244610200</v>
      </c>
      <c r="B414" t="s">
        <v>485</v>
      </c>
    </row>
    <row r="415" spans="1:2" hidden="1">
      <c r="A415">
        <v>246260210</v>
      </c>
      <c r="B415" t="s">
        <v>486</v>
      </c>
    </row>
    <row r="416" spans="1:2" hidden="1">
      <c r="A416">
        <v>249150210</v>
      </c>
      <c r="B416" t="s">
        <v>487</v>
      </c>
    </row>
    <row r="417" spans="1:2" hidden="1">
      <c r="A417" t="s">
        <v>488</v>
      </c>
      <c r="B417" t="s">
        <v>487</v>
      </c>
    </row>
    <row r="418" spans="1:2" hidden="1">
      <c r="A418" t="s">
        <v>489</v>
      </c>
      <c r="B418" t="s">
        <v>487</v>
      </c>
    </row>
    <row r="419" spans="1:2" hidden="1">
      <c r="A419">
        <v>30207021</v>
      </c>
      <c r="B419" t="s">
        <v>490</v>
      </c>
    </row>
    <row r="420" spans="1:2" hidden="1">
      <c r="A420">
        <v>30207200</v>
      </c>
      <c r="B420" t="s">
        <v>491</v>
      </c>
    </row>
    <row r="421" spans="1:2" hidden="1">
      <c r="A421">
        <v>3065161</v>
      </c>
      <c r="B421" t="s">
        <v>492</v>
      </c>
    </row>
    <row r="422" spans="1:2" hidden="1">
      <c r="A422">
        <v>31501020</v>
      </c>
      <c r="B422" t="s">
        <v>493</v>
      </c>
    </row>
    <row r="423" spans="1:2" hidden="1">
      <c r="A423">
        <v>31901079</v>
      </c>
      <c r="B423" t="s">
        <v>494</v>
      </c>
    </row>
    <row r="424" spans="1:2" hidden="1">
      <c r="A424">
        <v>31901099</v>
      </c>
      <c r="B424" t="s">
        <v>495</v>
      </c>
    </row>
    <row r="425" spans="1:2" hidden="1">
      <c r="A425">
        <v>31901103</v>
      </c>
      <c r="B425" t="s">
        <v>496</v>
      </c>
    </row>
    <row r="426" spans="1:2" hidden="1">
      <c r="A426">
        <v>31901176</v>
      </c>
      <c r="B426" t="s">
        <v>497</v>
      </c>
    </row>
    <row r="427" spans="1:2" hidden="1">
      <c r="A427">
        <v>339150210</v>
      </c>
      <c r="B427" t="s">
        <v>498</v>
      </c>
    </row>
    <row r="428" spans="1:2" hidden="1">
      <c r="A428" t="s">
        <v>499</v>
      </c>
      <c r="B428" t="s">
        <v>498</v>
      </c>
    </row>
    <row r="429" spans="1:2" hidden="1">
      <c r="A429" t="s">
        <v>500</v>
      </c>
      <c r="B429" t="s">
        <v>498</v>
      </c>
    </row>
    <row r="430" spans="1:2" hidden="1">
      <c r="A430" t="s">
        <v>501</v>
      </c>
      <c r="B430" t="s">
        <v>502</v>
      </c>
    </row>
    <row r="431" spans="1:2" hidden="1">
      <c r="A431" t="s">
        <v>503</v>
      </c>
      <c r="B431" t="s">
        <v>502</v>
      </c>
    </row>
    <row r="432" spans="1:2" hidden="1">
      <c r="A432" t="s">
        <v>504</v>
      </c>
      <c r="B432" t="s">
        <v>505</v>
      </c>
    </row>
    <row r="433" spans="1:2" hidden="1">
      <c r="A433">
        <v>35911502</v>
      </c>
      <c r="B433" t="s">
        <v>506</v>
      </c>
    </row>
    <row r="434" spans="1:2" hidden="1">
      <c r="A434" t="s">
        <v>507</v>
      </c>
      <c r="B434" t="s">
        <v>506</v>
      </c>
    </row>
    <row r="435" spans="1:2" hidden="1">
      <c r="A435" t="s">
        <v>508</v>
      </c>
      <c r="B435" t="s">
        <v>506</v>
      </c>
    </row>
    <row r="436" spans="1:2" hidden="1">
      <c r="A436">
        <v>35931802</v>
      </c>
      <c r="B436" t="s">
        <v>509</v>
      </c>
    </row>
    <row r="437" spans="1:2" hidden="1">
      <c r="A437" t="s">
        <v>510</v>
      </c>
      <c r="B437" t="s">
        <v>511</v>
      </c>
    </row>
    <row r="438" spans="1:2" hidden="1">
      <c r="A438" t="s">
        <v>512</v>
      </c>
      <c r="B438" t="s">
        <v>513</v>
      </c>
    </row>
    <row r="439" spans="1:2" hidden="1">
      <c r="A439" t="s">
        <v>514</v>
      </c>
      <c r="B439" t="s">
        <v>513</v>
      </c>
    </row>
    <row r="440" spans="1:2" hidden="1">
      <c r="A440">
        <v>35971802</v>
      </c>
      <c r="B440" t="s">
        <v>515</v>
      </c>
    </row>
    <row r="441" spans="1:2" hidden="1">
      <c r="A441" t="s">
        <v>516</v>
      </c>
      <c r="B441" t="s">
        <v>517</v>
      </c>
    </row>
    <row r="442" spans="1:2" hidden="1">
      <c r="A442" t="s">
        <v>518</v>
      </c>
      <c r="B442" t="s">
        <v>519</v>
      </c>
    </row>
    <row r="443" spans="1:2" hidden="1">
      <c r="A443">
        <v>38911502</v>
      </c>
      <c r="B443" t="s">
        <v>520</v>
      </c>
    </row>
    <row r="444" spans="1:2" hidden="1">
      <c r="A444" t="s">
        <v>521</v>
      </c>
      <c r="B444" t="s">
        <v>522</v>
      </c>
    </row>
    <row r="445" spans="1:2" hidden="1">
      <c r="A445" t="s">
        <v>523</v>
      </c>
      <c r="B445" t="s">
        <v>524</v>
      </c>
    </row>
    <row r="446" spans="1:2" hidden="1">
      <c r="A446">
        <v>389140200</v>
      </c>
      <c r="B446" t="s">
        <v>525</v>
      </c>
    </row>
    <row r="447" spans="1:2" hidden="1">
      <c r="A447">
        <v>38931702</v>
      </c>
      <c r="B447" t="s">
        <v>526</v>
      </c>
    </row>
    <row r="448" spans="1:2" hidden="1">
      <c r="A448" t="s">
        <v>527</v>
      </c>
      <c r="B448" t="s">
        <v>528</v>
      </c>
    </row>
    <row r="449" spans="1:2" hidden="1">
      <c r="A449">
        <v>389982700</v>
      </c>
      <c r="B449" t="s">
        <v>529</v>
      </c>
    </row>
    <row r="450" spans="1:2" hidden="1">
      <c r="A450">
        <v>40101067</v>
      </c>
      <c r="B450" t="s">
        <v>530</v>
      </c>
    </row>
    <row r="451" spans="1:2" hidden="1">
      <c r="A451">
        <v>40101068</v>
      </c>
      <c r="B451" t="s">
        <v>531</v>
      </c>
    </row>
    <row r="452" spans="1:2" hidden="1">
      <c r="A452">
        <v>40101102</v>
      </c>
      <c r="B452" t="s">
        <v>532</v>
      </c>
    </row>
    <row r="453" spans="1:2" hidden="1">
      <c r="A453">
        <v>40101103</v>
      </c>
      <c r="B453" t="s">
        <v>533</v>
      </c>
    </row>
    <row r="454" spans="1:2" hidden="1">
      <c r="A454">
        <v>40104010</v>
      </c>
      <c r="B454" t="s">
        <v>534</v>
      </c>
    </row>
    <row r="455" spans="1:2" hidden="1">
      <c r="A455">
        <v>40104011</v>
      </c>
      <c r="B455" t="s">
        <v>535</v>
      </c>
    </row>
    <row r="456" spans="1:2" hidden="1">
      <c r="A456">
        <v>40125212</v>
      </c>
      <c r="B456" t="s">
        <v>536</v>
      </c>
    </row>
    <row r="457" spans="1:2" hidden="1">
      <c r="A457">
        <v>40125220</v>
      </c>
      <c r="B457" t="s">
        <v>537</v>
      </c>
    </row>
    <row r="458" spans="1:2" hidden="1">
      <c r="A458">
        <v>40125230</v>
      </c>
      <c r="B458" t="s">
        <v>538</v>
      </c>
    </row>
    <row r="459" spans="1:2" hidden="1">
      <c r="A459">
        <v>40125240</v>
      </c>
      <c r="B459" t="s">
        <v>539</v>
      </c>
    </row>
    <row r="460" spans="1:2" hidden="1">
      <c r="A460">
        <v>40125250</v>
      </c>
      <c r="B460" t="s">
        <v>540</v>
      </c>
    </row>
    <row r="461" spans="1:2" hidden="1">
      <c r="A461">
        <v>40125520</v>
      </c>
      <c r="B461" t="s">
        <v>541</v>
      </c>
    </row>
    <row r="462" spans="1:2" hidden="1">
      <c r="A462">
        <v>40134000</v>
      </c>
      <c r="B462" t="s">
        <v>542</v>
      </c>
    </row>
    <row r="463" spans="1:2" hidden="1">
      <c r="A463">
        <v>40134003</v>
      </c>
      <c r="B463" t="s">
        <v>543</v>
      </c>
    </row>
    <row r="464" spans="1:2" hidden="1">
      <c r="A464">
        <v>40134004</v>
      </c>
      <c r="B464" t="s">
        <v>544</v>
      </c>
    </row>
    <row r="465" spans="1:2" hidden="1">
      <c r="A465">
        <v>40136000</v>
      </c>
      <c r="B465" t="s">
        <v>545</v>
      </c>
    </row>
    <row r="466" spans="1:2" hidden="1">
      <c r="A466">
        <v>40136001</v>
      </c>
      <c r="B466" t="s">
        <v>546</v>
      </c>
    </row>
    <row r="467" spans="1:2" hidden="1">
      <c r="A467">
        <v>40136006</v>
      </c>
      <c r="B467" t="s">
        <v>547</v>
      </c>
    </row>
    <row r="468" spans="1:2" hidden="1">
      <c r="A468">
        <v>40136007</v>
      </c>
      <c r="B468" t="s">
        <v>548</v>
      </c>
    </row>
    <row r="469" spans="1:2" hidden="1">
      <c r="A469">
        <v>40136040</v>
      </c>
      <c r="B469" t="s">
        <v>549</v>
      </c>
    </row>
    <row r="470" spans="1:2" hidden="1">
      <c r="A470">
        <v>40136566</v>
      </c>
      <c r="B470" t="s">
        <v>550</v>
      </c>
    </row>
    <row r="471" spans="1:2" hidden="1">
      <c r="A471">
        <v>40136567</v>
      </c>
      <c r="B471" t="s">
        <v>551</v>
      </c>
    </row>
    <row r="472" spans="1:2" hidden="1">
      <c r="A472">
        <v>40136614</v>
      </c>
      <c r="B472" t="s">
        <v>552</v>
      </c>
    </row>
    <row r="473" spans="1:2" hidden="1">
      <c r="A473">
        <v>40136616</v>
      </c>
      <c r="B473" t="s">
        <v>553</v>
      </c>
    </row>
    <row r="474" spans="1:2" hidden="1">
      <c r="A474">
        <v>40136920</v>
      </c>
      <c r="B474" t="s">
        <v>554</v>
      </c>
    </row>
    <row r="475" spans="1:2" hidden="1">
      <c r="A475">
        <v>40136921</v>
      </c>
      <c r="B475" t="s">
        <v>555</v>
      </c>
    </row>
    <row r="476" spans="1:2" hidden="1">
      <c r="A476">
        <v>40138010</v>
      </c>
      <c r="B476" t="s">
        <v>556</v>
      </c>
    </row>
    <row r="477" spans="1:2" hidden="1">
      <c r="A477">
        <v>40140908</v>
      </c>
      <c r="B477" t="s">
        <v>557</v>
      </c>
    </row>
    <row r="478" spans="1:2" hidden="1">
      <c r="A478">
        <v>40140909</v>
      </c>
      <c r="B478" t="s">
        <v>558</v>
      </c>
    </row>
    <row r="479" spans="1:2" hidden="1">
      <c r="A479">
        <v>40140950</v>
      </c>
      <c r="B479" t="s">
        <v>559</v>
      </c>
    </row>
    <row r="480" spans="1:2" hidden="1">
      <c r="A480">
        <v>40140951</v>
      </c>
      <c r="B480" t="s">
        <v>560</v>
      </c>
    </row>
    <row r="481" spans="1:2" hidden="1">
      <c r="A481">
        <v>40140960</v>
      </c>
      <c r="B481" t="s">
        <v>561</v>
      </c>
    </row>
    <row r="482" spans="1:2" hidden="1">
      <c r="A482">
        <v>40140961</v>
      </c>
      <c r="B482" t="s">
        <v>562</v>
      </c>
    </row>
    <row r="483" spans="1:2" hidden="1">
      <c r="A483">
        <v>40141122</v>
      </c>
      <c r="B483" t="s">
        <v>563</v>
      </c>
    </row>
    <row r="484" spans="1:2" hidden="1">
      <c r="A484">
        <v>40141312</v>
      </c>
      <c r="B484" t="s">
        <v>564</v>
      </c>
    </row>
    <row r="485" spans="1:2" hidden="1">
      <c r="A485">
        <v>40141313</v>
      </c>
      <c r="B485" t="s">
        <v>565</v>
      </c>
    </row>
    <row r="486" spans="1:2" hidden="1">
      <c r="A486">
        <v>40143072</v>
      </c>
      <c r="B486" t="s">
        <v>566</v>
      </c>
    </row>
    <row r="487" spans="1:2" hidden="1">
      <c r="A487">
        <v>40143831</v>
      </c>
      <c r="B487" t="s">
        <v>567</v>
      </c>
    </row>
    <row r="488" spans="1:2" hidden="1">
      <c r="A488">
        <v>40143832</v>
      </c>
      <c r="B488" t="s">
        <v>568</v>
      </c>
    </row>
    <row r="489" spans="1:2" hidden="1">
      <c r="A489">
        <v>40143833</v>
      </c>
      <c r="B489" t="s">
        <v>569</v>
      </c>
    </row>
    <row r="490" spans="1:2" hidden="1">
      <c r="A490">
        <v>40150000</v>
      </c>
      <c r="B490" t="s">
        <v>570</v>
      </c>
    </row>
    <row r="491" spans="1:2" hidden="1">
      <c r="A491">
        <v>40180510</v>
      </c>
      <c r="B491" t="s">
        <v>571</v>
      </c>
    </row>
    <row r="492" spans="1:2" hidden="1">
      <c r="A492">
        <v>40180511</v>
      </c>
      <c r="B492" t="s">
        <v>572</v>
      </c>
    </row>
    <row r="493" spans="1:2" hidden="1">
      <c r="A493">
        <v>40180530</v>
      </c>
      <c r="B493" t="s">
        <v>573</v>
      </c>
    </row>
    <row r="494" spans="1:2" hidden="1">
      <c r="A494">
        <v>40180531</v>
      </c>
      <c r="B494" t="s">
        <v>574</v>
      </c>
    </row>
    <row r="495" spans="1:2" hidden="1">
      <c r="A495">
        <v>40180610</v>
      </c>
      <c r="B495" t="s">
        <v>571</v>
      </c>
    </row>
    <row r="496" spans="1:2" hidden="1">
      <c r="A496">
        <v>40180631</v>
      </c>
      <c r="B496" t="s">
        <v>574</v>
      </c>
    </row>
    <row r="497" spans="1:2" hidden="1">
      <c r="A497">
        <v>40197155</v>
      </c>
      <c r="B497" t="s">
        <v>575</v>
      </c>
    </row>
    <row r="498" spans="1:2" hidden="1">
      <c r="A498">
        <v>40197255</v>
      </c>
      <c r="B498" t="s">
        <v>576</v>
      </c>
    </row>
    <row r="499" spans="1:2" hidden="1">
      <c r="A499">
        <v>40199037</v>
      </c>
      <c r="B499" t="s">
        <v>577</v>
      </c>
    </row>
    <row r="500" spans="1:2" hidden="1">
      <c r="A500">
        <v>40199039</v>
      </c>
      <c r="B500" t="s">
        <v>578</v>
      </c>
    </row>
    <row r="501" spans="1:2" hidden="1">
      <c r="A501">
        <v>40199061</v>
      </c>
      <c r="B501" t="s">
        <v>579</v>
      </c>
    </row>
    <row r="502" spans="1:2" hidden="1">
      <c r="A502">
        <v>40199230</v>
      </c>
      <c r="B502" t="s">
        <v>580</v>
      </c>
    </row>
    <row r="503" spans="1:2" hidden="1">
      <c r="A503">
        <v>40199242</v>
      </c>
      <c r="B503" t="s">
        <v>581</v>
      </c>
    </row>
    <row r="504" spans="1:2" hidden="1">
      <c r="A504">
        <v>40199270</v>
      </c>
      <c r="B504" t="s">
        <v>582</v>
      </c>
    </row>
    <row r="505" spans="1:2" hidden="1">
      <c r="A505">
        <v>40199321</v>
      </c>
      <c r="B505" t="s">
        <v>583</v>
      </c>
    </row>
    <row r="506" spans="1:2" hidden="1">
      <c r="A506">
        <v>40199330</v>
      </c>
      <c r="B506" t="s">
        <v>584</v>
      </c>
    </row>
    <row r="507" spans="1:2" hidden="1">
      <c r="A507">
        <v>40204301</v>
      </c>
      <c r="B507" t="s">
        <v>585</v>
      </c>
    </row>
    <row r="508" spans="1:2" hidden="1">
      <c r="A508">
        <v>40204311</v>
      </c>
      <c r="B508" t="s">
        <v>586</v>
      </c>
    </row>
    <row r="509" spans="1:2" hidden="1">
      <c r="A509">
        <v>40204391</v>
      </c>
      <c r="B509" t="s">
        <v>587</v>
      </c>
    </row>
    <row r="510" spans="1:2" hidden="1">
      <c r="A510">
        <v>40205450</v>
      </c>
      <c r="B510" t="s">
        <v>588</v>
      </c>
    </row>
    <row r="511" spans="1:2" hidden="1">
      <c r="A511" t="s">
        <v>589</v>
      </c>
      <c r="B511" t="s">
        <v>590</v>
      </c>
    </row>
    <row r="512" spans="1:2" hidden="1">
      <c r="A512">
        <v>40205610</v>
      </c>
      <c r="B512" t="s">
        <v>591</v>
      </c>
    </row>
    <row r="513" spans="1:2" hidden="1">
      <c r="A513">
        <v>40206004</v>
      </c>
      <c r="B513" t="s">
        <v>592</v>
      </c>
    </row>
    <row r="514" spans="1:2" hidden="1">
      <c r="A514">
        <v>40206040</v>
      </c>
      <c r="B514" t="s">
        <v>593</v>
      </c>
    </row>
    <row r="515" spans="1:2" hidden="1">
      <c r="A515">
        <v>40206060</v>
      </c>
      <c r="B515" t="s">
        <v>594</v>
      </c>
    </row>
    <row r="516" spans="1:2" hidden="1">
      <c r="A516">
        <v>40206220</v>
      </c>
      <c r="B516" t="s">
        <v>595</v>
      </c>
    </row>
    <row r="517" spans="1:2" hidden="1">
      <c r="A517">
        <v>40207110</v>
      </c>
      <c r="B517" t="s">
        <v>596</v>
      </c>
    </row>
    <row r="518" spans="1:2" hidden="1">
      <c r="A518">
        <v>40211352</v>
      </c>
      <c r="B518" t="s">
        <v>597</v>
      </c>
    </row>
    <row r="519" spans="1:2" hidden="1">
      <c r="A519">
        <v>40211501</v>
      </c>
      <c r="B519" t="s">
        <v>598</v>
      </c>
    </row>
    <row r="520" spans="1:2" hidden="1">
      <c r="A520">
        <v>40211632</v>
      </c>
      <c r="B520" t="s">
        <v>599</v>
      </c>
    </row>
    <row r="521" spans="1:2" hidden="1">
      <c r="A521">
        <v>40211660</v>
      </c>
      <c r="B521" t="s">
        <v>600</v>
      </c>
    </row>
    <row r="522" spans="1:2" hidden="1">
      <c r="A522">
        <v>40212002</v>
      </c>
      <c r="B522" t="s">
        <v>601</v>
      </c>
    </row>
    <row r="523" spans="1:2" hidden="1">
      <c r="A523">
        <v>40212014</v>
      </c>
      <c r="B523" t="s">
        <v>602</v>
      </c>
    </row>
    <row r="524" spans="1:2" hidden="1">
      <c r="A524">
        <v>40212044</v>
      </c>
      <c r="B524" t="s">
        <v>603</v>
      </c>
    </row>
    <row r="525" spans="1:2" hidden="1">
      <c r="A525">
        <v>40212062</v>
      </c>
      <c r="B525" t="s">
        <v>604</v>
      </c>
    </row>
    <row r="526" spans="1:2" hidden="1">
      <c r="A526">
        <v>40212070</v>
      </c>
      <c r="B526" t="s">
        <v>605</v>
      </c>
    </row>
    <row r="527" spans="1:2" hidden="1">
      <c r="A527">
        <v>40212602</v>
      </c>
      <c r="B527" t="s">
        <v>606</v>
      </c>
    </row>
    <row r="528" spans="1:2" hidden="1">
      <c r="A528">
        <v>40213012</v>
      </c>
      <c r="B528" t="s">
        <v>607</v>
      </c>
    </row>
    <row r="529" spans="1:2" hidden="1">
      <c r="A529">
        <v>40213022</v>
      </c>
      <c r="B529" t="s">
        <v>608</v>
      </c>
    </row>
    <row r="530" spans="1:2" hidden="1">
      <c r="A530">
        <v>40213032</v>
      </c>
      <c r="B530" t="s">
        <v>609</v>
      </c>
    </row>
    <row r="531" spans="1:2" hidden="1">
      <c r="A531">
        <v>40213042</v>
      </c>
      <c r="B531" t="s">
        <v>610</v>
      </c>
    </row>
    <row r="532" spans="1:2" hidden="1">
      <c r="A532">
        <v>40214311</v>
      </c>
      <c r="B532" t="s">
        <v>611</v>
      </c>
    </row>
    <row r="533" spans="1:2" hidden="1">
      <c r="A533">
        <v>40214608</v>
      </c>
      <c r="B533" t="s">
        <v>612</v>
      </c>
    </row>
    <row r="534" spans="1:2" hidden="1">
      <c r="A534">
        <v>40214805</v>
      </c>
      <c r="B534" t="s">
        <v>613</v>
      </c>
    </row>
    <row r="535" spans="1:2" hidden="1">
      <c r="A535">
        <v>40214914</v>
      </c>
      <c r="B535" t="s">
        <v>614</v>
      </c>
    </row>
    <row r="536" spans="1:2" hidden="1">
      <c r="A536">
        <v>40214980</v>
      </c>
      <c r="B536" t="s">
        <v>615</v>
      </c>
    </row>
    <row r="537" spans="1:2" hidden="1">
      <c r="A537">
        <v>40215123</v>
      </c>
      <c r="B537" t="s">
        <v>616</v>
      </c>
    </row>
    <row r="538" spans="1:2" hidden="1">
      <c r="A538">
        <v>40215302</v>
      </c>
      <c r="B538" t="s">
        <v>617</v>
      </c>
    </row>
    <row r="539" spans="1:2" hidden="1">
      <c r="A539">
        <v>40215503</v>
      </c>
      <c r="B539" t="s">
        <v>618</v>
      </c>
    </row>
    <row r="540" spans="1:2" hidden="1">
      <c r="A540">
        <v>40215704</v>
      </c>
      <c r="B540" t="s">
        <v>619</v>
      </c>
    </row>
    <row r="541" spans="1:2" hidden="1">
      <c r="A541">
        <v>40215961</v>
      </c>
      <c r="B541" t="s">
        <v>620</v>
      </c>
    </row>
    <row r="542" spans="1:2" hidden="1">
      <c r="A542">
        <v>40215981</v>
      </c>
      <c r="B542" t="s">
        <v>621</v>
      </c>
    </row>
    <row r="543" spans="1:2" hidden="1">
      <c r="A543">
        <v>40216110</v>
      </c>
      <c r="B543" t="s">
        <v>622</v>
      </c>
    </row>
    <row r="544" spans="1:2" hidden="1">
      <c r="A544">
        <v>40217321</v>
      </c>
      <c r="B544" t="s">
        <v>623</v>
      </c>
    </row>
    <row r="545" spans="1:2" hidden="1">
      <c r="A545">
        <v>40218050</v>
      </c>
      <c r="B545" t="s">
        <v>624</v>
      </c>
    </row>
    <row r="546" spans="1:2" hidden="1">
      <c r="A546">
        <v>40218080</v>
      </c>
      <c r="B546" t="s">
        <v>625</v>
      </c>
    </row>
    <row r="547" spans="1:2" hidden="1">
      <c r="A547">
        <v>40219050</v>
      </c>
      <c r="B547" t="s">
        <v>626</v>
      </c>
    </row>
    <row r="548" spans="1:2" hidden="1">
      <c r="A548">
        <v>40220030</v>
      </c>
      <c r="B548" t="s">
        <v>627</v>
      </c>
    </row>
    <row r="549" spans="1:2" hidden="1">
      <c r="A549">
        <v>40220036</v>
      </c>
      <c r="B549" t="s">
        <v>628</v>
      </c>
    </row>
    <row r="550" spans="1:2" hidden="1">
      <c r="A550">
        <v>40220523</v>
      </c>
      <c r="B550" t="s">
        <v>629</v>
      </c>
    </row>
    <row r="551" spans="1:2" hidden="1">
      <c r="A551">
        <v>40221027</v>
      </c>
      <c r="B551" t="s">
        <v>630</v>
      </c>
    </row>
    <row r="552" spans="1:2" hidden="1">
      <c r="A552">
        <v>40221029</v>
      </c>
      <c r="B552" t="s">
        <v>631</v>
      </c>
    </row>
    <row r="553" spans="1:2" hidden="1">
      <c r="A553">
        <v>40222500</v>
      </c>
      <c r="B553" t="s">
        <v>632</v>
      </c>
    </row>
    <row r="554" spans="1:2" hidden="1">
      <c r="A554">
        <v>40223500</v>
      </c>
      <c r="B554" t="s">
        <v>633</v>
      </c>
    </row>
    <row r="555" spans="1:2" hidden="1">
      <c r="A555">
        <v>40223520</v>
      </c>
      <c r="B555" t="s">
        <v>634</v>
      </c>
    </row>
    <row r="556" spans="1:2" hidden="1">
      <c r="A556">
        <v>40224500</v>
      </c>
      <c r="B556" t="s">
        <v>635</v>
      </c>
    </row>
    <row r="557" spans="1:2" hidden="1">
      <c r="A557">
        <v>40224502</v>
      </c>
      <c r="B557" t="s">
        <v>636</v>
      </c>
    </row>
    <row r="558" spans="1:2" hidden="1">
      <c r="A558">
        <v>40226545</v>
      </c>
      <c r="B558" t="s">
        <v>637</v>
      </c>
    </row>
    <row r="559" spans="1:2" hidden="1">
      <c r="A559">
        <v>40228115</v>
      </c>
      <c r="B559" t="s">
        <v>638</v>
      </c>
    </row>
    <row r="560" spans="1:2" hidden="1">
      <c r="A560">
        <v>40239042</v>
      </c>
      <c r="B560" t="s">
        <v>639</v>
      </c>
    </row>
    <row r="561" spans="1:2" hidden="1">
      <c r="A561">
        <v>40249000</v>
      </c>
      <c r="B561" t="s">
        <v>640</v>
      </c>
    </row>
    <row r="562" spans="1:2" hidden="1">
      <c r="A562">
        <v>40260600</v>
      </c>
      <c r="B562" t="s">
        <v>641</v>
      </c>
    </row>
    <row r="563" spans="1:2" hidden="1">
      <c r="A563">
        <v>40297051</v>
      </c>
      <c r="B563" t="s">
        <v>642</v>
      </c>
    </row>
    <row r="564" spans="1:2" hidden="1">
      <c r="A564">
        <v>40297052</v>
      </c>
      <c r="B564" t="s">
        <v>643</v>
      </c>
    </row>
    <row r="565" spans="1:2" hidden="1">
      <c r="A565">
        <v>40297252</v>
      </c>
      <c r="B565" t="s">
        <v>643</v>
      </c>
    </row>
    <row r="566" spans="1:2" hidden="1">
      <c r="A566">
        <v>40297294</v>
      </c>
      <c r="B566" t="s">
        <v>644</v>
      </c>
    </row>
    <row r="567" spans="1:2" hidden="1">
      <c r="A567">
        <v>40297295</v>
      </c>
      <c r="B567" t="s">
        <v>645</v>
      </c>
    </row>
    <row r="568" spans="1:2" hidden="1">
      <c r="A568">
        <v>40297298</v>
      </c>
      <c r="B568" t="s">
        <v>646</v>
      </c>
    </row>
    <row r="569" spans="1:2" hidden="1">
      <c r="A569">
        <v>40402025</v>
      </c>
      <c r="B569" t="s">
        <v>647</v>
      </c>
    </row>
    <row r="570" spans="1:2" hidden="1">
      <c r="A570">
        <v>40402027</v>
      </c>
      <c r="B570" t="s">
        <v>648</v>
      </c>
    </row>
    <row r="571" spans="1:2" hidden="1">
      <c r="A571">
        <v>40402028</v>
      </c>
      <c r="B571" t="s">
        <v>649</v>
      </c>
    </row>
    <row r="572" spans="1:2" hidden="1">
      <c r="A572">
        <v>40437021</v>
      </c>
      <c r="B572" t="s">
        <v>650</v>
      </c>
    </row>
    <row r="573" spans="1:2" hidden="1">
      <c r="A573">
        <v>40437220</v>
      </c>
      <c r="B573" t="s">
        <v>651</v>
      </c>
    </row>
    <row r="574" spans="1:2" hidden="1">
      <c r="A574">
        <v>40446702</v>
      </c>
      <c r="B574" t="s">
        <v>652</v>
      </c>
    </row>
    <row r="575" spans="1:2" hidden="1">
      <c r="A575">
        <v>40446712</v>
      </c>
      <c r="B575" t="s">
        <v>653</v>
      </c>
    </row>
    <row r="576" spans="1:2" hidden="1">
      <c r="A576" t="s">
        <v>654</v>
      </c>
      <c r="B576" t="s">
        <v>653</v>
      </c>
    </row>
    <row r="577" spans="1:2" hidden="1">
      <c r="A577">
        <v>40455007</v>
      </c>
      <c r="B577" t="s">
        <v>655</v>
      </c>
    </row>
    <row r="578" spans="1:2" hidden="1">
      <c r="A578">
        <v>40455212</v>
      </c>
      <c r="B578" t="s">
        <v>656</v>
      </c>
    </row>
    <row r="579" spans="1:2" hidden="1">
      <c r="A579">
        <v>40455334</v>
      </c>
      <c r="B579" t="s">
        <v>657</v>
      </c>
    </row>
    <row r="580" spans="1:2" hidden="1">
      <c r="A580">
        <v>40455335</v>
      </c>
      <c r="B580" t="s">
        <v>658</v>
      </c>
    </row>
    <row r="581" spans="1:2" hidden="1">
      <c r="A581">
        <v>40460174</v>
      </c>
      <c r="B581" t="s">
        <v>659</v>
      </c>
    </row>
    <row r="582" spans="1:2" hidden="1">
      <c r="A582">
        <v>40460410</v>
      </c>
      <c r="B582" t="s">
        <v>660</v>
      </c>
    </row>
    <row r="583" spans="1:2" hidden="1">
      <c r="A583">
        <v>40460430</v>
      </c>
      <c r="B583" t="s">
        <v>661</v>
      </c>
    </row>
    <row r="584" spans="1:2" hidden="1">
      <c r="A584">
        <v>40460450</v>
      </c>
      <c r="B584" t="s">
        <v>662</v>
      </c>
    </row>
    <row r="585" spans="1:2" hidden="1">
      <c r="A585">
        <v>40461505</v>
      </c>
      <c r="B585" t="s">
        <v>663</v>
      </c>
    </row>
    <row r="586" spans="1:2" hidden="1">
      <c r="A586">
        <v>40461506</v>
      </c>
      <c r="B586" t="s">
        <v>664</v>
      </c>
    </row>
    <row r="587" spans="1:2" hidden="1">
      <c r="A587">
        <v>40461507</v>
      </c>
      <c r="B587" t="s">
        <v>665</v>
      </c>
    </row>
    <row r="588" spans="1:2" hidden="1">
      <c r="A588">
        <v>40461543</v>
      </c>
      <c r="B588" t="s">
        <v>666</v>
      </c>
    </row>
    <row r="589" spans="1:2" hidden="1">
      <c r="A589">
        <v>40466109</v>
      </c>
      <c r="B589" t="s">
        <v>667</v>
      </c>
    </row>
    <row r="590" spans="1:2" hidden="1">
      <c r="A590">
        <v>40466110</v>
      </c>
      <c r="B590" t="s">
        <v>668</v>
      </c>
    </row>
    <row r="591" spans="1:2" hidden="1">
      <c r="A591">
        <v>40466111</v>
      </c>
      <c r="B591" t="s">
        <v>669</v>
      </c>
    </row>
    <row r="592" spans="1:2" hidden="1">
      <c r="A592">
        <v>40466241</v>
      </c>
      <c r="B592" t="s">
        <v>670</v>
      </c>
    </row>
    <row r="593" spans="1:2" hidden="1">
      <c r="A593">
        <v>40466260</v>
      </c>
      <c r="B593" t="s">
        <v>671</v>
      </c>
    </row>
    <row r="594" spans="1:2" hidden="1">
      <c r="A594">
        <v>40467303</v>
      </c>
      <c r="B594" t="s">
        <v>672</v>
      </c>
    </row>
    <row r="595" spans="1:2" hidden="1">
      <c r="A595">
        <v>40467304</v>
      </c>
      <c r="B595" t="s">
        <v>673</v>
      </c>
    </row>
    <row r="596" spans="1:2" hidden="1">
      <c r="A596">
        <v>40467305</v>
      </c>
      <c r="B596" t="s">
        <v>674</v>
      </c>
    </row>
    <row r="597" spans="1:2" hidden="1">
      <c r="A597">
        <v>40467320</v>
      </c>
      <c r="B597" t="s">
        <v>675</v>
      </c>
    </row>
    <row r="598" spans="1:2" hidden="1">
      <c r="A598">
        <v>40468106</v>
      </c>
      <c r="B598" t="s">
        <v>676</v>
      </c>
    </row>
    <row r="599" spans="1:2" hidden="1">
      <c r="A599">
        <v>40468108</v>
      </c>
      <c r="B599" t="s">
        <v>677</v>
      </c>
    </row>
    <row r="600" spans="1:2" hidden="1">
      <c r="A600">
        <v>40468114</v>
      </c>
      <c r="B600" t="s">
        <v>678</v>
      </c>
    </row>
    <row r="601" spans="1:2" hidden="1">
      <c r="A601">
        <v>40468118</v>
      </c>
      <c r="B601" t="s">
        <v>679</v>
      </c>
    </row>
    <row r="602" spans="1:2" hidden="1">
      <c r="A602">
        <v>40468122</v>
      </c>
      <c r="B602" t="s">
        <v>680</v>
      </c>
    </row>
    <row r="603" spans="1:2" hidden="1">
      <c r="A603">
        <v>40474239</v>
      </c>
      <c r="B603" t="s">
        <v>681</v>
      </c>
    </row>
    <row r="604" spans="1:2" hidden="1">
      <c r="A604">
        <v>40474253</v>
      </c>
      <c r="B604" t="s">
        <v>682</v>
      </c>
    </row>
    <row r="605" spans="1:2" hidden="1">
      <c r="A605">
        <v>40476141</v>
      </c>
      <c r="B605" t="s">
        <v>683</v>
      </c>
    </row>
    <row r="606" spans="1:2" hidden="1">
      <c r="A606">
        <v>40476142</v>
      </c>
      <c r="B606" t="s">
        <v>684</v>
      </c>
    </row>
    <row r="607" spans="1:2" hidden="1">
      <c r="A607">
        <v>40478003</v>
      </c>
      <c r="B607" t="s">
        <v>685</v>
      </c>
    </row>
    <row r="608" spans="1:2" hidden="1">
      <c r="A608">
        <v>40478010</v>
      </c>
      <c r="B608" t="s">
        <v>686</v>
      </c>
    </row>
    <row r="609" spans="1:2" hidden="1">
      <c r="A609">
        <v>40478503</v>
      </c>
      <c r="B609" t="s">
        <v>687</v>
      </c>
    </row>
    <row r="610" spans="1:2" hidden="1">
      <c r="A610">
        <v>40478510</v>
      </c>
      <c r="B610" t="s">
        <v>688</v>
      </c>
    </row>
    <row r="611" spans="1:2" hidden="1">
      <c r="A611">
        <v>40480301</v>
      </c>
      <c r="B611" t="s">
        <v>689</v>
      </c>
    </row>
    <row r="612" spans="1:2" hidden="1">
      <c r="A612">
        <v>40480321</v>
      </c>
      <c r="B612" t="s">
        <v>690</v>
      </c>
    </row>
    <row r="613" spans="1:2" hidden="1">
      <c r="A613">
        <v>40482002</v>
      </c>
      <c r="B613" t="s">
        <v>691</v>
      </c>
    </row>
    <row r="614" spans="1:2" hidden="1">
      <c r="A614">
        <v>40482601</v>
      </c>
      <c r="B614" t="s">
        <v>692</v>
      </c>
    </row>
    <row r="615" spans="1:2" hidden="1">
      <c r="A615">
        <v>40482620</v>
      </c>
      <c r="B615" t="s">
        <v>693</v>
      </c>
    </row>
    <row r="616" spans="1:2" hidden="1">
      <c r="A616">
        <v>40483054</v>
      </c>
      <c r="B616" t="s">
        <v>694</v>
      </c>
    </row>
    <row r="617" spans="1:2" hidden="1">
      <c r="A617">
        <v>40483101</v>
      </c>
      <c r="B617" t="s">
        <v>695</v>
      </c>
    </row>
    <row r="618" spans="1:2" hidden="1">
      <c r="A618">
        <v>40483141</v>
      </c>
      <c r="B618" t="s">
        <v>696</v>
      </c>
    </row>
    <row r="619" spans="1:2" hidden="1">
      <c r="A619">
        <v>40483182</v>
      </c>
      <c r="B619" t="s">
        <v>697</v>
      </c>
    </row>
    <row r="620" spans="1:2" hidden="1">
      <c r="A620">
        <v>40483183</v>
      </c>
      <c r="B620" t="s">
        <v>698</v>
      </c>
    </row>
    <row r="621" spans="1:2" hidden="1">
      <c r="A621">
        <v>40483201</v>
      </c>
      <c r="B621" t="s">
        <v>699</v>
      </c>
    </row>
    <row r="622" spans="1:2" hidden="1">
      <c r="A622">
        <v>40483424</v>
      </c>
      <c r="B622" t="s">
        <v>700</v>
      </c>
    </row>
    <row r="623" spans="1:2" hidden="1">
      <c r="A623">
        <v>40483612</v>
      </c>
      <c r="B623" t="s">
        <v>701</v>
      </c>
    </row>
    <row r="624" spans="1:2" hidden="1">
      <c r="A624">
        <v>40484121</v>
      </c>
      <c r="B624" t="s">
        <v>702</v>
      </c>
    </row>
    <row r="625" spans="1:2" hidden="1">
      <c r="A625">
        <v>40484122</v>
      </c>
      <c r="B625" t="s">
        <v>703</v>
      </c>
    </row>
    <row r="626" spans="1:2" hidden="1">
      <c r="A626">
        <v>40484174</v>
      </c>
      <c r="B626" t="s">
        <v>704</v>
      </c>
    </row>
    <row r="627" spans="1:2" hidden="1">
      <c r="A627">
        <v>40484175</v>
      </c>
      <c r="B627" t="s">
        <v>705</v>
      </c>
    </row>
    <row r="628" spans="1:2" hidden="1">
      <c r="A628">
        <v>40484203</v>
      </c>
      <c r="B628" t="s">
        <v>706</v>
      </c>
    </row>
    <row r="629" spans="1:2" hidden="1">
      <c r="A629">
        <v>40484204</v>
      </c>
      <c r="B629" t="s">
        <v>707</v>
      </c>
    </row>
    <row r="630" spans="1:2" hidden="1">
      <c r="A630">
        <v>40484615</v>
      </c>
      <c r="B630" t="s">
        <v>708</v>
      </c>
    </row>
    <row r="631" spans="1:2" hidden="1">
      <c r="A631">
        <v>40484680</v>
      </c>
      <c r="B631" t="s">
        <v>709</v>
      </c>
    </row>
    <row r="632" spans="1:2" hidden="1">
      <c r="A632">
        <v>40484681</v>
      </c>
      <c r="B632" t="s">
        <v>710</v>
      </c>
    </row>
    <row r="633" spans="1:2" hidden="1">
      <c r="A633">
        <v>40484807</v>
      </c>
      <c r="B633" t="s">
        <v>711</v>
      </c>
    </row>
    <row r="634" spans="1:2" hidden="1">
      <c r="A634">
        <v>40485125</v>
      </c>
      <c r="B634" t="s">
        <v>712</v>
      </c>
    </row>
    <row r="635" spans="1:2" hidden="1">
      <c r="A635">
        <v>40485126</v>
      </c>
      <c r="B635" t="s">
        <v>713</v>
      </c>
    </row>
    <row r="636" spans="1:2" hidden="1">
      <c r="A636">
        <v>40485134</v>
      </c>
      <c r="B636" t="s">
        <v>714</v>
      </c>
    </row>
    <row r="637" spans="1:2" hidden="1">
      <c r="A637">
        <v>40485141</v>
      </c>
      <c r="B637" t="s">
        <v>715</v>
      </c>
    </row>
    <row r="638" spans="1:2" hidden="1">
      <c r="A638">
        <v>40485311</v>
      </c>
      <c r="B638" t="s">
        <v>716</v>
      </c>
    </row>
    <row r="639" spans="1:2" hidden="1">
      <c r="A639">
        <v>40485312</v>
      </c>
      <c r="B639" t="s">
        <v>717</v>
      </c>
    </row>
    <row r="640" spans="1:2" hidden="1">
      <c r="A640">
        <v>40485357</v>
      </c>
      <c r="B640" t="s">
        <v>718</v>
      </c>
    </row>
    <row r="641" spans="1:2" hidden="1">
      <c r="A641">
        <v>40485358</v>
      </c>
      <c r="B641" t="s">
        <v>719</v>
      </c>
    </row>
    <row r="642" spans="1:2" hidden="1">
      <c r="A642">
        <v>40487192</v>
      </c>
      <c r="B642" t="s">
        <v>720</v>
      </c>
    </row>
    <row r="643" spans="1:2">
      <c r="A643">
        <v>40543209</v>
      </c>
      <c r="B643" t="s">
        <v>721</v>
      </c>
    </row>
    <row r="644" spans="1:2" hidden="1">
      <c r="A644">
        <v>40578553</v>
      </c>
      <c r="B644" t="s">
        <v>722</v>
      </c>
    </row>
    <row r="645" spans="1:2" hidden="1">
      <c r="A645">
        <v>40582211</v>
      </c>
      <c r="B645" t="s">
        <v>723</v>
      </c>
    </row>
    <row r="646" spans="1:2" hidden="1">
      <c r="A646">
        <v>40582233</v>
      </c>
      <c r="B646" t="s">
        <v>724</v>
      </c>
    </row>
    <row r="647" spans="1:2" hidden="1">
      <c r="A647">
        <v>40582241</v>
      </c>
      <c r="B647" t="s">
        <v>725</v>
      </c>
    </row>
    <row r="648" spans="1:2" hidden="1">
      <c r="A648">
        <v>40582303</v>
      </c>
      <c r="B648" t="s">
        <v>726</v>
      </c>
    </row>
    <row r="649" spans="1:2" hidden="1">
      <c r="A649">
        <v>40582314</v>
      </c>
      <c r="B649" t="s">
        <v>727</v>
      </c>
    </row>
    <row r="650" spans="1:2" hidden="1">
      <c r="A650">
        <v>40583402</v>
      </c>
      <c r="B650" t="s">
        <v>728</v>
      </c>
    </row>
    <row r="651" spans="1:2" hidden="1">
      <c r="A651">
        <v>40583809</v>
      </c>
      <c r="B651" t="s">
        <v>729</v>
      </c>
    </row>
    <row r="652" spans="1:2" hidden="1">
      <c r="A652">
        <v>40583810</v>
      </c>
      <c r="B652" t="s">
        <v>730</v>
      </c>
    </row>
    <row r="653" spans="1:2" hidden="1">
      <c r="A653">
        <v>40584012</v>
      </c>
      <c r="B653" t="s">
        <v>731</v>
      </c>
    </row>
    <row r="654" spans="1:2" hidden="1">
      <c r="A654">
        <v>40584105</v>
      </c>
      <c r="B654" t="s">
        <v>732</v>
      </c>
    </row>
    <row r="655" spans="1:2" hidden="1">
      <c r="A655">
        <v>40584202</v>
      </c>
      <c r="B655" t="s">
        <v>733</v>
      </c>
    </row>
    <row r="656" spans="1:2" hidden="1">
      <c r="A656">
        <v>40584305</v>
      </c>
      <c r="B656" t="s">
        <v>734</v>
      </c>
    </row>
    <row r="657" spans="1:2" hidden="1">
      <c r="A657">
        <v>40584306</v>
      </c>
      <c r="B657" t="s">
        <v>735</v>
      </c>
    </row>
    <row r="658" spans="1:2" hidden="1">
      <c r="A658">
        <v>40584401</v>
      </c>
      <c r="B658" t="s">
        <v>736</v>
      </c>
    </row>
    <row r="659" spans="1:2" hidden="1">
      <c r="A659">
        <v>40586010</v>
      </c>
      <c r="B659" t="s">
        <v>737</v>
      </c>
    </row>
    <row r="660" spans="1:2" hidden="1">
      <c r="A660">
        <v>40586101</v>
      </c>
      <c r="B660" t="s">
        <v>738</v>
      </c>
    </row>
    <row r="661" spans="1:2" hidden="1">
      <c r="A661">
        <v>40586104</v>
      </c>
      <c r="B661" t="s">
        <v>739</v>
      </c>
    </row>
    <row r="662" spans="1:2" hidden="1">
      <c r="A662">
        <v>40586510</v>
      </c>
      <c r="B662" t="s">
        <v>740</v>
      </c>
    </row>
    <row r="663" spans="1:2" hidden="1">
      <c r="A663">
        <v>40587602</v>
      </c>
      <c r="B663" t="s">
        <v>741</v>
      </c>
    </row>
    <row r="664" spans="1:2" hidden="1">
      <c r="A664">
        <v>40589001</v>
      </c>
      <c r="B664" t="s">
        <v>742</v>
      </c>
    </row>
    <row r="665" spans="1:2" hidden="1">
      <c r="A665">
        <v>40589005</v>
      </c>
      <c r="B665" t="s">
        <v>743</v>
      </c>
    </row>
    <row r="666" spans="1:2" hidden="1">
      <c r="A666">
        <v>40589020</v>
      </c>
      <c r="B666" t="s">
        <v>744</v>
      </c>
    </row>
    <row r="667" spans="1:2" hidden="1">
      <c r="A667">
        <v>40589021</v>
      </c>
      <c r="B667" t="s">
        <v>745</v>
      </c>
    </row>
    <row r="668" spans="1:2" hidden="1">
      <c r="A668">
        <v>40589511</v>
      </c>
      <c r="B668" t="s">
        <v>746</v>
      </c>
    </row>
    <row r="669" spans="1:2" hidden="1">
      <c r="A669">
        <v>40589900</v>
      </c>
      <c r="B669" t="s">
        <v>747</v>
      </c>
    </row>
    <row r="670" spans="1:2" hidden="1">
      <c r="A670">
        <v>40589920</v>
      </c>
      <c r="B670" t="s">
        <v>748</v>
      </c>
    </row>
    <row r="671" spans="1:2" hidden="1">
      <c r="A671">
        <v>40590830</v>
      </c>
      <c r="B671" t="s">
        <v>749</v>
      </c>
    </row>
    <row r="672" spans="1:2" hidden="1">
      <c r="A672">
        <v>40590835</v>
      </c>
      <c r="B672" t="s">
        <v>750</v>
      </c>
    </row>
    <row r="673" spans="1:2" hidden="1">
      <c r="A673">
        <v>40599050</v>
      </c>
      <c r="B673" t="s">
        <v>751</v>
      </c>
    </row>
    <row r="674" spans="1:2" hidden="1">
      <c r="A674">
        <v>40672012</v>
      </c>
      <c r="B674" t="s">
        <v>752</v>
      </c>
    </row>
    <row r="675" spans="1:2" hidden="1">
      <c r="A675">
        <v>40682102</v>
      </c>
      <c r="B675" t="s">
        <v>753</v>
      </c>
    </row>
    <row r="676" spans="1:2" hidden="1">
      <c r="A676">
        <v>40716160</v>
      </c>
      <c r="B676" t="s">
        <v>754</v>
      </c>
    </row>
    <row r="677" spans="1:2" hidden="1">
      <c r="A677">
        <v>40716165</v>
      </c>
      <c r="B677" t="s">
        <v>755</v>
      </c>
    </row>
    <row r="678" spans="1:2" hidden="1">
      <c r="A678">
        <v>40716906</v>
      </c>
      <c r="B678" t="s">
        <v>756</v>
      </c>
    </row>
    <row r="679" spans="1:2" hidden="1">
      <c r="A679">
        <v>40722007</v>
      </c>
      <c r="B679" t="s">
        <v>757</v>
      </c>
    </row>
    <row r="680" spans="1:2" hidden="1">
      <c r="A680">
        <v>40782127</v>
      </c>
      <c r="B680" t="s">
        <v>758</v>
      </c>
    </row>
    <row r="681" spans="1:2" hidden="1">
      <c r="A681">
        <v>40782128</v>
      </c>
      <c r="B681" t="s">
        <v>759</v>
      </c>
    </row>
    <row r="682" spans="1:2" hidden="1">
      <c r="A682">
        <v>40782510</v>
      </c>
      <c r="B682" t="s">
        <v>760</v>
      </c>
    </row>
    <row r="683" spans="1:2" hidden="1">
      <c r="A683">
        <v>40876090</v>
      </c>
      <c r="B683" t="s">
        <v>761</v>
      </c>
    </row>
    <row r="684" spans="1:2" hidden="1">
      <c r="A684">
        <v>40911302</v>
      </c>
      <c r="B684" t="s">
        <v>762</v>
      </c>
    </row>
    <row r="685" spans="1:2" hidden="1">
      <c r="A685">
        <v>40931802</v>
      </c>
      <c r="B685" t="s">
        <v>763</v>
      </c>
    </row>
    <row r="686" spans="1:2" hidden="1">
      <c r="A686">
        <v>40971802</v>
      </c>
      <c r="B686" t="s">
        <v>764</v>
      </c>
    </row>
    <row r="687" spans="1:2" hidden="1">
      <c r="A687">
        <v>4097845</v>
      </c>
      <c r="B687" t="s">
        <v>765</v>
      </c>
    </row>
    <row r="688" spans="1:2" hidden="1">
      <c r="A688">
        <v>41009001</v>
      </c>
      <c r="B688" t="s">
        <v>766</v>
      </c>
    </row>
    <row r="689" spans="1:2" hidden="1">
      <c r="A689">
        <v>41013002</v>
      </c>
      <c r="B689" t="s">
        <v>767</v>
      </c>
    </row>
    <row r="690" spans="1:2" hidden="1">
      <c r="A690">
        <v>41016102</v>
      </c>
      <c r="B690" t="s">
        <v>768</v>
      </c>
    </row>
    <row r="691" spans="1:2" hidden="1">
      <c r="A691">
        <v>41020101</v>
      </c>
      <c r="B691" t="s">
        <v>769</v>
      </c>
    </row>
    <row r="692" spans="1:2" hidden="1">
      <c r="A692">
        <v>41022030</v>
      </c>
      <c r="B692" t="s">
        <v>770</v>
      </c>
    </row>
    <row r="693" spans="1:2" hidden="1">
      <c r="A693">
        <v>41028100</v>
      </c>
      <c r="B693" t="s">
        <v>771</v>
      </c>
    </row>
    <row r="694" spans="1:2" hidden="1">
      <c r="A694">
        <v>41070000</v>
      </c>
      <c r="B694" t="s">
        <v>772</v>
      </c>
    </row>
    <row r="695" spans="1:2" hidden="1">
      <c r="A695">
        <v>41508110</v>
      </c>
      <c r="B695" t="s">
        <v>773</v>
      </c>
    </row>
    <row r="696" spans="1:2" hidden="1">
      <c r="A696">
        <v>41508111</v>
      </c>
      <c r="B696" t="s">
        <v>774</v>
      </c>
    </row>
    <row r="697" spans="1:2" hidden="1">
      <c r="A697">
        <v>41508410</v>
      </c>
      <c r="B697" t="s">
        <v>775</v>
      </c>
    </row>
    <row r="698" spans="1:2" hidden="1">
      <c r="A698">
        <v>41509010</v>
      </c>
      <c r="B698" t="s">
        <v>776</v>
      </c>
    </row>
    <row r="699" spans="1:2" hidden="1">
      <c r="A699">
        <v>41509011</v>
      </c>
      <c r="B699" t="s">
        <v>777</v>
      </c>
    </row>
    <row r="700" spans="1:2" hidden="1">
      <c r="A700">
        <v>41519010</v>
      </c>
      <c r="B700" t="s">
        <v>778</v>
      </c>
    </row>
    <row r="701" spans="1:2" hidden="1">
      <c r="A701">
        <v>41521110</v>
      </c>
      <c r="B701" t="s">
        <v>779</v>
      </c>
    </row>
    <row r="702" spans="1:2" hidden="1">
      <c r="A702">
        <v>41521810</v>
      </c>
      <c r="B702" t="s">
        <v>780</v>
      </c>
    </row>
    <row r="703" spans="1:2" hidden="1">
      <c r="A703">
        <v>41522410</v>
      </c>
      <c r="B703" t="s">
        <v>781</v>
      </c>
    </row>
    <row r="704" spans="1:2" hidden="1">
      <c r="A704">
        <v>41523010</v>
      </c>
      <c r="B704" t="s">
        <v>782</v>
      </c>
    </row>
    <row r="705" spans="1:2" hidden="1">
      <c r="A705">
        <v>41523110</v>
      </c>
      <c r="B705" t="s">
        <v>783</v>
      </c>
    </row>
    <row r="706" spans="1:2" hidden="1">
      <c r="A706">
        <v>41550210</v>
      </c>
      <c r="B706" t="s">
        <v>784</v>
      </c>
    </row>
    <row r="707" spans="1:2" hidden="1">
      <c r="A707">
        <v>41551210</v>
      </c>
      <c r="B707" t="s">
        <v>785</v>
      </c>
    </row>
    <row r="708" spans="1:2" hidden="1">
      <c r="A708">
        <v>41552810</v>
      </c>
      <c r="B708" t="s">
        <v>786</v>
      </c>
    </row>
    <row r="709" spans="1:2" hidden="1">
      <c r="A709">
        <v>41553410</v>
      </c>
      <c r="B709" t="s">
        <v>787</v>
      </c>
    </row>
    <row r="710" spans="1:2" hidden="1">
      <c r="A710">
        <v>41558710</v>
      </c>
      <c r="B710" t="s">
        <v>788</v>
      </c>
    </row>
    <row r="711" spans="1:2" hidden="1">
      <c r="A711">
        <v>41560034</v>
      </c>
      <c r="B711" t="s">
        <v>789</v>
      </c>
    </row>
    <row r="712" spans="1:2" hidden="1">
      <c r="A712">
        <v>41560041</v>
      </c>
      <c r="B712" t="s">
        <v>790</v>
      </c>
    </row>
    <row r="713" spans="1:2" hidden="1">
      <c r="A713">
        <v>41560061</v>
      </c>
      <c r="B713" t="s">
        <v>791</v>
      </c>
    </row>
    <row r="714" spans="1:2" hidden="1">
      <c r="A714">
        <v>41560074</v>
      </c>
      <c r="B714" t="s">
        <v>206</v>
      </c>
    </row>
    <row r="715" spans="1:2" hidden="1">
      <c r="A715">
        <v>41560079</v>
      </c>
      <c r="B715" t="s">
        <v>792</v>
      </c>
    </row>
    <row r="716" spans="1:2" hidden="1">
      <c r="A716">
        <v>41560096</v>
      </c>
      <c r="B716" t="s">
        <v>793</v>
      </c>
    </row>
    <row r="717" spans="1:2" hidden="1">
      <c r="A717">
        <v>41560124</v>
      </c>
      <c r="B717" t="s">
        <v>794</v>
      </c>
    </row>
    <row r="718" spans="1:2" hidden="1">
      <c r="A718">
        <v>41560142</v>
      </c>
      <c r="B718" t="s">
        <v>795</v>
      </c>
    </row>
    <row r="719" spans="1:2" hidden="1">
      <c r="A719">
        <v>41560151</v>
      </c>
      <c r="B719" t="s">
        <v>796</v>
      </c>
    </row>
    <row r="720" spans="1:2" hidden="1">
      <c r="A720">
        <v>41560166</v>
      </c>
      <c r="B720" t="s">
        <v>797</v>
      </c>
    </row>
    <row r="721" spans="1:2" hidden="1">
      <c r="A721">
        <v>41566023</v>
      </c>
      <c r="B721" t="s">
        <v>798</v>
      </c>
    </row>
    <row r="722" spans="1:2" hidden="1">
      <c r="A722">
        <v>41575310</v>
      </c>
      <c r="B722" t="s">
        <v>799</v>
      </c>
    </row>
    <row r="723" spans="1:2" hidden="1">
      <c r="A723">
        <v>41575510</v>
      </c>
      <c r="B723" t="s">
        <v>800</v>
      </c>
    </row>
    <row r="724" spans="1:2" hidden="1">
      <c r="A724">
        <v>41579810</v>
      </c>
      <c r="B724" t="s">
        <v>801</v>
      </c>
    </row>
    <row r="725" spans="1:2" hidden="1">
      <c r="A725">
        <v>41580010</v>
      </c>
      <c r="B725" t="s">
        <v>802</v>
      </c>
    </row>
    <row r="726" spans="1:2" hidden="1">
      <c r="A726">
        <v>41580110</v>
      </c>
      <c r="B726" t="s">
        <v>803</v>
      </c>
    </row>
    <row r="727" spans="1:2" hidden="1">
      <c r="A727">
        <v>41588410</v>
      </c>
      <c r="B727" t="s">
        <v>804</v>
      </c>
    </row>
    <row r="728" spans="1:2" hidden="1">
      <c r="A728">
        <v>41592100</v>
      </c>
      <c r="B728" t="s">
        <v>805</v>
      </c>
    </row>
    <row r="729" spans="1:2" hidden="1">
      <c r="A729">
        <v>41592210</v>
      </c>
      <c r="B729" t="s">
        <v>806</v>
      </c>
    </row>
    <row r="730" spans="1:2" hidden="1">
      <c r="A730">
        <v>41592216</v>
      </c>
      <c r="B730" t="s">
        <v>807</v>
      </c>
    </row>
    <row r="731" spans="1:2" hidden="1">
      <c r="A731">
        <v>41592227</v>
      </c>
      <c r="B731" t="s">
        <v>808</v>
      </c>
    </row>
    <row r="732" spans="1:2" hidden="1">
      <c r="A732">
        <v>41592300</v>
      </c>
      <c r="B732" t="s">
        <v>809</v>
      </c>
    </row>
    <row r="733" spans="1:2" hidden="1">
      <c r="A733">
        <v>41592306</v>
      </c>
      <c r="B733" t="s">
        <v>810</v>
      </c>
    </row>
    <row r="734" spans="1:2" hidden="1">
      <c r="A734">
        <v>41593001</v>
      </c>
      <c r="B734" t="s">
        <v>811</v>
      </c>
    </row>
    <row r="735" spans="1:2" hidden="1">
      <c r="A735">
        <v>41593003</v>
      </c>
      <c r="B735" t="s">
        <v>812</v>
      </c>
    </row>
    <row r="736" spans="1:2" hidden="1">
      <c r="A736">
        <v>41593007</v>
      </c>
      <c r="B736" t="s">
        <v>813</v>
      </c>
    </row>
    <row r="737" spans="1:2" hidden="1">
      <c r="A737">
        <v>41593010</v>
      </c>
      <c r="B737" t="s">
        <v>814</v>
      </c>
    </row>
    <row r="738" spans="1:2" hidden="1">
      <c r="A738">
        <v>41593015</v>
      </c>
      <c r="B738" t="s">
        <v>815</v>
      </c>
    </row>
    <row r="739" spans="1:2" hidden="1">
      <c r="A739">
        <v>41595020</v>
      </c>
      <c r="B739" t="s">
        <v>816</v>
      </c>
    </row>
    <row r="740" spans="1:2" hidden="1">
      <c r="A740">
        <v>41595022</v>
      </c>
      <c r="B740" t="s">
        <v>817</v>
      </c>
    </row>
    <row r="741" spans="1:2" hidden="1">
      <c r="A741">
        <v>41595026</v>
      </c>
      <c r="B741" t="s">
        <v>818</v>
      </c>
    </row>
    <row r="742" spans="1:2" hidden="1">
      <c r="A742">
        <v>41596001</v>
      </c>
      <c r="B742" t="s">
        <v>819</v>
      </c>
    </row>
    <row r="743" spans="1:2" hidden="1">
      <c r="A743">
        <v>41596006</v>
      </c>
      <c r="B743" t="s">
        <v>820</v>
      </c>
    </row>
    <row r="744" spans="1:2" hidden="1">
      <c r="A744">
        <v>41596121</v>
      </c>
      <c r="B744" t="s">
        <v>821</v>
      </c>
    </row>
    <row r="745" spans="1:2" hidden="1">
      <c r="A745">
        <v>41597410</v>
      </c>
      <c r="B745" t="s">
        <v>822</v>
      </c>
    </row>
    <row r="746" spans="1:2" hidden="1">
      <c r="A746">
        <v>41597411</v>
      </c>
      <c r="B746" t="s">
        <v>823</v>
      </c>
    </row>
    <row r="747" spans="1:2">
      <c r="A747">
        <v>41597501</v>
      </c>
      <c r="B747" t="s">
        <v>824</v>
      </c>
    </row>
    <row r="748" spans="1:2" hidden="1">
      <c r="A748">
        <v>41598021</v>
      </c>
      <c r="B748" t="s">
        <v>825</v>
      </c>
    </row>
    <row r="749" spans="1:2" hidden="1">
      <c r="A749">
        <v>41598031</v>
      </c>
      <c r="B749" t="s">
        <v>826</v>
      </c>
    </row>
    <row r="750" spans="1:2" hidden="1">
      <c r="A750">
        <v>41599005</v>
      </c>
      <c r="B750" t="s">
        <v>827</v>
      </c>
    </row>
    <row r="751" spans="1:2" hidden="1">
      <c r="A751">
        <v>41599012</v>
      </c>
      <c r="B751" t="s">
        <v>828</v>
      </c>
    </row>
    <row r="752" spans="1:2" hidden="1">
      <c r="A752">
        <v>461220200</v>
      </c>
      <c r="B752" t="s">
        <v>829</v>
      </c>
    </row>
    <row r="753" spans="1:2" hidden="1">
      <c r="A753">
        <v>462320200</v>
      </c>
      <c r="B753" t="s">
        <v>830</v>
      </c>
    </row>
    <row r="754" spans="1:2" hidden="1">
      <c r="A754" t="s">
        <v>831</v>
      </c>
      <c r="B754" t="s">
        <v>832</v>
      </c>
    </row>
    <row r="755" spans="1:2" hidden="1">
      <c r="A755">
        <v>463420200</v>
      </c>
      <c r="B755" t="s">
        <v>833</v>
      </c>
    </row>
    <row r="756" spans="1:2" hidden="1">
      <c r="A756">
        <v>463460210</v>
      </c>
      <c r="B756" t="s">
        <v>834</v>
      </c>
    </row>
    <row r="757" spans="1:2" hidden="1">
      <c r="A757">
        <v>469780210</v>
      </c>
      <c r="B757" t="s">
        <v>835</v>
      </c>
    </row>
    <row r="758" spans="1:2" hidden="1">
      <c r="A758">
        <v>49002040</v>
      </c>
      <c r="B758" t="s">
        <v>836</v>
      </c>
    </row>
    <row r="759" spans="1:2" hidden="1">
      <c r="A759">
        <v>49004840</v>
      </c>
      <c r="B759" t="s">
        <v>836</v>
      </c>
    </row>
    <row r="760" spans="1:2" hidden="1">
      <c r="A760" t="s">
        <v>837</v>
      </c>
      <c r="B760" t="s">
        <v>838</v>
      </c>
    </row>
    <row r="761" spans="1:2" hidden="1">
      <c r="A761" t="s">
        <v>839</v>
      </c>
      <c r="B761" t="s">
        <v>840</v>
      </c>
    </row>
    <row r="762" spans="1:2" hidden="1">
      <c r="A762">
        <v>49004848</v>
      </c>
      <c r="B762" t="s">
        <v>841</v>
      </c>
    </row>
    <row r="763" spans="1:2" hidden="1">
      <c r="A763">
        <v>49004850</v>
      </c>
      <c r="B763" t="s">
        <v>842</v>
      </c>
    </row>
    <row r="764" spans="1:2" hidden="1">
      <c r="A764" t="s">
        <v>843</v>
      </c>
      <c r="B764" t="s">
        <v>844</v>
      </c>
    </row>
    <row r="765" spans="1:2" hidden="1">
      <c r="A765">
        <v>49004852</v>
      </c>
      <c r="B765" t="s">
        <v>845</v>
      </c>
    </row>
    <row r="766" spans="1:2" hidden="1">
      <c r="A766">
        <v>49004853</v>
      </c>
      <c r="B766" t="s">
        <v>846</v>
      </c>
    </row>
    <row r="767" spans="1:2" hidden="1">
      <c r="A767">
        <v>49004860</v>
      </c>
      <c r="B767" t="s">
        <v>847</v>
      </c>
    </row>
    <row r="768" spans="1:2" hidden="1">
      <c r="A768">
        <v>49004861</v>
      </c>
      <c r="B768" t="s">
        <v>848</v>
      </c>
    </row>
    <row r="769" spans="1:2" hidden="1">
      <c r="A769">
        <v>49004862</v>
      </c>
      <c r="B769" t="s">
        <v>849</v>
      </c>
    </row>
    <row r="770" spans="1:2" hidden="1">
      <c r="A770">
        <v>49004863</v>
      </c>
      <c r="B770" t="s">
        <v>850</v>
      </c>
    </row>
    <row r="771" spans="1:2" hidden="1">
      <c r="A771">
        <v>49004864</v>
      </c>
      <c r="B771" t="s">
        <v>851</v>
      </c>
    </row>
    <row r="772" spans="1:2" hidden="1">
      <c r="A772">
        <v>49004865</v>
      </c>
      <c r="B772" t="s">
        <v>852</v>
      </c>
    </row>
    <row r="773" spans="1:2" hidden="1">
      <c r="A773">
        <v>49004866</v>
      </c>
      <c r="B773" t="s">
        <v>853</v>
      </c>
    </row>
    <row r="774" spans="1:2" hidden="1">
      <c r="A774">
        <v>49004867</v>
      </c>
      <c r="B774" t="s">
        <v>854</v>
      </c>
    </row>
    <row r="775" spans="1:2" hidden="1">
      <c r="A775">
        <v>49004868</v>
      </c>
      <c r="B775" t="s">
        <v>855</v>
      </c>
    </row>
    <row r="776" spans="1:2" hidden="1">
      <c r="A776">
        <v>49004869</v>
      </c>
      <c r="B776" t="s">
        <v>856</v>
      </c>
    </row>
    <row r="777" spans="1:2" hidden="1">
      <c r="A777">
        <v>49004870</v>
      </c>
      <c r="B777" t="s">
        <v>857</v>
      </c>
    </row>
    <row r="778" spans="1:2" hidden="1">
      <c r="A778" t="s">
        <v>858</v>
      </c>
      <c r="B778" t="s">
        <v>859</v>
      </c>
    </row>
    <row r="779" spans="1:2" hidden="1">
      <c r="A779">
        <v>503420218</v>
      </c>
      <c r="B779" t="s">
        <v>860</v>
      </c>
    </row>
    <row r="780" spans="1:2" hidden="1">
      <c r="A780" t="s">
        <v>861</v>
      </c>
      <c r="B780" t="s">
        <v>862</v>
      </c>
    </row>
    <row r="781" spans="1:2" hidden="1">
      <c r="A781" t="s">
        <v>863</v>
      </c>
      <c r="B781" t="s">
        <v>859</v>
      </c>
    </row>
    <row r="782" spans="1:2" hidden="1">
      <c r="A782">
        <v>509150210</v>
      </c>
      <c r="B782" t="s">
        <v>864</v>
      </c>
    </row>
    <row r="783" spans="1:2" hidden="1">
      <c r="A783" t="s">
        <v>865</v>
      </c>
      <c r="B783" t="s">
        <v>864</v>
      </c>
    </row>
    <row r="784" spans="1:2" hidden="1">
      <c r="A784" t="s">
        <v>866</v>
      </c>
      <c r="B784" t="s">
        <v>864</v>
      </c>
    </row>
    <row r="785" spans="1:2" hidden="1">
      <c r="A785">
        <v>5310212</v>
      </c>
      <c r="B785" t="s">
        <v>867</v>
      </c>
    </row>
    <row r="786" spans="1:2" hidden="1">
      <c r="A786">
        <v>5317112</v>
      </c>
      <c r="B786" t="s">
        <v>868</v>
      </c>
    </row>
    <row r="787" spans="1:2" hidden="1">
      <c r="A787">
        <v>5323212</v>
      </c>
      <c r="B787" t="s">
        <v>869</v>
      </c>
    </row>
    <row r="788" spans="1:2" hidden="1">
      <c r="A788">
        <v>5324112</v>
      </c>
      <c r="B788" t="s">
        <v>870</v>
      </c>
    </row>
    <row r="789" spans="1:2" hidden="1">
      <c r="A789">
        <v>53341612</v>
      </c>
      <c r="B789" t="s">
        <v>871</v>
      </c>
    </row>
    <row r="790" spans="1:2" hidden="1">
      <c r="A790">
        <v>539121210</v>
      </c>
      <c r="B790" t="s">
        <v>872</v>
      </c>
    </row>
    <row r="791" spans="1:2" hidden="1">
      <c r="A791">
        <v>539156200</v>
      </c>
      <c r="B791" t="s">
        <v>873</v>
      </c>
    </row>
    <row r="792" spans="1:2" hidden="1">
      <c r="A792" t="s">
        <v>874</v>
      </c>
      <c r="B792" t="s">
        <v>875</v>
      </c>
    </row>
    <row r="793" spans="1:2" hidden="1">
      <c r="A793">
        <v>539391200</v>
      </c>
      <c r="B793" t="s">
        <v>876</v>
      </c>
    </row>
    <row r="794" spans="1:2" hidden="1">
      <c r="A794">
        <v>53991512</v>
      </c>
      <c r="B794" t="s">
        <v>877</v>
      </c>
    </row>
    <row r="795" spans="1:2" hidden="1">
      <c r="A795">
        <v>539940200</v>
      </c>
      <c r="B795" t="s">
        <v>878</v>
      </c>
    </row>
    <row r="796" spans="1:2" hidden="1">
      <c r="A796" t="s">
        <v>879</v>
      </c>
      <c r="B796" t="s">
        <v>880</v>
      </c>
    </row>
    <row r="797" spans="1:2" hidden="1">
      <c r="A797" t="s">
        <v>881</v>
      </c>
      <c r="B797" t="s">
        <v>882</v>
      </c>
    </row>
    <row r="798" spans="1:2" hidden="1">
      <c r="A798" t="s">
        <v>883</v>
      </c>
      <c r="B798" t="s">
        <v>884</v>
      </c>
    </row>
    <row r="799" spans="1:2" hidden="1">
      <c r="A799" t="s">
        <v>885</v>
      </c>
      <c r="B799" t="s">
        <v>884</v>
      </c>
    </row>
    <row r="800" spans="1:2" hidden="1">
      <c r="A800" t="s">
        <v>886</v>
      </c>
      <c r="B800" t="s">
        <v>887</v>
      </c>
    </row>
    <row r="801" spans="1:2" hidden="1">
      <c r="A801" t="s">
        <v>888</v>
      </c>
      <c r="B801" t="s">
        <v>887</v>
      </c>
    </row>
    <row r="802" spans="1:2" hidden="1">
      <c r="A802" t="s">
        <v>889</v>
      </c>
      <c r="B802" t="s">
        <v>890</v>
      </c>
    </row>
    <row r="803" spans="1:2" hidden="1">
      <c r="A803" t="s">
        <v>891</v>
      </c>
      <c r="B803" t="s">
        <v>892</v>
      </c>
    </row>
    <row r="804" spans="1:2" hidden="1">
      <c r="A804" t="s">
        <v>893</v>
      </c>
      <c r="B804" t="s">
        <v>894</v>
      </c>
    </row>
    <row r="805" spans="1:2" hidden="1">
      <c r="A805">
        <v>551220200</v>
      </c>
      <c r="B805" t="s">
        <v>895</v>
      </c>
    </row>
    <row r="806" spans="1:2" hidden="1">
      <c r="A806">
        <v>552320200</v>
      </c>
      <c r="B806" t="s">
        <v>896</v>
      </c>
    </row>
    <row r="807" spans="1:2" hidden="1">
      <c r="A807" t="s">
        <v>897</v>
      </c>
      <c r="B807" t="s">
        <v>898</v>
      </c>
    </row>
    <row r="808" spans="1:2" hidden="1">
      <c r="A808">
        <v>553460210</v>
      </c>
      <c r="B808" t="s">
        <v>899</v>
      </c>
    </row>
    <row r="809" spans="1:2" hidden="1">
      <c r="A809">
        <v>553660210</v>
      </c>
      <c r="B809" t="s">
        <v>900</v>
      </c>
    </row>
    <row r="810" spans="1:2" hidden="1">
      <c r="A810">
        <v>559950210</v>
      </c>
      <c r="B810" t="s">
        <v>901</v>
      </c>
    </row>
    <row r="811" spans="1:2" hidden="1">
      <c r="A811">
        <v>60703046</v>
      </c>
      <c r="B811" t="s">
        <v>902</v>
      </c>
    </row>
    <row r="812" spans="1:2" hidden="1">
      <c r="A812">
        <v>60803165</v>
      </c>
      <c r="B812" t="s">
        <v>903</v>
      </c>
    </row>
    <row r="813" spans="1:2" hidden="1">
      <c r="A813">
        <v>60803172</v>
      </c>
      <c r="B813" t="s">
        <v>904</v>
      </c>
    </row>
    <row r="814" spans="1:2" hidden="1">
      <c r="A814">
        <v>61001000</v>
      </c>
      <c r="B814" t="s">
        <v>905</v>
      </c>
    </row>
    <row r="815" spans="1:2" hidden="1">
      <c r="A815">
        <v>61001034</v>
      </c>
      <c r="B815" t="s">
        <v>906</v>
      </c>
    </row>
    <row r="816" spans="1:2" hidden="1">
      <c r="A816">
        <v>61001076</v>
      </c>
      <c r="B816" t="s">
        <v>907</v>
      </c>
    </row>
    <row r="817" spans="1:2" hidden="1">
      <c r="A817">
        <v>61001097</v>
      </c>
      <c r="B817" t="s">
        <v>908</v>
      </c>
    </row>
    <row r="818" spans="1:2" hidden="1">
      <c r="A818">
        <v>61001104</v>
      </c>
      <c r="B818" t="s">
        <v>909</v>
      </c>
    </row>
    <row r="819" spans="1:2" hidden="1">
      <c r="A819">
        <v>61001108</v>
      </c>
      <c r="B819" t="s">
        <v>910</v>
      </c>
    </row>
    <row r="820" spans="1:2" hidden="1">
      <c r="A820">
        <v>61001109</v>
      </c>
      <c r="B820" t="s">
        <v>911</v>
      </c>
    </row>
    <row r="821" spans="1:2" hidden="1">
      <c r="A821">
        <v>61001113</v>
      </c>
      <c r="B821" t="s">
        <v>912</v>
      </c>
    </row>
    <row r="822" spans="1:2" hidden="1">
      <c r="A822">
        <v>61001189</v>
      </c>
      <c r="B822" t="s">
        <v>913</v>
      </c>
    </row>
    <row r="823" spans="1:2" hidden="1">
      <c r="A823">
        <v>61001190</v>
      </c>
      <c r="B823" t="s">
        <v>914</v>
      </c>
    </row>
    <row r="824" spans="1:2" hidden="1">
      <c r="A824">
        <v>61001192</v>
      </c>
      <c r="B824" t="s">
        <v>915</v>
      </c>
    </row>
    <row r="825" spans="1:2" hidden="1">
      <c r="A825">
        <v>61001199</v>
      </c>
      <c r="B825" t="s">
        <v>916</v>
      </c>
    </row>
    <row r="826" spans="1:2" hidden="1">
      <c r="A826">
        <v>61001229</v>
      </c>
      <c r="B826" t="s">
        <v>917</v>
      </c>
    </row>
    <row r="827" spans="1:2" hidden="1">
      <c r="A827">
        <v>61001230</v>
      </c>
      <c r="B827" t="s">
        <v>918</v>
      </c>
    </row>
    <row r="828" spans="1:2" hidden="1">
      <c r="A828">
        <v>61001232</v>
      </c>
      <c r="B828" t="s">
        <v>919</v>
      </c>
    </row>
    <row r="829" spans="1:2" hidden="1">
      <c r="A829">
        <v>61001269</v>
      </c>
      <c r="B829" t="s">
        <v>920</v>
      </c>
    </row>
    <row r="830" spans="1:2" hidden="1">
      <c r="A830">
        <v>61001272</v>
      </c>
      <c r="B830" t="s">
        <v>921</v>
      </c>
    </row>
    <row r="831" spans="1:2" hidden="1">
      <c r="A831">
        <v>61001276</v>
      </c>
      <c r="B831" t="s">
        <v>922</v>
      </c>
    </row>
    <row r="832" spans="1:2" hidden="1">
      <c r="A832">
        <v>61001300</v>
      </c>
      <c r="B832" t="s">
        <v>923</v>
      </c>
    </row>
    <row r="833" spans="1:2" hidden="1">
      <c r="A833">
        <v>61001301</v>
      </c>
      <c r="B833" t="s">
        <v>924</v>
      </c>
    </row>
    <row r="834" spans="1:2" hidden="1">
      <c r="A834">
        <v>61001302</v>
      </c>
      <c r="B834" t="s">
        <v>925</v>
      </c>
    </row>
    <row r="835" spans="1:2" hidden="1">
      <c r="A835">
        <v>61001303</v>
      </c>
      <c r="B835" t="s">
        <v>926</v>
      </c>
    </row>
    <row r="836" spans="1:2" hidden="1">
      <c r="A836">
        <v>61001305</v>
      </c>
      <c r="B836" t="s">
        <v>927</v>
      </c>
    </row>
    <row r="837" spans="1:2" hidden="1">
      <c r="A837">
        <v>61001320</v>
      </c>
      <c r="B837" t="s">
        <v>928</v>
      </c>
    </row>
    <row r="838" spans="1:2" hidden="1">
      <c r="A838">
        <v>61801232</v>
      </c>
      <c r="B838" t="s">
        <v>929</v>
      </c>
    </row>
    <row r="839" spans="1:2" hidden="1">
      <c r="A839">
        <v>61801236</v>
      </c>
      <c r="B839" t="s">
        <v>930</v>
      </c>
    </row>
    <row r="840" spans="1:2" hidden="1">
      <c r="A840">
        <v>61801239</v>
      </c>
      <c r="B840" t="s">
        <v>931</v>
      </c>
    </row>
    <row r="841" spans="1:2" hidden="1">
      <c r="A841">
        <v>61867050</v>
      </c>
      <c r="B841" t="s">
        <v>932</v>
      </c>
    </row>
    <row r="842" spans="1:2" hidden="1">
      <c r="A842">
        <v>622410200</v>
      </c>
      <c r="B842" t="s">
        <v>933</v>
      </c>
    </row>
    <row r="843" spans="1:2" hidden="1">
      <c r="A843" t="s">
        <v>934</v>
      </c>
      <c r="B843" t="s">
        <v>935</v>
      </c>
    </row>
    <row r="844" spans="1:2" hidden="1">
      <c r="A844" t="s">
        <v>936</v>
      </c>
      <c r="B844" t="s">
        <v>937</v>
      </c>
    </row>
    <row r="845" spans="1:2" hidden="1">
      <c r="A845" t="s">
        <v>938</v>
      </c>
      <c r="B845" t="s">
        <v>939</v>
      </c>
    </row>
    <row r="846" spans="1:2" hidden="1">
      <c r="A846" t="s">
        <v>940</v>
      </c>
      <c r="B846" t="s">
        <v>941</v>
      </c>
    </row>
    <row r="847" spans="1:2" hidden="1">
      <c r="A847" t="s">
        <v>942</v>
      </c>
      <c r="B847" t="s">
        <v>943</v>
      </c>
    </row>
    <row r="848" spans="1:2" hidden="1">
      <c r="A848">
        <v>629150210</v>
      </c>
      <c r="B848" t="s">
        <v>944</v>
      </c>
    </row>
    <row r="849" spans="1:2" hidden="1">
      <c r="A849" t="s">
        <v>945</v>
      </c>
      <c r="B849" t="s">
        <v>944</v>
      </c>
    </row>
    <row r="850" spans="1:2" hidden="1">
      <c r="A850" t="s">
        <v>946</v>
      </c>
      <c r="B850" t="s">
        <v>944</v>
      </c>
    </row>
    <row r="851" spans="1:2" hidden="1">
      <c r="A851" t="s">
        <v>947</v>
      </c>
      <c r="B851" t="s">
        <v>948</v>
      </c>
    </row>
    <row r="852" spans="1:2" hidden="1">
      <c r="A852" t="s">
        <v>949</v>
      </c>
      <c r="B852" t="s">
        <v>948</v>
      </c>
    </row>
    <row r="853" spans="1:2" hidden="1">
      <c r="A853" t="s">
        <v>950</v>
      </c>
      <c r="B853" t="s">
        <v>951</v>
      </c>
    </row>
    <row r="854" spans="1:2" hidden="1">
      <c r="A854" t="s">
        <v>952</v>
      </c>
      <c r="B854" t="s">
        <v>953</v>
      </c>
    </row>
    <row r="855" spans="1:2" hidden="1">
      <c r="A855">
        <v>749140200</v>
      </c>
      <c r="B855" t="s">
        <v>954</v>
      </c>
    </row>
    <row r="856" spans="1:2" hidden="1">
      <c r="A856">
        <v>749140210</v>
      </c>
      <c r="B856" t="s">
        <v>955</v>
      </c>
    </row>
    <row r="857" spans="1:2" hidden="1">
      <c r="A857">
        <v>749150200</v>
      </c>
      <c r="B857" t="s">
        <v>956</v>
      </c>
    </row>
    <row r="858" spans="1:2" hidden="1">
      <c r="A858">
        <v>749390210</v>
      </c>
      <c r="B858" t="s">
        <v>957</v>
      </c>
    </row>
    <row r="859" spans="1:2" hidden="1">
      <c r="A859">
        <v>749830210</v>
      </c>
      <c r="B859" t="s">
        <v>958</v>
      </c>
    </row>
    <row r="860" spans="1:2" hidden="1">
      <c r="A860">
        <v>780130200</v>
      </c>
      <c r="B860" t="s">
        <v>959</v>
      </c>
    </row>
    <row r="861" spans="1:2" hidden="1">
      <c r="A861">
        <v>7900150</v>
      </c>
      <c r="B861" t="s">
        <v>960</v>
      </c>
    </row>
    <row r="862" spans="1:2" hidden="1">
      <c r="A862">
        <v>790027200</v>
      </c>
      <c r="B862" t="s">
        <v>961</v>
      </c>
    </row>
    <row r="863" spans="1:2" hidden="1">
      <c r="A863">
        <v>7900550</v>
      </c>
      <c r="B863" t="s">
        <v>962</v>
      </c>
    </row>
    <row r="864" spans="1:2" hidden="1">
      <c r="A864">
        <v>7900602</v>
      </c>
      <c r="B864" t="s">
        <v>963</v>
      </c>
    </row>
    <row r="865" spans="1:2" hidden="1">
      <c r="A865">
        <v>7900603</v>
      </c>
      <c r="B865" t="s">
        <v>964</v>
      </c>
    </row>
    <row r="866" spans="1:2" hidden="1">
      <c r="A866">
        <v>7900605</v>
      </c>
      <c r="B866" t="s">
        <v>965</v>
      </c>
    </row>
    <row r="867" spans="1:2" hidden="1">
      <c r="A867">
        <v>7900650</v>
      </c>
      <c r="B867" t="s">
        <v>966</v>
      </c>
    </row>
    <row r="868" spans="1:2" hidden="1">
      <c r="A868">
        <v>7900651</v>
      </c>
      <c r="B868" t="s">
        <v>967</v>
      </c>
    </row>
    <row r="869" spans="1:2" hidden="1">
      <c r="A869">
        <v>7900654</v>
      </c>
      <c r="B869" t="s">
        <v>968</v>
      </c>
    </row>
    <row r="870" spans="1:2" hidden="1">
      <c r="A870">
        <v>790066300</v>
      </c>
      <c r="B870" t="s">
        <v>969</v>
      </c>
    </row>
    <row r="871" spans="1:2" hidden="1">
      <c r="A871">
        <v>790066700</v>
      </c>
      <c r="B871" t="s">
        <v>970</v>
      </c>
    </row>
    <row r="872" spans="1:2" hidden="1">
      <c r="A872">
        <v>790066800</v>
      </c>
      <c r="B872" t="s">
        <v>971</v>
      </c>
    </row>
    <row r="873" spans="1:2" hidden="1">
      <c r="A873">
        <v>790067000</v>
      </c>
      <c r="B873" t="s">
        <v>972</v>
      </c>
    </row>
    <row r="874" spans="1:2" hidden="1">
      <c r="A874">
        <v>790067100</v>
      </c>
      <c r="B874" t="s">
        <v>973</v>
      </c>
    </row>
    <row r="875" spans="1:2" hidden="1">
      <c r="A875">
        <v>790067300</v>
      </c>
      <c r="B875" t="s">
        <v>974</v>
      </c>
    </row>
    <row r="876" spans="1:2" hidden="1">
      <c r="A876">
        <v>7900750</v>
      </c>
      <c r="B876" t="s">
        <v>975</v>
      </c>
    </row>
    <row r="877" spans="1:2" hidden="1">
      <c r="A877">
        <v>7900751</v>
      </c>
      <c r="B877" t="s">
        <v>976</v>
      </c>
    </row>
    <row r="878" spans="1:2" hidden="1">
      <c r="A878">
        <v>7900752</v>
      </c>
      <c r="B878" t="s">
        <v>977</v>
      </c>
    </row>
    <row r="879" spans="1:2" hidden="1">
      <c r="A879">
        <v>7901050</v>
      </c>
      <c r="B879" t="s">
        <v>978</v>
      </c>
    </row>
    <row r="880" spans="1:2" hidden="1">
      <c r="A880">
        <v>81216061</v>
      </c>
      <c r="B880" t="s">
        <v>979</v>
      </c>
    </row>
    <row r="881" spans="1:2" hidden="1">
      <c r="A881">
        <v>81216067</v>
      </c>
      <c r="B881" t="s">
        <v>980</v>
      </c>
    </row>
    <row r="882" spans="1:2" hidden="1">
      <c r="A882">
        <v>81476061</v>
      </c>
      <c r="B882" t="s">
        <v>981</v>
      </c>
    </row>
    <row r="883" spans="1:2">
      <c r="A883">
        <v>81543107</v>
      </c>
      <c r="B883" t="s">
        <v>982</v>
      </c>
    </row>
    <row r="884" spans="1:2" hidden="1">
      <c r="A884">
        <v>81543286</v>
      </c>
      <c r="B884" t="s">
        <v>983</v>
      </c>
    </row>
    <row r="885" spans="1:2" hidden="1">
      <c r="A885">
        <v>81712071</v>
      </c>
      <c r="B885" t="s">
        <v>984</v>
      </c>
    </row>
    <row r="886" spans="1:2" hidden="1">
      <c r="A886">
        <v>81911362</v>
      </c>
      <c r="B886" t="s">
        <v>985</v>
      </c>
    </row>
    <row r="887" spans="1:2" hidden="1">
      <c r="A887">
        <v>81911462</v>
      </c>
      <c r="B887" t="s">
        <v>986</v>
      </c>
    </row>
    <row r="888" spans="1:2" hidden="1">
      <c r="A888">
        <v>8917102</v>
      </c>
      <c r="B888" t="s">
        <v>987</v>
      </c>
    </row>
    <row r="889" spans="1:2" hidden="1">
      <c r="A889">
        <v>8924102</v>
      </c>
      <c r="B889" t="s">
        <v>988</v>
      </c>
    </row>
    <row r="890" spans="1:2" hidden="1">
      <c r="A890">
        <v>89341602</v>
      </c>
      <c r="B890" t="s">
        <v>989</v>
      </c>
    </row>
    <row r="891" spans="1:2" hidden="1">
      <c r="A891">
        <v>904131</v>
      </c>
      <c r="B891" t="s">
        <v>492</v>
      </c>
    </row>
    <row r="892" spans="1:2" hidden="1">
      <c r="A892">
        <v>915111130</v>
      </c>
      <c r="B892" t="s">
        <v>990</v>
      </c>
    </row>
    <row r="893" spans="1:2" hidden="1">
      <c r="A893">
        <v>915411215</v>
      </c>
      <c r="B893" t="s">
        <v>991</v>
      </c>
    </row>
    <row r="894" spans="1:2" hidden="1">
      <c r="A894">
        <v>915411415</v>
      </c>
      <c r="B894" t="s">
        <v>992</v>
      </c>
    </row>
    <row r="895" spans="1:2" hidden="1">
      <c r="A895">
        <v>94228053</v>
      </c>
      <c r="B895" t="s">
        <v>993</v>
      </c>
    </row>
    <row r="896" spans="1:2" hidden="1">
      <c r="A896">
        <v>96911402</v>
      </c>
      <c r="B896" t="s">
        <v>994</v>
      </c>
    </row>
    <row r="897" spans="1:2" hidden="1">
      <c r="A897">
        <v>9717002</v>
      </c>
      <c r="B897" t="s">
        <v>995</v>
      </c>
    </row>
    <row r="898" spans="1:2" hidden="1">
      <c r="A898">
        <v>9724002</v>
      </c>
      <c r="B898" t="s">
        <v>996</v>
      </c>
    </row>
    <row r="899" spans="1:2" hidden="1">
      <c r="A899">
        <v>97341602</v>
      </c>
      <c r="B899" t="s">
        <v>997</v>
      </c>
    </row>
    <row r="900" spans="1:2" hidden="1">
      <c r="A900" t="s">
        <v>998</v>
      </c>
      <c r="B900" t="s">
        <v>999</v>
      </c>
    </row>
    <row r="901" spans="1:2" hidden="1">
      <c r="A901" t="s">
        <v>1000</v>
      </c>
      <c r="B901" t="s">
        <v>999</v>
      </c>
    </row>
    <row r="902" spans="1:2" hidden="1">
      <c r="A902" t="s">
        <v>1001</v>
      </c>
      <c r="B902" t="s">
        <v>1002</v>
      </c>
    </row>
    <row r="903" spans="1:2" hidden="1">
      <c r="A903">
        <v>97931802</v>
      </c>
      <c r="B903" t="s">
        <v>1003</v>
      </c>
    </row>
    <row r="904" spans="1:2" hidden="1">
      <c r="A904" t="s">
        <v>1004</v>
      </c>
      <c r="B904" t="s">
        <v>1005</v>
      </c>
    </row>
    <row r="905" spans="1:2" hidden="1">
      <c r="A905">
        <v>99191003</v>
      </c>
      <c r="B905" t="s">
        <v>1006</v>
      </c>
    </row>
    <row r="906" spans="1:2" hidden="1">
      <c r="A906">
        <v>99191012</v>
      </c>
      <c r="B906" t="s">
        <v>1007</v>
      </c>
    </row>
    <row r="907" spans="1:2" hidden="1">
      <c r="A907" t="s">
        <v>1008</v>
      </c>
      <c r="B907" t="s">
        <v>1009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S15"/>
  <sheetViews>
    <sheetView workbookViewId="0">
      <selection activeCell="R8" sqref="R8:R9"/>
    </sheetView>
  </sheetViews>
  <sheetFormatPr baseColWidth="10" defaultRowHeight="15"/>
  <cols>
    <col min="1" max="1" width="7.33203125" customWidth="1"/>
    <col min="5" max="5" width="14.5" bestFit="1" customWidth="1"/>
    <col min="6" max="6" width="59" bestFit="1" customWidth="1"/>
    <col min="7" max="7" width="21.33203125" customWidth="1"/>
    <col min="8" max="8" width="15.5" bestFit="1" customWidth="1"/>
    <col min="11" max="11" width="12.1640625" bestFit="1" customWidth="1"/>
    <col min="12" max="12" width="43.5" customWidth="1"/>
    <col min="13" max="13" width="20.1640625" customWidth="1"/>
    <col min="16" max="16" width="42.1640625" customWidth="1"/>
    <col min="18" max="18" width="15.83203125" customWidth="1"/>
    <col min="19" max="19" width="23.33203125" customWidth="1"/>
  </cols>
  <sheetData>
    <row r="4" spans="1:19" ht="18">
      <c r="A4" s="126"/>
      <c r="B4" s="126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126"/>
      <c r="O4" s="126"/>
      <c r="P4" s="126"/>
    </row>
    <row r="5" spans="1:19" ht="18">
      <c r="A5" s="126"/>
      <c r="B5" s="126"/>
      <c r="C5" s="127" t="s">
        <v>1010</v>
      </c>
      <c r="D5" s="128"/>
      <c r="E5" s="128"/>
      <c r="F5" s="68"/>
      <c r="G5" s="128"/>
      <c r="H5" s="128"/>
      <c r="I5" s="128"/>
      <c r="J5" s="128"/>
      <c r="K5" s="128"/>
      <c r="L5" s="128"/>
      <c r="M5" s="128"/>
      <c r="N5" s="129"/>
      <c r="O5" s="129"/>
      <c r="P5" s="126"/>
    </row>
    <row r="6" spans="1:19" ht="19" thickBot="1">
      <c r="A6" s="126"/>
      <c r="B6" s="129"/>
      <c r="C6" s="130" t="s">
        <v>1</v>
      </c>
      <c r="D6" s="130"/>
      <c r="E6" s="130"/>
      <c r="F6" s="68"/>
      <c r="G6" s="67"/>
      <c r="H6" s="67"/>
      <c r="I6" s="67"/>
      <c r="J6" s="67" t="s">
        <v>1011</v>
      </c>
      <c r="K6" s="68"/>
      <c r="L6" s="131" t="s">
        <v>1532</v>
      </c>
      <c r="M6" s="67"/>
      <c r="P6" s="126"/>
    </row>
    <row r="7" spans="1:19" s="1" customFormat="1" ht="85">
      <c r="A7" s="132"/>
      <c r="B7" s="133" t="s">
        <v>1012</v>
      </c>
      <c r="C7" s="134" t="s">
        <v>1013</v>
      </c>
      <c r="D7" s="134" t="s">
        <v>35</v>
      </c>
      <c r="E7" s="135" t="s">
        <v>1014</v>
      </c>
      <c r="F7" s="134" t="s">
        <v>1015</v>
      </c>
      <c r="G7" s="134" t="s">
        <v>1016</v>
      </c>
      <c r="H7" s="133" t="s">
        <v>39</v>
      </c>
      <c r="I7" s="134" t="s">
        <v>1017</v>
      </c>
      <c r="J7" s="134" t="s">
        <v>1018</v>
      </c>
      <c r="K7" s="134" t="s">
        <v>1019</v>
      </c>
      <c r="L7" s="134" t="s">
        <v>43</v>
      </c>
      <c r="M7" s="136" t="s">
        <v>1020</v>
      </c>
      <c r="N7" s="134" t="s">
        <v>45</v>
      </c>
      <c r="O7" s="137" t="s">
        <v>46</v>
      </c>
      <c r="P7" s="134" t="s">
        <v>1021</v>
      </c>
      <c r="Q7" s="138" t="s">
        <v>48</v>
      </c>
      <c r="R7" s="110" t="s">
        <v>49</v>
      </c>
      <c r="S7" s="110" t="s">
        <v>1022</v>
      </c>
    </row>
    <row r="8" spans="1:19" s="2" customFormat="1" ht="24" customHeight="1">
      <c r="A8" s="139">
        <v>1</v>
      </c>
      <c r="B8" s="140">
        <v>45866</v>
      </c>
      <c r="C8" s="141" t="s">
        <v>1023</v>
      </c>
      <c r="D8" s="141" t="s">
        <v>1024</v>
      </c>
      <c r="E8" s="142">
        <v>112950021</v>
      </c>
      <c r="F8" s="143" t="str">
        <f>VLOOKUP(E8,PROD,2,FALSE)</f>
        <v>DVN 94030 TCL BK CAMPANA (110V-60HZ) C/KIT</v>
      </c>
      <c r="G8" s="144" t="s">
        <v>1168</v>
      </c>
      <c r="H8" s="145" t="s">
        <v>24</v>
      </c>
      <c r="I8" s="141" t="s">
        <v>25</v>
      </c>
      <c r="J8" s="146" t="s">
        <v>1025</v>
      </c>
      <c r="K8" s="147">
        <v>45866</v>
      </c>
      <c r="L8" s="148" t="s">
        <v>1169</v>
      </c>
      <c r="M8" s="148" t="s">
        <v>1170</v>
      </c>
      <c r="N8" s="149" t="s">
        <v>1171</v>
      </c>
      <c r="O8" s="150">
        <v>15</v>
      </c>
      <c r="P8" s="141" t="s">
        <v>65</v>
      </c>
      <c r="Q8" s="151" t="s">
        <v>25</v>
      </c>
      <c r="R8" s="151">
        <v>105903785</v>
      </c>
      <c r="S8" s="151"/>
    </row>
    <row r="9" spans="1:19" s="2" customFormat="1" ht="24" customHeight="1">
      <c r="A9" s="139">
        <v>1</v>
      </c>
      <c r="B9" s="140">
        <v>45877</v>
      </c>
      <c r="C9" s="141" t="s">
        <v>1023</v>
      </c>
      <c r="D9" s="141" t="s">
        <v>1024</v>
      </c>
      <c r="E9" s="142">
        <v>40297051</v>
      </c>
      <c r="F9" s="143" t="str">
        <f>VLOOKUP(E9,PROD,2,FALSE)</f>
        <v>COCINA A GAS FS3RS966GGX</v>
      </c>
      <c r="G9" s="144">
        <v>325001708</v>
      </c>
      <c r="H9" s="145" t="s">
        <v>24</v>
      </c>
      <c r="I9" s="141" t="s">
        <v>25</v>
      </c>
      <c r="J9" s="146" t="s">
        <v>1025</v>
      </c>
      <c r="K9" s="147">
        <v>45877</v>
      </c>
      <c r="L9" s="148" t="s">
        <v>1216</v>
      </c>
      <c r="M9" s="148" t="s">
        <v>1439</v>
      </c>
      <c r="N9" s="149" t="s">
        <v>1440</v>
      </c>
      <c r="O9" s="150">
        <v>15</v>
      </c>
      <c r="P9" s="141" t="s">
        <v>65</v>
      </c>
      <c r="Q9" s="151" t="s">
        <v>25</v>
      </c>
      <c r="R9" s="151">
        <v>107115093</v>
      </c>
      <c r="S9" s="151"/>
    </row>
    <row r="10" spans="1:19" s="2" customFormat="1" ht="24" customHeight="1">
      <c r="O10" s="152">
        <v>30</v>
      </c>
    </row>
    <row r="11" spans="1:19" s="2" customFormat="1" ht="24" customHeight="1">
      <c r="O11" s="152"/>
    </row>
    <row r="12" spans="1:19" s="2" customFormat="1" ht="24" customHeight="1"/>
    <row r="13" spans="1:19" s="3" customFormat="1" ht="20"/>
    <row r="14" spans="1:19" s="4" customFormat="1" ht="20">
      <c r="G14" s="3">
        <v>2</v>
      </c>
      <c r="H14" s="3" t="s">
        <v>1026</v>
      </c>
      <c r="I14" s="3">
        <v>15</v>
      </c>
      <c r="J14" s="3">
        <v>30</v>
      </c>
    </row>
    <row r="15" spans="1:19" s="4" customFormat="1" ht="20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V190"/>
  <sheetViews>
    <sheetView topLeftCell="A6" zoomScale="80" zoomScaleNormal="80" workbookViewId="0">
      <selection activeCell="D154" sqref="D154"/>
    </sheetView>
  </sheetViews>
  <sheetFormatPr baseColWidth="10" defaultRowHeight="15"/>
  <cols>
    <col min="1" max="1" width="5.1640625" customWidth="1"/>
    <col min="2" max="2" width="17.33203125" customWidth="1"/>
    <col min="3" max="3" width="32.5" style="126" customWidth="1"/>
    <col min="4" max="4" width="35.5" style="126" customWidth="1"/>
    <col min="5" max="5" width="16.5" bestFit="1" customWidth="1"/>
    <col min="6" max="6" width="14" customWidth="1"/>
    <col min="7" max="7" width="15" customWidth="1"/>
    <col min="8" max="8" width="53" customWidth="1"/>
    <col min="9" max="9" width="27.83203125" customWidth="1"/>
    <col min="10" max="10" width="26.83203125" customWidth="1"/>
    <col min="11" max="11" width="17.5" customWidth="1"/>
    <col min="15" max="15" width="18.1640625" customWidth="1"/>
    <col min="16" max="16" width="5.6640625" customWidth="1"/>
    <col min="17" max="17" width="13.5" bestFit="1" customWidth="1"/>
    <col min="18" max="18" width="41.33203125" customWidth="1"/>
    <col min="19" max="19" width="23.33203125" customWidth="1"/>
    <col min="20" max="20" width="36.5" customWidth="1"/>
  </cols>
  <sheetData>
    <row r="3" spans="1:20">
      <c r="B3" s="153" t="s">
        <v>1010</v>
      </c>
      <c r="C3" s="154"/>
      <c r="D3" s="154"/>
      <c r="E3" s="154"/>
      <c r="F3" s="155"/>
      <c r="G3" s="155"/>
      <c r="H3" s="155"/>
      <c r="I3" s="155"/>
      <c r="J3" s="156"/>
      <c r="K3" s="157"/>
      <c r="L3" s="156"/>
      <c r="M3" s="158"/>
      <c r="N3" s="156"/>
      <c r="O3" s="156"/>
      <c r="P3" s="156"/>
      <c r="Q3" s="156"/>
      <c r="R3" s="156"/>
      <c r="S3" s="155"/>
      <c r="T3" s="159"/>
    </row>
    <row r="4" spans="1:20">
      <c r="B4" s="153" t="s">
        <v>1027</v>
      </c>
      <c r="C4" s="154"/>
      <c r="D4" s="154"/>
      <c r="E4" s="154"/>
      <c r="F4" s="155"/>
      <c r="G4" s="155"/>
      <c r="H4" s="155"/>
      <c r="I4" s="155"/>
      <c r="J4" s="156"/>
      <c r="K4" s="157"/>
      <c r="L4" s="156"/>
      <c r="M4" s="158"/>
      <c r="N4" s="156"/>
      <c r="O4" s="156"/>
      <c r="P4" s="156"/>
      <c r="Q4" s="156"/>
      <c r="R4" s="156"/>
      <c r="S4" s="155"/>
      <c r="T4" s="159"/>
    </row>
    <row r="5" spans="1:20">
      <c r="B5" s="153" t="s">
        <v>1533</v>
      </c>
      <c r="C5" s="154"/>
      <c r="D5" s="154"/>
      <c r="E5" s="154"/>
      <c r="F5" s="155"/>
      <c r="G5" s="155"/>
      <c r="H5" s="155"/>
      <c r="I5" s="155"/>
      <c r="J5" s="156"/>
      <c r="K5" s="157"/>
      <c r="L5" s="156"/>
      <c r="M5" s="158"/>
      <c r="N5" s="156"/>
      <c r="O5" s="156"/>
      <c r="P5" s="156"/>
      <c r="Q5" s="156"/>
      <c r="R5" s="156"/>
      <c r="S5" s="155"/>
      <c r="T5" s="159"/>
    </row>
    <row r="6" spans="1:20" s="1" customFormat="1" ht="51">
      <c r="B6" s="138" t="s">
        <v>1028</v>
      </c>
      <c r="C6" s="233" t="s">
        <v>1029</v>
      </c>
      <c r="D6" s="233" t="s">
        <v>1030</v>
      </c>
      <c r="E6" s="138" t="s">
        <v>1031</v>
      </c>
      <c r="F6" s="138" t="s">
        <v>1032</v>
      </c>
      <c r="G6" s="160" t="s">
        <v>1033</v>
      </c>
      <c r="H6" s="138" t="s">
        <v>1034</v>
      </c>
      <c r="I6" s="138" t="s">
        <v>1035</v>
      </c>
      <c r="J6" s="138" t="s">
        <v>1036</v>
      </c>
      <c r="K6" s="138" t="s">
        <v>1012</v>
      </c>
      <c r="L6" s="138" t="s">
        <v>1017</v>
      </c>
      <c r="M6" s="161" t="s">
        <v>1037</v>
      </c>
      <c r="N6" s="161" t="s">
        <v>1038</v>
      </c>
      <c r="O6" s="138" t="s">
        <v>1039</v>
      </c>
      <c r="P6" s="162" t="s">
        <v>1040</v>
      </c>
      <c r="Q6" s="138" t="s">
        <v>1041</v>
      </c>
      <c r="R6" s="138" t="s">
        <v>1042</v>
      </c>
      <c r="S6" s="138" t="s">
        <v>1043</v>
      </c>
      <c r="T6" s="138" t="s">
        <v>1044</v>
      </c>
    </row>
    <row r="7" spans="1:20" s="5" customFormat="1" ht="20">
      <c r="A7" s="196">
        <v>1</v>
      </c>
      <c r="B7" s="225">
        <v>45859</v>
      </c>
      <c r="C7" s="238" t="s">
        <v>1049</v>
      </c>
      <c r="D7" s="238" t="s">
        <v>1050</v>
      </c>
      <c r="E7" s="226">
        <v>992666015</v>
      </c>
      <c r="F7" s="196" t="s">
        <v>1569</v>
      </c>
      <c r="G7" s="196">
        <v>112580027</v>
      </c>
      <c r="H7" s="199" t="str">
        <f t="shared" ref="H7:H38" si="0">VLOOKUP(G7,PROD,2,FALSE)</f>
        <v>GBC 75030 KBB CRISTAL COCINA GAS</v>
      </c>
      <c r="I7" s="199" t="s">
        <v>1541</v>
      </c>
      <c r="J7" s="232" t="s">
        <v>1046</v>
      </c>
      <c r="K7" s="232">
        <v>45826</v>
      </c>
      <c r="L7" s="199" t="s">
        <v>25</v>
      </c>
      <c r="M7" s="199" t="s">
        <v>63</v>
      </c>
      <c r="N7" s="199" t="s">
        <v>63</v>
      </c>
      <c r="O7" s="200" t="s">
        <v>1048</v>
      </c>
      <c r="P7" s="199" t="s">
        <v>24</v>
      </c>
      <c r="Q7" s="202">
        <f t="shared" ref="Q7:Q38" si="1">B7-1</f>
        <v>45858</v>
      </c>
      <c r="R7" s="203" t="s">
        <v>1053</v>
      </c>
      <c r="S7" s="204">
        <v>102688365</v>
      </c>
      <c r="T7" s="196" t="s">
        <v>1568</v>
      </c>
    </row>
    <row r="8" spans="1:20" s="5" customFormat="1" ht="20">
      <c r="A8" s="196">
        <v>2</v>
      </c>
      <c r="B8" s="225">
        <v>45859</v>
      </c>
      <c r="C8" s="238" t="s">
        <v>1049</v>
      </c>
      <c r="D8" s="238" t="s">
        <v>1050</v>
      </c>
      <c r="E8" s="226">
        <v>992666015</v>
      </c>
      <c r="F8" s="196" t="s">
        <v>1569</v>
      </c>
      <c r="G8" s="196">
        <v>112950020</v>
      </c>
      <c r="H8" s="199" t="str">
        <f t="shared" si="0"/>
        <v>DVN 74030 TCL BK CAMPANA (110V-60HZ) C/KIT</v>
      </c>
      <c r="I8" s="199" t="s">
        <v>1541</v>
      </c>
      <c r="J8" s="232" t="s">
        <v>1046</v>
      </c>
      <c r="K8" s="232">
        <v>45826</v>
      </c>
      <c r="L8" s="199" t="s">
        <v>25</v>
      </c>
      <c r="M8" s="199" t="s">
        <v>63</v>
      </c>
      <c r="N8" s="199" t="s">
        <v>63</v>
      </c>
      <c r="O8" s="200" t="s">
        <v>1051</v>
      </c>
      <c r="P8" s="199" t="s">
        <v>24</v>
      </c>
      <c r="Q8" s="202">
        <f t="shared" si="1"/>
        <v>45858</v>
      </c>
      <c r="R8" s="203" t="s">
        <v>1053</v>
      </c>
      <c r="S8" s="204">
        <v>102688365</v>
      </c>
      <c r="T8" s="196" t="s">
        <v>1568</v>
      </c>
    </row>
    <row r="9" spans="1:20" s="5" customFormat="1" ht="20">
      <c r="A9" s="196">
        <v>3</v>
      </c>
      <c r="B9" s="225">
        <v>45859</v>
      </c>
      <c r="C9" s="238" t="s">
        <v>1049</v>
      </c>
      <c r="D9" s="238" t="s">
        <v>1050</v>
      </c>
      <c r="E9" s="226">
        <v>992666015</v>
      </c>
      <c r="F9" s="196" t="s">
        <v>1569</v>
      </c>
      <c r="G9" s="196">
        <v>111000051</v>
      </c>
      <c r="H9" s="199" t="str">
        <f t="shared" si="0"/>
        <v>HLB 8416 "AIR FRY" - HORNO ELEC</v>
      </c>
      <c r="I9" s="199" t="s">
        <v>1541</v>
      </c>
      <c r="J9" s="232" t="s">
        <v>1046</v>
      </c>
      <c r="K9" s="232">
        <v>45826</v>
      </c>
      <c r="L9" s="199" t="s">
        <v>25</v>
      </c>
      <c r="M9" s="199" t="s">
        <v>63</v>
      </c>
      <c r="N9" s="199" t="s">
        <v>63</v>
      </c>
      <c r="O9" s="200" t="s">
        <v>1052</v>
      </c>
      <c r="P9" s="199" t="s">
        <v>24</v>
      </c>
      <c r="Q9" s="202">
        <f t="shared" si="1"/>
        <v>45858</v>
      </c>
      <c r="R9" s="203" t="s">
        <v>1053</v>
      </c>
      <c r="S9" s="204">
        <v>102688365</v>
      </c>
      <c r="T9" s="196" t="s">
        <v>1568</v>
      </c>
    </row>
    <row r="10" spans="1:20" s="5" customFormat="1" ht="20">
      <c r="A10" s="196">
        <v>4</v>
      </c>
      <c r="B10" s="205">
        <v>45859</v>
      </c>
      <c r="C10" s="241" t="s">
        <v>1144</v>
      </c>
      <c r="D10" s="234" t="s">
        <v>1563</v>
      </c>
      <c r="E10" s="207">
        <v>999079486</v>
      </c>
      <c r="F10" s="196" t="s">
        <v>1570</v>
      </c>
      <c r="G10" s="206">
        <v>112580027</v>
      </c>
      <c r="H10" s="199" t="str">
        <f t="shared" si="0"/>
        <v>GBC 75030 KBB CRISTAL COCINA GAS</v>
      </c>
      <c r="I10" s="199" t="s">
        <v>1543</v>
      </c>
      <c r="J10" s="200" t="s">
        <v>1061</v>
      </c>
      <c r="K10" s="205">
        <v>45842</v>
      </c>
      <c r="L10" s="196" t="s">
        <v>25</v>
      </c>
      <c r="M10" s="196" t="s">
        <v>24</v>
      </c>
      <c r="N10" s="196" t="s">
        <v>24</v>
      </c>
      <c r="O10" s="206" t="s">
        <v>1149</v>
      </c>
      <c r="P10" s="196" t="s">
        <v>24</v>
      </c>
      <c r="Q10" s="202">
        <f t="shared" si="1"/>
        <v>45858</v>
      </c>
      <c r="R10" s="244" t="s">
        <v>1564</v>
      </c>
      <c r="S10" s="208" t="s">
        <v>1146</v>
      </c>
      <c r="T10" s="196" t="s">
        <v>1571</v>
      </c>
    </row>
    <row r="11" spans="1:20" s="5" customFormat="1" ht="20">
      <c r="A11" s="196">
        <v>5</v>
      </c>
      <c r="B11" s="205">
        <v>45859</v>
      </c>
      <c r="C11" s="241" t="s">
        <v>1151</v>
      </c>
      <c r="D11" s="234" t="s">
        <v>1565</v>
      </c>
      <c r="E11" s="207">
        <v>989302476</v>
      </c>
      <c r="F11" s="196" t="s">
        <v>1570</v>
      </c>
      <c r="G11" s="206">
        <v>40584305</v>
      </c>
      <c r="H11" s="199" t="str">
        <f t="shared" si="0"/>
        <v>ML 822 BIS - MICROONDAS (112030008)</v>
      </c>
      <c r="I11" s="199" t="s">
        <v>1543</v>
      </c>
      <c r="J11" s="200" t="s">
        <v>1216</v>
      </c>
      <c r="K11" s="205">
        <v>45036</v>
      </c>
      <c r="L11" s="196" t="s">
        <v>25</v>
      </c>
      <c r="M11" s="196" t="s">
        <v>24</v>
      </c>
      <c r="N11" s="196" t="s">
        <v>24</v>
      </c>
      <c r="O11" s="206" t="s">
        <v>1150</v>
      </c>
      <c r="P11" s="196" t="s">
        <v>24</v>
      </c>
      <c r="Q11" s="202">
        <f t="shared" si="1"/>
        <v>45858</v>
      </c>
      <c r="R11" s="244" t="s">
        <v>1566</v>
      </c>
      <c r="S11" s="208" t="s">
        <v>1153</v>
      </c>
      <c r="T11" s="196" t="s">
        <v>1572</v>
      </c>
    </row>
    <row r="12" spans="1:20" s="5" customFormat="1" ht="23" customHeight="1">
      <c r="A12" s="196">
        <v>6</v>
      </c>
      <c r="B12" s="225">
        <v>45859</v>
      </c>
      <c r="C12" s="238" t="s">
        <v>1175</v>
      </c>
      <c r="D12" s="238" t="s">
        <v>1176</v>
      </c>
      <c r="E12" s="226">
        <v>984803493</v>
      </c>
      <c r="F12" s="196" t="s">
        <v>1569</v>
      </c>
      <c r="G12" s="196">
        <v>112930047</v>
      </c>
      <c r="H12" s="199" t="str">
        <f t="shared" si="0"/>
        <v>DVT 98660 TRL BK</v>
      </c>
      <c r="I12" s="199" t="s">
        <v>1541</v>
      </c>
      <c r="J12" s="225" t="s">
        <v>1172</v>
      </c>
      <c r="K12" s="225">
        <v>45860</v>
      </c>
      <c r="L12" s="196" t="s">
        <v>25</v>
      </c>
      <c r="M12" s="196" t="s">
        <v>24</v>
      </c>
      <c r="N12" s="196" t="s">
        <v>24</v>
      </c>
      <c r="O12" s="225" t="s">
        <v>1174</v>
      </c>
      <c r="P12" s="196" t="s">
        <v>24</v>
      </c>
      <c r="Q12" s="202">
        <f t="shared" si="1"/>
        <v>45858</v>
      </c>
      <c r="R12" s="227" t="s">
        <v>1178</v>
      </c>
      <c r="S12" s="211" t="s">
        <v>1177</v>
      </c>
      <c r="T12" s="196" t="s">
        <v>1568</v>
      </c>
    </row>
    <row r="13" spans="1:20" s="5" customFormat="1" ht="20">
      <c r="A13" s="196">
        <v>7</v>
      </c>
      <c r="B13" s="225">
        <v>45859</v>
      </c>
      <c r="C13" s="238" t="s">
        <v>1181</v>
      </c>
      <c r="D13" s="238" t="s">
        <v>1182</v>
      </c>
      <c r="E13" s="226">
        <v>74112308</v>
      </c>
      <c r="F13" s="196" t="s">
        <v>1569</v>
      </c>
      <c r="G13" s="196">
        <v>112570128</v>
      </c>
      <c r="H13" s="199" t="str">
        <f t="shared" si="0"/>
        <v>JZC 96342 BBB BK (LAT) COCINA MIXTA GAS - INDUCCION</v>
      </c>
      <c r="I13" s="199" t="s">
        <v>1541</v>
      </c>
      <c r="J13" s="225" t="s">
        <v>1046</v>
      </c>
      <c r="K13" s="225">
        <v>45853</v>
      </c>
      <c r="L13" s="196" t="s">
        <v>25</v>
      </c>
      <c r="M13" s="196" t="s">
        <v>24</v>
      </c>
      <c r="N13" s="196" t="s">
        <v>24</v>
      </c>
      <c r="O13" s="225" t="s">
        <v>1180</v>
      </c>
      <c r="P13" s="196" t="s">
        <v>24</v>
      </c>
      <c r="Q13" s="202">
        <f t="shared" si="1"/>
        <v>45858</v>
      </c>
      <c r="R13" s="227" t="s">
        <v>1184</v>
      </c>
      <c r="S13" s="211" t="s">
        <v>1183</v>
      </c>
      <c r="T13" s="196" t="s">
        <v>1568</v>
      </c>
    </row>
    <row r="14" spans="1:20" s="5" customFormat="1" ht="20">
      <c r="A14" s="196">
        <v>8</v>
      </c>
      <c r="B14" s="225">
        <v>45859</v>
      </c>
      <c r="C14" s="238" t="s">
        <v>1187</v>
      </c>
      <c r="D14" s="238" t="s">
        <v>1093</v>
      </c>
      <c r="E14" s="226">
        <v>992161609</v>
      </c>
      <c r="F14" s="196" t="s">
        <v>1569</v>
      </c>
      <c r="G14" s="196">
        <v>40782128</v>
      </c>
      <c r="H14" s="199" t="str">
        <f t="shared" si="0"/>
        <v>DW8 57 FIM-D LAVAVAJILLAS</v>
      </c>
      <c r="I14" s="199" t="s">
        <v>1541</v>
      </c>
      <c r="J14" s="225" t="s">
        <v>1172</v>
      </c>
      <c r="K14" s="225">
        <v>45622</v>
      </c>
      <c r="L14" s="196" t="s">
        <v>25</v>
      </c>
      <c r="M14" s="196" t="s">
        <v>24</v>
      </c>
      <c r="N14" s="196" t="s">
        <v>24</v>
      </c>
      <c r="O14" s="228" t="s">
        <v>1186</v>
      </c>
      <c r="P14" s="196" t="s">
        <v>24</v>
      </c>
      <c r="Q14" s="202">
        <f t="shared" si="1"/>
        <v>45858</v>
      </c>
      <c r="R14" s="227" t="s">
        <v>1189</v>
      </c>
      <c r="S14" s="211" t="s">
        <v>1188</v>
      </c>
      <c r="T14" s="196" t="s">
        <v>1568</v>
      </c>
    </row>
    <row r="15" spans="1:20" s="5" customFormat="1" ht="20">
      <c r="A15" s="196">
        <v>9</v>
      </c>
      <c r="B15" s="225">
        <v>45859</v>
      </c>
      <c r="C15" s="238" t="s">
        <v>1192</v>
      </c>
      <c r="D15" s="238" t="s">
        <v>1193</v>
      </c>
      <c r="E15" s="226">
        <v>984179773</v>
      </c>
      <c r="F15" s="196" t="s">
        <v>1569</v>
      </c>
      <c r="G15" s="196">
        <v>112610069</v>
      </c>
      <c r="H15" s="199" t="str">
        <f t="shared" si="0"/>
        <v>GSC 75330 XBA IX (LAT) COCINA INOX</v>
      </c>
      <c r="I15" s="199" t="s">
        <v>1541</v>
      </c>
      <c r="J15" s="225" t="s">
        <v>1061</v>
      </c>
      <c r="K15" s="225">
        <v>45853</v>
      </c>
      <c r="L15" s="196" t="s">
        <v>25</v>
      </c>
      <c r="M15" s="196" t="s">
        <v>24</v>
      </c>
      <c r="N15" s="196" t="s">
        <v>24</v>
      </c>
      <c r="O15" s="225" t="s">
        <v>1191</v>
      </c>
      <c r="P15" s="196" t="s">
        <v>24</v>
      </c>
      <c r="Q15" s="202">
        <f t="shared" si="1"/>
        <v>45858</v>
      </c>
      <c r="R15" s="227" t="s">
        <v>1195</v>
      </c>
      <c r="S15" s="211" t="s">
        <v>1194</v>
      </c>
      <c r="T15" s="196" t="s">
        <v>1568</v>
      </c>
    </row>
    <row r="16" spans="1:20" s="5" customFormat="1" ht="20">
      <c r="A16" s="196">
        <v>10</v>
      </c>
      <c r="B16" s="197">
        <v>45860</v>
      </c>
      <c r="C16" s="234" t="s">
        <v>1066</v>
      </c>
      <c r="D16" s="234" t="s">
        <v>1067</v>
      </c>
      <c r="E16" s="198">
        <v>999167603</v>
      </c>
      <c r="F16" s="196" t="s">
        <v>1569</v>
      </c>
      <c r="G16" s="196">
        <v>111000051</v>
      </c>
      <c r="H16" s="199" t="str">
        <f t="shared" si="0"/>
        <v>HLB 8416 "AIR FRY" - HORNO ELEC</v>
      </c>
      <c r="I16" s="199" t="s">
        <v>1541</v>
      </c>
      <c r="J16" s="200" t="s">
        <v>1061</v>
      </c>
      <c r="K16" s="201">
        <v>45829</v>
      </c>
      <c r="L16" s="199" t="s">
        <v>25</v>
      </c>
      <c r="M16" s="199" t="s">
        <v>63</v>
      </c>
      <c r="N16" s="199" t="s">
        <v>63</v>
      </c>
      <c r="O16" s="200" t="s">
        <v>1063</v>
      </c>
      <c r="P16" s="199" t="s">
        <v>24</v>
      </c>
      <c r="Q16" s="202">
        <f t="shared" si="1"/>
        <v>45859</v>
      </c>
      <c r="R16" s="203" t="s">
        <v>1069</v>
      </c>
      <c r="S16" s="230" t="s">
        <v>1068</v>
      </c>
      <c r="T16" s="196" t="s">
        <v>1568</v>
      </c>
    </row>
    <row r="17" spans="1:20" s="5" customFormat="1" ht="20">
      <c r="A17" s="196">
        <v>11</v>
      </c>
      <c r="B17" s="197">
        <v>45860</v>
      </c>
      <c r="C17" s="234" t="s">
        <v>1066</v>
      </c>
      <c r="D17" s="234" t="s">
        <v>1067</v>
      </c>
      <c r="E17" s="198">
        <v>999167603</v>
      </c>
      <c r="F17" s="196" t="s">
        <v>1569</v>
      </c>
      <c r="G17" s="198">
        <v>112580058</v>
      </c>
      <c r="H17" s="199" t="str">
        <f t="shared" si="0"/>
        <v>GBC 95030 KBB BK COCINA GAS</v>
      </c>
      <c r="I17" s="199" t="s">
        <v>1541</v>
      </c>
      <c r="J17" s="200" t="s">
        <v>1061</v>
      </c>
      <c r="K17" s="201">
        <v>45829</v>
      </c>
      <c r="L17" s="199" t="s">
        <v>25</v>
      </c>
      <c r="M17" s="199" t="s">
        <v>63</v>
      </c>
      <c r="N17" s="199" t="s">
        <v>63</v>
      </c>
      <c r="O17" s="200" t="s">
        <v>1064</v>
      </c>
      <c r="P17" s="199" t="s">
        <v>24</v>
      </c>
      <c r="Q17" s="202">
        <f t="shared" si="1"/>
        <v>45859</v>
      </c>
      <c r="R17" s="203" t="s">
        <v>1069</v>
      </c>
      <c r="S17" s="230" t="s">
        <v>1068</v>
      </c>
      <c r="T17" s="196" t="s">
        <v>1568</v>
      </c>
    </row>
    <row r="18" spans="1:20" s="5" customFormat="1" ht="25" customHeight="1">
      <c r="A18" s="196">
        <v>12</v>
      </c>
      <c r="B18" s="197">
        <v>45860</v>
      </c>
      <c r="C18" s="234" t="s">
        <v>1066</v>
      </c>
      <c r="D18" s="234" t="s">
        <v>1067</v>
      </c>
      <c r="E18" s="198">
        <v>999167603</v>
      </c>
      <c r="F18" s="196" t="s">
        <v>1569</v>
      </c>
      <c r="G18" s="198">
        <v>40466111</v>
      </c>
      <c r="H18" s="199" t="str">
        <f t="shared" si="0"/>
        <v>C 910 NEGRA CAMPANA (110V-60HZ) C/KIT</v>
      </c>
      <c r="I18" s="199" t="s">
        <v>1541</v>
      </c>
      <c r="J18" s="200" t="s">
        <v>1061</v>
      </c>
      <c r="K18" s="201">
        <v>45853</v>
      </c>
      <c r="L18" s="199" t="s">
        <v>25</v>
      </c>
      <c r="M18" s="199" t="s">
        <v>63</v>
      </c>
      <c r="N18" s="199" t="s">
        <v>63</v>
      </c>
      <c r="O18" s="200" t="s">
        <v>1065</v>
      </c>
      <c r="P18" s="199" t="s">
        <v>24</v>
      </c>
      <c r="Q18" s="202">
        <f t="shared" si="1"/>
        <v>45859</v>
      </c>
      <c r="R18" s="203" t="s">
        <v>1069</v>
      </c>
      <c r="S18" s="230" t="s">
        <v>1068</v>
      </c>
      <c r="T18" s="196" t="s">
        <v>1568</v>
      </c>
    </row>
    <row r="19" spans="1:20" s="5" customFormat="1" ht="20">
      <c r="A19" s="196">
        <v>13</v>
      </c>
      <c r="B19" s="197">
        <v>45860</v>
      </c>
      <c r="C19" s="234" t="s">
        <v>1075</v>
      </c>
      <c r="D19" s="234" t="s">
        <v>1076</v>
      </c>
      <c r="E19" s="198">
        <v>992536257</v>
      </c>
      <c r="F19" s="196" t="s">
        <v>1569</v>
      </c>
      <c r="G19" s="198">
        <v>113430051</v>
      </c>
      <c r="H19" s="199" t="str">
        <f t="shared" si="0"/>
        <v>RMF 77960 GBK MX REFRIGERADORA</v>
      </c>
      <c r="I19" s="199" t="s">
        <v>1541</v>
      </c>
      <c r="J19" s="200" t="s">
        <v>1046</v>
      </c>
      <c r="K19" s="201">
        <v>45850</v>
      </c>
      <c r="L19" s="199" t="s">
        <v>25</v>
      </c>
      <c r="M19" s="199" t="s">
        <v>63</v>
      </c>
      <c r="N19" s="199" t="s">
        <v>63</v>
      </c>
      <c r="O19" s="200" t="s">
        <v>1072</v>
      </c>
      <c r="P19" s="199" t="s">
        <v>24</v>
      </c>
      <c r="Q19" s="202">
        <f t="shared" si="1"/>
        <v>45859</v>
      </c>
      <c r="R19" s="203" t="s">
        <v>1078</v>
      </c>
      <c r="S19" s="230" t="s">
        <v>1077</v>
      </c>
      <c r="T19" s="196" t="s">
        <v>1568</v>
      </c>
    </row>
    <row r="20" spans="1:20" s="5" customFormat="1" ht="20">
      <c r="A20" s="196">
        <v>14</v>
      </c>
      <c r="B20" s="197">
        <v>45860</v>
      </c>
      <c r="C20" s="234" t="s">
        <v>1075</v>
      </c>
      <c r="D20" s="234" t="s">
        <v>1076</v>
      </c>
      <c r="E20" s="198">
        <v>992536257</v>
      </c>
      <c r="F20" s="196" t="s">
        <v>1569</v>
      </c>
      <c r="G20" s="198">
        <v>40467305</v>
      </c>
      <c r="H20" s="199" t="str">
        <f t="shared" si="0"/>
        <v>C 710 NEGRA CAMPANA (110V-60HZ) C/KIT</v>
      </c>
      <c r="I20" s="199" t="s">
        <v>1541</v>
      </c>
      <c r="J20" s="200" t="s">
        <v>1046</v>
      </c>
      <c r="K20" s="201">
        <v>45808</v>
      </c>
      <c r="L20" s="199" t="s">
        <v>25</v>
      </c>
      <c r="M20" s="199" t="s">
        <v>63</v>
      </c>
      <c r="N20" s="199" t="s">
        <v>63</v>
      </c>
      <c r="O20" s="200" t="s">
        <v>1073</v>
      </c>
      <c r="P20" s="199" t="s">
        <v>24</v>
      </c>
      <c r="Q20" s="202">
        <f t="shared" si="1"/>
        <v>45859</v>
      </c>
      <c r="R20" s="203" t="s">
        <v>1078</v>
      </c>
      <c r="S20" s="230" t="s">
        <v>1077</v>
      </c>
      <c r="T20" s="196" t="s">
        <v>1568</v>
      </c>
    </row>
    <row r="21" spans="1:20" s="5" customFormat="1" ht="20">
      <c r="A21" s="196">
        <v>15</v>
      </c>
      <c r="B21" s="197">
        <v>45860</v>
      </c>
      <c r="C21" s="234" t="s">
        <v>1075</v>
      </c>
      <c r="D21" s="234" t="s">
        <v>1076</v>
      </c>
      <c r="E21" s="198">
        <v>992536257</v>
      </c>
      <c r="F21" s="196" t="s">
        <v>1569</v>
      </c>
      <c r="G21" s="198">
        <v>112580017</v>
      </c>
      <c r="H21" s="199" t="str">
        <f t="shared" si="0"/>
        <v>GBC 64000 KBB CRISTAL COCINA GAS</v>
      </c>
      <c r="I21" s="199" t="s">
        <v>1541</v>
      </c>
      <c r="J21" s="200" t="s">
        <v>1046</v>
      </c>
      <c r="K21" s="201">
        <v>45808</v>
      </c>
      <c r="L21" s="199" t="s">
        <v>25</v>
      </c>
      <c r="M21" s="199" t="s">
        <v>63</v>
      </c>
      <c r="N21" s="199" t="s">
        <v>63</v>
      </c>
      <c r="O21" s="200" t="s">
        <v>1074</v>
      </c>
      <c r="P21" s="199" t="s">
        <v>24</v>
      </c>
      <c r="Q21" s="202">
        <f t="shared" si="1"/>
        <v>45859</v>
      </c>
      <c r="R21" s="203" t="s">
        <v>1078</v>
      </c>
      <c r="S21" s="230" t="s">
        <v>1077</v>
      </c>
      <c r="T21" s="196" t="s">
        <v>1568</v>
      </c>
    </row>
    <row r="22" spans="1:20" s="5" customFormat="1" ht="20">
      <c r="A22" s="196">
        <v>16</v>
      </c>
      <c r="B22" s="197">
        <v>45860</v>
      </c>
      <c r="C22" s="234" t="s">
        <v>1083</v>
      </c>
      <c r="D22" s="234" t="s">
        <v>1084</v>
      </c>
      <c r="E22" s="198">
        <v>993040205</v>
      </c>
      <c r="F22" s="196" t="s">
        <v>1569</v>
      </c>
      <c r="G22" s="198">
        <v>112570125</v>
      </c>
      <c r="H22" s="199" t="str">
        <f t="shared" si="0"/>
        <v>JZC 95314 ABB BK (LAT) COCINA MIXTA GAS - INDUCCION (40213032)</v>
      </c>
      <c r="I22" s="199" t="s">
        <v>1541</v>
      </c>
      <c r="J22" s="200" t="s">
        <v>1046</v>
      </c>
      <c r="K22" s="201">
        <v>45834</v>
      </c>
      <c r="L22" s="199" t="s">
        <v>25</v>
      </c>
      <c r="M22" s="199" t="s">
        <v>63</v>
      </c>
      <c r="N22" s="199" t="s">
        <v>63</v>
      </c>
      <c r="O22" s="200" t="s">
        <v>1081</v>
      </c>
      <c r="P22" s="199" t="s">
        <v>24</v>
      </c>
      <c r="Q22" s="202">
        <f t="shared" si="1"/>
        <v>45859</v>
      </c>
      <c r="R22" s="203" t="s">
        <v>1086</v>
      </c>
      <c r="S22" s="230" t="s">
        <v>1085</v>
      </c>
      <c r="T22" s="196" t="s">
        <v>1568</v>
      </c>
    </row>
    <row r="23" spans="1:20" s="5" customFormat="1" ht="20">
      <c r="A23" s="196">
        <v>17</v>
      </c>
      <c r="B23" s="197">
        <v>45860</v>
      </c>
      <c r="C23" s="234" t="s">
        <v>1083</v>
      </c>
      <c r="D23" s="234" t="s">
        <v>1084</v>
      </c>
      <c r="E23" s="198">
        <v>993040205</v>
      </c>
      <c r="F23" s="196" t="s">
        <v>1569</v>
      </c>
      <c r="G23" s="198">
        <v>111000050</v>
      </c>
      <c r="H23" s="199" t="str">
        <f t="shared" si="0"/>
        <v>HLB 8510 P "MAESTRO PIZZA"</v>
      </c>
      <c r="I23" s="199" t="s">
        <v>1541</v>
      </c>
      <c r="J23" s="200" t="s">
        <v>1046</v>
      </c>
      <c r="K23" s="201">
        <v>45834</v>
      </c>
      <c r="L23" s="199" t="s">
        <v>25</v>
      </c>
      <c r="M23" s="199" t="s">
        <v>63</v>
      </c>
      <c r="N23" s="199" t="s">
        <v>63</v>
      </c>
      <c r="O23" s="200" t="s">
        <v>1082</v>
      </c>
      <c r="P23" s="199" t="s">
        <v>24</v>
      </c>
      <c r="Q23" s="202">
        <f t="shared" si="1"/>
        <v>45859</v>
      </c>
      <c r="R23" s="203" t="s">
        <v>1086</v>
      </c>
      <c r="S23" s="230" t="s">
        <v>1085</v>
      </c>
      <c r="T23" s="196" t="s">
        <v>1568</v>
      </c>
    </row>
    <row r="24" spans="1:20" s="5" customFormat="1" ht="20">
      <c r="A24" s="196">
        <v>18</v>
      </c>
      <c r="B24" s="205">
        <v>45861</v>
      </c>
      <c r="C24" s="241" t="s">
        <v>1157</v>
      </c>
      <c r="D24" s="234" t="s">
        <v>1560</v>
      </c>
      <c r="E24" s="207">
        <v>987233336</v>
      </c>
      <c r="F24" s="196" t="s">
        <v>1570</v>
      </c>
      <c r="G24" s="206">
        <v>40461543</v>
      </c>
      <c r="H24" s="199" t="str">
        <f t="shared" si="0"/>
        <v>C 6310 INOX CAMPANA (110V-60HZ) C/KIT</v>
      </c>
      <c r="I24" s="199" t="s">
        <v>1543</v>
      </c>
      <c r="J24" s="200" t="s">
        <v>1046</v>
      </c>
      <c r="K24" s="205">
        <v>45712</v>
      </c>
      <c r="L24" s="196" t="s">
        <v>25</v>
      </c>
      <c r="M24" s="196" t="s">
        <v>24</v>
      </c>
      <c r="N24" s="196" t="s">
        <v>24</v>
      </c>
      <c r="O24" s="206" t="s">
        <v>1156</v>
      </c>
      <c r="P24" s="196" t="s">
        <v>24</v>
      </c>
      <c r="Q24" s="202">
        <f t="shared" si="1"/>
        <v>45860</v>
      </c>
      <c r="R24" s="244" t="s">
        <v>1561</v>
      </c>
      <c r="S24" s="208" t="s">
        <v>1159</v>
      </c>
      <c r="T24" s="196" t="s">
        <v>1573</v>
      </c>
    </row>
    <row r="25" spans="1:20" s="5" customFormat="1" ht="20">
      <c r="A25" s="196">
        <v>19</v>
      </c>
      <c r="B25" s="205">
        <v>45861</v>
      </c>
      <c r="C25" s="241" t="s">
        <v>1163</v>
      </c>
      <c r="D25" s="234" t="s">
        <v>1067</v>
      </c>
      <c r="E25" s="207">
        <v>984014275</v>
      </c>
      <c r="F25" s="196" t="s">
        <v>1570</v>
      </c>
      <c r="G25" s="206">
        <v>40782127</v>
      </c>
      <c r="H25" s="199" t="str">
        <f t="shared" si="0"/>
        <v>DW8 57 FIM PANELABLE LAVAVAJILLAS</v>
      </c>
      <c r="I25" s="199" t="s">
        <v>1543</v>
      </c>
      <c r="J25" s="200" t="s">
        <v>1046</v>
      </c>
      <c r="K25" s="205">
        <v>45689</v>
      </c>
      <c r="L25" s="196" t="s">
        <v>25</v>
      </c>
      <c r="M25" s="196" t="s">
        <v>24</v>
      </c>
      <c r="N25" s="196" t="s">
        <v>24</v>
      </c>
      <c r="O25" s="206" t="s">
        <v>1162</v>
      </c>
      <c r="P25" s="196" t="s">
        <v>24</v>
      </c>
      <c r="Q25" s="202">
        <f t="shared" si="1"/>
        <v>45860</v>
      </c>
      <c r="R25" s="244" t="s">
        <v>1562</v>
      </c>
      <c r="S25" s="208" t="s">
        <v>1165</v>
      </c>
      <c r="T25" s="196" t="s">
        <v>1164</v>
      </c>
    </row>
    <row r="26" spans="1:20" s="5" customFormat="1" ht="24" customHeight="1">
      <c r="A26" s="196">
        <v>20</v>
      </c>
      <c r="B26" s="225">
        <v>45861</v>
      </c>
      <c r="C26" s="238" t="s">
        <v>1199</v>
      </c>
      <c r="D26" s="238" t="s">
        <v>1067</v>
      </c>
      <c r="E26" s="226">
        <v>983258999</v>
      </c>
      <c r="F26" s="196" t="s">
        <v>1569</v>
      </c>
      <c r="G26" s="196">
        <v>114270008</v>
      </c>
      <c r="H26" s="199" t="str">
        <f t="shared" si="0"/>
        <v>LAVAVAJILLAS DFI 46900 120 60 WH</v>
      </c>
      <c r="I26" s="199" t="s">
        <v>1541</v>
      </c>
      <c r="J26" s="225" t="s">
        <v>1196</v>
      </c>
      <c r="K26" s="225">
        <v>45853</v>
      </c>
      <c r="L26" s="196" t="s">
        <v>25</v>
      </c>
      <c r="M26" s="196" t="s">
        <v>24</v>
      </c>
      <c r="N26" s="196" t="s">
        <v>24</v>
      </c>
      <c r="O26" s="225" t="s">
        <v>1198</v>
      </c>
      <c r="P26" s="196" t="s">
        <v>24</v>
      </c>
      <c r="Q26" s="202">
        <f t="shared" si="1"/>
        <v>45860</v>
      </c>
      <c r="R26" s="227" t="s">
        <v>1201</v>
      </c>
      <c r="S26" s="211" t="s">
        <v>1200</v>
      </c>
      <c r="T26" s="196" t="s">
        <v>1568</v>
      </c>
    </row>
    <row r="27" spans="1:20" s="5" customFormat="1" ht="20">
      <c r="A27" s="196">
        <v>21</v>
      </c>
      <c r="B27" s="197">
        <v>45862</v>
      </c>
      <c r="C27" s="234" t="s">
        <v>1057</v>
      </c>
      <c r="D27" s="234" t="s">
        <v>1058</v>
      </c>
      <c r="E27" s="198">
        <v>939621899</v>
      </c>
      <c r="F27" s="196" t="s">
        <v>1569</v>
      </c>
      <c r="G27" s="198">
        <v>112030008</v>
      </c>
      <c r="H27" s="199" t="str">
        <f t="shared" si="0"/>
        <v>ML 8220 BIS - MICROONDAS</v>
      </c>
      <c r="I27" s="199" t="s">
        <v>1541</v>
      </c>
      <c r="J27" s="200" t="s">
        <v>1046</v>
      </c>
      <c r="K27" s="201">
        <v>45861</v>
      </c>
      <c r="L27" s="199" t="s">
        <v>25</v>
      </c>
      <c r="M27" s="199" t="s">
        <v>63</v>
      </c>
      <c r="N27" s="199" t="s">
        <v>63</v>
      </c>
      <c r="O27" s="200" t="s">
        <v>1055</v>
      </c>
      <c r="P27" s="199" t="s">
        <v>24</v>
      </c>
      <c r="Q27" s="202">
        <f t="shared" si="1"/>
        <v>45861</v>
      </c>
      <c r="R27" s="203" t="s">
        <v>1059</v>
      </c>
      <c r="S27" s="230" t="s">
        <v>1060</v>
      </c>
      <c r="T27" s="196" t="s">
        <v>1568</v>
      </c>
    </row>
    <row r="28" spans="1:20" s="5" customFormat="1" ht="20">
      <c r="A28" s="196">
        <v>22</v>
      </c>
      <c r="B28" s="197">
        <v>45862</v>
      </c>
      <c r="C28" s="234" t="s">
        <v>1057</v>
      </c>
      <c r="D28" s="234" t="s">
        <v>1058</v>
      </c>
      <c r="E28" s="198">
        <v>939621899</v>
      </c>
      <c r="F28" s="196" t="s">
        <v>1569</v>
      </c>
      <c r="G28" s="198">
        <v>40480321</v>
      </c>
      <c r="H28" s="199" t="str">
        <f t="shared" si="0"/>
        <v>CC 480 ISLA INOX CAMPANA (40480301)</v>
      </c>
      <c r="I28" s="199" t="s">
        <v>1541</v>
      </c>
      <c r="J28" s="200" t="s">
        <v>1046</v>
      </c>
      <c r="K28" s="201">
        <v>45861</v>
      </c>
      <c r="L28" s="199" t="s">
        <v>25</v>
      </c>
      <c r="M28" s="199" t="s">
        <v>63</v>
      </c>
      <c r="N28" s="199" t="s">
        <v>63</v>
      </c>
      <c r="O28" s="200" t="s">
        <v>1056</v>
      </c>
      <c r="P28" s="199" t="s">
        <v>24</v>
      </c>
      <c r="Q28" s="202">
        <f t="shared" si="1"/>
        <v>45861</v>
      </c>
      <c r="R28" s="203" t="s">
        <v>1059</v>
      </c>
      <c r="S28" s="230" t="s">
        <v>1060</v>
      </c>
      <c r="T28" s="196" t="s">
        <v>1568</v>
      </c>
    </row>
    <row r="29" spans="1:20" s="5" customFormat="1" ht="20">
      <c r="A29" s="196">
        <v>23</v>
      </c>
      <c r="B29" s="197">
        <v>45862</v>
      </c>
      <c r="C29" s="234" t="s">
        <v>1092</v>
      </c>
      <c r="D29" s="234" t="s">
        <v>1093</v>
      </c>
      <c r="E29" s="198">
        <v>997438391</v>
      </c>
      <c r="F29" s="196" t="s">
        <v>1569</v>
      </c>
      <c r="G29" s="198">
        <v>112730000</v>
      </c>
      <c r="H29" s="199" t="str">
        <f t="shared" si="0"/>
        <v>AFF 87601 HOOD IN HOB</v>
      </c>
      <c r="I29" s="199" t="s">
        <v>1541</v>
      </c>
      <c r="J29" s="200" t="s">
        <v>1046</v>
      </c>
      <c r="K29" s="201">
        <v>45619</v>
      </c>
      <c r="L29" s="199" t="s">
        <v>25</v>
      </c>
      <c r="M29" s="199" t="s">
        <v>63</v>
      </c>
      <c r="N29" s="199" t="s">
        <v>63</v>
      </c>
      <c r="O29" s="231" t="s">
        <v>1088</v>
      </c>
      <c r="P29" s="199" t="s">
        <v>24</v>
      </c>
      <c r="Q29" s="202">
        <f t="shared" si="1"/>
        <v>45861</v>
      </c>
      <c r="R29" s="203" t="s">
        <v>1095</v>
      </c>
      <c r="S29" s="230" t="s">
        <v>1094</v>
      </c>
      <c r="T29" s="196" t="s">
        <v>1568</v>
      </c>
    </row>
    <row r="30" spans="1:20" s="5" customFormat="1" ht="20">
      <c r="A30" s="196">
        <v>24</v>
      </c>
      <c r="B30" s="197">
        <v>45862</v>
      </c>
      <c r="C30" s="234" t="s">
        <v>1092</v>
      </c>
      <c r="D30" s="234" t="s">
        <v>1093</v>
      </c>
      <c r="E30" s="198">
        <v>997438391</v>
      </c>
      <c r="F30" s="196" t="s">
        <v>1569</v>
      </c>
      <c r="G30" s="198">
        <v>40782128</v>
      </c>
      <c r="H30" s="199" t="str">
        <f t="shared" si="0"/>
        <v>DW8 57 FIM-D LAVAVAJILLAS</v>
      </c>
      <c r="I30" s="199" t="s">
        <v>1541</v>
      </c>
      <c r="J30" s="200" t="s">
        <v>1046</v>
      </c>
      <c r="K30" s="201">
        <v>45619</v>
      </c>
      <c r="L30" s="199" t="s">
        <v>25</v>
      </c>
      <c r="M30" s="199" t="s">
        <v>63</v>
      </c>
      <c r="N30" s="199" t="s">
        <v>63</v>
      </c>
      <c r="O30" s="200" t="s">
        <v>1089</v>
      </c>
      <c r="P30" s="199" t="s">
        <v>24</v>
      </c>
      <c r="Q30" s="202">
        <f t="shared" si="1"/>
        <v>45861</v>
      </c>
      <c r="R30" s="203" t="s">
        <v>1095</v>
      </c>
      <c r="S30" s="230" t="s">
        <v>1094</v>
      </c>
      <c r="T30" s="196" t="s">
        <v>1568</v>
      </c>
    </row>
    <row r="31" spans="1:20" s="5" customFormat="1" ht="20">
      <c r="A31" s="196">
        <v>25</v>
      </c>
      <c r="B31" s="197">
        <v>45862</v>
      </c>
      <c r="C31" s="234" t="s">
        <v>1092</v>
      </c>
      <c r="D31" s="234" t="s">
        <v>1093</v>
      </c>
      <c r="E31" s="198">
        <v>997438391</v>
      </c>
      <c r="F31" s="196" t="s">
        <v>1569</v>
      </c>
      <c r="G31" s="198">
        <v>111010028</v>
      </c>
      <c r="H31" s="199" t="str">
        <f t="shared" si="0"/>
        <v>HSB 646 "AIRFRY" - HORNO ELEC</v>
      </c>
      <c r="I31" s="199" t="s">
        <v>1541</v>
      </c>
      <c r="J31" s="200" t="s">
        <v>1046</v>
      </c>
      <c r="K31" s="201">
        <v>45610</v>
      </c>
      <c r="L31" s="199" t="s">
        <v>25</v>
      </c>
      <c r="M31" s="199" t="s">
        <v>63</v>
      </c>
      <c r="N31" s="199" t="s">
        <v>63</v>
      </c>
      <c r="O31" s="200" t="s">
        <v>1090</v>
      </c>
      <c r="P31" s="199" t="s">
        <v>24</v>
      </c>
      <c r="Q31" s="202">
        <f t="shared" si="1"/>
        <v>45861</v>
      </c>
      <c r="R31" s="203" t="s">
        <v>1095</v>
      </c>
      <c r="S31" s="230" t="s">
        <v>1094</v>
      </c>
      <c r="T31" s="196" t="s">
        <v>1568</v>
      </c>
    </row>
    <row r="32" spans="1:20" s="5" customFormat="1" ht="20">
      <c r="A32" s="196">
        <v>26</v>
      </c>
      <c r="B32" s="197">
        <v>45862</v>
      </c>
      <c r="C32" s="234" t="s">
        <v>1092</v>
      </c>
      <c r="D32" s="234" t="s">
        <v>1093</v>
      </c>
      <c r="E32" s="198">
        <v>997438391</v>
      </c>
      <c r="F32" s="196" t="s">
        <v>1569</v>
      </c>
      <c r="G32" s="198">
        <v>40584012</v>
      </c>
      <c r="H32" s="199" t="str">
        <f t="shared" si="0"/>
        <v>MS 620 BIS - MICROONDAS</v>
      </c>
      <c r="I32" s="199" t="s">
        <v>1541</v>
      </c>
      <c r="J32" s="200" t="s">
        <v>1046</v>
      </c>
      <c r="K32" s="201">
        <v>45610</v>
      </c>
      <c r="L32" s="199" t="s">
        <v>25</v>
      </c>
      <c r="M32" s="199" t="s">
        <v>63</v>
      </c>
      <c r="N32" s="199" t="s">
        <v>63</v>
      </c>
      <c r="O32" s="200" t="s">
        <v>1091</v>
      </c>
      <c r="P32" s="199" t="s">
        <v>24</v>
      </c>
      <c r="Q32" s="202">
        <f t="shared" si="1"/>
        <v>45861</v>
      </c>
      <c r="R32" s="203" t="s">
        <v>1095</v>
      </c>
      <c r="S32" s="230" t="s">
        <v>1094</v>
      </c>
      <c r="T32" s="196" t="s">
        <v>1568</v>
      </c>
    </row>
    <row r="33" spans="1:20" s="5" customFormat="1" ht="20">
      <c r="A33" s="196">
        <v>27</v>
      </c>
      <c r="B33" s="205">
        <v>45862</v>
      </c>
      <c r="C33" s="241" t="s">
        <v>1132</v>
      </c>
      <c r="D33" s="234" t="s">
        <v>1558</v>
      </c>
      <c r="E33" s="207">
        <v>989739803</v>
      </c>
      <c r="F33" s="196" t="s">
        <v>1570</v>
      </c>
      <c r="G33" s="206">
        <v>111570003</v>
      </c>
      <c r="H33" s="199" t="str">
        <f t="shared" si="0"/>
        <v>COCINA GOURMET BBQ 4100 G SS</v>
      </c>
      <c r="I33" s="199" t="s">
        <v>1543</v>
      </c>
      <c r="J33" s="200" t="s">
        <v>1046</v>
      </c>
      <c r="K33" s="205">
        <v>45799</v>
      </c>
      <c r="L33" s="196" t="s">
        <v>25</v>
      </c>
      <c r="M33" s="196" t="s">
        <v>24</v>
      </c>
      <c r="N33" s="196" t="s">
        <v>24</v>
      </c>
      <c r="O33" s="206" t="s">
        <v>1131</v>
      </c>
      <c r="P33" s="196" t="s">
        <v>24</v>
      </c>
      <c r="Q33" s="202">
        <f t="shared" si="1"/>
        <v>45861</v>
      </c>
      <c r="R33" s="244" t="s">
        <v>1559</v>
      </c>
      <c r="S33" s="208" t="s">
        <v>1134</v>
      </c>
      <c r="T33" s="196" t="s">
        <v>1574</v>
      </c>
    </row>
    <row r="34" spans="1:20" s="5" customFormat="1" ht="20">
      <c r="A34" s="196">
        <v>28</v>
      </c>
      <c r="B34" s="225">
        <v>45862</v>
      </c>
      <c r="C34" s="238" t="s">
        <v>1205</v>
      </c>
      <c r="D34" s="238" t="s">
        <v>1206</v>
      </c>
      <c r="E34" s="226" t="s">
        <v>1207</v>
      </c>
      <c r="F34" s="196" t="s">
        <v>1569</v>
      </c>
      <c r="G34" s="196">
        <v>40467320</v>
      </c>
      <c r="H34" s="199" t="str">
        <f t="shared" si="0"/>
        <v>C 7310 INOX CAMPANA (110V-60HZ) C/KIT</v>
      </c>
      <c r="I34" s="199" t="s">
        <v>1541</v>
      </c>
      <c r="J34" s="225" t="s">
        <v>1061</v>
      </c>
      <c r="K34" s="225" t="s">
        <v>1202</v>
      </c>
      <c r="L34" s="196" t="s">
        <v>25</v>
      </c>
      <c r="M34" s="196" t="s">
        <v>24</v>
      </c>
      <c r="N34" s="196" t="s">
        <v>24</v>
      </c>
      <c r="O34" s="225" t="s">
        <v>1204</v>
      </c>
      <c r="P34" s="196" t="s">
        <v>24</v>
      </c>
      <c r="Q34" s="202">
        <f t="shared" si="1"/>
        <v>45861</v>
      </c>
      <c r="R34" s="227" t="s">
        <v>1209</v>
      </c>
      <c r="S34" s="211" t="s">
        <v>1208</v>
      </c>
      <c r="T34" s="196" t="s">
        <v>1568</v>
      </c>
    </row>
    <row r="35" spans="1:20" s="5" customFormat="1" ht="20">
      <c r="A35" s="196">
        <v>29</v>
      </c>
      <c r="B35" s="197">
        <v>45863</v>
      </c>
      <c r="C35" s="234" t="s">
        <v>1100</v>
      </c>
      <c r="D35" s="234" t="s">
        <v>1101</v>
      </c>
      <c r="E35" s="198">
        <v>997377346</v>
      </c>
      <c r="F35" s="196" t="s">
        <v>1569</v>
      </c>
      <c r="G35" s="198">
        <v>40467320</v>
      </c>
      <c r="H35" s="199" t="str">
        <f t="shared" si="0"/>
        <v>C 7310 INOX CAMPANA (110V-60HZ) C/KIT</v>
      </c>
      <c r="I35" s="199" t="s">
        <v>1541</v>
      </c>
      <c r="J35" s="200" t="s">
        <v>1046</v>
      </c>
      <c r="K35" s="201">
        <v>45841</v>
      </c>
      <c r="L35" s="199" t="s">
        <v>25</v>
      </c>
      <c r="M35" s="199" t="s">
        <v>63</v>
      </c>
      <c r="N35" s="199" t="s">
        <v>63</v>
      </c>
      <c r="O35" s="200" t="s">
        <v>1098</v>
      </c>
      <c r="P35" s="199" t="s">
        <v>24</v>
      </c>
      <c r="Q35" s="202">
        <f t="shared" si="1"/>
        <v>45862</v>
      </c>
      <c r="R35" s="203" t="s">
        <v>1103</v>
      </c>
      <c r="S35" s="230" t="s">
        <v>1102</v>
      </c>
      <c r="T35" s="196" t="s">
        <v>1568</v>
      </c>
    </row>
    <row r="36" spans="1:20" s="5" customFormat="1" ht="20">
      <c r="A36" s="196">
        <v>30</v>
      </c>
      <c r="B36" s="197">
        <v>45863</v>
      </c>
      <c r="C36" s="234" t="s">
        <v>1100</v>
      </c>
      <c r="D36" s="234" t="s">
        <v>1101</v>
      </c>
      <c r="E36" s="198">
        <v>997377346</v>
      </c>
      <c r="F36" s="196" t="s">
        <v>1569</v>
      </c>
      <c r="G36" s="198">
        <v>112580027</v>
      </c>
      <c r="H36" s="199" t="str">
        <f t="shared" si="0"/>
        <v>GBC 75030 KBB CRISTAL COCINA GAS</v>
      </c>
      <c r="I36" s="199" t="s">
        <v>1541</v>
      </c>
      <c r="J36" s="200" t="s">
        <v>1046</v>
      </c>
      <c r="K36" s="201">
        <v>45841</v>
      </c>
      <c r="L36" s="199" t="s">
        <v>25</v>
      </c>
      <c r="M36" s="199" t="s">
        <v>63</v>
      </c>
      <c r="N36" s="199" t="s">
        <v>63</v>
      </c>
      <c r="O36" s="200" t="s">
        <v>1099</v>
      </c>
      <c r="P36" s="199" t="s">
        <v>24</v>
      </c>
      <c r="Q36" s="202">
        <f t="shared" si="1"/>
        <v>45862</v>
      </c>
      <c r="R36" s="203" t="s">
        <v>1103</v>
      </c>
      <c r="S36" s="230" t="s">
        <v>1102</v>
      </c>
      <c r="T36" s="196" t="s">
        <v>1568</v>
      </c>
    </row>
    <row r="37" spans="1:20" s="5" customFormat="1" ht="20">
      <c r="A37" s="196">
        <v>31</v>
      </c>
      <c r="B37" s="197">
        <v>45863</v>
      </c>
      <c r="C37" s="234" t="s">
        <v>1110</v>
      </c>
      <c r="D37" s="234" t="s">
        <v>1111</v>
      </c>
      <c r="E37" s="198">
        <v>998636499</v>
      </c>
      <c r="F37" s="196" t="s">
        <v>1569</v>
      </c>
      <c r="G37" s="198">
        <v>41560142</v>
      </c>
      <c r="H37" s="199" t="str">
        <f t="shared" si="0"/>
        <v>HSB 635 INOX HORNO ELEC (41521810)</v>
      </c>
      <c r="I37" s="199" t="s">
        <v>1541</v>
      </c>
      <c r="J37" s="200" t="s">
        <v>1046</v>
      </c>
      <c r="K37" s="201">
        <v>45845</v>
      </c>
      <c r="L37" s="199" t="s">
        <v>25</v>
      </c>
      <c r="M37" s="199" t="s">
        <v>63</v>
      </c>
      <c r="N37" s="199" t="s">
        <v>63</v>
      </c>
      <c r="O37" s="200" t="s">
        <v>1106</v>
      </c>
      <c r="P37" s="199" t="s">
        <v>24</v>
      </c>
      <c r="Q37" s="202">
        <f t="shared" si="1"/>
        <v>45862</v>
      </c>
      <c r="R37" s="203" t="s">
        <v>1113</v>
      </c>
      <c r="S37" s="230" t="s">
        <v>1112</v>
      </c>
      <c r="T37" s="196" t="s">
        <v>1568</v>
      </c>
    </row>
    <row r="38" spans="1:20" s="5" customFormat="1" ht="21" customHeight="1">
      <c r="A38" s="196">
        <v>32</v>
      </c>
      <c r="B38" s="197">
        <v>45863</v>
      </c>
      <c r="C38" s="234" t="s">
        <v>1110</v>
      </c>
      <c r="D38" s="234" t="s">
        <v>1111</v>
      </c>
      <c r="E38" s="198">
        <v>998636499</v>
      </c>
      <c r="F38" s="196" t="s">
        <v>1569</v>
      </c>
      <c r="G38" s="198">
        <v>112030008</v>
      </c>
      <c r="H38" s="199" t="str">
        <f t="shared" si="0"/>
        <v>ML 8220 BIS - MICROONDAS</v>
      </c>
      <c r="I38" s="199" t="s">
        <v>1541</v>
      </c>
      <c r="J38" s="200" t="s">
        <v>1046</v>
      </c>
      <c r="K38" s="201">
        <v>45845</v>
      </c>
      <c r="L38" s="199" t="s">
        <v>25</v>
      </c>
      <c r="M38" s="199" t="s">
        <v>63</v>
      </c>
      <c r="N38" s="199" t="s">
        <v>63</v>
      </c>
      <c r="O38" s="200" t="s">
        <v>1107</v>
      </c>
      <c r="P38" s="199" t="s">
        <v>24</v>
      </c>
      <c r="Q38" s="202">
        <f t="shared" si="1"/>
        <v>45862</v>
      </c>
      <c r="R38" s="203" t="s">
        <v>1113</v>
      </c>
      <c r="S38" s="230" t="s">
        <v>1112</v>
      </c>
      <c r="T38" s="196" t="s">
        <v>1568</v>
      </c>
    </row>
    <row r="39" spans="1:20" s="5" customFormat="1" ht="20">
      <c r="A39" s="196">
        <v>33</v>
      </c>
      <c r="B39" s="197">
        <v>45863</v>
      </c>
      <c r="C39" s="234" t="s">
        <v>1110</v>
      </c>
      <c r="D39" s="234" t="s">
        <v>1111</v>
      </c>
      <c r="E39" s="198">
        <v>998636499</v>
      </c>
      <c r="F39" s="196" t="s">
        <v>1569</v>
      </c>
      <c r="G39" s="198">
        <v>112570073</v>
      </c>
      <c r="H39" s="199" t="str">
        <f t="shared" ref="H39:H70" si="2">VLOOKUP(G39,PROD,2,FALSE)</f>
        <v>GZC 96310 XBB CRISTAL COCINA GAS</v>
      </c>
      <c r="I39" s="199" t="s">
        <v>1541</v>
      </c>
      <c r="J39" s="200" t="s">
        <v>1046</v>
      </c>
      <c r="K39" s="201">
        <v>45845</v>
      </c>
      <c r="L39" s="199" t="s">
        <v>25</v>
      </c>
      <c r="M39" s="199" t="s">
        <v>63</v>
      </c>
      <c r="N39" s="199" t="s">
        <v>63</v>
      </c>
      <c r="O39" s="200" t="s">
        <v>1108</v>
      </c>
      <c r="P39" s="199" t="s">
        <v>24</v>
      </c>
      <c r="Q39" s="202">
        <f t="shared" ref="Q39:Q70" si="3">B39-1</f>
        <v>45862</v>
      </c>
      <c r="R39" s="203" t="s">
        <v>1113</v>
      </c>
      <c r="S39" s="230" t="s">
        <v>1112</v>
      </c>
      <c r="T39" s="196" t="s">
        <v>1568</v>
      </c>
    </row>
    <row r="40" spans="1:20" s="5" customFormat="1" ht="20">
      <c r="A40" s="196">
        <v>34</v>
      </c>
      <c r="B40" s="197">
        <v>45863</v>
      </c>
      <c r="C40" s="234" t="s">
        <v>1110</v>
      </c>
      <c r="D40" s="234" t="s">
        <v>1111</v>
      </c>
      <c r="E40" s="198">
        <v>998636499</v>
      </c>
      <c r="F40" s="196" t="s">
        <v>1569</v>
      </c>
      <c r="G40" s="198">
        <v>40483182</v>
      </c>
      <c r="H40" s="199" t="str">
        <f t="shared" si="2"/>
        <v>CUERPO DPL ISLA 1180</v>
      </c>
      <c r="I40" s="199" t="s">
        <v>1541</v>
      </c>
      <c r="J40" s="200" t="s">
        <v>1104</v>
      </c>
      <c r="K40" s="201">
        <v>45846</v>
      </c>
      <c r="L40" s="199" t="s">
        <v>25</v>
      </c>
      <c r="M40" s="199" t="s">
        <v>63</v>
      </c>
      <c r="N40" s="199" t="s">
        <v>63</v>
      </c>
      <c r="O40" s="200" t="s">
        <v>1109</v>
      </c>
      <c r="P40" s="199" t="s">
        <v>24</v>
      </c>
      <c r="Q40" s="202">
        <f t="shared" si="3"/>
        <v>45862</v>
      </c>
      <c r="R40" s="203" t="s">
        <v>1113</v>
      </c>
      <c r="S40" s="230" t="s">
        <v>1112</v>
      </c>
      <c r="T40" s="196" t="s">
        <v>1568</v>
      </c>
    </row>
    <row r="41" spans="1:20" s="5" customFormat="1" ht="20">
      <c r="A41" s="196">
        <v>35</v>
      </c>
      <c r="B41" s="205">
        <v>45863</v>
      </c>
      <c r="C41" s="241" t="s">
        <v>1139</v>
      </c>
      <c r="D41" s="234" t="s">
        <v>1556</v>
      </c>
      <c r="E41" s="207">
        <v>998411628</v>
      </c>
      <c r="F41" s="196" t="s">
        <v>1570</v>
      </c>
      <c r="G41" s="206">
        <v>112510035</v>
      </c>
      <c r="H41" s="199" t="str">
        <f t="shared" si="2"/>
        <v>IZF 64440 MSP BK COCINA INDUCCION</v>
      </c>
      <c r="I41" s="199" t="s">
        <v>1543</v>
      </c>
      <c r="J41" s="200" t="s">
        <v>1210</v>
      </c>
      <c r="K41" s="205">
        <v>44974</v>
      </c>
      <c r="L41" s="196" t="s">
        <v>25</v>
      </c>
      <c r="M41" s="196" t="s">
        <v>24</v>
      </c>
      <c r="N41" s="196" t="s">
        <v>24</v>
      </c>
      <c r="O41" s="206" t="s">
        <v>1138</v>
      </c>
      <c r="P41" s="196" t="s">
        <v>24</v>
      </c>
      <c r="Q41" s="202">
        <f t="shared" si="3"/>
        <v>45862</v>
      </c>
      <c r="R41" s="244" t="s">
        <v>1557</v>
      </c>
      <c r="S41" s="208" t="s">
        <v>1141</v>
      </c>
      <c r="T41" s="196" t="s">
        <v>1575</v>
      </c>
    </row>
    <row r="42" spans="1:20" s="5" customFormat="1" ht="20">
      <c r="A42" s="196">
        <v>36</v>
      </c>
      <c r="B42" s="225">
        <v>45863</v>
      </c>
      <c r="C42" s="238" t="s">
        <v>1212</v>
      </c>
      <c r="D42" s="238" t="s">
        <v>1213</v>
      </c>
      <c r="E42" s="226">
        <v>963162005</v>
      </c>
      <c r="F42" s="196" t="s">
        <v>1569</v>
      </c>
      <c r="G42" s="196">
        <v>112570128</v>
      </c>
      <c r="H42" s="199" t="str">
        <f t="shared" si="2"/>
        <v>JZC 96342 BBB BK (LAT) COCINA MIXTA GAS - INDUCCION</v>
      </c>
      <c r="I42" s="199" t="s">
        <v>1541</v>
      </c>
      <c r="J42" s="225" t="s">
        <v>1210</v>
      </c>
      <c r="K42" s="225">
        <v>45827</v>
      </c>
      <c r="L42" s="196" t="s">
        <v>25</v>
      </c>
      <c r="M42" s="196" t="s">
        <v>24</v>
      </c>
      <c r="N42" s="196" t="s">
        <v>24</v>
      </c>
      <c r="O42" s="206" t="s">
        <v>1459</v>
      </c>
      <c r="P42" s="196" t="s">
        <v>24</v>
      </c>
      <c r="Q42" s="202">
        <f t="shared" si="3"/>
        <v>45862</v>
      </c>
      <c r="R42" s="227" t="s">
        <v>1215</v>
      </c>
      <c r="S42" s="211" t="s">
        <v>1214</v>
      </c>
      <c r="T42" s="196" t="s">
        <v>1568</v>
      </c>
    </row>
    <row r="43" spans="1:20" s="5" customFormat="1" ht="20">
      <c r="A43" s="196">
        <v>37</v>
      </c>
      <c r="B43" s="225">
        <v>45863</v>
      </c>
      <c r="C43" s="238" t="s">
        <v>1219</v>
      </c>
      <c r="D43" s="238" t="s">
        <v>1220</v>
      </c>
      <c r="E43" s="226">
        <v>980841484</v>
      </c>
      <c r="F43" s="196" t="s">
        <v>1569</v>
      </c>
      <c r="G43" s="196">
        <v>112500048</v>
      </c>
      <c r="H43" s="199" t="str">
        <f t="shared" si="2"/>
        <v>IZS 97630 MST COCINA INDUCCION</v>
      </c>
      <c r="I43" s="199" t="s">
        <v>1541</v>
      </c>
      <c r="J43" s="225" t="s">
        <v>1216</v>
      </c>
      <c r="K43" s="225">
        <v>45563</v>
      </c>
      <c r="L43" s="196" t="s">
        <v>25</v>
      </c>
      <c r="M43" s="196" t="s">
        <v>24</v>
      </c>
      <c r="N43" s="196" t="s">
        <v>24</v>
      </c>
      <c r="O43" s="225" t="s">
        <v>1218</v>
      </c>
      <c r="P43" s="196" t="s">
        <v>24</v>
      </c>
      <c r="Q43" s="202">
        <f t="shared" si="3"/>
        <v>45862</v>
      </c>
      <c r="R43" s="227" t="s">
        <v>1222</v>
      </c>
      <c r="S43" s="211" t="s">
        <v>1221</v>
      </c>
      <c r="T43" s="196" t="s">
        <v>1568</v>
      </c>
    </row>
    <row r="44" spans="1:20" s="5" customFormat="1" ht="20">
      <c r="A44" s="196">
        <v>38</v>
      </c>
      <c r="B44" s="197">
        <v>45866</v>
      </c>
      <c r="C44" s="234" t="s">
        <v>1119</v>
      </c>
      <c r="D44" s="234" t="s">
        <v>1076</v>
      </c>
      <c r="E44" s="198">
        <v>998823465</v>
      </c>
      <c r="F44" s="196" t="s">
        <v>1569</v>
      </c>
      <c r="G44" s="198">
        <v>40297052</v>
      </c>
      <c r="H44" s="199" t="str">
        <f t="shared" si="2"/>
        <v>COCINA A GAS FS3RL966GGX</v>
      </c>
      <c r="I44" s="199" t="s">
        <v>1541</v>
      </c>
      <c r="J44" s="200" t="s">
        <v>1172</v>
      </c>
      <c r="K44" s="201">
        <v>45622</v>
      </c>
      <c r="L44" s="199" t="s">
        <v>25</v>
      </c>
      <c r="M44" s="199" t="s">
        <v>63</v>
      </c>
      <c r="N44" s="199" t="s">
        <v>63</v>
      </c>
      <c r="O44" s="200" t="s">
        <v>1115</v>
      </c>
      <c r="P44" s="199" t="s">
        <v>24</v>
      </c>
      <c r="Q44" s="202">
        <f t="shared" si="3"/>
        <v>45865</v>
      </c>
      <c r="R44" s="203" t="s">
        <v>1120</v>
      </c>
      <c r="S44" s="204">
        <v>301639735</v>
      </c>
      <c r="T44" s="196" t="s">
        <v>1568</v>
      </c>
    </row>
    <row r="45" spans="1:20" s="5" customFormat="1" ht="20">
      <c r="A45" s="196">
        <v>39</v>
      </c>
      <c r="B45" s="197">
        <v>45866</v>
      </c>
      <c r="C45" s="234" t="s">
        <v>1119</v>
      </c>
      <c r="D45" s="234" t="s">
        <v>1076</v>
      </c>
      <c r="E45" s="198">
        <v>998823465</v>
      </c>
      <c r="F45" s="196" t="s">
        <v>1569</v>
      </c>
      <c r="G45" s="198">
        <v>113430018</v>
      </c>
      <c r="H45" s="199" t="str">
        <f t="shared" si="2"/>
        <v>RLF 74920 SS SBS REFRIGERADORA</v>
      </c>
      <c r="I45" s="199" t="s">
        <v>1541</v>
      </c>
      <c r="J45" s="200" t="s">
        <v>1172</v>
      </c>
      <c r="K45" s="201">
        <v>45622</v>
      </c>
      <c r="L45" s="199" t="s">
        <v>25</v>
      </c>
      <c r="M45" s="199" t="s">
        <v>63</v>
      </c>
      <c r="N45" s="199" t="s">
        <v>63</v>
      </c>
      <c r="O45" s="200" t="s">
        <v>1116</v>
      </c>
      <c r="P45" s="199" t="s">
        <v>24</v>
      </c>
      <c r="Q45" s="202">
        <f t="shared" si="3"/>
        <v>45865</v>
      </c>
      <c r="R45" s="203" t="s">
        <v>1120</v>
      </c>
      <c r="S45" s="204">
        <v>301639735</v>
      </c>
      <c r="T45" s="196" t="s">
        <v>1568</v>
      </c>
    </row>
    <row r="46" spans="1:20" s="5" customFormat="1" ht="20">
      <c r="A46" s="196">
        <v>40</v>
      </c>
      <c r="B46" s="197">
        <v>45866</v>
      </c>
      <c r="C46" s="234" t="s">
        <v>1119</v>
      </c>
      <c r="D46" s="234" t="s">
        <v>1076</v>
      </c>
      <c r="E46" s="198">
        <v>998823465</v>
      </c>
      <c r="F46" s="196" t="s">
        <v>1569</v>
      </c>
      <c r="G46" s="198">
        <v>111010028</v>
      </c>
      <c r="H46" s="199" t="str">
        <f t="shared" si="2"/>
        <v>HSB 646 "AIRFRY" - HORNO ELEC</v>
      </c>
      <c r="I46" s="199" t="s">
        <v>1541</v>
      </c>
      <c r="J46" s="200" t="s">
        <v>1172</v>
      </c>
      <c r="K46" s="201">
        <v>45622</v>
      </c>
      <c r="L46" s="199" t="s">
        <v>25</v>
      </c>
      <c r="M46" s="199" t="s">
        <v>63</v>
      </c>
      <c r="N46" s="199" t="s">
        <v>63</v>
      </c>
      <c r="O46" s="200" t="s">
        <v>1117</v>
      </c>
      <c r="P46" s="199" t="s">
        <v>24</v>
      </c>
      <c r="Q46" s="202">
        <f t="shared" si="3"/>
        <v>45865</v>
      </c>
      <c r="R46" s="203" t="s">
        <v>1120</v>
      </c>
      <c r="S46" s="204">
        <v>301639735</v>
      </c>
      <c r="T46" s="196" t="s">
        <v>1568</v>
      </c>
    </row>
    <row r="47" spans="1:20" s="5" customFormat="1" ht="20">
      <c r="A47" s="196">
        <v>41</v>
      </c>
      <c r="B47" s="197">
        <v>45866</v>
      </c>
      <c r="C47" s="234" t="s">
        <v>1119</v>
      </c>
      <c r="D47" s="234" t="s">
        <v>1076</v>
      </c>
      <c r="E47" s="198">
        <v>998823465</v>
      </c>
      <c r="F47" s="196" t="s">
        <v>1569</v>
      </c>
      <c r="G47" s="198">
        <v>40584105</v>
      </c>
      <c r="H47" s="199" t="str">
        <f t="shared" si="2"/>
        <v>MS 622 BIS - MICROONDAS</v>
      </c>
      <c r="I47" s="199" t="s">
        <v>1541</v>
      </c>
      <c r="J47" s="200" t="s">
        <v>1061</v>
      </c>
      <c r="K47" s="201">
        <v>45667</v>
      </c>
      <c r="L47" s="199" t="s">
        <v>25</v>
      </c>
      <c r="M47" s="199" t="s">
        <v>63</v>
      </c>
      <c r="N47" s="199" t="s">
        <v>63</v>
      </c>
      <c r="O47" s="200" t="s">
        <v>1118</v>
      </c>
      <c r="P47" s="199" t="s">
        <v>24</v>
      </c>
      <c r="Q47" s="202">
        <f t="shared" si="3"/>
        <v>45865</v>
      </c>
      <c r="R47" s="203" t="s">
        <v>1120</v>
      </c>
      <c r="S47" s="204">
        <v>301639735</v>
      </c>
      <c r="T47" s="196" t="s">
        <v>1568</v>
      </c>
    </row>
    <row r="48" spans="1:20" s="5" customFormat="1" ht="20">
      <c r="A48" s="196">
        <v>42</v>
      </c>
      <c r="B48" s="197">
        <v>45866</v>
      </c>
      <c r="C48" s="234" t="s">
        <v>1228</v>
      </c>
      <c r="D48" s="234" t="s">
        <v>1229</v>
      </c>
      <c r="E48" s="198">
        <v>991095384</v>
      </c>
      <c r="F48" s="196" t="s">
        <v>1569</v>
      </c>
      <c r="G48" s="216">
        <v>112570128</v>
      </c>
      <c r="H48" s="199" t="str">
        <f t="shared" si="2"/>
        <v>JZC 96342 BBB BK (LAT) COCINA MIXTA GAS - INDUCCION</v>
      </c>
      <c r="I48" s="199" t="s">
        <v>1541</v>
      </c>
      <c r="J48" s="200" t="s">
        <v>1046</v>
      </c>
      <c r="K48" s="201">
        <v>45731</v>
      </c>
      <c r="L48" s="199" t="s">
        <v>25</v>
      </c>
      <c r="M48" s="199" t="s">
        <v>63</v>
      </c>
      <c r="N48" s="199" t="s">
        <v>63</v>
      </c>
      <c r="O48" s="200" t="s">
        <v>1225</v>
      </c>
      <c r="P48" s="199" t="s">
        <v>24</v>
      </c>
      <c r="Q48" s="202">
        <f t="shared" si="3"/>
        <v>45865</v>
      </c>
      <c r="R48" s="203" t="s">
        <v>1230</v>
      </c>
      <c r="S48" s="204">
        <v>104934518</v>
      </c>
      <c r="T48" s="196" t="s">
        <v>1568</v>
      </c>
    </row>
    <row r="49" spans="1:20" s="5" customFormat="1" ht="20">
      <c r="A49" s="196">
        <v>43</v>
      </c>
      <c r="B49" s="197">
        <v>45866</v>
      </c>
      <c r="C49" s="234" t="s">
        <v>1228</v>
      </c>
      <c r="D49" s="234" t="s">
        <v>1229</v>
      </c>
      <c r="E49" s="198">
        <v>991095384</v>
      </c>
      <c r="F49" s="196" t="s">
        <v>1569</v>
      </c>
      <c r="G49" s="198">
        <v>111000078</v>
      </c>
      <c r="H49" s="199" t="str">
        <f t="shared" si="2"/>
        <v>HLB 8400 FBK HORNO ELEC</v>
      </c>
      <c r="I49" s="199" t="s">
        <v>1541</v>
      </c>
      <c r="J49" s="200" t="s">
        <v>1046</v>
      </c>
      <c r="K49" s="201">
        <v>45731</v>
      </c>
      <c r="L49" s="199" t="s">
        <v>25</v>
      </c>
      <c r="M49" s="199" t="s">
        <v>63</v>
      </c>
      <c r="N49" s="199" t="s">
        <v>63</v>
      </c>
      <c r="O49" s="200" t="s">
        <v>1226</v>
      </c>
      <c r="P49" s="199" t="s">
        <v>24</v>
      </c>
      <c r="Q49" s="202">
        <f t="shared" si="3"/>
        <v>45865</v>
      </c>
      <c r="R49" s="203" t="s">
        <v>1230</v>
      </c>
      <c r="S49" s="204">
        <v>104934518</v>
      </c>
      <c r="T49" s="196" t="s">
        <v>1568</v>
      </c>
    </row>
    <row r="50" spans="1:20" s="5" customFormat="1" ht="20">
      <c r="A50" s="196">
        <v>44</v>
      </c>
      <c r="B50" s="197">
        <v>45866</v>
      </c>
      <c r="C50" s="234" t="s">
        <v>1228</v>
      </c>
      <c r="D50" s="234" t="s">
        <v>1229</v>
      </c>
      <c r="E50" s="198">
        <v>991095384</v>
      </c>
      <c r="F50" s="196" t="s">
        <v>1569</v>
      </c>
      <c r="G50" s="198">
        <v>112030008</v>
      </c>
      <c r="H50" s="199" t="str">
        <f t="shared" si="2"/>
        <v>ML 8220 BIS - MICROONDAS</v>
      </c>
      <c r="I50" s="199" t="s">
        <v>1541</v>
      </c>
      <c r="J50" s="200" t="s">
        <v>1046</v>
      </c>
      <c r="K50" s="201">
        <v>45731</v>
      </c>
      <c r="L50" s="199" t="s">
        <v>25</v>
      </c>
      <c r="M50" s="199" t="s">
        <v>63</v>
      </c>
      <c r="N50" s="199" t="s">
        <v>63</v>
      </c>
      <c r="O50" s="200" t="s">
        <v>1227</v>
      </c>
      <c r="P50" s="199" t="s">
        <v>24</v>
      </c>
      <c r="Q50" s="202">
        <f t="shared" si="3"/>
        <v>45865</v>
      </c>
      <c r="R50" s="203" t="s">
        <v>1230</v>
      </c>
      <c r="S50" s="204">
        <v>104934518</v>
      </c>
      <c r="T50" s="196" t="s">
        <v>1568</v>
      </c>
    </row>
    <row r="51" spans="1:20" s="5" customFormat="1" ht="20">
      <c r="A51" s="196">
        <v>45</v>
      </c>
      <c r="B51" s="197">
        <v>45866</v>
      </c>
      <c r="C51" s="234" t="s">
        <v>1231</v>
      </c>
      <c r="D51" s="234" t="s">
        <v>1236</v>
      </c>
      <c r="E51" s="198">
        <v>978319576</v>
      </c>
      <c r="F51" s="196" t="s">
        <v>1569</v>
      </c>
      <c r="G51" s="198">
        <v>40466111</v>
      </c>
      <c r="H51" s="199" t="str">
        <f t="shared" si="2"/>
        <v>C 910 NEGRA CAMPANA (110V-60HZ) C/KIT</v>
      </c>
      <c r="I51" s="199" t="s">
        <v>1541</v>
      </c>
      <c r="J51" s="200" t="s">
        <v>1231</v>
      </c>
      <c r="K51" s="201">
        <v>45763</v>
      </c>
      <c r="L51" s="199" t="s">
        <v>25</v>
      </c>
      <c r="M51" s="199" t="s">
        <v>63</v>
      </c>
      <c r="N51" s="199" t="s">
        <v>63</v>
      </c>
      <c r="O51" s="200" t="s">
        <v>1233</v>
      </c>
      <c r="P51" s="199" t="s">
        <v>24</v>
      </c>
      <c r="Q51" s="202">
        <f t="shared" si="3"/>
        <v>45865</v>
      </c>
      <c r="R51" s="203" t="s">
        <v>1237</v>
      </c>
      <c r="S51" s="204">
        <v>106265895</v>
      </c>
      <c r="T51" s="196" t="s">
        <v>1568</v>
      </c>
    </row>
    <row r="52" spans="1:20" s="5" customFormat="1" ht="20">
      <c r="A52" s="196">
        <v>46</v>
      </c>
      <c r="B52" s="197">
        <v>45866</v>
      </c>
      <c r="C52" s="234" t="s">
        <v>1231</v>
      </c>
      <c r="D52" s="234" t="s">
        <v>1236</v>
      </c>
      <c r="E52" s="198">
        <v>978319576</v>
      </c>
      <c r="F52" s="196" t="s">
        <v>1569</v>
      </c>
      <c r="G52" s="198">
        <v>111020071</v>
      </c>
      <c r="H52" s="199" t="str">
        <f t="shared" si="2"/>
        <v>HBB 510 BK 220-240  50/60 HORNO ELEC</v>
      </c>
      <c r="I52" s="199" t="s">
        <v>1541</v>
      </c>
      <c r="J52" s="200" t="s">
        <v>1231</v>
      </c>
      <c r="K52" s="201">
        <v>45763</v>
      </c>
      <c r="L52" s="199" t="s">
        <v>25</v>
      </c>
      <c r="M52" s="199" t="s">
        <v>63</v>
      </c>
      <c r="N52" s="199" t="s">
        <v>63</v>
      </c>
      <c r="O52" s="200" t="s">
        <v>1234</v>
      </c>
      <c r="P52" s="199" t="s">
        <v>24</v>
      </c>
      <c r="Q52" s="202">
        <f t="shared" si="3"/>
        <v>45865</v>
      </c>
      <c r="R52" s="203" t="s">
        <v>1237</v>
      </c>
      <c r="S52" s="204">
        <v>106265895</v>
      </c>
      <c r="T52" s="196" t="s">
        <v>1568</v>
      </c>
    </row>
    <row r="53" spans="1:20" s="5" customFormat="1" ht="20">
      <c r="A53" s="196">
        <v>47</v>
      </c>
      <c r="B53" s="197">
        <v>45866</v>
      </c>
      <c r="C53" s="234" t="s">
        <v>1231</v>
      </c>
      <c r="D53" s="234" t="s">
        <v>1236</v>
      </c>
      <c r="E53" s="198">
        <v>978319576</v>
      </c>
      <c r="F53" s="196" t="s">
        <v>1569</v>
      </c>
      <c r="G53" s="198">
        <v>112580058</v>
      </c>
      <c r="H53" s="199" t="str">
        <f t="shared" si="2"/>
        <v>GBC 95030 KBB BK COCINA GAS</v>
      </c>
      <c r="I53" s="199" t="s">
        <v>1541</v>
      </c>
      <c r="J53" s="200" t="s">
        <v>1231</v>
      </c>
      <c r="K53" s="201">
        <v>45763</v>
      </c>
      <c r="L53" s="199" t="s">
        <v>25</v>
      </c>
      <c r="M53" s="199" t="s">
        <v>63</v>
      </c>
      <c r="N53" s="199" t="s">
        <v>63</v>
      </c>
      <c r="O53" s="200" t="s">
        <v>1235</v>
      </c>
      <c r="P53" s="199" t="s">
        <v>24</v>
      </c>
      <c r="Q53" s="202">
        <f t="shared" si="3"/>
        <v>45865</v>
      </c>
      <c r="R53" s="203" t="s">
        <v>1237</v>
      </c>
      <c r="S53" s="204">
        <v>106265895</v>
      </c>
      <c r="T53" s="196" t="s">
        <v>1568</v>
      </c>
    </row>
    <row r="54" spans="1:20" s="5" customFormat="1" ht="20">
      <c r="A54" s="196">
        <v>48</v>
      </c>
      <c r="B54" s="225">
        <v>45866</v>
      </c>
      <c r="C54" s="238" t="s">
        <v>1359</v>
      </c>
      <c r="D54" s="238" t="s">
        <v>1360</v>
      </c>
      <c r="E54" s="226">
        <v>968163216</v>
      </c>
      <c r="F54" s="196" t="s">
        <v>1569</v>
      </c>
      <c r="G54" s="196">
        <v>40466111</v>
      </c>
      <c r="H54" s="199" t="str">
        <f t="shared" si="2"/>
        <v>C 910 NEGRA CAMPANA (110V-60HZ) C/KIT</v>
      </c>
      <c r="I54" s="199" t="s">
        <v>1541</v>
      </c>
      <c r="J54" s="225" t="s">
        <v>1061</v>
      </c>
      <c r="K54" s="225">
        <v>45849</v>
      </c>
      <c r="L54" s="196" t="s">
        <v>25</v>
      </c>
      <c r="M54" s="196" t="s">
        <v>24</v>
      </c>
      <c r="N54" s="196" t="s">
        <v>24</v>
      </c>
      <c r="O54" s="225" t="s">
        <v>1358</v>
      </c>
      <c r="P54" s="196" t="s">
        <v>24</v>
      </c>
      <c r="Q54" s="202">
        <f t="shared" si="3"/>
        <v>45865</v>
      </c>
      <c r="R54" s="227" t="s">
        <v>1362</v>
      </c>
      <c r="S54" s="211" t="s">
        <v>1361</v>
      </c>
      <c r="T54" s="196" t="s">
        <v>1568</v>
      </c>
    </row>
    <row r="55" spans="1:20" s="5" customFormat="1" ht="20">
      <c r="A55" s="196">
        <v>49</v>
      </c>
      <c r="B55" s="225">
        <v>45866</v>
      </c>
      <c r="C55" s="238" t="s">
        <v>1365</v>
      </c>
      <c r="D55" s="238" t="s">
        <v>1366</v>
      </c>
      <c r="E55" s="226">
        <v>990335586</v>
      </c>
      <c r="F55" s="196" t="s">
        <v>1569</v>
      </c>
      <c r="G55" s="196">
        <v>40467320</v>
      </c>
      <c r="H55" s="199" t="str">
        <f t="shared" si="2"/>
        <v>C 7310 INOX CAMPANA (110V-60HZ) C/KIT</v>
      </c>
      <c r="I55" s="199" t="s">
        <v>1541</v>
      </c>
      <c r="J55" s="225" t="s">
        <v>1061</v>
      </c>
      <c r="K55" s="225">
        <v>45746</v>
      </c>
      <c r="L55" s="196" t="s">
        <v>25</v>
      </c>
      <c r="M55" s="196" t="s">
        <v>24</v>
      </c>
      <c r="N55" s="196" t="s">
        <v>24</v>
      </c>
      <c r="O55" s="225" t="s">
        <v>1364</v>
      </c>
      <c r="P55" s="196" t="s">
        <v>24</v>
      </c>
      <c r="Q55" s="202">
        <f t="shared" si="3"/>
        <v>45865</v>
      </c>
      <c r="R55" s="227" t="s">
        <v>1368</v>
      </c>
      <c r="S55" s="211" t="s">
        <v>1367</v>
      </c>
      <c r="T55" s="196" t="s">
        <v>1568</v>
      </c>
    </row>
    <row r="56" spans="1:20" s="5" customFormat="1" ht="20">
      <c r="A56" s="196">
        <v>50</v>
      </c>
      <c r="B56" s="213">
        <v>45866</v>
      </c>
      <c r="C56" s="236" t="s">
        <v>1046</v>
      </c>
      <c r="D56" s="236" t="s">
        <v>1170</v>
      </c>
      <c r="E56" s="215">
        <v>987515341</v>
      </c>
      <c r="F56" s="196" t="s">
        <v>1569</v>
      </c>
      <c r="G56" s="216">
        <v>111570002</v>
      </c>
      <c r="H56" s="199" t="str">
        <f t="shared" si="2"/>
        <v>COCINA GOURMET BBQ 3100 G BK-SS</v>
      </c>
      <c r="I56" s="199" t="s">
        <v>1541</v>
      </c>
      <c r="J56" s="214" t="s">
        <v>1024</v>
      </c>
      <c r="K56" s="213" t="s">
        <v>1024</v>
      </c>
      <c r="L56" s="196" t="s">
        <v>25</v>
      </c>
      <c r="M56" s="196" t="s">
        <v>24</v>
      </c>
      <c r="N56" s="196" t="s">
        <v>24</v>
      </c>
      <c r="O56" s="216" t="s">
        <v>1127</v>
      </c>
      <c r="P56" s="196" t="s">
        <v>24</v>
      </c>
      <c r="Q56" s="202">
        <f t="shared" si="3"/>
        <v>45865</v>
      </c>
      <c r="R56" s="217" t="s">
        <v>1130</v>
      </c>
      <c r="S56" s="229" t="s">
        <v>1129</v>
      </c>
      <c r="T56" s="196" t="s">
        <v>1568</v>
      </c>
    </row>
    <row r="57" spans="1:20" s="5" customFormat="1" ht="20">
      <c r="A57" s="196">
        <v>51</v>
      </c>
      <c r="B57" s="213">
        <v>45866</v>
      </c>
      <c r="C57" s="236" t="s">
        <v>1119</v>
      </c>
      <c r="D57" s="236" t="s">
        <v>1076</v>
      </c>
      <c r="E57" s="215">
        <v>998523465</v>
      </c>
      <c r="F57" s="196" t="s">
        <v>1569</v>
      </c>
      <c r="G57" s="216">
        <v>111570003</v>
      </c>
      <c r="H57" s="199" t="str">
        <f t="shared" si="2"/>
        <v>COCINA GOURMET BBQ 4100 G SS</v>
      </c>
      <c r="I57" s="199" t="s">
        <v>1541</v>
      </c>
      <c r="J57" s="214" t="s">
        <v>1061</v>
      </c>
      <c r="K57" s="213">
        <v>45824</v>
      </c>
      <c r="L57" s="196" t="s">
        <v>25</v>
      </c>
      <c r="M57" s="196" t="s">
        <v>24</v>
      </c>
      <c r="N57" s="196" t="s">
        <v>24</v>
      </c>
      <c r="O57" s="216" t="s">
        <v>1122</v>
      </c>
      <c r="P57" s="196" t="s">
        <v>24</v>
      </c>
      <c r="Q57" s="202">
        <f t="shared" si="3"/>
        <v>45865</v>
      </c>
      <c r="R57" s="217" t="s">
        <v>1124</v>
      </c>
      <c r="S57" s="229" t="s">
        <v>1123</v>
      </c>
      <c r="T57" s="196" t="s">
        <v>1568</v>
      </c>
    </row>
    <row r="58" spans="1:20" s="5" customFormat="1" ht="20">
      <c r="A58" s="196">
        <v>52</v>
      </c>
      <c r="B58" s="219">
        <v>45866</v>
      </c>
      <c r="C58" s="237" t="s">
        <v>1169</v>
      </c>
      <c r="D58" s="237" t="s">
        <v>1170</v>
      </c>
      <c r="E58" s="220" t="s">
        <v>1171</v>
      </c>
      <c r="F58" s="196" t="s">
        <v>1569</v>
      </c>
      <c r="G58" s="221">
        <v>112950021</v>
      </c>
      <c r="H58" s="199" t="str">
        <f t="shared" si="2"/>
        <v>DVN 94030 TCL BK CAMPANA (110V-60HZ) C/KIT</v>
      </c>
      <c r="I58" s="199" t="s">
        <v>1541</v>
      </c>
      <c r="J58" s="222" t="s">
        <v>1551</v>
      </c>
      <c r="K58" s="223">
        <v>45866</v>
      </c>
      <c r="L58" s="196" t="s">
        <v>25</v>
      </c>
      <c r="M58" s="196" t="s">
        <v>24</v>
      </c>
      <c r="N58" s="196" t="s">
        <v>24</v>
      </c>
      <c r="O58" s="224" t="s">
        <v>1168</v>
      </c>
      <c r="P58" s="196" t="s">
        <v>24</v>
      </c>
      <c r="Q58" s="202">
        <f t="shared" si="3"/>
        <v>45865</v>
      </c>
      <c r="R58" s="217" t="s">
        <v>1124</v>
      </c>
      <c r="S58" s="196">
        <v>105903785</v>
      </c>
      <c r="T58" s="196" t="s">
        <v>1568</v>
      </c>
    </row>
    <row r="59" spans="1:20" s="5" customFormat="1" ht="20">
      <c r="A59" s="196">
        <v>53</v>
      </c>
      <c r="B59" s="197">
        <v>45867</v>
      </c>
      <c r="C59" s="234" t="s">
        <v>1241</v>
      </c>
      <c r="D59" s="234" t="s">
        <v>1242</v>
      </c>
      <c r="E59" s="198">
        <v>967604796</v>
      </c>
      <c r="F59" s="196" t="s">
        <v>1569</v>
      </c>
      <c r="G59" s="198">
        <v>112580017</v>
      </c>
      <c r="H59" s="199" t="str">
        <f t="shared" si="2"/>
        <v>GBC 64000 KBB CRISTAL COCINA GAS</v>
      </c>
      <c r="I59" s="199" t="s">
        <v>1541</v>
      </c>
      <c r="J59" s="200" t="s">
        <v>1216</v>
      </c>
      <c r="K59" s="201">
        <v>45863</v>
      </c>
      <c r="L59" s="199" t="s">
        <v>25</v>
      </c>
      <c r="M59" s="199" t="s">
        <v>63</v>
      </c>
      <c r="N59" s="199" t="s">
        <v>63</v>
      </c>
      <c r="O59" s="200" t="s">
        <v>1239</v>
      </c>
      <c r="P59" s="199" t="s">
        <v>24</v>
      </c>
      <c r="Q59" s="202">
        <f t="shared" si="3"/>
        <v>45866</v>
      </c>
      <c r="R59" s="203" t="s">
        <v>1243</v>
      </c>
      <c r="S59" s="204">
        <v>1034114371</v>
      </c>
      <c r="T59" s="196" t="s">
        <v>1568</v>
      </c>
    </row>
    <row r="60" spans="1:20" s="5" customFormat="1" ht="20">
      <c r="A60" s="196">
        <v>54</v>
      </c>
      <c r="B60" s="197">
        <v>45867</v>
      </c>
      <c r="C60" s="234" t="s">
        <v>1241</v>
      </c>
      <c r="D60" s="234" t="s">
        <v>1242</v>
      </c>
      <c r="E60" s="198">
        <v>967604796</v>
      </c>
      <c r="F60" s="196" t="s">
        <v>1569</v>
      </c>
      <c r="G60" s="198">
        <v>111020071</v>
      </c>
      <c r="H60" s="199" t="str">
        <f t="shared" si="2"/>
        <v>HBB 510 BK 220-240  50/60 HORNO ELEC</v>
      </c>
      <c r="I60" s="199" t="s">
        <v>1541</v>
      </c>
      <c r="J60" s="200" t="s">
        <v>1216</v>
      </c>
      <c r="K60" s="201">
        <v>45863</v>
      </c>
      <c r="L60" s="199" t="s">
        <v>25</v>
      </c>
      <c r="M60" s="199" t="s">
        <v>63</v>
      </c>
      <c r="N60" s="199" t="s">
        <v>63</v>
      </c>
      <c r="O60" s="200" t="s">
        <v>1240</v>
      </c>
      <c r="P60" s="199" t="s">
        <v>24</v>
      </c>
      <c r="Q60" s="202">
        <f t="shared" si="3"/>
        <v>45866</v>
      </c>
      <c r="R60" s="203" t="s">
        <v>1243</v>
      </c>
      <c r="S60" s="204">
        <v>1034114371</v>
      </c>
      <c r="T60" s="196" t="s">
        <v>1568</v>
      </c>
    </row>
    <row r="61" spans="1:20" s="5" customFormat="1" ht="23" customHeight="1">
      <c r="A61" s="196">
        <v>55</v>
      </c>
      <c r="B61" s="197">
        <v>45868</v>
      </c>
      <c r="C61" s="234" t="s">
        <v>1247</v>
      </c>
      <c r="D61" s="234" t="s">
        <v>1248</v>
      </c>
      <c r="E61" s="198">
        <v>991703653</v>
      </c>
      <c r="F61" s="196" t="s">
        <v>1569</v>
      </c>
      <c r="G61" s="198">
        <v>112580058</v>
      </c>
      <c r="H61" s="199" t="str">
        <f t="shared" si="2"/>
        <v>GBC 95030 KBB BK COCINA GAS</v>
      </c>
      <c r="I61" s="199" t="s">
        <v>1541</v>
      </c>
      <c r="J61" s="200" t="s">
        <v>1244</v>
      </c>
      <c r="K61" s="201">
        <v>45814</v>
      </c>
      <c r="L61" s="199" t="s">
        <v>25</v>
      </c>
      <c r="M61" s="199" t="s">
        <v>63</v>
      </c>
      <c r="N61" s="199" t="s">
        <v>63</v>
      </c>
      <c r="O61" s="200" t="s">
        <v>1246</v>
      </c>
      <c r="P61" s="199" t="s">
        <v>24</v>
      </c>
      <c r="Q61" s="202">
        <f t="shared" si="3"/>
        <v>45867</v>
      </c>
      <c r="R61" s="203" t="s">
        <v>1249</v>
      </c>
      <c r="S61" s="204">
        <v>105036396</v>
      </c>
      <c r="T61" s="196" t="s">
        <v>1568</v>
      </c>
    </row>
    <row r="62" spans="1:20" s="5" customFormat="1" ht="20">
      <c r="A62" s="196">
        <v>56</v>
      </c>
      <c r="B62" s="197">
        <v>45868</v>
      </c>
      <c r="C62" s="234" t="s">
        <v>1247</v>
      </c>
      <c r="D62" s="234" t="s">
        <v>1248</v>
      </c>
      <c r="E62" s="198">
        <v>991703653</v>
      </c>
      <c r="F62" s="196" t="s">
        <v>1569</v>
      </c>
      <c r="G62" s="198">
        <v>40466111</v>
      </c>
      <c r="H62" s="199" t="str">
        <f t="shared" si="2"/>
        <v>C 910 NEGRA CAMPANA (110V-60HZ) C/KIT</v>
      </c>
      <c r="I62" s="199" t="s">
        <v>1541</v>
      </c>
      <c r="J62" s="200" t="s">
        <v>1244</v>
      </c>
      <c r="K62" s="201">
        <v>45814</v>
      </c>
      <c r="L62" s="199" t="s">
        <v>25</v>
      </c>
      <c r="M62" s="199" t="s">
        <v>63</v>
      </c>
      <c r="N62" s="199" t="s">
        <v>63</v>
      </c>
      <c r="O62" s="200" t="s">
        <v>1250</v>
      </c>
      <c r="P62" s="199" t="s">
        <v>24</v>
      </c>
      <c r="Q62" s="202">
        <f t="shared" si="3"/>
        <v>45867</v>
      </c>
      <c r="R62" s="203" t="s">
        <v>1249</v>
      </c>
      <c r="S62" s="204">
        <v>105036396</v>
      </c>
      <c r="T62" s="196" t="s">
        <v>1568</v>
      </c>
    </row>
    <row r="63" spans="1:20" s="5" customFormat="1" ht="20">
      <c r="A63" s="196">
        <v>57</v>
      </c>
      <c r="B63" s="197">
        <v>45868</v>
      </c>
      <c r="C63" s="234" t="s">
        <v>1254</v>
      </c>
      <c r="D63" s="234" t="s">
        <v>1255</v>
      </c>
      <c r="E63" s="198">
        <v>939445052</v>
      </c>
      <c r="F63" s="196" t="s">
        <v>1569</v>
      </c>
      <c r="G63" s="198">
        <v>112570128</v>
      </c>
      <c r="H63" s="199" t="str">
        <f t="shared" si="2"/>
        <v>JZC 96342 BBB BK (LAT) COCINA MIXTA GAS - INDUCCION</v>
      </c>
      <c r="I63" s="199" t="s">
        <v>1541</v>
      </c>
      <c r="J63" s="200" t="s">
        <v>1061</v>
      </c>
      <c r="K63" s="201">
        <v>45848</v>
      </c>
      <c r="L63" s="199" t="s">
        <v>25</v>
      </c>
      <c r="M63" s="199" t="s">
        <v>63</v>
      </c>
      <c r="N63" s="199" t="s">
        <v>63</v>
      </c>
      <c r="O63" s="200" t="s">
        <v>1252</v>
      </c>
      <c r="P63" s="199" t="s">
        <v>24</v>
      </c>
      <c r="Q63" s="202">
        <f t="shared" si="3"/>
        <v>45867</v>
      </c>
      <c r="R63" s="203" t="s">
        <v>1256</v>
      </c>
      <c r="S63" s="204">
        <v>101468403</v>
      </c>
      <c r="T63" s="196" t="s">
        <v>1568</v>
      </c>
    </row>
    <row r="64" spans="1:20" s="5" customFormat="1" ht="24" customHeight="1">
      <c r="A64" s="196">
        <v>58</v>
      </c>
      <c r="B64" s="197">
        <v>45868</v>
      </c>
      <c r="C64" s="234" t="s">
        <v>1254</v>
      </c>
      <c r="D64" s="234" t="s">
        <v>1255</v>
      </c>
      <c r="E64" s="198">
        <v>939445052</v>
      </c>
      <c r="F64" s="196" t="s">
        <v>1569</v>
      </c>
      <c r="G64" s="198">
        <v>112950021</v>
      </c>
      <c r="H64" s="199" t="str">
        <f t="shared" si="2"/>
        <v>DVN 94030 TCL BK CAMPANA (110V-60HZ) C/KIT</v>
      </c>
      <c r="I64" s="199" t="s">
        <v>1541</v>
      </c>
      <c r="J64" s="200" t="s">
        <v>1061</v>
      </c>
      <c r="K64" s="201">
        <v>45848</v>
      </c>
      <c r="L64" s="199" t="s">
        <v>25</v>
      </c>
      <c r="M64" s="199" t="s">
        <v>63</v>
      </c>
      <c r="N64" s="199" t="s">
        <v>63</v>
      </c>
      <c r="O64" s="200" t="s">
        <v>1253</v>
      </c>
      <c r="P64" s="199" t="s">
        <v>24</v>
      </c>
      <c r="Q64" s="202">
        <f t="shared" si="3"/>
        <v>45867</v>
      </c>
      <c r="R64" s="203" t="s">
        <v>1256</v>
      </c>
      <c r="S64" s="204">
        <v>101468403</v>
      </c>
      <c r="T64" s="196" t="s">
        <v>1568</v>
      </c>
    </row>
    <row r="65" spans="1:20" s="5" customFormat="1" ht="20">
      <c r="A65" s="196">
        <v>59</v>
      </c>
      <c r="B65" s="205">
        <v>45868</v>
      </c>
      <c r="C65" s="241" t="s">
        <v>1454</v>
      </c>
      <c r="D65" s="234" t="s">
        <v>1554</v>
      </c>
      <c r="E65" s="207">
        <v>990307165</v>
      </c>
      <c r="F65" s="196" t="s">
        <v>1570</v>
      </c>
      <c r="G65" s="206">
        <v>111040006</v>
      </c>
      <c r="H65" s="199" t="str">
        <f t="shared" si="2"/>
        <v>HSB 750 G SS HORNO A GAS</v>
      </c>
      <c r="I65" s="199" t="s">
        <v>1543</v>
      </c>
      <c r="J65" s="200" t="s">
        <v>1046</v>
      </c>
      <c r="K65" s="205">
        <v>45769</v>
      </c>
      <c r="L65" s="196" t="s">
        <v>25</v>
      </c>
      <c r="M65" s="196" t="s">
        <v>24</v>
      </c>
      <c r="N65" s="196" t="s">
        <v>24</v>
      </c>
      <c r="O65" s="206" t="s">
        <v>1453</v>
      </c>
      <c r="P65" s="196" t="s">
        <v>24</v>
      </c>
      <c r="Q65" s="202">
        <f t="shared" si="3"/>
        <v>45867</v>
      </c>
      <c r="R65" s="244" t="s">
        <v>1555</v>
      </c>
      <c r="S65" s="208" t="s">
        <v>1456</v>
      </c>
      <c r="T65" s="196" t="s">
        <v>1576</v>
      </c>
    </row>
    <row r="66" spans="1:20" s="5" customFormat="1" ht="20">
      <c r="A66" s="196">
        <v>60</v>
      </c>
      <c r="B66" s="225">
        <v>45868</v>
      </c>
      <c r="C66" s="238" t="s">
        <v>1371</v>
      </c>
      <c r="D66" s="238" t="s">
        <v>1372</v>
      </c>
      <c r="E66" s="226">
        <v>996110466</v>
      </c>
      <c r="F66" s="196" t="s">
        <v>1569</v>
      </c>
      <c r="G66" s="196">
        <v>112510036</v>
      </c>
      <c r="H66" s="199" t="str">
        <f t="shared" si="2"/>
        <v>IZC 32310 MSP BK COCINA MODULAR INDUCCION</v>
      </c>
      <c r="I66" s="199" t="s">
        <v>1541</v>
      </c>
      <c r="J66" s="225" t="s">
        <v>1216</v>
      </c>
      <c r="K66" s="225">
        <v>45866</v>
      </c>
      <c r="L66" s="196" t="s">
        <v>25</v>
      </c>
      <c r="M66" s="196" t="s">
        <v>24</v>
      </c>
      <c r="N66" s="196" t="s">
        <v>24</v>
      </c>
      <c r="O66" s="225" t="s">
        <v>1370</v>
      </c>
      <c r="P66" s="196" t="s">
        <v>24</v>
      </c>
      <c r="Q66" s="202">
        <f t="shared" si="3"/>
        <v>45867</v>
      </c>
      <c r="R66" s="227" t="s">
        <v>1374</v>
      </c>
      <c r="S66" s="211" t="s">
        <v>1373</v>
      </c>
      <c r="T66" s="196" t="s">
        <v>1568</v>
      </c>
    </row>
    <row r="67" spans="1:20" s="5" customFormat="1" ht="20">
      <c r="A67" s="196">
        <v>61</v>
      </c>
      <c r="B67" s="197">
        <v>45869</v>
      </c>
      <c r="C67" s="234" t="s">
        <v>1262</v>
      </c>
      <c r="D67" s="234" t="s">
        <v>1263</v>
      </c>
      <c r="E67" s="198">
        <v>999777047</v>
      </c>
      <c r="F67" s="196" t="s">
        <v>1569</v>
      </c>
      <c r="G67" s="198">
        <v>112950021</v>
      </c>
      <c r="H67" s="199" t="str">
        <f t="shared" si="2"/>
        <v>DVN 94030 TCL BK CAMPANA (110V-60HZ) C/KIT</v>
      </c>
      <c r="I67" s="199" t="s">
        <v>1541</v>
      </c>
      <c r="J67" s="200" t="s">
        <v>1046</v>
      </c>
      <c r="K67" s="201">
        <v>45780</v>
      </c>
      <c r="L67" s="199" t="s">
        <v>25</v>
      </c>
      <c r="M67" s="199" t="s">
        <v>63</v>
      </c>
      <c r="N67" s="199" t="s">
        <v>63</v>
      </c>
      <c r="O67" s="200" t="s">
        <v>1258</v>
      </c>
      <c r="P67" s="199" t="s">
        <v>24</v>
      </c>
      <c r="Q67" s="202">
        <f t="shared" si="3"/>
        <v>45868</v>
      </c>
      <c r="R67" s="203" t="s">
        <v>1264</v>
      </c>
      <c r="S67" s="204">
        <v>104380910</v>
      </c>
      <c r="T67" s="196" t="s">
        <v>1568</v>
      </c>
    </row>
    <row r="68" spans="1:20" s="5" customFormat="1" ht="20">
      <c r="A68" s="196">
        <v>62</v>
      </c>
      <c r="B68" s="197">
        <v>45869</v>
      </c>
      <c r="C68" s="234" t="s">
        <v>1262</v>
      </c>
      <c r="D68" s="234" t="s">
        <v>1263</v>
      </c>
      <c r="E68" s="198">
        <v>999777047</v>
      </c>
      <c r="F68" s="196" t="s">
        <v>1569</v>
      </c>
      <c r="G68" s="198">
        <v>112580058</v>
      </c>
      <c r="H68" s="199" t="str">
        <f t="shared" si="2"/>
        <v>GBC 95030 KBB BK COCINA GAS</v>
      </c>
      <c r="I68" s="199" t="s">
        <v>1541</v>
      </c>
      <c r="J68" s="200" t="s">
        <v>1046</v>
      </c>
      <c r="K68" s="201">
        <v>45780</v>
      </c>
      <c r="L68" s="199" t="s">
        <v>25</v>
      </c>
      <c r="M68" s="199" t="s">
        <v>63</v>
      </c>
      <c r="N68" s="199" t="s">
        <v>63</v>
      </c>
      <c r="O68" s="200" t="s">
        <v>1259</v>
      </c>
      <c r="P68" s="199" t="s">
        <v>24</v>
      </c>
      <c r="Q68" s="202">
        <f t="shared" si="3"/>
        <v>45868</v>
      </c>
      <c r="R68" s="203" t="s">
        <v>1264</v>
      </c>
      <c r="S68" s="204">
        <v>104380910</v>
      </c>
      <c r="T68" s="196" t="s">
        <v>1568</v>
      </c>
    </row>
    <row r="69" spans="1:20" s="5" customFormat="1" ht="20">
      <c r="A69" s="196">
        <v>63</v>
      </c>
      <c r="B69" s="197">
        <v>45869</v>
      </c>
      <c r="C69" s="234" t="s">
        <v>1262</v>
      </c>
      <c r="D69" s="234" t="s">
        <v>1263</v>
      </c>
      <c r="E69" s="198">
        <v>999777047</v>
      </c>
      <c r="F69" s="196" t="s">
        <v>1569</v>
      </c>
      <c r="G69" s="198">
        <v>112030008</v>
      </c>
      <c r="H69" s="199" t="str">
        <f t="shared" si="2"/>
        <v>ML 8220 BIS - MICROONDAS</v>
      </c>
      <c r="I69" s="199" t="s">
        <v>1541</v>
      </c>
      <c r="J69" s="200" t="s">
        <v>1046</v>
      </c>
      <c r="K69" s="201">
        <v>45780</v>
      </c>
      <c r="L69" s="199" t="s">
        <v>25</v>
      </c>
      <c r="M69" s="199" t="s">
        <v>63</v>
      </c>
      <c r="N69" s="199" t="s">
        <v>63</v>
      </c>
      <c r="O69" s="200" t="s">
        <v>1260</v>
      </c>
      <c r="P69" s="199" t="s">
        <v>24</v>
      </c>
      <c r="Q69" s="202">
        <f t="shared" si="3"/>
        <v>45868</v>
      </c>
      <c r="R69" s="203" t="s">
        <v>1264</v>
      </c>
      <c r="S69" s="204">
        <v>104380910</v>
      </c>
      <c r="T69" s="196" t="s">
        <v>1568</v>
      </c>
    </row>
    <row r="70" spans="1:20" s="5" customFormat="1" ht="20">
      <c r="A70" s="196">
        <v>64</v>
      </c>
      <c r="B70" s="197">
        <v>45869</v>
      </c>
      <c r="C70" s="234" t="s">
        <v>1262</v>
      </c>
      <c r="D70" s="234" t="s">
        <v>1263</v>
      </c>
      <c r="E70" s="198">
        <v>999777047</v>
      </c>
      <c r="F70" s="196" t="s">
        <v>1569</v>
      </c>
      <c r="G70" s="198">
        <v>111000051</v>
      </c>
      <c r="H70" s="199" t="str">
        <f t="shared" si="2"/>
        <v>HLB 8416 "AIR FRY" - HORNO ELEC</v>
      </c>
      <c r="I70" s="199" t="s">
        <v>1541</v>
      </c>
      <c r="J70" s="200" t="s">
        <v>1046</v>
      </c>
      <c r="K70" s="201">
        <v>45780</v>
      </c>
      <c r="L70" s="199" t="s">
        <v>25</v>
      </c>
      <c r="M70" s="199" t="s">
        <v>63</v>
      </c>
      <c r="N70" s="199" t="s">
        <v>63</v>
      </c>
      <c r="O70" s="200" t="s">
        <v>1261</v>
      </c>
      <c r="P70" s="199" t="s">
        <v>24</v>
      </c>
      <c r="Q70" s="202">
        <f t="shared" si="3"/>
        <v>45868</v>
      </c>
      <c r="R70" s="203" t="s">
        <v>1264</v>
      </c>
      <c r="S70" s="204">
        <v>104380910</v>
      </c>
      <c r="T70" s="196" t="s">
        <v>1568</v>
      </c>
    </row>
    <row r="71" spans="1:20" s="5" customFormat="1" ht="20">
      <c r="A71" s="196">
        <v>65</v>
      </c>
      <c r="B71" s="225">
        <v>45869</v>
      </c>
      <c r="C71" s="238" t="s">
        <v>1376</v>
      </c>
      <c r="D71" s="238" t="s">
        <v>1377</v>
      </c>
      <c r="E71" s="226">
        <v>989234501</v>
      </c>
      <c r="F71" s="196" t="s">
        <v>1569</v>
      </c>
      <c r="G71" s="196">
        <v>112570128</v>
      </c>
      <c r="H71" s="199" t="str">
        <f t="shared" ref="H71:H102" si="4">VLOOKUP(G71,PROD,2,FALSE)</f>
        <v>JZC 96342 BBB BK (LAT) COCINA MIXTA GAS - INDUCCION</v>
      </c>
      <c r="I71" s="199" t="s">
        <v>1541</v>
      </c>
      <c r="J71" s="225" t="s">
        <v>1196</v>
      </c>
      <c r="K71" s="225">
        <v>45831</v>
      </c>
      <c r="L71" s="196" t="s">
        <v>25</v>
      </c>
      <c r="M71" s="196" t="s">
        <v>24</v>
      </c>
      <c r="N71" s="196" t="s">
        <v>24</v>
      </c>
      <c r="O71" s="225"/>
      <c r="P71" s="196" t="s">
        <v>24</v>
      </c>
      <c r="Q71" s="202">
        <f t="shared" ref="Q71:Q102" si="5">B71-1</f>
        <v>45868</v>
      </c>
      <c r="R71" s="227" t="s">
        <v>1379</v>
      </c>
      <c r="S71" s="211" t="s">
        <v>1378</v>
      </c>
      <c r="T71" s="196" t="s">
        <v>1568</v>
      </c>
    </row>
    <row r="72" spans="1:20" s="5" customFormat="1" ht="20">
      <c r="A72" s="196">
        <v>66</v>
      </c>
      <c r="B72" s="225">
        <v>45869</v>
      </c>
      <c r="C72" s="238" t="s">
        <v>1382</v>
      </c>
      <c r="D72" s="238" t="s">
        <v>1383</v>
      </c>
      <c r="E72" s="226">
        <v>99772584</v>
      </c>
      <c r="F72" s="196" t="s">
        <v>1569</v>
      </c>
      <c r="G72" s="196">
        <v>40446712</v>
      </c>
      <c r="H72" s="199" t="str">
        <f t="shared" si="4"/>
        <v>GFH 73 INOX CAMPANA (110V-60HZ) C/KIT</v>
      </c>
      <c r="I72" s="199" t="s">
        <v>1541</v>
      </c>
      <c r="J72" s="225" t="s">
        <v>1061</v>
      </c>
      <c r="K72" s="225">
        <v>45855</v>
      </c>
      <c r="L72" s="196" t="s">
        <v>25</v>
      </c>
      <c r="M72" s="196" t="s">
        <v>24</v>
      </c>
      <c r="N72" s="196" t="s">
        <v>24</v>
      </c>
      <c r="O72" s="225" t="s">
        <v>1381</v>
      </c>
      <c r="P72" s="196" t="s">
        <v>24</v>
      </c>
      <c r="Q72" s="202">
        <f t="shared" si="5"/>
        <v>45868</v>
      </c>
      <c r="R72" s="227" t="s">
        <v>1385</v>
      </c>
      <c r="S72" s="211" t="s">
        <v>1384</v>
      </c>
      <c r="T72" s="196" t="s">
        <v>1568</v>
      </c>
    </row>
    <row r="73" spans="1:20" s="5" customFormat="1" ht="20">
      <c r="A73" s="196">
        <v>67</v>
      </c>
      <c r="B73" s="225">
        <v>45869</v>
      </c>
      <c r="C73" s="238" t="s">
        <v>1388</v>
      </c>
      <c r="D73" s="238" t="s">
        <v>1389</v>
      </c>
      <c r="E73" s="226">
        <v>997257901</v>
      </c>
      <c r="F73" s="196" t="s">
        <v>1569</v>
      </c>
      <c r="G73" s="196">
        <v>112580027</v>
      </c>
      <c r="H73" s="199" t="str">
        <f t="shared" si="4"/>
        <v>GBC 75030 KBB CRISTAL COCINA GAS</v>
      </c>
      <c r="I73" s="199" t="s">
        <v>1541</v>
      </c>
      <c r="J73" s="225" t="s">
        <v>1046</v>
      </c>
      <c r="K73" s="225">
        <v>45850</v>
      </c>
      <c r="L73" s="196" t="s">
        <v>25</v>
      </c>
      <c r="M73" s="196" t="s">
        <v>24</v>
      </c>
      <c r="N73" s="196" t="s">
        <v>24</v>
      </c>
      <c r="O73" s="225" t="s">
        <v>1387</v>
      </c>
      <c r="P73" s="196" t="s">
        <v>24</v>
      </c>
      <c r="Q73" s="202">
        <f t="shared" si="5"/>
        <v>45868</v>
      </c>
      <c r="R73" s="227" t="s">
        <v>1391</v>
      </c>
      <c r="S73" s="211" t="s">
        <v>1390</v>
      </c>
      <c r="T73" s="196" t="s">
        <v>1568</v>
      </c>
    </row>
    <row r="74" spans="1:20" s="5" customFormat="1" ht="20">
      <c r="A74" s="196">
        <v>68</v>
      </c>
      <c r="B74" s="197">
        <v>45870</v>
      </c>
      <c r="C74" s="234" t="s">
        <v>1268</v>
      </c>
      <c r="D74" s="234" t="s">
        <v>1269</v>
      </c>
      <c r="E74" s="198">
        <v>999357222</v>
      </c>
      <c r="F74" s="196" t="s">
        <v>1569</v>
      </c>
      <c r="G74" s="198">
        <v>40466241</v>
      </c>
      <c r="H74" s="199" t="str">
        <f t="shared" si="4"/>
        <v>C 9310 INOX CAMPANA (110V-60HZ) C/KIT</v>
      </c>
      <c r="I74" s="199" t="s">
        <v>1541</v>
      </c>
      <c r="J74" s="200" t="s">
        <v>1061</v>
      </c>
      <c r="K74" s="201">
        <v>45862</v>
      </c>
      <c r="L74" s="199" t="s">
        <v>25</v>
      </c>
      <c r="M74" s="199" t="s">
        <v>63</v>
      </c>
      <c r="N74" s="199" t="s">
        <v>63</v>
      </c>
      <c r="O74" s="200" t="s">
        <v>1266</v>
      </c>
      <c r="P74" s="199" t="s">
        <v>24</v>
      </c>
      <c r="Q74" s="202">
        <f t="shared" si="5"/>
        <v>45869</v>
      </c>
      <c r="R74" s="203" t="s">
        <v>1270</v>
      </c>
      <c r="S74" s="204">
        <v>703744532</v>
      </c>
      <c r="T74" s="196" t="s">
        <v>1568</v>
      </c>
    </row>
    <row r="75" spans="1:20" s="5" customFormat="1" ht="20">
      <c r="A75" s="196">
        <v>69</v>
      </c>
      <c r="B75" s="197">
        <v>45870</v>
      </c>
      <c r="C75" s="234" t="s">
        <v>1268</v>
      </c>
      <c r="D75" s="234" t="s">
        <v>1269</v>
      </c>
      <c r="E75" s="198">
        <v>999357222</v>
      </c>
      <c r="F75" s="196" t="s">
        <v>1569</v>
      </c>
      <c r="G75" s="198">
        <v>40466241</v>
      </c>
      <c r="H75" s="199" t="str">
        <f t="shared" si="4"/>
        <v>C 9310 INOX CAMPANA (110V-60HZ) C/KIT</v>
      </c>
      <c r="I75" s="199" t="s">
        <v>1541</v>
      </c>
      <c r="J75" s="200" t="s">
        <v>1061</v>
      </c>
      <c r="K75" s="201">
        <v>45862</v>
      </c>
      <c r="L75" s="199" t="s">
        <v>25</v>
      </c>
      <c r="M75" s="199" t="s">
        <v>63</v>
      </c>
      <c r="N75" s="199" t="s">
        <v>63</v>
      </c>
      <c r="O75" s="200" t="s">
        <v>1267</v>
      </c>
      <c r="P75" s="199" t="s">
        <v>24</v>
      </c>
      <c r="Q75" s="202">
        <f t="shared" si="5"/>
        <v>45869</v>
      </c>
      <c r="R75" s="203" t="s">
        <v>1270</v>
      </c>
      <c r="S75" s="204">
        <v>703744532</v>
      </c>
      <c r="T75" s="196" t="s">
        <v>1568</v>
      </c>
    </row>
    <row r="76" spans="1:20" s="5" customFormat="1" ht="20">
      <c r="A76" s="196">
        <v>70</v>
      </c>
      <c r="B76" s="197">
        <v>45870</v>
      </c>
      <c r="C76" s="234" t="s">
        <v>1274</v>
      </c>
      <c r="D76" s="234" t="s">
        <v>1275</v>
      </c>
      <c r="E76" s="198">
        <v>983444924</v>
      </c>
      <c r="F76" s="196" t="s">
        <v>1569</v>
      </c>
      <c r="G76" s="198">
        <v>40461543</v>
      </c>
      <c r="H76" s="199" t="str">
        <f t="shared" si="4"/>
        <v>C 6310 INOX CAMPANA (110V-60HZ) C/KIT</v>
      </c>
      <c r="I76" s="199" t="s">
        <v>1541</v>
      </c>
      <c r="J76" s="200" t="s">
        <v>1046</v>
      </c>
      <c r="K76" s="201">
        <v>45845</v>
      </c>
      <c r="L76" s="199" t="s">
        <v>25</v>
      </c>
      <c r="M76" s="199" t="s">
        <v>63</v>
      </c>
      <c r="N76" s="199" t="s">
        <v>63</v>
      </c>
      <c r="O76" s="200" t="s">
        <v>1272</v>
      </c>
      <c r="P76" s="199" t="s">
        <v>24</v>
      </c>
      <c r="Q76" s="202">
        <f t="shared" si="5"/>
        <v>45869</v>
      </c>
      <c r="R76" s="203" t="s">
        <v>1276</v>
      </c>
      <c r="S76" s="204">
        <v>702657391</v>
      </c>
      <c r="T76" s="196" t="s">
        <v>1568</v>
      </c>
    </row>
    <row r="77" spans="1:20" s="5" customFormat="1" ht="20">
      <c r="A77" s="196">
        <v>71</v>
      </c>
      <c r="B77" s="197">
        <v>45870</v>
      </c>
      <c r="C77" s="234" t="s">
        <v>1274</v>
      </c>
      <c r="D77" s="234" t="s">
        <v>1275</v>
      </c>
      <c r="E77" s="198">
        <v>983444924</v>
      </c>
      <c r="F77" s="196" t="s">
        <v>1569</v>
      </c>
      <c r="G77" s="198">
        <v>112610071</v>
      </c>
      <c r="H77" s="199" t="str">
        <f t="shared" si="4"/>
        <v>GSC 64320 XBA IX (LAT) COCINA INOX</v>
      </c>
      <c r="I77" s="199" t="s">
        <v>1541</v>
      </c>
      <c r="J77" s="200" t="s">
        <v>1046</v>
      </c>
      <c r="K77" s="201">
        <v>45845</v>
      </c>
      <c r="L77" s="199" t="s">
        <v>25</v>
      </c>
      <c r="M77" s="199" t="s">
        <v>63</v>
      </c>
      <c r="N77" s="199" t="s">
        <v>63</v>
      </c>
      <c r="O77" s="200" t="s">
        <v>1273</v>
      </c>
      <c r="P77" s="199" t="s">
        <v>24</v>
      </c>
      <c r="Q77" s="202">
        <f t="shared" si="5"/>
        <v>45869</v>
      </c>
      <c r="R77" s="203" t="s">
        <v>1276</v>
      </c>
      <c r="S77" s="204">
        <v>702657391</v>
      </c>
      <c r="T77" s="196" t="s">
        <v>1568</v>
      </c>
    </row>
    <row r="78" spans="1:20" s="5" customFormat="1" ht="20">
      <c r="A78" s="196">
        <v>72</v>
      </c>
      <c r="B78" s="225">
        <v>45870</v>
      </c>
      <c r="C78" s="238" t="s">
        <v>1393</v>
      </c>
      <c r="D78" s="238" t="s">
        <v>1248</v>
      </c>
      <c r="E78" s="226">
        <v>990447215</v>
      </c>
      <c r="F78" s="196" t="s">
        <v>1569</v>
      </c>
      <c r="G78" s="196">
        <v>112570128</v>
      </c>
      <c r="H78" s="199" t="str">
        <f t="shared" si="4"/>
        <v>JZC 96342 BBB BK (LAT) COCINA MIXTA GAS - INDUCCION</v>
      </c>
      <c r="I78" s="199" t="s">
        <v>1541</v>
      </c>
      <c r="J78" s="225" t="s">
        <v>1210</v>
      </c>
      <c r="K78" s="225">
        <v>45504</v>
      </c>
      <c r="L78" s="196" t="s">
        <v>25</v>
      </c>
      <c r="M78" s="196" t="s">
        <v>24</v>
      </c>
      <c r="N78" s="196" t="s">
        <v>24</v>
      </c>
      <c r="O78" s="225"/>
      <c r="P78" s="196" t="s">
        <v>24</v>
      </c>
      <c r="Q78" s="202">
        <f t="shared" si="5"/>
        <v>45869</v>
      </c>
      <c r="R78" s="227" t="s">
        <v>1395</v>
      </c>
      <c r="S78" s="211" t="s">
        <v>1394</v>
      </c>
      <c r="T78" s="196" t="s">
        <v>1568</v>
      </c>
    </row>
    <row r="79" spans="1:20" s="5" customFormat="1" ht="20">
      <c r="A79" s="196">
        <v>73</v>
      </c>
      <c r="B79" s="197">
        <v>45873</v>
      </c>
      <c r="C79" s="234" t="s">
        <v>1254</v>
      </c>
      <c r="D79" s="234" t="s">
        <v>1255</v>
      </c>
      <c r="E79" s="198">
        <v>939445052</v>
      </c>
      <c r="F79" s="196" t="s">
        <v>1569</v>
      </c>
      <c r="G79" s="198">
        <v>40584202</v>
      </c>
      <c r="H79" s="199" t="str">
        <f t="shared" si="4"/>
        <v>ML 820 BIS - MICROONDAS</v>
      </c>
      <c r="I79" s="199" t="s">
        <v>1541</v>
      </c>
      <c r="J79" s="200" t="s">
        <v>1061</v>
      </c>
      <c r="K79" s="201">
        <v>45848</v>
      </c>
      <c r="L79" s="199" t="s">
        <v>25</v>
      </c>
      <c r="M79" s="199" t="s">
        <v>63</v>
      </c>
      <c r="N79" s="199" t="s">
        <v>63</v>
      </c>
      <c r="O79" s="200" t="s">
        <v>1277</v>
      </c>
      <c r="P79" s="199" t="s">
        <v>24</v>
      </c>
      <c r="Q79" s="202">
        <f t="shared" si="5"/>
        <v>45872</v>
      </c>
      <c r="R79" s="203" t="s">
        <v>1279</v>
      </c>
      <c r="S79" s="204">
        <v>101468463</v>
      </c>
      <c r="T79" s="196" t="s">
        <v>1568</v>
      </c>
    </row>
    <row r="80" spans="1:20" s="5" customFormat="1" ht="20">
      <c r="A80" s="196">
        <v>74</v>
      </c>
      <c r="B80" s="197">
        <v>45873</v>
      </c>
      <c r="C80" s="234" t="s">
        <v>1254</v>
      </c>
      <c r="D80" s="234" t="s">
        <v>1255</v>
      </c>
      <c r="E80" s="198">
        <v>939445052</v>
      </c>
      <c r="F80" s="196" t="s">
        <v>1569</v>
      </c>
      <c r="G80" s="198">
        <v>111010040</v>
      </c>
      <c r="H80" s="199" t="str">
        <f t="shared" si="4"/>
        <v>HSB 610 NEGRO HORNO ELEC</v>
      </c>
      <c r="I80" s="199" t="s">
        <v>1541</v>
      </c>
      <c r="J80" s="200" t="s">
        <v>1061</v>
      </c>
      <c r="K80" s="201">
        <v>45848</v>
      </c>
      <c r="L80" s="199" t="s">
        <v>25</v>
      </c>
      <c r="M80" s="199" t="s">
        <v>63</v>
      </c>
      <c r="N80" s="199" t="s">
        <v>63</v>
      </c>
      <c r="O80" s="200" t="s">
        <v>1278</v>
      </c>
      <c r="P80" s="199" t="s">
        <v>24</v>
      </c>
      <c r="Q80" s="202">
        <f t="shared" si="5"/>
        <v>45872</v>
      </c>
      <c r="R80" s="203" t="s">
        <v>1279</v>
      </c>
      <c r="S80" s="204">
        <v>101468463</v>
      </c>
      <c r="T80" s="196" t="s">
        <v>1568</v>
      </c>
    </row>
    <row r="81" spans="1:20" s="5" customFormat="1" ht="20">
      <c r="A81" s="196">
        <v>75</v>
      </c>
      <c r="B81" s="197">
        <v>45874</v>
      </c>
      <c r="C81" s="234" t="s">
        <v>1283</v>
      </c>
      <c r="D81" s="234" t="s">
        <v>1284</v>
      </c>
      <c r="E81" s="198">
        <v>984878335</v>
      </c>
      <c r="F81" s="196" t="s">
        <v>1569</v>
      </c>
      <c r="G81" s="198">
        <v>112580058</v>
      </c>
      <c r="H81" s="199" t="str">
        <f t="shared" si="4"/>
        <v>GBC 95030 KBB BK COCINA GAS</v>
      </c>
      <c r="I81" s="199" t="s">
        <v>1541</v>
      </c>
      <c r="J81" s="200" t="s">
        <v>1046</v>
      </c>
      <c r="K81" s="201">
        <v>45866</v>
      </c>
      <c r="L81" s="199" t="s">
        <v>25</v>
      </c>
      <c r="M81" s="199" t="s">
        <v>63</v>
      </c>
      <c r="N81" s="199" t="s">
        <v>63</v>
      </c>
      <c r="O81" s="200" t="s">
        <v>1281</v>
      </c>
      <c r="P81" s="199" t="s">
        <v>24</v>
      </c>
      <c r="Q81" s="202">
        <f t="shared" si="5"/>
        <v>45873</v>
      </c>
      <c r="R81" s="203" t="s">
        <v>1285</v>
      </c>
      <c r="S81" s="204">
        <v>104146881</v>
      </c>
      <c r="T81" s="196" t="s">
        <v>1568</v>
      </c>
    </row>
    <row r="82" spans="1:20" s="5" customFormat="1" ht="20">
      <c r="A82" s="196">
        <v>76</v>
      </c>
      <c r="B82" s="197">
        <v>45874</v>
      </c>
      <c r="C82" s="234" t="s">
        <v>1283</v>
      </c>
      <c r="D82" s="234" t="s">
        <v>1284</v>
      </c>
      <c r="E82" s="198">
        <v>984878335</v>
      </c>
      <c r="F82" s="196" t="s">
        <v>1569</v>
      </c>
      <c r="G82" s="198">
        <v>111030002</v>
      </c>
      <c r="H82" s="199" t="str">
        <f t="shared" si="4"/>
        <v>HLB 760 G SS HORNO A GAS</v>
      </c>
      <c r="I82" s="199" t="s">
        <v>1541</v>
      </c>
      <c r="J82" s="200" t="s">
        <v>1046</v>
      </c>
      <c r="K82" s="201">
        <v>45866</v>
      </c>
      <c r="L82" s="199" t="s">
        <v>25</v>
      </c>
      <c r="M82" s="199" t="s">
        <v>63</v>
      </c>
      <c r="N82" s="199" t="s">
        <v>63</v>
      </c>
      <c r="O82" s="200" t="s">
        <v>1282</v>
      </c>
      <c r="P82" s="199" t="s">
        <v>24</v>
      </c>
      <c r="Q82" s="202">
        <f t="shared" si="5"/>
        <v>45873</v>
      </c>
      <c r="R82" s="203" t="s">
        <v>1285</v>
      </c>
      <c r="S82" s="204">
        <v>104146881</v>
      </c>
      <c r="T82" s="196" t="s">
        <v>1568</v>
      </c>
    </row>
    <row r="83" spans="1:20" ht="20">
      <c r="A83" s="196">
        <v>77</v>
      </c>
      <c r="B83" s="205">
        <v>45874</v>
      </c>
      <c r="C83" s="241" t="s">
        <v>1212</v>
      </c>
      <c r="D83" s="234" t="s">
        <v>1552</v>
      </c>
      <c r="E83" s="207">
        <v>983162005</v>
      </c>
      <c r="F83" s="196" t="s">
        <v>1570</v>
      </c>
      <c r="G83" s="206">
        <v>112570128</v>
      </c>
      <c r="H83" s="199" t="str">
        <f t="shared" si="4"/>
        <v>JZC 96342 BBB BK (LAT) COCINA MIXTA GAS - INDUCCION</v>
      </c>
      <c r="I83" s="199" t="s">
        <v>1543</v>
      </c>
      <c r="J83" s="200" t="s">
        <v>1210</v>
      </c>
      <c r="K83" s="205">
        <v>45827</v>
      </c>
      <c r="L83" s="196" t="s">
        <v>25</v>
      </c>
      <c r="M83" s="196" t="s">
        <v>24</v>
      </c>
      <c r="N83" s="196" t="s">
        <v>24</v>
      </c>
      <c r="O83" s="206" t="s">
        <v>1459</v>
      </c>
      <c r="P83" s="196" t="s">
        <v>24</v>
      </c>
      <c r="Q83" s="202">
        <f t="shared" si="5"/>
        <v>45873</v>
      </c>
      <c r="R83" s="244" t="s">
        <v>1553</v>
      </c>
      <c r="S83" s="208" t="s">
        <v>1461</v>
      </c>
      <c r="T83" s="196" t="s">
        <v>1577</v>
      </c>
    </row>
    <row r="84" spans="1:20" ht="19">
      <c r="A84" s="196">
        <v>78</v>
      </c>
      <c r="B84" s="225">
        <v>45874</v>
      </c>
      <c r="C84" s="238" t="s">
        <v>1398</v>
      </c>
      <c r="D84" s="238" t="s">
        <v>1399</v>
      </c>
      <c r="E84" s="226">
        <v>949051056</v>
      </c>
      <c r="F84" s="196" t="s">
        <v>1569</v>
      </c>
      <c r="G84" s="196">
        <v>112580027</v>
      </c>
      <c r="H84" s="199" t="str">
        <f t="shared" si="4"/>
        <v>GBC 75030 KBB CRISTAL COCINA GAS</v>
      </c>
      <c r="I84" s="199" t="s">
        <v>1541</v>
      </c>
      <c r="J84" s="225" t="s">
        <v>1046</v>
      </c>
      <c r="K84" s="225">
        <v>45846</v>
      </c>
      <c r="L84" s="196" t="s">
        <v>25</v>
      </c>
      <c r="M84" s="196" t="s">
        <v>24</v>
      </c>
      <c r="N84" s="196" t="s">
        <v>24</v>
      </c>
      <c r="O84" s="225" t="s">
        <v>1397</v>
      </c>
      <c r="P84" s="196" t="s">
        <v>24</v>
      </c>
      <c r="Q84" s="202">
        <f t="shared" si="5"/>
        <v>45873</v>
      </c>
      <c r="R84" s="227" t="s">
        <v>1401</v>
      </c>
      <c r="S84" s="211" t="s">
        <v>1400</v>
      </c>
      <c r="T84" s="196" t="s">
        <v>1568</v>
      </c>
    </row>
    <row r="85" spans="1:20" ht="19">
      <c r="A85" s="196">
        <v>79</v>
      </c>
      <c r="B85" s="209">
        <v>45874</v>
      </c>
      <c r="C85" s="235" t="s">
        <v>1404</v>
      </c>
      <c r="D85" s="235" t="s">
        <v>1405</v>
      </c>
      <c r="E85" s="196">
        <v>994477957</v>
      </c>
      <c r="F85" s="196" t="s">
        <v>1569</v>
      </c>
      <c r="G85" s="196">
        <v>40297052</v>
      </c>
      <c r="H85" s="199" t="str">
        <f t="shared" si="4"/>
        <v>COCINA A GAS FS3RL966GGX</v>
      </c>
      <c r="I85" s="199" t="s">
        <v>1541</v>
      </c>
      <c r="J85" s="196" t="s">
        <v>1172</v>
      </c>
      <c r="K85" s="209">
        <v>45864</v>
      </c>
      <c r="L85" s="196" t="s">
        <v>25</v>
      </c>
      <c r="M85" s="196" t="s">
        <v>24</v>
      </c>
      <c r="N85" s="196" t="s">
        <v>24</v>
      </c>
      <c r="O85" s="196" t="s">
        <v>1403</v>
      </c>
      <c r="P85" s="196" t="s">
        <v>24</v>
      </c>
      <c r="Q85" s="202">
        <f t="shared" si="5"/>
        <v>45873</v>
      </c>
      <c r="R85" s="210" t="s">
        <v>1407</v>
      </c>
      <c r="S85" s="211" t="s">
        <v>1406</v>
      </c>
      <c r="T85" s="196" t="s">
        <v>1568</v>
      </c>
    </row>
    <row r="86" spans="1:20" ht="19" customHeight="1">
      <c r="A86" s="196">
        <v>80</v>
      </c>
      <c r="B86" s="225">
        <v>45874</v>
      </c>
      <c r="C86" s="238" t="s">
        <v>1410</v>
      </c>
      <c r="D86" s="238" t="s">
        <v>1411</v>
      </c>
      <c r="E86" s="226">
        <v>990248801</v>
      </c>
      <c r="F86" s="196" t="s">
        <v>1569</v>
      </c>
      <c r="G86" s="196">
        <v>40446712</v>
      </c>
      <c r="H86" s="199" t="str">
        <f t="shared" si="4"/>
        <v>GFH 73 INOX CAMPANA (110V-60HZ) C/KIT</v>
      </c>
      <c r="I86" s="199" t="s">
        <v>1541</v>
      </c>
      <c r="J86" s="225" t="s">
        <v>1046</v>
      </c>
      <c r="K86" s="225">
        <v>45870</v>
      </c>
      <c r="L86" s="196" t="s">
        <v>25</v>
      </c>
      <c r="M86" s="196" t="s">
        <v>24</v>
      </c>
      <c r="N86" s="196" t="s">
        <v>24</v>
      </c>
      <c r="O86" s="228" t="s">
        <v>1409</v>
      </c>
      <c r="P86" s="196" t="s">
        <v>24</v>
      </c>
      <c r="Q86" s="202">
        <f t="shared" si="5"/>
        <v>45873</v>
      </c>
      <c r="R86" s="227" t="s">
        <v>1413</v>
      </c>
      <c r="S86" s="211" t="s">
        <v>1412</v>
      </c>
      <c r="T86" s="196" t="s">
        <v>1568</v>
      </c>
    </row>
    <row r="87" spans="1:20" ht="19">
      <c r="A87" s="196">
        <v>81</v>
      </c>
      <c r="B87" s="197">
        <v>45875</v>
      </c>
      <c r="C87" s="234" t="s">
        <v>1288</v>
      </c>
      <c r="D87" s="234" t="s">
        <v>1290</v>
      </c>
      <c r="E87" s="198">
        <v>998282791</v>
      </c>
      <c r="F87" s="196" t="s">
        <v>1569</v>
      </c>
      <c r="G87" s="198">
        <v>112030019</v>
      </c>
      <c r="H87" s="199" t="str">
        <f t="shared" si="4"/>
        <v>ML 8220 BIS FBK- MICROONDAS</v>
      </c>
      <c r="I87" s="199" t="s">
        <v>1541</v>
      </c>
      <c r="J87" s="200" t="s">
        <v>1046</v>
      </c>
      <c r="K87" s="201">
        <v>45805</v>
      </c>
      <c r="L87" s="199" t="s">
        <v>25</v>
      </c>
      <c r="M87" s="199" t="s">
        <v>63</v>
      </c>
      <c r="N87" s="199" t="s">
        <v>63</v>
      </c>
      <c r="O87" s="200" t="s">
        <v>1291</v>
      </c>
      <c r="P87" s="199" t="s">
        <v>24</v>
      </c>
      <c r="Q87" s="202">
        <f t="shared" si="5"/>
        <v>45874</v>
      </c>
      <c r="R87" s="203" t="s">
        <v>1289</v>
      </c>
      <c r="S87" s="204">
        <v>103035697</v>
      </c>
      <c r="T87" s="196" t="s">
        <v>1568</v>
      </c>
    </row>
    <row r="88" spans="1:20" ht="19">
      <c r="A88" s="196">
        <v>82</v>
      </c>
      <c r="B88" s="197">
        <v>45875</v>
      </c>
      <c r="C88" s="234" t="s">
        <v>1288</v>
      </c>
      <c r="D88" s="234" t="s">
        <v>1290</v>
      </c>
      <c r="E88" s="198">
        <v>998282791</v>
      </c>
      <c r="F88" s="196" t="s">
        <v>1569</v>
      </c>
      <c r="G88" s="198">
        <v>111000051</v>
      </c>
      <c r="H88" s="199" t="str">
        <f t="shared" si="4"/>
        <v>HLB 8416 "AIR FRY" - HORNO ELEC</v>
      </c>
      <c r="I88" s="199" t="s">
        <v>1541</v>
      </c>
      <c r="J88" s="200" t="s">
        <v>1046</v>
      </c>
      <c r="K88" s="201">
        <v>45805</v>
      </c>
      <c r="L88" s="199" t="s">
        <v>25</v>
      </c>
      <c r="M88" s="199" t="s">
        <v>63</v>
      </c>
      <c r="N88" s="199" t="s">
        <v>63</v>
      </c>
      <c r="O88" s="200" t="s">
        <v>1292</v>
      </c>
      <c r="P88" s="199" t="s">
        <v>24</v>
      </c>
      <c r="Q88" s="202">
        <f t="shared" si="5"/>
        <v>45874</v>
      </c>
      <c r="R88" s="203" t="s">
        <v>1289</v>
      </c>
      <c r="S88" s="204">
        <v>103035697</v>
      </c>
      <c r="T88" s="196" t="s">
        <v>1568</v>
      </c>
    </row>
    <row r="89" spans="1:20" ht="19">
      <c r="A89" s="196">
        <v>83</v>
      </c>
      <c r="B89" s="197">
        <v>45875</v>
      </c>
      <c r="C89" s="234" t="s">
        <v>1288</v>
      </c>
      <c r="D89" s="234" t="s">
        <v>1290</v>
      </c>
      <c r="E89" s="198">
        <v>998282791</v>
      </c>
      <c r="F89" s="196" t="s">
        <v>1569</v>
      </c>
      <c r="G89" s="198">
        <v>112580058</v>
      </c>
      <c r="H89" s="199" t="str">
        <f t="shared" si="4"/>
        <v>GBC 95030 KBB BK COCINA GAS</v>
      </c>
      <c r="I89" s="199" t="s">
        <v>1541</v>
      </c>
      <c r="J89" s="200" t="s">
        <v>1046</v>
      </c>
      <c r="K89" s="201">
        <v>45805</v>
      </c>
      <c r="L89" s="199" t="s">
        <v>25</v>
      </c>
      <c r="M89" s="199" t="s">
        <v>63</v>
      </c>
      <c r="N89" s="199" t="s">
        <v>63</v>
      </c>
      <c r="O89" s="200" t="s">
        <v>1287</v>
      </c>
      <c r="P89" s="199" t="s">
        <v>24</v>
      </c>
      <c r="Q89" s="202">
        <f t="shared" si="5"/>
        <v>45874</v>
      </c>
      <c r="R89" s="203" t="s">
        <v>1289</v>
      </c>
      <c r="S89" s="204">
        <v>103035697</v>
      </c>
      <c r="T89" s="196" t="s">
        <v>1568</v>
      </c>
    </row>
    <row r="90" spans="1:20" ht="19">
      <c r="A90" s="196">
        <v>84</v>
      </c>
      <c r="B90" s="197">
        <v>45875</v>
      </c>
      <c r="C90" s="234" t="s">
        <v>1288</v>
      </c>
      <c r="D90" s="234" t="s">
        <v>1290</v>
      </c>
      <c r="E90" s="198">
        <v>998282791</v>
      </c>
      <c r="F90" s="196" t="s">
        <v>1569</v>
      </c>
      <c r="G90" s="198">
        <v>40782127</v>
      </c>
      <c r="H90" s="199" t="str">
        <f t="shared" si="4"/>
        <v>DW8 57 FIM PANELABLE LAVAVAJILLAS</v>
      </c>
      <c r="I90" s="199" t="s">
        <v>1541</v>
      </c>
      <c r="J90" s="200" t="s">
        <v>1046</v>
      </c>
      <c r="K90" s="201">
        <v>45805</v>
      </c>
      <c r="L90" s="199" t="s">
        <v>25</v>
      </c>
      <c r="M90" s="199" t="s">
        <v>63</v>
      </c>
      <c r="N90" s="199" t="s">
        <v>63</v>
      </c>
      <c r="O90" s="200" t="s">
        <v>1293</v>
      </c>
      <c r="P90" s="199" t="s">
        <v>24</v>
      </c>
      <c r="Q90" s="202">
        <f t="shared" si="5"/>
        <v>45874</v>
      </c>
      <c r="R90" s="203" t="s">
        <v>1289</v>
      </c>
      <c r="S90" s="204">
        <v>103035697</v>
      </c>
      <c r="T90" s="196" t="s">
        <v>1568</v>
      </c>
    </row>
    <row r="91" spans="1:20" ht="19">
      <c r="A91" s="196">
        <v>85</v>
      </c>
      <c r="B91" s="197">
        <v>45875</v>
      </c>
      <c r="C91" s="234" t="s">
        <v>1288</v>
      </c>
      <c r="D91" s="234" t="s">
        <v>1290</v>
      </c>
      <c r="E91" s="198">
        <v>998282791</v>
      </c>
      <c r="F91" s="196" t="s">
        <v>1569</v>
      </c>
      <c r="G91" s="198">
        <v>40483182</v>
      </c>
      <c r="H91" s="199" t="str">
        <f t="shared" si="4"/>
        <v>CUERPO DPL ISLA 1180</v>
      </c>
      <c r="I91" s="199" t="s">
        <v>1541</v>
      </c>
      <c r="J91" s="200" t="s">
        <v>1046</v>
      </c>
      <c r="K91" s="201">
        <v>45805</v>
      </c>
      <c r="L91" s="199" t="s">
        <v>25</v>
      </c>
      <c r="M91" s="199" t="s">
        <v>63</v>
      </c>
      <c r="N91" s="199" t="s">
        <v>63</v>
      </c>
      <c r="O91" s="200" t="s">
        <v>1294</v>
      </c>
      <c r="P91" s="199" t="s">
        <v>24</v>
      </c>
      <c r="Q91" s="202">
        <f t="shared" si="5"/>
        <v>45874</v>
      </c>
      <c r="R91" s="203" t="s">
        <v>1289</v>
      </c>
      <c r="S91" s="204">
        <v>103035697</v>
      </c>
      <c r="T91" s="196" t="s">
        <v>1568</v>
      </c>
    </row>
    <row r="92" spans="1:20" ht="19">
      <c r="A92" s="196">
        <v>86</v>
      </c>
      <c r="B92" s="197">
        <v>45875</v>
      </c>
      <c r="C92" s="234" t="s">
        <v>1298</v>
      </c>
      <c r="D92" s="234" t="s">
        <v>1299</v>
      </c>
      <c r="E92" s="198">
        <v>317479916</v>
      </c>
      <c r="F92" s="196" t="s">
        <v>1569</v>
      </c>
      <c r="G92" s="198">
        <v>40467305</v>
      </c>
      <c r="H92" s="199" t="str">
        <f t="shared" si="4"/>
        <v>C 710 NEGRA CAMPANA (110V-60HZ) C/KIT</v>
      </c>
      <c r="I92" s="199" t="s">
        <v>1541</v>
      </c>
      <c r="J92" s="200" t="s">
        <v>1046</v>
      </c>
      <c r="K92" s="201">
        <v>45857</v>
      </c>
      <c r="L92" s="199" t="s">
        <v>25</v>
      </c>
      <c r="M92" s="199" t="s">
        <v>63</v>
      </c>
      <c r="N92" s="199" t="s">
        <v>63</v>
      </c>
      <c r="O92" s="200" t="s">
        <v>1296</v>
      </c>
      <c r="P92" s="199" t="s">
        <v>24</v>
      </c>
      <c r="Q92" s="202">
        <f t="shared" si="5"/>
        <v>45874</v>
      </c>
      <c r="R92" s="203" t="s">
        <v>1300</v>
      </c>
      <c r="S92" s="204">
        <v>103164562</v>
      </c>
      <c r="T92" s="196" t="s">
        <v>1568</v>
      </c>
    </row>
    <row r="93" spans="1:20" ht="19">
      <c r="A93" s="196">
        <v>87</v>
      </c>
      <c r="B93" s="197">
        <v>45875</v>
      </c>
      <c r="C93" s="234" t="s">
        <v>1298</v>
      </c>
      <c r="D93" s="234" t="s">
        <v>1299</v>
      </c>
      <c r="E93" s="198">
        <v>317479916</v>
      </c>
      <c r="F93" s="196" t="s">
        <v>1569</v>
      </c>
      <c r="G93" s="198">
        <v>112580058</v>
      </c>
      <c r="H93" s="199" t="str">
        <f t="shared" si="4"/>
        <v>GBC 95030 KBB BK COCINA GAS</v>
      </c>
      <c r="I93" s="199" t="s">
        <v>1541</v>
      </c>
      <c r="J93" s="200" t="s">
        <v>1046</v>
      </c>
      <c r="K93" s="201">
        <v>45857</v>
      </c>
      <c r="L93" s="199" t="s">
        <v>25</v>
      </c>
      <c r="M93" s="199" t="s">
        <v>63</v>
      </c>
      <c r="N93" s="199" t="s">
        <v>63</v>
      </c>
      <c r="O93" s="200" t="s">
        <v>1297</v>
      </c>
      <c r="P93" s="199" t="s">
        <v>24</v>
      </c>
      <c r="Q93" s="202">
        <f t="shared" si="5"/>
        <v>45874</v>
      </c>
      <c r="R93" s="203" t="s">
        <v>1300</v>
      </c>
      <c r="S93" s="204">
        <v>103164562</v>
      </c>
      <c r="T93" s="196" t="s">
        <v>1568</v>
      </c>
    </row>
    <row r="94" spans="1:20" ht="19">
      <c r="A94" s="196">
        <v>88</v>
      </c>
      <c r="B94" s="197">
        <v>45875</v>
      </c>
      <c r="C94" s="234" t="s">
        <v>1305</v>
      </c>
      <c r="D94" s="234" t="s">
        <v>1306</v>
      </c>
      <c r="E94" s="198">
        <v>3708771</v>
      </c>
      <c r="F94" s="196" t="s">
        <v>1569</v>
      </c>
      <c r="G94" s="198">
        <v>40461507</v>
      </c>
      <c r="H94" s="199" t="str">
        <f t="shared" si="4"/>
        <v>C 610 NEGRA CAMPANA (110V-60HZ) C/KIT</v>
      </c>
      <c r="I94" s="199" t="s">
        <v>1541</v>
      </c>
      <c r="J94" s="200" t="s">
        <v>1210</v>
      </c>
      <c r="K94" s="201">
        <v>45774</v>
      </c>
      <c r="L94" s="199" t="s">
        <v>25</v>
      </c>
      <c r="M94" s="199" t="s">
        <v>63</v>
      </c>
      <c r="N94" s="199" t="s">
        <v>63</v>
      </c>
      <c r="O94" s="200" t="s">
        <v>1302</v>
      </c>
      <c r="P94" s="199" t="s">
        <v>24</v>
      </c>
      <c r="Q94" s="202">
        <f t="shared" si="5"/>
        <v>45874</v>
      </c>
      <c r="R94" s="203" t="s">
        <v>1307</v>
      </c>
      <c r="S94" s="204">
        <v>157783762</v>
      </c>
      <c r="T94" s="196" t="s">
        <v>1568</v>
      </c>
    </row>
    <row r="95" spans="1:20" ht="19">
      <c r="A95" s="196">
        <v>89</v>
      </c>
      <c r="B95" s="197">
        <v>45875</v>
      </c>
      <c r="C95" s="234" t="s">
        <v>1305</v>
      </c>
      <c r="D95" s="234" t="s">
        <v>1306</v>
      </c>
      <c r="E95" s="198">
        <v>3708771</v>
      </c>
      <c r="F95" s="196" t="s">
        <v>1569</v>
      </c>
      <c r="G95" s="198">
        <v>112510035</v>
      </c>
      <c r="H95" s="199" t="str">
        <f t="shared" si="4"/>
        <v>IZF 64440 MSP BK COCINA INDUCCION</v>
      </c>
      <c r="I95" s="199" t="s">
        <v>1541</v>
      </c>
      <c r="J95" s="200" t="s">
        <v>1210</v>
      </c>
      <c r="K95" s="201">
        <v>45774</v>
      </c>
      <c r="L95" s="199" t="s">
        <v>25</v>
      </c>
      <c r="M95" s="199" t="s">
        <v>63</v>
      </c>
      <c r="N95" s="199" t="s">
        <v>63</v>
      </c>
      <c r="O95" s="200" t="s">
        <v>1303</v>
      </c>
      <c r="P95" s="199" t="s">
        <v>24</v>
      </c>
      <c r="Q95" s="202">
        <f t="shared" si="5"/>
        <v>45874</v>
      </c>
      <c r="R95" s="203" t="s">
        <v>1307</v>
      </c>
      <c r="S95" s="204">
        <v>157783762</v>
      </c>
      <c r="T95" s="196" t="s">
        <v>1568</v>
      </c>
    </row>
    <row r="96" spans="1:20" ht="19">
      <c r="A96" s="196">
        <v>90</v>
      </c>
      <c r="B96" s="197">
        <v>45875</v>
      </c>
      <c r="C96" s="234" t="s">
        <v>1305</v>
      </c>
      <c r="D96" s="234" t="s">
        <v>1306</v>
      </c>
      <c r="E96" s="198">
        <v>3708771</v>
      </c>
      <c r="F96" s="196" t="s">
        <v>1569</v>
      </c>
      <c r="G96" s="198">
        <v>111000051</v>
      </c>
      <c r="H96" s="199" t="str">
        <f t="shared" si="4"/>
        <v>HLB 8416 "AIR FRY" - HORNO ELEC</v>
      </c>
      <c r="I96" s="199" t="s">
        <v>1541</v>
      </c>
      <c r="J96" s="200" t="s">
        <v>1210</v>
      </c>
      <c r="K96" s="201">
        <v>45774</v>
      </c>
      <c r="L96" s="196" t="s">
        <v>25</v>
      </c>
      <c r="M96" s="196" t="s">
        <v>24</v>
      </c>
      <c r="N96" s="196" t="s">
        <v>24</v>
      </c>
      <c r="O96" s="200" t="s">
        <v>1304</v>
      </c>
      <c r="P96" s="196" t="s">
        <v>24</v>
      </c>
      <c r="Q96" s="202">
        <f t="shared" si="5"/>
        <v>45874</v>
      </c>
      <c r="R96" s="203" t="s">
        <v>1307</v>
      </c>
      <c r="S96" s="204">
        <v>157783762</v>
      </c>
      <c r="T96" s="196" t="s">
        <v>1568</v>
      </c>
    </row>
    <row r="97" spans="1:20" ht="19">
      <c r="A97" s="196">
        <v>91</v>
      </c>
      <c r="B97" s="197">
        <v>45875</v>
      </c>
      <c r="C97" s="234" t="s">
        <v>1313</v>
      </c>
      <c r="D97" s="234" t="s">
        <v>1314</v>
      </c>
      <c r="E97" s="198">
        <v>984459007</v>
      </c>
      <c r="F97" s="196" t="s">
        <v>1569</v>
      </c>
      <c r="G97" s="198">
        <v>112030019</v>
      </c>
      <c r="H97" s="199" t="str">
        <f t="shared" si="4"/>
        <v>ML 8220 BIS FBK- MICROONDAS</v>
      </c>
      <c r="I97" s="199" t="s">
        <v>1541</v>
      </c>
      <c r="J97" s="200" t="s">
        <v>1046</v>
      </c>
      <c r="K97" s="201">
        <v>45635</v>
      </c>
      <c r="L97" s="196" t="s">
        <v>25</v>
      </c>
      <c r="M97" s="196" t="s">
        <v>24</v>
      </c>
      <c r="N97" s="196" t="s">
        <v>24</v>
      </c>
      <c r="O97" s="200" t="s">
        <v>1309</v>
      </c>
      <c r="P97" s="196" t="s">
        <v>24</v>
      </c>
      <c r="Q97" s="202">
        <f t="shared" si="5"/>
        <v>45874</v>
      </c>
      <c r="R97" s="203" t="s">
        <v>1315</v>
      </c>
      <c r="S97" s="204">
        <v>1852871248</v>
      </c>
      <c r="T97" s="196" t="s">
        <v>1568</v>
      </c>
    </row>
    <row r="98" spans="1:20" ht="19">
      <c r="A98" s="196">
        <v>92</v>
      </c>
      <c r="B98" s="197">
        <v>45875</v>
      </c>
      <c r="C98" s="234" t="s">
        <v>1313</v>
      </c>
      <c r="D98" s="234" t="s">
        <v>1314</v>
      </c>
      <c r="E98" s="198">
        <v>984459007</v>
      </c>
      <c r="F98" s="196" t="s">
        <v>1569</v>
      </c>
      <c r="G98" s="198">
        <v>111000078</v>
      </c>
      <c r="H98" s="199" t="str">
        <f t="shared" si="4"/>
        <v>HLB 8400 FBK HORNO ELEC</v>
      </c>
      <c r="I98" s="199" t="s">
        <v>1541</v>
      </c>
      <c r="J98" s="200" t="s">
        <v>1046</v>
      </c>
      <c r="K98" s="201">
        <v>45635</v>
      </c>
      <c r="L98" s="196" t="s">
        <v>25</v>
      </c>
      <c r="M98" s="196" t="s">
        <v>24</v>
      </c>
      <c r="N98" s="196" t="s">
        <v>24</v>
      </c>
      <c r="O98" s="200" t="s">
        <v>1310</v>
      </c>
      <c r="P98" s="196" t="s">
        <v>24</v>
      </c>
      <c r="Q98" s="202">
        <f t="shared" si="5"/>
        <v>45874</v>
      </c>
      <c r="R98" s="203" t="s">
        <v>1315</v>
      </c>
      <c r="S98" s="204">
        <v>1852871248</v>
      </c>
      <c r="T98" s="196" t="s">
        <v>1568</v>
      </c>
    </row>
    <row r="99" spans="1:20" ht="19">
      <c r="A99" s="196">
        <v>93</v>
      </c>
      <c r="B99" s="197">
        <v>45875</v>
      </c>
      <c r="C99" s="234" t="s">
        <v>1313</v>
      </c>
      <c r="D99" s="234" t="s">
        <v>1314</v>
      </c>
      <c r="E99" s="198">
        <v>984459007</v>
      </c>
      <c r="F99" s="196" t="s">
        <v>1569</v>
      </c>
      <c r="G99" s="198">
        <v>112580058</v>
      </c>
      <c r="H99" s="199" t="str">
        <f t="shared" si="4"/>
        <v>GBC 95030 KBB BK COCINA GAS</v>
      </c>
      <c r="I99" s="199" t="s">
        <v>1541</v>
      </c>
      <c r="J99" s="200" t="s">
        <v>1046</v>
      </c>
      <c r="K99" s="201">
        <v>45635</v>
      </c>
      <c r="L99" s="199" t="s">
        <v>25</v>
      </c>
      <c r="M99" s="199" t="s">
        <v>63</v>
      </c>
      <c r="N99" s="199" t="s">
        <v>63</v>
      </c>
      <c r="O99" s="200" t="s">
        <v>1311</v>
      </c>
      <c r="P99" s="199" t="s">
        <v>24</v>
      </c>
      <c r="Q99" s="202">
        <f t="shared" si="5"/>
        <v>45874</v>
      </c>
      <c r="R99" s="203" t="s">
        <v>1315</v>
      </c>
      <c r="S99" s="204">
        <v>1852871248</v>
      </c>
      <c r="T99" s="196" t="s">
        <v>1568</v>
      </c>
    </row>
    <row r="100" spans="1:20" ht="19">
      <c r="A100" s="196">
        <v>94</v>
      </c>
      <c r="B100" s="197">
        <v>45875</v>
      </c>
      <c r="C100" s="234" t="s">
        <v>1313</v>
      </c>
      <c r="D100" s="234" t="s">
        <v>1314</v>
      </c>
      <c r="E100" s="198">
        <v>984459007</v>
      </c>
      <c r="F100" s="196" t="s">
        <v>1569</v>
      </c>
      <c r="G100" s="198">
        <v>113610005</v>
      </c>
      <c r="H100" s="199" t="str">
        <f t="shared" si="4"/>
        <v>RVF 10032 VINERA</v>
      </c>
      <c r="I100" s="199" t="s">
        <v>1541</v>
      </c>
      <c r="J100" s="200" t="s">
        <v>1046</v>
      </c>
      <c r="K100" s="201">
        <v>45635</v>
      </c>
      <c r="L100" s="196" t="s">
        <v>25</v>
      </c>
      <c r="M100" s="196" t="s">
        <v>24</v>
      </c>
      <c r="N100" s="196" t="s">
        <v>24</v>
      </c>
      <c r="O100" s="200" t="s">
        <v>1312</v>
      </c>
      <c r="P100" s="196" t="s">
        <v>24</v>
      </c>
      <c r="Q100" s="202">
        <f t="shared" si="5"/>
        <v>45874</v>
      </c>
      <c r="R100" s="203" t="s">
        <v>1315</v>
      </c>
      <c r="S100" s="204">
        <v>1852871248</v>
      </c>
      <c r="T100" s="196" t="s">
        <v>1568</v>
      </c>
    </row>
    <row r="101" spans="1:20" ht="19">
      <c r="A101" s="196">
        <v>95</v>
      </c>
      <c r="B101" s="209">
        <v>45875</v>
      </c>
      <c r="C101" s="235" t="s">
        <v>1417</v>
      </c>
      <c r="D101" s="235" t="s">
        <v>1418</v>
      </c>
      <c r="E101" s="196">
        <v>999529515</v>
      </c>
      <c r="F101" s="196" t="s">
        <v>1569</v>
      </c>
      <c r="G101" s="196">
        <v>111000050</v>
      </c>
      <c r="H101" s="199" t="str">
        <f t="shared" si="4"/>
        <v>HLB 8510 P "MAESTRO PIZZA"</v>
      </c>
      <c r="I101" s="199" t="s">
        <v>1541</v>
      </c>
      <c r="J101" s="196" t="s">
        <v>1414</v>
      </c>
      <c r="K101" s="209">
        <v>45049</v>
      </c>
      <c r="L101" s="196" t="s">
        <v>25</v>
      </c>
      <c r="M101" s="196" t="s">
        <v>24</v>
      </c>
      <c r="N101" s="196" t="s">
        <v>24</v>
      </c>
      <c r="O101" s="196" t="s">
        <v>1416</v>
      </c>
      <c r="P101" s="196" t="s">
        <v>24</v>
      </c>
      <c r="Q101" s="202">
        <f t="shared" si="5"/>
        <v>45874</v>
      </c>
      <c r="R101" s="210" t="s">
        <v>1420</v>
      </c>
      <c r="S101" s="211" t="s">
        <v>1419</v>
      </c>
      <c r="T101" s="196" t="s">
        <v>1568</v>
      </c>
    </row>
    <row r="102" spans="1:20" ht="19">
      <c r="A102" s="196">
        <v>96</v>
      </c>
      <c r="B102" s="197">
        <v>45876</v>
      </c>
      <c r="C102" s="234" t="s">
        <v>1321</v>
      </c>
      <c r="D102" s="234" t="s">
        <v>1322</v>
      </c>
      <c r="E102" s="198">
        <v>995300011</v>
      </c>
      <c r="F102" s="196" t="s">
        <v>1569</v>
      </c>
      <c r="G102" s="198">
        <v>40446712</v>
      </c>
      <c r="H102" s="199" t="str">
        <f t="shared" si="4"/>
        <v>GFH 73 INOX CAMPANA (110V-60HZ) C/KIT</v>
      </c>
      <c r="I102" s="199" t="s">
        <v>1541</v>
      </c>
      <c r="J102" s="200" t="s">
        <v>1172</v>
      </c>
      <c r="K102" s="201">
        <v>45551</v>
      </c>
      <c r="L102" s="196" t="s">
        <v>25</v>
      </c>
      <c r="M102" s="196" t="s">
        <v>24</v>
      </c>
      <c r="N102" s="196" t="s">
        <v>24</v>
      </c>
      <c r="O102" s="200" t="s">
        <v>1319</v>
      </c>
      <c r="P102" s="196" t="s">
        <v>24</v>
      </c>
      <c r="Q102" s="202">
        <f t="shared" si="5"/>
        <v>45875</v>
      </c>
      <c r="R102" s="203" t="s">
        <v>1323</v>
      </c>
      <c r="S102" s="204">
        <v>104406756</v>
      </c>
      <c r="T102" s="196" t="s">
        <v>1568</v>
      </c>
    </row>
    <row r="103" spans="1:20" ht="19">
      <c r="A103" s="196">
        <v>97</v>
      </c>
      <c r="B103" s="197">
        <v>45876</v>
      </c>
      <c r="C103" s="234" t="s">
        <v>1321</v>
      </c>
      <c r="D103" s="234" t="s">
        <v>1322</v>
      </c>
      <c r="E103" s="198">
        <v>995300011</v>
      </c>
      <c r="F103" s="196" t="s">
        <v>1569</v>
      </c>
      <c r="G103" s="198">
        <v>40446712</v>
      </c>
      <c r="H103" s="199" t="str">
        <f t="shared" ref="H103:H134" si="6">VLOOKUP(G103,PROD,2,FALSE)</f>
        <v>GFH 73 INOX CAMPANA (110V-60HZ) C/KIT</v>
      </c>
      <c r="I103" s="199" t="s">
        <v>1541</v>
      </c>
      <c r="J103" s="200" t="s">
        <v>1172</v>
      </c>
      <c r="K103" s="201">
        <v>45551</v>
      </c>
      <c r="L103" s="196" t="s">
        <v>25</v>
      </c>
      <c r="M103" s="196" t="s">
        <v>24</v>
      </c>
      <c r="N103" s="196" t="s">
        <v>24</v>
      </c>
      <c r="O103" s="200" t="s">
        <v>1320</v>
      </c>
      <c r="P103" s="196" t="s">
        <v>24</v>
      </c>
      <c r="Q103" s="202">
        <f t="shared" ref="Q103:Q134" si="7">B103-1</f>
        <v>45875</v>
      </c>
      <c r="R103" s="203" t="s">
        <v>1323</v>
      </c>
      <c r="S103" s="204">
        <v>104406756</v>
      </c>
      <c r="T103" s="196" t="s">
        <v>1568</v>
      </c>
    </row>
    <row r="104" spans="1:20" ht="19">
      <c r="A104" s="196">
        <v>98</v>
      </c>
      <c r="B104" s="197">
        <v>45876</v>
      </c>
      <c r="C104" s="234" t="s">
        <v>1329</v>
      </c>
      <c r="D104" s="234" t="s">
        <v>1327</v>
      </c>
      <c r="E104" s="198">
        <v>995259470</v>
      </c>
      <c r="F104" s="196" t="s">
        <v>1569</v>
      </c>
      <c r="G104" s="198">
        <v>40584012</v>
      </c>
      <c r="H104" s="199" t="str">
        <f t="shared" si="6"/>
        <v>MS 620 BIS - MICROONDAS</v>
      </c>
      <c r="I104" s="199" t="s">
        <v>1541</v>
      </c>
      <c r="J104" s="200" t="s">
        <v>1061</v>
      </c>
      <c r="K104" s="201">
        <v>45840</v>
      </c>
      <c r="L104" s="196" t="s">
        <v>25</v>
      </c>
      <c r="M104" s="196" t="s">
        <v>24</v>
      </c>
      <c r="N104" s="196" t="s">
        <v>24</v>
      </c>
      <c r="O104" s="200" t="s">
        <v>1325</v>
      </c>
      <c r="P104" s="196" t="s">
        <v>24</v>
      </c>
      <c r="Q104" s="202">
        <f t="shared" si="7"/>
        <v>45875</v>
      </c>
      <c r="R104" s="203" t="s">
        <v>1328</v>
      </c>
      <c r="S104" s="204">
        <v>151688541</v>
      </c>
      <c r="T104" s="196" t="s">
        <v>1568</v>
      </c>
    </row>
    <row r="105" spans="1:20" ht="19">
      <c r="A105" s="196">
        <v>99</v>
      </c>
      <c r="B105" s="197">
        <v>45876</v>
      </c>
      <c r="C105" s="234" t="s">
        <v>1329</v>
      </c>
      <c r="D105" s="234" t="s">
        <v>1327</v>
      </c>
      <c r="E105" s="198">
        <v>995259470</v>
      </c>
      <c r="F105" s="196" t="s">
        <v>1569</v>
      </c>
      <c r="G105" s="198">
        <v>41560124</v>
      </c>
      <c r="H105" s="199" t="str">
        <f t="shared" si="6"/>
        <v>HSB 615 INOX HORNO ELEC</v>
      </c>
      <c r="I105" s="199" t="s">
        <v>1541</v>
      </c>
      <c r="J105" s="200" t="s">
        <v>1061</v>
      </c>
      <c r="K105" s="201">
        <v>45840</v>
      </c>
      <c r="L105" s="196" t="s">
        <v>25</v>
      </c>
      <c r="M105" s="196" t="s">
        <v>24</v>
      </c>
      <c r="N105" s="196" t="s">
        <v>24</v>
      </c>
      <c r="O105" s="200" t="s">
        <v>1326</v>
      </c>
      <c r="P105" s="196" t="s">
        <v>24</v>
      </c>
      <c r="Q105" s="202">
        <f t="shared" si="7"/>
        <v>45875</v>
      </c>
      <c r="R105" s="203" t="s">
        <v>1328</v>
      </c>
      <c r="S105" s="204">
        <v>151688541</v>
      </c>
      <c r="T105" s="196" t="s">
        <v>1568</v>
      </c>
    </row>
    <row r="106" spans="1:20" ht="19">
      <c r="A106" s="196">
        <v>100</v>
      </c>
      <c r="B106" s="209">
        <v>45876</v>
      </c>
      <c r="C106" s="235" t="s">
        <v>1423</v>
      </c>
      <c r="D106" s="235" t="s">
        <v>1424</v>
      </c>
      <c r="E106" s="196">
        <v>990022750</v>
      </c>
      <c r="F106" s="196" t="s">
        <v>1569</v>
      </c>
      <c r="G106" s="196">
        <v>112510035</v>
      </c>
      <c r="H106" s="199" t="str">
        <f t="shared" si="6"/>
        <v>IZF 64440 MSP BK COCINA INDUCCION</v>
      </c>
      <c r="I106" s="199" t="s">
        <v>1541</v>
      </c>
      <c r="J106" s="196" t="s">
        <v>1216</v>
      </c>
      <c r="K106" s="209">
        <v>45875</v>
      </c>
      <c r="L106" s="196" t="s">
        <v>25</v>
      </c>
      <c r="M106" s="196" t="s">
        <v>24</v>
      </c>
      <c r="N106" s="196" t="s">
        <v>24</v>
      </c>
      <c r="O106" s="196" t="s">
        <v>1422</v>
      </c>
      <c r="P106" s="196" t="s">
        <v>24</v>
      </c>
      <c r="Q106" s="202">
        <f t="shared" si="7"/>
        <v>45875</v>
      </c>
      <c r="R106" s="210" t="s">
        <v>1426</v>
      </c>
      <c r="S106" s="211" t="s">
        <v>1425</v>
      </c>
      <c r="T106" s="196" t="s">
        <v>1568</v>
      </c>
    </row>
    <row r="107" spans="1:20" ht="19">
      <c r="A107" s="196">
        <v>101</v>
      </c>
      <c r="B107" s="197">
        <v>45877</v>
      </c>
      <c r="C107" s="234" t="s">
        <v>1334</v>
      </c>
      <c r="D107" s="234" t="s">
        <v>1220</v>
      </c>
      <c r="E107" s="198">
        <v>8616872</v>
      </c>
      <c r="F107" s="196" t="s">
        <v>1569</v>
      </c>
      <c r="G107" s="198">
        <v>112500046</v>
      </c>
      <c r="H107" s="199" t="str">
        <f t="shared" si="6"/>
        <v>IZF 88700 MST COCINA INDUCCION</v>
      </c>
      <c r="I107" s="199" t="s">
        <v>1541</v>
      </c>
      <c r="J107" s="200" t="s">
        <v>1172</v>
      </c>
      <c r="K107" s="201">
        <v>45874</v>
      </c>
      <c r="L107" s="196" t="s">
        <v>25</v>
      </c>
      <c r="M107" s="196" t="s">
        <v>24</v>
      </c>
      <c r="N107" s="196" t="s">
        <v>24</v>
      </c>
      <c r="O107" s="200" t="s">
        <v>1332</v>
      </c>
      <c r="P107" s="196" t="s">
        <v>24</v>
      </c>
      <c r="Q107" s="202">
        <f t="shared" si="7"/>
        <v>45876</v>
      </c>
      <c r="R107" s="203" t="s">
        <v>1335</v>
      </c>
      <c r="S107" s="204">
        <v>587320585</v>
      </c>
      <c r="T107" s="196" t="s">
        <v>1568</v>
      </c>
    </row>
    <row r="108" spans="1:20" ht="19">
      <c r="A108" s="196">
        <v>102</v>
      </c>
      <c r="B108" s="197">
        <v>45877</v>
      </c>
      <c r="C108" s="234" t="s">
        <v>1334</v>
      </c>
      <c r="D108" s="234" t="s">
        <v>1220</v>
      </c>
      <c r="E108" s="198">
        <v>8616872</v>
      </c>
      <c r="F108" s="196" t="s">
        <v>1569</v>
      </c>
      <c r="G108" s="198">
        <v>111000078</v>
      </c>
      <c r="H108" s="199" t="str">
        <f t="shared" si="6"/>
        <v>HLB 8400 FBK HORNO ELEC</v>
      </c>
      <c r="I108" s="199" t="s">
        <v>1541</v>
      </c>
      <c r="J108" s="200" t="s">
        <v>1172</v>
      </c>
      <c r="K108" s="201">
        <v>45874</v>
      </c>
      <c r="L108" s="196" t="s">
        <v>25</v>
      </c>
      <c r="M108" s="196" t="s">
        <v>24</v>
      </c>
      <c r="N108" s="196" t="s">
        <v>24</v>
      </c>
      <c r="O108" s="200" t="s">
        <v>1333</v>
      </c>
      <c r="P108" s="196" t="s">
        <v>24</v>
      </c>
      <c r="Q108" s="202">
        <f t="shared" si="7"/>
        <v>45876</v>
      </c>
      <c r="R108" s="203" t="s">
        <v>1335</v>
      </c>
      <c r="S108" s="204">
        <v>587320585</v>
      </c>
      <c r="T108" s="196" t="s">
        <v>1568</v>
      </c>
    </row>
    <row r="109" spans="1:20" ht="19">
      <c r="A109" s="196">
        <v>103</v>
      </c>
      <c r="B109" s="197">
        <v>45877</v>
      </c>
      <c r="C109" s="234" t="s">
        <v>1313</v>
      </c>
      <c r="D109" s="234" t="s">
        <v>1314</v>
      </c>
      <c r="E109" s="198">
        <v>984459007</v>
      </c>
      <c r="F109" s="196" t="s">
        <v>1569</v>
      </c>
      <c r="G109" s="198">
        <v>111000030</v>
      </c>
      <c r="H109" s="199" t="str">
        <f t="shared" si="6"/>
        <v>STEAKMASTER - HORNO ELEC</v>
      </c>
      <c r="I109" s="199" t="s">
        <v>1541</v>
      </c>
      <c r="J109" s="200" t="s">
        <v>1046</v>
      </c>
      <c r="K109" s="201">
        <v>45629</v>
      </c>
      <c r="L109" s="196" t="s">
        <v>25</v>
      </c>
      <c r="M109" s="196" t="s">
        <v>24</v>
      </c>
      <c r="N109" s="196" t="s">
        <v>24</v>
      </c>
      <c r="O109" s="200" t="s">
        <v>1336</v>
      </c>
      <c r="P109" s="196" t="s">
        <v>24</v>
      </c>
      <c r="Q109" s="202">
        <f t="shared" si="7"/>
        <v>45876</v>
      </c>
      <c r="R109" s="203" t="s">
        <v>1315</v>
      </c>
      <c r="S109" s="204">
        <v>1852871248</v>
      </c>
      <c r="T109" s="196" t="s">
        <v>1568</v>
      </c>
    </row>
    <row r="110" spans="1:20" ht="19">
      <c r="A110" s="196">
        <v>104</v>
      </c>
      <c r="B110" s="197">
        <v>45877</v>
      </c>
      <c r="C110" s="234" t="s">
        <v>1313</v>
      </c>
      <c r="D110" s="234" t="s">
        <v>1314</v>
      </c>
      <c r="E110" s="198">
        <v>984459007</v>
      </c>
      <c r="F110" s="196" t="s">
        <v>1569</v>
      </c>
      <c r="G110" s="198">
        <v>40782127</v>
      </c>
      <c r="H110" s="199" t="str">
        <f t="shared" si="6"/>
        <v>DW8 57 FIM PANELABLE LAVAVAJILLAS</v>
      </c>
      <c r="I110" s="199" t="s">
        <v>1541</v>
      </c>
      <c r="J110" s="200" t="s">
        <v>1046</v>
      </c>
      <c r="K110" s="201">
        <v>45629</v>
      </c>
      <c r="L110" s="196" t="s">
        <v>25</v>
      </c>
      <c r="M110" s="196" t="s">
        <v>24</v>
      </c>
      <c r="N110" s="196" t="s">
        <v>24</v>
      </c>
      <c r="O110" s="200" t="s">
        <v>1337</v>
      </c>
      <c r="P110" s="196" t="s">
        <v>24</v>
      </c>
      <c r="Q110" s="202">
        <f t="shared" si="7"/>
        <v>45876</v>
      </c>
      <c r="R110" s="203" t="s">
        <v>1315</v>
      </c>
      <c r="S110" s="204">
        <v>1852871248</v>
      </c>
      <c r="T110" s="196" t="s">
        <v>1568</v>
      </c>
    </row>
    <row r="111" spans="1:20" ht="19" customHeight="1">
      <c r="A111" s="196">
        <v>105</v>
      </c>
      <c r="B111" s="197">
        <v>45877</v>
      </c>
      <c r="C111" s="234" t="s">
        <v>1313</v>
      </c>
      <c r="D111" s="234" t="s">
        <v>1314</v>
      </c>
      <c r="E111" s="198">
        <v>984459007</v>
      </c>
      <c r="F111" s="196" t="s">
        <v>1569</v>
      </c>
      <c r="G111" s="198">
        <v>41598031</v>
      </c>
      <c r="H111" s="199" t="str">
        <f t="shared" si="6"/>
        <v>CAFETERA INTEGRACION CLC 855 GM INOX</v>
      </c>
      <c r="I111" s="199" t="s">
        <v>1541</v>
      </c>
      <c r="J111" s="200" t="s">
        <v>1046</v>
      </c>
      <c r="K111" s="201">
        <v>45629</v>
      </c>
      <c r="L111" s="196" t="s">
        <v>25</v>
      </c>
      <c r="M111" s="196" t="s">
        <v>24</v>
      </c>
      <c r="N111" s="196" t="s">
        <v>24</v>
      </c>
      <c r="O111" s="200" t="s">
        <v>1338</v>
      </c>
      <c r="P111" s="196" t="s">
        <v>24</v>
      </c>
      <c r="Q111" s="202">
        <f t="shared" si="7"/>
        <v>45876</v>
      </c>
      <c r="R111" s="203" t="s">
        <v>1315</v>
      </c>
      <c r="S111" s="204">
        <v>1852871248</v>
      </c>
      <c r="T111" s="196" t="s">
        <v>1568</v>
      </c>
    </row>
    <row r="112" spans="1:20" ht="19" customHeight="1">
      <c r="A112" s="196">
        <v>106</v>
      </c>
      <c r="B112" s="197">
        <v>45877</v>
      </c>
      <c r="C112" s="234" t="s">
        <v>1344</v>
      </c>
      <c r="D112" s="234" t="s">
        <v>1084</v>
      </c>
      <c r="E112" s="198">
        <v>983567767</v>
      </c>
      <c r="F112" s="196" t="s">
        <v>1569</v>
      </c>
      <c r="G112" s="198">
        <v>41560061</v>
      </c>
      <c r="H112" s="199" t="str">
        <f t="shared" si="6"/>
        <v>HLB 830 INOX HORNO ELEC</v>
      </c>
      <c r="I112" s="199" t="s">
        <v>1541</v>
      </c>
      <c r="J112" s="200" t="s">
        <v>1340</v>
      </c>
      <c r="K112" s="201">
        <v>45841</v>
      </c>
      <c r="L112" s="196" t="s">
        <v>25</v>
      </c>
      <c r="M112" s="196" t="s">
        <v>24</v>
      </c>
      <c r="N112" s="196" t="s">
        <v>24</v>
      </c>
      <c r="O112" s="245" t="s">
        <v>1342</v>
      </c>
      <c r="P112" s="196" t="s">
        <v>24</v>
      </c>
      <c r="Q112" s="202">
        <f t="shared" si="7"/>
        <v>45876</v>
      </c>
      <c r="R112" s="203" t="s">
        <v>1345</v>
      </c>
      <c r="S112" s="204">
        <v>105397426</v>
      </c>
      <c r="T112" s="196" t="s">
        <v>1568</v>
      </c>
    </row>
    <row r="113" spans="1:22" ht="19" customHeight="1">
      <c r="A113" s="196">
        <v>107</v>
      </c>
      <c r="B113" s="197">
        <v>45877</v>
      </c>
      <c r="C113" s="234" t="s">
        <v>1344</v>
      </c>
      <c r="D113" s="234" t="s">
        <v>1084</v>
      </c>
      <c r="E113" s="198">
        <v>983567767</v>
      </c>
      <c r="F113" s="196" t="s">
        <v>1569</v>
      </c>
      <c r="G113" s="198">
        <v>112580027</v>
      </c>
      <c r="H113" s="199" t="str">
        <f t="shared" si="6"/>
        <v>GBC 75030 KBB CRISTAL COCINA GAS</v>
      </c>
      <c r="I113" s="199" t="s">
        <v>1541</v>
      </c>
      <c r="J113" s="200" t="s">
        <v>1340</v>
      </c>
      <c r="K113" s="201">
        <v>45841</v>
      </c>
      <c r="L113" s="196" t="s">
        <v>25</v>
      </c>
      <c r="M113" s="196" t="s">
        <v>24</v>
      </c>
      <c r="N113" s="196" t="s">
        <v>24</v>
      </c>
      <c r="O113" s="200" t="s">
        <v>1343</v>
      </c>
      <c r="P113" s="196" t="s">
        <v>24</v>
      </c>
      <c r="Q113" s="202">
        <f t="shared" si="7"/>
        <v>45876</v>
      </c>
      <c r="R113" s="203" t="s">
        <v>1345</v>
      </c>
      <c r="S113" s="204">
        <v>105397426</v>
      </c>
      <c r="T113" s="196" t="s">
        <v>1568</v>
      </c>
    </row>
    <row r="114" spans="1:22" ht="19" customHeight="1">
      <c r="A114" s="196">
        <v>108</v>
      </c>
      <c r="B114" s="197">
        <v>45877</v>
      </c>
      <c r="C114" s="234" t="s">
        <v>1349</v>
      </c>
      <c r="D114" s="234" t="s">
        <v>1067</v>
      </c>
      <c r="E114" s="198">
        <v>9733935125</v>
      </c>
      <c r="F114" s="196" t="s">
        <v>1569</v>
      </c>
      <c r="G114" s="198">
        <v>112580027</v>
      </c>
      <c r="H114" s="199" t="str">
        <f t="shared" si="6"/>
        <v>GBC 75030 KBB CRISTAL COCINA GAS</v>
      </c>
      <c r="I114" s="199" t="s">
        <v>1541</v>
      </c>
      <c r="J114" s="200" t="s">
        <v>1061</v>
      </c>
      <c r="K114" s="201">
        <v>45877</v>
      </c>
      <c r="L114" s="196" t="s">
        <v>25</v>
      </c>
      <c r="M114" s="196" t="s">
        <v>24</v>
      </c>
      <c r="N114" s="196" t="s">
        <v>24</v>
      </c>
      <c r="O114" s="200" t="s">
        <v>1347</v>
      </c>
      <c r="P114" s="196" t="s">
        <v>24</v>
      </c>
      <c r="Q114" s="202">
        <f t="shared" si="7"/>
        <v>45876</v>
      </c>
      <c r="R114" s="203" t="s">
        <v>1350</v>
      </c>
      <c r="S114" s="204">
        <v>301409314</v>
      </c>
      <c r="T114" s="196" t="s">
        <v>1568</v>
      </c>
    </row>
    <row r="115" spans="1:22" ht="19" customHeight="1">
      <c r="A115" s="196">
        <v>109</v>
      </c>
      <c r="B115" s="197">
        <v>45877</v>
      </c>
      <c r="C115" s="234" t="s">
        <v>1349</v>
      </c>
      <c r="D115" s="234" t="s">
        <v>1067</v>
      </c>
      <c r="E115" s="198">
        <v>9733935125</v>
      </c>
      <c r="F115" s="196" t="s">
        <v>1569</v>
      </c>
      <c r="G115" s="198">
        <v>111010040</v>
      </c>
      <c r="H115" s="199" t="str">
        <f t="shared" si="6"/>
        <v>HSB 610 NEGRO HORNO ELEC</v>
      </c>
      <c r="I115" s="199" t="s">
        <v>1541</v>
      </c>
      <c r="J115" s="200" t="s">
        <v>1061</v>
      </c>
      <c r="K115" s="201">
        <v>45877</v>
      </c>
      <c r="L115" s="196" t="s">
        <v>25</v>
      </c>
      <c r="M115" s="196" t="s">
        <v>24</v>
      </c>
      <c r="N115" s="196" t="s">
        <v>24</v>
      </c>
      <c r="O115" s="200" t="s">
        <v>1348</v>
      </c>
      <c r="P115" s="196" t="s">
        <v>24</v>
      </c>
      <c r="Q115" s="202">
        <f t="shared" si="7"/>
        <v>45876</v>
      </c>
      <c r="R115" s="203" t="s">
        <v>1350</v>
      </c>
      <c r="S115" s="204">
        <v>301409314</v>
      </c>
      <c r="T115" s="196" t="s">
        <v>1568</v>
      </c>
    </row>
    <row r="116" spans="1:22" ht="19" customHeight="1">
      <c r="A116" s="196">
        <v>110</v>
      </c>
      <c r="B116" s="197">
        <v>45877</v>
      </c>
      <c r="C116" s="234" t="s">
        <v>1353</v>
      </c>
      <c r="D116" s="234" t="s">
        <v>1354</v>
      </c>
      <c r="E116" s="198">
        <v>984940306</v>
      </c>
      <c r="F116" s="196" t="s">
        <v>1569</v>
      </c>
      <c r="G116" s="198">
        <v>112580017</v>
      </c>
      <c r="H116" s="199" t="str">
        <f t="shared" si="6"/>
        <v>GBC 64000 KBB CRISTAL COCINA GAS</v>
      </c>
      <c r="I116" s="199" t="s">
        <v>1541</v>
      </c>
      <c r="J116" s="200" t="s">
        <v>1046</v>
      </c>
      <c r="K116" s="201">
        <v>45835</v>
      </c>
      <c r="L116" s="196" t="s">
        <v>25</v>
      </c>
      <c r="M116" s="196" t="s">
        <v>24</v>
      </c>
      <c r="N116" s="196" t="s">
        <v>24</v>
      </c>
      <c r="O116" s="200" t="s">
        <v>1352</v>
      </c>
      <c r="P116" s="196" t="s">
        <v>24</v>
      </c>
      <c r="Q116" s="202">
        <f t="shared" si="7"/>
        <v>45876</v>
      </c>
      <c r="R116" s="203" t="s">
        <v>1355</v>
      </c>
      <c r="S116" s="204">
        <v>1033358016</v>
      </c>
      <c r="T116" s="196" t="s">
        <v>1568</v>
      </c>
    </row>
    <row r="117" spans="1:22" ht="19" customHeight="1">
      <c r="A117" s="196">
        <v>111</v>
      </c>
      <c r="B117" s="197">
        <v>45877</v>
      </c>
      <c r="C117" s="234" t="s">
        <v>1353</v>
      </c>
      <c r="D117" s="234" t="s">
        <v>1354</v>
      </c>
      <c r="E117" s="198">
        <v>984940306</v>
      </c>
      <c r="F117" s="196" t="s">
        <v>1569</v>
      </c>
      <c r="G117" s="198">
        <v>40446712</v>
      </c>
      <c r="H117" s="199" t="str">
        <f t="shared" si="6"/>
        <v>GFH 73 INOX CAMPANA (110V-60HZ) C/KIT</v>
      </c>
      <c r="I117" s="199" t="s">
        <v>1541</v>
      </c>
      <c r="J117" s="200" t="s">
        <v>1046</v>
      </c>
      <c r="K117" s="201">
        <v>45835</v>
      </c>
      <c r="L117" s="196" t="s">
        <v>25</v>
      </c>
      <c r="M117" s="196" t="s">
        <v>24</v>
      </c>
      <c r="N117" s="196" t="s">
        <v>24</v>
      </c>
      <c r="O117" s="200" t="s">
        <v>1356</v>
      </c>
      <c r="P117" s="196" t="s">
        <v>24</v>
      </c>
      <c r="Q117" s="202">
        <f t="shared" si="7"/>
        <v>45876</v>
      </c>
      <c r="R117" s="203" t="s">
        <v>1355</v>
      </c>
      <c r="S117" s="204">
        <v>1033358016</v>
      </c>
      <c r="T117" s="196" t="s">
        <v>1568</v>
      </c>
    </row>
    <row r="118" spans="1:22" ht="19" customHeight="1">
      <c r="A118" s="196">
        <v>112</v>
      </c>
      <c r="B118" s="205">
        <v>45877</v>
      </c>
      <c r="C118" s="241" t="s">
        <v>1464</v>
      </c>
      <c r="D118" s="234" t="s">
        <v>1549</v>
      </c>
      <c r="E118" s="207">
        <v>992598515</v>
      </c>
      <c r="F118" s="196" t="s">
        <v>1570</v>
      </c>
      <c r="G118" s="206">
        <v>112500047</v>
      </c>
      <c r="H118" s="199" t="str">
        <f t="shared" si="6"/>
        <v>IZF 99700 MST COCINA INDUCCION</v>
      </c>
      <c r="I118" s="199" t="s">
        <v>1543</v>
      </c>
      <c r="J118" s="200" t="s">
        <v>1172</v>
      </c>
      <c r="K118" s="205">
        <v>45398</v>
      </c>
      <c r="L118" s="196" t="s">
        <v>25</v>
      </c>
      <c r="M118" s="196" t="s">
        <v>24</v>
      </c>
      <c r="N118" s="196" t="s">
        <v>24</v>
      </c>
      <c r="O118" s="206" t="s">
        <v>1463</v>
      </c>
      <c r="P118" s="196" t="s">
        <v>24</v>
      </c>
      <c r="Q118" s="202">
        <f t="shared" si="7"/>
        <v>45876</v>
      </c>
      <c r="R118" s="244" t="s">
        <v>1550</v>
      </c>
      <c r="S118" s="208" t="s">
        <v>1466</v>
      </c>
      <c r="T118" s="196" t="s">
        <v>1578</v>
      </c>
    </row>
    <row r="119" spans="1:22" ht="19" customHeight="1">
      <c r="A119" s="196">
        <v>113</v>
      </c>
      <c r="B119" s="209">
        <v>45877</v>
      </c>
      <c r="C119" s="235" t="s">
        <v>1429</v>
      </c>
      <c r="D119" s="235" t="s">
        <v>1430</v>
      </c>
      <c r="E119" s="196">
        <v>989381058</v>
      </c>
      <c r="F119" s="196" t="s">
        <v>1569</v>
      </c>
      <c r="G119" s="196">
        <v>111040006</v>
      </c>
      <c r="H119" s="199" t="str">
        <f t="shared" si="6"/>
        <v>HSB 750 G SS HORNO A GAS</v>
      </c>
      <c r="I119" s="199" t="s">
        <v>1541</v>
      </c>
      <c r="J119" s="196" t="s">
        <v>1046</v>
      </c>
      <c r="K119" s="209">
        <v>45869</v>
      </c>
      <c r="L119" s="196" t="s">
        <v>25</v>
      </c>
      <c r="M119" s="196" t="s">
        <v>24</v>
      </c>
      <c r="N119" s="196" t="s">
        <v>24</v>
      </c>
      <c r="O119" s="196" t="s">
        <v>1428</v>
      </c>
      <c r="P119" s="196" t="s">
        <v>24</v>
      </c>
      <c r="Q119" s="202">
        <f t="shared" si="7"/>
        <v>45876</v>
      </c>
      <c r="R119" s="210" t="s">
        <v>1432</v>
      </c>
      <c r="S119" s="211" t="s">
        <v>1431</v>
      </c>
      <c r="T119" s="196" t="s">
        <v>1568</v>
      </c>
    </row>
    <row r="120" spans="1:22" ht="19" customHeight="1">
      <c r="A120" s="196">
        <v>114</v>
      </c>
      <c r="B120" s="213">
        <v>45877</v>
      </c>
      <c r="C120" s="236" t="s">
        <v>1435</v>
      </c>
      <c r="D120" s="236" t="s">
        <v>1436</v>
      </c>
      <c r="E120" s="215">
        <v>997557010</v>
      </c>
      <c r="F120" s="196" t="s">
        <v>1569</v>
      </c>
      <c r="G120" s="216">
        <v>111570003</v>
      </c>
      <c r="H120" s="199" t="str">
        <f t="shared" si="6"/>
        <v>COCINA GOURMET BBQ 4100 G SS</v>
      </c>
      <c r="I120" s="199" t="s">
        <v>1541</v>
      </c>
      <c r="J120" s="214" t="s">
        <v>1046</v>
      </c>
      <c r="K120" s="213">
        <v>45875</v>
      </c>
      <c r="L120" s="196" t="s">
        <v>25</v>
      </c>
      <c r="M120" s="196" t="s">
        <v>24</v>
      </c>
      <c r="N120" s="196" t="s">
        <v>24</v>
      </c>
      <c r="O120" s="216" t="s">
        <v>1434</v>
      </c>
      <c r="P120" s="196" t="s">
        <v>24</v>
      </c>
      <c r="Q120" s="202">
        <f t="shared" si="7"/>
        <v>45876</v>
      </c>
      <c r="R120" s="217" t="s">
        <v>1438</v>
      </c>
      <c r="S120" s="218" t="s">
        <v>1437</v>
      </c>
      <c r="T120" s="196" t="s">
        <v>1568</v>
      </c>
      <c r="V120" t="s">
        <v>1714</v>
      </c>
    </row>
    <row r="121" spans="1:22" ht="19" customHeight="1">
      <c r="A121" s="196">
        <v>115</v>
      </c>
      <c r="B121" s="219">
        <v>45877</v>
      </c>
      <c r="C121" s="237" t="s">
        <v>1216</v>
      </c>
      <c r="D121" s="237" t="s">
        <v>1439</v>
      </c>
      <c r="E121" s="220" t="s">
        <v>1440</v>
      </c>
      <c r="F121" s="196" t="s">
        <v>1569</v>
      </c>
      <c r="G121" s="221">
        <v>40297051</v>
      </c>
      <c r="H121" s="199" t="str">
        <f t="shared" si="6"/>
        <v>COCINA A GAS FS3RS966GGX</v>
      </c>
      <c r="I121" s="199" t="s">
        <v>1541</v>
      </c>
      <c r="J121" s="222" t="s">
        <v>1551</v>
      </c>
      <c r="K121" s="223">
        <v>45877</v>
      </c>
      <c r="L121" s="196" t="s">
        <v>25</v>
      </c>
      <c r="M121" s="196" t="s">
        <v>24</v>
      </c>
      <c r="N121" s="196" t="s">
        <v>24</v>
      </c>
      <c r="O121" s="224">
        <v>325001708</v>
      </c>
      <c r="P121" s="196" t="s">
        <v>24</v>
      </c>
      <c r="Q121" s="202">
        <f t="shared" si="7"/>
        <v>45876</v>
      </c>
      <c r="R121" s="246" t="s">
        <v>1567</v>
      </c>
      <c r="S121" s="196">
        <v>107115093</v>
      </c>
      <c r="T121" s="196" t="s">
        <v>1568</v>
      </c>
    </row>
    <row r="122" spans="1:22" ht="19" customHeight="1">
      <c r="A122" s="196">
        <v>116</v>
      </c>
      <c r="B122" s="197">
        <v>45881</v>
      </c>
      <c r="C122" s="234" t="s">
        <v>1474</v>
      </c>
      <c r="D122" s="234" t="s">
        <v>1477</v>
      </c>
      <c r="E122" s="198">
        <v>983563405</v>
      </c>
      <c r="F122" s="196" t="s">
        <v>1569</v>
      </c>
      <c r="G122" s="198">
        <v>111000051</v>
      </c>
      <c r="H122" s="199" t="str">
        <f t="shared" si="6"/>
        <v>HLB 8416 "AIR FRY" - HORNO ELEC</v>
      </c>
      <c r="I122" s="199" t="s">
        <v>1541</v>
      </c>
      <c r="J122" s="200" t="s">
        <v>1046</v>
      </c>
      <c r="K122" s="201">
        <v>45773</v>
      </c>
      <c r="L122" s="196" t="s">
        <v>25</v>
      </c>
      <c r="M122" s="196" t="s">
        <v>24</v>
      </c>
      <c r="N122" s="196" t="s">
        <v>24</v>
      </c>
      <c r="O122" s="200" t="s">
        <v>1476</v>
      </c>
      <c r="P122" s="196" t="s">
        <v>24</v>
      </c>
      <c r="Q122" s="202">
        <f t="shared" si="7"/>
        <v>45880</v>
      </c>
      <c r="R122" s="203" t="s">
        <v>1478</v>
      </c>
      <c r="S122" s="204">
        <v>105784219</v>
      </c>
      <c r="T122" s="196" t="s">
        <v>1568</v>
      </c>
    </row>
    <row r="123" spans="1:22" ht="19" customHeight="1">
      <c r="A123" s="196">
        <v>117</v>
      </c>
      <c r="B123" s="197">
        <v>45881</v>
      </c>
      <c r="C123" s="234" t="s">
        <v>1474</v>
      </c>
      <c r="D123" s="234" t="s">
        <v>1477</v>
      </c>
      <c r="E123" s="198">
        <v>983563405</v>
      </c>
      <c r="F123" s="196" t="s">
        <v>1569</v>
      </c>
      <c r="G123" s="198">
        <v>112580027</v>
      </c>
      <c r="H123" s="199" t="str">
        <f t="shared" si="6"/>
        <v>GBC 75030 KBB CRISTAL COCINA GAS</v>
      </c>
      <c r="I123" s="199" t="s">
        <v>1541</v>
      </c>
      <c r="J123" s="200" t="s">
        <v>1046</v>
      </c>
      <c r="K123" s="201">
        <v>45773</v>
      </c>
      <c r="L123" s="196" t="s">
        <v>25</v>
      </c>
      <c r="M123" s="196" t="s">
        <v>24</v>
      </c>
      <c r="N123" s="196" t="s">
        <v>24</v>
      </c>
      <c r="O123" s="200" t="s">
        <v>1479</v>
      </c>
      <c r="P123" s="196" t="s">
        <v>24</v>
      </c>
      <c r="Q123" s="202">
        <f t="shared" si="7"/>
        <v>45880</v>
      </c>
      <c r="R123" s="203" t="s">
        <v>1478</v>
      </c>
      <c r="S123" s="204">
        <v>105784219</v>
      </c>
      <c r="T123" s="196" t="s">
        <v>1568</v>
      </c>
    </row>
    <row r="124" spans="1:22" ht="19" customHeight="1">
      <c r="A124" s="196">
        <v>118</v>
      </c>
      <c r="B124" s="205">
        <v>45881</v>
      </c>
      <c r="C124" s="241" t="s">
        <v>1519</v>
      </c>
      <c r="D124" s="234" t="s">
        <v>1545</v>
      </c>
      <c r="E124" s="207">
        <v>986379450</v>
      </c>
      <c r="F124" s="196" t="s">
        <v>1570</v>
      </c>
      <c r="G124" s="206">
        <v>111040006</v>
      </c>
      <c r="H124" s="199" t="str">
        <f t="shared" si="6"/>
        <v>HSB 750 G SS HORNO A GAS</v>
      </c>
      <c r="I124" s="199" t="s">
        <v>1543</v>
      </c>
      <c r="J124" s="200" t="s">
        <v>1046</v>
      </c>
      <c r="K124" s="205">
        <v>44960</v>
      </c>
      <c r="L124" s="196" t="s">
        <v>25</v>
      </c>
      <c r="M124" s="196" t="s">
        <v>24</v>
      </c>
      <c r="N124" s="196" t="s">
        <v>24</v>
      </c>
      <c r="O124" s="206" t="s">
        <v>1518</v>
      </c>
      <c r="P124" s="196" t="s">
        <v>24</v>
      </c>
      <c r="Q124" s="202">
        <f t="shared" si="7"/>
        <v>45880</v>
      </c>
      <c r="R124" s="244" t="s">
        <v>1548</v>
      </c>
      <c r="S124" s="208" t="s">
        <v>1521</v>
      </c>
      <c r="T124" s="196" t="s">
        <v>1579</v>
      </c>
    </row>
    <row r="125" spans="1:22" ht="19" customHeight="1">
      <c r="A125" s="196">
        <v>119</v>
      </c>
      <c r="B125" s="205">
        <v>45882</v>
      </c>
      <c r="C125" s="241" t="s">
        <v>1469</v>
      </c>
      <c r="D125" s="234" t="s">
        <v>1542</v>
      </c>
      <c r="E125" s="207">
        <v>984459007</v>
      </c>
      <c r="F125" s="196" t="s">
        <v>1570</v>
      </c>
      <c r="G125" s="206">
        <v>41598031</v>
      </c>
      <c r="H125" s="199" t="str">
        <f t="shared" si="6"/>
        <v>CAFETERA INTEGRACION CLC 855 GM INOX</v>
      </c>
      <c r="I125" s="199" t="s">
        <v>1543</v>
      </c>
      <c r="J125" s="200" t="s">
        <v>1046</v>
      </c>
      <c r="K125" s="205">
        <v>45635</v>
      </c>
      <c r="L125" s="196" t="s">
        <v>25</v>
      </c>
      <c r="M125" s="196" t="s">
        <v>24</v>
      </c>
      <c r="N125" s="196" t="s">
        <v>24</v>
      </c>
      <c r="O125" s="206" t="s">
        <v>1338</v>
      </c>
      <c r="P125" s="196" t="s">
        <v>24</v>
      </c>
      <c r="Q125" s="202">
        <f t="shared" si="7"/>
        <v>45881</v>
      </c>
      <c r="R125" s="244" t="s">
        <v>1544</v>
      </c>
      <c r="S125" s="208" t="s">
        <v>1471</v>
      </c>
      <c r="T125" s="196" t="s">
        <v>1580</v>
      </c>
    </row>
    <row r="126" spans="1:22" ht="19" customHeight="1">
      <c r="A126" s="196">
        <v>120</v>
      </c>
      <c r="B126" s="197">
        <v>45882</v>
      </c>
      <c r="C126" s="234" t="s">
        <v>1482</v>
      </c>
      <c r="D126" s="234" t="s">
        <v>1483</v>
      </c>
      <c r="E126" s="198">
        <v>974708255</v>
      </c>
      <c r="F126" s="196" t="s">
        <v>1569</v>
      </c>
      <c r="G126" s="198">
        <v>40782128</v>
      </c>
      <c r="H126" s="199" t="str">
        <f t="shared" si="6"/>
        <v>DW8 57 FIM-D LAVAVAJILLAS</v>
      </c>
      <c r="I126" s="199" t="s">
        <v>1541</v>
      </c>
      <c r="J126" s="200" t="s">
        <v>1061</v>
      </c>
      <c r="K126" s="201">
        <v>45682</v>
      </c>
      <c r="L126" s="196" t="s">
        <v>25</v>
      </c>
      <c r="M126" s="196" t="s">
        <v>24</v>
      </c>
      <c r="N126" s="196" t="s">
        <v>24</v>
      </c>
      <c r="O126" s="200" t="s">
        <v>1481</v>
      </c>
      <c r="P126" s="196" t="s">
        <v>24</v>
      </c>
      <c r="Q126" s="202">
        <f t="shared" si="7"/>
        <v>45881</v>
      </c>
      <c r="R126" s="203" t="s">
        <v>1484</v>
      </c>
      <c r="S126" s="204">
        <v>104483367</v>
      </c>
      <c r="T126" s="196" t="s">
        <v>1568</v>
      </c>
    </row>
    <row r="127" spans="1:22" ht="19" customHeight="1">
      <c r="A127" s="196">
        <v>121</v>
      </c>
      <c r="B127" s="197">
        <v>45882</v>
      </c>
      <c r="C127" s="234" t="s">
        <v>1482</v>
      </c>
      <c r="D127" s="234" t="s">
        <v>1483</v>
      </c>
      <c r="E127" s="198">
        <v>974708255</v>
      </c>
      <c r="F127" s="196" t="s">
        <v>1569</v>
      </c>
      <c r="G127" s="198">
        <v>112610071</v>
      </c>
      <c r="H127" s="199" t="str">
        <f t="shared" si="6"/>
        <v>GSC 64320 XBA IX (LAT) COCINA INOX</v>
      </c>
      <c r="I127" s="199" t="s">
        <v>1541</v>
      </c>
      <c r="J127" s="200" t="s">
        <v>1172</v>
      </c>
      <c r="K127" s="201">
        <v>45382</v>
      </c>
      <c r="L127" s="196" t="s">
        <v>25</v>
      </c>
      <c r="M127" s="196" t="s">
        <v>24</v>
      </c>
      <c r="N127" s="196" t="s">
        <v>24</v>
      </c>
      <c r="O127" s="200" t="s">
        <v>1485</v>
      </c>
      <c r="P127" s="196" t="s">
        <v>24</v>
      </c>
      <c r="Q127" s="202">
        <f t="shared" si="7"/>
        <v>45881</v>
      </c>
      <c r="R127" s="203" t="s">
        <v>1484</v>
      </c>
      <c r="S127" s="204">
        <v>104483367</v>
      </c>
      <c r="T127" s="196" t="s">
        <v>1568</v>
      </c>
    </row>
    <row r="128" spans="1:22" ht="19" customHeight="1">
      <c r="A128" s="196">
        <v>122</v>
      </c>
      <c r="B128" s="197">
        <v>45882</v>
      </c>
      <c r="C128" s="234" t="s">
        <v>1482</v>
      </c>
      <c r="D128" s="234" t="s">
        <v>1483</v>
      </c>
      <c r="E128" s="198">
        <v>974708255</v>
      </c>
      <c r="F128" s="196" t="s">
        <v>1569</v>
      </c>
      <c r="G128" s="198">
        <v>40584401</v>
      </c>
      <c r="H128" s="199" t="str">
        <f t="shared" si="6"/>
        <v>MLC 844 - MICROONDAS</v>
      </c>
      <c r="I128" s="199" t="s">
        <v>1541</v>
      </c>
      <c r="J128" s="200" t="s">
        <v>1061</v>
      </c>
      <c r="K128" s="201">
        <v>45682</v>
      </c>
      <c r="L128" s="196" t="s">
        <v>25</v>
      </c>
      <c r="M128" s="196" t="s">
        <v>24</v>
      </c>
      <c r="N128" s="196" t="s">
        <v>24</v>
      </c>
      <c r="O128" s="200" t="s">
        <v>1486</v>
      </c>
      <c r="P128" s="196" t="s">
        <v>24</v>
      </c>
      <c r="Q128" s="202">
        <f t="shared" si="7"/>
        <v>45881</v>
      </c>
      <c r="R128" s="203" t="s">
        <v>1484</v>
      </c>
      <c r="S128" s="204">
        <v>104483367</v>
      </c>
      <c r="T128" s="196" t="s">
        <v>1568</v>
      </c>
    </row>
    <row r="129" spans="1:20" ht="19" customHeight="1">
      <c r="A129" s="196">
        <v>123</v>
      </c>
      <c r="B129" s="197">
        <v>45882</v>
      </c>
      <c r="C129" s="234" t="s">
        <v>1491</v>
      </c>
      <c r="D129" s="234" t="s">
        <v>1492</v>
      </c>
      <c r="E129" s="198">
        <v>987519109</v>
      </c>
      <c r="F129" s="196" t="s">
        <v>1569</v>
      </c>
      <c r="G129" s="198">
        <v>112580058</v>
      </c>
      <c r="H129" s="199" t="str">
        <f t="shared" si="6"/>
        <v>GBC 95030 KBB BK COCINA GAS</v>
      </c>
      <c r="I129" s="199" t="s">
        <v>1541</v>
      </c>
      <c r="J129" s="200" t="s">
        <v>1046</v>
      </c>
      <c r="K129" s="201">
        <v>45780</v>
      </c>
      <c r="L129" s="196" t="s">
        <v>25</v>
      </c>
      <c r="M129" s="196" t="s">
        <v>24</v>
      </c>
      <c r="N129" s="196" t="s">
        <v>24</v>
      </c>
      <c r="O129" s="200" t="s">
        <v>1489</v>
      </c>
      <c r="P129" s="196" t="s">
        <v>24</v>
      </c>
      <c r="Q129" s="202">
        <f t="shared" si="7"/>
        <v>45881</v>
      </c>
      <c r="R129" s="203" t="s">
        <v>1493</v>
      </c>
      <c r="S129" s="204">
        <v>104671938</v>
      </c>
      <c r="T129" s="196" t="s">
        <v>1568</v>
      </c>
    </row>
    <row r="130" spans="1:20" ht="19" customHeight="1">
      <c r="A130" s="196">
        <v>124</v>
      </c>
      <c r="B130" s="197">
        <v>45882</v>
      </c>
      <c r="C130" s="234" t="s">
        <v>1491</v>
      </c>
      <c r="D130" s="234" t="s">
        <v>1492</v>
      </c>
      <c r="E130" s="198">
        <v>987519109</v>
      </c>
      <c r="F130" s="196" t="s">
        <v>1569</v>
      </c>
      <c r="G130" s="198">
        <v>111010040</v>
      </c>
      <c r="H130" s="199" t="str">
        <f t="shared" si="6"/>
        <v>HSB 610 NEGRO HORNO ELEC</v>
      </c>
      <c r="I130" s="199" t="s">
        <v>1541</v>
      </c>
      <c r="J130" s="200" t="s">
        <v>1046</v>
      </c>
      <c r="K130" s="201">
        <v>45878</v>
      </c>
      <c r="L130" s="196" t="s">
        <v>25</v>
      </c>
      <c r="M130" s="196" t="s">
        <v>24</v>
      </c>
      <c r="N130" s="196" t="s">
        <v>24</v>
      </c>
      <c r="O130" s="200" t="s">
        <v>1490</v>
      </c>
      <c r="P130" s="196" t="s">
        <v>24</v>
      </c>
      <c r="Q130" s="202">
        <f t="shared" si="7"/>
        <v>45881</v>
      </c>
      <c r="R130" s="203" t="s">
        <v>1493</v>
      </c>
      <c r="S130" s="204">
        <v>104671938</v>
      </c>
      <c r="T130" s="196" t="s">
        <v>1568</v>
      </c>
    </row>
    <row r="131" spans="1:20" ht="19" customHeight="1">
      <c r="A131" s="196">
        <v>125</v>
      </c>
      <c r="B131" s="205">
        <v>45882</v>
      </c>
      <c r="C131" s="241" t="s">
        <v>1525</v>
      </c>
      <c r="D131" s="234" t="s">
        <v>1545</v>
      </c>
      <c r="E131" s="207">
        <v>992150336</v>
      </c>
      <c r="F131" s="196" t="s">
        <v>1570</v>
      </c>
      <c r="G131" s="206">
        <v>113430018</v>
      </c>
      <c r="H131" s="199" t="str">
        <f t="shared" si="6"/>
        <v>RLF 74920 SS SBS REFRIGERADORA</v>
      </c>
      <c r="I131" s="199" t="s">
        <v>1543</v>
      </c>
      <c r="J131" s="200" t="s">
        <v>1546</v>
      </c>
      <c r="K131" s="205">
        <v>45748</v>
      </c>
      <c r="L131" s="196" t="s">
        <v>25</v>
      </c>
      <c r="M131" s="196" t="s">
        <v>24</v>
      </c>
      <c r="N131" s="196" t="s">
        <v>24</v>
      </c>
      <c r="O131" s="206" t="s">
        <v>1524</v>
      </c>
      <c r="P131" s="196" t="s">
        <v>24</v>
      </c>
      <c r="Q131" s="202">
        <f t="shared" si="7"/>
        <v>45881</v>
      </c>
      <c r="R131" s="244" t="s">
        <v>1547</v>
      </c>
      <c r="S131" s="208" t="s">
        <v>1527</v>
      </c>
      <c r="T131" s="196" t="s">
        <v>1581</v>
      </c>
    </row>
    <row r="132" spans="1:20" ht="19" customHeight="1">
      <c r="A132" s="196">
        <v>126</v>
      </c>
      <c r="B132" s="209">
        <v>45882</v>
      </c>
      <c r="C132" s="235" t="s">
        <v>1443</v>
      </c>
      <c r="D132" s="235" t="s">
        <v>1444</v>
      </c>
      <c r="E132" s="196">
        <v>939249770</v>
      </c>
      <c r="F132" s="196" t="s">
        <v>1569</v>
      </c>
      <c r="G132" s="196">
        <v>112570073</v>
      </c>
      <c r="H132" s="199" t="str">
        <f t="shared" si="6"/>
        <v>GZC 96310 XBB CRISTAL COCINA GAS</v>
      </c>
      <c r="I132" s="199" t="s">
        <v>1541</v>
      </c>
      <c r="J132" s="196" t="s">
        <v>1216</v>
      </c>
      <c r="K132" s="209">
        <v>45881</v>
      </c>
      <c r="L132" s="196" t="s">
        <v>25</v>
      </c>
      <c r="M132" s="196" t="s">
        <v>24</v>
      </c>
      <c r="N132" s="196" t="s">
        <v>24</v>
      </c>
      <c r="O132" s="196" t="s">
        <v>1442</v>
      </c>
      <c r="P132" s="196" t="s">
        <v>24</v>
      </c>
      <c r="Q132" s="202">
        <f t="shared" si="7"/>
        <v>45881</v>
      </c>
      <c r="R132" s="210" t="s">
        <v>1446</v>
      </c>
      <c r="S132" s="211" t="s">
        <v>1445</v>
      </c>
      <c r="T132" s="196" t="s">
        <v>1568</v>
      </c>
    </row>
    <row r="133" spans="1:20" ht="19" customHeight="1">
      <c r="A133" s="196">
        <v>127</v>
      </c>
      <c r="B133" s="209">
        <v>45882</v>
      </c>
      <c r="C133" s="235" t="s">
        <v>1449</v>
      </c>
      <c r="D133" s="235" t="s">
        <v>1450</v>
      </c>
      <c r="E133" s="196">
        <v>999745995</v>
      </c>
      <c r="F133" s="196" t="s">
        <v>1569</v>
      </c>
      <c r="G133" s="196">
        <v>114270008</v>
      </c>
      <c r="H133" s="199" t="str">
        <f t="shared" si="6"/>
        <v>LAVAVAJILLAS DFI 46900 120 60 WH</v>
      </c>
      <c r="I133" s="199" t="s">
        <v>1541</v>
      </c>
      <c r="J133" s="196" t="s">
        <v>1046</v>
      </c>
      <c r="K133" s="209">
        <v>45849</v>
      </c>
      <c r="L133" s="196" t="s">
        <v>25</v>
      </c>
      <c r="M133" s="196" t="s">
        <v>24</v>
      </c>
      <c r="N133" s="196" t="s">
        <v>24</v>
      </c>
      <c r="O133" s="196" t="s">
        <v>1448</v>
      </c>
      <c r="P133" s="196" t="s">
        <v>24</v>
      </c>
      <c r="Q133" s="202">
        <f t="shared" si="7"/>
        <v>45881</v>
      </c>
      <c r="R133" s="210" t="s">
        <v>1452</v>
      </c>
      <c r="S133" s="211" t="s">
        <v>1451</v>
      </c>
      <c r="T133" s="196" t="s">
        <v>1568</v>
      </c>
    </row>
    <row r="134" spans="1:20" ht="19" customHeight="1">
      <c r="A134" s="196">
        <v>128</v>
      </c>
      <c r="B134" s="209">
        <v>45882</v>
      </c>
      <c r="C134" s="235" t="s">
        <v>1502</v>
      </c>
      <c r="D134" s="235" t="s">
        <v>1503</v>
      </c>
      <c r="E134" s="196">
        <v>997334521</v>
      </c>
      <c r="F134" s="196" t="s">
        <v>1569</v>
      </c>
      <c r="G134" s="196">
        <v>40466111</v>
      </c>
      <c r="H134" s="199" t="str">
        <f t="shared" si="6"/>
        <v>C 910 NEGRA CAMPANA (110V-60HZ) C/KIT</v>
      </c>
      <c r="I134" s="199" t="s">
        <v>1541</v>
      </c>
      <c r="J134" s="196" t="s">
        <v>1046</v>
      </c>
      <c r="K134" s="209">
        <v>45881</v>
      </c>
      <c r="L134" s="196" t="s">
        <v>25</v>
      </c>
      <c r="M134" s="196" t="s">
        <v>24</v>
      </c>
      <c r="N134" s="196" t="s">
        <v>24</v>
      </c>
      <c r="O134" s="196" t="s">
        <v>1501</v>
      </c>
      <c r="P134" s="196" t="s">
        <v>24</v>
      </c>
      <c r="Q134" s="202">
        <f t="shared" si="7"/>
        <v>45881</v>
      </c>
      <c r="R134" s="212" t="s">
        <v>1505</v>
      </c>
      <c r="S134" s="211" t="s">
        <v>1504</v>
      </c>
      <c r="T134" s="196" t="s">
        <v>1568</v>
      </c>
    </row>
    <row r="135" spans="1:20" ht="19" customHeight="1">
      <c r="A135" s="196">
        <v>129</v>
      </c>
      <c r="B135" s="209">
        <v>45882</v>
      </c>
      <c r="C135" s="235" t="s">
        <v>1508</v>
      </c>
      <c r="D135" s="235" t="s">
        <v>1509</v>
      </c>
      <c r="E135" s="196">
        <v>982588031</v>
      </c>
      <c r="F135" s="196" t="s">
        <v>1569</v>
      </c>
      <c r="G135" s="196">
        <v>40466111</v>
      </c>
      <c r="H135" s="199" t="str">
        <f t="shared" ref="H135:H141" si="8">VLOOKUP(G135,PROD,2,FALSE)</f>
        <v>C 910 NEGRA CAMPANA (110V-60HZ) C/KIT</v>
      </c>
      <c r="I135" s="199" t="s">
        <v>1541</v>
      </c>
      <c r="J135" s="196" t="s">
        <v>1061</v>
      </c>
      <c r="K135" s="209">
        <v>45878</v>
      </c>
      <c r="L135" s="196" t="s">
        <v>25</v>
      </c>
      <c r="M135" s="196" t="s">
        <v>24</v>
      </c>
      <c r="N135" s="196" t="s">
        <v>24</v>
      </c>
      <c r="O135" s="196" t="s">
        <v>1507</v>
      </c>
      <c r="P135" s="196" t="s">
        <v>24</v>
      </c>
      <c r="Q135" s="202">
        <f t="shared" ref="Q135:Q141" si="9">B135-1</f>
        <v>45881</v>
      </c>
      <c r="R135" s="210" t="s">
        <v>1511</v>
      </c>
      <c r="S135" s="211" t="s">
        <v>1510</v>
      </c>
      <c r="T135" s="196" t="s">
        <v>1568</v>
      </c>
    </row>
    <row r="136" spans="1:20" ht="19" customHeight="1">
      <c r="A136" s="196">
        <v>130</v>
      </c>
      <c r="B136" s="209">
        <v>45882</v>
      </c>
      <c r="C136" s="235" t="s">
        <v>1514</v>
      </c>
      <c r="D136" s="235" t="s">
        <v>1515</v>
      </c>
      <c r="E136" s="196">
        <v>960851881</v>
      </c>
      <c r="F136" s="196" t="s">
        <v>1569</v>
      </c>
      <c r="G136" s="196">
        <v>40466111</v>
      </c>
      <c r="H136" s="199" t="str">
        <f t="shared" si="8"/>
        <v>C 910 NEGRA CAMPANA (110V-60HZ) C/KIT</v>
      </c>
      <c r="I136" s="199" t="s">
        <v>1541</v>
      </c>
      <c r="J136" s="196" t="s">
        <v>1061</v>
      </c>
      <c r="K136" s="209">
        <v>45879</v>
      </c>
      <c r="L136" s="196" t="s">
        <v>25</v>
      </c>
      <c r="M136" s="196" t="s">
        <v>24</v>
      </c>
      <c r="N136" s="196" t="s">
        <v>24</v>
      </c>
      <c r="O136" s="196" t="s">
        <v>1513</v>
      </c>
      <c r="P136" s="196" t="s">
        <v>24</v>
      </c>
      <c r="Q136" s="202">
        <f t="shared" si="9"/>
        <v>45881</v>
      </c>
      <c r="R136" s="210" t="s">
        <v>1517</v>
      </c>
      <c r="S136" s="211" t="s">
        <v>1516</v>
      </c>
      <c r="T136" s="196" t="s">
        <v>1568</v>
      </c>
    </row>
    <row r="137" spans="1:20" ht="19" customHeight="1">
      <c r="A137" s="196">
        <v>131</v>
      </c>
      <c r="B137" s="197">
        <v>45883</v>
      </c>
      <c r="C137" s="234" t="s">
        <v>1498</v>
      </c>
      <c r="D137" s="234" t="s">
        <v>1220</v>
      </c>
      <c r="E137" s="198">
        <v>998470332</v>
      </c>
      <c r="F137" s="196" t="s">
        <v>1569</v>
      </c>
      <c r="G137" s="198">
        <v>112960004</v>
      </c>
      <c r="H137" s="199" t="str">
        <f t="shared" si="8"/>
        <v>DPL 980 CAMPANA (110V-60HZ) C/KIT</v>
      </c>
      <c r="I137" s="199" t="s">
        <v>1541</v>
      </c>
      <c r="J137" s="200" t="s">
        <v>1046</v>
      </c>
      <c r="K137" s="201">
        <v>45632</v>
      </c>
      <c r="L137" s="196" t="s">
        <v>25</v>
      </c>
      <c r="M137" s="196" t="s">
        <v>24</v>
      </c>
      <c r="N137" s="196" t="s">
        <v>24</v>
      </c>
      <c r="O137" s="200" t="s">
        <v>1496</v>
      </c>
      <c r="P137" s="196" t="s">
        <v>24</v>
      </c>
      <c r="Q137" s="202">
        <f t="shared" si="9"/>
        <v>45882</v>
      </c>
      <c r="R137" s="203" t="s">
        <v>1499</v>
      </c>
      <c r="S137" s="204">
        <v>152551396</v>
      </c>
      <c r="T137" s="196" t="s">
        <v>1568</v>
      </c>
    </row>
    <row r="138" spans="1:20" ht="19" customHeight="1">
      <c r="A138" s="196">
        <v>132</v>
      </c>
      <c r="B138" s="197">
        <v>45883</v>
      </c>
      <c r="C138" s="234" t="s">
        <v>1498</v>
      </c>
      <c r="D138" s="234" t="s">
        <v>1220</v>
      </c>
      <c r="E138" s="198">
        <v>998470332</v>
      </c>
      <c r="F138" s="196" t="s">
        <v>1569</v>
      </c>
      <c r="G138" s="198">
        <v>112500048</v>
      </c>
      <c r="H138" s="199" t="str">
        <f t="shared" si="8"/>
        <v>IZS 97630 MST COCINA INDUCCION</v>
      </c>
      <c r="I138" s="199" t="s">
        <v>1541</v>
      </c>
      <c r="J138" s="200" t="s">
        <v>1046</v>
      </c>
      <c r="K138" s="201">
        <v>45632</v>
      </c>
      <c r="L138" s="196" t="s">
        <v>25</v>
      </c>
      <c r="M138" s="196" t="s">
        <v>24</v>
      </c>
      <c r="N138" s="196" t="s">
        <v>24</v>
      </c>
      <c r="O138" s="200" t="s">
        <v>1497</v>
      </c>
      <c r="P138" s="196" t="s">
        <v>24</v>
      </c>
      <c r="Q138" s="202">
        <f t="shared" si="9"/>
        <v>45882</v>
      </c>
      <c r="R138" s="203" t="s">
        <v>1499</v>
      </c>
      <c r="S138" s="204">
        <v>152551396</v>
      </c>
      <c r="T138" s="196" t="s">
        <v>1568</v>
      </c>
    </row>
    <row r="139" spans="1:20" ht="19" customHeight="1">
      <c r="A139" s="196">
        <v>133</v>
      </c>
      <c r="B139" s="197">
        <v>45883</v>
      </c>
      <c r="C139" s="234" t="s">
        <v>1538</v>
      </c>
      <c r="D139" s="234" t="s">
        <v>1492</v>
      </c>
      <c r="E139" s="198">
        <v>989546457</v>
      </c>
      <c r="F139" s="196" t="s">
        <v>1569</v>
      </c>
      <c r="G139" s="198">
        <v>112570068</v>
      </c>
      <c r="H139" s="199" t="str">
        <f t="shared" si="8"/>
        <v>GZC 95320 XBB CRISTAL COCINA GAS</v>
      </c>
      <c r="I139" s="199" t="s">
        <v>1541</v>
      </c>
      <c r="J139" s="200" t="s">
        <v>1210</v>
      </c>
      <c r="K139" s="201">
        <v>45687</v>
      </c>
      <c r="L139" s="196" t="s">
        <v>25</v>
      </c>
      <c r="M139" s="196" t="s">
        <v>24</v>
      </c>
      <c r="N139" s="196" t="s">
        <v>24</v>
      </c>
      <c r="O139" s="200" t="s">
        <v>1535</v>
      </c>
      <c r="P139" s="196" t="s">
        <v>24</v>
      </c>
      <c r="Q139" s="202">
        <f t="shared" si="9"/>
        <v>45882</v>
      </c>
      <c r="R139" s="203" t="s">
        <v>1540</v>
      </c>
      <c r="S139" s="204" t="s">
        <v>1539</v>
      </c>
      <c r="T139" s="196" t="s">
        <v>1568</v>
      </c>
    </row>
    <row r="140" spans="1:20" ht="19" customHeight="1">
      <c r="A140" s="196">
        <v>134</v>
      </c>
      <c r="B140" s="197">
        <v>45883</v>
      </c>
      <c r="C140" s="234" t="s">
        <v>1538</v>
      </c>
      <c r="D140" s="234" t="s">
        <v>1492</v>
      </c>
      <c r="E140" s="198">
        <v>989546457</v>
      </c>
      <c r="F140" s="196" t="s">
        <v>1569</v>
      </c>
      <c r="G140" s="198">
        <v>112030019</v>
      </c>
      <c r="H140" s="199" t="str">
        <f t="shared" si="8"/>
        <v>ML 8220 BIS FBK- MICROONDAS</v>
      </c>
      <c r="I140" s="199" t="s">
        <v>1541</v>
      </c>
      <c r="J140" s="200" t="s">
        <v>1210</v>
      </c>
      <c r="K140" s="201">
        <v>45687</v>
      </c>
      <c r="L140" s="196" t="s">
        <v>25</v>
      </c>
      <c r="M140" s="196" t="s">
        <v>24</v>
      </c>
      <c r="N140" s="196" t="s">
        <v>24</v>
      </c>
      <c r="O140" s="200" t="s">
        <v>1536</v>
      </c>
      <c r="P140" s="196" t="s">
        <v>24</v>
      </c>
      <c r="Q140" s="202">
        <f t="shared" si="9"/>
        <v>45882</v>
      </c>
      <c r="R140" s="203" t="s">
        <v>1540</v>
      </c>
      <c r="S140" s="204" t="s">
        <v>1539</v>
      </c>
      <c r="T140" s="196" t="s">
        <v>1568</v>
      </c>
    </row>
    <row r="141" spans="1:20" ht="19" customHeight="1">
      <c r="A141" s="196">
        <v>135</v>
      </c>
      <c r="B141" s="197">
        <v>45883</v>
      </c>
      <c r="C141" s="234" t="s">
        <v>1538</v>
      </c>
      <c r="D141" s="234" t="s">
        <v>1492</v>
      </c>
      <c r="E141" s="198">
        <v>989546457</v>
      </c>
      <c r="F141" s="196" t="s">
        <v>1569</v>
      </c>
      <c r="G141" s="198">
        <v>111000078</v>
      </c>
      <c r="H141" s="199" t="str">
        <f t="shared" si="8"/>
        <v>HLB 8400 FBK HORNO ELEC</v>
      </c>
      <c r="I141" s="199" t="s">
        <v>1541</v>
      </c>
      <c r="J141" s="200" t="s">
        <v>1210</v>
      </c>
      <c r="K141" s="201">
        <v>45687</v>
      </c>
      <c r="L141" s="196" t="s">
        <v>25</v>
      </c>
      <c r="M141" s="196" t="s">
        <v>24</v>
      </c>
      <c r="N141" s="196" t="s">
        <v>24</v>
      </c>
      <c r="O141" s="200" t="s">
        <v>1537</v>
      </c>
      <c r="P141" s="196" t="s">
        <v>24</v>
      </c>
      <c r="Q141" s="202">
        <f t="shared" si="9"/>
        <v>45882</v>
      </c>
      <c r="R141" s="203" t="s">
        <v>1540</v>
      </c>
      <c r="S141" s="204" t="s">
        <v>1539</v>
      </c>
      <c r="T141" s="196" t="s">
        <v>1568</v>
      </c>
    </row>
    <row r="142" spans="1:20" ht="20">
      <c r="A142" s="196">
        <v>136</v>
      </c>
      <c r="B142" s="259">
        <v>45882</v>
      </c>
      <c r="C142" s="241" t="s">
        <v>1583</v>
      </c>
      <c r="D142" s="235" t="s">
        <v>1720</v>
      </c>
      <c r="E142" s="260">
        <v>59103138</v>
      </c>
      <c r="F142" s="196" t="s">
        <v>1543</v>
      </c>
      <c r="G142" s="206">
        <v>112570073</v>
      </c>
      <c r="H142" s="199" t="str">
        <f t="shared" ref="H142:H181" si="10">VLOOKUP(G142,PROD,2,FALSE)</f>
        <v>GZC 96310 XBB CRISTAL COCINA GAS</v>
      </c>
      <c r="I142" s="199" t="s">
        <v>1543</v>
      </c>
      <c r="J142" s="196" t="s">
        <v>1719</v>
      </c>
      <c r="K142" s="261">
        <v>45575</v>
      </c>
      <c r="L142" s="196" t="s">
        <v>25</v>
      </c>
      <c r="M142" s="196" t="s">
        <v>24</v>
      </c>
      <c r="N142" s="196" t="s">
        <v>24</v>
      </c>
      <c r="O142" s="241" t="s">
        <v>1582</v>
      </c>
      <c r="P142" s="196" t="s">
        <v>24</v>
      </c>
      <c r="Q142" s="202">
        <f t="shared" ref="Q142:Q181" si="11">B142-1</f>
        <v>45881</v>
      </c>
      <c r="R142" s="262" t="s">
        <v>1586</v>
      </c>
      <c r="S142" s="263" t="s">
        <v>1585</v>
      </c>
      <c r="T142" s="264" t="s">
        <v>1715</v>
      </c>
    </row>
    <row r="143" spans="1:20" ht="19">
      <c r="A143" s="196">
        <v>137</v>
      </c>
      <c r="B143" s="197">
        <v>45884</v>
      </c>
      <c r="C143" s="234" t="s">
        <v>1593</v>
      </c>
      <c r="D143" s="234" t="s">
        <v>1594</v>
      </c>
      <c r="E143" s="265">
        <v>998445658</v>
      </c>
      <c r="F143" s="196" t="s">
        <v>1569</v>
      </c>
      <c r="G143" s="198">
        <v>111030002</v>
      </c>
      <c r="H143" s="199" t="str">
        <f t="shared" si="10"/>
        <v>HLB 760 G SS HORNO A GAS</v>
      </c>
      <c r="I143" s="199" t="s">
        <v>1541</v>
      </c>
      <c r="J143" s="198" t="s">
        <v>1061</v>
      </c>
      <c r="K143" s="266">
        <v>45375</v>
      </c>
      <c r="L143" s="196" t="s">
        <v>25</v>
      </c>
      <c r="M143" s="196" t="s">
        <v>24</v>
      </c>
      <c r="N143" s="196" t="s">
        <v>24</v>
      </c>
      <c r="O143" s="265" t="s">
        <v>1592</v>
      </c>
      <c r="P143" s="196" t="s">
        <v>24</v>
      </c>
      <c r="Q143" s="202">
        <f t="shared" si="11"/>
        <v>45883</v>
      </c>
      <c r="R143" s="203" t="s">
        <v>1595</v>
      </c>
      <c r="S143" s="204">
        <v>105351738</v>
      </c>
      <c r="T143" s="196" t="s">
        <v>1568</v>
      </c>
    </row>
    <row r="144" spans="1:20" ht="19">
      <c r="A144" s="196">
        <v>138</v>
      </c>
      <c r="B144" s="197">
        <v>45884</v>
      </c>
      <c r="C144" s="234" t="s">
        <v>1593</v>
      </c>
      <c r="D144" s="234" t="s">
        <v>1594</v>
      </c>
      <c r="E144" s="265">
        <v>998445658</v>
      </c>
      <c r="F144" s="196" t="s">
        <v>1569</v>
      </c>
      <c r="G144" s="198">
        <v>112580058</v>
      </c>
      <c r="H144" s="199" t="str">
        <f t="shared" si="10"/>
        <v>GBC 95030 KBB BK COCINA GAS</v>
      </c>
      <c r="I144" s="199" t="s">
        <v>1541</v>
      </c>
      <c r="J144" s="198" t="s">
        <v>1061</v>
      </c>
      <c r="K144" s="266">
        <v>45375</v>
      </c>
      <c r="L144" s="196" t="s">
        <v>25</v>
      </c>
      <c r="M144" s="196" t="s">
        <v>24</v>
      </c>
      <c r="N144" s="196" t="s">
        <v>24</v>
      </c>
      <c r="O144" s="265" t="s">
        <v>1591</v>
      </c>
      <c r="P144" s="196" t="s">
        <v>24</v>
      </c>
      <c r="Q144" s="202">
        <f t="shared" si="11"/>
        <v>45883</v>
      </c>
      <c r="R144" s="203" t="s">
        <v>1595</v>
      </c>
      <c r="S144" s="204">
        <v>105351738</v>
      </c>
      <c r="T144" s="196" t="s">
        <v>1568</v>
      </c>
    </row>
    <row r="145" spans="1:20" ht="19">
      <c r="A145" s="196">
        <v>139</v>
      </c>
      <c r="B145" s="197">
        <v>45884</v>
      </c>
      <c r="C145" s="234" t="s">
        <v>1593</v>
      </c>
      <c r="D145" s="234" t="s">
        <v>1594</v>
      </c>
      <c r="E145" s="265">
        <v>998445658</v>
      </c>
      <c r="F145" s="196" t="s">
        <v>1569</v>
      </c>
      <c r="G145" s="198">
        <v>40455334</v>
      </c>
      <c r="H145" s="199" t="str">
        <f t="shared" si="10"/>
        <v>NC 980 CRISTAL CAMPANA (110V-60HZ) C/KIT</v>
      </c>
      <c r="I145" s="199" t="s">
        <v>1541</v>
      </c>
      <c r="J145" s="198" t="s">
        <v>1061</v>
      </c>
      <c r="K145" s="266">
        <v>45375</v>
      </c>
      <c r="L145" s="196" t="s">
        <v>25</v>
      </c>
      <c r="M145" s="196" t="s">
        <v>24</v>
      </c>
      <c r="N145" s="196" t="s">
        <v>24</v>
      </c>
      <c r="O145" s="265" t="s">
        <v>1590</v>
      </c>
      <c r="P145" s="196" t="s">
        <v>24</v>
      </c>
      <c r="Q145" s="202">
        <f t="shared" si="11"/>
        <v>45883</v>
      </c>
      <c r="R145" s="203" t="s">
        <v>1595</v>
      </c>
      <c r="S145" s="204">
        <v>105351738</v>
      </c>
      <c r="T145" s="196" t="s">
        <v>1568</v>
      </c>
    </row>
    <row r="146" spans="1:20" ht="19">
      <c r="A146" s="196">
        <v>140</v>
      </c>
      <c r="B146" s="197">
        <v>45884</v>
      </c>
      <c r="C146" s="234" t="s">
        <v>1593</v>
      </c>
      <c r="D146" s="234" t="s">
        <v>1594</v>
      </c>
      <c r="E146" s="265">
        <v>998445658</v>
      </c>
      <c r="F146" s="196" t="s">
        <v>1569</v>
      </c>
      <c r="G146" s="198">
        <v>113430051</v>
      </c>
      <c r="H146" s="199" t="str">
        <f t="shared" si="10"/>
        <v>RMF 77960 GBK MX REFRIGERADORA</v>
      </c>
      <c r="I146" s="199" t="s">
        <v>1541</v>
      </c>
      <c r="J146" s="198" t="s">
        <v>1061</v>
      </c>
      <c r="K146" s="266">
        <v>45375</v>
      </c>
      <c r="L146" s="196" t="s">
        <v>25</v>
      </c>
      <c r="M146" s="196" t="s">
        <v>24</v>
      </c>
      <c r="N146" s="196" t="s">
        <v>24</v>
      </c>
      <c r="O146" s="265" t="s">
        <v>1589</v>
      </c>
      <c r="P146" s="196" t="s">
        <v>24</v>
      </c>
      <c r="Q146" s="202">
        <f t="shared" si="11"/>
        <v>45883</v>
      </c>
      <c r="R146" s="203" t="s">
        <v>1595</v>
      </c>
      <c r="S146" s="204">
        <v>105351738</v>
      </c>
      <c r="T146" s="196" t="s">
        <v>1568</v>
      </c>
    </row>
    <row r="147" spans="1:20" ht="19">
      <c r="A147" s="196">
        <v>141</v>
      </c>
      <c r="B147" s="197">
        <v>45884</v>
      </c>
      <c r="C147" s="234" t="s">
        <v>1601</v>
      </c>
      <c r="D147" s="234" t="s">
        <v>1602</v>
      </c>
      <c r="E147" s="265">
        <v>984243154</v>
      </c>
      <c r="F147" s="196" t="s">
        <v>1569</v>
      </c>
      <c r="G147" s="198">
        <v>113430051</v>
      </c>
      <c r="H147" s="199" t="str">
        <f t="shared" si="10"/>
        <v>RMF 77960 GBK MX REFRIGERADORA</v>
      </c>
      <c r="I147" s="199" t="s">
        <v>1541</v>
      </c>
      <c r="J147" s="198" t="s">
        <v>1061</v>
      </c>
      <c r="K147" s="266">
        <v>45772</v>
      </c>
      <c r="L147" s="196" t="s">
        <v>25</v>
      </c>
      <c r="M147" s="196" t="s">
        <v>24</v>
      </c>
      <c r="N147" s="196" t="s">
        <v>24</v>
      </c>
      <c r="O147" s="265" t="s">
        <v>1600</v>
      </c>
      <c r="P147" s="196" t="s">
        <v>24</v>
      </c>
      <c r="Q147" s="202">
        <f t="shared" si="11"/>
        <v>45883</v>
      </c>
      <c r="R147" s="203" t="s">
        <v>1603</v>
      </c>
      <c r="S147" s="204">
        <v>302111521</v>
      </c>
      <c r="T147" s="196" t="s">
        <v>1568</v>
      </c>
    </row>
    <row r="148" spans="1:20" ht="19">
      <c r="A148" s="196">
        <v>142</v>
      </c>
      <c r="B148" s="197">
        <v>45884</v>
      </c>
      <c r="C148" s="234" t="s">
        <v>1601</v>
      </c>
      <c r="D148" s="234" t="s">
        <v>1602</v>
      </c>
      <c r="E148" s="265">
        <v>984243154</v>
      </c>
      <c r="F148" s="196" t="s">
        <v>1569</v>
      </c>
      <c r="G148" s="198">
        <v>112580027</v>
      </c>
      <c r="H148" s="199" t="str">
        <f t="shared" si="10"/>
        <v>GBC 75030 KBB CRISTAL COCINA GAS</v>
      </c>
      <c r="I148" s="199" t="s">
        <v>1541</v>
      </c>
      <c r="J148" s="198" t="s">
        <v>1046</v>
      </c>
      <c r="K148" s="266">
        <v>45956</v>
      </c>
      <c r="L148" s="196" t="s">
        <v>25</v>
      </c>
      <c r="M148" s="196" t="s">
        <v>24</v>
      </c>
      <c r="N148" s="196" t="s">
        <v>24</v>
      </c>
      <c r="O148" s="265" t="s">
        <v>1599</v>
      </c>
      <c r="P148" s="196" t="s">
        <v>24</v>
      </c>
      <c r="Q148" s="202">
        <f t="shared" si="11"/>
        <v>45883</v>
      </c>
      <c r="R148" s="203" t="s">
        <v>1603</v>
      </c>
      <c r="S148" s="204">
        <v>302111521</v>
      </c>
      <c r="T148" s="196" t="s">
        <v>1568</v>
      </c>
    </row>
    <row r="149" spans="1:20" ht="19">
      <c r="A149" s="196">
        <v>143</v>
      </c>
      <c r="B149" s="197">
        <v>45884</v>
      </c>
      <c r="C149" s="234" t="s">
        <v>1601</v>
      </c>
      <c r="D149" s="234" t="s">
        <v>1602</v>
      </c>
      <c r="E149" s="265">
        <v>984243154</v>
      </c>
      <c r="F149" s="196" t="s">
        <v>1569</v>
      </c>
      <c r="G149" s="198">
        <v>40590830</v>
      </c>
      <c r="H149" s="199" t="str">
        <f t="shared" si="10"/>
        <v>MWG 11X - MICROONDAS</v>
      </c>
      <c r="I149" s="199" t="s">
        <v>1541</v>
      </c>
      <c r="J149" s="198" t="s">
        <v>1061</v>
      </c>
      <c r="K149" s="266">
        <v>45772</v>
      </c>
      <c r="L149" s="196" t="s">
        <v>25</v>
      </c>
      <c r="M149" s="196" t="s">
        <v>24</v>
      </c>
      <c r="N149" s="196" t="s">
        <v>24</v>
      </c>
      <c r="O149" s="265" t="s">
        <v>1598</v>
      </c>
      <c r="P149" s="196" t="s">
        <v>24</v>
      </c>
      <c r="Q149" s="202">
        <f t="shared" si="11"/>
        <v>45883</v>
      </c>
      <c r="R149" s="203" t="s">
        <v>1603</v>
      </c>
      <c r="S149" s="204">
        <v>302111521</v>
      </c>
      <c r="T149" s="196" t="s">
        <v>1568</v>
      </c>
    </row>
    <row r="150" spans="1:20" ht="19">
      <c r="A150" s="196">
        <v>144</v>
      </c>
      <c r="B150" s="197">
        <v>45884</v>
      </c>
      <c r="C150" s="234" t="s">
        <v>1601</v>
      </c>
      <c r="D150" s="234" t="s">
        <v>1602</v>
      </c>
      <c r="E150" s="265">
        <v>984243154</v>
      </c>
      <c r="F150" s="196" t="s">
        <v>1569</v>
      </c>
      <c r="G150" s="198">
        <v>111000051</v>
      </c>
      <c r="H150" s="199" t="str">
        <f t="shared" si="10"/>
        <v>HLB 8416 "AIR FRY" - HORNO ELEC</v>
      </c>
      <c r="I150" s="199" t="s">
        <v>1541</v>
      </c>
      <c r="J150" s="198" t="s">
        <v>1061</v>
      </c>
      <c r="K150" s="266">
        <v>45772</v>
      </c>
      <c r="L150" s="196" t="s">
        <v>25</v>
      </c>
      <c r="M150" s="196" t="s">
        <v>24</v>
      </c>
      <c r="N150" s="196" t="s">
        <v>24</v>
      </c>
      <c r="O150" s="265" t="s">
        <v>1597</v>
      </c>
      <c r="P150" s="196" t="s">
        <v>24</v>
      </c>
      <c r="Q150" s="202">
        <f t="shared" si="11"/>
        <v>45883</v>
      </c>
      <c r="R150" s="203" t="s">
        <v>1603</v>
      </c>
      <c r="S150" s="204">
        <v>302111521</v>
      </c>
      <c r="T150" s="196" t="s">
        <v>1568</v>
      </c>
    </row>
    <row r="151" spans="1:20" ht="19">
      <c r="A151" s="196">
        <v>145</v>
      </c>
      <c r="B151" s="197">
        <v>45884</v>
      </c>
      <c r="C151" s="234" t="s">
        <v>1610</v>
      </c>
      <c r="D151" s="234" t="s">
        <v>1220</v>
      </c>
      <c r="E151" s="265">
        <v>2989591</v>
      </c>
      <c r="F151" s="196" t="s">
        <v>1569</v>
      </c>
      <c r="G151" s="198">
        <v>112030019</v>
      </c>
      <c r="H151" s="199" t="str">
        <f t="shared" si="10"/>
        <v>ML 8220 BIS FBK- MICROONDAS</v>
      </c>
      <c r="I151" s="199" t="s">
        <v>1541</v>
      </c>
      <c r="J151" s="198" t="s">
        <v>1210</v>
      </c>
      <c r="K151" s="266">
        <v>45775</v>
      </c>
      <c r="L151" s="196" t="s">
        <v>25</v>
      </c>
      <c r="M151" s="196" t="s">
        <v>24</v>
      </c>
      <c r="N151" s="196" t="s">
        <v>24</v>
      </c>
      <c r="O151" s="265" t="s">
        <v>1606</v>
      </c>
      <c r="P151" s="196" t="s">
        <v>24</v>
      </c>
      <c r="Q151" s="202">
        <f t="shared" si="11"/>
        <v>45883</v>
      </c>
      <c r="R151" s="203" t="s">
        <v>1611</v>
      </c>
      <c r="S151" s="204">
        <v>152523197</v>
      </c>
      <c r="T151" s="196" t="s">
        <v>1568</v>
      </c>
    </row>
    <row r="152" spans="1:20" ht="19">
      <c r="A152" s="196">
        <v>146</v>
      </c>
      <c r="B152" s="197">
        <v>45884</v>
      </c>
      <c r="C152" s="234" t="s">
        <v>1610</v>
      </c>
      <c r="D152" s="234" t="s">
        <v>1220</v>
      </c>
      <c r="E152" s="265">
        <v>2989591</v>
      </c>
      <c r="F152" s="196" t="s">
        <v>1569</v>
      </c>
      <c r="G152" s="198">
        <v>112500047</v>
      </c>
      <c r="H152" s="199" t="str">
        <f t="shared" si="10"/>
        <v>IZF 99700 MST COCINA INDUCCION</v>
      </c>
      <c r="I152" s="199" t="s">
        <v>1541</v>
      </c>
      <c r="J152" s="198" t="s">
        <v>1210</v>
      </c>
      <c r="K152" s="266">
        <v>45775</v>
      </c>
      <c r="L152" s="196" t="s">
        <v>25</v>
      </c>
      <c r="M152" s="196" t="s">
        <v>24</v>
      </c>
      <c r="N152" s="196" t="s">
        <v>24</v>
      </c>
      <c r="O152" s="265" t="s">
        <v>1607</v>
      </c>
      <c r="P152" s="196" t="s">
        <v>24</v>
      </c>
      <c r="Q152" s="202">
        <f t="shared" si="11"/>
        <v>45883</v>
      </c>
      <c r="R152" s="203" t="s">
        <v>1611</v>
      </c>
      <c r="S152" s="204">
        <v>152523197</v>
      </c>
      <c r="T152" s="196" t="s">
        <v>1568</v>
      </c>
    </row>
    <row r="153" spans="1:20" ht="19">
      <c r="A153" s="196">
        <v>147</v>
      </c>
      <c r="B153" s="197">
        <v>45884</v>
      </c>
      <c r="C153" s="234" t="s">
        <v>1610</v>
      </c>
      <c r="D153" s="234" t="s">
        <v>1220</v>
      </c>
      <c r="E153" s="265">
        <v>2989591</v>
      </c>
      <c r="F153" s="196" t="s">
        <v>1569</v>
      </c>
      <c r="G153" s="198">
        <v>41592227</v>
      </c>
      <c r="H153" s="199" t="str">
        <f t="shared" si="10"/>
        <v>HLF 940 INOX HORNO ELEC</v>
      </c>
      <c r="I153" s="199" t="s">
        <v>1541</v>
      </c>
      <c r="J153" s="198" t="s">
        <v>1210</v>
      </c>
      <c r="K153" s="266">
        <v>45775</v>
      </c>
      <c r="L153" s="196" t="s">
        <v>25</v>
      </c>
      <c r="M153" s="196" t="s">
        <v>24</v>
      </c>
      <c r="N153" s="196" t="s">
        <v>24</v>
      </c>
      <c r="O153" s="265" t="s">
        <v>1608</v>
      </c>
      <c r="P153" s="196" t="s">
        <v>24</v>
      </c>
      <c r="Q153" s="202">
        <f t="shared" si="11"/>
        <v>45883</v>
      </c>
      <c r="R153" s="203" t="s">
        <v>1611</v>
      </c>
      <c r="S153" s="204">
        <v>152523197</v>
      </c>
      <c r="T153" s="196" t="s">
        <v>1568</v>
      </c>
    </row>
    <row r="154" spans="1:20" ht="19">
      <c r="A154" s="196">
        <v>148</v>
      </c>
      <c r="B154" s="197">
        <v>45884</v>
      </c>
      <c r="C154" s="234" t="s">
        <v>1610</v>
      </c>
      <c r="D154" s="234" t="s">
        <v>1220</v>
      </c>
      <c r="E154" s="265">
        <v>2989591</v>
      </c>
      <c r="F154" s="196" t="s">
        <v>1569</v>
      </c>
      <c r="G154" s="198">
        <v>40446712</v>
      </c>
      <c r="H154" s="199" t="str">
        <f t="shared" si="10"/>
        <v>GFH 73 INOX CAMPANA (110V-60HZ) C/KIT</v>
      </c>
      <c r="I154" s="199" t="s">
        <v>1541</v>
      </c>
      <c r="J154" s="198" t="s">
        <v>1210</v>
      </c>
      <c r="K154" s="266">
        <v>45775</v>
      </c>
      <c r="L154" s="196" t="s">
        <v>25</v>
      </c>
      <c r="M154" s="196" t="s">
        <v>24</v>
      </c>
      <c r="N154" s="196" t="s">
        <v>24</v>
      </c>
      <c r="O154" s="265" t="s">
        <v>1609</v>
      </c>
      <c r="P154" s="196" t="s">
        <v>24</v>
      </c>
      <c r="Q154" s="202">
        <f t="shared" si="11"/>
        <v>45883</v>
      </c>
      <c r="R154" s="203" t="s">
        <v>1611</v>
      </c>
      <c r="S154" s="204">
        <v>152523197</v>
      </c>
      <c r="T154" s="196" t="s">
        <v>1568</v>
      </c>
    </row>
    <row r="155" spans="1:20" ht="19">
      <c r="A155" s="196">
        <v>149</v>
      </c>
      <c r="B155" s="267">
        <v>45884</v>
      </c>
      <c r="C155" s="268" t="s">
        <v>1677</v>
      </c>
      <c r="D155" s="268" t="s">
        <v>1248</v>
      </c>
      <c r="E155" s="235">
        <v>984974851</v>
      </c>
      <c r="F155" s="196" t="s">
        <v>1569</v>
      </c>
      <c r="G155" s="196">
        <v>40446712</v>
      </c>
      <c r="H155" s="199" t="str">
        <f t="shared" si="10"/>
        <v>GFH 73 INOX CAMPANA (110V-60HZ) C/KIT</v>
      </c>
      <c r="I155" s="199" t="s">
        <v>1541</v>
      </c>
      <c r="J155" s="196" t="s">
        <v>1046</v>
      </c>
      <c r="K155" s="209">
        <v>45882</v>
      </c>
      <c r="L155" s="196" t="s">
        <v>25</v>
      </c>
      <c r="M155" s="196" t="s">
        <v>24</v>
      </c>
      <c r="N155" s="196" t="s">
        <v>24</v>
      </c>
      <c r="O155" s="196" t="s">
        <v>1676</v>
      </c>
      <c r="P155" s="196" t="s">
        <v>24</v>
      </c>
      <c r="Q155" s="202">
        <f t="shared" si="11"/>
        <v>45883</v>
      </c>
      <c r="R155" s="269" t="s">
        <v>1679</v>
      </c>
      <c r="S155" s="270" t="s">
        <v>1678</v>
      </c>
      <c r="T155" s="196" t="s">
        <v>1568</v>
      </c>
    </row>
    <row r="156" spans="1:20" ht="19">
      <c r="A156" s="196">
        <v>150</v>
      </c>
      <c r="B156" s="267">
        <v>45884</v>
      </c>
      <c r="C156" s="235" t="s">
        <v>1682</v>
      </c>
      <c r="D156" s="235" t="s">
        <v>1405</v>
      </c>
      <c r="E156" s="235">
        <v>987215757</v>
      </c>
      <c r="F156" s="196" t="s">
        <v>1569</v>
      </c>
      <c r="G156" s="196">
        <v>112580058</v>
      </c>
      <c r="H156" s="199" t="str">
        <f t="shared" si="10"/>
        <v>GBC 95030 KBB BK COCINA GAS</v>
      </c>
      <c r="I156" s="199" t="s">
        <v>1541</v>
      </c>
      <c r="J156" s="196" t="s">
        <v>1046</v>
      </c>
      <c r="K156" s="209">
        <v>45883</v>
      </c>
      <c r="L156" s="196" t="s">
        <v>25</v>
      </c>
      <c r="M156" s="196" t="s">
        <v>24</v>
      </c>
      <c r="N156" s="196" t="s">
        <v>24</v>
      </c>
      <c r="O156" s="196" t="s">
        <v>1681</v>
      </c>
      <c r="P156" s="196" t="s">
        <v>24</v>
      </c>
      <c r="Q156" s="202">
        <f t="shared" si="11"/>
        <v>45883</v>
      </c>
      <c r="R156" s="271" t="s">
        <v>1684</v>
      </c>
      <c r="S156" s="270" t="s">
        <v>1683</v>
      </c>
      <c r="T156" s="196" t="s">
        <v>1568</v>
      </c>
    </row>
    <row r="157" spans="1:20" ht="19">
      <c r="A157" s="196">
        <v>151</v>
      </c>
      <c r="B157" s="267">
        <v>45884</v>
      </c>
      <c r="C157" s="235" t="s">
        <v>1687</v>
      </c>
      <c r="D157" s="235" t="s">
        <v>1554</v>
      </c>
      <c r="E157" s="235">
        <v>999565709</v>
      </c>
      <c r="F157" s="196" t="s">
        <v>1569</v>
      </c>
      <c r="G157" s="196">
        <v>112570238</v>
      </c>
      <c r="H157" s="199" t="str">
        <f t="shared" si="10"/>
        <v>GBC 95-G1 GBA BM COCINA GAS</v>
      </c>
      <c r="I157" s="199" t="s">
        <v>1541</v>
      </c>
      <c r="J157" s="196" t="s">
        <v>1046</v>
      </c>
      <c r="K157" s="209">
        <v>45707</v>
      </c>
      <c r="L157" s="196" t="s">
        <v>25</v>
      </c>
      <c r="M157" s="196" t="s">
        <v>24</v>
      </c>
      <c r="N157" s="196" t="s">
        <v>24</v>
      </c>
      <c r="O157" s="196" t="s">
        <v>1686</v>
      </c>
      <c r="P157" s="196" t="s">
        <v>24</v>
      </c>
      <c r="Q157" s="202">
        <f t="shared" si="11"/>
        <v>45883</v>
      </c>
      <c r="R157" s="271" t="s">
        <v>1689</v>
      </c>
      <c r="S157" s="270" t="s">
        <v>1688</v>
      </c>
      <c r="T157" s="196" t="s">
        <v>1568</v>
      </c>
    </row>
    <row r="158" spans="1:20" ht="20">
      <c r="A158" s="196">
        <v>152</v>
      </c>
      <c r="B158" s="259">
        <v>45884</v>
      </c>
      <c r="C158" s="241" t="s">
        <v>1648</v>
      </c>
      <c r="D158" s="235" t="s">
        <v>1067</v>
      </c>
      <c r="E158" s="260">
        <v>999100747</v>
      </c>
      <c r="F158" s="196" t="s">
        <v>1543</v>
      </c>
      <c r="G158" s="206">
        <v>112500047</v>
      </c>
      <c r="H158" s="199" t="str">
        <f t="shared" si="10"/>
        <v>IZF 99700 MST COCINA INDUCCION</v>
      </c>
      <c r="I158" s="199" t="s">
        <v>1543</v>
      </c>
      <c r="J158" s="196" t="s">
        <v>1172</v>
      </c>
      <c r="K158" s="261">
        <v>45806</v>
      </c>
      <c r="L158" s="196" t="s">
        <v>25</v>
      </c>
      <c r="M158" s="196" t="s">
        <v>24</v>
      </c>
      <c r="N158" s="196" t="s">
        <v>24</v>
      </c>
      <c r="O158" s="241" t="s">
        <v>1647</v>
      </c>
      <c r="P158" s="196" t="s">
        <v>24</v>
      </c>
      <c r="Q158" s="202">
        <f t="shared" si="11"/>
        <v>45883</v>
      </c>
      <c r="R158" s="262" t="s">
        <v>1651</v>
      </c>
      <c r="S158" s="263" t="s">
        <v>1650</v>
      </c>
      <c r="T158" s="264" t="s">
        <v>1649</v>
      </c>
    </row>
    <row r="159" spans="1:20" ht="19">
      <c r="A159" s="196">
        <v>153</v>
      </c>
      <c r="B159" s="267">
        <v>45885</v>
      </c>
      <c r="C159" s="268" t="s">
        <v>1671</v>
      </c>
      <c r="D159" s="268" t="s">
        <v>1674</v>
      </c>
      <c r="E159" s="235">
        <v>979786282</v>
      </c>
      <c r="F159" s="196" t="s">
        <v>1569</v>
      </c>
      <c r="G159" s="196">
        <v>111000051</v>
      </c>
      <c r="H159" s="199" t="str">
        <f t="shared" si="10"/>
        <v>HLB 8416 "AIR FRY" - HORNO ELEC</v>
      </c>
      <c r="I159" s="199" t="s">
        <v>1541</v>
      </c>
      <c r="J159" s="196" t="s">
        <v>1046</v>
      </c>
      <c r="K159" s="209">
        <v>45832</v>
      </c>
      <c r="L159" s="196" t="s">
        <v>25</v>
      </c>
      <c r="M159" s="196" t="s">
        <v>24</v>
      </c>
      <c r="N159" s="196" t="s">
        <v>24</v>
      </c>
      <c r="O159" s="196" t="s">
        <v>1670</v>
      </c>
      <c r="P159" s="196" t="s">
        <v>24</v>
      </c>
      <c r="Q159" s="202">
        <f t="shared" si="11"/>
        <v>45884</v>
      </c>
      <c r="R159" s="269" t="s">
        <v>1673</v>
      </c>
      <c r="S159" s="270" t="s">
        <v>1672</v>
      </c>
      <c r="T159" s="196" t="s">
        <v>1568</v>
      </c>
    </row>
    <row r="160" spans="1:20" ht="19">
      <c r="A160" s="196">
        <v>154</v>
      </c>
      <c r="B160" s="197">
        <v>45887</v>
      </c>
      <c r="C160" s="234" t="s">
        <v>1615</v>
      </c>
      <c r="D160" s="234" t="s">
        <v>1616</v>
      </c>
      <c r="E160" s="265">
        <v>991210118</v>
      </c>
      <c r="F160" s="196" t="s">
        <v>1569</v>
      </c>
      <c r="G160" s="198">
        <v>112580027</v>
      </c>
      <c r="H160" s="199" t="str">
        <f t="shared" si="10"/>
        <v>GBC 75030 KBB CRISTAL COCINA GAS</v>
      </c>
      <c r="I160" s="199" t="s">
        <v>1541</v>
      </c>
      <c r="J160" s="198" t="s">
        <v>1046</v>
      </c>
      <c r="K160" s="266">
        <v>45850</v>
      </c>
      <c r="L160" s="196" t="s">
        <v>25</v>
      </c>
      <c r="M160" s="196" t="s">
        <v>24</v>
      </c>
      <c r="N160" s="196" t="s">
        <v>24</v>
      </c>
      <c r="O160" s="265" t="s">
        <v>1613</v>
      </c>
      <c r="P160" s="196" t="s">
        <v>24</v>
      </c>
      <c r="Q160" s="202">
        <f t="shared" si="11"/>
        <v>45886</v>
      </c>
      <c r="R160" s="203" t="s">
        <v>1617</v>
      </c>
      <c r="S160" s="204">
        <v>103084547</v>
      </c>
      <c r="T160" s="196" t="s">
        <v>1568</v>
      </c>
    </row>
    <row r="161" spans="1:20" ht="19">
      <c r="A161" s="196">
        <v>155</v>
      </c>
      <c r="B161" s="197">
        <v>45887</v>
      </c>
      <c r="C161" s="234" t="s">
        <v>1615</v>
      </c>
      <c r="D161" s="234" t="s">
        <v>1616</v>
      </c>
      <c r="E161" s="265">
        <v>991210118</v>
      </c>
      <c r="F161" s="196" t="s">
        <v>1569</v>
      </c>
      <c r="G161" s="198">
        <v>112950020</v>
      </c>
      <c r="H161" s="199" t="str">
        <f t="shared" si="10"/>
        <v>DVN 74030 TCL BK CAMPANA (110V-60HZ) C/KIT</v>
      </c>
      <c r="I161" s="199" t="s">
        <v>1541</v>
      </c>
      <c r="J161" s="198" t="s">
        <v>1046</v>
      </c>
      <c r="K161" s="266">
        <v>45850</v>
      </c>
      <c r="L161" s="196" t="s">
        <v>25</v>
      </c>
      <c r="M161" s="196" t="s">
        <v>24</v>
      </c>
      <c r="N161" s="196" t="s">
        <v>24</v>
      </c>
      <c r="O161" s="265" t="s">
        <v>1614</v>
      </c>
      <c r="P161" s="196" t="s">
        <v>24</v>
      </c>
      <c r="Q161" s="202">
        <f t="shared" si="11"/>
        <v>45886</v>
      </c>
      <c r="R161" s="203" t="s">
        <v>1617</v>
      </c>
      <c r="S161" s="204">
        <v>103084547</v>
      </c>
      <c r="T161" s="196" t="s">
        <v>1568</v>
      </c>
    </row>
    <row r="162" spans="1:20" ht="19">
      <c r="A162" s="196">
        <v>156</v>
      </c>
      <c r="B162" s="267">
        <v>45887</v>
      </c>
      <c r="C162" s="235" t="s">
        <v>1692</v>
      </c>
      <c r="D162" s="235" t="s">
        <v>1693</v>
      </c>
      <c r="E162" s="235">
        <v>72854801</v>
      </c>
      <c r="F162" s="196" t="s">
        <v>1569</v>
      </c>
      <c r="G162" s="196">
        <v>111000051</v>
      </c>
      <c r="H162" s="199" t="str">
        <f t="shared" si="10"/>
        <v>HLB 8416 "AIR FRY" - HORNO ELEC</v>
      </c>
      <c r="I162" s="199" t="s">
        <v>1541</v>
      </c>
      <c r="J162" s="196" t="s">
        <v>1046</v>
      </c>
      <c r="K162" s="209">
        <v>45877</v>
      </c>
      <c r="L162" s="196" t="s">
        <v>25</v>
      </c>
      <c r="M162" s="196" t="s">
        <v>24</v>
      </c>
      <c r="N162" s="196" t="s">
        <v>24</v>
      </c>
      <c r="O162" s="196" t="s">
        <v>1691</v>
      </c>
      <c r="P162" s="196" t="s">
        <v>24</v>
      </c>
      <c r="Q162" s="202">
        <f t="shared" si="11"/>
        <v>45886</v>
      </c>
      <c r="R162" s="271" t="s">
        <v>1694</v>
      </c>
      <c r="S162" s="196">
        <v>103130290</v>
      </c>
      <c r="T162" s="196" t="s">
        <v>1568</v>
      </c>
    </row>
    <row r="163" spans="1:20" ht="19">
      <c r="A163" s="196">
        <v>157</v>
      </c>
      <c r="B163" s="267">
        <v>45887</v>
      </c>
      <c r="C163" s="235" t="s">
        <v>1697</v>
      </c>
      <c r="D163" s="235" t="s">
        <v>1698</v>
      </c>
      <c r="E163" s="235">
        <v>987985650</v>
      </c>
      <c r="F163" s="196" t="s">
        <v>1569</v>
      </c>
      <c r="G163" s="196">
        <v>112580027</v>
      </c>
      <c r="H163" s="199" t="str">
        <f t="shared" si="10"/>
        <v>GBC 75030 KBB CRISTAL COCINA GAS</v>
      </c>
      <c r="I163" s="199" t="s">
        <v>1541</v>
      </c>
      <c r="J163" s="196" t="s">
        <v>1210</v>
      </c>
      <c r="K163" s="209">
        <v>45853</v>
      </c>
      <c r="L163" s="196" t="s">
        <v>25</v>
      </c>
      <c r="M163" s="196" t="s">
        <v>24</v>
      </c>
      <c r="N163" s="196" t="s">
        <v>24</v>
      </c>
      <c r="O163" s="196" t="s">
        <v>1696</v>
      </c>
      <c r="P163" s="196" t="s">
        <v>24</v>
      </c>
      <c r="Q163" s="202">
        <f t="shared" si="11"/>
        <v>45886</v>
      </c>
      <c r="R163" s="271" t="s">
        <v>1699</v>
      </c>
      <c r="S163" s="196">
        <v>102037975</v>
      </c>
      <c r="T163" s="196" t="s">
        <v>1568</v>
      </c>
    </row>
    <row r="164" spans="1:20" ht="22" customHeight="1">
      <c r="A164" s="196">
        <v>158</v>
      </c>
      <c r="B164" s="259">
        <v>45887</v>
      </c>
      <c r="C164" s="241" t="s">
        <v>1657</v>
      </c>
      <c r="D164" s="235" t="s">
        <v>1718</v>
      </c>
      <c r="E164" s="260">
        <v>999850384</v>
      </c>
      <c r="F164" s="196" t="s">
        <v>1543</v>
      </c>
      <c r="G164" s="206">
        <v>112580027</v>
      </c>
      <c r="H164" s="199" t="str">
        <f t="shared" si="10"/>
        <v>GBC 75030 KBB CRISTAL COCINA GAS</v>
      </c>
      <c r="I164" s="199" t="s">
        <v>1543</v>
      </c>
      <c r="J164" s="196" t="s">
        <v>1210</v>
      </c>
      <c r="K164" s="261">
        <v>45259</v>
      </c>
      <c r="L164" s="196" t="s">
        <v>25</v>
      </c>
      <c r="M164" s="196" t="s">
        <v>24</v>
      </c>
      <c r="N164" s="196" t="s">
        <v>24</v>
      </c>
      <c r="O164" s="241" t="s">
        <v>1656</v>
      </c>
      <c r="P164" s="196" t="s">
        <v>24</v>
      </c>
      <c r="Q164" s="202">
        <f t="shared" si="11"/>
        <v>45886</v>
      </c>
      <c r="R164" s="262" t="s">
        <v>1660</v>
      </c>
      <c r="S164" s="263" t="s">
        <v>1659</v>
      </c>
      <c r="T164" s="264" t="s">
        <v>1716</v>
      </c>
    </row>
    <row r="165" spans="1:20" ht="20">
      <c r="A165" s="196">
        <v>159</v>
      </c>
      <c r="B165" s="259">
        <v>45887</v>
      </c>
      <c r="C165" s="241" t="s">
        <v>1667</v>
      </c>
      <c r="D165" s="235" t="s">
        <v>1717</v>
      </c>
      <c r="E165" s="260">
        <v>99785097</v>
      </c>
      <c r="F165" s="196" t="s">
        <v>1543</v>
      </c>
      <c r="G165" s="206">
        <v>112580058</v>
      </c>
      <c r="H165" s="199" t="str">
        <f t="shared" si="10"/>
        <v>GBC 95030 KBB BK COCINA GAS</v>
      </c>
      <c r="I165" s="199" t="s">
        <v>1543</v>
      </c>
      <c r="J165" s="196" t="s">
        <v>1172</v>
      </c>
      <c r="K165" s="261">
        <v>45058</v>
      </c>
      <c r="L165" s="196" t="s">
        <v>25</v>
      </c>
      <c r="M165" s="196" t="s">
        <v>24</v>
      </c>
      <c r="N165" s="196" t="s">
        <v>24</v>
      </c>
      <c r="O165" s="241" t="s">
        <v>1666</v>
      </c>
      <c r="P165" s="196" t="s">
        <v>24</v>
      </c>
      <c r="Q165" s="202">
        <f t="shared" si="11"/>
        <v>45886</v>
      </c>
      <c r="R165" s="262" t="s">
        <v>1664</v>
      </c>
      <c r="S165" s="263" t="s">
        <v>1663</v>
      </c>
      <c r="T165" s="264" t="s">
        <v>1662</v>
      </c>
    </row>
    <row r="166" spans="1:20" ht="19">
      <c r="A166" s="196">
        <v>160</v>
      </c>
      <c r="B166" s="197">
        <v>45888</v>
      </c>
      <c r="C166" s="234" t="s">
        <v>1621</v>
      </c>
      <c r="D166" s="234" t="s">
        <v>1067</v>
      </c>
      <c r="E166" s="265">
        <v>984394412</v>
      </c>
      <c r="F166" s="196" t="s">
        <v>1569</v>
      </c>
      <c r="G166" s="198">
        <v>111010041</v>
      </c>
      <c r="H166" s="199" t="str">
        <f t="shared" si="10"/>
        <v>HSB 630 NEGRO HORNO ELEC</v>
      </c>
      <c r="I166" s="199" t="s">
        <v>1541</v>
      </c>
      <c r="J166" s="198" t="s">
        <v>1046</v>
      </c>
      <c r="K166" s="266">
        <v>45884</v>
      </c>
      <c r="L166" s="196" t="s">
        <v>25</v>
      </c>
      <c r="M166" s="196" t="s">
        <v>24</v>
      </c>
      <c r="N166" s="196" t="s">
        <v>24</v>
      </c>
      <c r="O166" s="265" t="s">
        <v>1619</v>
      </c>
      <c r="P166" s="196" t="s">
        <v>24</v>
      </c>
      <c r="Q166" s="202">
        <f t="shared" si="11"/>
        <v>45887</v>
      </c>
      <c r="R166" s="203" t="s">
        <v>1622</v>
      </c>
      <c r="S166" s="204">
        <v>301990610</v>
      </c>
      <c r="T166" s="196" t="s">
        <v>1568</v>
      </c>
    </row>
    <row r="167" spans="1:20" ht="19">
      <c r="A167" s="196">
        <v>161</v>
      </c>
      <c r="B167" s="197">
        <v>45888</v>
      </c>
      <c r="C167" s="234" t="s">
        <v>1621</v>
      </c>
      <c r="D167" s="234" t="s">
        <v>1067</v>
      </c>
      <c r="E167" s="265">
        <v>984394412</v>
      </c>
      <c r="F167" s="196" t="s">
        <v>1569</v>
      </c>
      <c r="G167" s="198">
        <v>40467305</v>
      </c>
      <c r="H167" s="199" t="str">
        <f t="shared" si="10"/>
        <v>C 710 NEGRA CAMPANA (110V-60HZ) C/KIT</v>
      </c>
      <c r="I167" s="199" t="s">
        <v>1541</v>
      </c>
      <c r="J167" s="198" t="s">
        <v>1046</v>
      </c>
      <c r="K167" s="266">
        <v>45884</v>
      </c>
      <c r="L167" s="196" t="s">
        <v>25</v>
      </c>
      <c r="M167" s="196" t="s">
        <v>24</v>
      </c>
      <c r="N167" s="196" t="s">
        <v>24</v>
      </c>
      <c r="O167" s="265" t="s">
        <v>1620</v>
      </c>
      <c r="P167" s="196" t="s">
        <v>24</v>
      </c>
      <c r="Q167" s="202">
        <f t="shared" si="11"/>
        <v>45887</v>
      </c>
      <c r="R167" s="203" t="s">
        <v>1622</v>
      </c>
      <c r="S167" s="204">
        <v>301990610</v>
      </c>
      <c r="T167" s="196" t="s">
        <v>1568</v>
      </c>
    </row>
    <row r="168" spans="1:20" ht="19">
      <c r="A168" s="196">
        <v>162</v>
      </c>
      <c r="B168" s="197">
        <v>45888</v>
      </c>
      <c r="C168" s="234" t="s">
        <v>1628</v>
      </c>
      <c r="D168" s="234" t="s">
        <v>1629</v>
      </c>
      <c r="E168" s="265">
        <v>987008849</v>
      </c>
      <c r="F168" s="196" t="s">
        <v>1569</v>
      </c>
      <c r="G168" s="198">
        <v>112950021</v>
      </c>
      <c r="H168" s="199" t="str">
        <f t="shared" si="10"/>
        <v>DVN 94030 TCL BK CAMPANA (110V-60HZ) C/KIT</v>
      </c>
      <c r="I168" s="199" t="s">
        <v>1541</v>
      </c>
      <c r="J168" s="198" t="s">
        <v>1046</v>
      </c>
      <c r="K168" s="266">
        <v>45615</v>
      </c>
      <c r="L168" s="196" t="s">
        <v>25</v>
      </c>
      <c r="M168" s="196" t="s">
        <v>24</v>
      </c>
      <c r="N168" s="196" t="s">
        <v>24</v>
      </c>
      <c r="O168" s="272" t="s">
        <v>1624</v>
      </c>
      <c r="P168" s="196" t="s">
        <v>24</v>
      </c>
      <c r="Q168" s="202">
        <f t="shared" si="11"/>
        <v>45887</v>
      </c>
      <c r="R168" s="203" t="s">
        <v>1630</v>
      </c>
      <c r="S168" s="204">
        <v>104804455</v>
      </c>
      <c r="T168" s="196" t="s">
        <v>1568</v>
      </c>
    </row>
    <row r="169" spans="1:20" ht="19">
      <c r="A169" s="196">
        <v>163</v>
      </c>
      <c r="B169" s="197">
        <v>45888</v>
      </c>
      <c r="C169" s="234" t="s">
        <v>1628</v>
      </c>
      <c r="D169" s="234" t="s">
        <v>1629</v>
      </c>
      <c r="E169" s="265">
        <v>987008849</v>
      </c>
      <c r="F169" s="196" t="s">
        <v>1569</v>
      </c>
      <c r="G169" s="198">
        <v>112570126</v>
      </c>
      <c r="H169" s="199" t="str">
        <f t="shared" si="10"/>
        <v>JZC 96324 ABB BK (LAT) COCINA MIXTA GAS - INDUCCION (40213042)</v>
      </c>
      <c r="I169" s="199" t="s">
        <v>1541</v>
      </c>
      <c r="J169" s="198" t="s">
        <v>1046</v>
      </c>
      <c r="K169" s="266">
        <v>45615</v>
      </c>
      <c r="L169" s="196" t="s">
        <v>25</v>
      </c>
      <c r="M169" s="196" t="s">
        <v>24</v>
      </c>
      <c r="N169" s="196" t="s">
        <v>24</v>
      </c>
      <c r="O169" s="265" t="s">
        <v>1625</v>
      </c>
      <c r="P169" s="196" t="s">
        <v>24</v>
      </c>
      <c r="Q169" s="202">
        <f t="shared" si="11"/>
        <v>45887</v>
      </c>
      <c r="R169" s="203" t="s">
        <v>1630</v>
      </c>
      <c r="S169" s="204">
        <v>104804455</v>
      </c>
      <c r="T169" s="196" t="s">
        <v>1568</v>
      </c>
    </row>
    <row r="170" spans="1:20" ht="19">
      <c r="A170" s="196">
        <v>164</v>
      </c>
      <c r="B170" s="197">
        <v>45888</v>
      </c>
      <c r="C170" s="234" t="s">
        <v>1628</v>
      </c>
      <c r="D170" s="234" t="s">
        <v>1629</v>
      </c>
      <c r="E170" s="265">
        <v>987008849</v>
      </c>
      <c r="F170" s="196" t="s">
        <v>1569</v>
      </c>
      <c r="G170" s="198">
        <v>40584202</v>
      </c>
      <c r="H170" s="199" t="str">
        <f t="shared" si="10"/>
        <v>ML 820 BIS - MICROONDAS</v>
      </c>
      <c r="I170" s="199" t="s">
        <v>1541</v>
      </c>
      <c r="J170" s="198" t="s">
        <v>1046</v>
      </c>
      <c r="K170" s="266">
        <v>45615</v>
      </c>
      <c r="L170" s="196" t="s">
        <v>25</v>
      </c>
      <c r="M170" s="196" t="s">
        <v>24</v>
      </c>
      <c r="N170" s="196" t="s">
        <v>24</v>
      </c>
      <c r="O170" s="265" t="s">
        <v>1626</v>
      </c>
      <c r="P170" s="196" t="s">
        <v>24</v>
      </c>
      <c r="Q170" s="202">
        <f t="shared" si="11"/>
        <v>45887</v>
      </c>
      <c r="R170" s="203" t="s">
        <v>1630</v>
      </c>
      <c r="S170" s="204">
        <v>104804455</v>
      </c>
      <c r="T170" s="196" t="s">
        <v>1568</v>
      </c>
    </row>
    <row r="171" spans="1:20" ht="19">
      <c r="A171" s="196">
        <v>165</v>
      </c>
      <c r="B171" s="197">
        <v>45888</v>
      </c>
      <c r="C171" s="234" t="s">
        <v>1628</v>
      </c>
      <c r="D171" s="234" t="s">
        <v>1629</v>
      </c>
      <c r="E171" s="265">
        <v>987008849</v>
      </c>
      <c r="F171" s="196" t="s">
        <v>1569</v>
      </c>
      <c r="G171" s="198">
        <v>41560061</v>
      </c>
      <c r="H171" s="199" t="str">
        <f t="shared" si="10"/>
        <v>HLB 830 INOX HORNO ELEC</v>
      </c>
      <c r="I171" s="199" t="s">
        <v>1541</v>
      </c>
      <c r="J171" s="198" t="s">
        <v>1046</v>
      </c>
      <c r="K171" s="266">
        <v>45615</v>
      </c>
      <c r="L171" s="196" t="s">
        <v>25</v>
      </c>
      <c r="M171" s="196" t="s">
        <v>24</v>
      </c>
      <c r="N171" s="196" t="s">
        <v>24</v>
      </c>
      <c r="O171" s="265" t="s">
        <v>1627</v>
      </c>
      <c r="P171" s="196" t="s">
        <v>24</v>
      </c>
      <c r="Q171" s="202">
        <f t="shared" si="11"/>
        <v>45887</v>
      </c>
      <c r="R171" s="203" t="s">
        <v>1630</v>
      </c>
      <c r="S171" s="204">
        <v>104804455</v>
      </c>
      <c r="T171" s="196" t="s">
        <v>1568</v>
      </c>
    </row>
    <row r="172" spans="1:20" ht="19">
      <c r="A172" s="196">
        <v>166</v>
      </c>
      <c r="B172" s="197">
        <v>45888</v>
      </c>
      <c r="C172" s="234" t="s">
        <v>1637</v>
      </c>
      <c r="D172" s="234" t="s">
        <v>1248</v>
      </c>
      <c r="E172" s="265">
        <v>989185719</v>
      </c>
      <c r="F172" s="196" t="s">
        <v>1569</v>
      </c>
      <c r="G172" s="198">
        <v>111000078</v>
      </c>
      <c r="H172" s="199" t="str">
        <f t="shared" si="10"/>
        <v>HLB 8400 FBK HORNO ELEC</v>
      </c>
      <c r="I172" s="199" t="s">
        <v>1541</v>
      </c>
      <c r="J172" s="198" t="s">
        <v>1046</v>
      </c>
      <c r="K172" s="266">
        <v>45749</v>
      </c>
      <c r="L172" s="196" t="s">
        <v>25</v>
      </c>
      <c r="M172" s="196" t="s">
        <v>24</v>
      </c>
      <c r="N172" s="196" t="s">
        <v>24</v>
      </c>
      <c r="O172" s="272" t="s">
        <v>1632</v>
      </c>
      <c r="P172" s="196" t="s">
        <v>24</v>
      </c>
      <c r="Q172" s="202">
        <f t="shared" si="11"/>
        <v>45887</v>
      </c>
      <c r="R172" s="203" t="s">
        <v>1639</v>
      </c>
      <c r="S172" s="230" t="s">
        <v>1638</v>
      </c>
      <c r="T172" s="196" t="s">
        <v>1568</v>
      </c>
    </row>
    <row r="173" spans="1:20" ht="19">
      <c r="A173" s="196">
        <v>167</v>
      </c>
      <c r="B173" s="197">
        <v>45888</v>
      </c>
      <c r="C173" s="234" t="s">
        <v>1637</v>
      </c>
      <c r="D173" s="234" t="s">
        <v>1248</v>
      </c>
      <c r="E173" s="265">
        <v>989185719</v>
      </c>
      <c r="F173" s="196" t="s">
        <v>1569</v>
      </c>
      <c r="G173" s="198">
        <v>113430051</v>
      </c>
      <c r="H173" s="199" t="str">
        <f t="shared" si="10"/>
        <v>RMF 77960 GBK MX REFRIGERADORA</v>
      </c>
      <c r="I173" s="199" t="s">
        <v>1541</v>
      </c>
      <c r="J173" s="198" t="s">
        <v>1046</v>
      </c>
      <c r="K173" s="266">
        <v>45749</v>
      </c>
      <c r="L173" s="196" t="s">
        <v>25</v>
      </c>
      <c r="M173" s="196" t="s">
        <v>24</v>
      </c>
      <c r="N173" s="196" t="s">
        <v>24</v>
      </c>
      <c r="O173" s="265" t="s">
        <v>1633</v>
      </c>
      <c r="P173" s="196" t="s">
        <v>24</v>
      </c>
      <c r="Q173" s="202">
        <f t="shared" si="11"/>
        <v>45887</v>
      </c>
      <c r="R173" s="203" t="s">
        <v>1639</v>
      </c>
      <c r="S173" s="230" t="s">
        <v>1638</v>
      </c>
      <c r="T173" s="196" t="s">
        <v>1568</v>
      </c>
    </row>
    <row r="174" spans="1:20" ht="19">
      <c r="A174" s="196">
        <v>168</v>
      </c>
      <c r="B174" s="197">
        <v>45888</v>
      </c>
      <c r="C174" s="234" t="s">
        <v>1637</v>
      </c>
      <c r="D174" s="234" t="s">
        <v>1248</v>
      </c>
      <c r="E174" s="265">
        <v>989185719</v>
      </c>
      <c r="F174" s="196" t="s">
        <v>1569</v>
      </c>
      <c r="G174" s="198">
        <v>112580058</v>
      </c>
      <c r="H174" s="199" t="str">
        <f t="shared" si="10"/>
        <v>GBC 95030 KBB BK COCINA GAS</v>
      </c>
      <c r="I174" s="199" t="s">
        <v>1541</v>
      </c>
      <c r="J174" s="198" t="s">
        <v>1046</v>
      </c>
      <c r="K174" s="266">
        <v>45749</v>
      </c>
      <c r="L174" s="196" t="s">
        <v>25</v>
      </c>
      <c r="M174" s="196" t="s">
        <v>24</v>
      </c>
      <c r="N174" s="196" t="s">
        <v>24</v>
      </c>
      <c r="O174" s="272" t="s">
        <v>1634</v>
      </c>
      <c r="P174" s="196" t="s">
        <v>24</v>
      </c>
      <c r="Q174" s="202">
        <f t="shared" si="11"/>
        <v>45887</v>
      </c>
      <c r="R174" s="203" t="s">
        <v>1639</v>
      </c>
      <c r="S174" s="230" t="s">
        <v>1638</v>
      </c>
      <c r="T174" s="196" t="s">
        <v>1568</v>
      </c>
    </row>
    <row r="175" spans="1:20" ht="19">
      <c r="A175" s="196">
        <v>169</v>
      </c>
      <c r="B175" s="197">
        <v>45888</v>
      </c>
      <c r="C175" s="234" t="s">
        <v>1637</v>
      </c>
      <c r="D175" s="234" t="s">
        <v>1248</v>
      </c>
      <c r="E175" s="265">
        <v>989185719</v>
      </c>
      <c r="F175" s="196" t="s">
        <v>1569</v>
      </c>
      <c r="G175" s="198">
        <v>112950021</v>
      </c>
      <c r="H175" s="199" t="str">
        <f t="shared" si="10"/>
        <v>DVN 94030 TCL BK CAMPANA (110V-60HZ) C/KIT</v>
      </c>
      <c r="I175" s="199" t="s">
        <v>1541</v>
      </c>
      <c r="J175" s="198" t="s">
        <v>1046</v>
      </c>
      <c r="K175" s="266">
        <v>45749</v>
      </c>
      <c r="L175" s="196" t="s">
        <v>25</v>
      </c>
      <c r="M175" s="196" t="s">
        <v>24</v>
      </c>
      <c r="N175" s="196" t="s">
        <v>24</v>
      </c>
      <c r="O175" s="265" t="s">
        <v>1635</v>
      </c>
      <c r="P175" s="196" t="s">
        <v>24</v>
      </c>
      <c r="Q175" s="202">
        <f t="shared" si="11"/>
        <v>45887</v>
      </c>
      <c r="R175" s="203" t="s">
        <v>1639</v>
      </c>
      <c r="S175" s="230" t="s">
        <v>1638</v>
      </c>
      <c r="T175" s="196" t="s">
        <v>1568</v>
      </c>
    </row>
    <row r="176" spans="1:20" ht="19">
      <c r="A176" s="196">
        <v>170</v>
      </c>
      <c r="B176" s="197">
        <v>45888</v>
      </c>
      <c r="C176" s="234" t="s">
        <v>1637</v>
      </c>
      <c r="D176" s="234" t="s">
        <v>1248</v>
      </c>
      <c r="E176" s="265">
        <v>989185719</v>
      </c>
      <c r="F176" s="196" t="s">
        <v>1569</v>
      </c>
      <c r="G176" s="198">
        <v>112030019</v>
      </c>
      <c r="H176" s="199" t="str">
        <f t="shared" si="10"/>
        <v>ML 8220 BIS FBK- MICROONDAS</v>
      </c>
      <c r="I176" s="199" t="s">
        <v>1541</v>
      </c>
      <c r="J176" s="198" t="s">
        <v>1046</v>
      </c>
      <c r="K176" s="266">
        <v>45749</v>
      </c>
      <c r="L176" s="196" t="s">
        <v>25</v>
      </c>
      <c r="M176" s="196" t="s">
        <v>24</v>
      </c>
      <c r="N176" s="196" t="s">
        <v>24</v>
      </c>
      <c r="O176" s="272" t="s">
        <v>1636</v>
      </c>
      <c r="P176" s="196" t="s">
        <v>24</v>
      </c>
      <c r="Q176" s="202">
        <f t="shared" si="11"/>
        <v>45887</v>
      </c>
      <c r="R176" s="203" t="s">
        <v>1639</v>
      </c>
      <c r="S176" s="230" t="s">
        <v>1638</v>
      </c>
      <c r="T176" s="196" t="s">
        <v>1568</v>
      </c>
    </row>
    <row r="177" spans="1:20" ht="19">
      <c r="A177" s="196">
        <v>171</v>
      </c>
      <c r="B177" s="197">
        <v>45888</v>
      </c>
      <c r="C177" s="234" t="s">
        <v>1643</v>
      </c>
      <c r="D177" s="234" t="s">
        <v>1644</v>
      </c>
      <c r="E177" s="265">
        <v>72840525</v>
      </c>
      <c r="F177" s="196" t="s">
        <v>1569</v>
      </c>
      <c r="G177" s="198">
        <v>40467305</v>
      </c>
      <c r="H177" s="199" t="str">
        <f t="shared" si="10"/>
        <v>C 710 NEGRA CAMPANA (110V-60HZ) C/KIT</v>
      </c>
      <c r="I177" s="199" t="s">
        <v>1541</v>
      </c>
      <c r="J177" s="198" t="s">
        <v>1172</v>
      </c>
      <c r="K177" s="266">
        <v>45879</v>
      </c>
      <c r="L177" s="196" t="s">
        <v>25</v>
      </c>
      <c r="M177" s="196" t="s">
        <v>24</v>
      </c>
      <c r="N177" s="196" t="s">
        <v>24</v>
      </c>
      <c r="O177" s="265" t="s">
        <v>1641</v>
      </c>
      <c r="P177" s="196" t="s">
        <v>24</v>
      </c>
      <c r="Q177" s="202">
        <f t="shared" si="11"/>
        <v>45887</v>
      </c>
      <c r="R177" s="203" t="s">
        <v>1646</v>
      </c>
      <c r="S177" s="230" t="s">
        <v>1645</v>
      </c>
      <c r="T177" s="196" t="s">
        <v>1568</v>
      </c>
    </row>
    <row r="178" spans="1:20" ht="19">
      <c r="A178" s="196">
        <v>172</v>
      </c>
      <c r="B178" s="197">
        <v>45888</v>
      </c>
      <c r="C178" s="234" t="s">
        <v>1643</v>
      </c>
      <c r="D178" s="234" t="s">
        <v>1644</v>
      </c>
      <c r="E178" s="265">
        <v>72840525</v>
      </c>
      <c r="F178" s="196" t="s">
        <v>1569</v>
      </c>
      <c r="G178" s="198">
        <v>112570093</v>
      </c>
      <c r="H178" s="199" t="str">
        <f t="shared" si="10"/>
        <v>GZC 75330 XBB CRISTAL COCINA GAS</v>
      </c>
      <c r="I178" s="199" t="s">
        <v>1541</v>
      </c>
      <c r="J178" s="198" t="s">
        <v>1172</v>
      </c>
      <c r="K178" s="266">
        <v>45879</v>
      </c>
      <c r="L178" s="196" t="s">
        <v>25</v>
      </c>
      <c r="M178" s="196" t="s">
        <v>24</v>
      </c>
      <c r="N178" s="196" t="s">
        <v>24</v>
      </c>
      <c r="O178" s="272" t="s">
        <v>1642</v>
      </c>
      <c r="P178" s="196" t="s">
        <v>24</v>
      </c>
      <c r="Q178" s="202">
        <f t="shared" si="11"/>
        <v>45887</v>
      </c>
      <c r="R178" s="203" t="s">
        <v>1646</v>
      </c>
      <c r="S178" s="230" t="s">
        <v>1645</v>
      </c>
      <c r="T178" s="196" t="s">
        <v>1568</v>
      </c>
    </row>
    <row r="179" spans="1:20" ht="19">
      <c r="A179" s="196">
        <v>173</v>
      </c>
      <c r="B179" s="267">
        <v>45888</v>
      </c>
      <c r="C179" s="235" t="s">
        <v>1702</v>
      </c>
      <c r="D179" s="235" t="s">
        <v>1248</v>
      </c>
      <c r="E179" s="235">
        <v>984377746</v>
      </c>
      <c r="F179" s="196" t="s">
        <v>1569</v>
      </c>
      <c r="G179" s="196">
        <v>112520025</v>
      </c>
      <c r="H179" s="199" t="str">
        <f t="shared" si="10"/>
        <v>IZC 64010 MSS COCINA INDUCCION</v>
      </c>
      <c r="I179" s="199" t="s">
        <v>1541</v>
      </c>
      <c r="J179" s="196" t="s">
        <v>1196</v>
      </c>
      <c r="K179" s="209">
        <v>45881</v>
      </c>
      <c r="L179" s="196" t="s">
        <v>25</v>
      </c>
      <c r="M179" s="196" t="s">
        <v>24</v>
      </c>
      <c r="N179" s="196" t="s">
        <v>24</v>
      </c>
      <c r="O179" s="196" t="s">
        <v>1701</v>
      </c>
      <c r="P179" s="196" t="s">
        <v>24</v>
      </c>
      <c r="Q179" s="202">
        <f t="shared" si="11"/>
        <v>45887</v>
      </c>
      <c r="R179" s="271" t="s">
        <v>1703</v>
      </c>
      <c r="S179" s="196">
        <v>104583877</v>
      </c>
      <c r="T179" s="196" t="s">
        <v>1568</v>
      </c>
    </row>
    <row r="180" spans="1:20" ht="19">
      <c r="A180" s="196">
        <v>174</v>
      </c>
      <c r="B180" s="267">
        <v>45888</v>
      </c>
      <c r="C180" s="235" t="s">
        <v>1706</v>
      </c>
      <c r="D180" s="235" t="s">
        <v>1707</v>
      </c>
      <c r="E180" s="235">
        <v>991688171</v>
      </c>
      <c r="F180" s="196" t="s">
        <v>1569</v>
      </c>
      <c r="G180" s="196">
        <v>40467320</v>
      </c>
      <c r="H180" s="199" t="str">
        <f t="shared" si="10"/>
        <v>C 7310 INOX CAMPANA (110V-60HZ) C/KIT</v>
      </c>
      <c r="I180" s="199" t="s">
        <v>1541</v>
      </c>
      <c r="J180" s="196" t="s">
        <v>1210</v>
      </c>
      <c r="K180" s="209">
        <v>45468</v>
      </c>
      <c r="L180" s="196" t="s">
        <v>25</v>
      </c>
      <c r="M180" s="196" t="s">
        <v>24</v>
      </c>
      <c r="N180" s="196" t="s">
        <v>24</v>
      </c>
      <c r="O180" s="196" t="s">
        <v>1705</v>
      </c>
      <c r="P180" s="196" t="s">
        <v>24</v>
      </c>
      <c r="Q180" s="202">
        <f t="shared" si="11"/>
        <v>45887</v>
      </c>
      <c r="R180" s="271" t="s">
        <v>1708</v>
      </c>
      <c r="S180" s="196">
        <v>1103466742</v>
      </c>
      <c r="T180" s="196" t="s">
        <v>1568</v>
      </c>
    </row>
    <row r="181" spans="1:20" ht="19">
      <c r="A181" s="196">
        <v>175</v>
      </c>
      <c r="B181" s="267">
        <v>45888</v>
      </c>
      <c r="C181" s="235" t="s">
        <v>1711</v>
      </c>
      <c r="D181" s="235" t="s">
        <v>1712</v>
      </c>
      <c r="E181" s="235">
        <v>941818198</v>
      </c>
      <c r="F181" s="196" t="s">
        <v>1569</v>
      </c>
      <c r="G181" s="196">
        <v>40467320</v>
      </c>
      <c r="H181" s="199" t="str">
        <f t="shared" si="10"/>
        <v>C 7310 INOX CAMPANA (110V-60HZ) C/KIT</v>
      </c>
      <c r="I181" s="199" t="s">
        <v>1541</v>
      </c>
      <c r="J181" s="196" t="s">
        <v>1046</v>
      </c>
      <c r="K181" s="209">
        <v>45713</v>
      </c>
      <c r="L181" s="196" t="s">
        <v>25</v>
      </c>
      <c r="M181" s="196" t="s">
        <v>24</v>
      </c>
      <c r="N181" s="196" t="s">
        <v>24</v>
      </c>
      <c r="O181" s="196" t="s">
        <v>1710</v>
      </c>
      <c r="P181" s="196" t="s">
        <v>24</v>
      </c>
      <c r="Q181" s="202">
        <f t="shared" si="11"/>
        <v>45887</v>
      </c>
      <c r="R181" s="271" t="s">
        <v>1713</v>
      </c>
      <c r="S181" s="196">
        <v>105956924</v>
      </c>
      <c r="T181" s="196" t="s">
        <v>1568</v>
      </c>
    </row>
    <row r="182" spans="1:20">
      <c r="C182" s="242"/>
      <c r="D182" s="239"/>
    </row>
    <row r="183" spans="1:20">
      <c r="C183" s="242"/>
      <c r="D183" s="239"/>
    </row>
    <row r="184" spans="1:20">
      <c r="C184" s="242"/>
      <c r="D184" s="239"/>
    </row>
    <row r="185" spans="1:20">
      <c r="C185" s="242"/>
      <c r="D185" s="239"/>
    </row>
    <row r="186" spans="1:20">
      <c r="C186" s="242"/>
      <c r="D186" s="239"/>
    </row>
    <row r="187" spans="1:20">
      <c r="C187" s="242"/>
      <c r="D187" s="239"/>
    </row>
    <row r="188" spans="1:20">
      <c r="C188" s="242"/>
      <c r="D188" s="239"/>
    </row>
    <row r="189" spans="1:20">
      <c r="C189" s="242"/>
      <c r="D189" s="239"/>
    </row>
    <row r="190" spans="1:20">
      <c r="C190" s="243"/>
      <c r="D190" s="240"/>
    </row>
  </sheetData>
  <hyperlinks>
    <hyperlink ref="R7" r:id="rId1" xr:uid="{40522EBF-9B23-604F-80C8-860B68A4FF25}"/>
    <hyperlink ref="R8" r:id="rId2" xr:uid="{BFAE3BAD-A851-414A-B7E7-D05C42B12132}"/>
    <hyperlink ref="R9" r:id="rId3" xr:uid="{35B68ED9-0077-524F-B3DA-6B5EA99A6EB9}"/>
    <hyperlink ref="R16" r:id="rId4" xr:uid="{E197A3E6-A8CE-FF42-880C-BE648435A492}"/>
    <hyperlink ref="R17" r:id="rId5" xr:uid="{E6DB5134-0C5C-C949-92C0-A7FA554DE1D5}"/>
    <hyperlink ref="R18" r:id="rId6" xr:uid="{036F0126-5ACF-6F40-A7B5-CEE62AB2AA3B}"/>
    <hyperlink ref="R19" r:id="rId7" xr:uid="{840DE56D-AC26-8347-AC35-8FBFE3CB24D4}"/>
    <hyperlink ref="R20" r:id="rId8" xr:uid="{424F7A20-E8AD-4F4D-9A2F-371D894FC99A}"/>
    <hyperlink ref="R21" r:id="rId9" xr:uid="{0195D6FE-5BF8-FE49-B936-D092070160C2}"/>
    <hyperlink ref="R22" r:id="rId10" xr:uid="{CD84FEE5-3D3D-9C45-A82B-D3FC6D1C3CE8}"/>
    <hyperlink ref="R23" r:id="rId11" xr:uid="{B18FA61E-BC5C-8F4A-A311-7CB624536D22}"/>
    <hyperlink ref="R29" r:id="rId12" xr:uid="{903C5EDA-6645-6B4E-87CF-E6DDCE6739D2}"/>
    <hyperlink ref="R30" r:id="rId13" xr:uid="{7E99C891-6B4C-2A45-BD02-88D0C30C9623}"/>
    <hyperlink ref="R31" r:id="rId14" xr:uid="{60E33FE8-2D66-784F-8148-194F20A37C6E}"/>
    <hyperlink ref="R32" r:id="rId15" xr:uid="{F155A44C-D170-9A47-AC45-D42686722E99}"/>
    <hyperlink ref="R35" r:id="rId16" xr:uid="{65C8EA96-592C-9F4A-ABB4-8246834DA3A6}"/>
    <hyperlink ref="R36" r:id="rId17" xr:uid="{20998518-B445-6144-A0FB-D08528930FF4}"/>
    <hyperlink ref="R37" r:id="rId18" xr:uid="{CE3EFD56-3C62-0B46-893C-91717355B7B7}"/>
    <hyperlink ref="R38" r:id="rId19" xr:uid="{91346BE3-9DF4-3F4F-8885-D9E6CAA6A0DE}"/>
    <hyperlink ref="R39" r:id="rId20" xr:uid="{09CD08A3-ED71-5341-B50C-98C5983AA8D0}"/>
    <hyperlink ref="R40" r:id="rId21" xr:uid="{87BE9000-9471-DD40-9B82-CC94C35B5A41}"/>
    <hyperlink ref="R44" r:id="rId22" xr:uid="{B91116FE-23D1-8348-AB0E-4FAAFDDE9455}"/>
    <hyperlink ref="R45" r:id="rId23" xr:uid="{7DCC5D96-A083-674E-A2C2-DED4BBEA7055}"/>
    <hyperlink ref="R46" r:id="rId24" xr:uid="{064390CA-0713-9449-BDB7-38318693BD37}"/>
    <hyperlink ref="R47" r:id="rId25" xr:uid="{1710D7E1-9055-9748-84DD-B93F159C4497}"/>
    <hyperlink ref="R51" r:id="rId26" xr:uid="{491BCCC6-422B-264A-8822-B46CFCB15C0B}"/>
    <hyperlink ref="R52" r:id="rId27" xr:uid="{74C4B659-0BD4-C043-89CF-CF8611F4881A}"/>
    <hyperlink ref="R53" r:id="rId28" xr:uid="{C65405A6-AF08-584E-8133-F03E09B6E5A8}"/>
    <hyperlink ref="R59" r:id="rId29" xr:uid="{B59F5ED1-6BB8-1D48-A116-EE9786929472}"/>
    <hyperlink ref="R60" r:id="rId30" xr:uid="{D471B6D9-1D6D-5A46-A740-80DD0DB417B1}"/>
    <hyperlink ref="R61" r:id="rId31" xr:uid="{31852A6C-A63A-524A-855D-B668016C103A}"/>
    <hyperlink ref="R62" r:id="rId32" xr:uid="{EBB7F806-8708-D640-B39E-9F197C9F26DA}"/>
    <hyperlink ref="R63" r:id="rId33" xr:uid="{3D91AFD3-2C22-E148-A8BF-F1AFABBAF74B}"/>
    <hyperlink ref="R64" r:id="rId34" xr:uid="{497FF339-CB4C-1246-B685-7B29A016B5CA}"/>
    <hyperlink ref="R67" r:id="rId35" xr:uid="{B186E5E1-B44A-F743-8507-615C22366A2E}"/>
    <hyperlink ref="R68" r:id="rId36" xr:uid="{89C22282-B187-644D-A91B-E6BD90093E63}"/>
    <hyperlink ref="R69" r:id="rId37" xr:uid="{8ECDF2C4-CE7B-F24D-973D-B9B3C670DC32}"/>
    <hyperlink ref="R70" r:id="rId38" xr:uid="{542E0124-9C19-A04D-83AE-A7C705AEB371}"/>
    <hyperlink ref="R74" r:id="rId39" xr:uid="{2A4674DB-03AA-1F42-B83B-95E1ABB72EFB}"/>
    <hyperlink ref="R75" r:id="rId40" xr:uid="{B7545DCA-1DC9-7B4F-95DC-9B33E71D147D}"/>
    <hyperlink ref="R76" r:id="rId41" xr:uid="{D59C486E-7A86-BD49-933F-131EE9F6ECE1}"/>
    <hyperlink ref="R77" r:id="rId42" xr:uid="{BA52A36D-AF45-4F41-83F5-BB9136864E3B}"/>
    <hyperlink ref="R79" r:id="rId43" xr:uid="{A36FCDFE-AFD8-E642-8FCF-0085A88EFC3D}"/>
    <hyperlink ref="R80" r:id="rId44" xr:uid="{990630C8-2FB1-E149-A5A7-B5DA46FB058B}"/>
    <hyperlink ref="R81" r:id="rId45" xr:uid="{7B65CB62-7FD0-6F4D-8392-47DFCBE4E55D}"/>
    <hyperlink ref="R82" r:id="rId46" xr:uid="{9B7DB16A-96DD-1E46-BFB4-C1247B8A5371}"/>
    <hyperlink ref="R87" r:id="rId47" xr:uid="{23E8D3B8-2BB4-2744-AD56-F8AA9E139047}"/>
    <hyperlink ref="R88" r:id="rId48" xr:uid="{F095969A-A6BF-3F45-AFD9-D8AD51764259}"/>
    <hyperlink ref="R89" r:id="rId49" xr:uid="{023A9260-794F-BC4E-834F-7A8C2E809438}"/>
    <hyperlink ref="R90" r:id="rId50" xr:uid="{27F29C60-F56F-B94A-95B5-6F7199D56327}"/>
    <hyperlink ref="R91" r:id="rId51" xr:uid="{55806E97-B88A-D84F-91D5-7FD1A3AC45A8}"/>
    <hyperlink ref="R92" r:id="rId52" xr:uid="{C2138256-1343-3547-B4A4-43C89D5CC553}"/>
    <hyperlink ref="R93" r:id="rId53" xr:uid="{AD8A6407-96A8-9B49-A0F4-06A83834AF04}"/>
    <hyperlink ref="R94" r:id="rId54" xr:uid="{74F591C7-ED58-104B-964A-C13DD67F06FE}"/>
    <hyperlink ref="R95" r:id="rId55" xr:uid="{5CF6BA9F-3019-B34D-B5ED-19FAE5A83CC3}"/>
    <hyperlink ref="R96" r:id="rId56" xr:uid="{996A6BCC-D769-0640-BBE7-1E864758D282}"/>
    <hyperlink ref="R97" r:id="rId57" xr:uid="{76650011-39FC-FA40-BC97-3EFF860B7C6B}"/>
    <hyperlink ref="R98" r:id="rId58" xr:uid="{6C8CE899-EBC8-034C-B059-82D58FDB9ADD}"/>
    <hyperlink ref="R99" r:id="rId59" xr:uid="{73DA63A4-706C-6A49-BB34-9959F8CDF313}"/>
    <hyperlink ref="R100" r:id="rId60" xr:uid="{7B08F564-E365-0D41-9557-0454B9D98581}"/>
    <hyperlink ref="R102" r:id="rId61" xr:uid="{CAA56CB0-AFB7-5148-916A-501C17EB099F}"/>
    <hyperlink ref="R103" r:id="rId62" xr:uid="{049C2834-037B-1A41-8A6C-D3E397A705B9}"/>
    <hyperlink ref="R104" r:id="rId63" xr:uid="{808A530F-13E4-2641-A7CB-C91EB7475DFD}"/>
    <hyperlink ref="R105" r:id="rId64" xr:uid="{95355E70-D261-6F47-8763-2B0E5955AA6E}"/>
    <hyperlink ref="R107" r:id="rId65" xr:uid="{20FFE085-D1E8-8A48-9FAB-75F41AAB3C3C}"/>
    <hyperlink ref="R108" r:id="rId66" xr:uid="{60F1FB07-31DE-8D45-85A8-464C10825D23}"/>
    <hyperlink ref="R109" r:id="rId67" xr:uid="{14FD371E-CEC4-F647-B9E3-6595561DFA15}"/>
    <hyperlink ref="R110" r:id="rId68" xr:uid="{AB2D3973-3E77-C248-976D-F30A13977556}"/>
    <hyperlink ref="R111" r:id="rId69" xr:uid="{41C1E0C1-E406-0E4E-8288-00FCB64E5A54}"/>
    <hyperlink ref="R112" r:id="rId70" xr:uid="{39DC9E4B-736F-2C4C-92FF-78931615AF74}"/>
    <hyperlink ref="R113" r:id="rId71" xr:uid="{9EABEBAD-616C-6C45-AAB7-23023E1B1CD8}"/>
    <hyperlink ref="R114" r:id="rId72" xr:uid="{6633A353-FCCC-234F-AA6E-6FF76E941CF3}"/>
    <hyperlink ref="R115" r:id="rId73" xr:uid="{C6FD6D51-1DEC-354F-9886-58718B886164}"/>
    <hyperlink ref="R116" r:id="rId74" xr:uid="{38E91CC8-8B9D-BC44-B3D7-B9C2E1C7B3AC}"/>
    <hyperlink ref="R117" r:id="rId75" xr:uid="{F4360D56-0D47-8449-B8A1-2AB10F619CC3}"/>
    <hyperlink ref="R122" r:id="rId76" xr:uid="{BE0F8FAD-C885-D846-BB1A-6838323AF238}"/>
    <hyperlink ref="R123" r:id="rId77" xr:uid="{9C9424A7-0E20-5A4D-8C04-83FB21E69ECE}"/>
    <hyperlink ref="R126" r:id="rId78" xr:uid="{4AC9AD00-7306-6148-852E-2F64F71F0F2C}"/>
    <hyperlink ref="R127" r:id="rId79" xr:uid="{8C74EE36-096D-1241-BD42-904A7107FC72}"/>
    <hyperlink ref="R128" r:id="rId80" xr:uid="{5308FE8F-4F3E-8A4A-9D88-6B321B1D3888}"/>
    <hyperlink ref="R129" r:id="rId81" xr:uid="{75794C5A-4CA4-054A-9F15-0D5CBB6743FC}"/>
    <hyperlink ref="R130" r:id="rId82" xr:uid="{D85EBEC9-9991-1244-94C6-1FB32BD27987}"/>
    <hyperlink ref="R137" r:id="rId83" xr:uid="{274FCC00-A917-AA4E-A16E-45BD8AA418B3}"/>
    <hyperlink ref="R138" r:id="rId84" xr:uid="{2B4BE119-D538-3E4B-89FD-D31CE14760F5}"/>
    <hyperlink ref="R139" r:id="rId85" xr:uid="{F5DEA3C4-6D11-4A44-A614-A2CD8E6E8869}"/>
    <hyperlink ref="R140" r:id="rId86" xr:uid="{BC4CC7A1-0052-464A-9D9A-10ACF1EAA0ED}"/>
    <hyperlink ref="R141" r:id="rId87" xr:uid="{49F4E79E-B66B-714D-A474-88575C9A69E4}"/>
    <hyperlink ref="R10" r:id="rId88" display="mailto:jaquesilva1963@gmail.com" xr:uid="{BAFB386F-19A3-7246-869E-D1FDCDEBCF00}"/>
    <hyperlink ref="R11" r:id="rId89" display="mailto:rosamariadelgado@live.com" xr:uid="{23A756B6-25CA-F646-8983-BE5B98CDD810}"/>
    <hyperlink ref="R24" r:id="rId90" display="mailto:suitespresidentecordova@gmail.com" xr:uid="{FB629479-CF4C-0A4E-8019-097CD36D477F}"/>
    <hyperlink ref="R25" r:id="rId91" display="mailto:gcorreabarzallo@gmail.com" xr:uid="{96F965A1-3310-9442-BD5D-05709EE98864}"/>
    <hyperlink ref="R33" r:id="rId92" display="mailto:ficomedina1951@gmail.com" xr:uid="{00E0A592-6292-CE48-A7DF-BE1BAAC7A9C0}"/>
    <hyperlink ref="R41" r:id="rId93" display="mailto:carlosugalden@yahoo.com" xr:uid="{04808965-9EB4-244A-97D3-284BD474906F}"/>
    <hyperlink ref="R65" r:id="rId94" display="mailto:juanca7010@hotmail.com" xr:uid="{B4179C0B-3239-1147-B66E-B6934DA1A71B}"/>
    <hyperlink ref="R83" r:id="rId95" display="mailto:edissoncampo90@gmail.com" xr:uid="{06001BFF-D53D-3A4D-B070-06981BB000D5}"/>
    <hyperlink ref="R118" r:id="rId96" display="mailto:gerencia@oceacuns.com" xr:uid="{C075FDDF-CFF4-E046-A825-9571F77DCB4A}"/>
    <hyperlink ref="R125" r:id="rId97" display="mailto:perezreyescordero@hotmail.com" xr:uid="{1E58B7C6-4C62-1646-8E0A-B1E6D5E7C8F5}"/>
    <hyperlink ref="R124" r:id="rId98" display="mailto:ferzamora1989@gmail.com" xr:uid="{F62F6D52-0AB7-D340-9F20-677853C6A30A}"/>
    <hyperlink ref="R131" r:id="rId99" display="mailto:maryeugeniatam@hotmail.com" xr:uid="{7C2F30E4-B48C-2B4E-A90F-D0ADD756627D}"/>
    <hyperlink ref="R12" r:id="rId100" xr:uid="{A6196E7C-5F94-9247-A985-374422DF54FC}"/>
    <hyperlink ref="R13" r:id="rId101" xr:uid="{EF382ACF-9A6C-FA48-901E-230F7431C587}"/>
    <hyperlink ref="R14" r:id="rId102" xr:uid="{650CCEDB-D854-8C46-9E63-7FF62E28F14C}"/>
    <hyperlink ref="R15" r:id="rId103" xr:uid="{846C7FF3-C8E2-3548-A7BC-76B9B6960231}"/>
    <hyperlink ref="R26" r:id="rId104" xr:uid="{5FB37E6A-28F7-E541-9845-26FA87D3B787}"/>
    <hyperlink ref="R34" r:id="rId105" xr:uid="{B65BCFAA-A914-0742-939B-2EF7753329B5}"/>
    <hyperlink ref="R42" r:id="rId106" xr:uid="{40DA2090-68D0-4649-9741-8CE4344557B5}"/>
    <hyperlink ref="R43" r:id="rId107" xr:uid="{6A1C34E5-6A2B-0C41-93B7-10E622DF09EA}"/>
    <hyperlink ref="R54" r:id="rId108" xr:uid="{DCAF39B8-6E3D-B844-981A-8C528DDD948C}"/>
    <hyperlink ref="R55" r:id="rId109" xr:uid="{A7F473DA-C86E-2A4C-B2D9-12D7BE0E3005}"/>
    <hyperlink ref="R66" r:id="rId110" xr:uid="{7B7FD84B-34AE-304B-AFCF-17F537EFF1BB}"/>
    <hyperlink ref="R71" r:id="rId111" xr:uid="{EABA2DCD-C761-054E-8FEC-24E963D26E8D}"/>
    <hyperlink ref="R72" r:id="rId112" xr:uid="{C44C7DD0-9F30-F64F-9F59-3212E306F973}"/>
    <hyperlink ref="R73" r:id="rId113" xr:uid="{3E25AD8D-0EAE-2A42-A8A7-0F3C6E676D09}"/>
    <hyperlink ref="R78" r:id="rId114" xr:uid="{51492113-845E-8641-AF87-B7F68ADAC582}"/>
    <hyperlink ref="R84" r:id="rId115" xr:uid="{7778CC6B-988F-1C41-9EF6-C4F6FBA63584}"/>
    <hyperlink ref="R85" r:id="rId116" xr:uid="{DF03F023-6230-DA4D-BDB3-880755D4FBAA}"/>
    <hyperlink ref="R86" r:id="rId117" xr:uid="{215F3D35-A3F4-6F48-A1B0-F837D6E4CD0D}"/>
    <hyperlink ref="R101" r:id="rId118" xr:uid="{A75D4E69-D692-D14C-9AF1-F83B1B35C13A}"/>
    <hyperlink ref="R106" r:id="rId119" xr:uid="{53C37E93-6F0C-4442-8E82-6897DE6BFF0F}"/>
    <hyperlink ref="R119" r:id="rId120" xr:uid="{34B00F15-331C-7545-904A-6A6062D73C4C}"/>
    <hyperlink ref="R132" r:id="rId121" xr:uid="{9D59ED1A-B448-2B44-8864-74FEDAA35D5D}"/>
    <hyperlink ref="R133" r:id="rId122" xr:uid="{F6126F6B-CF3A-0B4A-B50F-9CDB06AACC07}"/>
    <hyperlink ref="R135" r:id="rId123" xr:uid="{EC76FB92-9FE1-184F-BDAE-C9DA0B5132A4}"/>
    <hyperlink ref="R136" r:id="rId124" xr:uid="{EC8904DB-9A6D-9C48-A76F-E491B9AB94F8}"/>
    <hyperlink ref="R57" r:id="rId125" xr:uid="{304DCB59-8AC7-D846-BF32-A0BBD896D6E0}"/>
    <hyperlink ref="R56" r:id="rId126" xr:uid="{755C55DA-EEEC-BC41-9148-AE2ACDF7AB7B}"/>
    <hyperlink ref="R120" r:id="rId127" xr:uid="{1558427E-7B2C-274C-B9D2-F34F8BEDB345}"/>
    <hyperlink ref="R58" r:id="rId128" xr:uid="{9DDB3140-9766-7545-9A42-0BE4B40AFFFF}"/>
    <hyperlink ref="R121" r:id="rId129" xr:uid="{21F26E8E-F76C-7243-BB28-3F4347F45126}"/>
    <hyperlink ref="R143" r:id="rId130" xr:uid="{9F4C9A4B-93AF-B849-8CE1-30B4E0AAD60B}"/>
    <hyperlink ref="R144" r:id="rId131" xr:uid="{A7149EBB-3153-D24D-AAA1-C5EA9F1E4CED}"/>
    <hyperlink ref="R145" r:id="rId132" xr:uid="{1A69755E-7D0C-D34B-A08D-A0870F92CE0E}"/>
    <hyperlink ref="R146" r:id="rId133" xr:uid="{383A1BA2-0C5C-3244-B105-458B496BEBC0}"/>
    <hyperlink ref="R147" r:id="rId134" xr:uid="{469A407E-1F4A-674F-805B-ABBDB46E1AB5}"/>
    <hyperlink ref="R148" r:id="rId135" xr:uid="{F6C68A13-A88D-BE41-A090-2B947E7FD0BA}"/>
    <hyperlink ref="R149" r:id="rId136" xr:uid="{E7A4BE19-8D80-C747-A3A0-669C4FCFE97A}"/>
    <hyperlink ref="R150" r:id="rId137" xr:uid="{C617D86E-BE4A-2743-83F9-584811784AE1}"/>
    <hyperlink ref="R151" r:id="rId138" xr:uid="{9EE222D9-B1FF-C34E-B9E0-C96855C1C901}"/>
    <hyperlink ref="R152" r:id="rId139" xr:uid="{7183C6E8-BCB6-3840-B9CA-62DF5ABCC49B}"/>
    <hyperlink ref="R153" r:id="rId140" xr:uid="{A083189D-13E7-4341-A9E0-7E19C20672FD}"/>
    <hyperlink ref="R154" r:id="rId141" xr:uid="{C9076CFE-D131-0D4D-B285-D7FC43317CCD}"/>
    <hyperlink ref="R160" r:id="rId142" xr:uid="{F81AC277-C658-964B-B559-1B7C2C2E80E3}"/>
    <hyperlink ref="R161" r:id="rId143" xr:uid="{68494707-ECF3-054D-9817-042C84EAC83D}"/>
    <hyperlink ref="R166" r:id="rId144" xr:uid="{2E9A1691-3167-8F4F-A1FF-13190F9463A6}"/>
    <hyperlink ref="R167" r:id="rId145" xr:uid="{EC1AFFD5-61A0-144A-8704-8142333493BB}"/>
    <hyperlink ref="R168" r:id="rId146" xr:uid="{859D1061-D712-0C44-B94D-373967E714AD}"/>
    <hyperlink ref="R169" r:id="rId147" xr:uid="{8D1DD7AF-9570-5843-B340-6EA382644F9B}"/>
    <hyperlink ref="R170" r:id="rId148" xr:uid="{931CBF66-9C83-404E-A809-9865E2F1ABD7}"/>
    <hyperlink ref="R171" r:id="rId149" xr:uid="{F73031AD-79C7-FD48-8420-659B9736276C}"/>
    <hyperlink ref="R172" r:id="rId150" xr:uid="{CEF1F72B-3B54-F147-8744-D9752642074F}"/>
    <hyperlink ref="R173" r:id="rId151" xr:uid="{DBBD4F57-8B68-8A4A-B607-D21628486E96}"/>
    <hyperlink ref="R174" r:id="rId152" xr:uid="{59C9268F-5D8F-6E42-AC15-23877BDD1A31}"/>
    <hyperlink ref="R175" r:id="rId153" xr:uid="{9F58FE85-4024-8246-96BD-DB7E6EA05D3F}"/>
    <hyperlink ref="R176" r:id="rId154" xr:uid="{97B15DEA-B782-CD44-AA24-AA48B60B8D52}"/>
    <hyperlink ref="R177" r:id="rId155" xr:uid="{81AB974D-5109-B543-ACA7-290CBCFEEF17}"/>
    <hyperlink ref="R178" r:id="rId156" xr:uid="{2A123A40-05E8-A347-8895-52E5ECF6DC1A}"/>
    <hyperlink ref="R155" r:id="rId157" xr:uid="{1410E899-7EED-0B49-A916-F943A9E751E7}"/>
    <hyperlink ref="R156" r:id="rId158" xr:uid="{FE0F83D8-66B5-A246-A0AD-6DAFC690582D}"/>
    <hyperlink ref="R157" r:id="rId159" xr:uid="{5E5C83F2-2337-1840-BA53-9C2BA6312338}"/>
    <hyperlink ref="R162" r:id="rId160" xr:uid="{46958DE8-C8BB-0643-A9E9-9958FD12F4FB}"/>
    <hyperlink ref="R163" r:id="rId161" xr:uid="{E36F1D53-AC0D-754C-B076-761DD76BB4DD}"/>
    <hyperlink ref="R179" r:id="rId162" xr:uid="{D6735CF9-3AAA-2C48-B4DC-86D8C2964971}"/>
    <hyperlink ref="R180" r:id="rId163" xr:uid="{6A8FF031-4DF6-8C45-B273-FE7F24738EAB}"/>
    <hyperlink ref="R181" r:id="rId164" xr:uid="{853B10C0-529B-414E-8918-6F5709656136}"/>
    <hyperlink ref="R159" r:id="rId165" xr:uid="{3A1BA54B-241F-824D-92BB-57182945731D}"/>
    <hyperlink ref="R142" r:id="rId166" xr:uid="{2B69583F-9B48-6D4A-A843-3A8FB7564500}"/>
    <hyperlink ref="R158" r:id="rId167" xr:uid="{6E37315C-FC37-8645-B874-E74F1EA68C9C}"/>
    <hyperlink ref="R164" r:id="rId168" xr:uid="{16BC39C1-8A73-3D47-865C-00144C76B3DE}"/>
    <hyperlink ref="R165" r:id="rId169" xr:uid="{A31B16FE-F544-3A4F-ADC5-69967065621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56"/>
  <sheetViews>
    <sheetView zoomScale="90" zoomScaleNormal="90" workbookViewId="0">
      <selection activeCell="T32" sqref="T32:T40"/>
    </sheetView>
  </sheetViews>
  <sheetFormatPr baseColWidth="10" defaultRowHeight="15"/>
  <cols>
    <col min="1" max="1" width="4.1640625" customWidth="1"/>
    <col min="2" max="2" width="11.83203125" customWidth="1"/>
    <col min="3" max="3" width="23.5" customWidth="1"/>
    <col min="4" max="4" width="24.6640625" bestFit="1" customWidth="1"/>
    <col min="5" max="5" width="16.1640625" customWidth="1"/>
    <col min="6" max="6" width="43.1640625" customWidth="1"/>
    <col min="7" max="7" width="22.66406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40.5" customWidth="1"/>
    <col min="14" max="14" width="14.83203125" customWidth="1"/>
    <col min="15" max="15" width="8.1640625" customWidth="1"/>
    <col min="16" max="16" width="20.1640625" customWidth="1"/>
    <col min="17" max="17" width="11.5" customWidth="1"/>
    <col min="18" max="18" width="6" customWidth="1"/>
    <col min="19" max="19" width="25" customWidth="1"/>
    <col min="20" max="20" width="18" customWidth="1"/>
    <col min="21" max="21" width="33.83203125" customWidth="1"/>
  </cols>
  <sheetData>
    <row r="2" spans="1:21" ht="18">
      <c r="C2" s="67"/>
      <c r="D2" s="67"/>
      <c r="E2" s="67"/>
      <c r="F2" s="67"/>
      <c r="G2" s="67"/>
      <c r="H2" s="67"/>
      <c r="I2" s="67"/>
      <c r="J2" s="67"/>
      <c r="K2" s="68"/>
      <c r="L2" s="67"/>
      <c r="M2" s="67"/>
      <c r="N2" s="67"/>
      <c r="O2" s="67"/>
      <c r="P2" s="67"/>
      <c r="Q2" s="67"/>
      <c r="R2" s="67"/>
      <c r="S2" s="67"/>
    </row>
    <row r="3" spans="1:21" ht="18">
      <c r="A3" s="69"/>
      <c r="C3" s="70" t="s">
        <v>0</v>
      </c>
      <c r="D3" s="67"/>
      <c r="E3" s="71"/>
      <c r="F3" s="67"/>
      <c r="G3" s="72"/>
      <c r="H3" s="68"/>
      <c r="I3" s="73"/>
      <c r="J3" s="74"/>
      <c r="K3" s="68"/>
      <c r="L3" s="75"/>
      <c r="M3" s="75"/>
      <c r="N3" s="68"/>
      <c r="O3" s="76"/>
      <c r="P3" s="67"/>
      <c r="Q3" s="67"/>
      <c r="R3" s="67"/>
      <c r="S3" s="67"/>
    </row>
    <row r="4" spans="1:21" ht="18">
      <c r="A4" s="69"/>
      <c r="C4" s="77" t="s">
        <v>1</v>
      </c>
      <c r="D4" s="67"/>
      <c r="E4" s="68"/>
      <c r="F4" s="67"/>
      <c r="G4" s="78"/>
      <c r="H4" s="79"/>
      <c r="I4" s="80"/>
      <c r="J4" s="81" t="s">
        <v>1045</v>
      </c>
      <c r="K4" s="79"/>
      <c r="L4" s="82"/>
      <c r="M4" s="83"/>
      <c r="N4" s="68" t="s">
        <v>1532</v>
      </c>
      <c r="O4" s="76"/>
      <c r="P4" s="84"/>
      <c r="Q4" s="67"/>
      <c r="R4" s="67"/>
      <c r="S4" s="67"/>
    </row>
    <row r="5" spans="1:21" s="1" customFormat="1" ht="58" customHeight="1">
      <c r="A5" s="85"/>
      <c r="B5" s="138" t="s">
        <v>33</v>
      </c>
      <c r="C5" s="138" t="s">
        <v>34</v>
      </c>
      <c r="D5" s="138" t="s">
        <v>35</v>
      </c>
      <c r="E5" s="138" t="s">
        <v>36</v>
      </c>
      <c r="F5" s="160" t="s">
        <v>37</v>
      </c>
      <c r="G5" s="138" t="s">
        <v>38</v>
      </c>
      <c r="H5" s="138" t="s">
        <v>39</v>
      </c>
      <c r="I5" s="138" t="s">
        <v>40</v>
      </c>
      <c r="J5" s="138" t="s">
        <v>41</v>
      </c>
      <c r="K5" s="138" t="s">
        <v>42</v>
      </c>
      <c r="L5" s="161" t="s">
        <v>43</v>
      </c>
      <c r="M5" s="161" t="s">
        <v>44</v>
      </c>
      <c r="N5" s="138" t="s">
        <v>45</v>
      </c>
      <c r="O5" s="162" t="s">
        <v>46</v>
      </c>
      <c r="P5" s="138" t="s">
        <v>47</v>
      </c>
      <c r="Q5" s="138" t="s">
        <v>48</v>
      </c>
      <c r="R5" s="138" t="s">
        <v>22</v>
      </c>
      <c r="S5" s="138" t="s">
        <v>23</v>
      </c>
      <c r="T5" s="138" t="s">
        <v>49</v>
      </c>
      <c r="U5" s="138" t="s">
        <v>50</v>
      </c>
    </row>
    <row r="6" spans="1:21" s="2" customFormat="1" ht="21">
      <c r="A6" s="2">
        <v>1</v>
      </c>
      <c r="B6" s="163">
        <v>45860</v>
      </c>
      <c r="C6" s="163" t="s">
        <v>1172</v>
      </c>
      <c r="D6" s="163" t="s">
        <v>1173</v>
      </c>
      <c r="E6" s="167">
        <v>112930047</v>
      </c>
      <c r="F6" s="168" t="str">
        <f t="shared" ref="F6:F40" si="0">VLOOKUP(E6,PROD,2,FALSE)</f>
        <v>DVT 98660 TRL BK</v>
      </c>
      <c r="G6" s="169" t="s">
        <v>1174</v>
      </c>
      <c r="H6" s="165" t="s">
        <v>24</v>
      </c>
      <c r="I6" s="163" t="s">
        <v>25</v>
      </c>
      <c r="J6" s="163" t="s">
        <v>1025</v>
      </c>
      <c r="K6" s="163">
        <v>45859</v>
      </c>
      <c r="L6" s="163" t="s">
        <v>1175</v>
      </c>
      <c r="M6" s="163" t="s">
        <v>1176</v>
      </c>
      <c r="N6" s="195">
        <v>984803493</v>
      </c>
      <c r="O6" s="170">
        <v>36</v>
      </c>
      <c r="P6" s="163" t="s">
        <v>64</v>
      </c>
      <c r="Q6" s="163" t="s">
        <v>25</v>
      </c>
      <c r="R6" s="163"/>
      <c r="S6" s="163" t="str">
        <f>D6</f>
        <v>040-103-000014436</v>
      </c>
      <c r="T6" s="164" t="s">
        <v>1177</v>
      </c>
      <c r="U6" s="194" t="s">
        <v>1178</v>
      </c>
    </row>
    <row r="7" spans="1:21" s="2" customFormat="1" ht="21">
      <c r="A7" s="2">
        <v>2</v>
      </c>
      <c r="B7" s="163">
        <v>45853</v>
      </c>
      <c r="C7" s="163" t="s">
        <v>1046</v>
      </c>
      <c r="D7" s="163" t="s">
        <v>1179</v>
      </c>
      <c r="E7" s="167">
        <v>112570128</v>
      </c>
      <c r="F7" s="168" t="str">
        <f t="shared" si="0"/>
        <v>JZC 96342 BBB BK (LAT) COCINA MIXTA GAS - INDUCCION</v>
      </c>
      <c r="G7" s="169" t="s">
        <v>1180</v>
      </c>
      <c r="H7" s="165" t="s">
        <v>24</v>
      </c>
      <c r="I7" s="163" t="s">
        <v>25</v>
      </c>
      <c r="J7" s="163" t="s">
        <v>1025</v>
      </c>
      <c r="K7" s="163">
        <v>45859</v>
      </c>
      <c r="L7" s="163" t="s">
        <v>1181</v>
      </c>
      <c r="M7" s="163" t="s">
        <v>1182</v>
      </c>
      <c r="N7" s="195">
        <v>74112308</v>
      </c>
      <c r="O7" s="170">
        <v>29</v>
      </c>
      <c r="P7" s="163" t="s">
        <v>64</v>
      </c>
      <c r="Q7" s="163" t="s">
        <v>25</v>
      </c>
      <c r="R7" s="163"/>
      <c r="S7" s="163" t="str">
        <f t="shared" ref="S7:S38" si="1">D7</f>
        <v>001-500-000075033</v>
      </c>
      <c r="T7" s="164" t="s">
        <v>1183</v>
      </c>
      <c r="U7" s="194" t="s">
        <v>1184</v>
      </c>
    </row>
    <row r="8" spans="1:21" s="2" customFormat="1" ht="21">
      <c r="A8" s="2">
        <v>3</v>
      </c>
      <c r="B8" s="163">
        <v>45622</v>
      </c>
      <c r="C8" s="163" t="s">
        <v>1172</v>
      </c>
      <c r="D8" s="163" t="s">
        <v>1185</v>
      </c>
      <c r="E8" s="167">
        <v>40782128</v>
      </c>
      <c r="F8" s="168" t="str">
        <f t="shared" si="0"/>
        <v>DW8 57 FIM-D LAVAVAJILLAS</v>
      </c>
      <c r="G8" s="171" t="s">
        <v>1186</v>
      </c>
      <c r="H8" s="165" t="s">
        <v>24</v>
      </c>
      <c r="I8" s="163" t="s">
        <v>25</v>
      </c>
      <c r="J8" s="163" t="s">
        <v>1025</v>
      </c>
      <c r="K8" s="163">
        <v>45859</v>
      </c>
      <c r="L8" s="163" t="s">
        <v>1187</v>
      </c>
      <c r="M8" s="163" t="s">
        <v>1093</v>
      </c>
      <c r="N8" s="195">
        <v>992161609</v>
      </c>
      <c r="O8" s="170">
        <v>25</v>
      </c>
      <c r="P8" s="163" t="s">
        <v>64</v>
      </c>
      <c r="Q8" s="163" t="s">
        <v>25</v>
      </c>
      <c r="R8" s="163"/>
      <c r="S8" s="163" t="str">
        <f t="shared" si="1"/>
        <v>040-103-000009750</v>
      </c>
      <c r="T8" s="164" t="s">
        <v>1188</v>
      </c>
      <c r="U8" s="194" t="s">
        <v>1189</v>
      </c>
    </row>
    <row r="9" spans="1:21" s="2" customFormat="1" ht="21">
      <c r="A9" s="2">
        <v>4</v>
      </c>
      <c r="B9" s="163">
        <v>45853</v>
      </c>
      <c r="C9" s="163" t="s">
        <v>1061</v>
      </c>
      <c r="D9" s="163" t="s">
        <v>1190</v>
      </c>
      <c r="E9" s="167">
        <v>112610069</v>
      </c>
      <c r="F9" s="168" t="str">
        <f t="shared" si="0"/>
        <v>GSC 75330 XBA IX (LAT) COCINA INOX</v>
      </c>
      <c r="G9" s="169" t="s">
        <v>1191</v>
      </c>
      <c r="H9" s="165" t="s">
        <v>24</v>
      </c>
      <c r="I9" s="163" t="s">
        <v>25</v>
      </c>
      <c r="J9" s="163" t="s">
        <v>1025</v>
      </c>
      <c r="K9" s="163">
        <v>45859</v>
      </c>
      <c r="L9" s="163" t="s">
        <v>1192</v>
      </c>
      <c r="M9" s="163" t="s">
        <v>1193</v>
      </c>
      <c r="N9" s="195">
        <v>984179773</v>
      </c>
      <c r="O9" s="170">
        <v>29</v>
      </c>
      <c r="P9" s="163" t="s">
        <v>64</v>
      </c>
      <c r="Q9" s="163" t="s">
        <v>25</v>
      </c>
      <c r="R9" s="163"/>
      <c r="S9" s="163" t="str">
        <f t="shared" si="1"/>
        <v>616-902-000517576</v>
      </c>
      <c r="T9" s="164" t="s">
        <v>1194</v>
      </c>
      <c r="U9" s="194" t="s">
        <v>1195</v>
      </c>
    </row>
    <row r="10" spans="1:21" s="2" customFormat="1" ht="21">
      <c r="A10" s="2">
        <v>5</v>
      </c>
      <c r="B10" s="163">
        <v>45853</v>
      </c>
      <c r="C10" s="163" t="s">
        <v>1196</v>
      </c>
      <c r="D10" s="163" t="s">
        <v>1197</v>
      </c>
      <c r="E10" s="167">
        <v>114270008</v>
      </c>
      <c r="F10" s="168" t="str">
        <f t="shared" si="0"/>
        <v>LAVAVAJILLAS DFI 46900 120 60 WH</v>
      </c>
      <c r="G10" s="169" t="s">
        <v>1198</v>
      </c>
      <c r="H10" s="165" t="s">
        <v>24</v>
      </c>
      <c r="I10" s="163" t="s">
        <v>25</v>
      </c>
      <c r="J10" s="163" t="s">
        <v>1025</v>
      </c>
      <c r="K10" s="163">
        <v>45861</v>
      </c>
      <c r="L10" s="163" t="s">
        <v>1199</v>
      </c>
      <c r="M10" s="163" t="s">
        <v>1067</v>
      </c>
      <c r="N10" s="195">
        <v>983258999</v>
      </c>
      <c r="O10" s="170">
        <v>25</v>
      </c>
      <c r="P10" s="163" t="s">
        <v>64</v>
      </c>
      <c r="Q10" s="163" t="s">
        <v>25</v>
      </c>
      <c r="R10" s="163"/>
      <c r="S10" s="163" t="str">
        <f t="shared" si="1"/>
        <v>007-006-000152603</v>
      </c>
      <c r="T10" s="164" t="s">
        <v>1200</v>
      </c>
      <c r="U10" s="194" t="s">
        <v>1201</v>
      </c>
    </row>
    <row r="11" spans="1:21" s="2" customFormat="1" ht="21">
      <c r="A11" s="2">
        <v>6</v>
      </c>
      <c r="B11" s="163" t="s">
        <v>1202</v>
      </c>
      <c r="C11" s="163" t="s">
        <v>1061</v>
      </c>
      <c r="D11" s="163" t="s">
        <v>1203</v>
      </c>
      <c r="E11" s="167">
        <v>40467320</v>
      </c>
      <c r="F11" s="168" t="str">
        <f t="shared" si="0"/>
        <v>C 7310 INOX CAMPANA (110V-60HZ) C/KIT</v>
      </c>
      <c r="G11" s="169" t="s">
        <v>1204</v>
      </c>
      <c r="H11" s="165" t="s">
        <v>24</v>
      </c>
      <c r="I11" s="163" t="s">
        <v>25</v>
      </c>
      <c r="J11" s="163" t="s">
        <v>1025</v>
      </c>
      <c r="K11" s="163">
        <v>45862</v>
      </c>
      <c r="L11" s="163" t="s">
        <v>1205</v>
      </c>
      <c r="M11" s="163" t="s">
        <v>1206</v>
      </c>
      <c r="N11" s="195" t="s">
        <v>1207</v>
      </c>
      <c r="O11" s="170">
        <v>15</v>
      </c>
      <c r="P11" s="163" t="s">
        <v>64</v>
      </c>
      <c r="Q11" s="163" t="s">
        <v>25</v>
      </c>
      <c r="R11" s="163"/>
      <c r="S11" s="163" t="str">
        <f t="shared" si="1"/>
        <v>016-909-000582260</v>
      </c>
      <c r="T11" s="164" t="s">
        <v>1208</v>
      </c>
      <c r="U11" s="194" t="s">
        <v>1209</v>
      </c>
    </row>
    <row r="12" spans="1:21" s="2" customFormat="1" ht="21">
      <c r="A12" s="2">
        <v>8</v>
      </c>
      <c r="B12" s="163">
        <v>45827</v>
      </c>
      <c r="C12" s="163" t="s">
        <v>1210</v>
      </c>
      <c r="D12" s="163" t="s">
        <v>1211</v>
      </c>
      <c r="E12" s="167">
        <v>112570128</v>
      </c>
      <c r="F12" s="168" t="str">
        <f t="shared" si="0"/>
        <v>JZC 96342 BBB BK (LAT) COCINA MIXTA GAS - INDUCCION</v>
      </c>
      <c r="G12" s="169"/>
      <c r="H12" s="165" t="s">
        <v>24</v>
      </c>
      <c r="I12" s="163" t="s">
        <v>25</v>
      </c>
      <c r="J12" s="163" t="s">
        <v>1025</v>
      </c>
      <c r="K12" s="163">
        <v>45863</v>
      </c>
      <c r="L12" s="163" t="s">
        <v>1212</v>
      </c>
      <c r="M12" s="163" t="s">
        <v>1213</v>
      </c>
      <c r="N12" s="195">
        <v>963162005</v>
      </c>
      <c r="O12" s="170">
        <v>29</v>
      </c>
      <c r="P12" s="163" t="s">
        <v>64</v>
      </c>
      <c r="Q12" s="163" t="s">
        <v>25</v>
      </c>
      <c r="R12" s="163"/>
      <c r="S12" s="163" t="str">
        <f t="shared" si="1"/>
        <v>006-000158172</v>
      </c>
      <c r="T12" s="164" t="s">
        <v>1214</v>
      </c>
      <c r="U12" s="194" t="s">
        <v>1215</v>
      </c>
    </row>
    <row r="13" spans="1:21" s="2" customFormat="1" ht="21">
      <c r="A13" s="2">
        <v>9</v>
      </c>
      <c r="B13" s="163">
        <v>45563</v>
      </c>
      <c r="C13" s="163" t="s">
        <v>1216</v>
      </c>
      <c r="D13" s="163" t="s">
        <v>1217</v>
      </c>
      <c r="E13" s="167">
        <v>112500048</v>
      </c>
      <c r="F13" s="168" t="str">
        <f t="shared" si="0"/>
        <v>IZS 97630 MST COCINA INDUCCION</v>
      </c>
      <c r="G13" s="169" t="s">
        <v>1218</v>
      </c>
      <c r="H13" s="165" t="s">
        <v>24</v>
      </c>
      <c r="I13" s="163" t="s">
        <v>25</v>
      </c>
      <c r="J13" s="163" t="s">
        <v>1025</v>
      </c>
      <c r="K13" s="163">
        <v>45863</v>
      </c>
      <c r="L13" s="163" t="s">
        <v>1219</v>
      </c>
      <c r="M13" s="163" t="s">
        <v>1220</v>
      </c>
      <c r="N13" s="195">
        <v>980841484</v>
      </c>
      <c r="O13" s="170">
        <v>25</v>
      </c>
      <c r="P13" s="163" t="s">
        <v>64</v>
      </c>
      <c r="Q13" s="163" t="s">
        <v>25</v>
      </c>
      <c r="R13" s="163"/>
      <c r="S13" s="163" t="str">
        <f t="shared" si="1"/>
        <v>040-103-000008425</v>
      </c>
      <c r="T13" s="164" t="s">
        <v>1221</v>
      </c>
      <c r="U13" s="194" t="s">
        <v>1222</v>
      </c>
    </row>
    <row r="14" spans="1:21" s="2" customFormat="1" ht="21">
      <c r="A14" s="2">
        <v>10</v>
      </c>
      <c r="B14" s="163">
        <v>45849</v>
      </c>
      <c r="C14" s="163" t="s">
        <v>1061</v>
      </c>
      <c r="D14" s="163" t="s">
        <v>1357</v>
      </c>
      <c r="E14" s="167">
        <v>40466111</v>
      </c>
      <c r="F14" s="168" t="str">
        <f t="shared" si="0"/>
        <v>C 910 NEGRA CAMPANA (110V-60HZ) C/KIT</v>
      </c>
      <c r="G14" s="169" t="s">
        <v>1358</v>
      </c>
      <c r="H14" s="165" t="s">
        <v>24</v>
      </c>
      <c r="I14" s="163" t="s">
        <v>25</v>
      </c>
      <c r="J14" s="163" t="s">
        <v>1025</v>
      </c>
      <c r="K14" s="163">
        <v>45866</v>
      </c>
      <c r="L14" s="163" t="s">
        <v>1359</v>
      </c>
      <c r="M14" s="163" t="s">
        <v>1360</v>
      </c>
      <c r="N14" s="195">
        <v>968163216</v>
      </c>
      <c r="O14" s="170">
        <v>15</v>
      </c>
      <c r="P14" s="163" t="s">
        <v>64</v>
      </c>
      <c r="Q14" s="163" t="s">
        <v>25</v>
      </c>
      <c r="R14" s="163"/>
      <c r="S14" s="163" t="str">
        <f t="shared" si="1"/>
        <v>016-907-000161275</v>
      </c>
      <c r="T14" s="164" t="s">
        <v>1361</v>
      </c>
      <c r="U14" s="194" t="s">
        <v>1362</v>
      </c>
    </row>
    <row r="15" spans="1:21" s="2" customFormat="1" ht="21">
      <c r="A15" s="2">
        <v>7</v>
      </c>
      <c r="B15" s="163">
        <v>45746</v>
      </c>
      <c r="C15" s="163" t="s">
        <v>1061</v>
      </c>
      <c r="D15" s="163" t="s">
        <v>1363</v>
      </c>
      <c r="E15" s="167">
        <v>40467320</v>
      </c>
      <c r="F15" s="168" t="str">
        <f t="shared" ref="F15" si="2">VLOOKUP(E15,PROD,2,FALSE)</f>
        <v>C 7310 INOX CAMPANA (110V-60HZ) C/KIT</v>
      </c>
      <c r="G15" s="169" t="s">
        <v>1364</v>
      </c>
      <c r="H15" s="165" t="s">
        <v>24</v>
      </c>
      <c r="I15" s="163" t="s">
        <v>25</v>
      </c>
      <c r="J15" s="163" t="s">
        <v>1025</v>
      </c>
      <c r="K15" s="163">
        <v>45866</v>
      </c>
      <c r="L15" s="163" t="s">
        <v>1365</v>
      </c>
      <c r="M15" s="163" t="s">
        <v>1366</v>
      </c>
      <c r="N15" s="195">
        <v>990335586</v>
      </c>
      <c r="O15" s="170">
        <v>15</v>
      </c>
      <c r="P15" s="163" t="s">
        <v>64</v>
      </c>
      <c r="Q15" s="163" t="s">
        <v>25</v>
      </c>
      <c r="R15" s="163"/>
      <c r="S15" s="163" t="str">
        <f t="shared" si="1"/>
        <v>043-903-000060538</v>
      </c>
      <c r="T15" s="164" t="s">
        <v>1367</v>
      </c>
      <c r="U15" s="194" t="s">
        <v>1368</v>
      </c>
    </row>
    <row r="16" spans="1:21" s="2" customFormat="1" ht="21">
      <c r="A16" s="2">
        <v>11</v>
      </c>
      <c r="B16" s="163">
        <v>45866</v>
      </c>
      <c r="C16" s="163" t="s">
        <v>1216</v>
      </c>
      <c r="D16" s="163" t="s">
        <v>1369</v>
      </c>
      <c r="E16" s="167">
        <v>112510036</v>
      </c>
      <c r="F16" s="168" t="str">
        <f t="shared" si="0"/>
        <v>IZC 32310 MSP BK COCINA MODULAR INDUCCION</v>
      </c>
      <c r="G16" s="169" t="s">
        <v>1370</v>
      </c>
      <c r="H16" s="165" t="s">
        <v>24</v>
      </c>
      <c r="I16" s="163" t="s">
        <v>25</v>
      </c>
      <c r="J16" s="163" t="s">
        <v>1025</v>
      </c>
      <c r="K16" s="163">
        <v>45868</v>
      </c>
      <c r="L16" s="163" t="s">
        <v>1371</v>
      </c>
      <c r="M16" s="163" t="s">
        <v>1372</v>
      </c>
      <c r="N16" s="195">
        <v>996110466</v>
      </c>
      <c r="O16" s="170">
        <v>25</v>
      </c>
      <c r="P16" s="163" t="s">
        <v>64</v>
      </c>
      <c r="Q16" s="163" t="s">
        <v>25</v>
      </c>
      <c r="R16" s="163"/>
      <c r="S16" s="163" t="str">
        <f t="shared" si="1"/>
        <v>040-103-000005052</v>
      </c>
      <c r="T16" s="164" t="s">
        <v>1373</v>
      </c>
      <c r="U16" s="194" t="s">
        <v>1374</v>
      </c>
    </row>
    <row r="17" spans="1:21" s="2" customFormat="1" ht="21">
      <c r="A17" s="2">
        <v>12</v>
      </c>
      <c r="B17" s="163">
        <v>45831</v>
      </c>
      <c r="C17" s="163" t="s">
        <v>1196</v>
      </c>
      <c r="D17" s="163" t="s">
        <v>1375</v>
      </c>
      <c r="E17" s="167">
        <v>112570128</v>
      </c>
      <c r="F17" s="168" t="str">
        <f t="shared" si="0"/>
        <v>JZC 96342 BBB BK (LAT) COCINA MIXTA GAS - INDUCCION</v>
      </c>
      <c r="G17" s="169"/>
      <c r="H17" s="165" t="s">
        <v>24</v>
      </c>
      <c r="I17" s="163" t="s">
        <v>25</v>
      </c>
      <c r="J17" s="163" t="s">
        <v>1025</v>
      </c>
      <c r="K17" s="163">
        <v>45869</v>
      </c>
      <c r="L17" s="163" t="s">
        <v>1376</v>
      </c>
      <c r="M17" s="163" t="s">
        <v>1377</v>
      </c>
      <c r="N17" s="195">
        <v>989234501</v>
      </c>
      <c r="O17" s="170">
        <v>29</v>
      </c>
      <c r="P17" s="163" t="s">
        <v>64</v>
      </c>
      <c r="Q17" s="163" t="s">
        <v>25</v>
      </c>
      <c r="R17" s="163"/>
      <c r="S17" s="163" t="str">
        <f t="shared" si="1"/>
        <v>007-006-000138259</v>
      </c>
      <c r="T17" s="164" t="s">
        <v>1378</v>
      </c>
      <c r="U17" s="194" t="s">
        <v>1379</v>
      </c>
    </row>
    <row r="18" spans="1:21" s="2" customFormat="1" ht="21">
      <c r="A18" s="2">
        <v>13</v>
      </c>
      <c r="B18" s="163">
        <v>45855</v>
      </c>
      <c r="C18" s="163" t="s">
        <v>1061</v>
      </c>
      <c r="D18" s="163" t="s">
        <v>1380</v>
      </c>
      <c r="E18" s="167">
        <v>40446712</v>
      </c>
      <c r="F18" s="168" t="str">
        <f t="shared" si="0"/>
        <v>GFH 73 INOX CAMPANA (110V-60HZ) C/KIT</v>
      </c>
      <c r="G18" s="169" t="s">
        <v>1381</v>
      </c>
      <c r="H18" s="165" t="s">
        <v>24</v>
      </c>
      <c r="I18" s="163" t="s">
        <v>25</v>
      </c>
      <c r="J18" s="163" t="s">
        <v>1025</v>
      </c>
      <c r="K18" s="163">
        <v>45869</v>
      </c>
      <c r="L18" s="163" t="s">
        <v>1382</v>
      </c>
      <c r="M18" s="163" t="s">
        <v>1383</v>
      </c>
      <c r="N18" s="195">
        <v>99772584</v>
      </c>
      <c r="O18" s="170">
        <v>15</v>
      </c>
      <c r="P18" s="163" t="s">
        <v>64</v>
      </c>
      <c r="Q18" s="163" t="s">
        <v>25</v>
      </c>
      <c r="R18" s="163"/>
      <c r="S18" s="163" t="str">
        <f t="shared" si="1"/>
        <v>043-905-000083155</v>
      </c>
      <c r="T18" s="164" t="s">
        <v>1384</v>
      </c>
      <c r="U18" s="194" t="s">
        <v>1385</v>
      </c>
    </row>
    <row r="19" spans="1:21" s="2" customFormat="1" ht="21">
      <c r="A19" s="2">
        <v>14</v>
      </c>
      <c r="B19" s="163">
        <v>45850</v>
      </c>
      <c r="C19" s="163" t="s">
        <v>1046</v>
      </c>
      <c r="D19" s="163" t="s">
        <v>1386</v>
      </c>
      <c r="E19" s="167">
        <v>112580027</v>
      </c>
      <c r="F19" s="168" t="str">
        <f t="shared" si="0"/>
        <v>GBC 75030 KBB CRISTAL COCINA GAS</v>
      </c>
      <c r="G19" s="169" t="s">
        <v>1387</v>
      </c>
      <c r="H19" s="165" t="s">
        <v>24</v>
      </c>
      <c r="I19" s="163" t="s">
        <v>25</v>
      </c>
      <c r="J19" s="163" t="s">
        <v>1025</v>
      </c>
      <c r="K19" s="163">
        <v>45869</v>
      </c>
      <c r="L19" s="163" t="s">
        <v>1388</v>
      </c>
      <c r="M19" s="163" t="s">
        <v>1389</v>
      </c>
      <c r="N19" s="195">
        <v>997257901</v>
      </c>
      <c r="O19" s="170">
        <v>29</v>
      </c>
      <c r="P19" s="163" t="s">
        <v>64</v>
      </c>
      <c r="Q19" s="163" t="s">
        <v>25</v>
      </c>
      <c r="R19" s="163"/>
      <c r="S19" s="163" t="str">
        <f t="shared" si="1"/>
        <v>001-500-000074956</v>
      </c>
      <c r="T19" s="164" t="s">
        <v>1390</v>
      </c>
      <c r="U19" s="194" t="s">
        <v>1391</v>
      </c>
    </row>
    <row r="20" spans="1:21" s="2" customFormat="1" ht="21">
      <c r="A20" s="2">
        <v>15</v>
      </c>
      <c r="B20" s="163">
        <v>45504</v>
      </c>
      <c r="C20" s="163" t="s">
        <v>1210</v>
      </c>
      <c r="D20" s="163" t="s">
        <v>1392</v>
      </c>
      <c r="E20" s="167">
        <v>112570128</v>
      </c>
      <c r="F20" s="168" t="str">
        <f t="shared" si="0"/>
        <v>JZC 96342 BBB BK (LAT) COCINA MIXTA GAS - INDUCCION</v>
      </c>
      <c r="G20" s="169"/>
      <c r="H20" s="165" t="s">
        <v>24</v>
      </c>
      <c r="I20" s="163" t="s">
        <v>25</v>
      </c>
      <c r="J20" s="163" t="s">
        <v>1025</v>
      </c>
      <c r="K20" s="163">
        <v>45870</v>
      </c>
      <c r="L20" s="163" t="s">
        <v>1393</v>
      </c>
      <c r="M20" s="163" t="s">
        <v>1248</v>
      </c>
      <c r="N20" s="195">
        <v>990447215</v>
      </c>
      <c r="O20" s="170">
        <v>25</v>
      </c>
      <c r="P20" s="163" t="s">
        <v>64</v>
      </c>
      <c r="Q20" s="163" t="s">
        <v>25</v>
      </c>
      <c r="R20" s="163"/>
      <c r="S20" s="163" t="str">
        <f t="shared" si="1"/>
        <v>006-000156922</v>
      </c>
      <c r="T20" s="164" t="s">
        <v>1394</v>
      </c>
      <c r="U20" s="194" t="s">
        <v>1395</v>
      </c>
    </row>
    <row r="21" spans="1:21" s="2" customFormat="1" ht="21">
      <c r="A21" s="2">
        <v>17</v>
      </c>
      <c r="B21" s="163">
        <v>45846</v>
      </c>
      <c r="C21" s="163" t="s">
        <v>1046</v>
      </c>
      <c r="D21" s="163" t="s">
        <v>1396</v>
      </c>
      <c r="E21" s="167">
        <v>112580027</v>
      </c>
      <c r="F21" s="168" t="str">
        <f t="shared" si="0"/>
        <v>GBC 75030 KBB CRISTAL COCINA GAS</v>
      </c>
      <c r="G21" s="169" t="s">
        <v>1397</v>
      </c>
      <c r="H21" s="165" t="s">
        <v>24</v>
      </c>
      <c r="I21" s="163" t="s">
        <v>25</v>
      </c>
      <c r="J21" s="163" t="s">
        <v>1025</v>
      </c>
      <c r="K21" s="163">
        <v>45874</v>
      </c>
      <c r="L21" s="163" t="s">
        <v>1398</v>
      </c>
      <c r="M21" s="163" t="s">
        <v>1399</v>
      </c>
      <c r="N21" s="195">
        <v>949051056</v>
      </c>
      <c r="O21" s="170">
        <v>29</v>
      </c>
      <c r="P21" s="163" t="s">
        <v>64</v>
      </c>
      <c r="Q21" s="163" t="s">
        <v>25</v>
      </c>
      <c r="R21" s="163"/>
      <c r="S21" s="163" t="str">
        <f t="shared" si="1"/>
        <v>001-500-0000574833</v>
      </c>
      <c r="T21" s="164" t="s">
        <v>1400</v>
      </c>
      <c r="U21" s="194" t="s">
        <v>1401</v>
      </c>
    </row>
    <row r="22" spans="1:21" s="2" customFormat="1" ht="21">
      <c r="A22" s="2">
        <v>18</v>
      </c>
      <c r="B22" s="166">
        <v>45864</v>
      </c>
      <c r="C22" s="151" t="s">
        <v>1172</v>
      </c>
      <c r="D22" s="151" t="s">
        <v>1402</v>
      </c>
      <c r="E22" s="167">
        <v>40297052</v>
      </c>
      <c r="F22" s="168" t="str">
        <f t="shared" si="0"/>
        <v>COCINA A GAS FS3RL966GGX</v>
      </c>
      <c r="G22" s="167" t="s">
        <v>1403</v>
      </c>
      <c r="H22" s="165" t="s">
        <v>24</v>
      </c>
      <c r="I22" s="163" t="s">
        <v>25</v>
      </c>
      <c r="J22" s="163" t="s">
        <v>1025</v>
      </c>
      <c r="K22" s="166">
        <v>45874</v>
      </c>
      <c r="L22" s="151" t="s">
        <v>1404</v>
      </c>
      <c r="M22" s="151" t="s">
        <v>1405</v>
      </c>
      <c r="N22" s="167">
        <v>994477957</v>
      </c>
      <c r="O22" s="172">
        <v>29</v>
      </c>
      <c r="P22" s="163" t="s">
        <v>64</v>
      </c>
      <c r="Q22" s="163" t="s">
        <v>25</v>
      </c>
      <c r="R22" s="163"/>
      <c r="S22" s="163" t="str">
        <f t="shared" si="1"/>
        <v>040-105-00001984</v>
      </c>
      <c r="T22" s="164" t="s">
        <v>1406</v>
      </c>
      <c r="U22" s="174" t="s">
        <v>1407</v>
      </c>
    </row>
    <row r="23" spans="1:21" s="2" customFormat="1" ht="21">
      <c r="A23" s="2">
        <v>16</v>
      </c>
      <c r="B23" s="163">
        <v>45870</v>
      </c>
      <c r="C23" s="163" t="s">
        <v>1046</v>
      </c>
      <c r="D23" s="163" t="s">
        <v>1408</v>
      </c>
      <c r="E23" s="167">
        <v>40446712</v>
      </c>
      <c r="F23" s="168" t="str">
        <f t="shared" ref="F23" si="3">VLOOKUP(E23,PROD,2,FALSE)</f>
        <v>GFH 73 INOX CAMPANA (110V-60HZ) C/KIT</v>
      </c>
      <c r="G23" s="171" t="s">
        <v>1409</v>
      </c>
      <c r="H23" s="165" t="s">
        <v>24</v>
      </c>
      <c r="I23" s="163" t="s">
        <v>25</v>
      </c>
      <c r="J23" s="163" t="s">
        <v>1025</v>
      </c>
      <c r="K23" s="163">
        <v>45874</v>
      </c>
      <c r="L23" s="163" t="s">
        <v>1410</v>
      </c>
      <c r="M23" s="163" t="s">
        <v>1411</v>
      </c>
      <c r="N23" s="195">
        <v>990248801</v>
      </c>
      <c r="O23" s="170">
        <v>15</v>
      </c>
      <c r="P23" s="163" t="s">
        <v>64</v>
      </c>
      <c r="Q23" s="163" t="s">
        <v>25</v>
      </c>
      <c r="R23" s="163"/>
      <c r="S23" s="163" t="str">
        <f t="shared" si="1"/>
        <v>001-500-000075588</v>
      </c>
      <c r="T23" s="164" t="s">
        <v>1412</v>
      </c>
      <c r="U23" s="194" t="s">
        <v>1413</v>
      </c>
    </row>
    <row r="24" spans="1:21" s="2" customFormat="1" ht="21">
      <c r="A24" s="2">
        <v>19</v>
      </c>
      <c r="B24" s="166">
        <v>45049</v>
      </c>
      <c r="C24" s="151" t="s">
        <v>1414</v>
      </c>
      <c r="D24" s="151" t="s">
        <v>1415</v>
      </c>
      <c r="E24" s="167">
        <v>111000050</v>
      </c>
      <c r="F24" s="168" t="str">
        <f t="shared" si="0"/>
        <v>HLB 8510 P "MAESTRO PIZZA"</v>
      </c>
      <c r="G24" s="167" t="s">
        <v>1416</v>
      </c>
      <c r="H24" s="165" t="s">
        <v>24</v>
      </c>
      <c r="I24" s="163" t="s">
        <v>25</v>
      </c>
      <c r="J24" s="163" t="s">
        <v>1025</v>
      </c>
      <c r="K24" s="166">
        <v>45875</v>
      </c>
      <c r="L24" s="151" t="s">
        <v>1417</v>
      </c>
      <c r="M24" s="151" t="s">
        <v>1418</v>
      </c>
      <c r="N24" s="167">
        <v>999529515</v>
      </c>
      <c r="O24" s="172">
        <v>25</v>
      </c>
      <c r="P24" s="163" t="s">
        <v>64</v>
      </c>
      <c r="Q24" s="163" t="s">
        <v>25</v>
      </c>
      <c r="R24" s="163"/>
      <c r="S24" s="163" t="str">
        <f t="shared" si="1"/>
        <v>001-019-000014906</v>
      </c>
      <c r="T24" s="164" t="s">
        <v>1419</v>
      </c>
      <c r="U24" s="174" t="s">
        <v>1420</v>
      </c>
    </row>
    <row r="25" spans="1:21" s="2" customFormat="1" ht="21">
      <c r="A25" s="2">
        <v>20</v>
      </c>
      <c r="B25" s="166">
        <v>45875</v>
      </c>
      <c r="C25" s="151" t="s">
        <v>1216</v>
      </c>
      <c r="D25" s="151" t="s">
        <v>1421</v>
      </c>
      <c r="E25" s="167">
        <v>112510035</v>
      </c>
      <c r="F25" s="168" t="str">
        <f t="shared" si="0"/>
        <v>IZF 64440 MSP BK COCINA INDUCCION</v>
      </c>
      <c r="G25" s="167" t="s">
        <v>1422</v>
      </c>
      <c r="H25" s="165" t="s">
        <v>24</v>
      </c>
      <c r="I25" s="163" t="s">
        <v>25</v>
      </c>
      <c r="J25" s="163" t="s">
        <v>1025</v>
      </c>
      <c r="K25" s="166">
        <v>45876</v>
      </c>
      <c r="L25" s="151" t="s">
        <v>1423</v>
      </c>
      <c r="M25" s="151" t="s">
        <v>1424</v>
      </c>
      <c r="N25" s="167">
        <v>990022750</v>
      </c>
      <c r="O25" s="172">
        <v>25</v>
      </c>
      <c r="P25" s="163" t="s">
        <v>64</v>
      </c>
      <c r="Q25" s="163" t="s">
        <v>25</v>
      </c>
      <c r="R25" s="163"/>
      <c r="S25" s="163" t="str">
        <f t="shared" si="1"/>
        <v>040-103-000015247</v>
      </c>
      <c r="T25" s="164" t="s">
        <v>1425</v>
      </c>
      <c r="U25" s="174" t="s">
        <v>1426</v>
      </c>
    </row>
    <row r="26" spans="1:21" s="2" customFormat="1" ht="21">
      <c r="A26" s="2">
        <v>21</v>
      </c>
      <c r="B26" s="166">
        <v>45869</v>
      </c>
      <c r="C26" s="151" t="s">
        <v>1046</v>
      </c>
      <c r="D26" s="151" t="s">
        <v>1427</v>
      </c>
      <c r="E26" s="167">
        <v>111040006</v>
      </c>
      <c r="F26" s="168" t="str">
        <f t="shared" si="0"/>
        <v>HSB 750 G SS HORNO A GAS</v>
      </c>
      <c r="G26" s="167" t="s">
        <v>1428</v>
      </c>
      <c r="H26" s="165" t="s">
        <v>24</v>
      </c>
      <c r="I26" s="163" t="s">
        <v>25</v>
      </c>
      <c r="J26" s="163" t="s">
        <v>1025</v>
      </c>
      <c r="K26" s="166">
        <v>45877</v>
      </c>
      <c r="L26" s="151" t="s">
        <v>1429</v>
      </c>
      <c r="M26" s="151" t="s">
        <v>1430</v>
      </c>
      <c r="N26" s="167">
        <v>989381058</v>
      </c>
      <c r="O26" s="172">
        <v>25</v>
      </c>
      <c r="P26" s="163" t="s">
        <v>64</v>
      </c>
      <c r="Q26" s="163" t="s">
        <v>25</v>
      </c>
      <c r="R26" s="163"/>
      <c r="S26" s="163" t="str">
        <f t="shared" si="1"/>
        <v>001-500-000075565</v>
      </c>
      <c r="T26" s="164" t="s">
        <v>1431</v>
      </c>
      <c r="U26" s="174" t="s">
        <v>1432</v>
      </c>
    </row>
    <row r="27" spans="1:21" s="2" customFormat="1" ht="21">
      <c r="A27" s="2">
        <v>22</v>
      </c>
      <c r="B27" s="166">
        <v>45881</v>
      </c>
      <c r="C27" s="151" t="s">
        <v>1216</v>
      </c>
      <c r="D27" s="151" t="s">
        <v>1441</v>
      </c>
      <c r="E27" s="167">
        <v>112570073</v>
      </c>
      <c r="F27" s="168" t="str">
        <f t="shared" si="0"/>
        <v>GZC 96310 XBB CRISTAL COCINA GAS</v>
      </c>
      <c r="G27" s="167" t="s">
        <v>1442</v>
      </c>
      <c r="H27" s="165" t="s">
        <v>24</v>
      </c>
      <c r="I27" s="163" t="s">
        <v>25</v>
      </c>
      <c r="J27" s="163" t="s">
        <v>1025</v>
      </c>
      <c r="K27" s="166">
        <v>45882</v>
      </c>
      <c r="L27" s="151" t="s">
        <v>1443</v>
      </c>
      <c r="M27" s="151" t="s">
        <v>1444</v>
      </c>
      <c r="N27" s="167">
        <v>939249770</v>
      </c>
      <c r="O27" s="172">
        <v>29</v>
      </c>
      <c r="P27" s="163" t="s">
        <v>64</v>
      </c>
      <c r="Q27" s="163" t="s">
        <v>25</v>
      </c>
      <c r="R27" s="163"/>
      <c r="S27" s="163" t="str">
        <f t="shared" si="1"/>
        <v>040-103-000015370</v>
      </c>
      <c r="T27" s="164" t="s">
        <v>1445</v>
      </c>
      <c r="U27" s="174" t="s">
        <v>1446</v>
      </c>
    </row>
    <row r="28" spans="1:21" s="2" customFormat="1" ht="21">
      <c r="A28" s="2">
        <v>23</v>
      </c>
      <c r="B28" s="166">
        <v>45849</v>
      </c>
      <c r="C28" s="151" t="s">
        <v>1046</v>
      </c>
      <c r="D28" s="151" t="s">
        <v>1447</v>
      </c>
      <c r="E28" s="167">
        <v>114270008</v>
      </c>
      <c r="F28" s="168" t="str">
        <f t="shared" si="0"/>
        <v>LAVAVAJILLAS DFI 46900 120 60 WH</v>
      </c>
      <c r="G28" s="167" t="s">
        <v>1448</v>
      </c>
      <c r="H28" s="165" t="s">
        <v>24</v>
      </c>
      <c r="I28" s="163" t="s">
        <v>25</v>
      </c>
      <c r="J28" s="163" t="s">
        <v>1025</v>
      </c>
      <c r="K28" s="166">
        <v>45882</v>
      </c>
      <c r="L28" s="151" t="s">
        <v>1449</v>
      </c>
      <c r="M28" s="151" t="s">
        <v>1450</v>
      </c>
      <c r="N28" s="167">
        <v>999745995</v>
      </c>
      <c r="O28" s="172">
        <v>25</v>
      </c>
      <c r="P28" s="163" t="s">
        <v>64</v>
      </c>
      <c r="Q28" s="163" t="s">
        <v>25</v>
      </c>
      <c r="R28" s="163"/>
      <c r="S28" s="163" t="str">
        <f t="shared" si="1"/>
        <v>001-500-000074939</v>
      </c>
      <c r="T28" s="164" t="s">
        <v>1451</v>
      </c>
      <c r="U28" s="174" t="s">
        <v>1452</v>
      </c>
    </row>
    <row r="29" spans="1:21" s="2" customFormat="1" ht="21">
      <c r="A29" s="2">
        <v>24</v>
      </c>
      <c r="B29" s="166">
        <v>45881</v>
      </c>
      <c r="C29" s="151" t="s">
        <v>1046</v>
      </c>
      <c r="D29" s="151" t="s">
        <v>1500</v>
      </c>
      <c r="E29" s="167">
        <v>40466111</v>
      </c>
      <c r="F29" s="168" t="str">
        <f t="shared" si="0"/>
        <v>C 910 NEGRA CAMPANA (110V-60HZ) C/KIT</v>
      </c>
      <c r="G29" s="167" t="s">
        <v>1501</v>
      </c>
      <c r="H29" s="165" t="s">
        <v>24</v>
      </c>
      <c r="I29" s="163" t="s">
        <v>25</v>
      </c>
      <c r="J29" s="163" t="s">
        <v>1025</v>
      </c>
      <c r="K29" s="166">
        <v>45882</v>
      </c>
      <c r="L29" s="151" t="s">
        <v>1502</v>
      </c>
      <c r="M29" s="151" t="s">
        <v>1503</v>
      </c>
      <c r="N29" s="167">
        <v>997334521</v>
      </c>
      <c r="O29" s="172">
        <v>15</v>
      </c>
      <c r="P29" s="163" t="s">
        <v>64</v>
      </c>
      <c r="Q29" s="163" t="s">
        <v>25</v>
      </c>
      <c r="R29" s="163"/>
      <c r="S29" s="163" t="str">
        <f t="shared" si="1"/>
        <v>001-500-000075922</v>
      </c>
      <c r="T29" s="164" t="s">
        <v>1504</v>
      </c>
      <c r="U29" s="173" t="s">
        <v>1505</v>
      </c>
    </row>
    <row r="30" spans="1:21" s="2" customFormat="1" ht="21">
      <c r="A30" s="2">
        <v>25</v>
      </c>
      <c r="B30" s="166">
        <v>45878</v>
      </c>
      <c r="C30" s="151" t="s">
        <v>1061</v>
      </c>
      <c r="D30" s="151" t="s">
        <v>1506</v>
      </c>
      <c r="E30" s="167">
        <v>40466111</v>
      </c>
      <c r="F30" s="168" t="str">
        <f t="shared" si="0"/>
        <v>C 910 NEGRA CAMPANA (110V-60HZ) C/KIT</v>
      </c>
      <c r="G30" s="167" t="s">
        <v>1507</v>
      </c>
      <c r="H30" s="165" t="s">
        <v>24</v>
      </c>
      <c r="I30" s="163" t="s">
        <v>25</v>
      </c>
      <c r="J30" s="163" t="s">
        <v>1025</v>
      </c>
      <c r="K30" s="166">
        <v>45882</v>
      </c>
      <c r="L30" s="151" t="s">
        <v>1508</v>
      </c>
      <c r="M30" s="151" t="s">
        <v>1509</v>
      </c>
      <c r="N30" s="167">
        <v>982588031</v>
      </c>
      <c r="O30" s="172">
        <v>15</v>
      </c>
      <c r="P30" s="163" t="s">
        <v>64</v>
      </c>
      <c r="Q30" s="163" t="s">
        <v>25</v>
      </c>
      <c r="R30" s="163"/>
      <c r="S30" s="163" t="str">
        <f t="shared" si="1"/>
        <v>043-904-000080510</v>
      </c>
      <c r="T30" s="164" t="s">
        <v>1510</v>
      </c>
      <c r="U30" s="174" t="s">
        <v>1511</v>
      </c>
    </row>
    <row r="31" spans="1:21" s="2" customFormat="1" ht="21">
      <c r="A31" s="2">
        <v>26</v>
      </c>
      <c r="B31" s="166">
        <v>45879</v>
      </c>
      <c r="C31" s="151" t="s">
        <v>1061</v>
      </c>
      <c r="D31" s="151" t="s">
        <v>1512</v>
      </c>
      <c r="E31" s="167">
        <v>40466111</v>
      </c>
      <c r="F31" s="168" t="str">
        <f t="shared" si="0"/>
        <v>C 910 NEGRA CAMPANA (110V-60HZ) C/KIT</v>
      </c>
      <c r="G31" s="167" t="s">
        <v>1513</v>
      </c>
      <c r="H31" s="165" t="s">
        <v>24</v>
      </c>
      <c r="I31" s="163" t="s">
        <v>25</v>
      </c>
      <c r="J31" s="163" t="s">
        <v>1025</v>
      </c>
      <c r="K31" s="166">
        <v>45882</v>
      </c>
      <c r="L31" s="151" t="s">
        <v>1514</v>
      </c>
      <c r="M31" s="151" t="s">
        <v>1515</v>
      </c>
      <c r="N31" s="167">
        <v>960851881</v>
      </c>
      <c r="O31" s="172">
        <v>15</v>
      </c>
      <c r="P31" s="163" t="s">
        <v>64</v>
      </c>
      <c r="Q31" s="163" t="s">
        <v>25</v>
      </c>
      <c r="R31" s="163"/>
      <c r="S31" s="163" t="str">
        <f t="shared" si="1"/>
        <v>043-903-000087761</v>
      </c>
      <c r="T31" s="164" t="s">
        <v>1516</v>
      </c>
      <c r="U31" s="174" t="s">
        <v>1517</v>
      </c>
    </row>
    <row r="32" spans="1:21" s="2" customFormat="1" ht="21">
      <c r="A32" s="2">
        <v>28</v>
      </c>
      <c r="B32" s="166">
        <v>45882</v>
      </c>
      <c r="C32" s="151" t="s">
        <v>1046</v>
      </c>
      <c r="D32" s="151" t="s">
        <v>1675</v>
      </c>
      <c r="E32" s="167">
        <v>40446712</v>
      </c>
      <c r="F32" s="168" t="str">
        <f t="shared" si="0"/>
        <v>GFH 73 INOX CAMPANA (110V-60HZ) C/KIT</v>
      </c>
      <c r="G32" s="167" t="s">
        <v>1676</v>
      </c>
      <c r="H32" s="165" t="s">
        <v>24</v>
      </c>
      <c r="I32" s="163" t="s">
        <v>25</v>
      </c>
      <c r="J32" s="163" t="s">
        <v>1025</v>
      </c>
      <c r="K32" s="166">
        <v>45884</v>
      </c>
      <c r="L32" s="151" t="s">
        <v>1677</v>
      </c>
      <c r="M32" s="151" t="s">
        <v>1248</v>
      </c>
      <c r="N32" s="167">
        <v>984974851</v>
      </c>
      <c r="O32" s="172">
        <v>15</v>
      </c>
      <c r="P32" s="163" t="s">
        <v>64</v>
      </c>
      <c r="Q32" s="163" t="s">
        <v>25</v>
      </c>
      <c r="R32" s="163"/>
      <c r="S32" s="163" t="str">
        <f t="shared" si="1"/>
        <v>001-500-000075983</v>
      </c>
      <c r="T32" s="164" t="s">
        <v>1678</v>
      </c>
      <c r="U32" s="174" t="s">
        <v>1679</v>
      </c>
    </row>
    <row r="33" spans="1:21" s="250" customFormat="1" ht="21">
      <c r="A33" s="257">
        <v>29</v>
      </c>
      <c r="B33" s="166">
        <v>45883</v>
      </c>
      <c r="C33" s="255" t="s">
        <v>1046</v>
      </c>
      <c r="D33" s="255" t="s">
        <v>1680</v>
      </c>
      <c r="E33" s="167">
        <v>112580058</v>
      </c>
      <c r="F33" s="251" t="str">
        <f t="shared" si="0"/>
        <v>GBC 95030 KBB BK COCINA GAS</v>
      </c>
      <c r="G33" s="167" t="s">
        <v>1681</v>
      </c>
      <c r="H33" s="165" t="s">
        <v>24</v>
      </c>
      <c r="I33" s="163" t="s">
        <v>25</v>
      </c>
      <c r="J33" s="163" t="s">
        <v>1025</v>
      </c>
      <c r="K33" s="166">
        <v>45884</v>
      </c>
      <c r="L33" s="255" t="s">
        <v>1682</v>
      </c>
      <c r="M33" s="255" t="s">
        <v>1405</v>
      </c>
      <c r="N33" s="255">
        <v>987215757</v>
      </c>
      <c r="O33" s="172">
        <v>25</v>
      </c>
      <c r="P33" s="163" t="s">
        <v>64</v>
      </c>
      <c r="Q33" s="163" t="s">
        <v>25</v>
      </c>
      <c r="R33" s="163"/>
      <c r="S33" s="163" t="str">
        <f t="shared" si="1"/>
        <v>001-500-000075989</v>
      </c>
      <c r="T33" s="164" t="s">
        <v>1683</v>
      </c>
      <c r="U33" s="256" t="s">
        <v>1684</v>
      </c>
    </row>
    <row r="34" spans="1:21" s="250" customFormat="1" ht="21">
      <c r="A34" s="257">
        <v>30</v>
      </c>
      <c r="B34" s="166">
        <v>45707</v>
      </c>
      <c r="C34" s="255" t="s">
        <v>1046</v>
      </c>
      <c r="D34" s="255" t="s">
        <v>1685</v>
      </c>
      <c r="E34" s="167">
        <v>112570238</v>
      </c>
      <c r="F34" s="251" t="str">
        <f t="shared" si="0"/>
        <v>GBC 95-G1 GBA BM COCINA GAS</v>
      </c>
      <c r="G34" s="167" t="s">
        <v>1686</v>
      </c>
      <c r="H34" s="165" t="s">
        <v>24</v>
      </c>
      <c r="I34" s="163" t="s">
        <v>25</v>
      </c>
      <c r="J34" s="163" t="s">
        <v>1025</v>
      </c>
      <c r="K34" s="166">
        <v>45884</v>
      </c>
      <c r="L34" s="255" t="s">
        <v>1687</v>
      </c>
      <c r="M34" s="255" t="s">
        <v>1554</v>
      </c>
      <c r="N34" s="255">
        <v>999565709</v>
      </c>
      <c r="O34" s="172">
        <v>29</v>
      </c>
      <c r="P34" s="163" t="s">
        <v>64</v>
      </c>
      <c r="Q34" s="163" t="s">
        <v>25</v>
      </c>
      <c r="R34" s="163"/>
      <c r="S34" s="163" t="str">
        <f t="shared" si="1"/>
        <v>001-500-000071744</v>
      </c>
      <c r="T34" s="164" t="s">
        <v>1688</v>
      </c>
      <c r="U34" s="256" t="s">
        <v>1689</v>
      </c>
    </row>
    <row r="35" spans="1:21" s="2" customFormat="1" ht="21">
      <c r="A35" s="2">
        <v>27</v>
      </c>
      <c r="B35" s="166">
        <v>45832</v>
      </c>
      <c r="C35" s="151" t="s">
        <v>1046</v>
      </c>
      <c r="D35" s="151" t="s">
        <v>1669</v>
      </c>
      <c r="E35" s="167">
        <v>111000051</v>
      </c>
      <c r="F35" s="168" t="str">
        <f t="shared" ref="F35" si="4">VLOOKUP(E35,PROD,2,FALSE)</f>
        <v>HLB 8416 "AIR FRY" - HORNO ELEC</v>
      </c>
      <c r="G35" s="167" t="s">
        <v>1670</v>
      </c>
      <c r="H35" s="165" t="s">
        <v>24</v>
      </c>
      <c r="I35" s="163" t="s">
        <v>25</v>
      </c>
      <c r="J35" s="163" t="s">
        <v>1025</v>
      </c>
      <c r="K35" s="166">
        <v>45885</v>
      </c>
      <c r="L35" s="151" t="s">
        <v>1671</v>
      </c>
      <c r="M35" s="151" t="s">
        <v>1674</v>
      </c>
      <c r="N35" s="167">
        <v>979786282</v>
      </c>
      <c r="O35" s="172">
        <v>29</v>
      </c>
      <c r="P35" s="163" t="s">
        <v>64</v>
      </c>
      <c r="Q35" s="163" t="s">
        <v>25</v>
      </c>
      <c r="R35" s="163"/>
      <c r="S35" s="163" t="str">
        <f t="shared" ref="S35" si="5">D35</f>
        <v>001-500-000074478</v>
      </c>
      <c r="T35" s="164" t="s">
        <v>1672</v>
      </c>
      <c r="U35" s="174" t="s">
        <v>1673</v>
      </c>
    </row>
    <row r="36" spans="1:21" s="250" customFormat="1" ht="21">
      <c r="A36" s="257">
        <v>31</v>
      </c>
      <c r="B36" s="249">
        <v>45877</v>
      </c>
      <c r="C36" s="250" t="s">
        <v>1046</v>
      </c>
      <c r="D36" s="250" t="s">
        <v>1690</v>
      </c>
      <c r="E36" s="254">
        <v>111000051</v>
      </c>
      <c r="F36" s="251" t="str">
        <f t="shared" si="0"/>
        <v>HLB 8416 "AIR FRY" - HORNO ELEC</v>
      </c>
      <c r="G36" s="254" t="s">
        <v>1691</v>
      </c>
      <c r="H36" s="165" t="s">
        <v>24</v>
      </c>
      <c r="I36" s="163" t="s">
        <v>25</v>
      </c>
      <c r="J36" s="163" t="s">
        <v>1025</v>
      </c>
      <c r="K36" s="249">
        <v>45887</v>
      </c>
      <c r="L36" s="250" t="s">
        <v>1692</v>
      </c>
      <c r="M36" s="250" t="s">
        <v>1693</v>
      </c>
      <c r="N36" s="250">
        <v>72854801</v>
      </c>
      <c r="O36" s="253">
        <v>25</v>
      </c>
      <c r="P36" s="163" t="s">
        <v>64</v>
      </c>
      <c r="Q36" s="163" t="s">
        <v>25</v>
      </c>
      <c r="S36" s="250" t="str">
        <f t="shared" si="1"/>
        <v>001-500-000075819</v>
      </c>
      <c r="T36" s="250">
        <v>103130290</v>
      </c>
      <c r="U36" s="252" t="s">
        <v>1694</v>
      </c>
    </row>
    <row r="37" spans="1:21" s="250" customFormat="1" ht="21">
      <c r="A37" s="257">
        <v>32</v>
      </c>
      <c r="B37" s="249">
        <v>45853</v>
      </c>
      <c r="C37" s="250" t="s">
        <v>1210</v>
      </c>
      <c r="D37" s="250" t="s">
        <v>1695</v>
      </c>
      <c r="E37" s="254">
        <v>112580027</v>
      </c>
      <c r="F37" s="251" t="str">
        <f t="shared" si="0"/>
        <v>GBC 75030 KBB CRISTAL COCINA GAS</v>
      </c>
      <c r="G37" s="254" t="s">
        <v>1696</v>
      </c>
      <c r="H37" s="165" t="s">
        <v>24</v>
      </c>
      <c r="I37" s="163" t="s">
        <v>25</v>
      </c>
      <c r="J37" s="163" t="s">
        <v>1025</v>
      </c>
      <c r="K37" s="249">
        <v>45887</v>
      </c>
      <c r="L37" s="250" t="s">
        <v>1697</v>
      </c>
      <c r="M37" s="250" t="s">
        <v>1698</v>
      </c>
      <c r="N37" s="250">
        <v>987985650</v>
      </c>
      <c r="O37" s="253">
        <v>29</v>
      </c>
      <c r="P37" s="163" t="s">
        <v>64</v>
      </c>
      <c r="Q37" s="163" t="s">
        <v>25</v>
      </c>
      <c r="S37" s="250" t="str">
        <f t="shared" si="1"/>
        <v>006-002-000158293</v>
      </c>
      <c r="T37" s="250">
        <v>102037975</v>
      </c>
      <c r="U37" s="252" t="s">
        <v>1699</v>
      </c>
    </row>
    <row r="38" spans="1:21" s="250" customFormat="1" ht="21">
      <c r="A38" s="257">
        <v>33</v>
      </c>
      <c r="B38" s="249">
        <v>45881</v>
      </c>
      <c r="C38" s="250" t="s">
        <v>1196</v>
      </c>
      <c r="D38" s="250" t="s">
        <v>1700</v>
      </c>
      <c r="E38" s="254">
        <v>112520025</v>
      </c>
      <c r="F38" s="251" t="str">
        <f t="shared" si="0"/>
        <v>IZC 64010 MSS COCINA INDUCCION</v>
      </c>
      <c r="G38" s="254" t="s">
        <v>1701</v>
      </c>
      <c r="H38" s="165" t="s">
        <v>24</v>
      </c>
      <c r="I38" s="163" t="s">
        <v>25</v>
      </c>
      <c r="J38" s="163" t="s">
        <v>1025</v>
      </c>
      <c r="K38" s="249">
        <v>45888</v>
      </c>
      <c r="L38" s="250" t="s">
        <v>1702</v>
      </c>
      <c r="M38" s="250" t="s">
        <v>1248</v>
      </c>
      <c r="N38" s="250">
        <v>984377746</v>
      </c>
      <c r="O38" s="253">
        <v>29</v>
      </c>
      <c r="P38" s="163" t="s">
        <v>64</v>
      </c>
      <c r="Q38" s="163" t="s">
        <v>25</v>
      </c>
      <c r="S38" s="250" t="str">
        <f t="shared" si="1"/>
        <v>007-006-000139214</v>
      </c>
      <c r="T38" s="250">
        <v>104583877</v>
      </c>
      <c r="U38" s="252" t="s">
        <v>1703</v>
      </c>
    </row>
    <row r="39" spans="1:21" s="250" customFormat="1" ht="21">
      <c r="A39" s="257">
        <v>34</v>
      </c>
      <c r="B39" s="249">
        <v>45468</v>
      </c>
      <c r="C39" s="250" t="s">
        <v>1210</v>
      </c>
      <c r="D39" s="250" t="s">
        <v>1704</v>
      </c>
      <c r="E39" s="254">
        <v>40467320</v>
      </c>
      <c r="F39" s="251" t="str">
        <f t="shared" si="0"/>
        <v>C 7310 INOX CAMPANA (110V-60HZ) C/KIT</v>
      </c>
      <c r="G39" s="254" t="s">
        <v>1705</v>
      </c>
      <c r="H39" s="165" t="s">
        <v>24</v>
      </c>
      <c r="I39" s="163" t="s">
        <v>25</v>
      </c>
      <c r="J39" s="163" t="s">
        <v>1025</v>
      </c>
      <c r="K39" s="249">
        <v>45888</v>
      </c>
      <c r="L39" s="250" t="s">
        <v>1706</v>
      </c>
      <c r="M39" s="250" t="s">
        <v>1707</v>
      </c>
      <c r="N39" s="250">
        <v>991688171</v>
      </c>
      <c r="O39" s="253">
        <v>15</v>
      </c>
      <c r="P39" s="163" t="s">
        <v>64</v>
      </c>
      <c r="Q39" s="163" t="s">
        <v>25</v>
      </c>
      <c r="S39" s="250" t="s">
        <v>1704</v>
      </c>
      <c r="T39" s="250">
        <v>1103466742</v>
      </c>
      <c r="U39" s="252" t="s">
        <v>1708</v>
      </c>
    </row>
    <row r="40" spans="1:21" s="250" customFormat="1" ht="21">
      <c r="A40" s="257">
        <v>35</v>
      </c>
      <c r="B40" s="249">
        <v>45713</v>
      </c>
      <c r="C40" s="250" t="s">
        <v>1046</v>
      </c>
      <c r="D40" s="250" t="s">
        <v>1709</v>
      </c>
      <c r="E40" s="254">
        <v>40467320</v>
      </c>
      <c r="F40" s="251" t="str">
        <f t="shared" si="0"/>
        <v>C 7310 INOX CAMPANA (110V-60HZ) C/KIT</v>
      </c>
      <c r="G40" s="254" t="s">
        <v>1710</v>
      </c>
      <c r="H40" s="165" t="s">
        <v>24</v>
      </c>
      <c r="I40" s="163" t="s">
        <v>25</v>
      </c>
      <c r="J40" s="163" t="s">
        <v>1025</v>
      </c>
      <c r="K40" s="249">
        <v>45888</v>
      </c>
      <c r="L40" s="250" t="s">
        <v>1711</v>
      </c>
      <c r="M40" s="250" t="s">
        <v>1712</v>
      </c>
      <c r="N40" s="250">
        <v>941818198</v>
      </c>
      <c r="O40" s="253">
        <v>15</v>
      </c>
      <c r="P40" s="163" t="s">
        <v>64</v>
      </c>
      <c r="Q40" s="163" t="s">
        <v>25</v>
      </c>
      <c r="S40" s="250" t="s">
        <v>1709</v>
      </c>
      <c r="T40" s="250">
        <v>105956924</v>
      </c>
      <c r="U40" s="252" t="s">
        <v>1713</v>
      </c>
    </row>
    <row r="41" spans="1:21" s="2" customFormat="1" ht="21">
      <c r="O41" s="175">
        <f>SUM(O6:O40)</f>
        <v>824</v>
      </c>
    </row>
    <row r="42" spans="1:21" s="2" customFormat="1" ht="21"/>
    <row r="43" spans="1:21" s="2" customFormat="1" ht="21"/>
    <row r="44" spans="1:21" s="2" customFormat="1" ht="21"/>
    <row r="45" spans="1:21" s="2" customFormat="1" ht="21"/>
    <row r="46" spans="1:21" s="2" customFormat="1" ht="21"/>
    <row r="47" spans="1:21" s="2" customFormat="1" ht="21"/>
    <row r="48" spans="1:21" s="2" customFormat="1" ht="21"/>
    <row r="49" s="2" customFormat="1" ht="21"/>
    <row r="50" s="2" customFormat="1" ht="21"/>
    <row r="51" s="2" customFormat="1" ht="21"/>
    <row r="52" s="2" customFormat="1" ht="21"/>
    <row r="53" s="2" customFormat="1" ht="21"/>
    <row r="54" s="2" customFormat="1" ht="21"/>
    <row r="55" s="2" customFormat="1" ht="21"/>
    <row r="56" s="2" customFormat="1" ht="21"/>
  </sheetData>
  <hyperlinks>
    <hyperlink ref="U6" r:id="rId1" xr:uid="{520272A4-5412-C54E-B8C4-7F66BB47A5A4}"/>
    <hyperlink ref="U7" r:id="rId2" xr:uid="{EF3296EF-423E-5744-97E2-54BD97C99F62}"/>
    <hyperlink ref="U8" r:id="rId3" xr:uid="{C0E4E1DF-8F1C-E641-95F4-D18A5CA7061E}"/>
    <hyperlink ref="U9" r:id="rId4" xr:uid="{8C102873-35BA-674B-834E-E0853B195B78}"/>
    <hyperlink ref="U10" r:id="rId5" xr:uid="{F4AF162C-1AC6-8544-A5D9-734485F2EB34}"/>
    <hyperlink ref="U11" r:id="rId6" xr:uid="{CD6BDFB0-A3DF-BF40-97BC-4A5BC11CADFF}"/>
    <hyperlink ref="U12" r:id="rId7" xr:uid="{A3CBD6F8-AE33-D341-8EFB-6D5B955A6D37}"/>
    <hyperlink ref="U13" r:id="rId8" xr:uid="{48792D57-A192-544D-8D57-32244CB50F6D}"/>
    <hyperlink ref="U14" r:id="rId9" xr:uid="{31EA18F1-54FE-8743-AA93-3161DBBE7CC3}"/>
    <hyperlink ref="U15" r:id="rId10" xr:uid="{CDC1E89A-D736-994A-9C0B-6DA2E72A744E}"/>
    <hyperlink ref="U16" r:id="rId11" xr:uid="{D18D3A57-D292-9C4B-891F-C616F6C97DFD}"/>
    <hyperlink ref="U17" r:id="rId12" xr:uid="{11C4ECCE-B081-9C4E-AC80-A91520523546}"/>
    <hyperlink ref="U18" r:id="rId13" xr:uid="{B7D7D6B6-7099-B442-9873-73107F01B54E}"/>
    <hyperlink ref="U19" r:id="rId14" xr:uid="{6AAA11CD-0E70-8740-8C8E-B8D46B4398F2}"/>
    <hyperlink ref="U20" r:id="rId15" xr:uid="{D8B5C305-1CE5-9B48-942D-53E1D3C15D14}"/>
    <hyperlink ref="U21" r:id="rId16" xr:uid="{5FABB7DF-3E8F-8C4D-B732-13D44288C976}"/>
    <hyperlink ref="U22" r:id="rId17" xr:uid="{0F76E6C9-6ABB-A346-9BAB-B9863C63748D}"/>
    <hyperlink ref="U23" r:id="rId18" xr:uid="{82C2BA35-626B-7444-BB16-D253D0908852}"/>
    <hyperlink ref="U24" r:id="rId19" xr:uid="{EF2059C3-DC29-FD45-8ED7-4A62367D28F6}"/>
    <hyperlink ref="U25" r:id="rId20" xr:uid="{F1844B73-A382-2246-870E-3DE422E0BE1C}"/>
    <hyperlink ref="U26" r:id="rId21" xr:uid="{00062C91-6CA0-0742-A3B5-DE4852B64FBB}"/>
    <hyperlink ref="U27" r:id="rId22" xr:uid="{2E4A0EF7-207E-F64E-AD9C-D761FCE85D31}"/>
    <hyperlink ref="U28" r:id="rId23" xr:uid="{F9E3C62C-2C26-5249-A258-283899E15AFF}"/>
    <hyperlink ref="U30" r:id="rId24" xr:uid="{8CBCD3A4-C739-B041-8C0C-1D45D8411BEC}"/>
    <hyperlink ref="U31" r:id="rId25" xr:uid="{B96F91E4-536E-1A4C-A1BA-29E6498E4094}"/>
    <hyperlink ref="U32" r:id="rId26" xr:uid="{79A22E71-E75B-BA48-BA18-02183D638013}"/>
    <hyperlink ref="U33" r:id="rId27" xr:uid="{C9DBFCF3-6786-7E4E-BE2E-BF718CA50819}"/>
    <hyperlink ref="U34" r:id="rId28" xr:uid="{C4906604-FBF9-904B-A3FE-535E80587ABA}"/>
    <hyperlink ref="U36" r:id="rId29" xr:uid="{083767A0-287F-B148-B470-330181E80EDD}"/>
    <hyperlink ref="U37" r:id="rId30" xr:uid="{D5BA0B5F-FA2D-DC4C-AFBA-1D7F3F934F3F}"/>
    <hyperlink ref="U38" r:id="rId31" xr:uid="{BF644F21-0EBB-2744-AAA8-1197C1827198}"/>
    <hyperlink ref="U39" r:id="rId32" xr:uid="{FD956969-5DD2-F047-AA7E-29F920FD8C66}"/>
    <hyperlink ref="U40" r:id="rId33" xr:uid="{E2DA64F1-F0E9-D949-AB2A-91399F1C052C}"/>
    <hyperlink ref="U35" r:id="rId34" xr:uid="{3DC52EF5-C748-3F43-A1C1-7FF70C37C474}"/>
  </hyperlinks>
  <pageMargins left="0.7" right="0.7" top="0.75" bottom="0.75" header="0.3" footer="0.3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ALMACEN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2026-02-19T00:50:28Z</dcterms:modified>
</cp:coreProperties>
</file>