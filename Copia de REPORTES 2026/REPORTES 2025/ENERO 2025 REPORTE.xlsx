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/>
  <mc:AlternateContent xmlns:mc="http://schemas.openxmlformats.org/markup-compatibility/2006">
    <mc:Choice Requires="x15">
      <x15ac:absPath xmlns:x15ac="http://schemas.microsoft.com/office/spreadsheetml/2010/11/ac" url="/Users/olivercapelo/Desktop/REPORTES 2025/"/>
    </mc:Choice>
  </mc:AlternateContent>
  <xr:revisionPtr revIDLastSave="0" documentId="13_ncr:1_{E9FF1416-72D7-6544-9CD0-57964FE2405C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PROMOCION" sheetId="1" r:id="rId1"/>
    <sheet name="GARANTIA" sheetId="2" r:id="rId2"/>
    <sheet name="BBQ" sheetId="3" r:id="rId3"/>
    <sheet name="ALMACENES " sheetId="4" r:id="rId4"/>
    <sheet name="PROYECTO " sheetId="5" r:id="rId5"/>
    <sheet name="1 PRODUCT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" i="1" l="1"/>
  <c r="P21" i="6"/>
  <c r="S33" i="1"/>
  <c r="S32" i="1"/>
  <c r="S31" i="1"/>
  <c r="T20" i="6" l="1"/>
  <c r="O10" i="4"/>
  <c r="S23" i="1"/>
  <c r="S22" i="1"/>
  <c r="S18" i="1"/>
  <c r="M18" i="2"/>
  <c r="S9" i="3"/>
  <c r="S8" i="3"/>
  <c r="T19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5" i="6"/>
  <c r="S11" i="1" l="1"/>
  <c r="S10" i="1"/>
  <c r="S7" i="1" l="1"/>
  <c r="S8" i="1"/>
  <c r="S9" i="1"/>
  <c r="S12" i="1"/>
  <c r="S13" i="1"/>
  <c r="S14" i="1"/>
  <c r="S15" i="1"/>
  <c r="S16" i="1"/>
  <c r="S17" i="1"/>
  <c r="S19" i="1"/>
  <c r="S20" i="1"/>
  <c r="S21" i="1"/>
  <c r="S24" i="1"/>
  <c r="S25" i="1"/>
  <c r="S26" i="1"/>
  <c r="S27" i="1"/>
  <c r="S29" i="1"/>
  <c r="S30" i="1"/>
  <c r="S6" i="1"/>
  <c r="N16" i="2"/>
  <c r="O10" i="3"/>
  <c r="M24" i="2"/>
  <c r="M39" i="1" l="1"/>
  <c r="M38" i="1"/>
  <c r="M40" i="1" l="1"/>
</calcChain>
</file>

<file path=xl/sharedStrings.xml><?xml version="1.0" encoding="utf-8"?>
<sst xmlns="http://schemas.openxmlformats.org/spreadsheetml/2006/main" count="946" uniqueCount="461">
  <si>
    <t xml:space="preserve">TEKA ECUADOR S.A. </t>
  </si>
  <si>
    <t>Registro Único de Contribuyente: 1791883144001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</si>
  <si>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</si>
  <si>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</si>
  <si>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</si>
  <si>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</si>
  <si>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</si>
  <si>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</si>
  <si>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</si>
  <si>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</si>
  <si>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</si>
  <si>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</si>
  <si>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</si>
  <si>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</si>
  <si>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</si>
  <si>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</si>
  <si>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</si>
  <si>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</si>
  <si>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 xml:space="preserve">VIÁTICO </t>
  </si>
  <si>
    <t>FACTURA NUMERO</t>
  </si>
  <si>
    <t>CEDULA O RUC</t>
  </si>
  <si>
    <t xml:space="preserve">CORREO DEL CLIENTE </t>
  </si>
  <si>
    <t xml:space="preserve">PROMOCION </t>
  </si>
  <si>
    <t xml:space="preserve">                  TRABAJOS EN GARANTÍAS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</si>
  <si>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</si>
  <si>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</si>
  <si>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</si>
  <si>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</si>
  <si>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</si>
  <si>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</si>
  <si>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</si>
  <si>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</si>
  <si>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</si>
  <si>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</si>
  <si>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</si>
  <si>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</si>
  <si>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</si>
  <si>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</si>
  <si>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</si>
  <si>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</si>
  <si>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</si>
  <si>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>SAP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</si>
  <si>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</si>
  <si>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</si>
  <si>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</si>
  <si>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</si>
  <si>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</si>
  <si>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</si>
  <si>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</si>
  <si>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</si>
  <si>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TEKA ECUADOR S.A.</t>
  </si>
  <si>
    <t>FECHA DE COMPRA</t>
  </si>
  <si>
    <t>LUGAR DE COMRPA</t>
  </si>
  <si>
    <t>CODIGO DEL PRODUCTO</t>
  </si>
  <si>
    <t>DESCRIPCION DE PRODUCTO</t>
  </si>
  <si>
    <t>SERIE DEL EQUIPO</t>
  </si>
  <si>
    <t>TECNICO</t>
  </si>
  <si>
    <t>CIUDAD</t>
  </si>
  <si>
    <t>FECHA INSTALACION</t>
  </si>
  <si>
    <t>DIRECCION INSTALACION</t>
  </si>
  <si>
    <t>COMO LLEGO INFORMACION</t>
  </si>
  <si>
    <t xml:space="preserve">ALMACENES </t>
  </si>
  <si>
    <t>DETALLE DE PRODUCTOS INSTALADOS EN PROYECTO</t>
  </si>
  <si>
    <t xml:space="preserve">COMO NOS LLEGO LA INFORMACION </t>
  </si>
  <si>
    <t>Nombre de cliente</t>
  </si>
  <si>
    <t xml:space="preserve">Celular cliente </t>
  </si>
  <si>
    <t>VALOR</t>
  </si>
  <si>
    <t>RUC O CEDULA DUEÑO DE CASA</t>
  </si>
  <si>
    <t xml:space="preserve">CORREO DEL DUEÑO DE CASA </t>
  </si>
  <si>
    <t>DPTO.</t>
  </si>
  <si>
    <t>RECIBIDO POR</t>
  </si>
  <si>
    <t>CÉDULA</t>
  </si>
  <si>
    <t xml:space="preserve">PROYECTO </t>
  </si>
  <si>
    <t>Capelo</t>
  </si>
  <si>
    <t>Cuenca</t>
  </si>
  <si>
    <t>CAPELO</t>
  </si>
  <si>
    <t>CUENCA</t>
  </si>
  <si>
    <t>Barbacoa a Gas T-BBQ 4100 SS</t>
  </si>
  <si>
    <t>De Cristian Capelo</t>
  </si>
  <si>
    <t>UN SOLO PRODUCTO</t>
  </si>
  <si>
    <t>CLIENTE FINAL</t>
  </si>
  <si>
    <t>CORREO ELECTRONICO</t>
  </si>
  <si>
    <t>SEPTIEMBRE 2024</t>
  </si>
  <si>
    <t>Cristian Capelo</t>
  </si>
  <si>
    <t>Trituradores</t>
  </si>
  <si>
    <t>Cocinas</t>
  </si>
  <si>
    <t>Horno</t>
  </si>
  <si>
    <t>Al 16 de DICIEMBRE del 2024</t>
  </si>
  <si>
    <t>Barbacoa a Gas T-BBQ 3100</t>
  </si>
  <si>
    <t>≥≥≥≥≥≥≥≥</t>
  </si>
  <si>
    <t>Fregadero</t>
  </si>
  <si>
    <t>Campana</t>
  </si>
  <si>
    <t>Refrigerador</t>
  </si>
  <si>
    <t>z</t>
  </si>
  <si>
    <t>lavavajillas</t>
  </si>
  <si>
    <t>TOTAL</t>
  </si>
  <si>
    <t>MERCARD</t>
  </si>
  <si>
    <t>001-001-000000456</t>
  </si>
  <si>
    <t>CO249E00586</t>
  </si>
  <si>
    <t xml:space="preserve">ANAIS MARTINEZ </t>
  </si>
  <si>
    <t>LOS FRESNOS 2</t>
  </si>
  <si>
    <t>0982508949</t>
  </si>
  <si>
    <t>0104984687</t>
  </si>
  <si>
    <t>palaciosmorenod@yahoo.com</t>
  </si>
  <si>
    <t>KIWI</t>
  </si>
  <si>
    <t>043-904-000056765</t>
  </si>
  <si>
    <t>CO249E00398</t>
  </si>
  <si>
    <t>ELISABETH ANCHUNDIA</t>
  </si>
  <si>
    <t>REGISTRO CIVIL BATAN</t>
  </si>
  <si>
    <t>0902344357</t>
  </si>
  <si>
    <t>jaxstory@gmail.com</t>
  </si>
  <si>
    <t>001-001-000000277</t>
  </si>
  <si>
    <t>COCINA IZC 64010 MSS BK</t>
  </si>
  <si>
    <t>ZP23A200221</t>
  </si>
  <si>
    <t>ALEXIS SCHULMAN</t>
  </si>
  <si>
    <t>EL VADO</t>
  </si>
  <si>
    <t>0999838129</t>
  </si>
  <si>
    <t>1750902486</t>
  </si>
  <si>
    <t>schulman.alexis@gmail.com</t>
  </si>
  <si>
    <t xml:space="preserve">HORNO HBB 510 BK </t>
  </si>
  <si>
    <t>TZ244524962</t>
  </si>
  <si>
    <t>COMERCIAL SOLIS</t>
  </si>
  <si>
    <t>001-501-000001305</t>
  </si>
  <si>
    <t>MICROONDAS ML 822 BIS L</t>
  </si>
  <si>
    <t>TP247904247</t>
  </si>
  <si>
    <t>FRANCISCO GUERRERO</t>
  </si>
  <si>
    <t>COMPLEJO RESIDENCIAL CIUDAD DEL RIO</t>
  </si>
  <si>
    <t>0999895136</t>
  </si>
  <si>
    <t>0103552147</t>
  </si>
  <si>
    <t>panchog1980@hotmail.com</t>
  </si>
  <si>
    <t>HORNO HLB 8416</t>
  </si>
  <si>
    <t>COCINA GZC 95320 XBB</t>
  </si>
  <si>
    <t>CAMPANA CC480</t>
  </si>
  <si>
    <t>TZ247202318</t>
  </si>
  <si>
    <t>ZP23A600127</t>
  </si>
  <si>
    <t>PX23BN00512</t>
  </si>
  <si>
    <t>001-001-000000275</t>
  </si>
  <si>
    <t>PLACA POTENCIA 1100 IZQ 2BH7 LAYOUT (IFX)</t>
  </si>
  <si>
    <t>COCINA IZS 88630 MST BK</t>
  </si>
  <si>
    <t>ZP242900869</t>
  </si>
  <si>
    <t>PATRICIA GUZÑAY</t>
  </si>
  <si>
    <t>PLACA POTENCIA IZQUIERDA QUEMADA</t>
  </si>
  <si>
    <t>0103649505</t>
  </si>
  <si>
    <t>juanisebastian2006@gmail.com</t>
  </si>
  <si>
    <t>0987719907</t>
  </si>
  <si>
    <t>007-006-000132856</t>
  </si>
  <si>
    <t>KYWI</t>
  </si>
  <si>
    <t>043-903-000050987</t>
  </si>
  <si>
    <t>40467304</t>
  </si>
  <si>
    <t>CAMPANA C710</t>
  </si>
  <si>
    <t>TP246B00591</t>
  </si>
  <si>
    <t>PILAR CRESPO</t>
  </si>
  <si>
    <t>EDIFICIO LOS ARUPOS</t>
  </si>
  <si>
    <t>0997108734</t>
  </si>
  <si>
    <t>0102513041</t>
  </si>
  <si>
    <t>pilarcrespo69@hotmail.com</t>
  </si>
  <si>
    <t>043-903-000050722</t>
  </si>
  <si>
    <t>111000051</t>
  </si>
  <si>
    <t>HORNO HLB 8416 BK</t>
  </si>
  <si>
    <t>TZ249P16588</t>
  </si>
  <si>
    <t>GUSTAVO CORDERO</t>
  </si>
  <si>
    <t>MEDIO EJIDO</t>
  </si>
  <si>
    <t>0984547779</t>
  </si>
  <si>
    <t>0104130091</t>
  </si>
  <si>
    <t>gustavoecordero@gmail.com</t>
  </si>
  <si>
    <t>112570075</t>
  </si>
  <si>
    <t>COCINA GZC96310 XBB</t>
  </si>
  <si>
    <t>ZP242L00271</t>
  </si>
  <si>
    <t>ALFREDO NARANJO</t>
  </si>
  <si>
    <t>TOTORACOCHA</t>
  </si>
  <si>
    <t>0995505313</t>
  </si>
  <si>
    <t>0300756012</t>
  </si>
  <si>
    <t>manuelnaranjobermeo1958@gmail.com</t>
  </si>
  <si>
    <t>043-906-000032740</t>
  </si>
  <si>
    <t>40782128</t>
  </si>
  <si>
    <t>LAVAVAJILLAS DW857 FIM-D</t>
  </si>
  <si>
    <t>MD247L00330</t>
  </si>
  <si>
    <t>CRISTIAN FLORES</t>
  </si>
  <si>
    <t>EDIFICIO RECORD DENTAL</t>
  </si>
  <si>
    <t>0998370527</t>
  </si>
  <si>
    <t>0302087309</t>
  </si>
  <si>
    <t>andresfv@gmail.com</t>
  </si>
  <si>
    <t>SUKASA</t>
  </si>
  <si>
    <t>040-104-000008828</t>
  </si>
  <si>
    <t>LAVAVAJILLAS OFI46900</t>
  </si>
  <si>
    <t>AW232800162</t>
  </si>
  <si>
    <t>MIRIAM GUAYASAMIN</t>
  </si>
  <si>
    <t>DESMONTE MOTOR,AJUSTE TERMINALES Y CONECTORES DE TARJETA ELECTRONICA</t>
  </si>
  <si>
    <t>1720187333</t>
  </si>
  <si>
    <t>mguayasamin56@hotmail.com</t>
  </si>
  <si>
    <t>0998289010</t>
  </si>
  <si>
    <t>006-002-000154907</t>
  </si>
  <si>
    <t>CONJUNTO MODULO INDUCCION TEKA I200 DOMINO (I224)</t>
  </si>
  <si>
    <t>COCINAIZF 99700 MSI BK</t>
  </si>
  <si>
    <t>ZP229100003</t>
  </si>
  <si>
    <t xml:space="preserve">KATHERINE LUDENA </t>
  </si>
  <si>
    <t>NO FUNCIONAN INDUCTORES DEL LADO DERECHO</t>
  </si>
  <si>
    <t>0105956445</t>
  </si>
  <si>
    <t>alextapia12@hotmail.com</t>
  </si>
  <si>
    <t>0992875927</t>
  </si>
  <si>
    <t>001-500-000050038</t>
  </si>
  <si>
    <t>043-905-000052666</t>
  </si>
  <si>
    <t>CO249E00404</t>
  </si>
  <si>
    <t>CARLOS SUAREZ</t>
  </si>
  <si>
    <t>UCUBAMBA</t>
  </si>
  <si>
    <t>0987663967</t>
  </si>
  <si>
    <t>0218800646</t>
  </si>
  <si>
    <t>carlosd123123123@gmail.com</t>
  </si>
  <si>
    <t>COMO HOGAR</t>
  </si>
  <si>
    <t>040-103-000006778</t>
  </si>
  <si>
    <t>018-002-001151235</t>
  </si>
  <si>
    <t>HOME VEGA</t>
  </si>
  <si>
    <t>HORNO IOVEN 55</t>
  </si>
  <si>
    <t>TZ247F13165</t>
  </si>
  <si>
    <t>ALBERTO LANDY</t>
  </si>
  <si>
    <t>MIGUEL MORENO Y LUIS MORENO MORA</t>
  </si>
  <si>
    <t>0998627974</t>
  </si>
  <si>
    <t>0101205128</t>
  </si>
  <si>
    <t>a.landy@hotmail.com</t>
  </si>
  <si>
    <t>COCINA GZC 96310 XBB</t>
  </si>
  <si>
    <t>ZP243U00087</t>
  </si>
  <si>
    <t>VINERA RVF 10032 GBK</t>
  </si>
  <si>
    <t>YH243V00190</t>
  </si>
  <si>
    <t>BOYACA</t>
  </si>
  <si>
    <t>007-007-000031524</t>
  </si>
  <si>
    <t>112510035</t>
  </si>
  <si>
    <t>COCINA IZF64440MPS BK</t>
  </si>
  <si>
    <t>ZP243600254</t>
  </si>
  <si>
    <t>NANCY COLLAGUAZO</t>
  </si>
  <si>
    <t>LAS CHIRIMOYAS</t>
  </si>
  <si>
    <t>0998886630</t>
  </si>
  <si>
    <t>0102174273</t>
  </si>
  <si>
    <t>naneycolla1962@gmail.com</t>
  </si>
  <si>
    <t>016-907-000233652</t>
  </si>
  <si>
    <t>40466241</t>
  </si>
  <si>
    <t>CAMPANA C9310</t>
  </si>
  <si>
    <t>TP245P077981</t>
  </si>
  <si>
    <t>EFREN VELEZ</t>
  </si>
  <si>
    <t>LAS LADERAS 3-57</t>
  </si>
  <si>
    <t>0998586642</t>
  </si>
  <si>
    <t>0102668779</t>
  </si>
  <si>
    <t>efrenvelez1967@hotmail.com</t>
  </si>
  <si>
    <t>COCINA FBC 64000 TTC BK</t>
  </si>
  <si>
    <t>ZP226Q00123</t>
  </si>
  <si>
    <t xml:space="preserve">GABRIELA MOLINA </t>
  </si>
  <si>
    <t>0103619383</t>
  </si>
  <si>
    <t>gamolinaa@hotmail.com</t>
  </si>
  <si>
    <t>0999953675</t>
  </si>
  <si>
    <t>002-103-000002832</t>
  </si>
  <si>
    <t>COCINA GBC 64000 KBB</t>
  </si>
  <si>
    <t>ZP214500045</t>
  </si>
  <si>
    <t>ANA PALACIOS</t>
  </si>
  <si>
    <t>EDIFICIO CARRARA 6B</t>
  </si>
  <si>
    <t>0102540905</t>
  </si>
  <si>
    <t>obepulape@hotmail.com</t>
  </si>
  <si>
    <t>0992617656</t>
  </si>
  <si>
    <t>001-001-000016996</t>
  </si>
  <si>
    <t>TRITURADOR TR 510 I</t>
  </si>
  <si>
    <t>230710AF1910</t>
  </si>
  <si>
    <t>CLAUDIA DOMINGUEZ</t>
  </si>
  <si>
    <t>0102403474</t>
  </si>
  <si>
    <t>klevervamega@hotmail.com</t>
  </si>
  <si>
    <t>0998277269</t>
  </si>
  <si>
    <t>040-103-000001878</t>
  </si>
  <si>
    <t>040-103-000010079</t>
  </si>
  <si>
    <t>TZ249P16632</t>
  </si>
  <si>
    <t>ZOILA ORTIZ</t>
  </si>
  <si>
    <t>LATINOAMERICANO Y PUERTO RICO</t>
  </si>
  <si>
    <t>0993838222</t>
  </si>
  <si>
    <t>0102570322</t>
  </si>
  <si>
    <t>anivalalvear@hotmail.com</t>
  </si>
  <si>
    <t>016-902-000493252</t>
  </si>
  <si>
    <t>40466111</t>
  </si>
  <si>
    <t>CAMPANA C910</t>
  </si>
  <si>
    <t>TP244K11592</t>
  </si>
  <si>
    <t>JORGE SANCHEZ</t>
  </si>
  <si>
    <t>BAÑOS</t>
  </si>
  <si>
    <t>0983858571</t>
  </si>
  <si>
    <t>0106568884</t>
  </si>
  <si>
    <t>jorgesanchezvanegas@mail.com</t>
  </si>
  <si>
    <t>001-501-000002015</t>
  </si>
  <si>
    <t>111040006</t>
  </si>
  <si>
    <t>HORNO HSB 750 GL6 E10</t>
  </si>
  <si>
    <t>TZ245806322</t>
  </si>
  <si>
    <t>ERMEL GODOY</t>
  </si>
  <si>
    <t>VEGA MUNOZ 4-90</t>
  </si>
  <si>
    <t>0991899911</t>
  </si>
  <si>
    <t>0102363059</t>
  </si>
  <si>
    <t>deaustral3@gmail.com</t>
  </si>
  <si>
    <t>001-500-000069974</t>
  </si>
  <si>
    <t>TP24AR07913</t>
  </si>
  <si>
    <t>HARTMAN PINEDA</t>
  </si>
  <si>
    <t>LOS JOYEROS</t>
  </si>
  <si>
    <t>0985979160</t>
  </si>
  <si>
    <t>1104059397</t>
  </si>
  <si>
    <t>hartman.pineda@gmail.com</t>
  </si>
  <si>
    <t>MICROONDAS MWG 14X</t>
  </si>
  <si>
    <t>MW247A00202</t>
  </si>
  <si>
    <t>COMERCIAL LUNA PAZMINO</t>
  </si>
  <si>
    <t>CO249E00480</t>
  </si>
  <si>
    <t>AV. LOJA</t>
  </si>
  <si>
    <t>0983146040</t>
  </si>
  <si>
    <t>0190168824001</t>
  </si>
  <si>
    <t>comlupazmino@gmail.com</t>
  </si>
  <si>
    <t>conjunto touch control auxislaider</t>
  </si>
  <si>
    <t>COCINA IZF 99700 MST BK</t>
  </si>
  <si>
    <t>ZP23BW00545</t>
  </si>
  <si>
    <t>JENNIFER VALDIVIEZO</t>
  </si>
  <si>
    <t>EL MANDO SE ACCIONA SOLO</t>
  </si>
  <si>
    <t>0103318341</t>
  </si>
  <si>
    <t>jeniffervaldiviezo@gmail.com</t>
  </si>
  <si>
    <t>09980913525</t>
  </si>
  <si>
    <t>006-002-000155669</t>
  </si>
  <si>
    <t>043-904-000053680</t>
  </si>
  <si>
    <t>111910000</t>
  </si>
  <si>
    <t>MICROONDAS ML4 845 SS</t>
  </si>
  <si>
    <t>ROSA CORDOVA</t>
  </si>
  <si>
    <t>CALLE RIOBAMBA</t>
  </si>
  <si>
    <t>0985469950</t>
  </si>
  <si>
    <t>0101181865</t>
  </si>
  <si>
    <t>rosacordova@hotmail.com</t>
  </si>
  <si>
    <t>112960004</t>
  </si>
  <si>
    <t>CAMPANA DPL 980 T</t>
  </si>
  <si>
    <t>TP249L09342</t>
  </si>
  <si>
    <t>LAMAR Y THOMAS ORDONEZ</t>
  </si>
  <si>
    <t>0987665567</t>
  </si>
  <si>
    <t>ventas@comercialsolis.com.ec</t>
  </si>
  <si>
    <t>112950019</t>
  </si>
  <si>
    <t>DVN 64030 TCL BK</t>
  </si>
  <si>
    <t>112950020</t>
  </si>
  <si>
    <t>DVN 74030 TCL BK</t>
  </si>
  <si>
    <t>EK241B00119</t>
  </si>
  <si>
    <t>EK245400030</t>
  </si>
  <si>
    <t>NO ENCIENDE, SE CAMBIA PUNSANTE NEUMATICO</t>
  </si>
  <si>
    <t xml:space="preserve">MANDO DISPLAY SE PROGRAMA SOLO </t>
  </si>
  <si>
    <t xml:space="preserve">CONJUNTO TOUCH  </t>
  </si>
  <si>
    <t>043-908-000043358</t>
  </si>
  <si>
    <t>TP245L01574</t>
  </si>
  <si>
    <t>TZ243N23460</t>
  </si>
  <si>
    <t>EULALIA CEDILLO</t>
  </si>
  <si>
    <t>URBANIZACION EL RECREO</t>
  </si>
  <si>
    <t>0984974625</t>
  </si>
  <si>
    <t>0100733963</t>
  </si>
  <si>
    <t>taly-cg@hotmail.com</t>
  </si>
  <si>
    <t>MICROONDAS ML 8220 BIS L</t>
  </si>
  <si>
    <t>HLB 8400 FBK</t>
  </si>
  <si>
    <t>TP245SE04541</t>
  </si>
  <si>
    <t>TZ24AW24298</t>
  </si>
  <si>
    <t>BEATRIZ PALADINES</t>
  </si>
  <si>
    <t>AZOGUES</t>
  </si>
  <si>
    <t>0995961630</t>
  </si>
  <si>
    <t>0300812286</t>
  </si>
  <si>
    <t>biachi2309@hotmail.com</t>
  </si>
  <si>
    <t>043-903-000053187</t>
  </si>
  <si>
    <t>TP244K11621</t>
  </si>
  <si>
    <t>COCINA GBC 95030 KBB</t>
  </si>
  <si>
    <t>ZP247400650</t>
  </si>
  <si>
    <t>HORNO HLB 760 G</t>
  </si>
  <si>
    <t>TZ248829679</t>
  </si>
  <si>
    <t>JORGE MEZA</t>
  </si>
  <si>
    <t>BALZAY</t>
  </si>
  <si>
    <t>0992429566</t>
  </si>
  <si>
    <t>010765096</t>
  </si>
  <si>
    <t>jorge.alvarado1992@hotmail.com</t>
  </si>
  <si>
    <t>006-002-000157349</t>
  </si>
  <si>
    <t>043-904-000054826</t>
  </si>
  <si>
    <t>40212070</t>
  </si>
  <si>
    <t>COCINA EX90.156HI DR LEFT CI</t>
  </si>
  <si>
    <t>ZP245600094</t>
  </si>
  <si>
    <t>MARIA SALAMEA</t>
  </si>
  <si>
    <t>SAN JOAQUIN</t>
  </si>
  <si>
    <t>0999293360</t>
  </si>
  <si>
    <t>0102131950001</t>
  </si>
  <si>
    <t>augustasalamea@gmail.com</t>
  </si>
  <si>
    <t>040-103-000011113</t>
  </si>
  <si>
    <t>113430018</t>
  </si>
  <si>
    <t>REFRIFERADOR RLF 74920 SS</t>
  </si>
  <si>
    <t>MC24B100006</t>
  </si>
  <si>
    <t>PATRICIA SOLIS</t>
  </si>
  <si>
    <t>PUERTAS DEL SOL</t>
  </si>
  <si>
    <t>0997438391</t>
  </si>
  <si>
    <t>0102866928</t>
  </si>
  <si>
    <t>p.solis@hotmail.com</t>
  </si>
  <si>
    <t>016-907-000234265</t>
  </si>
  <si>
    <t>040415406</t>
  </si>
  <si>
    <t>CAMPANA C610</t>
  </si>
  <si>
    <t>TP21BH04207</t>
  </si>
  <si>
    <t>FATIMA AVILA</t>
  </si>
  <si>
    <t>OBRERO Y EL ARTESANO</t>
  </si>
  <si>
    <t>0991968295</t>
  </si>
  <si>
    <t>0302140777</t>
  </si>
  <si>
    <t>orellana.102@outlook.com</t>
  </si>
  <si>
    <t>016-902-000493658</t>
  </si>
  <si>
    <t>40466624</t>
  </si>
  <si>
    <t>TP24AR07838</t>
  </si>
  <si>
    <t>LAS LADERAS 3 57</t>
  </si>
  <si>
    <t>112580027</t>
  </si>
  <si>
    <t>COCINA 75030 KBB</t>
  </si>
  <si>
    <t>ZP244T00165</t>
  </si>
  <si>
    <t>EL CEBOLLAR</t>
  </si>
  <si>
    <t>0994050384</t>
  </si>
  <si>
    <t>0102088333</t>
  </si>
  <si>
    <t>jjuca1964@hotmail.com</t>
  </si>
  <si>
    <t>JUAN PATRICIO JARA</t>
  </si>
  <si>
    <t>001-500-000070174</t>
  </si>
  <si>
    <t>001-500-000068098</t>
  </si>
  <si>
    <t>E12308033TKMDVI</t>
  </si>
  <si>
    <t>CAMPANA DVI 98-61 EO5BM</t>
  </si>
  <si>
    <t>0104447461</t>
  </si>
  <si>
    <t>patriciom.nieves80@gmail.com</t>
  </si>
  <si>
    <t>001-101-000002847</t>
  </si>
  <si>
    <t>COCINA JZC 63312 DBB BK</t>
  </si>
  <si>
    <t>ZP213R00015</t>
  </si>
  <si>
    <t>MARIA MERCHAN</t>
  </si>
  <si>
    <t>AV CAYANBE</t>
  </si>
  <si>
    <t>0999488767</t>
  </si>
  <si>
    <t>001-101-000003219</t>
  </si>
  <si>
    <t>0105254395</t>
  </si>
  <si>
    <t>jossmerchan@hotmail.com</t>
  </si>
  <si>
    <t>MICROONDAS ML 820 BIS</t>
  </si>
  <si>
    <t>LAVAVAJILLAS DFI 46950</t>
  </si>
  <si>
    <t>TP241Q04899</t>
  </si>
  <si>
    <t>TZ23BF14520</t>
  </si>
  <si>
    <t>AW233800488</t>
  </si>
  <si>
    <t>TP245809080</t>
  </si>
  <si>
    <t>ZOILA HERRAES</t>
  </si>
  <si>
    <t>LA PINTA Y JUAN CABRERA</t>
  </si>
  <si>
    <t>0979693961</t>
  </si>
  <si>
    <t>0101647758</t>
  </si>
  <si>
    <t>mary52189@gmail.com</t>
  </si>
  <si>
    <t>PATRICIO MARCA</t>
  </si>
  <si>
    <t>AV ORDONEZ LASSO</t>
  </si>
  <si>
    <t>07489419</t>
  </si>
  <si>
    <t>043-902-600036642</t>
  </si>
  <si>
    <t>COCINA IZC 96324 DBB</t>
  </si>
  <si>
    <t>ZP22AE00052</t>
  </si>
  <si>
    <t>016-907-000233808</t>
  </si>
  <si>
    <t>016-902-000491241</t>
  </si>
  <si>
    <t>REFRIGERADOR RFL 74920 SS</t>
  </si>
  <si>
    <t>MC234H00011</t>
  </si>
  <si>
    <t>JORGE GUILLERMO</t>
  </si>
  <si>
    <t>EL PROGRESO</t>
  </si>
  <si>
    <t>0999520630</t>
  </si>
  <si>
    <t>0101342707</t>
  </si>
  <si>
    <t>jorgeguillermod@hotmail.com</t>
  </si>
  <si>
    <t>HORNO HSB 750 6</t>
  </si>
  <si>
    <t>TZ245W29984</t>
  </si>
  <si>
    <t>ALMACENES ESPANA</t>
  </si>
  <si>
    <t>001-500-000052578</t>
  </si>
  <si>
    <t>CAMPANA C 6310</t>
  </si>
  <si>
    <t>TP236704450</t>
  </si>
  <si>
    <t>MARIANA SZABADICS</t>
  </si>
  <si>
    <t>LA CRUZ 13-40</t>
  </si>
  <si>
    <t>0998742009</t>
  </si>
  <si>
    <t>0151732690</t>
  </si>
  <si>
    <t>marianaszabadiccs@gmail.com</t>
  </si>
  <si>
    <t>016-902-000458996</t>
  </si>
  <si>
    <t>ZP23B200172</t>
  </si>
  <si>
    <t>016-902-000491240</t>
  </si>
  <si>
    <t>ENERO 2025</t>
  </si>
  <si>
    <t>CAPELO ENERO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</si>
</sst>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;[Red]&quot;$&quot;\-#,##0"/>
    <numFmt numFmtId="43" formatCode="_ * #,##0.00_ ;_ * \-#,##0.00_ ;_ * &quot;-&quot;??_ ;_ @_ "/>
    <numFmt numFmtId="164" formatCode="dd\-mm\-yy;@"/>
    <numFmt numFmtId="165" formatCode="&quot;$&quot;#,##0.00"/>
    <numFmt numFmtId="166" formatCode="dd/mm/yy;@"/>
    <numFmt numFmtId="167" formatCode="_-* #,##0.00\ _€_-;\-* #,##0.00\ _€_-;_-* &quot;-&quot;??\ _€_-;_-@_-"/>
    <numFmt numFmtId="168" formatCode="dd/mm/yyyy;@"/>
  </numFmts>
  <fonts count="72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name val="Calibri"/>
      <family val="2"/>
    </font>
    <font>
      <sz val="9"/>
      <name val="Franklin Gothic Book"/>
      <family val="2"/>
    </font>
    <font>
      <sz val="11"/>
      <name val="Calibri"/>
      <family val="2"/>
    </font>
    <font>
      <sz val="7"/>
      <color indexed="8"/>
      <name val="Calibri"/>
      <family val="2"/>
    </font>
    <font>
      <sz val="8"/>
      <color indexed="8"/>
      <name val="Calibri"/>
      <family val="2"/>
    </font>
    <font>
      <b/>
      <sz val="9"/>
      <name val="Franklin Gothic Book"/>
      <family val="2"/>
    </font>
    <font>
      <sz val="11"/>
      <color indexed="8"/>
      <name val="Calibri"/>
      <family val="2"/>
      <charset val="1"/>
    </font>
    <font>
      <sz val="11"/>
      <name val="Calibri"/>
      <family val="2"/>
      <charset val="1"/>
    </font>
    <font>
      <sz val="12"/>
      <color indexed="8"/>
      <name val="Calibri"/>
      <family val="2"/>
      <charset val="1"/>
    </font>
    <font>
      <sz val="10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3"/>
      <color indexed="8"/>
      <name val="Calibri"/>
      <family val="2"/>
    </font>
    <font>
      <u/>
      <sz val="13"/>
      <color theme="4"/>
      <name val="Aptos Narrow"/>
      <family val="2"/>
      <scheme val="minor"/>
    </font>
    <font>
      <u/>
      <sz val="13"/>
      <color theme="10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Calibri"/>
      <family val="2"/>
      <charset val="1"/>
    </font>
    <font>
      <sz val="11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Aptos Narrow"/>
      <family val="2"/>
      <scheme val="minor"/>
    </font>
    <font>
      <sz val="9"/>
      <name val="Calibri"/>
      <family val="2"/>
    </font>
    <font>
      <b/>
      <sz val="18"/>
      <name val="Aptos Narrow"/>
      <family val="2"/>
      <scheme val="minor"/>
    </font>
    <font>
      <b/>
      <sz val="18"/>
      <color indexed="8"/>
      <name val="Aptos Narrow"/>
      <family val="2"/>
      <scheme val="minor"/>
    </font>
    <font>
      <sz val="15"/>
      <name val="Aptos Narrow"/>
      <family val="2"/>
      <scheme val="minor"/>
    </font>
    <font>
      <b/>
      <sz val="7"/>
      <name val="Aptos Narrow"/>
      <family val="2"/>
      <scheme val="minor"/>
    </font>
    <font>
      <b/>
      <sz val="15"/>
      <name val="Arial"/>
      <family val="2"/>
    </font>
    <font>
      <sz val="10"/>
      <name val="Aptos Narrow"/>
      <family val="2"/>
      <scheme val="minor"/>
    </font>
    <font>
      <u/>
      <sz val="10"/>
      <color theme="10"/>
      <name val="Arial"/>
      <family val="2"/>
    </font>
    <font>
      <u/>
      <sz val="13"/>
      <color theme="4"/>
      <name val="Calibri"/>
      <family val="2"/>
    </font>
    <font>
      <sz val="13"/>
      <color theme="1"/>
      <name val="Calibri"/>
      <family val="2"/>
    </font>
    <font>
      <sz val="13"/>
      <name val="Calibri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b/>
      <sz val="10"/>
      <color theme="0"/>
      <name val="Aptos Narrow"/>
      <family val="2"/>
      <scheme val="minor"/>
    </font>
    <font>
      <sz val="10"/>
      <name val="Arial"/>
      <family val="2"/>
      <charset val="1"/>
    </font>
    <font>
      <sz val="8"/>
      <color theme="0"/>
      <name val="Aptos Narrow"/>
      <family val="2"/>
      <scheme val="minor"/>
    </font>
    <font>
      <sz val="12"/>
      <color indexed="8"/>
      <name val="Calibri"/>
      <family val="2"/>
    </font>
    <font>
      <b/>
      <sz val="12"/>
      <color theme="0"/>
      <name val="Aptos Narrow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sz val="9"/>
      <color theme="1"/>
      <name val="Libre Franklin"/>
      <charset val="1"/>
    </font>
    <font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b/>
      <sz val="9"/>
      <color theme="1"/>
      <name val="Libre Franklin"/>
      <charset val="1"/>
    </font>
    <font>
      <b/>
      <sz val="11"/>
      <color theme="1"/>
      <name val="Calibri"/>
      <family val="2"/>
    </font>
    <font>
      <b/>
      <sz val="6"/>
      <color rgb="FFFFFFFF"/>
      <name val="Calibri"/>
      <family val="2"/>
    </font>
    <font>
      <sz val="8"/>
      <color theme="1"/>
      <name val="Arial"/>
      <family val="2"/>
    </font>
    <font>
      <sz val="12"/>
      <color indexed="8"/>
      <name val="Aptos Narrow"/>
      <family val="2"/>
      <scheme val="minor"/>
    </font>
    <font>
      <sz val="12"/>
      <name val="Calibri"/>
      <family val="2"/>
    </font>
    <font>
      <sz val="22"/>
      <color theme="1"/>
      <name val="Aptos Narrow"/>
      <family val="2"/>
      <scheme val="minor"/>
    </font>
    <font>
      <sz val="14"/>
      <color indexed="8"/>
      <name val="Calibri"/>
      <family val="2"/>
    </font>
    <font>
      <sz val="14"/>
      <color theme="1"/>
      <name val="Arial"/>
      <family val="2"/>
    </font>
    <font>
      <u/>
      <sz val="14"/>
      <color theme="1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22">
    <xf numFmtId="0" fontId="0" fillId="0" borderId="0"/>
    <xf numFmtId="0" fontId="12" fillId="0" borderId="0"/>
    <xf numFmtId="0" fontId="12" fillId="2" borderId="0">
      <alignment horizontal="left"/>
    </xf>
    <xf numFmtId="0" fontId="4" fillId="0" borderId="0"/>
    <xf numFmtId="0" fontId="5" fillId="0" borderId="0" applyNumberFormat="0" applyFill="0" applyBorder="0" applyAlignment="0" applyProtection="0"/>
    <xf numFmtId="0" fontId="23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167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43" fontId="27" fillId="0" borderId="0" applyFont="0" applyFill="0" applyBorder="0" applyAlignment="0" applyProtection="0"/>
    <xf numFmtId="0" fontId="49" fillId="0" borderId="0"/>
    <xf numFmtId="0" fontId="27" fillId="0" borderId="0"/>
    <xf numFmtId="0" fontId="4" fillId="0" borderId="0"/>
    <xf numFmtId="0" fontId="5" fillId="0" borderId="0" applyNumberFormat="0" applyFill="0" applyBorder="0" applyAlignment="0" applyProtection="0"/>
    <xf numFmtId="0" fontId="27" fillId="0" borderId="0"/>
    <xf numFmtId="0" fontId="12" fillId="0" borderId="0"/>
  </cellStyleXfs>
  <cellXfs count="241">
    <xf numFmtId="0" fontId="0" fillId="0" borderId="0" xfId="0"/>
    <xf numFmtId="0" fontId="6" fillId="0" borderId="0" xfId="0" applyFont="1" applyAlignment="1">
      <alignment horizontal="right"/>
    </xf>
    <xf numFmtId="4" fontId="7" fillId="0" borderId="0" xfId="0" applyNumberFormat="1" applyFont="1"/>
    <xf numFmtId="0" fontId="8" fillId="0" borderId="0" xfId="0" applyFont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/>
    <xf numFmtId="49" fontId="9" fillId="0" borderId="0" xfId="0" applyNumberFormat="1" applyFont="1" applyAlignment="1">
      <alignment horizontal="left"/>
    </xf>
    <xf numFmtId="1" fontId="0" fillId="0" borderId="0" xfId="0" applyNumberFormat="1"/>
    <xf numFmtId="2" fontId="10" fillId="0" borderId="0" xfId="0" applyNumberFormat="1" applyFont="1" applyAlignment="1">
      <alignment horizontal="right" indent="1"/>
    </xf>
    <xf numFmtId="4" fontId="11" fillId="0" borderId="0" xfId="0" applyNumberFormat="1" applyFont="1" applyAlignment="1">
      <alignment horizontal="left" vertical="center"/>
    </xf>
    <xf numFmtId="0" fontId="13" fillId="0" borderId="0" xfId="1" applyFont="1"/>
    <xf numFmtId="0" fontId="14" fillId="2" borderId="0" xfId="2" applyFont="1" applyAlignment="1">
      <alignment horizontal="center" vertical="center"/>
    </xf>
    <xf numFmtId="1" fontId="14" fillId="2" borderId="0" xfId="2" applyNumberFormat="1" applyFont="1" applyAlignment="1">
      <alignment horizontal="right" vertical="center"/>
    </xf>
    <xf numFmtId="1" fontId="14" fillId="2" borderId="0" xfId="2" applyNumberFormat="1" applyFont="1" applyAlignment="1">
      <alignment horizontal="center" vertical="center"/>
    </xf>
    <xf numFmtId="2" fontId="14" fillId="2" borderId="0" xfId="2" applyNumberFormat="1" applyFont="1" applyAlignment="1">
      <alignment vertical="center"/>
    </xf>
    <xf numFmtId="49" fontId="0" fillId="0" borderId="0" xfId="0" quotePrefix="1" applyNumberFormat="1"/>
    <xf numFmtId="17" fontId="10" fillId="0" borderId="0" xfId="0" quotePrefix="1" applyNumberFormat="1" applyFont="1" applyAlignment="1">
      <alignment horizontal="left"/>
    </xf>
    <xf numFmtId="0" fontId="15" fillId="0" borderId="0" xfId="0" applyFont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1" fontId="16" fillId="3" borderId="1" xfId="0" applyNumberFormat="1" applyFont="1" applyFill="1" applyBorder="1" applyAlignment="1">
      <alignment horizontal="center" vertical="center" wrapText="1"/>
    </xf>
    <xf numFmtId="2" fontId="16" fillId="3" borderId="1" xfId="0" applyNumberFormat="1" applyFont="1" applyFill="1" applyBorder="1" applyAlignment="1">
      <alignment horizontal="center" vertical="center" wrapText="1"/>
    </xf>
    <xf numFmtId="0" fontId="15" fillId="0" borderId="0" xfId="0" applyFont="1"/>
    <xf numFmtId="0" fontId="17" fillId="5" borderId="2" xfId="3" applyFont="1" applyFill="1" applyBorder="1" applyAlignment="1">
      <alignment horizontal="center" vertical="center"/>
    </xf>
    <xf numFmtId="0" fontId="18" fillId="5" borderId="2" xfId="4" applyNumberFormat="1" applyFont="1" applyFill="1" applyBorder="1"/>
    <xf numFmtId="0" fontId="19" fillId="5" borderId="2" xfId="4" applyNumberFormat="1" applyFont="1" applyFill="1" applyBorder="1"/>
    <xf numFmtId="0" fontId="20" fillId="0" borderId="3" xfId="3" applyFont="1" applyBorder="1"/>
    <xf numFmtId="0" fontId="20" fillId="0" borderId="0" xfId="0" applyFont="1"/>
    <xf numFmtId="0" fontId="21" fillId="0" borderId="0" xfId="0" applyFont="1"/>
    <xf numFmtId="0" fontId="0" fillId="0" borderId="0" xfId="0" applyAlignment="1">
      <alignment horizontal="left" vertical="top"/>
    </xf>
    <xf numFmtId="0" fontId="22" fillId="6" borderId="0" xfId="0" applyFont="1" applyFill="1" applyAlignment="1">
      <alignment horizontal="left"/>
    </xf>
    <xf numFmtId="0" fontId="24" fillId="0" borderId="0" xfId="5" applyFont="1"/>
    <xf numFmtId="0" fontId="23" fillId="0" borderId="0" xfId="5" applyAlignment="1">
      <alignment horizontal="right"/>
    </xf>
    <xf numFmtId="4" fontId="11" fillId="0" borderId="0" xfId="6" applyNumberFormat="1" applyFont="1" applyAlignment="1">
      <alignment horizontal="left"/>
    </xf>
    <xf numFmtId="0" fontId="25" fillId="0" borderId="0" xfId="6" applyFont="1" applyAlignment="1">
      <alignment horizontal="center"/>
    </xf>
    <xf numFmtId="0" fontId="26" fillId="0" borderId="0" xfId="6" applyFont="1" applyAlignment="1">
      <alignment vertical="center"/>
    </xf>
    <xf numFmtId="0" fontId="25" fillId="0" borderId="0" xfId="6" applyFont="1"/>
    <xf numFmtId="2" fontId="27" fillId="0" borderId="0" xfId="6" applyNumberFormat="1" applyFont="1" applyAlignment="1">
      <alignment horizontal="left"/>
    </xf>
    <xf numFmtId="0" fontId="23" fillId="0" borderId="0" xfId="5"/>
    <xf numFmtId="0" fontId="28" fillId="0" borderId="0" xfId="5" applyFont="1"/>
    <xf numFmtId="4" fontId="11" fillId="0" borderId="0" xfId="6" applyNumberFormat="1" applyFont="1" applyAlignment="1">
      <alignment horizontal="left" vertical="center"/>
    </xf>
    <xf numFmtId="0" fontId="27" fillId="0" borderId="0" xfId="6" applyFont="1" applyAlignment="1">
      <alignment horizontal="center"/>
    </xf>
    <xf numFmtId="0" fontId="27" fillId="0" borderId="0" xfId="6" applyFont="1"/>
    <xf numFmtId="166" fontId="29" fillId="0" borderId="4" xfId="7" applyNumberFormat="1" applyFont="1" applyBorder="1" applyAlignment="1">
      <alignment horizontal="left"/>
    </xf>
    <xf numFmtId="0" fontId="29" fillId="0" borderId="5" xfId="7" applyFont="1" applyBorder="1" applyAlignment="1">
      <alignment horizontal="left"/>
    </xf>
    <xf numFmtId="0" fontId="28" fillId="0" borderId="5" xfId="7" applyFont="1" applyBorder="1" applyAlignment="1">
      <alignment horizontal="left"/>
    </xf>
    <xf numFmtId="0" fontId="30" fillId="0" borderId="5" xfId="7" applyFont="1" applyBorder="1" applyAlignment="1">
      <alignment horizontal="left"/>
    </xf>
    <xf numFmtId="0" fontId="31" fillId="0" borderId="5" xfId="7" applyFont="1" applyBorder="1" applyAlignment="1">
      <alignment horizontal="left" wrapText="1" readingOrder="1"/>
    </xf>
    <xf numFmtId="0" fontId="30" fillId="0" borderId="5" xfId="7" applyFont="1" applyBorder="1" applyAlignment="1">
      <alignment horizontal="left" wrapText="1"/>
    </xf>
    <xf numFmtId="0" fontId="32" fillId="0" borderId="5" xfId="7" applyFont="1" applyBorder="1" applyAlignment="1">
      <alignment horizontal="left" wrapText="1"/>
    </xf>
    <xf numFmtId="17" fontId="33" fillId="0" borderId="5" xfId="7" quotePrefix="1" applyNumberFormat="1" applyFont="1" applyBorder="1" applyAlignment="1">
      <alignment horizontal="left"/>
    </xf>
    <xf numFmtId="0" fontId="27" fillId="0" borderId="5" xfId="7" applyFont="1" applyBorder="1" applyAlignment="1">
      <alignment horizontal="left"/>
    </xf>
    <xf numFmtId="49" fontId="34" fillId="0" borderId="6" xfId="7" quotePrefix="1" applyNumberFormat="1" applyFont="1" applyBorder="1" applyAlignment="1">
      <alignment horizontal="left"/>
    </xf>
    <xf numFmtId="0" fontId="24" fillId="0" borderId="0" xfId="0" applyFont="1"/>
    <xf numFmtId="166" fontId="29" fillId="0" borderId="7" xfId="7" applyNumberFormat="1" applyFont="1" applyBorder="1" applyAlignment="1">
      <alignment horizontal="left"/>
    </xf>
    <xf numFmtId="0" fontId="29" fillId="0" borderId="0" xfId="7" applyFont="1" applyAlignment="1">
      <alignment horizontal="left"/>
    </xf>
    <xf numFmtId="0" fontId="28" fillId="0" borderId="0" xfId="7" applyFont="1" applyAlignment="1">
      <alignment horizontal="left"/>
    </xf>
    <xf numFmtId="0" fontId="28" fillId="0" borderId="8" xfId="7" applyFont="1" applyBorder="1" applyAlignment="1">
      <alignment horizontal="left"/>
    </xf>
    <xf numFmtId="166" fontId="35" fillId="0" borderId="9" xfId="7" applyNumberFormat="1" applyFont="1" applyBorder="1" applyAlignment="1">
      <alignment horizontal="left"/>
    </xf>
    <xf numFmtId="0" fontId="28" fillId="0" borderId="10" xfId="7" applyFont="1" applyBorder="1" applyAlignment="1">
      <alignment horizontal="left"/>
    </xf>
    <xf numFmtId="0" fontId="28" fillId="0" borderId="11" xfId="7" applyFont="1" applyBorder="1" applyAlignment="1">
      <alignment horizontal="left"/>
    </xf>
    <xf numFmtId="0" fontId="38" fillId="0" borderId="0" xfId="0" applyFont="1"/>
    <xf numFmtId="0" fontId="17" fillId="0" borderId="0" xfId="0" applyFont="1" applyAlignment="1">
      <alignment horizontal="right"/>
    </xf>
    <xf numFmtId="0" fontId="40" fillId="0" borderId="0" xfId="9" applyFont="1"/>
    <xf numFmtId="0" fontId="4" fillId="0" borderId="0" xfId="14"/>
    <xf numFmtId="4" fontId="7" fillId="0" borderId="0" xfId="14" applyNumberFormat="1" applyFont="1"/>
    <xf numFmtId="0" fontId="8" fillId="0" borderId="0" xfId="14" applyFont="1" applyAlignment="1">
      <alignment vertical="center"/>
    </xf>
    <xf numFmtId="2" fontId="4" fillId="0" borderId="0" xfId="14" applyNumberFormat="1" applyAlignment="1">
      <alignment horizontal="left"/>
    </xf>
    <xf numFmtId="0" fontId="4" fillId="0" borderId="0" xfId="14" applyAlignment="1">
      <alignment horizontal="left"/>
    </xf>
    <xf numFmtId="43" fontId="4" fillId="0" borderId="0" xfId="15" applyFont="1" applyFill="1"/>
    <xf numFmtId="0" fontId="41" fillId="0" borderId="0" xfId="14" applyFont="1"/>
    <xf numFmtId="4" fontId="11" fillId="0" borderId="0" xfId="14" applyNumberFormat="1" applyFont="1" applyAlignment="1">
      <alignment horizontal="left" vertical="center"/>
    </xf>
    <xf numFmtId="0" fontId="27" fillId="0" borderId="0" xfId="9"/>
    <xf numFmtId="17" fontId="4" fillId="0" borderId="0" xfId="14" quotePrefix="1" applyNumberFormat="1"/>
    <xf numFmtId="17" fontId="41" fillId="0" borderId="0" xfId="14" quotePrefix="1" applyNumberFormat="1" applyFont="1"/>
    <xf numFmtId="0" fontId="42" fillId="7" borderId="14" xfId="14" applyFont="1" applyFill="1" applyBorder="1" applyAlignment="1">
      <alignment horizontal="center" wrapText="1"/>
    </xf>
    <xf numFmtId="0" fontId="43" fillId="7" borderId="14" xfId="9" applyFont="1" applyFill="1" applyBorder="1" applyAlignment="1">
      <alignment horizontal="left" wrapText="1"/>
    </xf>
    <xf numFmtId="43" fontId="43" fillId="7" borderId="14" xfId="15" applyFont="1" applyFill="1" applyBorder="1" applyAlignment="1">
      <alignment horizontal="left" wrapText="1"/>
    </xf>
    <xf numFmtId="0" fontId="43" fillId="7" borderId="14" xfId="9" applyFont="1" applyFill="1" applyBorder="1" applyAlignment="1">
      <alignment horizontal="center" wrapText="1"/>
    </xf>
    <xf numFmtId="0" fontId="43" fillId="7" borderId="0" xfId="9" applyFont="1" applyFill="1" applyAlignment="1">
      <alignment horizontal="left" wrapText="1"/>
    </xf>
    <xf numFmtId="0" fontId="42" fillId="7" borderId="14" xfId="9" applyFont="1" applyFill="1" applyBorder="1" applyAlignment="1">
      <alignment horizontal="left" wrapText="1"/>
    </xf>
    <xf numFmtId="0" fontId="44" fillId="0" borderId="0" xfId="0" applyFont="1" applyAlignment="1">
      <alignment vertical="center"/>
    </xf>
    <xf numFmtId="0" fontId="45" fillId="0" borderId="0" xfId="0" applyFont="1"/>
    <xf numFmtId="0" fontId="46" fillId="0" borderId="16" xfId="0" applyFont="1" applyBorder="1" applyAlignment="1">
      <alignment vertical="center"/>
    </xf>
    <xf numFmtId="0" fontId="15" fillId="0" borderId="0" xfId="0" quotePrefix="1" applyFont="1"/>
    <xf numFmtId="0" fontId="48" fillId="7" borderId="14" xfId="0" applyFont="1" applyFill="1" applyBorder="1" applyAlignment="1">
      <alignment horizontal="center" wrapText="1"/>
    </xf>
    <xf numFmtId="0" fontId="48" fillId="7" borderId="14" xfId="0" applyFont="1" applyFill="1" applyBorder="1" applyAlignment="1">
      <alignment wrapText="1"/>
    </xf>
    <xf numFmtId="0" fontId="48" fillId="7" borderId="14" xfId="0" applyFont="1" applyFill="1" applyBorder="1" applyAlignment="1">
      <alignment horizontal="center" vertical="center" wrapText="1"/>
    </xf>
    <xf numFmtId="0" fontId="48" fillId="7" borderId="17" xfId="0" applyFont="1" applyFill="1" applyBorder="1" applyAlignment="1">
      <alignment wrapText="1"/>
    </xf>
    <xf numFmtId="0" fontId="48" fillId="7" borderId="17" xfId="0" applyFont="1" applyFill="1" applyBorder="1" applyAlignment="1">
      <alignment horizontal="center" wrapText="1"/>
    </xf>
    <xf numFmtId="17" fontId="47" fillId="0" borderId="0" xfId="0" quotePrefix="1" applyNumberFormat="1" applyFont="1" applyAlignment="1">
      <alignment horizontal="left"/>
    </xf>
    <xf numFmtId="0" fontId="40" fillId="0" borderId="0" xfId="0" applyFont="1"/>
    <xf numFmtId="0" fontId="33" fillId="0" borderId="0" xfId="17" applyFont="1"/>
    <xf numFmtId="4" fontId="33" fillId="0" borderId="0" xfId="17" applyNumberFormat="1" applyFont="1"/>
    <xf numFmtId="0" fontId="28" fillId="0" borderId="0" xfId="17" applyFont="1"/>
    <xf numFmtId="0" fontId="27" fillId="0" borderId="0" xfId="17"/>
    <xf numFmtId="49" fontId="27" fillId="0" borderId="0" xfId="17" applyNumberFormat="1"/>
    <xf numFmtId="17" fontId="33" fillId="0" borderId="0" xfId="17" quotePrefix="1" applyNumberFormat="1" applyFont="1"/>
    <xf numFmtId="4" fontId="28" fillId="0" borderId="0" xfId="17" applyNumberFormat="1" applyFont="1"/>
    <xf numFmtId="0" fontId="40" fillId="0" borderId="0" xfId="17" applyFont="1"/>
    <xf numFmtId="4" fontId="7" fillId="0" borderId="0" xfId="17" applyNumberFormat="1" applyFont="1"/>
    <xf numFmtId="0" fontId="41" fillId="0" borderId="0" xfId="8" applyFont="1"/>
    <xf numFmtId="49" fontId="41" fillId="0" borderId="0" xfId="8" applyNumberFormat="1" applyFont="1"/>
    <xf numFmtId="0" fontId="8" fillId="0" borderId="0" xfId="17" applyFont="1" applyAlignment="1">
      <alignment vertical="center"/>
    </xf>
    <xf numFmtId="2" fontId="27" fillId="0" borderId="0" xfId="17" applyNumberFormat="1" applyAlignment="1">
      <alignment horizontal="left"/>
    </xf>
    <xf numFmtId="4" fontId="11" fillId="0" borderId="0" xfId="17" applyNumberFormat="1" applyFont="1" applyAlignment="1">
      <alignment horizontal="left" vertical="center"/>
    </xf>
    <xf numFmtId="0" fontId="42" fillId="7" borderId="14" xfId="18" applyFont="1" applyFill="1" applyBorder="1" applyAlignment="1">
      <alignment wrapText="1"/>
    </xf>
    <xf numFmtId="0" fontId="50" fillId="7" borderId="14" xfId="18" applyFont="1" applyFill="1" applyBorder="1" applyAlignment="1">
      <alignment wrapText="1"/>
    </xf>
    <xf numFmtId="49" fontId="42" fillId="7" borderId="14" xfId="18" applyNumberFormat="1" applyFont="1" applyFill="1" applyBorder="1" applyAlignment="1">
      <alignment wrapText="1"/>
    </xf>
    <xf numFmtId="0" fontId="52" fillId="7" borderId="1" xfId="8" applyFont="1" applyFill="1" applyBorder="1" applyAlignment="1">
      <alignment horizontal="center" wrapText="1"/>
    </xf>
    <xf numFmtId="0" fontId="53" fillId="7" borderId="1" xfId="0" applyFont="1" applyFill="1" applyBorder="1" applyAlignment="1">
      <alignment horizontal="center" vertical="center" wrapText="1"/>
    </xf>
    <xf numFmtId="0" fontId="53" fillId="7" borderId="1" xfId="0" applyFont="1" applyFill="1" applyBorder="1" applyAlignment="1">
      <alignment vertical="center" wrapText="1"/>
    </xf>
    <xf numFmtId="0" fontId="0" fillId="0" borderId="0" xfId="14" applyFont="1"/>
    <xf numFmtId="0" fontId="54" fillId="0" borderId="0" xfId="0" applyFont="1" applyAlignment="1">
      <alignment horizontal="left"/>
    </xf>
    <xf numFmtId="4" fontId="55" fillId="0" borderId="0" xfId="0" applyNumberFormat="1" applyFont="1"/>
    <xf numFmtId="0" fontId="56" fillId="0" borderId="0" xfId="0" applyFont="1" applyAlignment="1">
      <alignment horizontal="left" vertical="center"/>
    </xf>
    <xf numFmtId="0" fontId="57" fillId="0" borderId="0" xfId="0" applyFont="1"/>
    <xf numFmtId="2" fontId="54" fillId="0" borderId="0" xfId="0" applyNumberFormat="1" applyFont="1" applyAlignment="1">
      <alignment horizontal="left"/>
    </xf>
    <xf numFmtId="0" fontId="54" fillId="0" borderId="0" xfId="0" applyFont="1" applyAlignment="1">
      <alignment horizontal="right"/>
    </xf>
    <xf numFmtId="0" fontId="58" fillId="0" borderId="0" xfId="0" applyFont="1"/>
    <xf numFmtId="49" fontId="58" fillId="0" borderId="0" xfId="0" applyNumberFormat="1" applyFont="1" applyAlignment="1">
      <alignment horizontal="left"/>
    </xf>
    <xf numFmtId="1" fontId="54" fillId="0" borderId="0" xfId="0" applyNumberFormat="1" applyFont="1"/>
    <xf numFmtId="2" fontId="59" fillId="0" borderId="0" xfId="0" applyNumberFormat="1" applyFont="1" applyAlignment="1">
      <alignment horizontal="right"/>
    </xf>
    <xf numFmtId="0" fontId="54" fillId="0" borderId="0" xfId="0" applyFont="1" applyAlignment="1">
      <alignment horizontal="center"/>
    </xf>
    <xf numFmtId="4" fontId="60" fillId="0" borderId="0" xfId="0" applyNumberFormat="1" applyFont="1" applyAlignment="1">
      <alignment horizontal="left" vertical="center"/>
    </xf>
    <xf numFmtId="0" fontId="56" fillId="0" borderId="0" xfId="0" applyFont="1" applyAlignment="1">
      <alignment horizontal="left"/>
    </xf>
    <xf numFmtId="49" fontId="54" fillId="0" borderId="0" xfId="0" applyNumberFormat="1" applyFont="1"/>
    <xf numFmtId="0" fontId="61" fillId="0" borderId="0" xfId="0" applyFont="1" applyAlignment="1">
      <alignment horizontal="left"/>
    </xf>
    <xf numFmtId="17" fontId="59" fillId="0" borderId="0" xfId="0" applyNumberFormat="1" applyFont="1" applyAlignment="1">
      <alignment horizontal="left"/>
    </xf>
    <xf numFmtId="0" fontId="62" fillId="3" borderId="18" xfId="0" applyFont="1" applyFill="1" applyBorder="1" applyAlignment="1">
      <alignment horizontal="left" vertical="center" wrapText="1"/>
    </xf>
    <xf numFmtId="1" fontId="62" fillId="3" borderId="18" xfId="0" applyNumberFormat="1" applyFont="1" applyFill="1" applyBorder="1" applyAlignment="1">
      <alignment horizontal="left" vertical="center" wrapText="1"/>
    </xf>
    <xf numFmtId="2" fontId="62" fillId="3" borderId="18" xfId="0" applyNumberFormat="1" applyFont="1" applyFill="1" applyBorder="1" applyAlignment="1">
      <alignment horizontal="left" vertical="center" wrapText="1"/>
    </xf>
    <xf numFmtId="0" fontId="62" fillId="3" borderId="19" xfId="0" applyFont="1" applyFill="1" applyBorder="1" applyAlignment="1">
      <alignment horizontal="left" vertical="center" wrapText="1"/>
    </xf>
    <xf numFmtId="0" fontId="62" fillId="3" borderId="20" xfId="0" applyFont="1" applyFill="1" applyBorder="1" applyAlignment="1">
      <alignment horizontal="left" vertical="center" wrapText="1"/>
    </xf>
    <xf numFmtId="0" fontId="51" fillId="5" borderId="15" xfId="0" applyFont="1" applyFill="1" applyBorder="1" applyAlignment="1">
      <alignment horizontal="center" vertical="center"/>
    </xf>
    <xf numFmtId="0" fontId="38" fillId="8" borderId="1" xfId="0" applyFont="1" applyFill="1" applyBorder="1" applyAlignment="1">
      <alignment vertical="center"/>
    </xf>
    <xf numFmtId="14" fontId="39" fillId="8" borderId="2" xfId="10" applyNumberFormat="1" applyFont="1" applyFill="1" applyBorder="1" applyAlignment="1">
      <alignment vertical="center" wrapText="1"/>
    </xf>
    <xf numFmtId="14" fontId="39" fillId="8" borderId="2" xfId="10" applyNumberFormat="1" applyFont="1" applyFill="1" applyBorder="1" applyAlignment="1">
      <alignment horizontal="left" vertical="center" wrapText="1"/>
    </xf>
    <xf numFmtId="0" fontId="39" fillId="8" borderId="2" xfId="10" applyFont="1" applyFill="1" applyBorder="1" applyAlignment="1">
      <alignment horizontal="center" vertical="center" wrapText="1"/>
    </xf>
    <xf numFmtId="0" fontId="38" fillId="8" borderId="2" xfId="0" applyFont="1" applyFill="1" applyBorder="1" applyAlignment="1">
      <alignment horizontal="left" vertical="center" wrapText="1"/>
    </xf>
    <xf numFmtId="0" fontId="39" fillId="8" borderId="2" xfId="10" applyFont="1" applyFill="1" applyBorder="1" applyAlignment="1">
      <alignment horizontal="left" vertical="center" wrapText="1"/>
    </xf>
    <xf numFmtId="0" fontId="39" fillId="8" borderId="12" xfId="10" applyFont="1" applyFill="1" applyBorder="1" applyAlignment="1">
      <alignment vertical="center" wrapText="1"/>
    </xf>
    <xf numFmtId="0" fontId="39" fillId="8" borderId="2" xfId="10" quotePrefix="1" applyFont="1" applyFill="1" applyBorder="1" applyAlignment="1">
      <alignment horizontal="left" vertical="center" wrapText="1"/>
    </xf>
    <xf numFmtId="1" fontId="39" fillId="8" borderId="2" xfId="11" quotePrefix="1" applyNumberFormat="1" applyFont="1" applyFill="1" applyBorder="1" applyAlignment="1">
      <alignment horizontal="left" vertical="center"/>
    </xf>
    <xf numFmtId="43" fontId="39" fillId="8" borderId="2" xfId="12" applyFont="1" applyFill="1" applyBorder="1" applyAlignment="1">
      <alignment vertical="center"/>
    </xf>
    <xf numFmtId="43" fontId="5" fillId="8" borderId="13" xfId="19" applyNumberFormat="1" applyFill="1" applyBorder="1" applyAlignment="1">
      <alignment horizontal="left" vertical="center"/>
    </xf>
    <xf numFmtId="0" fontId="5" fillId="8" borderId="0" xfId="19" applyFill="1" applyAlignment="1">
      <alignment vertical="center"/>
    </xf>
    <xf numFmtId="0" fontId="38" fillId="8" borderId="0" xfId="0" applyFont="1" applyFill="1" applyAlignment="1">
      <alignment vertical="center"/>
    </xf>
    <xf numFmtId="0" fontId="17" fillId="8" borderId="2" xfId="3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0" fontId="17" fillId="8" borderId="2" xfId="3" applyFont="1" applyFill="1" applyBorder="1" applyAlignment="1">
      <alignment horizontal="left" vertical="center"/>
    </xf>
    <xf numFmtId="168" fontId="38" fillId="9" borderId="21" xfId="0" applyNumberFormat="1" applyFont="1" applyFill="1" applyBorder="1" applyAlignment="1">
      <alignment horizontal="left" vertical="center"/>
    </xf>
    <xf numFmtId="49" fontId="39" fillId="8" borderId="2" xfId="12" quotePrefix="1" applyNumberFormat="1" applyFont="1" applyFill="1" applyBorder="1" applyAlignment="1">
      <alignment horizontal="left" vertical="center"/>
    </xf>
    <xf numFmtId="14" fontId="63" fillId="9" borderId="1" xfId="0" applyNumberFormat="1" applyFont="1" applyFill="1" applyBorder="1" applyAlignment="1">
      <alignment horizontal="left" vertical="center"/>
    </xf>
    <xf numFmtId="49" fontId="63" fillId="9" borderId="1" xfId="0" applyNumberFormat="1" applyFont="1" applyFill="1" applyBorder="1" applyAlignment="1">
      <alignment horizontal="left" vertical="center"/>
    </xf>
    <xf numFmtId="43" fontId="0" fillId="0" borderId="0" xfId="0" applyNumberFormat="1"/>
    <xf numFmtId="43" fontId="39" fillId="8" borderId="2" xfId="12" applyFont="1" applyFill="1" applyBorder="1" applyAlignment="1">
      <alignment horizontal="right" vertical="center"/>
    </xf>
    <xf numFmtId="14" fontId="38" fillId="8" borderId="2" xfId="10" applyNumberFormat="1" applyFont="1" applyFill="1" applyBorder="1" applyAlignment="1">
      <alignment horizontal="left" vertical="center" wrapText="1"/>
    </xf>
    <xf numFmtId="0" fontId="66" fillId="0" borderId="1" xfId="0" applyFont="1" applyBorder="1"/>
    <xf numFmtId="0" fontId="3" fillId="0" borderId="1" xfId="0" applyFont="1" applyBorder="1"/>
    <xf numFmtId="0" fontId="65" fillId="8" borderId="1" xfId="1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2" fontId="63" fillId="9" borderId="1" xfId="0" applyNumberFormat="1" applyFont="1" applyFill="1" applyBorder="1" applyAlignment="1">
      <alignment horizontal="left" vertical="center"/>
    </xf>
    <xf numFmtId="49" fontId="63" fillId="10" borderId="1" xfId="0" applyNumberFormat="1" applyFont="1" applyFill="1" applyBorder="1" applyAlignment="1">
      <alignment horizontal="left" vertical="center"/>
    </xf>
    <xf numFmtId="0" fontId="5" fillId="10" borderId="1" xfId="19" applyFill="1" applyBorder="1" applyAlignment="1">
      <alignment horizontal="left" vertical="center"/>
    </xf>
    <xf numFmtId="49" fontId="38" fillId="8" borderId="2" xfId="12" quotePrefix="1" applyNumberFormat="1" applyFont="1" applyFill="1" applyBorder="1" applyAlignment="1">
      <alignment horizontal="left" vertical="center"/>
    </xf>
    <xf numFmtId="49" fontId="38" fillId="8" borderId="1" xfId="0" applyNumberFormat="1" applyFont="1" applyFill="1" applyBorder="1" applyAlignment="1">
      <alignment vertical="center"/>
    </xf>
    <xf numFmtId="0" fontId="39" fillId="8" borderId="1" xfId="9" applyFont="1" applyFill="1" applyBorder="1" applyAlignment="1">
      <alignment vertical="center"/>
    </xf>
    <xf numFmtId="2" fontId="0" fillId="0" borderId="0" xfId="0" applyNumberFormat="1"/>
    <xf numFmtId="14" fontId="63" fillId="9" borderId="17" xfId="0" applyNumberFormat="1" applyFont="1" applyFill="1" applyBorder="1" applyAlignment="1">
      <alignment horizontal="left" vertical="center"/>
    </xf>
    <xf numFmtId="49" fontId="63" fillId="10" borderId="17" xfId="0" applyNumberFormat="1" applyFont="1" applyFill="1" applyBorder="1" applyAlignment="1">
      <alignment horizontal="left" vertical="center"/>
    </xf>
    <xf numFmtId="0" fontId="1" fillId="0" borderId="1" xfId="0" applyFont="1" applyBorder="1"/>
    <xf numFmtId="0" fontId="0" fillId="0" borderId="1" xfId="0" applyBorder="1" applyAlignment="1">
      <alignment horizontal="right"/>
    </xf>
    <xf numFmtId="6" fontId="0" fillId="0" borderId="0" xfId="0" applyNumberFormat="1"/>
    <xf numFmtId="0" fontId="70" fillId="0" borderId="22" xfId="0" applyFont="1" applyBorder="1"/>
    <xf numFmtId="6" fontId="70" fillId="0" borderId="23" xfId="0" applyNumberFormat="1" applyFont="1" applyBorder="1"/>
    <xf numFmtId="43" fontId="0" fillId="0" borderId="24" xfId="0" applyNumberFormat="1" applyBorder="1"/>
    <xf numFmtId="0" fontId="20" fillId="0" borderId="1" xfId="14" applyFont="1" applyBorder="1" applyAlignment="1">
      <alignment horizontal="right"/>
    </xf>
    <xf numFmtId="14" fontId="20" fillId="0" borderId="1" xfId="14" applyNumberFormat="1" applyFont="1" applyBorder="1" applyAlignment="1">
      <alignment horizontal="left"/>
    </xf>
    <xf numFmtId="0" fontId="20" fillId="0" borderId="1" xfId="14" applyFont="1" applyBorder="1" applyAlignment="1">
      <alignment horizontal="left" vertical="center"/>
    </xf>
    <xf numFmtId="0" fontId="20" fillId="0" borderId="1" xfId="14" applyFont="1" applyBorder="1" applyAlignment="1">
      <alignment horizontal="left"/>
    </xf>
    <xf numFmtId="0" fontId="20" fillId="0" borderId="1" xfId="14" applyFont="1" applyBorder="1"/>
    <xf numFmtId="0" fontId="20" fillId="0" borderId="1" xfId="14" quotePrefix="1" applyFont="1" applyBorder="1" applyAlignment="1">
      <alignment horizontal="left"/>
    </xf>
    <xf numFmtId="14" fontId="20" fillId="0" borderId="1" xfId="14" applyNumberFormat="1" applyFont="1" applyBorder="1" applyAlignment="1">
      <alignment horizontal="left" vertical="center"/>
    </xf>
    <xf numFmtId="49" fontId="64" fillId="8" borderId="1" xfId="21" applyNumberFormat="1" applyFont="1" applyFill="1" applyBorder="1" applyAlignment="1">
      <alignment horizontal="left"/>
    </xf>
    <xf numFmtId="43" fontId="20" fillId="0" borderId="1" xfId="15" applyFont="1" applyBorder="1" applyAlignment="1">
      <alignment horizontal="left" vertical="center"/>
    </xf>
    <xf numFmtId="49" fontId="20" fillId="0" borderId="1" xfId="14" quotePrefix="1" applyNumberFormat="1" applyFont="1" applyBorder="1" applyAlignment="1">
      <alignment horizontal="left" vertical="center"/>
    </xf>
    <xf numFmtId="0" fontId="5" fillId="0" borderId="1" xfId="19" applyBorder="1" applyAlignment="1">
      <alignment horizontal="left" vertical="center"/>
    </xf>
    <xf numFmtId="0" fontId="5" fillId="0" borderId="1" xfId="19" applyBorder="1"/>
    <xf numFmtId="14" fontId="5" fillId="9" borderId="1" xfId="19" applyNumberFormat="1" applyFill="1" applyBorder="1" applyAlignment="1">
      <alignment horizontal="left" vertical="center"/>
    </xf>
    <xf numFmtId="6" fontId="20" fillId="0" borderId="1" xfId="15" applyNumberFormat="1" applyFont="1" applyBorder="1"/>
    <xf numFmtId="1" fontId="63" fillId="9" borderId="1" xfId="0" applyNumberFormat="1" applyFont="1" applyFill="1" applyBorder="1" applyAlignment="1">
      <alignment horizontal="left" vertical="center"/>
    </xf>
    <xf numFmtId="0" fontId="17" fillId="0" borderId="1" xfId="3" applyFont="1" applyBorder="1" applyAlignment="1">
      <alignment horizontal="right"/>
    </xf>
    <xf numFmtId="164" fontId="67" fillId="5" borderId="1" xfId="3" applyNumberFormat="1" applyFont="1" applyFill="1" applyBorder="1" applyAlignment="1">
      <alignment horizontal="left"/>
    </xf>
    <xf numFmtId="0" fontId="67" fillId="5" borderId="1" xfId="3" applyFont="1" applyFill="1" applyBorder="1"/>
    <xf numFmtId="49" fontId="68" fillId="9" borderId="1" xfId="0" applyNumberFormat="1" applyFont="1" applyFill="1" applyBorder="1" applyAlignment="1">
      <alignment horizontal="left" vertical="center"/>
    </xf>
    <xf numFmtId="14" fontId="68" fillId="9" borderId="1" xfId="0" applyNumberFormat="1" applyFont="1" applyFill="1" applyBorder="1" applyAlignment="1">
      <alignment horizontal="left" vertical="center"/>
    </xf>
    <xf numFmtId="0" fontId="67" fillId="5" borderId="1" xfId="3" applyFont="1" applyFill="1" applyBorder="1" applyAlignment="1">
      <alignment horizontal="left" vertical="center"/>
    </xf>
    <xf numFmtId="0" fontId="67" fillId="5" borderId="1" xfId="3" applyFont="1" applyFill="1" applyBorder="1" applyAlignment="1">
      <alignment horizontal="left"/>
    </xf>
    <xf numFmtId="1" fontId="67" fillId="5" borderId="1" xfId="3" applyNumberFormat="1" applyFont="1" applyFill="1" applyBorder="1"/>
    <xf numFmtId="2" fontId="67" fillId="5" borderId="1" xfId="3" applyNumberFormat="1" applyFont="1" applyFill="1" applyBorder="1" applyAlignment="1">
      <alignment horizontal="center"/>
    </xf>
    <xf numFmtId="0" fontId="5" fillId="5" borderId="1" xfId="19" applyFill="1" applyBorder="1"/>
    <xf numFmtId="165" fontId="69" fillId="5" borderId="1" xfId="19" applyNumberFormat="1" applyFont="1" applyFill="1" applyBorder="1" applyAlignment="1">
      <alignment horizontal="left"/>
    </xf>
    <xf numFmtId="0" fontId="38" fillId="8" borderId="2" xfId="3" applyFont="1" applyFill="1" applyBorder="1" applyAlignment="1">
      <alignment horizontal="left" vertical="center"/>
    </xf>
    <xf numFmtId="49" fontId="63" fillId="0" borderId="0" xfId="0" applyNumberFormat="1" applyFont="1" applyAlignment="1">
      <alignment horizontal="left"/>
    </xf>
    <xf numFmtId="2" fontId="71" fillId="0" borderId="0" xfId="0" applyNumberFormat="1" applyFont="1"/>
    <xf numFmtId="0" fontId="17" fillId="8" borderId="25" xfId="3" applyFont="1" applyFill="1" applyBorder="1" applyAlignment="1">
      <alignment horizontal="left" vertical="center"/>
    </xf>
    <xf numFmtId="0" fontId="17" fillId="8" borderId="25" xfId="3" applyFont="1" applyFill="1" applyBorder="1" applyAlignment="1">
      <alignment horizontal="center" vertical="center"/>
    </xf>
    <xf numFmtId="0" fontId="17" fillId="8" borderId="21" xfId="3" applyFont="1" applyFill="1" applyBorder="1" applyAlignment="1">
      <alignment horizontal="left" vertical="center"/>
    </xf>
    <xf numFmtId="0" fontId="17" fillId="8" borderId="21" xfId="3" applyFont="1" applyFill="1" applyBorder="1" applyAlignment="1">
      <alignment horizontal="center" vertical="center"/>
    </xf>
    <xf numFmtId="168" fontId="38" fillId="9" borderId="17" xfId="0" applyNumberFormat="1" applyFont="1" applyFill="1" applyBorder="1" applyAlignment="1">
      <alignment horizontal="left" vertical="center"/>
    </xf>
    <xf numFmtId="168" fontId="38" fillId="9" borderId="1" xfId="0" applyNumberFormat="1" applyFont="1" applyFill="1" applyBorder="1" applyAlignment="1">
      <alignment horizontal="left" vertical="center"/>
    </xf>
    <xf numFmtId="14" fontId="38" fillId="9" borderId="1" xfId="0" applyNumberFormat="1" applyFont="1" applyFill="1" applyBorder="1" applyAlignment="1">
      <alignment horizontal="left" vertical="center"/>
    </xf>
    <xf numFmtId="0" fontId="17" fillId="8" borderId="1" xfId="3" applyFont="1" applyFill="1" applyBorder="1" applyAlignment="1">
      <alignment horizontal="center" vertical="center"/>
    </xf>
    <xf numFmtId="49" fontId="38" fillId="9" borderId="1" xfId="0" applyNumberFormat="1" applyFont="1" applyFill="1" applyBorder="1" applyAlignment="1">
      <alignment horizontal="left" vertical="center"/>
    </xf>
    <xf numFmtId="0" fontId="17" fillId="8" borderId="17" xfId="3" applyFont="1" applyFill="1" applyBorder="1" applyAlignment="1">
      <alignment horizontal="center" vertical="center"/>
    </xf>
    <xf numFmtId="0" fontId="17" fillId="8" borderId="1" xfId="3" applyFont="1" applyFill="1" applyBorder="1" applyAlignment="1">
      <alignment horizontal="left" vertical="center"/>
    </xf>
    <xf numFmtId="14" fontId="17" fillId="8" borderId="1" xfId="3" applyNumberFormat="1" applyFont="1" applyFill="1" applyBorder="1" applyAlignment="1">
      <alignment horizontal="center" vertical="center"/>
    </xf>
    <xf numFmtId="1" fontId="17" fillId="8" borderId="1" xfId="3" applyNumberFormat="1" applyFont="1" applyFill="1" applyBorder="1" applyAlignment="1">
      <alignment horizontal="left" vertical="center"/>
    </xf>
    <xf numFmtId="49" fontId="17" fillId="8" borderId="1" xfId="3" applyNumberFormat="1" applyFont="1" applyFill="1" applyBorder="1" applyAlignment="1">
      <alignment horizontal="left" vertical="center"/>
    </xf>
    <xf numFmtId="2" fontId="17" fillId="8" borderId="1" xfId="3" applyNumberFormat="1" applyFont="1" applyFill="1" applyBorder="1" applyAlignment="1">
      <alignment horizontal="center" vertical="center"/>
    </xf>
    <xf numFmtId="165" fontId="17" fillId="8" borderId="1" xfId="3" applyNumberFormat="1" applyFont="1" applyFill="1" applyBorder="1" applyAlignment="1">
      <alignment horizontal="center" vertical="center"/>
    </xf>
    <xf numFmtId="49" fontId="37" fillId="8" borderId="1" xfId="4" applyNumberFormat="1" applyFont="1" applyFill="1" applyBorder="1" applyAlignment="1">
      <alignment horizontal="center" vertical="center"/>
    </xf>
    <xf numFmtId="0" fontId="5" fillId="8" borderId="1" xfId="19" applyNumberFormat="1" applyFill="1" applyBorder="1" applyAlignment="1">
      <alignment horizontal="left" vertical="center"/>
    </xf>
    <xf numFmtId="0" fontId="0" fillId="11" borderId="0" xfId="0" applyFill="1"/>
    <xf numFmtId="168" fontId="38" fillId="12" borderId="21" xfId="0" applyNumberFormat="1" applyFont="1" applyFill="1" applyBorder="1" applyAlignment="1">
      <alignment horizontal="left" vertical="center"/>
    </xf>
    <xf numFmtId="0" fontId="17" fillId="11" borderId="2" xfId="3" applyFont="1" applyFill="1" applyBorder="1" applyAlignment="1">
      <alignment horizontal="left" vertical="center"/>
    </xf>
    <xf numFmtId="0" fontId="17" fillId="11" borderId="2" xfId="3" applyFont="1" applyFill="1" applyBorder="1" applyAlignment="1">
      <alignment horizontal="center" vertical="center"/>
    </xf>
    <xf numFmtId="0" fontId="17" fillId="11" borderId="1" xfId="3" applyFont="1" applyFill="1" applyBorder="1" applyAlignment="1">
      <alignment horizontal="left" vertical="center"/>
    </xf>
    <xf numFmtId="0" fontId="17" fillId="11" borderId="1" xfId="3" applyFont="1" applyFill="1" applyBorder="1" applyAlignment="1">
      <alignment horizontal="center" vertical="center"/>
    </xf>
    <xf numFmtId="14" fontId="17" fillId="11" borderId="1" xfId="3" applyNumberFormat="1" applyFont="1" applyFill="1" applyBorder="1" applyAlignment="1">
      <alignment horizontal="center" vertical="center"/>
    </xf>
    <xf numFmtId="1" fontId="17" fillId="11" borderId="1" xfId="3" applyNumberFormat="1" applyFont="1" applyFill="1" applyBorder="1" applyAlignment="1">
      <alignment horizontal="left" vertical="center"/>
    </xf>
    <xf numFmtId="49" fontId="17" fillId="11" borderId="1" xfId="3" applyNumberFormat="1" applyFont="1" applyFill="1" applyBorder="1" applyAlignment="1">
      <alignment horizontal="left" vertical="center"/>
    </xf>
    <xf numFmtId="2" fontId="17" fillId="11" borderId="1" xfId="3" applyNumberFormat="1" applyFont="1" applyFill="1" applyBorder="1" applyAlignment="1">
      <alignment horizontal="center" vertical="center"/>
    </xf>
    <xf numFmtId="165" fontId="17" fillId="11" borderId="1" xfId="3" applyNumberFormat="1" applyFont="1" applyFill="1" applyBorder="1" applyAlignment="1">
      <alignment horizontal="center" vertical="center"/>
    </xf>
    <xf numFmtId="49" fontId="37" fillId="11" borderId="1" xfId="4" applyNumberFormat="1" applyFont="1" applyFill="1" applyBorder="1" applyAlignment="1">
      <alignment horizontal="center" vertical="center"/>
    </xf>
    <xf numFmtId="0" fontId="5" fillId="11" borderId="1" xfId="19" applyNumberFormat="1" applyFill="1" applyBorder="1" applyAlignment="1">
      <alignment horizontal="left" vertical="center"/>
    </xf>
  </cellXfs>
  <cellStyles count="22">
    <cellStyle name="Hipervínculo" xfId="19" builtinId="8"/>
    <cellStyle name="Hipervínculo 2 5" xfId="13" xr:uid="{00000000-0005-0000-0000-000001000000}"/>
    <cellStyle name="Hipervínculo 6" xfId="4" xr:uid="{00000000-0005-0000-0000-000002000000}"/>
    <cellStyle name="Millares 10 15 9" xfId="12" xr:uid="{00000000-0005-0000-0000-000003000000}"/>
    <cellStyle name="Millares 10 19 37" xfId="15" xr:uid="{00000000-0005-0000-0000-000004000000}"/>
    <cellStyle name="Millares 39 2" xfId="11" xr:uid="{00000000-0005-0000-0000-000005000000}"/>
    <cellStyle name="Normal" xfId="0" builtinId="0"/>
    <cellStyle name="Normal 10 2" xfId="9" xr:uid="{00000000-0005-0000-0000-000007000000}"/>
    <cellStyle name="Normal 104" xfId="7" xr:uid="{00000000-0005-0000-0000-000008000000}"/>
    <cellStyle name="Normal 104 5" xfId="21" xr:uid="{00000000-0005-0000-0000-000009000000}"/>
    <cellStyle name="Normal 18" xfId="5" xr:uid="{00000000-0005-0000-0000-00000A000000}"/>
    <cellStyle name="Normal 2" xfId="17" xr:uid="{00000000-0005-0000-0000-00000B000000}"/>
    <cellStyle name="Normal 2 2 2" xfId="20" xr:uid="{00000000-0005-0000-0000-00000C000000}"/>
    <cellStyle name="Normal 2 2 2 2" xfId="16" xr:uid="{00000000-0005-0000-0000-00000D000000}"/>
    <cellStyle name="Normal 27" xfId="3" xr:uid="{00000000-0005-0000-0000-00000E000000}"/>
    <cellStyle name="Normal 30" xfId="18" xr:uid="{00000000-0005-0000-0000-00000F000000}"/>
    <cellStyle name="Normal 34 5 8" xfId="8" xr:uid="{00000000-0005-0000-0000-000010000000}"/>
    <cellStyle name="Normal 34 5 8 2 2" xfId="10" xr:uid="{00000000-0005-0000-0000-000011000000}"/>
    <cellStyle name="Normal 34 5 8 4 2" xfId="14" xr:uid="{00000000-0005-0000-0000-000012000000}"/>
    <cellStyle name="Normal 34 5 8 5" xfId="1" xr:uid="{00000000-0005-0000-0000-000013000000}"/>
    <cellStyle name="Normal 38 4 7" xfId="6" xr:uid="{00000000-0005-0000-0000-000014000000}"/>
    <cellStyle name="Normal 4 2" xfId="2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133350</xdr:rowOff>
    </xdr:from>
    <xdr:to>
      <xdr:col>1</xdr:col>
      <xdr:colOff>628650</xdr:colOff>
      <xdr:row>3</xdr:row>
      <xdr:rowOff>168384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F0B9567C-F8BB-4DD5-A55A-73D7494BB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38471475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230443</xdr:colOff>
      <xdr:row>1</xdr:row>
      <xdr:rowOff>69134</xdr:rowOff>
    </xdr:from>
    <xdr:to>
      <xdr:col>1</xdr:col>
      <xdr:colOff>780861</xdr:colOff>
      <xdr:row>3</xdr:row>
      <xdr:rowOff>71754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540AE8-65E7-404E-9748-E3C6E8F8153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3843" y="3041201609"/>
          <a:ext cx="550418" cy="3836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57150</xdr:rowOff>
    </xdr:from>
    <xdr:to>
      <xdr:col>1</xdr:col>
      <xdr:colOff>666750</xdr:colOff>
      <xdr:row>3</xdr:row>
      <xdr:rowOff>92184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3CB4DED9-BD78-4DFB-B071-EA16D19A6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715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76200</xdr:rowOff>
    </xdr:from>
    <xdr:to>
      <xdr:col>1</xdr:col>
      <xdr:colOff>676275</xdr:colOff>
      <xdr:row>4</xdr:row>
      <xdr:rowOff>111234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DFEDF2DF-B860-4873-B623-C928EA1C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48640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121242</xdr:colOff>
      <xdr:row>2</xdr:row>
      <xdr:rowOff>114301</xdr:rowOff>
    </xdr:from>
    <xdr:to>
      <xdr:col>1</xdr:col>
      <xdr:colOff>654642</xdr:colOff>
      <xdr:row>4</xdr:row>
      <xdr:rowOff>156277</xdr:rowOff>
    </xdr:to>
    <xdr:pic>
      <xdr:nvPicPr>
        <xdr:cNvPr id="3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4B793AFA-A79F-48DA-8F38-BEC74D92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242" y="495301"/>
          <a:ext cx="533400" cy="42297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.landy@hotmail.com" TargetMode="External"/><Relationship Id="rId13" Type="http://schemas.openxmlformats.org/officeDocument/2006/relationships/hyperlink" Target="mailto:taly-cg@hotmail.com" TargetMode="External"/><Relationship Id="rId18" Type="http://schemas.openxmlformats.org/officeDocument/2006/relationships/hyperlink" Target="mailto:jorge.alvarado1992@hotmail.com" TargetMode="External"/><Relationship Id="rId26" Type="http://schemas.openxmlformats.org/officeDocument/2006/relationships/hyperlink" Target="mailto:jorgeguillermod@hotmail.com" TargetMode="External"/><Relationship Id="rId3" Type="http://schemas.openxmlformats.org/officeDocument/2006/relationships/hyperlink" Target="mailto:panchog1980@hotmail.com" TargetMode="External"/><Relationship Id="rId21" Type="http://schemas.openxmlformats.org/officeDocument/2006/relationships/hyperlink" Target="mailto:jossmerchan@hotmail.com" TargetMode="External"/><Relationship Id="rId7" Type="http://schemas.openxmlformats.org/officeDocument/2006/relationships/hyperlink" Target="mailto:a.landy@hotmail.com" TargetMode="External"/><Relationship Id="rId12" Type="http://schemas.openxmlformats.org/officeDocument/2006/relationships/hyperlink" Target="mailto:taly-cg@hotmail.com" TargetMode="External"/><Relationship Id="rId17" Type="http://schemas.openxmlformats.org/officeDocument/2006/relationships/hyperlink" Target="mailto:jorge.alvarado1992@hotmail.com" TargetMode="External"/><Relationship Id="rId25" Type="http://schemas.openxmlformats.org/officeDocument/2006/relationships/hyperlink" Target="mailto:jorgeguillermod@hotmail.com" TargetMode="External"/><Relationship Id="rId2" Type="http://schemas.openxmlformats.org/officeDocument/2006/relationships/hyperlink" Target="mailto:schulman.alexis@gmail.com" TargetMode="External"/><Relationship Id="rId16" Type="http://schemas.openxmlformats.org/officeDocument/2006/relationships/hyperlink" Target="mailto:jorge.alvarado1992@hotmail.com" TargetMode="External"/><Relationship Id="rId20" Type="http://schemas.openxmlformats.org/officeDocument/2006/relationships/hyperlink" Target="mailto:jossmerchan@hotmail.com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mailto:schulman.alexis@gmail.com" TargetMode="External"/><Relationship Id="rId6" Type="http://schemas.openxmlformats.org/officeDocument/2006/relationships/hyperlink" Target="mailto:panchog1980@hotmail.com" TargetMode="External"/><Relationship Id="rId11" Type="http://schemas.openxmlformats.org/officeDocument/2006/relationships/hyperlink" Target="mailto:hartman.pineda@gmail.com" TargetMode="External"/><Relationship Id="rId24" Type="http://schemas.openxmlformats.org/officeDocument/2006/relationships/hyperlink" Target="mailto:patriciom.nieves80@gmail.com" TargetMode="External"/><Relationship Id="rId5" Type="http://schemas.openxmlformats.org/officeDocument/2006/relationships/hyperlink" Target="mailto:panchog1980@hotmail.com" TargetMode="External"/><Relationship Id="rId15" Type="http://schemas.openxmlformats.org/officeDocument/2006/relationships/hyperlink" Target="mailto:biachi2309@hotmail.com" TargetMode="External"/><Relationship Id="rId23" Type="http://schemas.openxmlformats.org/officeDocument/2006/relationships/hyperlink" Target="mailto:patriciom.nieves80@gmail.com" TargetMode="External"/><Relationship Id="rId28" Type="http://schemas.openxmlformats.org/officeDocument/2006/relationships/hyperlink" Target="mailto:marianaszabadiccs@gmail.com" TargetMode="External"/><Relationship Id="rId10" Type="http://schemas.openxmlformats.org/officeDocument/2006/relationships/hyperlink" Target="mailto:hartman.pineda@gmail.com" TargetMode="External"/><Relationship Id="rId19" Type="http://schemas.openxmlformats.org/officeDocument/2006/relationships/hyperlink" Target="mailto:jossmerchan@hotmail.com" TargetMode="External"/><Relationship Id="rId4" Type="http://schemas.openxmlformats.org/officeDocument/2006/relationships/hyperlink" Target="mailto:panchog1980@hotmail.com" TargetMode="External"/><Relationship Id="rId9" Type="http://schemas.openxmlformats.org/officeDocument/2006/relationships/hyperlink" Target="mailto:a.landy@hotmail.com" TargetMode="External"/><Relationship Id="rId14" Type="http://schemas.openxmlformats.org/officeDocument/2006/relationships/hyperlink" Target="mailto:biachi2309@hotmail.com" TargetMode="External"/><Relationship Id="rId22" Type="http://schemas.openxmlformats.org/officeDocument/2006/relationships/hyperlink" Target="mailto:jossmerchan@hotmail.com" TargetMode="External"/><Relationship Id="rId27" Type="http://schemas.openxmlformats.org/officeDocument/2006/relationships/hyperlink" Target="mailto:marianaszabadiccs@gmail.com" TargetMode="External"/><Relationship Id="rId30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mailto:alextapia12@hotmail.com" TargetMode="External"/><Relationship Id="rId7" Type="http://schemas.openxmlformats.org/officeDocument/2006/relationships/hyperlink" Target="mailto:jeniffervaldiviezo@gmail.com" TargetMode="External"/><Relationship Id="rId2" Type="http://schemas.openxmlformats.org/officeDocument/2006/relationships/hyperlink" Target="mailto:mguayasamin56@hotmail.com" TargetMode="External"/><Relationship Id="rId1" Type="http://schemas.openxmlformats.org/officeDocument/2006/relationships/hyperlink" Target="mailto:juanisebastian2006@gmail.com" TargetMode="External"/><Relationship Id="rId6" Type="http://schemas.openxmlformats.org/officeDocument/2006/relationships/hyperlink" Target="mailto:klevervamega@hotmail.com" TargetMode="External"/><Relationship Id="rId5" Type="http://schemas.openxmlformats.org/officeDocument/2006/relationships/hyperlink" Target="mailto:obepulape@hotmail.com" TargetMode="External"/><Relationship Id="rId4" Type="http://schemas.openxmlformats.org/officeDocument/2006/relationships/hyperlink" Target="mailto:gamolinaa@hotmail.com" TargetMode="External"/><Relationship Id="rId9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arlosd123123123@gmail.com" TargetMode="External"/><Relationship Id="rId2" Type="http://schemas.openxmlformats.org/officeDocument/2006/relationships/hyperlink" Target="mailto:jaxstory@gmail.com" TargetMode="External"/><Relationship Id="rId1" Type="http://schemas.openxmlformats.org/officeDocument/2006/relationships/hyperlink" Target="mailto:palaciosmorenod@yahoo.com" TargetMode="External"/><Relationship Id="rId5" Type="http://schemas.openxmlformats.org/officeDocument/2006/relationships/drawing" Target="../drawings/drawing3.xml"/><Relationship Id="rId4" Type="http://schemas.openxmlformats.org/officeDocument/2006/relationships/hyperlink" Target="mailto:comlupazmino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ventas@comercialsolis.com.ec" TargetMode="External"/><Relationship Id="rId2" Type="http://schemas.openxmlformats.org/officeDocument/2006/relationships/hyperlink" Target="mailto:ventas@comercialsolis.com.ec" TargetMode="External"/><Relationship Id="rId1" Type="http://schemas.openxmlformats.org/officeDocument/2006/relationships/hyperlink" Target="mailto:ventas@comercialsolis.com.ec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jorgesanchezvanegas@mail.com" TargetMode="External"/><Relationship Id="rId13" Type="http://schemas.openxmlformats.org/officeDocument/2006/relationships/hyperlink" Target="mailto:orellana.102@outlook.com" TargetMode="External"/><Relationship Id="rId3" Type="http://schemas.openxmlformats.org/officeDocument/2006/relationships/hyperlink" Target="mailto:manuelnaranjobermeo1958@gmail.com" TargetMode="External"/><Relationship Id="rId7" Type="http://schemas.openxmlformats.org/officeDocument/2006/relationships/hyperlink" Target="mailto:anivalalvear@hotmail.com" TargetMode="External"/><Relationship Id="rId12" Type="http://schemas.openxmlformats.org/officeDocument/2006/relationships/hyperlink" Target="mailto:p.solis@hotmail.com" TargetMode="External"/><Relationship Id="rId17" Type="http://schemas.openxmlformats.org/officeDocument/2006/relationships/printerSettings" Target="../printerSettings/printerSettings3.bin"/><Relationship Id="rId2" Type="http://schemas.openxmlformats.org/officeDocument/2006/relationships/hyperlink" Target="mailto:gustavoecordero@gmail.com" TargetMode="External"/><Relationship Id="rId16" Type="http://schemas.openxmlformats.org/officeDocument/2006/relationships/hyperlink" Target="mailto:mary52189@gmail.com" TargetMode="External"/><Relationship Id="rId1" Type="http://schemas.openxmlformats.org/officeDocument/2006/relationships/hyperlink" Target="mailto:pilarcrespo69@hotmail.com" TargetMode="External"/><Relationship Id="rId6" Type="http://schemas.openxmlformats.org/officeDocument/2006/relationships/hyperlink" Target="mailto:efrenvelez1967@hotmail.com" TargetMode="External"/><Relationship Id="rId11" Type="http://schemas.openxmlformats.org/officeDocument/2006/relationships/hyperlink" Target="mailto:augustasalamea@gmail.com" TargetMode="External"/><Relationship Id="rId5" Type="http://schemas.openxmlformats.org/officeDocument/2006/relationships/hyperlink" Target="mailto:naneycolla1962@gmail.com" TargetMode="External"/><Relationship Id="rId15" Type="http://schemas.openxmlformats.org/officeDocument/2006/relationships/hyperlink" Target="mailto:jjuca1964@hotmail.com" TargetMode="External"/><Relationship Id="rId10" Type="http://schemas.openxmlformats.org/officeDocument/2006/relationships/hyperlink" Target="mailto:rosacordova@hotmail.com" TargetMode="External"/><Relationship Id="rId4" Type="http://schemas.openxmlformats.org/officeDocument/2006/relationships/hyperlink" Target="mailto:andresfv@gmail.com" TargetMode="External"/><Relationship Id="rId9" Type="http://schemas.openxmlformats.org/officeDocument/2006/relationships/hyperlink" Target="mailto:deaustral3@gmail.com" TargetMode="External"/><Relationship Id="rId14" Type="http://schemas.openxmlformats.org/officeDocument/2006/relationships/hyperlink" Target="mailto:efrenvelez1967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40"/>
  <sheetViews>
    <sheetView tabSelected="1" topLeftCell="A3" zoomScaleNormal="100" workbookViewId="0">
      <selection activeCell="O14" sqref="O14:U14"/>
    </sheetView>
  </sheetViews>
  <sheetFormatPr baseColWidth="10" defaultRowHeight="15"/>
  <cols>
    <col min="1" max="1" width="3.33203125" customWidth="1"/>
    <col min="2" max="2" width="15.1640625" customWidth="1"/>
    <col min="3" max="3" width="19.6640625" customWidth="1"/>
    <col min="4" max="4" width="21.33203125" customWidth="1"/>
    <col min="5" max="5" width="18" customWidth="1"/>
    <col min="6" max="6" width="57" customWidth="1"/>
    <col min="7" max="7" width="23.33203125" bestFit="1" customWidth="1"/>
    <col min="8" max="8" width="8.5" customWidth="1"/>
    <col min="9" max="9" width="14.6640625" customWidth="1"/>
    <col min="10" max="10" width="17.33203125" customWidth="1"/>
    <col min="11" max="11" width="14.5" customWidth="1"/>
    <col min="12" max="12" width="28.5" customWidth="1"/>
    <col min="13" max="13" width="38.5" customWidth="1"/>
    <col min="14" max="14" width="26.83203125" customWidth="1"/>
    <col min="15" max="15" width="11.1640625" customWidth="1"/>
    <col min="16" max="16" width="28.83203125" customWidth="1"/>
    <col min="17" max="17" width="18.33203125" customWidth="1"/>
    <col min="18" max="18" width="7.1640625" customWidth="1"/>
    <col min="19" max="19" width="20.5" customWidth="1"/>
    <col min="20" max="20" width="16.6640625" customWidth="1"/>
    <col min="21" max="21" width="29.5" customWidth="1"/>
  </cols>
  <sheetData>
    <row r="3" spans="1:21">
      <c r="A3" s="1"/>
      <c r="C3" s="2" t="s">
        <v>0</v>
      </c>
      <c r="E3" s="3"/>
      <c r="G3" s="4"/>
      <c r="H3" s="5"/>
      <c r="I3" s="6"/>
      <c r="J3" s="7"/>
      <c r="K3" s="5"/>
      <c r="L3" s="8"/>
      <c r="M3" s="8"/>
      <c r="N3" s="5"/>
      <c r="O3" s="9"/>
    </row>
    <row r="4" spans="1:21" ht="16">
      <c r="A4" s="1"/>
      <c r="C4" s="10" t="s">
        <v>1</v>
      </c>
      <c r="E4" s="5"/>
      <c r="G4" s="11"/>
      <c r="H4" s="12"/>
      <c r="I4" s="13"/>
      <c r="J4" s="14" t="s">
        <v>22</v>
      </c>
      <c r="K4" s="12"/>
      <c r="L4" s="15"/>
      <c r="M4" s="16"/>
      <c r="N4" s="5" t="s">
        <v>460</v>
      </c>
      <c r="O4" s="9"/>
      <c r="P4" s="17"/>
    </row>
    <row r="5" spans="1:21" s="23" customFormat="1" ht="45">
      <c r="A5" s="18"/>
      <c r="B5" s="19" t="s">
        <v>2</v>
      </c>
      <c r="C5" s="19" t="s">
        <v>3</v>
      </c>
      <c r="D5" s="19" t="s">
        <v>4</v>
      </c>
      <c r="E5" s="19" t="s">
        <v>5</v>
      </c>
      <c r="F5" s="20" t="s">
        <v>6</v>
      </c>
      <c r="G5" s="19" t="s">
        <v>7</v>
      </c>
      <c r="H5" s="19" t="s">
        <v>8</v>
      </c>
      <c r="I5" s="19" t="s">
        <v>9</v>
      </c>
      <c r="J5" s="19" t="s">
        <v>10</v>
      </c>
      <c r="K5" s="19" t="s">
        <v>11</v>
      </c>
      <c r="L5" s="21" t="s">
        <v>12</v>
      </c>
      <c r="M5" s="21" t="s">
        <v>13</v>
      </c>
      <c r="N5" s="19" t="s">
        <v>14</v>
      </c>
      <c r="O5" s="22" t="s">
        <v>15</v>
      </c>
      <c r="P5" s="19" t="s">
        <v>16</v>
      </c>
      <c r="Q5" s="19" t="s">
        <v>17</v>
      </c>
      <c r="R5" s="19" t="s">
        <v>18</v>
      </c>
      <c r="S5" s="19" t="s">
        <v>19</v>
      </c>
      <c r="T5" s="19" t="s">
        <v>20</v>
      </c>
      <c r="U5" s="19" t="s">
        <v>21</v>
      </c>
    </row>
    <row r="6" spans="1:21" ht="31" customHeight="1">
      <c r="A6">
        <v>1</v>
      </c>
      <c r="B6" s="153">
        <v>45378</v>
      </c>
      <c r="C6" s="152" t="s">
        <v>121</v>
      </c>
      <c r="D6" s="152" t="s">
        <v>122</v>
      </c>
      <c r="E6" s="149">
        <v>40584305</v>
      </c>
      <c r="F6" s="220" t="s">
        <v>123</v>
      </c>
      <c r="G6" s="220" t="s">
        <v>124</v>
      </c>
      <c r="H6" s="217" t="s">
        <v>41</v>
      </c>
      <c r="I6" s="217" t="s">
        <v>73</v>
      </c>
      <c r="J6" s="217" t="s">
        <v>74</v>
      </c>
      <c r="K6" s="221">
        <v>45660</v>
      </c>
      <c r="L6" s="222" t="s">
        <v>125</v>
      </c>
      <c r="M6" s="222" t="s">
        <v>126</v>
      </c>
      <c r="N6" s="223" t="s">
        <v>127</v>
      </c>
      <c r="O6" s="224">
        <v>15</v>
      </c>
      <c r="P6" s="217" t="s">
        <v>80</v>
      </c>
      <c r="Q6" s="217" t="s">
        <v>75</v>
      </c>
      <c r="R6" s="225"/>
      <c r="S6" s="220" t="str">
        <f>D6</f>
        <v>001-501-000001305</v>
      </c>
      <c r="T6" s="226" t="s">
        <v>128</v>
      </c>
      <c r="U6" s="227" t="s">
        <v>129</v>
      </c>
    </row>
    <row r="7" spans="1:21" ht="31" customHeight="1">
      <c r="A7">
        <v>2</v>
      </c>
      <c r="B7" s="153">
        <v>45378</v>
      </c>
      <c r="C7" s="152" t="s">
        <v>121</v>
      </c>
      <c r="D7" s="152" t="s">
        <v>122</v>
      </c>
      <c r="E7" s="149">
        <v>111000051</v>
      </c>
      <c r="F7" s="220" t="s">
        <v>130</v>
      </c>
      <c r="G7" s="220" t="s">
        <v>133</v>
      </c>
      <c r="H7" s="217" t="s">
        <v>41</v>
      </c>
      <c r="I7" s="217" t="s">
        <v>73</v>
      </c>
      <c r="J7" s="217" t="s">
        <v>74</v>
      </c>
      <c r="K7" s="221">
        <v>45660</v>
      </c>
      <c r="L7" s="222" t="s">
        <v>125</v>
      </c>
      <c r="M7" s="222" t="s">
        <v>126</v>
      </c>
      <c r="N7" s="223" t="s">
        <v>127</v>
      </c>
      <c r="O7" s="224">
        <v>15</v>
      </c>
      <c r="P7" s="217" t="s">
        <v>80</v>
      </c>
      <c r="Q7" s="217" t="s">
        <v>75</v>
      </c>
      <c r="R7" s="225"/>
      <c r="S7" s="220" t="str">
        <f t="shared" ref="S7:S30" si="0">D7</f>
        <v>001-501-000001305</v>
      </c>
      <c r="T7" s="226" t="s">
        <v>128</v>
      </c>
      <c r="U7" s="227" t="s">
        <v>129</v>
      </c>
    </row>
    <row r="8" spans="1:21" ht="31" customHeight="1">
      <c r="A8">
        <v>3</v>
      </c>
      <c r="B8" s="153">
        <v>45378</v>
      </c>
      <c r="C8" s="152" t="s">
        <v>121</v>
      </c>
      <c r="D8" s="152" t="s">
        <v>122</v>
      </c>
      <c r="E8" s="149">
        <v>112570068</v>
      </c>
      <c r="F8" s="220" t="s">
        <v>131</v>
      </c>
      <c r="G8" s="220" t="s">
        <v>134</v>
      </c>
      <c r="H8" s="217" t="s">
        <v>41</v>
      </c>
      <c r="I8" s="217" t="s">
        <v>73</v>
      </c>
      <c r="J8" s="217" t="s">
        <v>74</v>
      </c>
      <c r="K8" s="221">
        <v>45660</v>
      </c>
      <c r="L8" s="222" t="s">
        <v>125</v>
      </c>
      <c r="M8" s="222" t="s">
        <v>126</v>
      </c>
      <c r="N8" s="223" t="s">
        <v>127</v>
      </c>
      <c r="O8" s="224">
        <v>15</v>
      </c>
      <c r="P8" s="217" t="s">
        <v>80</v>
      </c>
      <c r="Q8" s="217" t="s">
        <v>75</v>
      </c>
      <c r="R8" s="225"/>
      <c r="S8" s="220" t="str">
        <f t="shared" si="0"/>
        <v>001-501-000001305</v>
      </c>
      <c r="T8" s="226" t="s">
        <v>128</v>
      </c>
      <c r="U8" s="227" t="s">
        <v>129</v>
      </c>
    </row>
    <row r="9" spans="1:21" ht="31" customHeight="1">
      <c r="A9">
        <v>4</v>
      </c>
      <c r="B9" s="153">
        <v>45378</v>
      </c>
      <c r="C9" s="152" t="s">
        <v>121</v>
      </c>
      <c r="D9" s="152" t="s">
        <v>122</v>
      </c>
      <c r="E9" s="149">
        <v>40480321</v>
      </c>
      <c r="F9" s="220" t="s">
        <v>132</v>
      </c>
      <c r="G9" s="220" t="s">
        <v>135</v>
      </c>
      <c r="H9" s="217" t="s">
        <v>41</v>
      </c>
      <c r="I9" s="217" t="s">
        <v>73</v>
      </c>
      <c r="J9" s="217" t="s">
        <v>74</v>
      </c>
      <c r="K9" s="221">
        <v>45660</v>
      </c>
      <c r="L9" s="222" t="s">
        <v>125</v>
      </c>
      <c r="M9" s="222" t="s">
        <v>126</v>
      </c>
      <c r="N9" s="223" t="s">
        <v>127</v>
      </c>
      <c r="O9" s="224">
        <v>15</v>
      </c>
      <c r="P9" s="217" t="s">
        <v>80</v>
      </c>
      <c r="Q9" s="217" t="s">
        <v>75</v>
      </c>
      <c r="R9" s="225"/>
      <c r="S9" s="220" t="str">
        <f t="shared" si="0"/>
        <v>001-501-000001305</v>
      </c>
      <c r="T9" s="226" t="s">
        <v>128</v>
      </c>
      <c r="U9" s="227" t="s">
        <v>129</v>
      </c>
    </row>
    <row r="10" spans="1:21" ht="31" customHeight="1">
      <c r="A10">
        <v>5</v>
      </c>
      <c r="B10" s="153">
        <v>45614</v>
      </c>
      <c r="C10" s="152" t="s">
        <v>96</v>
      </c>
      <c r="D10" s="152" t="s">
        <v>111</v>
      </c>
      <c r="E10" s="149">
        <v>112520025</v>
      </c>
      <c r="F10" s="220" t="s">
        <v>112</v>
      </c>
      <c r="G10" s="220" t="s">
        <v>113</v>
      </c>
      <c r="H10" s="217" t="s">
        <v>41</v>
      </c>
      <c r="I10" s="217" t="s">
        <v>73</v>
      </c>
      <c r="J10" s="217" t="s">
        <v>74</v>
      </c>
      <c r="K10" s="221">
        <v>45664</v>
      </c>
      <c r="L10" s="222" t="s">
        <v>114</v>
      </c>
      <c r="M10" s="222" t="s">
        <v>115</v>
      </c>
      <c r="N10" s="223" t="s">
        <v>116</v>
      </c>
      <c r="O10" s="224">
        <v>20</v>
      </c>
      <c r="P10" s="217" t="s">
        <v>80</v>
      </c>
      <c r="Q10" s="217" t="s">
        <v>75</v>
      </c>
      <c r="R10" s="225"/>
      <c r="S10" s="220" t="str">
        <f>D10</f>
        <v>001-001-000000277</v>
      </c>
      <c r="T10" s="226" t="s">
        <v>117</v>
      </c>
      <c r="U10" s="227" t="s">
        <v>118</v>
      </c>
    </row>
    <row r="11" spans="1:21" ht="31" customHeight="1">
      <c r="A11">
        <v>6</v>
      </c>
      <c r="B11" s="153">
        <v>45614</v>
      </c>
      <c r="C11" s="152" t="s">
        <v>96</v>
      </c>
      <c r="D11" s="152" t="s">
        <v>136</v>
      </c>
      <c r="E11" s="149">
        <v>111020071</v>
      </c>
      <c r="F11" s="220" t="s">
        <v>119</v>
      </c>
      <c r="G11" s="220" t="s">
        <v>120</v>
      </c>
      <c r="H11" s="217" t="s">
        <v>41</v>
      </c>
      <c r="I11" s="217" t="s">
        <v>73</v>
      </c>
      <c r="J11" s="217" t="s">
        <v>74</v>
      </c>
      <c r="K11" s="221">
        <v>45664</v>
      </c>
      <c r="L11" s="222" t="s">
        <v>114</v>
      </c>
      <c r="M11" s="222" t="s">
        <v>115</v>
      </c>
      <c r="N11" s="223" t="s">
        <v>116</v>
      </c>
      <c r="O11" s="224">
        <v>20</v>
      </c>
      <c r="P11" s="217" t="s">
        <v>80</v>
      </c>
      <c r="Q11" s="217" t="s">
        <v>75</v>
      </c>
      <c r="R11" s="225"/>
      <c r="S11" s="220" t="str">
        <f t="shared" ref="S11" si="1">D11</f>
        <v>001-001-000000275</v>
      </c>
      <c r="T11" s="226" t="s">
        <v>117</v>
      </c>
      <c r="U11" s="227" t="s">
        <v>118</v>
      </c>
    </row>
    <row r="12" spans="1:21" ht="31" customHeight="1">
      <c r="A12">
        <v>7</v>
      </c>
      <c r="B12" s="153">
        <v>45497</v>
      </c>
      <c r="C12" s="152" t="s">
        <v>211</v>
      </c>
      <c r="D12" s="152" t="s">
        <v>210</v>
      </c>
      <c r="E12" s="149">
        <v>41560166</v>
      </c>
      <c r="F12" s="220" t="s">
        <v>212</v>
      </c>
      <c r="G12" s="220" t="s">
        <v>213</v>
      </c>
      <c r="H12" s="217" t="s">
        <v>41</v>
      </c>
      <c r="I12" s="217" t="s">
        <v>73</v>
      </c>
      <c r="J12" s="217" t="s">
        <v>74</v>
      </c>
      <c r="K12" s="221">
        <v>45665</v>
      </c>
      <c r="L12" s="222" t="s">
        <v>214</v>
      </c>
      <c r="M12" s="222" t="s">
        <v>215</v>
      </c>
      <c r="N12" s="223" t="s">
        <v>216</v>
      </c>
      <c r="O12" s="224">
        <v>15</v>
      </c>
      <c r="P12" s="217" t="s">
        <v>80</v>
      </c>
      <c r="Q12" s="217" t="s">
        <v>75</v>
      </c>
      <c r="R12" s="225"/>
      <c r="S12" s="220" t="str">
        <f t="shared" si="0"/>
        <v>018-002-001151235</v>
      </c>
      <c r="T12" s="226" t="s">
        <v>217</v>
      </c>
      <c r="U12" s="227" t="s">
        <v>218</v>
      </c>
    </row>
    <row r="13" spans="1:21" ht="31" customHeight="1">
      <c r="A13">
        <v>8</v>
      </c>
      <c r="B13" s="153">
        <v>45862</v>
      </c>
      <c r="C13" s="152" t="s">
        <v>208</v>
      </c>
      <c r="D13" s="152" t="s">
        <v>209</v>
      </c>
      <c r="E13" s="149">
        <v>112570073</v>
      </c>
      <c r="F13" s="220" t="s">
        <v>219</v>
      </c>
      <c r="G13" s="220" t="s">
        <v>220</v>
      </c>
      <c r="H13" s="217" t="s">
        <v>41</v>
      </c>
      <c r="I13" s="217" t="s">
        <v>73</v>
      </c>
      <c r="J13" s="217" t="s">
        <v>74</v>
      </c>
      <c r="K13" s="221">
        <v>45665</v>
      </c>
      <c r="L13" s="222" t="s">
        <v>214</v>
      </c>
      <c r="M13" s="222" t="s">
        <v>215</v>
      </c>
      <c r="N13" s="223" t="s">
        <v>216</v>
      </c>
      <c r="O13" s="224">
        <v>15</v>
      </c>
      <c r="P13" s="217" t="s">
        <v>80</v>
      </c>
      <c r="Q13" s="217" t="s">
        <v>75</v>
      </c>
      <c r="R13" s="225"/>
      <c r="S13" s="220" t="str">
        <f t="shared" si="0"/>
        <v>040-103-000006778</v>
      </c>
      <c r="T13" s="226" t="s">
        <v>217</v>
      </c>
      <c r="U13" s="227" t="s">
        <v>218</v>
      </c>
    </row>
    <row r="14" spans="1:21" ht="31" customHeight="1">
      <c r="A14">
        <v>9</v>
      </c>
      <c r="B14" s="229">
        <v>45862</v>
      </c>
      <c r="C14" s="230" t="s">
        <v>208</v>
      </c>
      <c r="D14" s="230" t="s">
        <v>209</v>
      </c>
      <c r="E14" s="231">
        <v>113610005</v>
      </c>
      <c r="F14" s="232" t="s">
        <v>221</v>
      </c>
      <c r="G14" s="232" t="s">
        <v>222</v>
      </c>
      <c r="H14" s="233" t="s">
        <v>41</v>
      </c>
      <c r="I14" s="233" t="s">
        <v>73</v>
      </c>
      <c r="J14" s="233" t="s">
        <v>74</v>
      </c>
      <c r="K14" s="234">
        <v>45665</v>
      </c>
      <c r="L14" s="235" t="s">
        <v>214</v>
      </c>
      <c r="M14" s="235" t="s">
        <v>215</v>
      </c>
      <c r="N14" s="236" t="s">
        <v>216</v>
      </c>
      <c r="O14" s="237">
        <v>15</v>
      </c>
      <c r="P14" s="233" t="s">
        <v>80</v>
      </c>
      <c r="Q14" s="233" t="s">
        <v>75</v>
      </c>
      <c r="R14" s="238"/>
      <c r="S14" s="232" t="str">
        <f t="shared" si="0"/>
        <v>040-103-000006778</v>
      </c>
      <c r="T14" s="239" t="s">
        <v>217</v>
      </c>
      <c r="U14" s="240" t="s">
        <v>218</v>
      </c>
    </row>
    <row r="15" spans="1:21" ht="31" customHeight="1">
      <c r="A15">
        <v>10</v>
      </c>
      <c r="B15" s="153">
        <v>45667</v>
      </c>
      <c r="C15" s="152" t="s">
        <v>121</v>
      </c>
      <c r="D15" s="152" t="s">
        <v>289</v>
      </c>
      <c r="E15" s="149">
        <v>40466241</v>
      </c>
      <c r="F15" s="220" t="s">
        <v>235</v>
      </c>
      <c r="G15" s="220" t="s">
        <v>290</v>
      </c>
      <c r="H15" s="217" t="s">
        <v>41</v>
      </c>
      <c r="I15" s="217" t="s">
        <v>73</v>
      </c>
      <c r="J15" s="217" t="s">
        <v>74</v>
      </c>
      <c r="K15" s="221">
        <v>45671</v>
      </c>
      <c r="L15" s="222" t="s">
        <v>291</v>
      </c>
      <c r="M15" s="222" t="s">
        <v>292</v>
      </c>
      <c r="N15" s="223" t="s">
        <v>293</v>
      </c>
      <c r="O15" s="224">
        <v>20</v>
      </c>
      <c r="P15" s="217" t="s">
        <v>80</v>
      </c>
      <c r="Q15" s="217" t="s">
        <v>75</v>
      </c>
      <c r="R15" s="225"/>
      <c r="S15" s="220" t="str">
        <f t="shared" si="0"/>
        <v>001-500-000069974</v>
      </c>
      <c r="T15" s="226" t="s">
        <v>294</v>
      </c>
      <c r="U15" s="227" t="s">
        <v>295</v>
      </c>
    </row>
    <row r="16" spans="1:21" ht="31" customHeight="1">
      <c r="A16">
        <v>11</v>
      </c>
      <c r="B16" s="153">
        <v>45667</v>
      </c>
      <c r="C16" s="152" t="s">
        <v>121</v>
      </c>
      <c r="D16" s="152" t="s">
        <v>289</v>
      </c>
      <c r="E16" s="149">
        <v>40590835</v>
      </c>
      <c r="F16" s="220" t="s">
        <v>296</v>
      </c>
      <c r="G16" s="220" t="s">
        <v>297</v>
      </c>
      <c r="H16" s="217" t="s">
        <v>41</v>
      </c>
      <c r="I16" s="217" t="s">
        <v>73</v>
      </c>
      <c r="J16" s="217" t="s">
        <v>74</v>
      </c>
      <c r="K16" s="221">
        <v>45671</v>
      </c>
      <c r="L16" s="222" t="s">
        <v>291</v>
      </c>
      <c r="M16" s="222" t="s">
        <v>292</v>
      </c>
      <c r="N16" s="223" t="s">
        <v>293</v>
      </c>
      <c r="O16" s="224">
        <v>20</v>
      </c>
      <c r="P16" s="217" t="s">
        <v>80</v>
      </c>
      <c r="Q16" s="217" t="s">
        <v>75</v>
      </c>
      <c r="R16" s="225"/>
      <c r="S16" s="220" t="str">
        <f t="shared" si="0"/>
        <v>001-500-000069974</v>
      </c>
      <c r="T16" s="226" t="s">
        <v>294</v>
      </c>
      <c r="U16" s="227" t="s">
        <v>295</v>
      </c>
    </row>
    <row r="17" spans="1:21" ht="31" customHeight="1">
      <c r="A17">
        <v>12</v>
      </c>
      <c r="B17" s="153">
        <v>45615</v>
      </c>
      <c r="C17" s="152" t="s">
        <v>146</v>
      </c>
      <c r="D17" s="152" t="s">
        <v>336</v>
      </c>
      <c r="E17" s="149">
        <v>40466111</v>
      </c>
      <c r="F17" s="220" t="s">
        <v>273</v>
      </c>
      <c r="G17" s="220" t="s">
        <v>337</v>
      </c>
      <c r="H17" s="217" t="s">
        <v>41</v>
      </c>
      <c r="I17" s="217" t="s">
        <v>73</v>
      </c>
      <c r="J17" s="217" t="s">
        <v>74</v>
      </c>
      <c r="K17" s="221">
        <v>45672</v>
      </c>
      <c r="L17" s="222" t="s">
        <v>339</v>
      </c>
      <c r="M17" s="222" t="s">
        <v>340</v>
      </c>
      <c r="N17" s="223" t="s">
        <v>341</v>
      </c>
      <c r="O17" s="224">
        <v>20</v>
      </c>
      <c r="P17" s="217" t="s">
        <v>80</v>
      </c>
      <c r="Q17" s="217" t="s">
        <v>75</v>
      </c>
      <c r="R17" s="225"/>
      <c r="S17" s="220" t="str">
        <f t="shared" si="0"/>
        <v>043-908-000043358</v>
      </c>
      <c r="T17" s="226" t="s">
        <v>342</v>
      </c>
      <c r="U17" s="227" t="s">
        <v>343</v>
      </c>
    </row>
    <row r="18" spans="1:21" ht="31" customHeight="1">
      <c r="A18">
        <v>12</v>
      </c>
      <c r="B18" s="153">
        <v>45615</v>
      </c>
      <c r="C18" s="152" t="s">
        <v>146</v>
      </c>
      <c r="D18" s="152" t="s">
        <v>336</v>
      </c>
      <c r="E18" s="149">
        <v>111000051</v>
      </c>
      <c r="F18" s="220" t="s">
        <v>158</v>
      </c>
      <c r="G18" s="220" t="s">
        <v>338</v>
      </c>
      <c r="H18" s="217" t="s">
        <v>41</v>
      </c>
      <c r="I18" s="217" t="s">
        <v>73</v>
      </c>
      <c r="J18" s="217" t="s">
        <v>74</v>
      </c>
      <c r="K18" s="221">
        <v>45672</v>
      </c>
      <c r="L18" s="222" t="s">
        <v>339</v>
      </c>
      <c r="M18" s="222" t="s">
        <v>340</v>
      </c>
      <c r="N18" s="223" t="s">
        <v>341</v>
      </c>
      <c r="O18" s="224">
        <v>20</v>
      </c>
      <c r="P18" s="217" t="s">
        <v>80</v>
      </c>
      <c r="Q18" s="217" t="s">
        <v>75</v>
      </c>
      <c r="R18" s="225"/>
      <c r="S18" s="220" t="str">
        <f t="shared" ref="S18" si="2">D18</f>
        <v>043-908-000043358</v>
      </c>
      <c r="T18" s="226" t="s">
        <v>342</v>
      </c>
      <c r="U18" s="227" t="s">
        <v>343</v>
      </c>
    </row>
    <row r="19" spans="1:21" ht="31" customHeight="1">
      <c r="A19">
        <v>13</v>
      </c>
      <c r="B19" s="153">
        <v>45661</v>
      </c>
      <c r="C19" s="152" t="s">
        <v>211</v>
      </c>
      <c r="D19" s="207" t="s">
        <v>364</v>
      </c>
      <c r="E19" s="149">
        <v>112030019</v>
      </c>
      <c r="F19" s="220" t="s">
        <v>344</v>
      </c>
      <c r="G19" s="220" t="s">
        <v>346</v>
      </c>
      <c r="H19" s="217" t="s">
        <v>41</v>
      </c>
      <c r="I19" s="217" t="s">
        <v>73</v>
      </c>
      <c r="J19" s="217" t="s">
        <v>74</v>
      </c>
      <c r="K19" s="221">
        <v>45674</v>
      </c>
      <c r="L19" s="222" t="s">
        <v>348</v>
      </c>
      <c r="M19" s="222" t="s">
        <v>349</v>
      </c>
      <c r="N19" s="223" t="s">
        <v>350</v>
      </c>
      <c r="O19" s="224">
        <v>20</v>
      </c>
      <c r="P19" s="217" t="s">
        <v>80</v>
      </c>
      <c r="Q19" s="217" t="s">
        <v>75</v>
      </c>
      <c r="R19" s="225"/>
      <c r="S19" s="220" t="str">
        <f t="shared" si="0"/>
        <v>006-002-000157349</v>
      </c>
      <c r="T19" s="226" t="s">
        <v>351</v>
      </c>
      <c r="U19" s="227" t="s">
        <v>352</v>
      </c>
    </row>
    <row r="20" spans="1:21" ht="31" customHeight="1">
      <c r="A20">
        <v>14</v>
      </c>
      <c r="B20" s="153">
        <v>45661</v>
      </c>
      <c r="C20" s="152" t="s">
        <v>211</v>
      </c>
      <c r="D20" s="207" t="s">
        <v>364</v>
      </c>
      <c r="E20" s="149">
        <v>111000078</v>
      </c>
      <c r="F20" s="220" t="s">
        <v>345</v>
      </c>
      <c r="G20" s="220" t="s">
        <v>347</v>
      </c>
      <c r="H20" s="217" t="s">
        <v>41</v>
      </c>
      <c r="I20" s="217" t="s">
        <v>73</v>
      </c>
      <c r="J20" s="217" t="s">
        <v>74</v>
      </c>
      <c r="K20" s="221">
        <v>45674</v>
      </c>
      <c r="L20" s="222" t="s">
        <v>348</v>
      </c>
      <c r="M20" s="222" t="s">
        <v>349</v>
      </c>
      <c r="N20" s="223" t="s">
        <v>350</v>
      </c>
      <c r="O20" s="224">
        <v>20</v>
      </c>
      <c r="P20" s="217" t="s">
        <v>80</v>
      </c>
      <c r="Q20" s="217" t="s">
        <v>75</v>
      </c>
      <c r="R20" s="225"/>
      <c r="S20" s="220" t="str">
        <f t="shared" si="0"/>
        <v>006-002-000157349</v>
      </c>
      <c r="T20" s="226" t="s">
        <v>351</v>
      </c>
      <c r="U20" s="227" t="s">
        <v>352</v>
      </c>
    </row>
    <row r="21" spans="1:21" ht="31" customHeight="1">
      <c r="A21" s="149" t="s">
        <v>93</v>
      </c>
      <c r="B21" s="153">
        <v>45671</v>
      </c>
      <c r="C21" s="152" t="s">
        <v>146</v>
      </c>
      <c r="D21" s="152" t="s">
        <v>353</v>
      </c>
      <c r="E21" s="149">
        <v>40466111</v>
      </c>
      <c r="F21" s="220" t="s">
        <v>273</v>
      </c>
      <c r="G21" s="220" t="s">
        <v>354</v>
      </c>
      <c r="H21" s="217" t="s">
        <v>41</v>
      </c>
      <c r="I21" s="217" t="s">
        <v>73</v>
      </c>
      <c r="J21" s="217" t="s">
        <v>74</v>
      </c>
      <c r="K21" s="221">
        <v>45674</v>
      </c>
      <c r="L21" s="222" t="s">
        <v>359</v>
      </c>
      <c r="M21" s="222" t="s">
        <v>360</v>
      </c>
      <c r="N21" s="223" t="s">
        <v>361</v>
      </c>
      <c r="O21" s="224">
        <v>15</v>
      </c>
      <c r="P21" s="217" t="s">
        <v>80</v>
      </c>
      <c r="Q21" s="217" t="s">
        <v>75</v>
      </c>
      <c r="R21" s="225"/>
      <c r="S21" s="220" t="str">
        <f t="shared" si="0"/>
        <v>043-903-000053187</v>
      </c>
      <c r="T21" s="226" t="s">
        <v>362</v>
      </c>
      <c r="U21" s="227" t="s">
        <v>363</v>
      </c>
    </row>
    <row r="22" spans="1:21" ht="31" customHeight="1">
      <c r="A22">
        <v>15</v>
      </c>
      <c r="B22" s="153">
        <v>45671</v>
      </c>
      <c r="C22" s="152" t="s">
        <v>146</v>
      </c>
      <c r="D22" s="152" t="s">
        <v>353</v>
      </c>
      <c r="E22" s="149">
        <v>112580058</v>
      </c>
      <c r="F22" s="220" t="s">
        <v>355</v>
      </c>
      <c r="G22" s="220" t="s">
        <v>356</v>
      </c>
      <c r="H22" s="217" t="s">
        <v>41</v>
      </c>
      <c r="I22" s="217" t="s">
        <v>73</v>
      </c>
      <c r="J22" s="217" t="s">
        <v>74</v>
      </c>
      <c r="K22" s="221">
        <v>45674</v>
      </c>
      <c r="L22" s="222" t="s">
        <v>359</v>
      </c>
      <c r="M22" s="222" t="s">
        <v>360</v>
      </c>
      <c r="N22" s="223" t="s">
        <v>361</v>
      </c>
      <c r="O22" s="224">
        <v>15</v>
      </c>
      <c r="P22" s="217" t="s">
        <v>80</v>
      </c>
      <c r="Q22" s="217" t="s">
        <v>75</v>
      </c>
      <c r="R22" s="225"/>
      <c r="S22" s="220" t="str">
        <f t="shared" ref="S22:S23" si="3">D22</f>
        <v>043-903-000053187</v>
      </c>
      <c r="T22" s="226" t="s">
        <v>362</v>
      </c>
      <c r="U22" s="227" t="s">
        <v>363</v>
      </c>
    </row>
    <row r="23" spans="1:21" ht="31" customHeight="1">
      <c r="B23" s="153">
        <v>45671</v>
      </c>
      <c r="C23" s="152" t="s">
        <v>146</v>
      </c>
      <c r="D23" s="152" t="s">
        <v>353</v>
      </c>
      <c r="E23" s="149">
        <v>111030002</v>
      </c>
      <c r="F23" s="220" t="s">
        <v>357</v>
      </c>
      <c r="G23" s="220" t="s">
        <v>358</v>
      </c>
      <c r="H23" s="217" t="s">
        <v>41</v>
      </c>
      <c r="I23" s="217" t="s">
        <v>73</v>
      </c>
      <c r="J23" s="217" t="s">
        <v>74</v>
      </c>
      <c r="K23" s="221">
        <v>45674</v>
      </c>
      <c r="L23" s="222" t="s">
        <v>359</v>
      </c>
      <c r="M23" s="222" t="s">
        <v>360</v>
      </c>
      <c r="N23" s="223" t="s">
        <v>361</v>
      </c>
      <c r="O23" s="224">
        <v>15</v>
      </c>
      <c r="P23" s="217" t="s">
        <v>80</v>
      </c>
      <c r="Q23" s="217" t="s">
        <v>75</v>
      </c>
      <c r="R23" s="225"/>
      <c r="S23" s="220" t="str">
        <f t="shared" si="3"/>
        <v>043-903-000053187</v>
      </c>
      <c r="T23" s="226" t="s">
        <v>362</v>
      </c>
      <c r="U23" s="227" t="s">
        <v>363</v>
      </c>
    </row>
    <row r="24" spans="1:21" ht="31" customHeight="1">
      <c r="A24">
        <v>16</v>
      </c>
      <c r="B24" s="153">
        <v>45364</v>
      </c>
      <c r="C24" s="152" t="s">
        <v>96</v>
      </c>
      <c r="D24" s="152" t="s">
        <v>416</v>
      </c>
      <c r="E24" s="149">
        <v>112570123</v>
      </c>
      <c r="F24" s="220" t="s">
        <v>411</v>
      </c>
      <c r="G24" s="220" t="s">
        <v>412</v>
      </c>
      <c r="H24" s="217" t="s">
        <v>41</v>
      </c>
      <c r="I24" s="217" t="s">
        <v>73</v>
      </c>
      <c r="J24" s="217" t="s">
        <v>74</v>
      </c>
      <c r="K24" s="221">
        <v>45674</v>
      </c>
      <c r="L24" s="222" t="s">
        <v>413</v>
      </c>
      <c r="M24" s="222" t="s">
        <v>414</v>
      </c>
      <c r="N24" s="223" t="s">
        <v>415</v>
      </c>
      <c r="O24" s="224">
        <v>15</v>
      </c>
      <c r="P24" s="217" t="s">
        <v>80</v>
      </c>
      <c r="Q24" s="217" t="s">
        <v>75</v>
      </c>
      <c r="R24" s="225"/>
      <c r="S24" s="220" t="str">
        <f t="shared" si="0"/>
        <v>001-101-000003219</v>
      </c>
      <c r="T24" s="226" t="s">
        <v>417</v>
      </c>
      <c r="U24" s="227" t="s">
        <v>418</v>
      </c>
    </row>
    <row r="25" spans="1:21" ht="31" customHeight="1">
      <c r="B25" s="153">
        <v>45258</v>
      </c>
      <c r="C25" s="152" t="s">
        <v>96</v>
      </c>
      <c r="D25" s="152" t="s">
        <v>410</v>
      </c>
      <c r="E25" s="149">
        <v>40584202</v>
      </c>
      <c r="F25" s="220" t="s">
        <v>419</v>
      </c>
      <c r="G25" s="220" t="s">
        <v>421</v>
      </c>
      <c r="H25" s="217" t="s">
        <v>41</v>
      </c>
      <c r="I25" s="217" t="s">
        <v>73</v>
      </c>
      <c r="J25" s="217" t="s">
        <v>74</v>
      </c>
      <c r="K25" s="221">
        <v>45674</v>
      </c>
      <c r="L25" s="222" t="s">
        <v>413</v>
      </c>
      <c r="M25" s="222" t="s">
        <v>414</v>
      </c>
      <c r="N25" s="223" t="s">
        <v>415</v>
      </c>
      <c r="O25" s="224">
        <v>15</v>
      </c>
      <c r="P25" s="217" t="s">
        <v>80</v>
      </c>
      <c r="Q25" s="217" t="s">
        <v>75</v>
      </c>
      <c r="R25" s="225"/>
      <c r="S25" s="220" t="str">
        <f t="shared" si="0"/>
        <v>001-101-000002847</v>
      </c>
      <c r="T25" s="226" t="s">
        <v>417</v>
      </c>
      <c r="U25" s="227" t="s">
        <v>418</v>
      </c>
    </row>
    <row r="26" spans="1:21" ht="31" customHeight="1">
      <c r="A26">
        <v>17</v>
      </c>
      <c r="B26" s="153">
        <v>45258</v>
      </c>
      <c r="C26" s="152" t="s">
        <v>96</v>
      </c>
      <c r="D26" s="152" t="s">
        <v>410</v>
      </c>
      <c r="E26" s="149">
        <v>111000051</v>
      </c>
      <c r="F26" s="220" t="s">
        <v>130</v>
      </c>
      <c r="G26" s="220" t="s">
        <v>422</v>
      </c>
      <c r="H26" s="217" t="s">
        <v>41</v>
      </c>
      <c r="I26" s="217" t="s">
        <v>73</v>
      </c>
      <c r="J26" s="217" t="s">
        <v>74</v>
      </c>
      <c r="K26" s="221">
        <v>45674</v>
      </c>
      <c r="L26" s="222" t="s">
        <v>413</v>
      </c>
      <c r="M26" s="222" t="s">
        <v>414</v>
      </c>
      <c r="N26" s="223" t="s">
        <v>415</v>
      </c>
      <c r="O26" s="224">
        <v>15</v>
      </c>
      <c r="P26" s="217" t="s">
        <v>80</v>
      </c>
      <c r="Q26" s="217" t="s">
        <v>75</v>
      </c>
      <c r="R26" s="225"/>
      <c r="S26" s="220" t="str">
        <f t="shared" si="0"/>
        <v>001-101-000002847</v>
      </c>
      <c r="T26" s="226" t="s">
        <v>417</v>
      </c>
      <c r="U26" s="227" t="s">
        <v>418</v>
      </c>
    </row>
    <row r="27" spans="1:21" ht="31" customHeight="1">
      <c r="A27">
        <v>18</v>
      </c>
      <c r="B27" s="214">
        <v>45258</v>
      </c>
      <c r="C27" s="210" t="s">
        <v>96</v>
      </c>
      <c r="D27" s="210" t="s">
        <v>410</v>
      </c>
      <c r="E27" s="211">
        <v>114270004</v>
      </c>
      <c r="F27" s="220" t="s">
        <v>420</v>
      </c>
      <c r="G27" s="220" t="s">
        <v>423</v>
      </c>
      <c r="H27" s="217" t="s">
        <v>41</v>
      </c>
      <c r="I27" s="217" t="s">
        <v>73</v>
      </c>
      <c r="J27" s="217" t="s">
        <v>74</v>
      </c>
      <c r="K27" s="221">
        <v>45674</v>
      </c>
      <c r="L27" s="222" t="s">
        <v>413</v>
      </c>
      <c r="M27" s="222" t="s">
        <v>414</v>
      </c>
      <c r="N27" s="223" t="s">
        <v>415</v>
      </c>
      <c r="O27" s="224">
        <v>15</v>
      </c>
      <c r="P27" s="217" t="s">
        <v>80</v>
      </c>
      <c r="Q27" s="217" t="s">
        <v>75</v>
      </c>
      <c r="R27" s="225"/>
      <c r="S27" s="220" t="str">
        <f t="shared" si="0"/>
        <v>001-101-000002847</v>
      </c>
      <c r="T27" s="226" t="s">
        <v>417</v>
      </c>
      <c r="U27" s="227" t="s">
        <v>418</v>
      </c>
    </row>
    <row r="28" spans="1:21" ht="31" customHeight="1">
      <c r="A28">
        <v>19</v>
      </c>
      <c r="B28" s="215">
        <v>45618</v>
      </c>
      <c r="C28" s="216" t="s">
        <v>121</v>
      </c>
      <c r="D28" s="216" t="s">
        <v>405</v>
      </c>
      <c r="E28" s="217">
        <v>1129600001</v>
      </c>
      <c r="F28" s="216" t="s">
        <v>407</v>
      </c>
      <c r="G28" s="218" t="s">
        <v>406</v>
      </c>
      <c r="H28" s="217" t="s">
        <v>41</v>
      </c>
      <c r="I28" s="217" t="s">
        <v>73</v>
      </c>
      <c r="J28" s="217" t="s">
        <v>74</v>
      </c>
      <c r="K28" s="221">
        <v>45677</v>
      </c>
      <c r="L28" s="222" t="s">
        <v>430</v>
      </c>
      <c r="M28" s="222" t="s">
        <v>431</v>
      </c>
      <c r="N28" s="223" t="s">
        <v>432</v>
      </c>
      <c r="O28" s="224">
        <v>20</v>
      </c>
      <c r="P28" s="217" t="s">
        <v>80</v>
      </c>
      <c r="Q28" s="217" t="s">
        <v>75</v>
      </c>
      <c r="R28" s="225"/>
      <c r="S28" s="220" t="s">
        <v>405</v>
      </c>
      <c r="T28" s="226" t="s">
        <v>408</v>
      </c>
      <c r="U28" s="227" t="s">
        <v>409</v>
      </c>
    </row>
    <row r="29" spans="1:21" ht="31" customHeight="1">
      <c r="A29">
        <v>20</v>
      </c>
      <c r="B29" s="153">
        <v>45671</v>
      </c>
      <c r="C29" s="212" t="s">
        <v>146</v>
      </c>
      <c r="D29" s="212" t="s">
        <v>433</v>
      </c>
      <c r="E29" s="213">
        <v>112570126</v>
      </c>
      <c r="F29" s="220" t="s">
        <v>434</v>
      </c>
      <c r="G29" s="220" t="s">
        <v>435</v>
      </c>
      <c r="H29" s="217" t="s">
        <v>41</v>
      </c>
      <c r="I29" s="217" t="s">
        <v>73</v>
      </c>
      <c r="J29" s="217" t="s">
        <v>74</v>
      </c>
      <c r="K29" s="221">
        <v>45677</v>
      </c>
      <c r="L29" s="222" t="s">
        <v>430</v>
      </c>
      <c r="M29" s="222" t="s">
        <v>431</v>
      </c>
      <c r="N29" s="223" t="s">
        <v>432</v>
      </c>
      <c r="O29" s="224">
        <v>20</v>
      </c>
      <c r="P29" s="217" t="s">
        <v>80</v>
      </c>
      <c r="Q29" s="217" t="s">
        <v>75</v>
      </c>
      <c r="R29" s="225"/>
      <c r="S29" s="220" t="str">
        <f t="shared" si="0"/>
        <v>043-902-600036642</v>
      </c>
      <c r="T29" s="226" t="s">
        <v>408</v>
      </c>
      <c r="U29" s="227" t="s">
        <v>409</v>
      </c>
    </row>
    <row r="30" spans="1:21" s="228" customFormat="1" ht="31" customHeight="1">
      <c r="A30" s="228">
        <v>21</v>
      </c>
      <c r="B30" s="229">
        <v>46014</v>
      </c>
      <c r="C30" s="230" t="s">
        <v>146</v>
      </c>
      <c r="D30" s="230" t="s">
        <v>437</v>
      </c>
      <c r="E30" s="231">
        <v>113430018</v>
      </c>
      <c r="F30" s="232" t="s">
        <v>438</v>
      </c>
      <c r="G30" s="232" t="s">
        <v>439</v>
      </c>
      <c r="H30" s="233" t="s">
        <v>41</v>
      </c>
      <c r="I30" s="233" t="s">
        <v>73</v>
      </c>
      <c r="J30" s="233" t="s">
        <v>74</v>
      </c>
      <c r="K30" s="234">
        <v>45677</v>
      </c>
      <c r="L30" s="235" t="s">
        <v>440</v>
      </c>
      <c r="M30" s="235" t="s">
        <v>441</v>
      </c>
      <c r="N30" s="236" t="s">
        <v>442</v>
      </c>
      <c r="O30" s="237">
        <v>20</v>
      </c>
      <c r="P30" s="233" t="s">
        <v>80</v>
      </c>
      <c r="Q30" s="233" t="s">
        <v>75</v>
      </c>
      <c r="R30" s="238"/>
      <c r="S30" s="232" t="str">
        <f t="shared" si="0"/>
        <v>016-902-000491241</v>
      </c>
      <c r="T30" s="239" t="s">
        <v>443</v>
      </c>
      <c r="U30" s="240" t="s">
        <v>444</v>
      </c>
    </row>
    <row r="31" spans="1:21" ht="34" customHeight="1">
      <c r="A31">
        <v>22</v>
      </c>
      <c r="B31" s="153">
        <v>46014</v>
      </c>
      <c r="C31" s="152" t="s">
        <v>146</v>
      </c>
      <c r="D31" s="152" t="s">
        <v>458</v>
      </c>
      <c r="E31" s="219">
        <v>111040006</v>
      </c>
      <c r="F31" s="220" t="s">
        <v>445</v>
      </c>
      <c r="G31" s="220" t="s">
        <v>446</v>
      </c>
      <c r="H31" s="217" t="s">
        <v>41</v>
      </c>
      <c r="I31" s="217" t="s">
        <v>73</v>
      </c>
      <c r="J31" s="217" t="s">
        <v>74</v>
      </c>
      <c r="K31" s="221">
        <v>45677</v>
      </c>
      <c r="L31" s="222" t="s">
        <v>440</v>
      </c>
      <c r="M31" s="222" t="s">
        <v>441</v>
      </c>
      <c r="N31" s="223" t="s">
        <v>442</v>
      </c>
      <c r="O31" s="224">
        <v>20</v>
      </c>
      <c r="P31" s="217" t="s">
        <v>80</v>
      </c>
      <c r="Q31" s="217" t="s">
        <v>75</v>
      </c>
      <c r="R31" s="225"/>
      <c r="S31" s="220" t="str">
        <f t="shared" ref="S31" si="4">D31</f>
        <v>016-902-000491240</v>
      </c>
      <c r="T31" s="226" t="s">
        <v>443</v>
      </c>
      <c r="U31" s="227" t="s">
        <v>444</v>
      </c>
    </row>
    <row r="32" spans="1:21" ht="30" customHeight="1">
      <c r="A32">
        <v>22</v>
      </c>
      <c r="B32" s="153">
        <v>45413</v>
      </c>
      <c r="C32" s="152" t="s">
        <v>447</v>
      </c>
      <c r="D32" s="152" t="s">
        <v>448</v>
      </c>
      <c r="E32" s="219">
        <v>40461543</v>
      </c>
      <c r="F32" s="220" t="s">
        <v>449</v>
      </c>
      <c r="G32" s="220" t="s">
        <v>450</v>
      </c>
      <c r="H32" s="217" t="s">
        <v>41</v>
      </c>
      <c r="I32" s="217" t="s">
        <v>73</v>
      </c>
      <c r="J32" s="217" t="s">
        <v>74</v>
      </c>
      <c r="K32" s="221">
        <v>45677</v>
      </c>
      <c r="L32" s="222" t="s">
        <v>451</v>
      </c>
      <c r="M32" s="222" t="s">
        <v>452</v>
      </c>
      <c r="N32" s="223" t="s">
        <v>453</v>
      </c>
      <c r="O32" s="224">
        <v>20</v>
      </c>
      <c r="P32" s="217" t="s">
        <v>80</v>
      </c>
      <c r="Q32" s="217" t="s">
        <v>75</v>
      </c>
      <c r="R32" s="225"/>
      <c r="S32" s="220" t="str">
        <f t="shared" ref="S32" si="5">D32</f>
        <v>001-500-000052578</v>
      </c>
      <c r="T32" s="226" t="s">
        <v>454</v>
      </c>
      <c r="U32" s="227" t="s">
        <v>455</v>
      </c>
    </row>
    <row r="33" spans="1:21" ht="44" customHeight="1">
      <c r="A33">
        <v>22</v>
      </c>
      <c r="B33" s="153">
        <v>45371</v>
      </c>
      <c r="C33" s="152" t="s">
        <v>146</v>
      </c>
      <c r="D33" s="152" t="s">
        <v>456</v>
      </c>
      <c r="E33" s="219">
        <v>112520025</v>
      </c>
      <c r="F33" s="220" t="s">
        <v>112</v>
      </c>
      <c r="G33" s="220" t="s">
        <v>457</v>
      </c>
      <c r="H33" s="217" t="s">
        <v>41</v>
      </c>
      <c r="I33" s="217" t="s">
        <v>73</v>
      </c>
      <c r="J33" s="217" t="s">
        <v>74</v>
      </c>
      <c r="K33" s="221">
        <v>45677</v>
      </c>
      <c r="L33" s="222" t="s">
        <v>451</v>
      </c>
      <c r="M33" s="222" t="s">
        <v>452</v>
      </c>
      <c r="N33" s="223" t="s">
        <v>453</v>
      </c>
      <c r="O33" s="224">
        <v>20</v>
      </c>
      <c r="P33" s="217" t="s">
        <v>80</v>
      </c>
      <c r="Q33" s="217" t="s">
        <v>75</v>
      </c>
      <c r="R33" s="225"/>
      <c r="S33" s="220" t="str">
        <f t="shared" ref="S33" si="6">D33</f>
        <v>016-902-000458996</v>
      </c>
      <c r="T33" s="226" t="s">
        <v>454</v>
      </c>
      <c r="U33" s="227" t="s">
        <v>455</v>
      </c>
    </row>
    <row r="34" spans="1:21" ht="31" customHeight="1">
      <c r="O34" s="209">
        <f>SUM(O6:O33)</f>
        <v>490</v>
      </c>
    </row>
    <row r="38" spans="1:21" ht="29">
      <c r="K38" s="160">
        <v>15</v>
      </c>
      <c r="L38" s="160">
        <v>14</v>
      </c>
      <c r="M38" s="160">
        <f>K38*L38</f>
        <v>210</v>
      </c>
    </row>
    <row r="39" spans="1:21" ht="29">
      <c r="K39" s="160">
        <v>20</v>
      </c>
      <c r="L39" s="160">
        <v>14</v>
      </c>
      <c r="M39" s="160">
        <f>K39*L39</f>
        <v>280</v>
      </c>
    </row>
    <row r="40" spans="1:21" ht="29">
      <c r="K40" s="160"/>
      <c r="L40" s="160"/>
      <c r="M40" s="160">
        <f>SUM(M38:M39)</f>
        <v>490</v>
      </c>
    </row>
  </sheetData>
  <phoneticPr fontId="40" type="noConversion"/>
  <hyperlinks>
    <hyperlink ref="U10" r:id="rId1" xr:uid="{57DF3963-9FF1-FF49-AEFE-ADA323137DEA}"/>
    <hyperlink ref="U11" r:id="rId2" xr:uid="{6ACD4CC7-9A59-EA4D-8D0C-A617C77FDCD0}"/>
    <hyperlink ref="U6" r:id="rId3" xr:uid="{F0A582E2-3FAA-9C4C-8E88-B1CB5AC71E43}"/>
    <hyperlink ref="U7" r:id="rId4" xr:uid="{F477DCE4-BAC3-E846-BAC2-A5E3D099AEBB}"/>
    <hyperlink ref="U8" r:id="rId5" xr:uid="{86C584ED-5C41-C745-850C-D67921E5669B}"/>
    <hyperlink ref="U9" r:id="rId6" xr:uid="{DE677070-28E1-2045-8031-DFD291A724B9}"/>
    <hyperlink ref="U12" r:id="rId7" xr:uid="{51AF1467-4D0F-4842-879C-B03F0BC5A543}"/>
    <hyperlink ref="U13" r:id="rId8" xr:uid="{68779AD5-7EA4-2E47-B0F4-40AFA5FD78F5}"/>
    <hyperlink ref="U14" r:id="rId9" xr:uid="{4D17CCE8-CE1E-7A44-B029-2FC27B322D2D}"/>
    <hyperlink ref="U15" r:id="rId10" xr:uid="{2BA48B9C-9DA8-A34D-9F1D-4175C7E20600}"/>
    <hyperlink ref="U16" r:id="rId11" xr:uid="{062E1039-20B5-8E46-8177-A7726E5FAA35}"/>
    <hyperlink ref="U17" r:id="rId12" xr:uid="{9F5C833D-272E-DC4B-A83F-0BB7A8EFD615}"/>
    <hyperlink ref="U18" r:id="rId13" xr:uid="{858E4784-C38E-C847-99AC-B4A1E6F6CF45}"/>
    <hyperlink ref="U19" r:id="rId14" xr:uid="{87995DD1-2E12-B640-ADA9-C756613C25B1}"/>
    <hyperlink ref="U20" r:id="rId15" xr:uid="{13D62059-FF38-F04E-85A6-276ED252CE0D}"/>
    <hyperlink ref="U21" r:id="rId16" xr:uid="{9742F0A3-4BA9-F54D-8079-1811A031804A}"/>
    <hyperlink ref="U22" r:id="rId17" xr:uid="{0145E52D-013A-1840-9965-FB7E6E5733F7}"/>
    <hyperlink ref="U23" r:id="rId18" xr:uid="{462B00A8-7799-104F-A2A6-57AB42F891BA}"/>
    <hyperlink ref="U24" r:id="rId19" xr:uid="{E82B2DCC-C3FD-EB46-9B40-2E82DF1C1E48}"/>
    <hyperlink ref="U25" r:id="rId20" xr:uid="{1C36484A-5892-9C42-927F-A94C212ECF50}"/>
    <hyperlink ref="U26" r:id="rId21" xr:uid="{E71EFAD2-5147-2440-B1E0-B1247B7F09CE}"/>
    <hyperlink ref="U27" r:id="rId22" xr:uid="{615A328C-34E2-F84F-A5FC-F2090C73A00D}"/>
    <hyperlink ref="U28" r:id="rId23" xr:uid="{300625CB-0507-3D4C-A06D-8FC53F5F1B6C}"/>
    <hyperlink ref="U29" r:id="rId24" xr:uid="{17C3A300-7D89-2B43-BD82-5458D7EBFD04}"/>
    <hyperlink ref="U30" r:id="rId25" xr:uid="{B660FF34-ECC6-A843-99ED-79015705C390}"/>
    <hyperlink ref="U31" r:id="rId26" xr:uid="{A9B765DC-6734-AC48-B731-A7D0FAC1F96F}"/>
    <hyperlink ref="U32" r:id="rId27" xr:uid="{8AF9F2B0-6815-1C49-9E65-9D84172282D3}"/>
    <hyperlink ref="U33" r:id="rId28" xr:uid="{BE64F590-B41A-A44F-B1E2-BFD8161B8A4A}"/>
  </hyperlinks>
  <pageMargins left="0.7" right="0.7" top="0.75" bottom="0.75" header="0.3" footer="0.3"/>
  <pageSetup paperSize="9" orientation="portrait" horizontalDpi="0" verticalDpi="0" r:id="rId29"/>
  <drawing r:id="rId3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24"/>
  <sheetViews>
    <sheetView zoomScaleNormal="100" workbookViewId="0">
      <selection activeCell="M5" sqref="M5"/>
    </sheetView>
  </sheetViews>
  <sheetFormatPr baseColWidth="10" defaultRowHeight="15"/>
  <cols>
    <col min="1" max="1" width="3.83203125" customWidth="1"/>
    <col min="2" max="3" width="13.6640625" bestFit="1" customWidth="1"/>
    <col min="4" max="4" width="11.6640625" bestFit="1" customWidth="1"/>
    <col min="5" max="5" width="17.1640625" customWidth="1"/>
    <col min="6" max="6" width="21" customWidth="1"/>
    <col min="7" max="7" width="12.83203125" bestFit="1" customWidth="1"/>
    <col min="8" max="8" width="28.1640625" customWidth="1"/>
    <col min="9" max="9" width="18.6640625" customWidth="1"/>
    <col min="10" max="10" width="11.6640625" bestFit="1" customWidth="1"/>
    <col min="11" max="11" width="19.6640625" customWidth="1"/>
    <col min="12" max="12" width="21" customWidth="1"/>
    <col min="13" max="13" width="34.1640625" bestFit="1" customWidth="1"/>
    <col min="14" max="14" width="11.6640625" bestFit="1" customWidth="1"/>
    <col min="15" max="15" width="21.6640625" bestFit="1" customWidth="1"/>
    <col min="16" max="16" width="30.5" customWidth="1"/>
    <col min="17" max="17" width="12.83203125" bestFit="1" customWidth="1"/>
    <col min="18" max="18" width="11.6640625" bestFit="1" customWidth="1"/>
    <col min="19" max="19" width="24" customWidth="1"/>
  </cols>
  <sheetData>
    <row r="2" spans="1:20">
      <c r="A2" s="30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20">
      <c r="A3" s="32"/>
      <c r="B3" s="33"/>
      <c r="C3" s="34" t="s">
        <v>0</v>
      </c>
      <c r="D3" s="35"/>
      <c r="E3" s="36"/>
      <c r="F3" s="37"/>
      <c r="G3" s="38"/>
      <c r="H3" s="39"/>
      <c r="I3" s="39"/>
      <c r="J3" s="39"/>
      <c r="K3" s="39"/>
      <c r="L3" s="39"/>
      <c r="M3" s="40"/>
      <c r="N3" s="39"/>
      <c r="O3" s="32"/>
      <c r="P3" s="39"/>
      <c r="Q3" s="39"/>
      <c r="R3" s="39"/>
      <c r="S3" s="39"/>
    </row>
    <row r="4" spans="1:20">
      <c r="A4" s="32"/>
      <c r="B4" s="33"/>
      <c r="C4" s="41" t="s">
        <v>1</v>
      </c>
      <c r="D4" s="42"/>
      <c r="E4" s="43"/>
      <c r="F4" s="43"/>
      <c r="G4" s="38"/>
      <c r="H4" s="39"/>
      <c r="I4" s="39"/>
      <c r="J4" s="39"/>
      <c r="K4" s="39"/>
      <c r="L4" s="39"/>
      <c r="M4" s="40"/>
      <c r="N4" s="39"/>
      <c r="O4" s="32"/>
      <c r="P4" s="39"/>
      <c r="Q4" s="39"/>
      <c r="R4" s="39"/>
      <c r="S4" s="39"/>
    </row>
    <row r="5" spans="1:20" ht="28.5" customHeight="1">
      <c r="B5" s="44" t="s">
        <v>78</v>
      </c>
      <c r="C5" s="45"/>
      <c r="D5" s="46"/>
      <c r="E5" s="47" t="s">
        <v>23</v>
      </c>
      <c r="F5" s="48"/>
      <c r="G5" s="49"/>
      <c r="H5" s="50"/>
      <c r="I5" s="46"/>
      <c r="J5" s="51"/>
      <c r="K5" s="51"/>
      <c r="L5" s="52"/>
      <c r="M5" s="53" t="s">
        <v>459</v>
      </c>
      <c r="O5" s="54"/>
    </row>
    <row r="6" spans="1:20">
      <c r="B6" s="55" t="s">
        <v>24</v>
      </c>
      <c r="C6" s="56"/>
      <c r="D6" s="57"/>
      <c r="E6" s="57"/>
      <c r="F6" s="57"/>
      <c r="G6" s="57"/>
      <c r="H6" s="57"/>
      <c r="I6" s="57"/>
      <c r="J6" s="57"/>
      <c r="K6" s="57"/>
      <c r="L6" s="57"/>
      <c r="M6" s="58"/>
      <c r="O6" s="54"/>
    </row>
    <row r="7" spans="1:20">
      <c r="B7" s="59" t="s">
        <v>87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1"/>
      <c r="O7" s="54"/>
    </row>
    <row r="8" spans="1:20" s="29" customFormat="1" ht="34">
      <c r="A8"/>
      <c r="B8" s="110" t="s">
        <v>25</v>
      </c>
      <c r="C8" s="110" t="s">
        <v>26</v>
      </c>
      <c r="D8" s="110" t="s">
        <v>27</v>
      </c>
      <c r="E8" s="110" t="s">
        <v>28</v>
      </c>
      <c r="F8" s="110" t="s">
        <v>29</v>
      </c>
      <c r="G8" s="110" t="s">
        <v>30</v>
      </c>
      <c r="H8" s="110" t="s">
        <v>31</v>
      </c>
      <c r="I8" s="110" t="s">
        <v>32</v>
      </c>
      <c r="J8" s="110" t="s">
        <v>33</v>
      </c>
      <c r="K8" s="110" t="s">
        <v>34</v>
      </c>
      <c r="L8" s="110" t="s">
        <v>35</v>
      </c>
      <c r="M8" s="110" t="s">
        <v>36</v>
      </c>
      <c r="N8" s="110" t="s">
        <v>37</v>
      </c>
      <c r="O8" s="110" t="s">
        <v>38</v>
      </c>
      <c r="P8" s="110" t="s">
        <v>39</v>
      </c>
      <c r="Q8" s="110" t="s">
        <v>40</v>
      </c>
      <c r="R8" s="111" t="s">
        <v>18</v>
      </c>
      <c r="S8" s="112" t="s">
        <v>19</v>
      </c>
    </row>
    <row r="9" spans="1:20" s="148" customFormat="1" ht="56.25" customHeight="1">
      <c r="A9" s="171">
        <v>1</v>
      </c>
      <c r="B9" s="137">
        <v>45624</v>
      </c>
      <c r="C9" s="138">
        <v>45665</v>
      </c>
      <c r="D9" s="139">
        <v>1</v>
      </c>
      <c r="E9" s="139">
        <v>60803326</v>
      </c>
      <c r="F9" s="140" t="s">
        <v>137</v>
      </c>
      <c r="G9" s="141">
        <v>112500049</v>
      </c>
      <c r="H9" s="142" t="s">
        <v>138</v>
      </c>
      <c r="I9" s="143" t="s">
        <v>139</v>
      </c>
      <c r="J9" s="144" t="s">
        <v>41</v>
      </c>
      <c r="K9" s="141" t="s">
        <v>83</v>
      </c>
      <c r="L9" s="141" t="s">
        <v>140</v>
      </c>
      <c r="M9" s="140" t="s">
        <v>141</v>
      </c>
      <c r="N9" s="158">
        <v>12.5</v>
      </c>
      <c r="O9" s="154" t="s">
        <v>142</v>
      </c>
      <c r="P9" s="146" t="s">
        <v>143</v>
      </c>
      <c r="Q9" s="170" t="s">
        <v>144</v>
      </c>
      <c r="R9" s="136"/>
      <c r="S9" s="136" t="s">
        <v>145</v>
      </c>
      <c r="T9" s="147"/>
    </row>
    <row r="10" spans="1:20" s="148" customFormat="1" ht="93" customHeight="1">
      <c r="A10" s="171">
        <v>2</v>
      </c>
      <c r="B10" s="137">
        <v>45260</v>
      </c>
      <c r="C10" s="138">
        <v>45665</v>
      </c>
      <c r="D10" s="139">
        <v>1</v>
      </c>
      <c r="E10" s="139"/>
      <c r="F10" s="140"/>
      <c r="G10" s="141">
        <v>11427008</v>
      </c>
      <c r="H10" s="142" t="s">
        <v>184</v>
      </c>
      <c r="I10" s="143" t="s">
        <v>185</v>
      </c>
      <c r="J10" s="144" t="s">
        <v>41</v>
      </c>
      <c r="K10" s="141" t="s">
        <v>83</v>
      </c>
      <c r="L10" s="141" t="s">
        <v>186</v>
      </c>
      <c r="M10" s="140" t="s">
        <v>187</v>
      </c>
      <c r="N10" s="145">
        <v>18.75</v>
      </c>
      <c r="O10" s="169" t="s">
        <v>188</v>
      </c>
      <c r="P10" s="146" t="s">
        <v>189</v>
      </c>
      <c r="Q10" s="170" t="s">
        <v>190</v>
      </c>
      <c r="R10" s="136"/>
      <c r="S10" s="136" t="s">
        <v>191</v>
      </c>
      <c r="T10" s="147"/>
    </row>
    <row r="11" spans="1:20" s="148" customFormat="1" ht="56.25" customHeight="1">
      <c r="A11" s="171">
        <v>3</v>
      </c>
      <c r="B11" s="137">
        <v>44981</v>
      </c>
      <c r="C11" s="138">
        <v>45666</v>
      </c>
      <c r="D11" s="139">
        <v>1</v>
      </c>
      <c r="E11" s="139">
        <v>60803283</v>
      </c>
      <c r="F11" s="140" t="s">
        <v>192</v>
      </c>
      <c r="G11" s="141">
        <v>112500047</v>
      </c>
      <c r="H11" s="142" t="s">
        <v>193</v>
      </c>
      <c r="I11" s="143" t="s">
        <v>194</v>
      </c>
      <c r="J11" s="144" t="s">
        <v>41</v>
      </c>
      <c r="K11" s="141" t="s">
        <v>83</v>
      </c>
      <c r="L11" s="141" t="s">
        <v>195</v>
      </c>
      <c r="M11" s="140" t="s">
        <v>196</v>
      </c>
      <c r="N11" s="145">
        <v>12.5</v>
      </c>
      <c r="O11" s="154" t="s">
        <v>197</v>
      </c>
      <c r="P11" s="146" t="s">
        <v>198</v>
      </c>
      <c r="Q11" s="170" t="s">
        <v>199</v>
      </c>
      <c r="R11" s="136"/>
      <c r="S11" s="136" t="s">
        <v>200</v>
      </c>
      <c r="T11" s="147"/>
    </row>
    <row r="12" spans="1:20" s="148" customFormat="1" ht="56.25" customHeight="1">
      <c r="A12" s="171">
        <v>4</v>
      </c>
      <c r="B12" s="137">
        <v>44578</v>
      </c>
      <c r="C12" s="138">
        <v>45665</v>
      </c>
      <c r="D12" s="139">
        <v>1</v>
      </c>
      <c r="E12" s="139">
        <v>60803250</v>
      </c>
      <c r="F12" s="140" t="s">
        <v>335</v>
      </c>
      <c r="G12" s="141">
        <v>112520024</v>
      </c>
      <c r="H12" s="142" t="s">
        <v>242</v>
      </c>
      <c r="I12" s="143" t="s">
        <v>243</v>
      </c>
      <c r="J12" s="144" t="s">
        <v>41</v>
      </c>
      <c r="K12" s="141" t="s">
        <v>83</v>
      </c>
      <c r="L12" s="141" t="s">
        <v>244</v>
      </c>
      <c r="M12" s="140" t="s">
        <v>334</v>
      </c>
      <c r="N12" s="145">
        <v>12.5</v>
      </c>
      <c r="O12" s="154" t="s">
        <v>245</v>
      </c>
      <c r="P12" s="146" t="s">
        <v>246</v>
      </c>
      <c r="Q12" s="170" t="s">
        <v>247</v>
      </c>
      <c r="R12" s="136"/>
      <c r="S12" s="136" t="s">
        <v>248</v>
      </c>
      <c r="T12" s="147"/>
    </row>
    <row r="13" spans="1:20" s="148" customFormat="1" ht="56.25" customHeight="1">
      <c r="A13" s="171">
        <v>5</v>
      </c>
      <c r="B13" s="137">
        <v>37247</v>
      </c>
      <c r="C13" s="138">
        <v>45666</v>
      </c>
      <c r="D13" s="139">
        <v>1</v>
      </c>
      <c r="E13" s="139"/>
      <c r="F13" s="140"/>
      <c r="G13" s="141">
        <v>112580017</v>
      </c>
      <c r="H13" s="142" t="s">
        <v>249</v>
      </c>
      <c r="I13" s="143" t="s">
        <v>250</v>
      </c>
      <c r="J13" s="144" t="s">
        <v>41</v>
      </c>
      <c r="K13" s="141" t="s">
        <v>83</v>
      </c>
      <c r="L13" s="141" t="s">
        <v>251</v>
      </c>
      <c r="M13" s="140" t="s">
        <v>252</v>
      </c>
      <c r="N13" s="145">
        <v>12.5</v>
      </c>
      <c r="O13" s="154" t="s">
        <v>253</v>
      </c>
      <c r="P13" s="146" t="s">
        <v>254</v>
      </c>
      <c r="Q13" s="170" t="s">
        <v>255</v>
      </c>
      <c r="R13" s="136"/>
      <c r="S13" s="136" t="s">
        <v>256</v>
      </c>
      <c r="T13" s="147"/>
    </row>
    <row r="14" spans="1:20" s="148" customFormat="1" ht="56.25" customHeight="1">
      <c r="A14" s="171">
        <v>6</v>
      </c>
      <c r="B14" s="137">
        <v>45302</v>
      </c>
      <c r="C14" s="159">
        <v>45667</v>
      </c>
      <c r="D14" s="139">
        <v>1</v>
      </c>
      <c r="E14" s="139"/>
      <c r="F14" s="140"/>
      <c r="G14" s="141">
        <v>40197155</v>
      </c>
      <c r="H14" s="142" t="s">
        <v>257</v>
      </c>
      <c r="I14" s="143" t="s">
        <v>258</v>
      </c>
      <c r="J14" s="144" t="s">
        <v>41</v>
      </c>
      <c r="K14" s="141" t="s">
        <v>83</v>
      </c>
      <c r="L14" s="141" t="s">
        <v>259</v>
      </c>
      <c r="M14" s="140" t="s">
        <v>333</v>
      </c>
      <c r="N14" s="145">
        <v>12.5</v>
      </c>
      <c r="O14" s="154" t="s">
        <v>260</v>
      </c>
      <c r="P14" s="146" t="s">
        <v>261</v>
      </c>
      <c r="Q14" s="170" t="s">
        <v>262</v>
      </c>
      <c r="R14" s="136"/>
      <c r="S14" s="136" t="s">
        <v>263</v>
      </c>
      <c r="T14" s="147"/>
    </row>
    <row r="15" spans="1:20" ht="36" customHeight="1">
      <c r="A15" s="150">
        <v>7</v>
      </c>
      <c r="B15" s="137">
        <v>45381</v>
      </c>
      <c r="C15" s="138">
        <v>45667</v>
      </c>
      <c r="D15" s="139">
        <v>1</v>
      </c>
      <c r="E15" s="139">
        <v>60803282</v>
      </c>
      <c r="F15" s="140" t="s">
        <v>304</v>
      </c>
      <c r="G15" s="141">
        <v>112500047</v>
      </c>
      <c r="H15" s="142" t="s">
        <v>305</v>
      </c>
      <c r="I15" s="143" t="s">
        <v>306</v>
      </c>
      <c r="J15" s="144" t="s">
        <v>41</v>
      </c>
      <c r="K15" s="141" t="s">
        <v>83</v>
      </c>
      <c r="L15" s="141" t="s">
        <v>307</v>
      </c>
      <c r="M15" s="140" t="s">
        <v>308</v>
      </c>
      <c r="N15" s="158">
        <v>12.5</v>
      </c>
      <c r="O15" s="154" t="s">
        <v>309</v>
      </c>
      <c r="P15" s="146" t="s">
        <v>310</v>
      </c>
      <c r="Q15" s="170" t="s">
        <v>311</v>
      </c>
      <c r="R15" s="136"/>
      <c r="S15" s="136" t="s">
        <v>312</v>
      </c>
    </row>
    <row r="16" spans="1:20" s="62" customFormat="1" ht="17">
      <c r="A16" s="63"/>
      <c r="B16"/>
      <c r="C16"/>
      <c r="D16"/>
      <c r="E16"/>
      <c r="F16"/>
      <c r="G16"/>
      <c r="H16"/>
      <c r="I16"/>
      <c r="N16" s="157">
        <f>SUM(N9:N15)</f>
        <v>93.75</v>
      </c>
      <c r="O16"/>
      <c r="P16"/>
      <c r="Q16"/>
      <c r="R16"/>
      <c r="S16"/>
    </row>
    <row r="17" spans="1:19" s="62" customFormat="1" ht="17">
      <c r="A17" s="63"/>
      <c r="B17"/>
      <c r="C17"/>
      <c r="D17"/>
      <c r="E17"/>
      <c r="F17"/>
      <c r="G17"/>
      <c r="H17"/>
      <c r="I17"/>
      <c r="J17" s="161">
        <v>1</v>
      </c>
      <c r="K17" s="162" t="s">
        <v>84</v>
      </c>
      <c r="L17" s="162">
        <v>12.5</v>
      </c>
      <c r="M17" s="150">
        <v>12.5</v>
      </c>
      <c r="N17"/>
      <c r="O17"/>
      <c r="P17"/>
      <c r="Q17"/>
      <c r="R17"/>
      <c r="S17"/>
    </row>
    <row r="18" spans="1:19" ht="17">
      <c r="J18" s="161">
        <v>5</v>
      </c>
      <c r="K18" s="162" t="s">
        <v>85</v>
      </c>
      <c r="L18" s="162">
        <v>12.5</v>
      </c>
      <c r="M18" s="150">
        <f>J18*L18</f>
        <v>62.5</v>
      </c>
    </row>
    <row r="19" spans="1:19" ht="17">
      <c r="J19" s="161"/>
      <c r="K19" s="162" t="s">
        <v>86</v>
      </c>
      <c r="L19" s="163">
        <v>18.75</v>
      </c>
      <c r="M19" s="150"/>
    </row>
    <row r="20" spans="1:19" ht="17">
      <c r="J20" s="161"/>
      <c r="K20" s="162" t="s">
        <v>90</v>
      </c>
      <c r="L20" s="162">
        <v>12.5</v>
      </c>
      <c r="M20" s="150"/>
    </row>
    <row r="21" spans="1:19" ht="16">
      <c r="J21" s="161">
        <v>1</v>
      </c>
      <c r="K21" s="175" t="s">
        <v>94</v>
      </c>
      <c r="L21" s="163">
        <v>18.75</v>
      </c>
      <c r="M21" s="176">
        <v>18.75</v>
      </c>
    </row>
    <row r="22" spans="1:19" ht="17">
      <c r="J22" s="164"/>
      <c r="K22" s="162" t="s">
        <v>91</v>
      </c>
      <c r="L22" s="162">
        <v>12.5</v>
      </c>
      <c r="M22" s="176"/>
    </row>
    <row r="23" spans="1:19" ht="17">
      <c r="J23" s="164"/>
      <c r="K23" s="162" t="s">
        <v>92</v>
      </c>
      <c r="L23" s="165">
        <v>18.75</v>
      </c>
      <c r="M23" s="176"/>
    </row>
    <row r="24" spans="1:19">
      <c r="M24" s="150">
        <f>SUM(M17:M23)</f>
        <v>93.75</v>
      </c>
    </row>
  </sheetData>
  <phoneticPr fontId="40" type="noConversion"/>
  <hyperlinks>
    <hyperlink ref="P9" r:id="rId1" xr:uid="{EE4E0092-93D0-7643-A592-D19FE76207F1}"/>
    <hyperlink ref="P10" r:id="rId2" xr:uid="{54806630-2120-3344-9CB6-039358A04782}"/>
    <hyperlink ref="P11" r:id="rId3" xr:uid="{C7991A2D-D392-E24B-B567-B4F9ACF9F2C6}"/>
    <hyperlink ref="P12" r:id="rId4" xr:uid="{30ADE725-EC8C-6143-ADCB-7D8A45CB2833}"/>
    <hyperlink ref="P13" r:id="rId5" xr:uid="{3BAF763C-2A81-ED4A-90A1-9B6C2B9F79FB}"/>
    <hyperlink ref="P14" r:id="rId6" xr:uid="{70052DF3-1ADA-F449-A594-7F49E37DE5E1}"/>
    <hyperlink ref="P15" r:id="rId7" xr:uid="{0D5EA21A-EB20-0A4F-A13C-566CEFCE3DB0}"/>
  </hyperlinks>
  <pageMargins left="0.7" right="0.7" top="0.75" bottom="0.75" header="0.3" footer="0.3"/>
  <pageSetup paperSize="9" orientation="portrait" horizontalDpi="0" verticalDpi="0" r:id="rId8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U14"/>
  <sheetViews>
    <sheetView zoomScale="113" zoomScaleNormal="113" workbookViewId="0">
      <selection activeCell="L26" sqref="L26"/>
    </sheetView>
  </sheetViews>
  <sheetFormatPr baseColWidth="10" defaultRowHeight="15"/>
  <cols>
    <col min="1" max="1" width="3.6640625" customWidth="1"/>
    <col min="2" max="2" width="11.33203125" bestFit="1" customWidth="1"/>
    <col min="3" max="3" width="27.6640625" customWidth="1"/>
    <col min="4" max="4" width="20.5" customWidth="1"/>
    <col min="5" max="5" width="12.6640625" customWidth="1"/>
    <col min="6" max="6" width="33" customWidth="1"/>
    <col min="7" max="7" width="14.6640625" customWidth="1"/>
    <col min="8" max="8" width="8.1640625" customWidth="1"/>
    <col min="9" max="9" width="8.5" customWidth="1"/>
    <col min="10" max="10" width="9" customWidth="1"/>
    <col min="11" max="11" width="10.33203125" customWidth="1"/>
    <col min="12" max="12" width="27.33203125" customWidth="1"/>
    <col min="13" max="13" width="29" customWidth="1"/>
    <col min="14" max="14" width="11.1640625" bestFit="1" customWidth="1"/>
    <col min="15" max="15" width="14.33203125" customWidth="1"/>
    <col min="16" max="16" width="22.1640625" customWidth="1"/>
    <col min="17" max="17" width="8.1640625" customWidth="1"/>
    <col min="18" max="18" width="6.1640625" customWidth="1"/>
    <col min="19" max="19" width="20.1640625" customWidth="1"/>
    <col min="20" max="20" width="18" customWidth="1"/>
    <col min="21" max="21" width="32.33203125" customWidth="1"/>
  </cols>
  <sheetData>
    <row r="3" spans="1:21">
      <c r="A3" s="64"/>
      <c r="B3" s="65"/>
      <c r="C3" s="66" t="s">
        <v>42</v>
      </c>
      <c r="D3" s="65"/>
      <c r="E3" s="67"/>
      <c r="F3" s="65"/>
      <c r="G3" s="68"/>
      <c r="H3" s="65"/>
      <c r="I3" s="65"/>
      <c r="J3" s="65"/>
      <c r="K3" s="69"/>
      <c r="L3" s="69"/>
      <c r="M3" s="65"/>
      <c r="N3" s="65"/>
      <c r="O3" s="70"/>
      <c r="P3" s="65"/>
      <c r="Q3" s="65"/>
      <c r="R3" s="65"/>
      <c r="S3" s="65"/>
      <c r="T3" s="65"/>
      <c r="U3" s="71"/>
    </row>
    <row r="4" spans="1:21">
      <c r="A4" s="64"/>
      <c r="B4" s="65"/>
      <c r="C4" s="72" t="s">
        <v>43</v>
      </c>
      <c r="D4" s="65"/>
      <c r="E4" s="65"/>
      <c r="F4" s="65"/>
      <c r="G4" s="68"/>
      <c r="H4" s="65"/>
      <c r="I4" s="65" t="s">
        <v>44</v>
      </c>
      <c r="J4" s="65"/>
      <c r="K4" s="69"/>
      <c r="L4" s="69"/>
      <c r="M4" s="113" t="s">
        <v>460</v>
      </c>
      <c r="N4" s="65"/>
      <c r="O4" s="70"/>
      <c r="P4" s="65"/>
      <c r="Q4" s="73"/>
      <c r="R4" s="65"/>
      <c r="S4" s="65"/>
      <c r="T4" s="74"/>
      <c r="U4" s="75">
        <v>45536</v>
      </c>
    </row>
    <row r="5" spans="1:21" ht="25">
      <c r="A5" s="71"/>
      <c r="B5" s="76" t="s">
        <v>2</v>
      </c>
      <c r="C5" s="76" t="s">
        <v>3</v>
      </c>
      <c r="D5" s="76" t="s">
        <v>4</v>
      </c>
      <c r="E5" s="76" t="s">
        <v>5</v>
      </c>
      <c r="F5" s="76" t="s">
        <v>6</v>
      </c>
      <c r="G5" s="76" t="s">
        <v>7</v>
      </c>
      <c r="H5" s="76" t="s">
        <v>8</v>
      </c>
      <c r="I5" s="76" t="s">
        <v>9</v>
      </c>
      <c r="J5" s="76" t="s">
        <v>10</v>
      </c>
      <c r="K5" s="77" t="s">
        <v>45</v>
      </c>
      <c r="L5" s="77" t="s">
        <v>12</v>
      </c>
      <c r="M5" s="77" t="s">
        <v>13</v>
      </c>
      <c r="N5" s="77" t="s">
        <v>14</v>
      </c>
      <c r="O5" s="78" t="s">
        <v>15</v>
      </c>
      <c r="P5" s="77" t="s">
        <v>46</v>
      </c>
      <c r="Q5" s="77" t="s">
        <v>47</v>
      </c>
      <c r="R5" s="79" t="s">
        <v>48</v>
      </c>
      <c r="S5" s="79" t="s">
        <v>19</v>
      </c>
      <c r="T5" s="80" t="s">
        <v>20</v>
      </c>
      <c r="U5" s="81" t="s">
        <v>49</v>
      </c>
    </row>
    <row r="6" spans="1:21" s="28" customFormat="1" ht="23.25" customHeight="1">
      <c r="A6" s="181">
        <v>1</v>
      </c>
      <c r="B6" s="182">
        <v>45649</v>
      </c>
      <c r="C6" s="183" t="s">
        <v>96</v>
      </c>
      <c r="D6" s="184" t="s">
        <v>97</v>
      </c>
      <c r="E6" s="184">
        <v>111570002</v>
      </c>
      <c r="F6" s="185" t="s">
        <v>88</v>
      </c>
      <c r="G6" s="184" t="s">
        <v>98</v>
      </c>
      <c r="H6" s="186" t="s">
        <v>41</v>
      </c>
      <c r="I6" s="187" t="s">
        <v>73</v>
      </c>
      <c r="J6" s="187" t="s">
        <v>74</v>
      </c>
      <c r="K6" s="182">
        <v>45663</v>
      </c>
      <c r="L6" s="183" t="s">
        <v>99</v>
      </c>
      <c r="M6" s="183" t="s">
        <v>100</v>
      </c>
      <c r="N6" s="188" t="s">
        <v>101</v>
      </c>
      <c r="O6" s="194">
        <v>29</v>
      </c>
      <c r="P6" s="183"/>
      <c r="Q6" s="183" t="s">
        <v>73</v>
      </c>
      <c r="R6" s="189"/>
      <c r="S6" s="184" t="s">
        <v>97</v>
      </c>
      <c r="T6" s="190" t="s">
        <v>102</v>
      </c>
      <c r="U6" s="191" t="s">
        <v>103</v>
      </c>
    </row>
    <row r="7" spans="1:21" s="28" customFormat="1" ht="23.25" customHeight="1">
      <c r="A7" s="181">
        <v>2</v>
      </c>
      <c r="B7" s="182">
        <v>45660</v>
      </c>
      <c r="C7" s="183" t="s">
        <v>104</v>
      </c>
      <c r="D7" s="184" t="s">
        <v>105</v>
      </c>
      <c r="E7" s="184">
        <v>111570003</v>
      </c>
      <c r="F7" s="185" t="s">
        <v>77</v>
      </c>
      <c r="G7" s="184" t="s">
        <v>106</v>
      </c>
      <c r="H7" s="186" t="s">
        <v>41</v>
      </c>
      <c r="I7" s="187" t="s">
        <v>73</v>
      </c>
      <c r="J7" s="187" t="s">
        <v>74</v>
      </c>
      <c r="K7" s="182">
        <v>45664</v>
      </c>
      <c r="L7" s="183" t="s">
        <v>107</v>
      </c>
      <c r="M7" s="183" t="s">
        <v>108</v>
      </c>
      <c r="N7" s="188" t="s">
        <v>109</v>
      </c>
      <c r="O7" s="194">
        <v>29</v>
      </c>
      <c r="P7" s="183"/>
      <c r="Q7" s="183" t="s">
        <v>73</v>
      </c>
      <c r="R7" s="189"/>
      <c r="S7" s="184" t="s">
        <v>105</v>
      </c>
      <c r="T7" s="190" t="s">
        <v>109</v>
      </c>
      <c r="U7" s="191" t="s">
        <v>110</v>
      </c>
    </row>
    <row r="8" spans="1:21" s="28" customFormat="1" ht="23.25" customHeight="1">
      <c r="A8" s="181">
        <v>3</v>
      </c>
      <c r="B8" s="182">
        <v>45664</v>
      </c>
      <c r="C8" s="183" t="s">
        <v>146</v>
      </c>
      <c r="D8" s="184" t="s">
        <v>201</v>
      </c>
      <c r="E8" s="184">
        <v>1115700003</v>
      </c>
      <c r="F8" s="185" t="s">
        <v>77</v>
      </c>
      <c r="G8" s="184" t="s">
        <v>202</v>
      </c>
      <c r="H8" s="186" t="s">
        <v>41</v>
      </c>
      <c r="I8" s="187" t="s">
        <v>73</v>
      </c>
      <c r="J8" s="187" t="s">
        <v>74</v>
      </c>
      <c r="K8" s="182">
        <v>45665</v>
      </c>
      <c r="L8" s="183" t="s">
        <v>203</v>
      </c>
      <c r="M8" s="183" t="s">
        <v>204</v>
      </c>
      <c r="N8" s="188" t="s">
        <v>205</v>
      </c>
      <c r="O8" s="194">
        <v>29</v>
      </c>
      <c r="P8" s="183" t="s">
        <v>81</v>
      </c>
      <c r="Q8" s="183" t="s">
        <v>73</v>
      </c>
      <c r="R8" s="189"/>
      <c r="S8" s="184" t="str">
        <f>D8</f>
        <v>043-905-000052666</v>
      </c>
      <c r="T8" s="190" t="s">
        <v>206</v>
      </c>
      <c r="U8" s="191" t="s">
        <v>207</v>
      </c>
    </row>
    <row r="9" spans="1:21" s="28" customFormat="1" ht="23.25" customHeight="1">
      <c r="A9" s="181">
        <v>4</v>
      </c>
      <c r="B9" s="182">
        <v>45667</v>
      </c>
      <c r="C9" s="183" t="s">
        <v>298</v>
      </c>
      <c r="D9" s="184"/>
      <c r="E9" s="184"/>
      <c r="F9" s="185" t="s">
        <v>88</v>
      </c>
      <c r="G9" s="184" t="s">
        <v>299</v>
      </c>
      <c r="H9" s="186" t="s">
        <v>41</v>
      </c>
      <c r="I9" s="187" t="s">
        <v>73</v>
      </c>
      <c r="J9" s="187" t="s">
        <v>74</v>
      </c>
      <c r="K9" s="182">
        <v>45667</v>
      </c>
      <c r="L9" s="183" t="s">
        <v>298</v>
      </c>
      <c r="M9" s="183" t="s">
        <v>300</v>
      </c>
      <c r="N9" s="188" t="s">
        <v>301</v>
      </c>
      <c r="O9" s="194">
        <v>29</v>
      </c>
      <c r="P9" s="183" t="s">
        <v>81</v>
      </c>
      <c r="Q9" s="183" t="s">
        <v>73</v>
      </c>
      <c r="R9" s="189"/>
      <c r="S9" s="184">
        <f t="shared" ref="S9" si="0">D9</f>
        <v>0</v>
      </c>
      <c r="T9" s="190" t="s">
        <v>302</v>
      </c>
      <c r="U9" s="191" t="s">
        <v>303</v>
      </c>
    </row>
    <row r="10" spans="1:21" ht="16" thickBot="1">
      <c r="O10" s="180">
        <f>SUM(O6:O9)</f>
        <v>116</v>
      </c>
    </row>
    <row r="13" spans="1:21" ht="16" thickBot="1"/>
    <row r="14" spans="1:21" ht="28" thickBot="1">
      <c r="N14" s="178" t="s">
        <v>95</v>
      </c>
      <c r="O14" s="179">
        <v>116</v>
      </c>
    </row>
  </sheetData>
  <phoneticPr fontId="40" type="noConversion"/>
  <hyperlinks>
    <hyperlink ref="U6" r:id="rId1" xr:uid="{50E5C60D-C29F-E443-8477-3C8CCE8576BE}"/>
    <hyperlink ref="U7" r:id="rId2" xr:uid="{F26D6B76-3BD6-1C49-9843-E4006042A69D}"/>
    <hyperlink ref="U8" r:id="rId3" xr:uid="{A1B4F83D-BC00-C943-8C1D-DC641C2F6FFF}"/>
    <hyperlink ref="U9" r:id="rId4" xr:uid="{B3CF9A9E-B407-C948-BB69-30F1F0B106FB}"/>
  </hyperlinks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V10"/>
  <sheetViews>
    <sheetView topLeftCell="B1" workbookViewId="0">
      <selection activeCell="K21" sqref="K21"/>
    </sheetView>
  </sheetViews>
  <sheetFormatPr baseColWidth="10" defaultRowHeight="15"/>
  <cols>
    <col min="3" max="3" width="19.5" customWidth="1"/>
    <col min="5" max="5" width="25.1640625" customWidth="1"/>
    <col min="6" max="6" width="39.33203125" bestFit="1" customWidth="1"/>
    <col min="7" max="7" width="16.83203125" customWidth="1"/>
    <col min="10" max="10" width="15.6640625" customWidth="1"/>
    <col min="11" max="11" width="18.6640625" customWidth="1"/>
    <col min="12" max="12" width="27.6640625" customWidth="1"/>
    <col min="13" max="13" width="31.33203125" customWidth="1"/>
    <col min="14" max="14" width="16" customWidth="1"/>
    <col min="16" max="16" width="28" customWidth="1"/>
  </cols>
  <sheetData>
    <row r="3" spans="1:2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22">
      <c r="A4" s="5"/>
      <c r="B4" s="5"/>
      <c r="C4" s="82" t="s">
        <v>50</v>
      </c>
      <c r="D4" s="83"/>
      <c r="E4" s="83"/>
      <c r="F4" s="5"/>
      <c r="G4" s="83"/>
      <c r="H4" s="83"/>
      <c r="I4" s="83"/>
      <c r="J4" s="83"/>
      <c r="K4" s="83"/>
      <c r="L4" s="83"/>
      <c r="M4" s="83"/>
      <c r="N4" s="83"/>
      <c r="O4" s="83"/>
      <c r="P4" s="5"/>
    </row>
    <row r="5" spans="1:22" ht="16" thickBot="1">
      <c r="A5" s="5"/>
      <c r="B5" s="83"/>
      <c r="C5" s="84" t="s">
        <v>1</v>
      </c>
      <c r="D5" s="84"/>
      <c r="E5" s="84"/>
      <c r="F5" s="5"/>
      <c r="J5" t="s">
        <v>61</v>
      </c>
      <c r="K5" s="5"/>
      <c r="L5" s="91" t="s">
        <v>460</v>
      </c>
      <c r="P5" s="5"/>
    </row>
    <row r="6" spans="1:22" s="23" customFormat="1" ht="58.5" customHeight="1">
      <c r="A6" s="85"/>
      <c r="B6" s="86" t="s">
        <v>51</v>
      </c>
      <c r="C6" s="87" t="s">
        <v>52</v>
      </c>
      <c r="D6" s="87" t="s">
        <v>4</v>
      </c>
      <c r="E6" s="88" t="s">
        <v>53</v>
      </c>
      <c r="F6" s="87" t="s">
        <v>54</v>
      </c>
      <c r="G6" s="87" t="s">
        <v>55</v>
      </c>
      <c r="H6" s="86" t="s">
        <v>8</v>
      </c>
      <c r="I6" s="87" t="s">
        <v>56</v>
      </c>
      <c r="J6" s="87" t="s">
        <v>57</v>
      </c>
      <c r="K6" s="87" t="s">
        <v>58</v>
      </c>
      <c r="L6" s="87" t="s">
        <v>12</v>
      </c>
      <c r="M6" s="89" t="s">
        <v>59</v>
      </c>
      <c r="N6" s="87" t="s">
        <v>14</v>
      </c>
      <c r="O6" s="90" t="s">
        <v>15</v>
      </c>
      <c r="P6" s="87" t="s">
        <v>60</v>
      </c>
      <c r="Q6" s="89"/>
      <c r="R6" s="89"/>
    </row>
    <row r="7" spans="1:22" s="28" customFormat="1" ht="24" customHeight="1">
      <c r="A7" s="196">
        <v>1</v>
      </c>
      <c r="B7" s="197">
        <v>45674</v>
      </c>
      <c r="C7" s="198" t="s">
        <v>121</v>
      </c>
      <c r="D7" s="198"/>
      <c r="E7" s="199" t="s">
        <v>321</v>
      </c>
      <c r="F7" s="200" t="s">
        <v>322</v>
      </c>
      <c r="G7" s="200" t="s">
        <v>323</v>
      </c>
      <c r="H7" s="201" t="s">
        <v>41</v>
      </c>
      <c r="I7" s="198" t="s">
        <v>75</v>
      </c>
      <c r="J7" s="202" t="s">
        <v>76</v>
      </c>
      <c r="K7" s="200">
        <v>45674</v>
      </c>
      <c r="L7" s="200" t="s">
        <v>121</v>
      </c>
      <c r="M7" s="203" t="s">
        <v>324</v>
      </c>
      <c r="N7" s="199" t="s">
        <v>325</v>
      </c>
      <c r="O7" s="204">
        <v>15</v>
      </c>
      <c r="P7" s="205" t="s">
        <v>326</v>
      </c>
      <c r="Q7" s="198"/>
      <c r="R7" s="206"/>
      <c r="S7" s="24"/>
      <c r="T7" s="25"/>
      <c r="U7" s="26"/>
      <c r="V7" s="27"/>
    </row>
    <row r="8" spans="1:22" ht="19">
      <c r="A8" s="196">
        <v>1</v>
      </c>
      <c r="B8" s="197">
        <v>45674</v>
      </c>
      <c r="C8" s="198" t="s">
        <v>121</v>
      </c>
      <c r="D8" s="198"/>
      <c r="E8" s="199" t="s">
        <v>327</v>
      </c>
      <c r="F8" s="200" t="s">
        <v>328</v>
      </c>
      <c r="G8" s="200" t="s">
        <v>331</v>
      </c>
      <c r="H8" s="201" t="s">
        <v>41</v>
      </c>
      <c r="I8" s="198" t="s">
        <v>75</v>
      </c>
      <c r="J8" s="202" t="s">
        <v>76</v>
      </c>
      <c r="K8" s="200">
        <v>45674</v>
      </c>
      <c r="L8" s="200" t="s">
        <v>121</v>
      </c>
      <c r="M8" s="203" t="s">
        <v>324</v>
      </c>
      <c r="N8" s="199" t="s">
        <v>325</v>
      </c>
      <c r="O8" s="204">
        <v>15</v>
      </c>
      <c r="P8" s="205" t="s">
        <v>326</v>
      </c>
      <c r="Q8" s="198"/>
      <c r="R8" s="206"/>
    </row>
    <row r="9" spans="1:22" ht="19">
      <c r="A9" s="196">
        <v>1</v>
      </c>
      <c r="B9" s="197">
        <v>45674</v>
      </c>
      <c r="C9" s="198" t="s">
        <v>121</v>
      </c>
      <c r="D9" s="198"/>
      <c r="E9" s="199" t="s">
        <v>329</v>
      </c>
      <c r="F9" s="200" t="s">
        <v>330</v>
      </c>
      <c r="G9" s="200" t="s">
        <v>332</v>
      </c>
      <c r="H9" s="201" t="s">
        <v>41</v>
      </c>
      <c r="I9" s="198" t="s">
        <v>75</v>
      </c>
      <c r="J9" s="202" t="s">
        <v>76</v>
      </c>
      <c r="K9" s="200">
        <v>45674</v>
      </c>
      <c r="L9" s="200" t="s">
        <v>121</v>
      </c>
      <c r="M9" s="203" t="s">
        <v>324</v>
      </c>
      <c r="N9" s="199" t="s">
        <v>325</v>
      </c>
      <c r="O9" s="204">
        <v>15</v>
      </c>
      <c r="P9" s="205" t="s">
        <v>326</v>
      </c>
      <c r="Q9" s="198"/>
      <c r="R9" s="206"/>
    </row>
    <row r="10" spans="1:22">
      <c r="O10" s="172">
        <f>SUM(O7:O9)</f>
        <v>45</v>
      </c>
    </row>
  </sheetData>
  <hyperlinks>
    <hyperlink ref="P7" r:id="rId1" xr:uid="{CC96174C-9CC1-C24D-99B6-B8883CDEDF03}"/>
    <hyperlink ref="P8" r:id="rId2" xr:uid="{8D03F156-CFDA-7943-A44A-EA4BBEA5B679}"/>
    <hyperlink ref="P9" r:id="rId3" xr:uid="{88EF2EFF-10D9-D943-8600-D01E5150C686}"/>
  </hyperlinks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2"/>
  <sheetViews>
    <sheetView workbookViewId="0">
      <selection activeCell="M5" sqref="M5"/>
    </sheetView>
  </sheetViews>
  <sheetFormatPr baseColWidth="10" defaultRowHeight="15"/>
  <cols>
    <col min="3" max="3" width="11.33203125" customWidth="1"/>
    <col min="6" max="6" width="13.33203125" customWidth="1"/>
    <col min="11" max="11" width="20" customWidth="1"/>
  </cols>
  <sheetData>
    <row r="1" spans="1:21">
      <c r="A1" s="92"/>
      <c r="B1" s="93" t="s">
        <v>62</v>
      </c>
      <c r="C1" s="94"/>
      <c r="D1" s="93"/>
      <c r="E1" s="95"/>
      <c r="F1" s="95"/>
      <c r="G1" s="96"/>
      <c r="H1" s="96"/>
      <c r="I1" s="96"/>
      <c r="J1" s="96"/>
      <c r="K1" s="96"/>
      <c r="L1" s="96"/>
      <c r="M1" s="97"/>
      <c r="N1" s="96"/>
      <c r="O1" s="96"/>
      <c r="P1" s="96"/>
    </row>
    <row r="2" spans="1:21">
      <c r="A2" s="92"/>
      <c r="B2" s="98" t="s">
        <v>82</v>
      </c>
      <c r="C2" s="99"/>
      <c r="D2" s="95"/>
      <c r="E2" s="95"/>
      <c r="F2" s="95"/>
      <c r="G2" s="96"/>
      <c r="H2" s="96"/>
      <c r="I2" s="96"/>
      <c r="J2" s="96"/>
      <c r="K2" s="96"/>
      <c r="L2" s="96"/>
      <c r="M2" s="97"/>
      <c r="N2" s="96"/>
      <c r="O2" s="96"/>
      <c r="P2" s="96"/>
    </row>
    <row r="3" spans="1:21">
      <c r="A3" s="92"/>
      <c r="B3" s="100"/>
      <c r="C3" s="101"/>
      <c r="D3" s="100"/>
      <c r="E3" s="100"/>
      <c r="F3" s="100"/>
      <c r="G3" s="100"/>
      <c r="H3" s="100"/>
      <c r="I3" s="102"/>
      <c r="J3" s="100"/>
      <c r="K3" s="95"/>
      <c r="L3" s="95"/>
      <c r="M3" s="103"/>
      <c r="N3" s="96"/>
      <c r="O3" s="96"/>
      <c r="P3" s="100"/>
    </row>
    <row r="4" spans="1:21">
      <c r="A4" s="92"/>
      <c r="B4" s="96"/>
      <c r="C4" s="101" t="s">
        <v>0</v>
      </c>
      <c r="D4" s="96"/>
      <c r="E4" s="104"/>
      <c r="F4" s="96"/>
      <c r="G4" s="105"/>
      <c r="H4" s="96"/>
      <c r="I4" s="96"/>
      <c r="J4" s="96"/>
      <c r="K4" s="95"/>
      <c r="L4" s="99"/>
      <c r="M4" s="97"/>
      <c r="N4" s="96"/>
      <c r="O4" s="96"/>
      <c r="P4" s="96"/>
    </row>
    <row r="5" spans="1:21">
      <c r="A5" s="92"/>
      <c r="B5" s="96"/>
      <c r="C5" s="106" t="s">
        <v>1</v>
      </c>
      <c r="D5" s="106" t="s">
        <v>1</v>
      </c>
      <c r="E5" s="96"/>
      <c r="G5" s="96"/>
      <c r="H5" s="96"/>
      <c r="I5" s="96"/>
      <c r="J5" s="96" t="s">
        <v>72</v>
      </c>
      <c r="K5" s="96"/>
      <c r="L5" s="96"/>
      <c r="M5" s="96"/>
    </row>
    <row r="6" spans="1:21" ht="37">
      <c r="A6" s="92"/>
      <c r="B6" s="107" t="s">
        <v>2</v>
      </c>
      <c r="C6" s="107" t="s">
        <v>3</v>
      </c>
      <c r="D6" s="107" t="s">
        <v>4</v>
      </c>
      <c r="E6" s="107" t="s">
        <v>5</v>
      </c>
      <c r="F6" s="108" t="s">
        <v>6</v>
      </c>
      <c r="G6" s="107" t="s">
        <v>7</v>
      </c>
      <c r="H6" s="107" t="s">
        <v>8</v>
      </c>
      <c r="I6" s="107" t="s">
        <v>9</v>
      </c>
      <c r="J6" s="107" t="s">
        <v>10</v>
      </c>
      <c r="K6" s="107" t="s">
        <v>11</v>
      </c>
      <c r="L6" s="107" t="s">
        <v>64</v>
      </c>
      <c r="M6" s="109" t="s">
        <v>65</v>
      </c>
      <c r="N6" s="107" t="s">
        <v>66</v>
      </c>
      <c r="O6" s="107" t="s">
        <v>63</v>
      </c>
      <c r="P6" s="107" t="s">
        <v>67</v>
      </c>
      <c r="Q6" s="107" t="s">
        <v>68</v>
      </c>
      <c r="R6" s="107" t="s">
        <v>69</v>
      </c>
      <c r="S6" s="107" t="s">
        <v>70</v>
      </c>
      <c r="T6" s="109" t="s">
        <v>71</v>
      </c>
      <c r="U6" s="107" t="s">
        <v>13</v>
      </c>
    </row>
    <row r="7" spans="1:21" s="29" customFormat="1" ht="24" customHeight="1">
      <c r="A7"/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1"/>
      <c r="O7" s="150"/>
      <c r="P7" s="150"/>
      <c r="Q7" s="150"/>
      <c r="R7" s="150"/>
      <c r="S7" s="150"/>
      <c r="T7" s="150"/>
      <c r="U7" s="150"/>
    </row>
    <row r="8" spans="1:21" s="29" customFormat="1" ht="24" customHeight="1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</row>
    <row r="9" spans="1:21" s="29" customFormat="1" ht="24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 spans="1:21" s="29" customFormat="1" ht="24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 spans="1:21" s="29" customFormat="1" ht="24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 spans="1:21" s="29" customFormat="1" ht="24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 spans="1:21" s="29" customFormat="1" ht="24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 spans="1:21" s="29" customFormat="1" ht="24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 s="29" customFormat="1" ht="24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s="29" customFormat="1" ht="24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 spans="1:21" s="29" customFormat="1" ht="24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1" s="29" customFormat="1" ht="24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 spans="1:21" s="29" customFormat="1" ht="24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 s="29" customFormat="1" ht="24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1" s="29" customFormat="1" ht="24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1" s="29" customFormat="1" ht="24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 s="29" customFormat="1" ht="24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s="29" customFormat="1" ht="24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21" s="29" customFormat="1" ht="24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 s="29" customFormat="1" ht="24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 s="29" customFormat="1" ht="24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spans="1:21" s="29" customFormat="1" ht="24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pans="1:21" s="29" customFormat="1" ht="24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1:21" s="29" customFormat="1" ht="24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spans="1:21" s="29" customFormat="1" ht="24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1:21" s="29" customFormat="1" ht="24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 s="29" customFormat="1" ht="24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1" s="29" customFormat="1" ht="24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1" s="29" customFormat="1" ht="24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 s="29" customFormat="1" ht="24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1" s="29" customFormat="1" ht="24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 s="29" customFormat="1" ht="24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 s="29" customFormat="1" ht="24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 s="29" customFormat="1" ht="24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 s="29" customFormat="1" ht="24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 s="29" customFormat="1" ht="24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2"/>
  <sheetViews>
    <sheetView topLeftCell="D3" zoomScale="179" zoomScaleNormal="179" workbookViewId="0">
      <pane ySplit="2" topLeftCell="A5" activePane="bottomLeft" state="frozen"/>
      <selection activeCell="A3" sqref="A3"/>
      <selection pane="bottomLeft" activeCell="N31" sqref="N31"/>
    </sheetView>
  </sheetViews>
  <sheetFormatPr baseColWidth="10" defaultRowHeight="15"/>
  <cols>
    <col min="1" max="1" width="3.1640625" customWidth="1"/>
    <col min="2" max="2" width="7.33203125" customWidth="1"/>
    <col min="3" max="3" width="10.33203125" customWidth="1"/>
    <col min="4" max="4" width="14" customWidth="1"/>
    <col min="5" max="5" width="3.33203125" customWidth="1"/>
    <col min="6" max="6" width="15" customWidth="1"/>
    <col min="7" max="7" width="10" customWidth="1"/>
    <col min="8" max="8" width="20.33203125" customWidth="1"/>
    <col min="9" max="9" width="17.6640625" customWidth="1"/>
    <col min="10" max="10" width="5" customWidth="1"/>
    <col min="11" max="11" width="6.6640625" customWidth="1"/>
    <col min="12" max="12" width="7.33203125" customWidth="1"/>
    <col min="13" max="13" width="28.1640625" customWidth="1"/>
    <col min="14" max="14" width="27.83203125" customWidth="1"/>
    <col min="15" max="15" width="9.6640625" customWidth="1"/>
    <col min="16" max="16" width="7.1640625" customWidth="1"/>
    <col min="18" max="18" width="8" customWidth="1"/>
    <col min="19" max="19" width="5.83203125" customWidth="1"/>
    <col min="20" max="20" width="14" customWidth="1"/>
    <col min="21" max="21" width="13.5" customWidth="1"/>
    <col min="22" max="22" width="33" customWidth="1"/>
  </cols>
  <sheetData>
    <row r="1" spans="1:22" ht="16">
      <c r="E1" t="s">
        <v>89</v>
      </c>
      <c r="H1" s="135"/>
    </row>
    <row r="2" spans="1:22">
      <c r="B2" s="114"/>
      <c r="C2" s="115" t="s">
        <v>0</v>
      </c>
      <c r="G2" s="116"/>
      <c r="H2" s="117"/>
      <c r="I2" s="118"/>
      <c r="J2" s="119"/>
      <c r="K2" s="120"/>
      <c r="L2" s="121"/>
      <c r="M2" s="122"/>
      <c r="N2" s="122"/>
      <c r="O2" s="114"/>
      <c r="P2" s="123"/>
      <c r="U2" s="124"/>
    </row>
    <row r="3" spans="1:22">
      <c r="B3" s="114"/>
      <c r="C3" s="125" t="s">
        <v>1</v>
      </c>
      <c r="G3" s="126"/>
      <c r="H3" s="117"/>
      <c r="I3" s="118"/>
      <c r="J3" s="119"/>
      <c r="K3" s="120" t="s">
        <v>79</v>
      </c>
      <c r="L3" s="121"/>
      <c r="M3" s="122"/>
      <c r="N3" s="127"/>
      <c r="O3" s="128" t="s">
        <v>460</v>
      </c>
      <c r="P3" s="123"/>
      <c r="Q3" s="129"/>
      <c r="U3" s="124"/>
    </row>
    <row r="4" spans="1:22" ht="24" customHeight="1">
      <c r="B4" s="130" t="s">
        <v>11</v>
      </c>
      <c r="C4" s="130" t="s">
        <v>2</v>
      </c>
      <c r="D4" s="130" t="s">
        <v>3</v>
      </c>
      <c r="E4" s="130"/>
      <c r="F4" s="130" t="s">
        <v>4</v>
      </c>
      <c r="G4" s="130" t="s">
        <v>5</v>
      </c>
      <c r="H4" s="130" t="s">
        <v>6</v>
      </c>
      <c r="I4" s="130" t="s">
        <v>7</v>
      </c>
      <c r="J4" s="130" t="s">
        <v>8</v>
      </c>
      <c r="K4" s="130" t="s">
        <v>9</v>
      </c>
      <c r="L4" s="130" t="s">
        <v>10</v>
      </c>
      <c r="M4" s="131" t="s">
        <v>12</v>
      </c>
      <c r="N4" s="131" t="s">
        <v>13</v>
      </c>
      <c r="O4" s="130" t="s">
        <v>14</v>
      </c>
      <c r="P4" s="132" t="s">
        <v>15</v>
      </c>
      <c r="Q4" s="130" t="s">
        <v>16</v>
      </c>
      <c r="R4" s="130" t="s">
        <v>17</v>
      </c>
      <c r="S4" s="133" t="s">
        <v>18</v>
      </c>
      <c r="T4" s="130" t="s">
        <v>19</v>
      </c>
      <c r="U4" s="130" t="s">
        <v>20</v>
      </c>
      <c r="V4" s="134" t="s">
        <v>21</v>
      </c>
    </row>
    <row r="5" spans="1:22">
      <c r="A5" s="150">
        <v>1</v>
      </c>
      <c r="B5" s="155">
        <v>45663</v>
      </c>
      <c r="C5" s="155">
        <v>45661</v>
      </c>
      <c r="D5" s="155" t="s">
        <v>146</v>
      </c>
      <c r="E5" s="155"/>
      <c r="F5" s="155" t="s">
        <v>147</v>
      </c>
      <c r="G5" s="156" t="s">
        <v>148</v>
      </c>
      <c r="H5" s="155" t="s">
        <v>149</v>
      </c>
      <c r="I5" s="155" t="s">
        <v>150</v>
      </c>
      <c r="J5" s="156" t="s">
        <v>41</v>
      </c>
      <c r="K5" s="155" t="s">
        <v>75</v>
      </c>
      <c r="L5" s="155" t="s">
        <v>76</v>
      </c>
      <c r="M5" s="155" t="s">
        <v>151</v>
      </c>
      <c r="N5" s="155" t="s">
        <v>152</v>
      </c>
      <c r="O5" s="156" t="s">
        <v>153</v>
      </c>
      <c r="P5" s="166">
        <v>15</v>
      </c>
      <c r="Q5" s="155" t="s">
        <v>80</v>
      </c>
      <c r="R5" s="155" t="s">
        <v>75</v>
      </c>
      <c r="S5" s="155"/>
      <c r="T5" s="155" t="str">
        <f>F5</f>
        <v>043-903-000050987</v>
      </c>
      <c r="U5" s="167" t="s">
        <v>154</v>
      </c>
      <c r="V5" s="168" t="s">
        <v>155</v>
      </c>
    </row>
    <row r="6" spans="1:22">
      <c r="A6" s="150">
        <v>2</v>
      </c>
      <c r="B6" s="155">
        <v>45663</v>
      </c>
      <c r="C6" s="155">
        <v>45659</v>
      </c>
      <c r="D6" s="155" t="s">
        <v>146</v>
      </c>
      <c r="E6" s="155"/>
      <c r="F6" s="155" t="s">
        <v>156</v>
      </c>
      <c r="G6" s="156" t="s">
        <v>157</v>
      </c>
      <c r="H6" s="155" t="s">
        <v>158</v>
      </c>
      <c r="I6" s="155" t="s">
        <v>159</v>
      </c>
      <c r="J6" s="156" t="s">
        <v>41</v>
      </c>
      <c r="K6" s="155" t="s">
        <v>75</v>
      </c>
      <c r="L6" s="155" t="s">
        <v>76</v>
      </c>
      <c r="M6" s="155" t="s">
        <v>160</v>
      </c>
      <c r="N6" s="155" t="s">
        <v>161</v>
      </c>
      <c r="O6" s="156" t="s">
        <v>162</v>
      </c>
      <c r="P6" s="166">
        <v>25</v>
      </c>
      <c r="Q6" s="155" t="s">
        <v>80</v>
      </c>
      <c r="R6" s="155" t="s">
        <v>75</v>
      </c>
      <c r="S6" s="155"/>
      <c r="T6" s="155" t="str">
        <f t="shared" ref="T6:T18" si="0">F6</f>
        <v>043-903-000050722</v>
      </c>
      <c r="U6" s="167" t="s">
        <v>163</v>
      </c>
      <c r="V6" s="168" t="s">
        <v>164</v>
      </c>
    </row>
    <row r="7" spans="1:22">
      <c r="A7" s="150">
        <v>3</v>
      </c>
      <c r="B7" s="155">
        <v>45663</v>
      </c>
      <c r="C7" s="155">
        <v>45648</v>
      </c>
      <c r="D7" s="155" t="s">
        <v>182</v>
      </c>
      <c r="E7" s="155"/>
      <c r="F7" s="155" t="s">
        <v>183</v>
      </c>
      <c r="G7" s="156" t="s">
        <v>165</v>
      </c>
      <c r="H7" s="155" t="s">
        <v>166</v>
      </c>
      <c r="I7" s="155" t="s">
        <v>167</v>
      </c>
      <c r="J7" s="156" t="s">
        <v>41</v>
      </c>
      <c r="K7" s="155" t="s">
        <v>75</v>
      </c>
      <c r="L7" s="155" t="s">
        <v>76</v>
      </c>
      <c r="M7" s="155" t="s">
        <v>168</v>
      </c>
      <c r="N7" s="155" t="s">
        <v>169</v>
      </c>
      <c r="O7" s="156" t="s">
        <v>170</v>
      </c>
      <c r="P7" s="166">
        <v>29</v>
      </c>
      <c r="Q7" s="155" t="s">
        <v>80</v>
      </c>
      <c r="R7" s="155" t="s">
        <v>75</v>
      </c>
      <c r="S7" s="155"/>
      <c r="T7" s="155" t="str">
        <f t="shared" si="0"/>
        <v>040-104-000008828</v>
      </c>
      <c r="U7" s="167" t="s">
        <v>171</v>
      </c>
      <c r="V7" s="168" t="s">
        <v>172</v>
      </c>
    </row>
    <row r="8" spans="1:22">
      <c r="A8" s="150">
        <v>4</v>
      </c>
      <c r="B8" s="155">
        <v>45664</v>
      </c>
      <c r="C8" s="155">
        <v>45587</v>
      </c>
      <c r="D8" s="155" t="s">
        <v>146</v>
      </c>
      <c r="E8" s="155"/>
      <c r="F8" s="155" t="s">
        <v>173</v>
      </c>
      <c r="G8" s="156" t="s">
        <v>174</v>
      </c>
      <c r="H8" s="155" t="s">
        <v>175</v>
      </c>
      <c r="I8" s="155" t="s">
        <v>176</v>
      </c>
      <c r="J8" s="156" t="s">
        <v>41</v>
      </c>
      <c r="K8" s="155" t="s">
        <v>75</v>
      </c>
      <c r="L8" s="155" t="s">
        <v>76</v>
      </c>
      <c r="M8" s="155" t="s">
        <v>177</v>
      </c>
      <c r="N8" s="155" t="s">
        <v>178</v>
      </c>
      <c r="O8" s="156" t="s">
        <v>179</v>
      </c>
      <c r="P8" s="166">
        <v>25</v>
      </c>
      <c r="Q8" s="155" t="s">
        <v>80</v>
      </c>
      <c r="R8" s="155" t="s">
        <v>75</v>
      </c>
      <c r="S8" s="155"/>
      <c r="T8" s="155" t="str">
        <f t="shared" si="0"/>
        <v>043-906-000032740</v>
      </c>
      <c r="U8" s="167" t="s">
        <v>180</v>
      </c>
      <c r="V8" s="168" t="s">
        <v>181</v>
      </c>
    </row>
    <row r="9" spans="1:22">
      <c r="A9" s="150">
        <v>5</v>
      </c>
      <c r="B9" s="155">
        <v>45665</v>
      </c>
      <c r="C9" s="155">
        <v>45441</v>
      </c>
      <c r="D9" s="155" t="s">
        <v>223</v>
      </c>
      <c r="E9" s="155"/>
      <c r="F9" s="155" t="s">
        <v>224</v>
      </c>
      <c r="G9" s="156" t="s">
        <v>225</v>
      </c>
      <c r="H9" s="155" t="s">
        <v>226</v>
      </c>
      <c r="I9" s="155" t="s">
        <v>227</v>
      </c>
      <c r="J9" s="156" t="s">
        <v>41</v>
      </c>
      <c r="K9" s="155" t="s">
        <v>75</v>
      </c>
      <c r="L9" s="155" t="s">
        <v>76</v>
      </c>
      <c r="M9" s="155" t="s">
        <v>228</v>
      </c>
      <c r="N9" s="155" t="s">
        <v>229</v>
      </c>
      <c r="O9" s="156" t="s">
        <v>230</v>
      </c>
      <c r="P9" s="166">
        <v>25</v>
      </c>
      <c r="Q9" s="155" t="s">
        <v>80</v>
      </c>
      <c r="R9" s="155" t="s">
        <v>75</v>
      </c>
      <c r="S9" s="155"/>
      <c r="T9" s="155" t="str">
        <f t="shared" si="0"/>
        <v>007-007-000031524</v>
      </c>
      <c r="U9" s="167" t="s">
        <v>231</v>
      </c>
      <c r="V9" s="168" t="s">
        <v>232</v>
      </c>
    </row>
    <row r="10" spans="1:22">
      <c r="A10" s="150">
        <v>6</v>
      </c>
      <c r="B10" s="155">
        <v>45665</v>
      </c>
      <c r="C10" s="155">
        <v>45663</v>
      </c>
      <c r="D10" s="155" t="s">
        <v>146</v>
      </c>
      <c r="E10" s="155"/>
      <c r="F10" s="155" t="s">
        <v>233</v>
      </c>
      <c r="G10" s="156" t="s">
        <v>234</v>
      </c>
      <c r="H10" s="155" t="s">
        <v>235</v>
      </c>
      <c r="I10" s="155" t="s">
        <v>236</v>
      </c>
      <c r="J10" s="156" t="s">
        <v>41</v>
      </c>
      <c r="K10" s="155" t="s">
        <v>75</v>
      </c>
      <c r="L10" s="155" t="s">
        <v>76</v>
      </c>
      <c r="M10" s="155" t="s">
        <v>237</v>
      </c>
      <c r="N10" s="155" t="s">
        <v>238</v>
      </c>
      <c r="O10" s="156" t="s">
        <v>239</v>
      </c>
      <c r="P10" s="166">
        <v>15</v>
      </c>
      <c r="Q10" s="155" t="s">
        <v>80</v>
      </c>
      <c r="R10" s="155" t="s">
        <v>75</v>
      </c>
      <c r="S10" s="155"/>
      <c r="T10" s="155" t="str">
        <f t="shared" si="0"/>
        <v>016-907-000233652</v>
      </c>
      <c r="U10" s="167" t="s">
        <v>240</v>
      </c>
      <c r="V10" s="168" t="s">
        <v>241</v>
      </c>
    </row>
    <row r="11" spans="1:22">
      <c r="A11" s="150">
        <v>7</v>
      </c>
      <c r="B11" s="155">
        <v>45667</v>
      </c>
      <c r="C11" s="155">
        <v>45633</v>
      </c>
      <c r="D11" s="155" t="s">
        <v>182</v>
      </c>
      <c r="E11" s="155"/>
      <c r="F11" s="155" t="s">
        <v>264</v>
      </c>
      <c r="G11" s="156" t="s">
        <v>157</v>
      </c>
      <c r="H11" s="155" t="s">
        <v>158</v>
      </c>
      <c r="I11" s="155" t="s">
        <v>265</v>
      </c>
      <c r="J11" s="156" t="s">
        <v>41</v>
      </c>
      <c r="K11" s="155" t="s">
        <v>75</v>
      </c>
      <c r="L11" s="155" t="s">
        <v>76</v>
      </c>
      <c r="M11" s="155" t="s">
        <v>266</v>
      </c>
      <c r="N11" s="155" t="s">
        <v>267</v>
      </c>
      <c r="O11" s="156" t="s">
        <v>268</v>
      </c>
      <c r="P11" s="166">
        <v>25</v>
      </c>
      <c r="Q11" s="155" t="s">
        <v>80</v>
      </c>
      <c r="R11" s="155" t="s">
        <v>75</v>
      </c>
      <c r="S11" s="155"/>
      <c r="T11" s="155" t="str">
        <f t="shared" si="0"/>
        <v>040-103-000010079</v>
      </c>
      <c r="U11" s="167" t="s">
        <v>269</v>
      </c>
      <c r="V11" s="168" t="s">
        <v>270</v>
      </c>
    </row>
    <row r="12" spans="1:22">
      <c r="A12" s="150">
        <v>8</v>
      </c>
      <c r="B12" s="155">
        <v>45670</v>
      </c>
      <c r="C12" s="155">
        <v>45668</v>
      </c>
      <c r="D12" s="155" t="s">
        <v>146</v>
      </c>
      <c r="E12" s="155"/>
      <c r="F12" s="155" t="s">
        <v>271</v>
      </c>
      <c r="G12" s="156" t="s">
        <v>272</v>
      </c>
      <c r="H12" s="155" t="s">
        <v>273</v>
      </c>
      <c r="I12" s="155" t="s">
        <v>274</v>
      </c>
      <c r="J12" s="156" t="s">
        <v>41</v>
      </c>
      <c r="K12" s="155" t="s">
        <v>75</v>
      </c>
      <c r="L12" s="155" t="s">
        <v>76</v>
      </c>
      <c r="M12" s="155" t="s">
        <v>275</v>
      </c>
      <c r="N12" s="155" t="s">
        <v>276</v>
      </c>
      <c r="O12" s="156" t="s">
        <v>277</v>
      </c>
      <c r="P12" s="166">
        <v>15</v>
      </c>
      <c r="Q12" s="155" t="s">
        <v>80</v>
      </c>
      <c r="R12" s="155" t="s">
        <v>75</v>
      </c>
      <c r="S12" s="155"/>
      <c r="T12" s="155" t="str">
        <f t="shared" si="0"/>
        <v>016-902-000493252</v>
      </c>
      <c r="U12" s="167" t="s">
        <v>278</v>
      </c>
      <c r="V12" s="168" t="s">
        <v>279</v>
      </c>
    </row>
    <row r="13" spans="1:22">
      <c r="A13" s="150">
        <v>9</v>
      </c>
      <c r="B13" s="155">
        <v>45671</v>
      </c>
      <c r="C13" s="155">
        <v>45352</v>
      </c>
      <c r="D13" s="155" t="s">
        <v>121</v>
      </c>
      <c r="E13" s="155"/>
      <c r="F13" s="155" t="s">
        <v>280</v>
      </c>
      <c r="G13" s="156" t="s">
        <v>281</v>
      </c>
      <c r="H13" s="155" t="s">
        <v>282</v>
      </c>
      <c r="I13" s="155" t="s">
        <v>283</v>
      </c>
      <c r="J13" s="156" t="s">
        <v>41</v>
      </c>
      <c r="K13" s="155" t="s">
        <v>75</v>
      </c>
      <c r="L13" s="155" t="s">
        <v>76</v>
      </c>
      <c r="M13" s="155" t="s">
        <v>284</v>
      </c>
      <c r="N13" s="155" t="s">
        <v>285</v>
      </c>
      <c r="O13" s="156" t="s">
        <v>286</v>
      </c>
      <c r="P13" s="166">
        <v>29</v>
      </c>
      <c r="Q13" s="155" t="s">
        <v>80</v>
      </c>
      <c r="R13" s="173" t="s">
        <v>75</v>
      </c>
      <c r="T13" s="155" t="str">
        <f t="shared" si="0"/>
        <v>001-501-000002015</v>
      </c>
      <c r="U13" s="174" t="s">
        <v>287</v>
      </c>
      <c r="V13" s="192" t="s">
        <v>288</v>
      </c>
    </row>
    <row r="14" spans="1:22">
      <c r="A14" s="150">
        <v>10</v>
      </c>
      <c r="B14" s="155">
        <v>45673</v>
      </c>
      <c r="C14" s="155">
        <v>45639</v>
      </c>
      <c r="D14" s="155" t="s">
        <v>146</v>
      </c>
      <c r="E14" s="155"/>
      <c r="F14" s="155" t="s">
        <v>313</v>
      </c>
      <c r="G14" s="156" t="s">
        <v>314</v>
      </c>
      <c r="H14" s="155" t="s">
        <v>315</v>
      </c>
      <c r="I14" s="195">
        <v>111910000000140</v>
      </c>
      <c r="J14" s="156" t="s">
        <v>41</v>
      </c>
      <c r="K14" s="155" t="s">
        <v>75</v>
      </c>
      <c r="L14" s="155" t="s">
        <v>76</v>
      </c>
      <c r="M14" s="155" t="s">
        <v>316</v>
      </c>
      <c r="N14" s="155" t="s">
        <v>317</v>
      </c>
      <c r="O14" s="156" t="s">
        <v>318</v>
      </c>
      <c r="P14" s="166">
        <v>36</v>
      </c>
      <c r="Q14" s="155" t="s">
        <v>80</v>
      </c>
      <c r="R14" s="173" t="s">
        <v>75</v>
      </c>
      <c r="T14" s="155" t="str">
        <f t="shared" si="0"/>
        <v>043-904-000053680</v>
      </c>
      <c r="U14" s="174" t="s">
        <v>319</v>
      </c>
      <c r="V14" s="193" t="s">
        <v>320</v>
      </c>
    </row>
    <row r="15" spans="1:22">
      <c r="A15" s="150">
        <v>11</v>
      </c>
      <c r="B15" s="155">
        <v>45672</v>
      </c>
      <c r="C15" s="155">
        <v>45645</v>
      </c>
      <c r="D15" s="155" t="s">
        <v>146</v>
      </c>
      <c r="E15" s="155"/>
      <c r="F15" s="155" t="s">
        <v>365</v>
      </c>
      <c r="G15" s="156" t="s">
        <v>366</v>
      </c>
      <c r="H15" s="155" t="s">
        <v>367</v>
      </c>
      <c r="I15" s="155" t="s">
        <v>368</v>
      </c>
      <c r="J15" s="156" t="s">
        <v>41</v>
      </c>
      <c r="K15" s="155" t="s">
        <v>75</v>
      </c>
      <c r="L15" s="155" t="s">
        <v>76</v>
      </c>
      <c r="M15" s="155" t="s">
        <v>369</v>
      </c>
      <c r="N15" s="155" t="s">
        <v>370</v>
      </c>
      <c r="O15" s="156" t="s">
        <v>371</v>
      </c>
      <c r="P15" s="166">
        <v>29</v>
      </c>
      <c r="Q15" s="155" t="s">
        <v>80</v>
      </c>
      <c r="R15" s="173" t="s">
        <v>75</v>
      </c>
      <c r="T15" s="155" t="str">
        <f t="shared" si="0"/>
        <v>043-904-000054826</v>
      </c>
      <c r="U15" s="208" t="s">
        <v>372</v>
      </c>
      <c r="V15" s="193" t="s">
        <v>373</v>
      </c>
    </row>
    <row r="16" spans="1:22">
      <c r="A16" s="150">
        <v>12</v>
      </c>
      <c r="B16" s="155">
        <v>45673</v>
      </c>
      <c r="C16" s="155">
        <v>45668</v>
      </c>
      <c r="D16" s="155" t="s">
        <v>182</v>
      </c>
      <c r="E16" s="155"/>
      <c r="F16" s="155" t="s">
        <v>374</v>
      </c>
      <c r="G16" s="156" t="s">
        <v>375</v>
      </c>
      <c r="H16" s="155" t="s">
        <v>376</v>
      </c>
      <c r="I16" s="155" t="s">
        <v>377</v>
      </c>
      <c r="J16" s="156" t="s">
        <v>41</v>
      </c>
      <c r="K16" s="155" t="s">
        <v>75</v>
      </c>
      <c r="L16" s="155" t="s">
        <v>76</v>
      </c>
      <c r="M16" s="155" t="s">
        <v>378</v>
      </c>
      <c r="N16" s="155" t="s">
        <v>379</v>
      </c>
      <c r="O16" s="156" t="s">
        <v>380</v>
      </c>
      <c r="P16" s="166">
        <v>30</v>
      </c>
      <c r="Q16" s="155" t="s">
        <v>80</v>
      </c>
      <c r="R16" s="155" t="s">
        <v>75</v>
      </c>
      <c r="S16" s="155"/>
      <c r="T16" s="155" t="str">
        <f t="shared" si="0"/>
        <v>040-103-000011113</v>
      </c>
      <c r="U16" s="167" t="s">
        <v>381</v>
      </c>
      <c r="V16" s="168" t="s">
        <v>382</v>
      </c>
    </row>
    <row r="17" spans="1:22">
      <c r="A17" s="150">
        <v>13</v>
      </c>
      <c r="B17" s="155">
        <v>45673</v>
      </c>
      <c r="C17" s="155">
        <v>45667</v>
      </c>
      <c r="D17" s="155" t="s">
        <v>146</v>
      </c>
      <c r="E17" s="155"/>
      <c r="F17" s="155" t="s">
        <v>383</v>
      </c>
      <c r="G17" s="156" t="s">
        <v>384</v>
      </c>
      <c r="H17" s="155" t="s">
        <v>385</v>
      </c>
      <c r="I17" s="155" t="s">
        <v>386</v>
      </c>
      <c r="J17" s="156" t="s">
        <v>41</v>
      </c>
      <c r="K17" s="155" t="s">
        <v>75</v>
      </c>
      <c r="L17" s="155" t="s">
        <v>76</v>
      </c>
      <c r="M17" s="155" t="s">
        <v>387</v>
      </c>
      <c r="N17" s="155" t="s">
        <v>388</v>
      </c>
      <c r="O17" s="156" t="s">
        <v>389</v>
      </c>
      <c r="P17" s="166">
        <v>15</v>
      </c>
      <c r="Q17" s="155" t="s">
        <v>80</v>
      </c>
      <c r="R17" s="155" t="s">
        <v>75</v>
      </c>
      <c r="S17" s="155"/>
      <c r="T17" s="155" t="str">
        <f t="shared" si="0"/>
        <v>016-907-000234265</v>
      </c>
      <c r="U17" s="167" t="s">
        <v>390</v>
      </c>
      <c r="V17" s="168" t="s">
        <v>391</v>
      </c>
    </row>
    <row r="18" spans="1:22">
      <c r="A18" s="150">
        <v>14</v>
      </c>
      <c r="B18" s="155">
        <v>45674</v>
      </c>
      <c r="C18" s="155">
        <v>45672</v>
      </c>
      <c r="D18" s="155" t="s">
        <v>146</v>
      </c>
      <c r="E18" s="155"/>
      <c r="F18" s="155" t="s">
        <v>392</v>
      </c>
      <c r="G18" s="156" t="s">
        <v>393</v>
      </c>
      <c r="H18" s="155" t="s">
        <v>235</v>
      </c>
      <c r="I18" s="155" t="s">
        <v>394</v>
      </c>
      <c r="J18" s="156" t="s">
        <v>41</v>
      </c>
      <c r="K18" s="155" t="s">
        <v>75</v>
      </c>
      <c r="L18" s="155" t="s">
        <v>76</v>
      </c>
      <c r="M18" s="155" t="s">
        <v>237</v>
      </c>
      <c r="N18" s="155" t="s">
        <v>395</v>
      </c>
      <c r="O18" s="156" t="s">
        <v>239</v>
      </c>
      <c r="P18" s="166">
        <v>15</v>
      </c>
      <c r="Q18" s="155" t="s">
        <v>80</v>
      </c>
      <c r="R18" s="155" t="s">
        <v>75</v>
      </c>
      <c r="S18" s="155"/>
      <c r="T18" s="155" t="str">
        <f t="shared" si="0"/>
        <v>016-902-000493658</v>
      </c>
      <c r="U18" s="167" t="s">
        <v>240</v>
      </c>
      <c r="V18" s="168" t="s">
        <v>241</v>
      </c>
    </row>
    <row r="19" spans="1:22">
      <c r="A19" s="150">
        <v>15</v>
      </c>
      <c r="B19" s="155">
        <v>45674</v>
      </c>
      <c r="C19" s="155">
        <v>45673</v>
      </c>
      <c r="D19" s="155" t="s">
        <v>121</v>
      </c>
      <c r="E19" s="155"/>
      <c r="F19" s="155" t="s">
        <v>404</v>
      </c>
      <c r="G19" s="156" t="s">
        <v>396</v>
      </c>
      <c r="H19" s="155" t="s">
        <v>397</v>
      </c>
      <c r="I19" s="155" t="s">
        <v>398</v>
      </c>
      <c r="J19" s="156" t="s">
        <v>41</v>
      </c>
      <c r="K19" s="155" t="s">
        <v>75</v>
      </c>
      <c r="L19" s="155" t="s">
        <v>76</v>
      </c>
      <c r="M19" s="155" t="s">
        <v>403</v>
      </c>
      <c r="N19" s="155" t="s">
        <v>399</v>
      </c>
      <c r="O19" s="156" t="s">
        <v>400</v>
      </c>
      <c r="P19" s="166">
        <v>29</v>
      </c>
      <c r="Q19" s="155" t="s">
        <v>80</v>
      </c>
      <c r="R19" s="155" t="s">
        <v>75</v>
      </c>
      <c r="S19" s="155"/>
      <c r="T19" s="155" t="str">
        <f>F19</f>
        <v>001-500-000070174</v>
      </c>
      <c r="U19" s="167" t="s">
        <v>401</v>
      </c>
      <c r="V19" s="168" t="s">
        <v>402</v>
      </c>
    </row>
    <row r="20" spans="1:22">
      <c r="A20" s="150">
        <v>17</v>
      </c>
      <c r="B20" s="155">
        <v>45677</v>
      </c>
      <c r="C20" s="155">
        <v>45664</v>
      </c>
      <c r="D20" s="155" t="s">
        <v>146</v>
      </c>
      <c r="E20" s="155"/>
      <c r="F20" s="155" t="s">
        <v>436</v>
      </c>
      <c r="G20" s="156" t="s">
        <v>234</v>
      </c>
      <c r="H20" s="155" t="s">
        <v>235</v>
      </c>
      <c r="I20" s="155" t="s">
        <v>424</v>
      </c>
      <c r="J20" s="156" t="s">
        <v>41</v>
      </c>
      <c r="K20" s="155" t="s">
        <v>75</v>
      </c>
      <c r="L20" s="155" t="s">
        <v>76</v>
      </c>
      <c r="M20" s="155" t="s">
        <v>425</v>
      </c>
      <c r="N20" s="155" t="s">
        <v>426</v>
      </c>
      <c r="O20" s="156" t="s">
        <v>427</v>
      </c>
      <c r="P20" s="166">
        <v>15</v>
      </c>
      <c r="Q20" s="155" t="s">
        <v>80</v>
      </c>
      <c r="R20" s="155" t="s">
        <v>75</v>
      </c>
      <c r="S20" s="155"/>
      <c r="T20" s="155" t="str">
        <f>F20</f>
        <v>016-907-000233808</v>
      </c>
      <c r="U20" s="167" t="s">
        <v>428</v>
      </c>
      <c r="V20" s="168" t="s">
        <v>429</v>
      </c>
    </row>
    <row r="21" spans="1:22">
      <c r="P21" s="172">
        <f>SUM(P5:P20)</f>
        <v>372</v>
      </c>
    </row>
    <row r="22" spans="1:22">
      <c r="P22" s="177"/>
    </row>
  </sheetData>
  <phoneticPr fontId="40" type="noConversion"/>
  <hyperlinks>
    <hyperlink ref="V5" r:id="rId1" xr:uid="{08EC105E-FCAA-D44A-8B5D-FC8DF8B99D8F}"/>
    <hyperlink ref="V6" r:id="rId2" xr:uid="{647D77EA-D1DC-FA43-B650-8A8DB3BF053B}"/>
    <hyperlink ref="V7" r:id="rId3" xr:uid="{2F640DCF-7B40-A747-B14E-CD7987075113}"/>
    <hyperlink ref="V8" r:id="rId4" xr:uid="{509D92C8-8456-DC42-93F8-2CE5F1697E0C}"/>
    <hyperlink ref="V9" r:id="rId5" xr:uid="{D903FA1B-BDF1-CC45-A7DA-79A5B8B5AEE4}"/>
    <hyperlink ref="V10" r:id="rId6" xr:uid="{FD95CCCF-9202-0143-A996-58184E0F5BE5}"/>
    <hyperlink ref="V11" r:id="rId7" xr:uid="{18CF4C55-397F-2542-BB87-D39D87589712}"/>
    <hyperlink ref="V12" r:id="rId8" xr:uid="{594D35D8-4C68-4A4E-9CAA-E0E7849D2D8C}"/>
    <hyperlink ref="V13" r:id="rId9" xr:uid="{D62041C4-ABA8-4645-9C16-CDEE20000C6A}"/>
    <hyperlink ref="V14" r:id="rId10" xr:uid="{51E0EF9F-05CC-C347-9F4E-69FBDFAED2AC}"/>
    <hyperlink ref="V15" r:id="rId11" xr:uid="{B4419DAF-02B1-EF4C-9E0A-93B3AFB54527}"/>
    <hyperlink ref="V16" r:id="rId12" xr:uid="{74C5187A-7416-304A-B5A7-FE8176B6523F}"/>
    <hyperlink ref="V17" r:id="rId13" xr:uid="{2664A2AD-4101-114B-8372-96AA45C4F228}"/>
    <hyperlink ref="V18" r:id="rId14" xr:uid="{7AB949F0-948D-6641-A683-5705CDFD8037}"/>
    <hyperlink ref="V19" r:id="rId15" xr:uid="{9560CD83-9392-8B4F-A62C-B01ADDE13BF9}"/>
    <hyperlink ref="V20" r:id="rId16" xr:uid="{D965085E-1E40-B842-A6B8-C1A91A59AD94}"/>
  </hyperlinks>
  <pageMargins left="0.7" right="0.7" top="0.75" bottom="0.75" header="0.3" footer="0.3"/>
  <pageSetup paperSize="9" orientation="portrait" horizontalDpi="0" verticalDpi="0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PROMOCION</vt:lpstr>
      <vt:lpstr>GARANTIA</vt:lpstr>
      <vt:lpstr>BBQ</vt:lpstr>
      <vt:lpstr>ALMACENES </vt:lpstr>
      <vt:lpstr>PROYECTO </vt:lpstr>
      <vt:lpstr>1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Office</cp:lastModifiedBy>
  <dcterms:created xsi:type="dcterms:W3CDTF">2024-01-22T20:29:31Z</dcterms:created>
  <dcterms:modified xsi:type="dcterms:W3CDTF">2025-10-18T22:40:18Z</dcterms:modified>
</cp:coreProperties>
</file>