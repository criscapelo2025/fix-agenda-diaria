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6"/>
  <workbookPr/>
  <mc:AlternateContent xmlns:mc="http://schemas.openxmlformats.org/markup-compatibility/2006">
    <mc:Choice Requires="x15">
      <x15ac:absPath xmlns:x15ac="http://schemas.microsoft.com/office/spreadsheetml/2010/11/ac" url="/Users/olivercapelo/Desktop/REPORTES 2024 CONSOLIDADO/"/>
    </mc:Choice>
  </mc:AlternateContent>
  <xr:revisionPtr revIDLastSave="0" documentId="8_{87EDB9BE-02AC-3540-8CDC-F41BECC07A14}" xr6:coauthVersionLast="47" xr6:coauthVersionMax="47" xr10:uidLastSave="{00000000-0000-0000-0000-000000000000}"/>
  <bookViews>
    <workbookView xWindow="0" yWindow="500" windowWidth="20740" windowHeight="11760" activeTab="3" xr2:uid="{00000000-000D-0000-FFFF-FFFF00000000}"/>
  </bookViews>
  <sheets>
    <sheet name="PROMOCION" sheetId="1" r:id="rId1"/>
    <sheet name="GARANTIA" sheetId="2" r:id="rId2"/>
    <sheet name="BBQ" sheetId="3" r:id="rId3"/>
    <sheet name="ALMACENES " sheetId="4" r:id="rId4"/>
    <sheet name="PROYECTO " sheetId="5" r:id="rId5"/>
    <sheet name="1 PRODUCTO" sheetId="6" r:id="rId6"/>
    <sheet name="CONSOLIDADO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8" i="1" l="1"/>
  <c r="M87" i="1"/>
  <c r="M86" i="1"/>
  <c r="O83" i="1"/>
  <c r="I24" i="2" l="1"/>
  <c r="O39" i="6" l="1"/>
  <c r="I25" i="2" l="1"/>
  <c r="I28" i="2" s="1"/>
  <c r="L17" i="3" l="1"/>
  <c r="M89" i="1" l="1"/>
</calcChain>
</file>

<file path=xl/sharedStrings.xml><?xml version="1.0" encoding="utf-8"?>
<sst xmlns="http://schemas.openxmlformats.org/spreadsheetml/2006/main" count="2798" uniqueCount="698">
  <si>
    <t xml:space="preserve">TEKA ECUADOR S.A. </t>
  </si>
  <si>
    <t>Registro Único de Contribuyente: 1791883144001</t>
  </si>
  <si>
    <t xml:space="preserve">FECHA DE COMPRA </t>
  </si>
  <si>
    <t xml:space="preserve">LUGAR DE COMRPA </t>
  </si>
  <si>
    <t>NUMERO DE FACTURA DE COMPRA</t>
  </si>
  <si>
    <t xml:space="preserve">CODIGO DEL PRODUCTO </t>
  </si>
  <si>
    <t xml:space="preserve">DESCRIPCION DE PRODUCTO </t>
  </si>
  <si>
    <t xml:space="preserve">SERIE DEL EQUIPO </t>
  </si>
  <si>
    <t>GARANTIA DEL EQUIPO</t>
  </si>
  <si>
    <t xml:space="preserve">TECNICO </t>
  </si>
  <si>
    <t xml:space="preserve">CIUDAD </t>
  </si>
  <si>
    <t xml:space="preserve">FECHA DE INSTALACION </t>
  </si>
  <si>
    <t>NOMBRE DEL CLIENTE</t>
  </si>
  <si>
    <t xml:space="preserve">DIRECCION INSTALACION </t>
  </si>
  <si>
    <t>CELULAR DEL CLIENTE</t>
  </si>
  <si>
    <t>PRECIO</t>
  </si>
  <si>
    <t xml:space="preserve">COMO LLEGO LA INFORMACION </t>
  </si>
  <si>
    <t>TÉCNICO QUE ATENDIÓ</t>
  </si>
  <si>
    <t xml:space="preserve">VIÁTICO </t>
  </si>
  <si>
    <t>FACTURA NUMERO</t>
  </si>
  <si>
    <t>CEDULA O RUC</t>
  </si>
  <si>
    <t xml:space="preserve">CORREO DEL CLIENTE </t>
  </si>
  <si>
    <t>Cliente final</t>
  </si>
  <si>
    <t xml:space="preserve">PROMOCION </t>
  </si>
  <si>
    <t xml:space="preserve">                  TRABAJOS EN GARANTÍAS</t>
  </si>
  <si>
    <t>Para Ing. Fernández</t>
  </si>
  <si>
    <t>Fecha de Compra</t>
  </si>
  <si>
    <t>Fecha de Intervención</t>
  </si>
  <si>
    <t>Cantidad</t>
  </si>
  <si>
    <t>Código del repuesto</t>
  </si>
  <si>
    <t>Descripción del Repuesto</t>
  </si>
  <si>
    <t xml:space="preserve">Codigo del Producto </t>
  </si>
  <si>
    <t>Descripción del Producto</t>
  </si>
  <si>
    <t>Serie</t>
  </si>
  <si>
    <t>Garantía</t>
  </si>
  <si>
    <t xml:space="preserve">Técnico </t>
  </si>
  <si>
    <t>Cliente</t>
  </si>
  <si>
    <t>Observación</t>
  </si>
  <si>
    <t xml:space="preserve">valor a pagar </t>
  </si>
  <si>
    <t>Cédula</t>
  </si>
  <si>
    <t>Correo</t>
  </si>
  <si>
    <t>telefono del cliente</t>
  </si>
  <si>
    <t>SAP</t>
  </si>
  <si>
    <t>Productos</t>
  </si>
  <si>
    <t xml:space="preserve">     TEKA ECUADOR S.A. </t>
  </si>
  <si>
    <t xml:space="preserve">    Registro Único de Contribuyente: 1791883144001</t>
  </si>
  <si>
    <t>BBQ</t>
  </si>
  <si>
    <t xml:space="preserve">FECHA INSTALACION </t>
  </si>
  <si>
    <t xml:space="preserve">COMO LLEGO INFORMACION </t>
  </si>
  <si>
    <t>TECNICO QUE ATENDIO</t>
  </si>
  <si>
    <t>VIATICOS</t>
  </si>
  <si>
    <t>CORREO DEL CLIENTE</t>
  </si>
  <si>
    <t>Kywi s.a.</t>
  </si>
  <si>
    <t>Sap Teka</t>
  </si>
  <si>
    <t>Barbacoa a Gas T-BBQ 3100 G BK SS</t>
  </si>
  <si>
    <t>098-250-9523</t>
  </si>
  <si>
    <t>Cliente Final</t>
  </si>
  <si>
    <t>TEKA ECUADOR S.A.</t>
  </si>
  <si>
    <t>FECHA DE COMPRA</t>
  </si>
  <si>
    <t>LUGAR DE COMRPA</t>
  </si>
  <si>
    <t>CODIGO DEL PRODUCTO</t>
  </si>
  <si>
    <t>DESCRIPCION DE PRODUCTO</t>
  </si>
  <si>
    <t>SERIE DEL EQUIPO</t>
  </si>
  <si>
    <t>TECNICO</t>
  </si>
  <si>
    <t>CIUDAD</t>
  </si>
  <si>
    <t>FECHA INSTALACION</t>
  </si>
  <si>
    <t>DIRECCION INSTALACION</t>
  </si>
  <si>
    <t>COMO LLEGO INFORMACION</t>
  </si>
  <si>
    <t>STOCK</t>
  </si>
  <si>
    <t xml:space="preserve">LLAMADA TELEFONICA </t>
  </si>
  <si>
    <t>TOTAL</t>
  </si>
  <si>
    <t xml:space="preserve">ALMACENES </t>
  </si>
  <si>
    <t>DETALLE DE PRODUCTOS INSTALADOS EN PROYECTO</t>
  </si>
  <si>
    <t xml:space="preserve">COMO NOS LLEGO LA INFORMACION </t>
  </si>
  <si>
    <t>DICIEMBRE 2023</t>
  </si>
  <si>
    <t>Nombre de cliente</t>
  </si>
  <si>
    <t xml:space="preserve">Celular cliente </t>
  </si>
  <si>
    <t>VALOR</t>
  </si>
  <si>
    <t>RUC O CEDULA DUEÑO DE CASA</t>
  </si>
  <si>
    <t xml:space="preserve">CORREO DEL DUEÑO DE CASA </t>
  </si>
  <si>
    <t>DPTO.</t>
  </si>
  <si>
    <t>RECIBIDO POR</t>
  </si>
  <si>
    <t>CÉDULA</t>
  </si>
  <si>
    <t>Campana GFH 55</t>
  </si>
  <si>
    <t>Sat</t>
  </si>
  <si>
    <t xml:space="preserve">PROYECTO </t>
  </si>
  <si>
    <t>Alm. España</t>
  </si>
  <si>
    <t>001-501-000049541</t>
  </si>
  <si>
    <t>Cocina GZC 96310XBB</t>
  </si>
  <si>
    <t>ZP21BS00004</t>
  </si>
  <si>
    <t>Capelo</t>
  </si>
  <si>
    <t>Cuenca</t>
  </si>
  <si>
    <t>Priscila Aucapiña</t>
  </si>
  <si>
    <t>Misicata</t>
  </si>
  <si>
    <t>priscibonsai1985@gmail.com</t>
  </si>
  <si>
    <t>Horno HLB8416</t>
  </si>
  <si>
    <t>TZ234S21228</t>
  </si>
  <si>
    <t>Microondas ML820 BIS</t>
  </si>
  <si>
    <t>TZ2332A10273</t>
  </si>
  <si>
    <t>Cocina IZC 64010 MSS BK</t>
  </si>
  <si>
    <t>ZP236500572</t>
  </si>
  <si>
    <t>Javier Alvarez</t>
  </si>
  <si>
    <t>Edif. Horizonte</t>
  </si>
  <si>
    <t>shantita9@hotmail.com</t>
  </si>
  <si>
    <t>Lavavajillas DFI 469501 20-60</t>
  </si>
  <si>
    <t>AW232800311</t>
  </si>
  <si>
    <t>Refrigeradora RFD77820 GBK</t>
  </si>
  <si>
    <t>MC234D00010</t>
  </si>
  <si>
    <t>Microondas MWG11X</t>
  </si>
  <si>
    <t>016-907-000183632</t>
  </si>
  <si>
    <t>Refrigeradora RIF 74920SS</t>
  </si>
  <si>
    <t>MC234K00045</t>
  </si>
  <si>
    <t>Maximo Galan</t>
  </si>
  <si>
    <t>Paute</t>
  </si>
  <si>
    <t>Mercard</t>
  </si>
  <si>
    <t>001-101-000002894</t>
  </si>
  <si>
    <t>Cocina IZS 86630MSTBK</t>
  </si>
  <si>
    <t>ZP236L00063</t>
  </si>
  <si>
    <t>Paolo Puruncajas</t>
  </si>
  <si>
    <t>paolopuruncajasc@gamil.com</t>
  </si>
  <si>
    <t>001-101-000002838</t>
  </si>
  <si>
    <t>TZ235G15626</t>
  </si>
  <si>
    <t>Horno HBB 535 SS</t>
  </si>
  <si>
    <t>TZ229N22647</t>
  </si>
  <si>
    <t>maximogalan@yahoo.com</t>
  </si>
  <si>
    <t>Luna Pazmiño</t>
  </si>
  <si>
    <t>002-101-000098763</t>
  </si>
  <si>
    <t>Campana C910</t>
  </si>
  <si>
    <t>TP23AR05083</t>
  </si>
  <si>
    <t>Belen Cabrera</t>
  </si>
  <si>
    <t>Chaullabamba</t>
  </si>
  <si>
    <t>belencabrera99@gmail.com</t>
  </si>
  <si>
    <t>002-101-000098111</t>
  </si>
  <si>
    <t>Cocina GBC 64000 KBB</t>
  </si>
  <si>
    <t>ZP238U00417</t>
  </si>
  <si>
    <t>Comercial Solis</t>
  </si>
  <si>
    <t>001-500-000059362</t>
  </si>
  <si>
    <t>Campana DPL 980 T</t>
  </si>
  <si>
    <t>TP21C600224</t>
  </si>
  <si>
    <t>Juan Francisco Novillo</t>
  </si>
  <si>
    <t>Alfonso Malo y Jesus Arriaga</t>
  </si>
  <si>
    <t>juanfnc2000@gmail.com</t>
  </si>
  <si>
    <t>ZP23BE00722</t>
  </si>
  <si>
    <t>Cocina JZC 96342 BB</t>
  </si>
  <si>
    <t>Horno HLB 8416</t>
  </si>
  <si>
    <t>TZ23BF14541</t>
  </si>
  <si>
    <t>Kywi</t>
  </si>
  <si>
    <t>016-902-000455139</t>
  </si>
  <si>
    <t>Campana C 9310</t>
  </si>
  <si>
    <t>TP23AG00307</t>
  </si>
  <si>
    <t>Ricardo Campoverde</t>
  </si>
  <si>
    <t>Chiquintad</t>
  </si>
  <si>
    <t>romancito1978@gmail.com</t>
  </si>
  <si>
    <t xml:space="preserve">Cocina GSC 75330 </t>
  </si>
  <si>
    <t>ZP229G00018</t>
  </si>
  <si>
    <t>Cocina IZS 97630 MST BK</t>
  </si>
  <si>
    <t>Horno HLB 8550 SC</t>
  </si>
  <si>
    <t>TZ235V26344</t>
  </si>
  <si>
    <t>ZP227L00070</t>
  </si>
  <si>
    <t>Eloisa Torres</t>
  </si>
  <si>
    <t>Ricaurte</t>
  </si>
  <si>
    <t>Home Vega</t>
  </si>
  <si>
    <t>006-002-000154641</t>
  </si>
  <si>
    <t>Cocina EX 90.1 5G AI</t>
  </si>
  <si>
    <t>ZP234C00054</t>
  </si>
  <si>
    <t>Felipe Mendieta</t>
  </si>
  <si>
    <t>Javier Loyola</t>
  </si>
  <si>
    <t>006-002-000154645</t>
  </si>
  <si>
    <t>Horno HLB 840 SS</t>
  </si>
  <si>
    <t>TZ234V22441</t>
  </si>
  <si>
    <t>008-501-000007877</t>
  </si>
  <si>
    <t>008-501-000007850</t>
  </si>
  <si>
    <t>Cocina IZC 64010 MS BK</t>
  </si>
  <si>
    <t>TP23A404804</t>
  </si>
  <si>
    <t>ZP23B200119</t>
  </si>
  <si>
    <t>David Regalado</t>
  </si>
  <si>
    <t>Av. Ordoñez Lazo</t>
  </si>
  <si>
    <t>luisvasquez2082@gmail.com</t>
  </si>
  <si>
    <t>016-902-000455921</t>
  </si>
  <si>
    <t>TP232P05184</t>
  </si>
  <si>
    <t>TP23AR05143</t>
  </si>
  <si>
    <t>TP23AR0511</t>
  </si>
  <si>
    <t>Angel Cumbe</t>
  </si>
  <si>
    <t>Sukasa</t>
  </si>
  <si>
    <t>002-109-000026485</t>
  </si>
  <si>
    <t>Horno HLB 830SS E</t>
  </si>
  <si>
    <t>TZ238N07045</t>
  </si>
  <si>
    <t>Cocina GBC 75030KBB</t>
  </si>
  <si>
    <t>ZP237U00398</t>
  </si>
  <si>
    <t>Campana DG 780</t>
  </si>
  <si>
    <t>PX69D00063</t>
  </si>
  <si>
    <t>Juan Jose Arteaga</t>
  </si>
  <si>
    <t>Portal de San Jose</t>
  </si>
  <si>
    <t>j.j.artega58@gmail.com</t>
  </si>
  <si>
    <t>001-500-000049035</t>
  </si>
  <si>
    <t>Horno HLB 8416 BK</t>
  </si>
  <si>
    <t>TZ234S21214</t>
  </si>
  <si>
    <t>Carlos Illescas</t>
  </si>
  <si>
    <t>Diez de Agosto y Miguel Heredia</t>
  </si>
  <si>
    <t>cillescasr4@gmail.com</t>
  </si>
  <si>
    <t>Cocina JZC 96342 BBB</t>
  </si>
  <si>
    <t>ZP231H00077</t>
  </si>
  <si>
    <t>016-902-000457369</t>
  </si>
  <si>
    <t>TP23BF04080</t>
  </si>
  <si>
    <t>Mariana Cajilima</t>
  </si>
  <si>
    <t>Campana C9310</t>
  </si>
  <si>
    <t>Cocina EFX 70.1 5G</t>
  </si>
  <si>
    <t>ZP221M00008</t>
  </si>
  <si>
    <t>040-103-000003122</t>
  </si>
  <si>
    <t>Cocina GBC 95030 KBB</t>
  </si>
  <si>
    <t>ZP23BQ00018</t>
  </si>
  <si>
    <t>Luis Gardella</t>
  </si>
  <si>
    <t>Cipreses 1-74</t>
  </si>
  <si>
    <t>luiginogardella@gmail.com</t>
  </si>
  <si>
    <t>Campana DUN 94030 TCL</t>
  </si>
  <si>
    <t>Refrigeradora RLF 74920 SS</t>
  </si>
  <si>
    <t>EK2300080</t>
  </si>
  <si>
    <t>MC234K00054</t>
  </si>
  <si>
    <t>001-500-000052789</t>
  </si>
  <si>
    <t>Cocina GBC 750 30 KBB</t>
  </si>
  <si>
    <t>ZP22B600140</t>
  </si>
  <si>
    <t>Campana C480 isla</t>
  </si>
  <si>
    <t>PX22B300552</t>
  </si>
  <si>
    <t>Juan Yumbla</t>
  </si>
  <si>
    <t>Azogues</t>
  </si>
  <si>
    <t>yumblaaariel@gmail.com</t>
  </si>
  <si>
    <t>006-002-000155311</t>
  </si>
  <si>
    <t>Cocina JZC 96324 ABB</t>
  </si>
  <si>
    <t>Horno HLB 760G</t>
  </si>
  <si>
    <t>ZP22AE00040</t>
  </si>
  <si>
    <t>TZ238R08529</t>
  </si>
  <si>
    <t>Martha Marca</t>
  </si>
  <si>
    <t>Gualaceo</t>
  </si>
  <si>
    <t>marthamarca146@gmail.com</t>
  </si>
  <si>
    <t>006-002-000155300</t>
  </si>
  <si>
    <t>Microondas ML 822 BBL</t>
  </si>
  <si>
    <t>TZ23BF14521</t>
  </si>
  <si>
    <t>TP233H09151</t>
  </si>
  <si>
    <t>Marcelo Ordoñez</t>
  </si>
  <si>
    <t>El Valle</t>
  </si>
  <si>
    <t>mar190d19@gmail.com</t>
  </si>
  <si>
    <t>001-500-000060344</t>
  </si>
  <si>
    <t>Cocina EFX 60.1 AG</t>
  </si>
  <si>
    <t>ZP225C00016</t>
  </si>
  <si>
    <t>Campana C6310</t>
  </si>
  <si>
    <t>TP214906538</t>
  </si>
  <si>
    <t>Sebastian Fernandez de Cordova</t>
  </si>
  <si>
    <t>Kira</t>
  </si>
  <si>
    <t>sfdezdecordova@yahoo.com</t>
  </si>
  <si>
    <t>043-902-000010385</t>
  </si>
  <si>
    <t>TP23AG00315</t>
  </si>
  <si>
    <t>Jhoana Calle</t>
  </si>
  <si>
    <t>La Compañía</t>
  </si>
  <si>
    <t>johannaelicalle@hotmail.com</t>
  </si>
  <si>
    <t>TP239K01464</t>
  </si>
  <si>
    <t>Refrigeradora RFD 77820GBK</t>
  </si>
  <si>
    <t>ZP23BP00048</t>
  </si>
  <si>
    <t>MC234D00023</t>
  </si>
  <si>
    <t>Sofia Andino</t>
  </si>
  <si>
    <t>Miguel de Santiago y Av. 27 de Ferbrero</t>
  </si>
  <si>
    <t>sofyandino@gmail.com</t>
  </si>
  <si>
    <t>040-104-000002701</t>
  </si>
  <si>
    <t>Horno HLB 8510P BK</t>
  </si>
  <si>
    <t>TZ23AX22668</t>
  </si>
  <si>
    <t>Fanny Rodriguez</t>
  </si>
  <si>
    <t>Totoracocha</t>
  </si>
  <si>
    <t>luiscamilog@hotmail.com</t>
  </si>
  <si>
    <t>Microondas ML 820 BIS</t>
  </si>
  <si>
    <t>TP22CD04346</t>
  </si>
  <si>
    <t>001-500-000051085</t>
  </si>
  <si>
    <t xml:space="preserve">Cocina EFX 90.1 </t>
  </si>
  <si>
    <t>ZP219C00011</t>
  </si>
  <si>
    <t>Sandra Durazno</t>
  </si>
  <si>
    <t>Santa Maria</t>
  </si>
  <si>
    <t>Horno HSB 615 SS</t>
  </si>
  <si>
    <t>TZ234T22335</t>
  </si>
  <si>
    <t>TP237402492</t>
  </si>
  <si>
    <t>001-500-000049895</t>
  </si>
  <si>
    <t>Cocina GZC 75330 XBB</t>
  </si>
  <si>
    <t>ZP21A400012</t>
  </si>
  <si>
    <t>Zoila Calle</t>
  </si>
  <si>
    <t>Manuel Armaza 1-46 y Roberto Crespo</t>
  </si>
  <si>
    <t>zoilacallec@hotmail.com</t>
  </si>
  <si>
    <t>Campana GFH 73</t>
  </si>
  <si>
    <t>Lavavajillas LP 850 M</t>
  </si>
  <si>
    <t>TZ229W29985</t>
  </si>
  <si>
    <t>TP232A09556</t>
  </si>
  <si>
    <t>MD22BL00430</t>
  </si>
  <si>
    <t>001-500-000058933</t>
  </si>
  <si>
    <t>Campana GFH73</t>
  </si>
  <si>
    <t>TP233W08603</t>
  </si>
  <si>
    <t>Catalina Rodas</t>
  </si>
  <si>
    <t>Puyo 2-26 y Quito</t>
  </si>
  <si>
    <t>catyrodas71@gmail.com</t>
  </si>
  <si>
    <t>Cocina IZC 32310 MSPBK</t>
  </si>
  <si>
    <t>Cocina GSC 96320 SBA IX</t>
  </si>
  <si>
    <t>Lavavajillas DFI 46950</t>
  </si>
  <si>
    <t>E3D4200XD</t>
  </si>
  <si>
    <t>ZP238U00J50</t>
  </si>
  <si>
    <t>W232800322</t>
  </si>
  <si>
    <t>Campana DVN 64030 TCL</t>
  </si>
  <si>
    <t>EK2300021</t>
  </si>
  <si>
    <t>CAPELO</t>
  </si>
  <si>
    <t>CUENCA</t>
  </si>
  <si>
    <t>Av. Mariscal Lamar</t>
  </si>
  <si>
    <t>043-907-000006042</t>
  </si>
  <si>
    <t>CO224J00383</t>
  </si>
  <si>
    <t>Carlos Valverde</t>
  </si>
  <si>
    <t>Florida Villa Nueva</t>
  </si>
  <si>
    <t>carlosvalverde_rl89@hotmail.com</t>
  </si>
  <si>
    <t>Sukasa Wayra</t>
  </si>
  <si>
    <t>Barbacoa a Gas T-BBQ 4100 SS</t>
  </si>
  <si>
    <t>CO217A00403</t>
  </si>
  <si>
    <t>Av. 24 de Mayo</t>
  </si>
  <si>
    <t>043-904-000011244</t>
  </si>
  <si>
    <t>CO224J00027</t>
  </si>
  <si>
    <t>Chinese construction</t>
  </si>
  <si>
    <t>Tundayme</t>
  </si>
  <si>
    <t>001-500-000060443</t>
  </si>
  <si>
    <t>CO225R00344</t>
  </si>
  <si>
    <t>Martha Alvarado</t>
  </si>
  <si>
    <t>byronsanchezy@gmail.com</t>
  </si>
  <si>
    <t>040-104-000002360</t>
  </si>
  <si>
    <t>CO22J02472</t>
  </si>
  <si>
    <t>Walter E.S Bell B.</t>
  </si>
  <si>
    <t>Tarqui</t>
  </si>
  <si>
    <t>bellcuenca@gmail.com</t>
  </si>
  <si>
    <t>CO224J03091</t>
  </si>
  <si>
    <t>Kywi s. a.</t>
  </si>
  <si>
    <t>Miraflores</t>
  </si>
  <si>
    <t>patricio.alvarado@kywi.com.ec</t>
  </si>
  <si>
    <t>Gotea Agua</t>
  </si>
  <si>
    <t>Lavavajillas DFI 46900</t>
  </si>
  <si>
    <t>AW23800108</t>
  </si>
  <si>
    <t>ELVIRA JAUREGUI</t>
  </si>
  <si>
    <t>Juanta Bomba de denaje fuera de posicion</t>
  </si>
  <si>
    <t>joseastu@etapanet.net</t>
  </si>
  <si>
    <t>001-501-000050590</t>
  </si>
  <si>
    <t>De Cristian Capelo</t>
  </si>
  <si>
    <t>MARZO 2024</t>
  </si>
  <si>
    <t>CAPELO MARZO 2024</t>
  </si>
  <si>
    <t>Capelo Marzo 2024</t>
  </si>
  <si>
    <t xml:space="preserve">CAPELO MARZO 2024 </t>
  </si>
  <si>
    <t>Circ. Pot IPC (LS CONFIG.) IND TEKA</t>
  </si>
  <si>
    <t>Cocina IRS 631</t>
  </si>
  <si>
    <t>SC144S67014</t>
  </si>
  <si>
    <t>KATE GUAMAN</t>
  </si>
  <si>
    <t>katherine.guamanm@outlook.es</t>
  </si>
  <si>
    <t>006-000153814</t>
  </si>
  <si>
    <t>Placa Potencia I100 Izquierda</t>
  </si>
  <si>
    <t>Cocina IZF 64440MSPBK</t>
  </si>
  <si>
    <t>ZP226Q00020</t>
  </si>
  <si>
    <t>YOLANDA PESANTEZ</t>
  </si>
  <si>
    <t>yolandapesantez@hotmail.com</t>
  </si>
  <si>
    <t>No enciende</t>
  </si>
  <si>
    <t>Interruptor Presion Trabado</t>
  </si>
  <si>
    <t>TR 710.1</t>
  </si>
  <si>
    <t>MARILU DURAN</t>
  </si>
  <si>
    <t>mariluduranpenaloza@gmail.com</t>
  </si>
  <si>
    <t>002-111-000017445</t>
  </si>
  <si>
    <t>Quemador se apaga</t>
  </si>
  <si>
    <t>Ajuste Sensor Termopar</t>
  </si>
  <si>
    <t>Cocina EW905GAIAL</t>
  </si>
  <si>
    <t>ZP20CJ00008</t>
  </si>
  <si>
    <t>GUIDO FREIRE</t>
  </si>
  <si>
    <t>gudo.freire@hotmail.com</t>
  </si>
  <si>
    <t>Quemador posterior derecho se apaga</t>
  </si>
  <si>
    <t>Sensor termopar falso contacto, se ajusta conector</t>
  </si>
  <si>
    <t>Cocina GBC 75030</t>
  </si>
  <si>
    <t>ZP22CD0027</t>
  </si>
  <si>
    <t>EDGAR LOJAN</t>
  </si>
  <si>
    <t>ing.edgar.lojan@gmail.com</t>
  </si>
  <si>
    <t>Vidrio Roto</t>
  </si>
  <si>
    <t>Cambio de Vidrio</t>
  </si>
  <si>
    <t>ZP237B00032</t>
  </si>
  <si>
    <t>COLINEAL Jenny Loyola</t>
  </si>
  <si>
    <t>juanlucero@colinealcorp.com</t>
  </si>
  <si>
    <t>Campana DVT PRO 88660</t>
  </si>
  <si>
    <t>PX226E00018</t>
  </si>
  <si>
    <t>ALM. BOYACA</t>
  </si>
  <si>
    <t>boyacacuenca@boyaca.com</t>
  </si>
  <si>
    <t>Encendido electrico no funciona</t>
  </si>
  <si>
    <t>Ajuste Terminal bujia</t>
  </si>
  <si>
    <t>BBQ 3100 GBKSS</t>
  </si>
  <si>
    <t>CO224J00372</t>
  </si>
  <si>
    <t>Juan Fernando Valdiviezo</t>
  </si>
  <si>
    <t>jvaldivieso@ecija.com</t>
  </si>
  <si>
    <t xml:space="preserve">Cocina </t>
  </si>
  <si>
    <t>UN SOLO PRODUCTO</t>
  </si>
  <si>
    <t>CAPELO - ENERO 2024</t>
  </si>
  <si>
    <t>CLIENTE FINAL</t>
  </si>
  <si>
    <t>Cesar Palacios</t>
  </si>
  <si>
    <t>Paseo de los Cañaris</t>
  </si>
  <si>
    <t>113430018</t>
  </si>
  <si>
    <t>Técnico:  Cristian Capelo</t>
  </si>
  <si>
    <t xml:space="preserve">Clientes Visitados </t>
  </si>
  <si>
    <t xml:space="preserve">FECHA </t>
  </si>
  <si>
    <t xml:space="preserve">CLIENTE </t>
  </si>
  <si>
    <t>DIRECCIÓN</t>
  </si>
  <si>
    <t xml:space="preserve">ASUNTO </t>
  </si>
  <si>
    <t>ESTADO</t>
  </si>
  <si>
    <t>SERIE</t>
  </si>
  <si>
    <t>Vr.</t>
  </si>
  <si>
    <t>CORREO</t>
  </si>
  <si>
    <t>CEDULA</t>
  </si>
  <si>
    <t>COMPRA</t>
  </si>
  <si>
    <t>Cocina GBC 75030 KBB</t>
  </si>
  <si>
    <t>FECHA COMPRA</t>
  </si>
  <si>
    <t>CODIGO</t>
  </si>
  <si>
    <t>GARANTIA</t>
  </si>
  <si>
    <t>TELEFONO</t>
  </si>
  <si>
    <t>ALMACEN</t>
  </si>
  <si>
    <t>001-500-000060264</t>
  </si>
  <si>
    <t>112520025</t>
  </si>
  <si>
    <t>Cocina IZC64010MSSBK</t>
  </si>
  <si>
    <t>ZP23A200213</t>
  </si>
  <si>
    <t>0412878</t>
  </si>
  <si>
    <t>Andrea Narvaez</t>
  </si>
  <si>
    <t>Miguel de Santiago y Goribar</t>
  </si>
  <si>
    <t>andrea28narvaez@gmail.com</t>
  </si>
  <si>
    <t>002-101-000099785</t>
  </si>
  <si>
    <t>112570093</t>
  </si>
  <si>
    <t>ZP239600298</t>
  </si>
  <si>
    <t>0412937</t>
  </si>
  <si>
    <t>Paul Moscoso</t>
  </si>
  <si>
    <t>paulmoscosopm@hotmail.com</t>
  </si>
  <si>
    <t>008-501-00007790</t>
  </si>
  <si>
    <t>MC232R00021</t>
  </si>
  <si>
    <t>Paseo 3 de Noviembre</t>
  </si>
  <si>
    <t>lhconstrucciones.ec@gmail.com</t>
  </si>
  <si>
    <t>040-103-000002548</t>
  </si>
  <si>
    <t>11257124</t>
  </si>
  <si>
    <t>Cocina JZC 64322</t>
  </si>
  <si>
    <t>ZP22AE00038</t>
  </si>
  <si>
    <t>Manuel Quevedo</t>
  </si>
  <si>
    <t>mvquevedo@ucuenca.edu.ec</t>
  </si>
  <si>
    <t>40483182</t>
  </si>
  <si>
    <t>001-501-000001039</t>
  </si>
  <si>
    <t>Campana DPL ISLA 1180</t>
  </si>
  <si>
    <t>PX23AB00065</t>
  </si>
  <si>
    <t>Daniela Roman</t>
  </si>
  <si>
    <t>danielita.roman@hotmail.com</t>
  </si>
  <si>
    <t>016-901-000001158</t>
  </si>
  <si>
    <t>112580027</t>
  </si>
  <si>
    <t>ZP23BP00058</t>
  </si>
  <si>
    <t>Katerine Cabrera</t>
  </si>
  <si>
    <t>Amazonas y Ecuador</t>
  </si>
  <si>
    <t>001-500-000060479</t>
  </si>
  <si>
    <t>111000051</t>
  </si>
  <si>
    <t>TZ23BF14510</t>
  </si>
  <si>
    <t>mariaelisapalaciosa@gmail.com</t>
  </si>
  <si>
    <t>008-501-000007584</t>
  </si>
  <si>
    <t>40197155</t>
  </si>
  <si>
    <t>Triturador TR 510.1</t>
  </si>
  <si>
    <t>230710AF1981</t>
  </si>
  <si>
    <t>Rene Baculima</t>
  </si>
  <si>
    <t>Via Racar</t>
  </si>
  <si>
    <t>renebaculima58@gmail.com</t>
  </si>
  <si>
    <t>009-501-000025008</t>
  </si>
  <si>
    <t>40212044</t>
  </si>
  <si>
    <t>Cocina EX 70.1 5G AI</t>
  </si>
  <si>
    <t>ZP232100253</t>
  </si>
  <si>
    <t>0398505</t>
  </si>
  <si>
    <t>Raul Zhindon</t>
  </si>
  <si>
    <t>raulzhindon@hotmail.com</t>
  </si>
  <si>
    <t>016-903-000496261</t>
  </si>
  <si>
    <t>112570126</t>
  </si>
  <si>
    <t>Cocina JCZ 96324 ABB</t>
  </si>
  <si>
    <t>ZP23BG00177</t>
  </si>
  <si>
    <t>0415614</t>
  </si>
  <si>
    <t>Veronica Fernandez</t>
  </si>
  <si>
    <t>Benjamin Ochoa y Sucre</t>
  </si>
  <si>
    <t>verofe12@gmail.com</t>
  </si>
  <si>
    <t>001-500-000060510</t>
  </si>
  <si>
    <t>ZP23BE00525</t>
  </si>
  <si>
    <t>Mayra Sacoto</t>
  </si>
  <si>
    <t>Charasol</t>
  </si>
  <si>
    <t>mpsacotof@hotmail.com</t>
  </si>
  <si>
    <t>001-500-000060494</t>
  </si>
  <si>
    <t>TZ235G15576</t>
  </si>
  <si>
    <t>0409878</t>
  </si>
  <si>
    <t>Darwin Illescas</t>
  </si>
  <si>
    <t xml:space="preserve">Misicata </t>
  </si>
  <si>
    <t>djhonnyillescas@hotmail.com</t>
  </si>
  <si>
    <t>040-103-000003123</t>
  </si>
  <si>
    <t>TZ237C12041</t>
  </si>
  <si>
    <t>04007394</t>
  </si>
  <si>
    <t>Felix Neira</t>
  </si>
  <si>
    <t>felixneyra@gmail.com</t>
  </si>
  <si>
    <t>040-103-000003236</t>
  </si>
  <si>
    <t>41560166</t>
  </si>
  <si>
    <t>Horno IOVEN SS</t>
  </si>
  <si>
    <t>TZ227808814</t>
  </si>
  <si>
    <t>0402522</t>
  </si>
  <si>
    <t>Pablo Robles</t>
  </si>
  <si>
    <t>Monay</t>
  </si>
  <si>
    <t>pablo121075@gmail.com</t>
  </si>
  <si>
    <t>040-103-000003232</t>
  </si>
  <si>
    <t>111010028</t>
  </si>
  <si>
    <t>Horno HSB 646SSE10</t>
  </si>
  <si>
    <t>TZ235225041</t>
  </si>
  <si>
    <t>0413194</t>
  </si>
  <si>
    <t>Pamela Velez</t>
  </si>
  <si>
    <t>Manuel J. 1-120 y Paucarbamba</t>
  </si>
  <si>
    <t>pamelavelez@hotmail.com</t>
  </si>
  <si>
    <t>001-101-000003151</t>
  </si>
  <si>
    <t>40446712</t>
  </si>
  <si>
    <t>TP233W08640</t>
  </si>
  <si>
    <t>0411495</t>
  </si>
  <si>
    <t>Edf. Margarita 2</t>
  </si>
  <si>
    <t>kathe.kabrera@hotmail.com</t>
  </si>
  <si>
    <t>016-902-000457256</t>
  </si>
  <si>
    <t>40466241</t>
  </si>
  <si>
    <t>TP23AG00365</t>
  </si>
  <si>
    <t>0415987</t>
  </si>
  <si>
    <t>Cristina Ojeda</t>
  </si>
  <si>
    <t>Balzay</t>
  </si>
  <si>
    <t>d_figueroa2009@hotmail.com</t>
  </si>
  <si>
    <t>001-500-000055420</t>
  </si>
  <si>
    <t>Cocina IZC 64010 MSSBK</t>
  </si>
  <si>
    <t>ZP234E00471</t>
  </si>
  <si>
    <t>0398852</t>
  </si>
  <si>
    <t>Andres Piedra</t>
  </si>
  <si>
    <t>Rubik</t>
  </si>
  <si>
    <t>jaimepiedra010@gmail.com</t>
  </si>
  <si>
    <t>016-902-000457347</t>
  </si>
  <si>
    <t>112580058</t>
  </si>
  <si>
    <t>ZP23BQ00011</t>
  </si>
  <si>
    <t>0416104</t>
  </si>
  <si>
    <t>Esperanza Ceballos</t>
  </si>
  <si>
    <t>espitacevallos@gmail.com</t>
  </si>
  <si>
    <t>006-501-000007903</t>
  </si>
  <si>
    <t>112570073</t>
  </si>
  <si>
    <t>Cocina GZC 96310 XBB</t>
  </si>
  <si>
    <t>ZP23B000237</t>
  </si>
  <si>
    <t>0415519</t>
  </si>
  <si>
    <t>Segundo Quezada</t>
  </si>
  <si>
    <t>Gral. Escandon y Jose Astudillo</t>
  </si>
  <si>
    <t>karengue105@gmail.com</t>
  </si>
  <si>
    <t>001-500-000060885</t>
  </si>
  <si>
    <t>TP239K01512</t>
  </si>
  <si>
    <t>0418060</t>
  </si>
  <si>
    <t>Jhonatan Lucero</t>
  </si>
  <si>
    <t>Cdla de los Medicos</t>
  </si>
  <si>
    <t>jontan_glu@hotmail.com</t>
  </si>
  <si>
    <t>016-907-000195485</t>
  </si>
  <si>
    <t>40467320</t>
  </si>
  <si>
    <t>Campana C7310</t>
  </si>
  <si>
    <t>TP234H02270</t>
  </si>
  <si>
    <t>0414253</t>
  </si>
  <si>
    <t>Teodoro Peña</t>
  </si>
  <si>
    <t>Via Monay Baguanchi</t>
  </si>
  <si>
    <t>contabilidad@constructorapc.com</t>
  </si>
  <si>
    <t>040-103-000000597</t>
  </si>
  <si>
    <t>ZP235800032</t>
  </si>
  <si>
    <t>0405602</t>
  </si>
  <si>
    <t>Wilson Ortega</t>
  </si>
  <si>
    <t>Av. De las Americas y Remigio Crespo</t>
  </si>
  <si>
    <t>wilsonortega2020@hotmail.com</t>
  </si>
  <si>
    <t>043-901-000000208</t>
  </si>
  <si>
    <t>ZP237U00459</t>
  </si>
  <si>
    <t>0408070</t>
  </si>
  <si>
    <t>Patricia Riera</t>
  </si>
  <si>
    <t>El Tablon</t>
  </si>
  <si>
    <t>patyrie@hotmail.com</t>
  </si>
  <si>
    <t>001-500-000059908</t>
  </si>
  <si>
    <t>40211632</t>
  </si>
  <si>
    <t>Cocina EFX 90.1 5G</t>
  </si>
  <si>
    <t>ZP21A400019</t>
  </si>
  <si>
    <t>0374980</t>
  </si>
  <si>
    <t>Isaac Sarmiento</t>
  </si>
  <si>
    <t>Hno Miguel 9-84</t>
  </si>
  <si>
    <t>isaacsarmiento@hotmail.com</t>
  </si>
  <si>
    <t>016-902-000450100</t>
  </si>
  <si>
    <t>TP23BF04075</t>
  </si>
  <si>
    <t>0417478</t>
  </si>
  <si>
    <t>Francy Sanchez</t>
  </si>
  <si>
    <t>San Pedro Cebollar</t>
  </si>
  <si>
    <t>001-500-000060230</t>
  </si>
  <si>
    <t>4021159</t>
  </si>
  <si>
    <t>ZP216P00021</t>
  </si>
  <si>
    <t>0363742</t>
  </si>
  <si>
    <t>Maria Esther Castillo</t>
  </si>
  <si>
    <t>Cdla Uncovia</t>
  </si>
  <si>
    <t>maryomar30@gmail.com</t>
  </si>
  <si>
    <t>001-500-000060794</t>
  </si>
  <si>
    <t>40467305</t>
  </si>
  <si>
    <t>Campana C710</t>
  </si>
  <si>
    <t>TP237T04949</t>
  </si>
  <si>
    <t>0414159</t>
  </si>
  <si>
    <t>Ana Paul Benitez</t>
  </si>
  <si>
    <t>Edf. Montecarlo</t>
  </si>
  <si>
    <t>aniloserrano@hotmail.com</t>
  </si>
  <si>
    <t>001-500-000061088</t>
  </si>
  <si>
    <t>40590835</t>
  </si>
  <si>
    <t>Microondas MWG 14X</t>
  </si>
  <si>
    <t>23AR00662</t>
  </si>
  <si>
    <t>0418070</t>
  </si>
  <si>
    <t>Julio Castro</t>
  </si>
  <si>
    <t>Hernando de la Cruz</t>
  </si>
  <si>
    <t>alejandrocastro315@gmail.com</t>
  </si>
  <si>
    <t>001-500-000059280</t>
  </si>
  <si>
    <t>ZP234T00514</t>
  </si>
  <si>
    <t>David Arce</t>
  </si>
  <si>
    <t>Pisarcapac</t>
  </si>
  <si>
    <t>david_ricardo88@hotmail.com</t>
  </si>
  <si>
    <t>008-501-000007930</t>
  </si>
  <si>
    <t>11250025</t>
  </si>
  <si>
    <t>ZP23C101453</t>
  </si>
  <si>
    <t>0417271</t>
  </si>
  <si>
    <t>Luis Poma</t>
  </si>
  <si>
    <t>Control Sur</t>
  </si>
  <si>
    <t>luis.pr92@hotmail.com</t>
  </si>
  <si>
    <t>040-103-000002730</t>
  </si>
  <si>
    <t xml:space="preserve"> Cocina GBC 64000KBB</t>
  </si>
  <si>
    <t>ZP233N00578</t>
  </si>
  <si>
    <t>TZ232P19946</t>
  </si>
  <si>
    <t>Ana Vicuña</t>
  </si>
  <si>
    <t>Unidad Nacional Edf. Horizonte</t>
  </si>
  <si>
    <t>analuvicuña@hotmail.com</t>
  </si>
  <si>
    <t>Cocina GSC 75330 SBA IX</t>
  </si>
  <si>
    <t>Horno HSB 646</t>
  </si>
  <si>
    <t>TP234H02209</t>
  </si>
  <si>
    <t>ZP225C00013</t>
  </si>
  <si>
    <t>TZ235J17507</t>
  </si>
  <si>
    <t>MW23AR01049</t>
  </si>
  <si>
    <t>Edf. Pablos Dep  13</t>
  </si>
  <si>
    <t>008-501-000007247</t>
  </si>
  <si>
    <t>008-501-000007338</t>
  </si>
  <si>
    <t>008-501-000007246</t>
  </si>
  <si>
    <t>008-501-000007845</t>
  </si>
  <si>
    <t>Pablo Pulla</t>
  </si>
  <si>
    <t>ozzopulla@gmail.com</t>
  </si>
  <si>
    <t>001-500-000059962</t>
  </si>
  <si>
    <t>001-500-000056011</t>
  </si>
  <si>
    <t>002-103-000009108</t>
  </si>
  <si>
    <t>043-902-000010123</t>
  </si>
  <si>
    <t>Codigo de Falla F07</t>
  </si>
  <si>
    <t>Se reinicia los controles</t>
  </si>
  <si>
    <t>Cambio de Puerta</t>
  </si>
  <si>
    <t>Cambio de Sensor</t>
  </si>
  <si>
    <t>Refrigeradoras</t>
  </si>
  <si>
    <t>Al 20 de marzo del 2024</t>
  </si>
  <si>
    <t>001-501-000049581</t>
  </si>
  <si>
    <t>016-902-000452737</t>
  </si>
  <si>
    <t>Lucy Cordero</t>
  </si>
  <si>
    <t>Ines Salcedo 2-41 y Daniel Cordova</t>
  </si>
  <si>
    <t>amedinat1@hotmail.com</t>
  </si>
  <si>
    <t>Cocina JZC 96342 BBB BK</t>
  </si>
  <si>
    <t xml:space="preserve">Microondas 822 BIS </t>
  </si>
  <si>
    <t>001-500-000050509</t>
  </si>
  <si>
    <t>Lavavajillas DFI 46950 120-60</t>
  </si>
  <si>
    <t>TZ17BT09584</t>
  </si>
  <si>
    <t>AW233800629</t>
  </si>
  <si>
    <t>ZP235300063</t>
  </si>
  <si>
    <t>01-011-2023</t>
  </si>
  <si>
    <t>001-501-000049819</t>
  </si>
  <si>
    <t>TP235C09522</t>
  </si>
  <si>
    <t>PX233300020</t>
  </si>
  <si>
    <t>Cocina JZC 96342BBB</t>
  </si>
  <si>
    <t>ZP233200072</t>
  </si>
  <si>
    <t>001-500-000057290</t>
  </si>
  <si>
    <t>De la Vainilla y la Pimienta</t>
  </si>
  <si>
    <t>pjturcotte@hotmail.com</t>
  </si>
  <si>
    <t>Peter Turgotte</t>
  </si>
  <si>
    <t>001-500-000060917</t>
  </si>
  <si>
    <t>112580017</t>
  </si>
  <si>
    <t>ZP23BP00014</t>
  </si>
  <si>
    <t>Villamagua Piedra</t>
  </si>
  <si>
    <t>Jaime Roldos y Juan Leon Mera</t>
  </si>
  <si>
    <t>villacresj@hotmail.com</t>
  </si>
  <si>
    <t>Cristian Loja</t>
  </si>
  <si>
    <t>Promocion</t>
  </si>
  <si>
    <t>Armado</t>
  </si>
  <si>
    <t>001-500-000049271</t>
  </si>
  <si>
    <t>016-902-000291140</t>
  </si>
  <si>
    <t>008-501-000006936</t>
  </si>
  <si>
    <t>043-902-000008171</t>
  </si>
  <si>
    <t>008-501-000007790</t>
  </si>
  <si>
    <t>Edf. El Alamo</t>
  </si>
  <si>
    <t>Emilio Carrera y Av. 12 de Octubre</t>
  </si>
  <si>
    <t>El Descanso</t>
  </si>
  <si>
    <t>Tarqui 16-26</t>
  </si>
  <si>
    <t>Av. Heroes de Verdeloma</t>
  </si>
  <si>
    <t xml:space="preserve">Garantia </t>
  </si>
  <si>
    <t>210530AF1884</t>
  </si>
  <si>
    <t>La Rabida y de la Conquista</t>
  </si>
  <si>
    <t>Unidad Nacional y Gran Colombia</t>
  </si>
  <si>
    <t>Alm España</t>
  </si>
  <si>
    <t>Av. Remigio Crespo</t>
  </si>
  <si>
    <t>Del Anis s-n y el Arriero</t>
  </si>
  <si>
    <t>kywi</t>
  </si>
  <si>
    <t>Boyaca</t>
  </si>
  <si>
    <t>Marisca Lamar</t>
  </si>
  <si>
    <t>Campana DBB 90</t>
  </si>
  <si>
    <t>Exhibicion</t>
  </si>
  <si>
    <t>PX21BC00240</t>
  </si>
  <si>
    <t>1 Producto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</si>
</sst>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3" formatCode="_ * #,##0.00_ ;_ * \-#,##0.00_ ;_ * &quot;-&quot;??_ ;_ @_ "/>
    <numFmt numFmtId="164" formatCode="dd\-mm\-yy;@"/>
    <numFmt numFmtId="165" formatCode="&quot;$&quot;#,##0.00"/>
    <numFmt numFmtId="166" formatCode="dd/mm/yy;@"/>
    <numFmt numFmtId="167" formatCode="_-* #,##0.00\ _€_-;\-* #,##0.00\ _€_-;_-* &quot;-&quot;??\ _€_-;_-@_-"/>
    <numFmt numFmtId="168" formatCode="00"/>
  </numFmts>
  <fonts count="68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7"/>
      <name val="Calibri"/>
      <family val="2"/>
    </font>
    <font>
      <sz val="9"/>
      <name val="Franklin Gothic Book"/>
      <family val="2"/>
    </font>
    <font>
      <sz val="11"/>
      <name val="Calibri"/>
      <family val="2"/>
    </font>
    <font>
      <sz val="7"/>
      <color indexed="8"/>
      <name val="Calibri"/>
      <family val="2"/>
    </font>
    <font>
      <sz val="8"/>
      <color indexed="8"/>
      <name val="Calibri"/>
      <family val="2"/>
    </font>
    <font>
      <b/>
      <sz val="9"/>
      <name val="Franklin Gothic Book"/>
      <family val="2"/>
    </font>
    <font>
      <sz val="11"/>
      <color indexed="8"/>
      <name val="Calibri"/>
      <family val="2"/>
      <charset val="1"/>
    </font>
    <font>
      <sz val="11"/>
      <name val="Calibri"/>
      <family val="2"/>
      <charset val="1"/>
    </font>
    <font>
      <sz val="12"/>
      <color indexed="8"/>
      <name val="Calibri"/>
      <family val="2"/>
      <charset val="1"/>
    </font>
    <font>
      <sz val="10"/>
      <color theme="1"/>
      <name val="Aptos Narrow"/>
      <family val="2"/>
      <scheme val="minor"/>
    </font>
    <font>
      <b/>
      <sz val="10"/>
      <color rgb="FFFFFFFF"/>
      <name val="Calibri"/>
      <family val="2"/>
    </font>
    <font>
      <sz val="13"/>
      <color indexed="8"/>
      <name val="Calibri"/>
      <family val="2"/>
    </font>
    <font>
      <u/>
      <sz val="13"/>
      <color theme="4"/>
      <name val="Aptos Narrow"/>
      <family val="2"/>
      <scheme val="minor"/>
    </font>
    <font>
      <u/>
      <sz val="13"/>
      <color theme="10"/>
      <name val="Aptos Narrow"/>
      <family val="2"/>
      <scheme val="minor"/>
    </font>
    <font>
      <sz val="13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0"/>
      <color rgb="FF000000"/>
      <name val="Calibri"/>
      <family val="2"/>
      <charset val="1"/>
    </font>
    <font>
      <sz val="11"/>
      <color theme="1"/>
      <name val="Aptos Narrow"/>
      <scheme val="minor"/>
    </font>
    <font>
      <sz val="7"/>
      <color theme="1"/>
      <name val="Aptos Narrow"/>
      <family val="2"/>
      <scheme val="minor"/>
    </font>
    <font>
      <b/>
      <sz val="10"/>
      <name val="Arial"/>
      <family val="2"/>
    </font>
    <font>
      <b/>
      <sz val="11"/>
      <name val="Calibri"/>
      <family val="2"/>
    </font>
    <font>
      <sz val="10"/>
      <name val="Arial"/>
      <family val="2"/>
    </font>
    <font>
      <sz val="7"/>
      <name val="Aptos Narrow"/>
      <family val="2"/>
      <scheme val="minor"/>
    </font>
    <font>
      <sz val="9"/>
      <name val="Calibri"/>
      <family val="2"/>
    </font>
    <font>
      <b/>
      <sz val="18"/>
      <name val="Aptos Narrow"/>
      <family val="2"/>
      <scheme val="minor"/>
    </font>
    <font>
      <b/>
      <sz val="18"/>
      <color indexed="8"/>
      <name val="Aptos Narrow"/>
      <family val="2"/>
      <scheme val="minor"/>
    </font>
    <font>
      <sz val="15"/>
      <name val="Aptos Narrow"/>
      <family val="2"/>
      <scheme val="minor"/>
    </font>
    <font>
      <b/>
      <sz val="7"/>
      <name val="Aptos Narrow"/>
      <family val="2"/>
      <scheme val="minor"/>
    </font>
    <font>
      <b/>
      <sz val="15"/>
      <name val="Arial"/>
      <family val="2"/>
    </font>
    <font>
      <sz val="10"/>
      <name val="Aptos Narrow"/>
      <family val="2"/>
      <scheme val="minor"/>
    </font>
    <font>
      <u/>
      <sz val="10"/>
      <color theme="10"/>
      <name val="Arial"/>
      <family val="2"/>
    </font>
    <font>
      <u/>
      <sz val="13"/>
      <color theme="4"/>
      <name val="Calibri"/>
      <family val="2"/>
    </font>
    <font>
      <sz val="13"/>
      <color theme="1"/>
      <name val="Calibri"/>
      <family val="2"/>
    </font>
    <font>
      <sz val="13"/>
      <name val="Calibri"/>
      <family val="2"/>
    </font>
    <font>
      <sz val="8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8"/>
      <color theme="0"/>
      <name val="Aptos Narrow"/>
      <family val="2"/>
      <scheme val="minor"/>
    </font>
    <font>
      <b/>
      <sz val="7"/>
      <color theme="0"/>
      <name val="Aptos Narrow"/>
      <family val="2"/>
      <scheme val="minor"/>
    </font>
    <font>
      <u/>
      <sz val="13"/>
      <color theme="10"/>
      <name val="Arial"/>
      <family val="2"/>
    </font>
    <font>
      <sz val="13"/>
      <name val="Arial"/>
      <family val="2"/>
    </font>
    <font>
      <sz val="9"/>
      <color rgb="FF1D2228"/>
      <name val="Gothic sans-serif"/>
      <charset val="1"/>
    </font>
    <font>
      <sz val="10"/>
      <color rgb="FF1D2228"/>
      <name val="Arial"/>
      <family val="2"/>
      <charset val="1"/>
    </font>
    <font>
      <b/>
      <sz val="9"/>
      <color rgb="FF1D2228"/>
      <name val="Gothic sans-serif"/>
      <charset val="1"/>
    </font>
    <font>
      <b/>
      <sz val="11"/>
      <color rgb="FF000000"/>
      <name val="Calibri"/>
      <family val="2"/>
      <charset val="1"/>
    </font>
    <font>
      <b/>
      <sz val="10"/>
      <color theme="0"/>
      <name val="Aptos Narrow"/>
      <family val="2"/>
      <scheme val="minor"/>
    </font>
    <font>
      <sz val="10"/>
      <name val="Arial"/>
      <family val="2"/>
      <charset val="1"/>
    </font>
    <font>
      <sz val="8"/>
      <color theme="0"/>
      <name val="Aptos Narrow"/>
      <family val="2"/>
      <scheme val="minor"/>
    </font>
    <font>
      <sz val="12"/>
      <color indexed="8"/>
      <name val="Calibri"/>
      <family val="2"/>
    </font>
    <font>
      <b/>
      <sz val="12"/>
      <color theme="0"/>
      <name val="Aptos Narrow"/>
      <family val="2"/>
      <scheme val="minor"/>
    </font>
    <font>
      <b/>
      <sz val="12"/>
      <color theme="0"/>
      <name val="Calibri"/>
      <family val="2"/>
    </font>
    <font>
      <sz val="11"/>
      <color theme="1"/>
      <name val="Calibri"/>
      <family val="2"/>
    </font>
    <font>
      <sz val="9"/>
      <color theme="1"/>
      <name val="Libre Franklin"/>
    </font>
    <font>
      <sz val="9"/>
      <color theme="1"/>
      <name val="Calibri"/>
      <family val="2"/>
    </font>
    <font>
      <sz val="9"/>
      <color theme="1"/>
      <name val="Aptos Narrow"/>
      <family val="2"/>
      <scheme val="minor"/>
    </font>
    <font>
      <sz val="7"/>
      <color rgb="FF000000"/>
      <name val="Calibri"/>
      <family val="2"/>
    </font>
    <font>
      <sz val="8"/>
      <color rgb="FF000000"/>
      <name val="Calibri"/>
      <family val="2"/>
    </font>
    <font>
      <b/>
      <sz val="9"/>
      <color theme="1"/>
      <name val="Libre Franklin"/>
    </font>
    <font>
      <b/>
      <sz val="11"/>
      <color theme="1"/>
      <name val="Calibri"/>
      <family val="2"/>
    </font>
    <font>
      <b/>
      <sz val="6"/>
      <color rgb="FFFFFFFF"/>
      <name val="Calibri"/>
      <family val="2"/>
    </font>
    <font>
      <sz val="8"/>
      <color theme="1"/>
      <name val="Arial"/>
      <family val="2"/>
    </font>
    <font>
      <u/>
      <sz val="13"/>
      <color theme="1"/>
      <name val="Calibri"/>
      <family val="2"/>
    </font>
    <font>
      <u/>
      <sz val="13"/>
      <color theme="10"/>
      <name val="Calibri"/>
      <family val="2"/>
    </font>
    <font>
      <sz val="12"/>
      <color theme="1"/>
      <name val="Arial"/>
      <family val="2"/>
    </font>
    <font>
      <u/>
      <sz val="12"/>
      <color theme="1"/>
      <name val="Arial"/>
      <family val="2"/>
    </font>
    <font>
      <b/>
      <sz val="12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indexed="9"/>
        <bgColor indexed="26"/>
      </patternFill>
    </fill>
    <fill>
      <patternFill patternType="solid">
        <fgColor rgb="FF000000"/>
        <bgColor rgb="FF000000"/>
      </patternFill>
    </fill>
    <fill>
      <patternFill patternType="solid">
        <fgColor theme="1"/>
        <bgColor theme="1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/>
        <bgColor rgb="FFFFFFFF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indexed="64"/>
      </right>
      <top/>
      <bottom style="dotted">
        <color indexed="64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</borders>
  <cellStyleXfs count="22">
    <xf numFmtId="0" fontId="0" fillId="0" borderId="0"/>
    <xf numFmtId="0" fontId="9" fillId="0" borderId="0"/>
    <xf numFmtId="0" fontId="9" fillId="2" borderId="0">
      <alignment horizontal="left"/>
    </xf>
    <xf numFmtId="0" fontId="1" fillId="0" borderId="0"/>
    <xf numFmtId="0" fontId="2" fillId="0" borderId="0" applyNumberFormat="0" applyFill="0" applyBorder="0" applyAlignment="0" applyProtection="0"/>
    <xf numFmtId="0" fontId="20" fillId="0" borderId="0"/>
    <xf numFmtId="0" fontId="1" fillId="0" borderId="0"/>
    <xf numFmtId="0" fontId="1" fillId="0" borderId="0"/>
    <xf numFmtId="0" fontId="1" fillId="0" borderId="0"/>
    <xf numFmtId="0" fontId="24" fillId="0" borderId="0"/>
    <xf numFmtId="0" fontId="1" fillId="0" borderId="0"/>
    <xf numFmtId="167" fontId="1" fillId="0" borderId="0" applyFont="0" applyFill="0" applyBorder="0" applyAlignment="0" applyProtection="0"/>
    <xf numFmtId="43" fontId="24" fillId="0" borderId="0" applyFont="0" applyFill="0" applyBorder="0" applyAlignment="0" applyProtection="0"/>
    <xf numFmtId="0" fontId="33" fillId="0" borderId="0" applyNumberFormat="0" applyFill="0" applyBorder="0" applyAlignment="0" applyProtection="0"/>
    <xf numFmtId="0" fontId="1" fillId="0" borderId="0"/>
    <xf numFmtId="43" fontId="24" fillId="0" borderId="0" applyFont="0" applyFill="0" applyBorder="0" applyAlignment="0" applyProtection="0"/>
    <xf numFmtId="0" fontId="48" fillId="0" borderId="0"/>
    <xf numFmtId="0" fontId="24" fillId="0" borderId="0"/>
    <xf numFmtId="0" fontId="1" fillId="0" borderId="0"/>
    <xf numFmtId="0" fontId="2" fillId="0" borderId="0" applyNumberFormat="0" applyFill="0" applyBorder="0" applyAlignment="0" applyProtection="0"/>
    <xf numFmtId="0" fontId="24" fillId="0" borderId="0"/>
    <xf numFmtId="0" fontId="9" fillId="0" borderId="0"/>
  </cellStyleXfs>
  <cellXfs count="331">
    <xf numFmtId="0" fontId="0" fillId="0" borderId="0" xfId="0"/>
    <xf numFmtId="0" fontId="3" fillId="0" borderId="0" xfId="0" applyFont="1" applyAlignment="1">
      <alignment horizontal="right"/>
    </xf>
    <xf numFmtId="4" fontId="4" fillId="0" borderId="0" xfId="0" applyNumberFormat="1" applyFont="1"/>
    <xf numFmtId="0" fontId="5" fillId="0" borderId="0" xfId="0" applyFont="1" applyAlignment="1">
      <alignment horizontal="left" vertical="center"/>
    </xf>
    <xf numFmtId="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6" fillId="0" borderId="0" xfId="0" applyFont="1"/>
    <xf numFmtId="49" fontId="6" fillId="0" borderId="0" xfId="0" applyNumberFormat="1" applyFont="1" applyAlignment="1">
      <alignment horizontal="left"/>
    </xf>
    <xf numFmtId="1" fontId="0" fillId="0" borderId="0" xfId="0" applyNumberFormat="1"/>
    <xf numFmtId="2" fontId="7" fillId="0" borderId="0" xfId="0" applyNumberFormat="1" applyFont="1" applyAlignment="1">
      <alignment horizontal="right" indent="1"/>
    </xf>
    <xf numFmtId="4" fontId="8" fillId="0" borderId="0" xfId="0" applyNumberFormat="1" applyFont="1" applyAlignment="1">
      <alignment horizontal="left" vertical="center"/>
    </xf>
    <xf numFmtId="0" fontId="10" fillId="0" borderId="0" xfId="1" applyFont="1"/>
    <xf numFmtId="0" fontId="11" fillId="2" borderId="0" xfId="2" applyFont="1" applyAlignment="1">
      <alignment horizontal="center" vertical="center"/>
    </xf>
    <xf numFmtId="1" fontId="11" fillId="2" borderId="0" xfId="2" applyNumberFormat="1" applyFont="1" applyAlignment="1">
      <alignment horizontal="right" vertical="center"/>
    </xf>
    <xf numFmtId="1" fontId="11" fillId="2" borderId="0" xfId="2" applyNumberFormat="1" applyFont="1" applyAlignment="1">
      <alignment horizontal="center" vertical="center"/>
    </xf>
    <xf numFmtId="2" fontId="11" fillId="2" borderId="0" xfId="2" applyNumberFormat="1" applyFont="1" applyAlignment="1">
      <alignment vertical="center"/>
    </xf>
    <xf numFmtId="49" fontId="0" fillId="0" borderId="0" xfId="0" quotePrefix="1" applyNumberFormat="1"/>
    <xf numFmtId="17" fontId="7" fillId="0" borderId="0" xfId="0" quotePrefix="1" applyNumberFormat="1" applyFont="1" applyAlignment="1">
      <alignment horizontal="left"/>
    </xf>
    <xf numFmtId="0" fontId="12" fillId="0" borderId="0" xfId="0" applyFont="1" applyAlignment="1">
      <alignment horizontal="center" vertical="center"/>
    </xf>
    <xf numFmtId="0" fontId="13" fillId="3" borderId="1" xfId="0" applyFont="1" applyFill="1" applyBorder="1" applyAlignment="1">
      <alignment horizontal="center" vertical="center" wrapText="1"/>
    </xf>
    <xf numFmtId="0" fontId="13" fillId="4" borderId="1" xfId="0" applyFont="1" applyFill="1" applyBorder="1" applyAlignment="1">
      <alignment horizontal="center" vertical="center" wrapText="1"/>
    </xf>
    <xf numFmtId="1" fontId="13" fillId="3" borderId="1" xfId="0" applyNumberFormat="1" applyFont="1" applyFill="1" applyBorder="1" applyAlignment="1">
      <alignment horizontal="center" vertical="center" wrapText="1"/>
    </xf>
    <xf numFmtId="2" fontId="13" fillId="3" borderId="1" xfId="0" applyNumberFormat="1" applyFont="1" applyFill="1" applyBorder="1" applyAlignment="1">
      <alignment horizontal="center" vertical="center" wrapText="1"/>
    </xf>
    <xf numFmtId="0" fontId="12" fillId="0" borderId="0" xfId="0" applyFont="1"/>
    <xf numFmtId="0" fontId="14" fillId="0" borderId="0" xfId="3" applyFont="1" applyAlignment="1">
      <alignment horizontal="right"/>
    </xf>
    <xf numFmtId="164" fontId="14" fillId="5" borderId="2" xfId="3" applyNumberFormat="1" applyFont="1" applyFill="1" applyBorder="1" applyAlignment="1">
      <alignment horizontal="left"/>
    </xf>
    <xf numFmtId="0" fontId="14" fillId="5" borderId="2" xfId="3" applyFont="1" applyFill="1" applyBorder="1"/>
    <xf numFmtId="0" fontId="14" fillId="0" borderId="2" xfId="3" applyFont="1" applyBorder="1" applyAlignment="1">
      <alignment horizontal="center" vertical="center"/>
    </xf>
    <xf numFmtId="0" fontId="14" fillId="0" borderId="2" xfId="3" applyFont="1" applyBorder="1"/>
    <xf numFmtId="0" fontId="14" fillId="5" borderId="2" xfId="3" applyFont="1" applyFill="1" applyBorder="1" applyAlignment="1">
      <alignment horizontal="left"/>
    </xf>
    <xf numFmtId="0" fontId="14" fillId="5" borderId="2" xfId="3" applyFont="1" applyFill="1" applyBorder="1" applyAlignment="1">
      <alignment horizontal="left" vertical="center"/>
    </xf>
    <xf numFmtId="14" fontId="14" fillId="5" borderId="2" xfId="3" applyNumberFormat="1" applyFont="1" applyFill="1" applyBorder="1" applyAlignment="1">
      <alignment horizontal="left"/>
    </xf>
    <xf numFmtId="1" fontId="14" fillId="5" borderId="2" xfId="3" applyNumberFormat="1" applyFont="1" applyFill="1" applyBorder="1"/>
    <xf numFmtId="2" fontId="14" fillId="5" borderId="2" xfId="3" applyNumberFormat="1" applyFont="1" applyFill="1" applyBorder="1" applyAlignment="1">
      <alignment horizontal="center"/>
    </xf>
    <xf numFmtId="165" fontId="14" fillId="5" borderId="2" xfId="3" applyNumberFormat="1" applyFont="1" applyFill="1" applyBorder="1" applyAlignment="1">
      <alignment horizontal="center"/>
    </xf>
    <xf numFmtId="0" fontId="14" fillId="5" borderId="2" xfId="3" applyFont="1" applyFill="1" applyBorder="1" applyAlignment="1">
      <alignment horizontal="center" vertical="center"/>
    </xf>
    <xf numFmtId="0" fontId="15" fillId="5" borderId="2" xfId="4" applyNumberFormat="1" applyFont="1" applyFill="1" applyBorder="1"/>
    <xf numFmtId="0" fontId="16" fillId="5" borderId="2" xfId="4" applyNumberFormat="1" applyFont="1" applyFill="1" applyBorder="1"/>
    <xf numFmtId="0" fontId="17" fillId="0" borderId="3" xfId="3" applyFont="1" applyBorder="1"/>
    <xf numFmtId="0" fontId="17" fillId="0" borderId="0" xfId="0" applyFont="1"/>
    <xf numFmtId="0" fontId="18" fillId="0" borderId="0" xfId="0" applyFont="1"/>
    <xf numFmtId="0" fontId="0" fillId="0" borderId="0" xfId="0" applyAlignment="1">
      <alignment horizontal="left" vertical="top"/>
    </xf>
    <xf numFmtId="0" fontId="19" fillId="6" borderId="0" xfId="0" applyFont="1" applyFill="1" applyAlignment="1">
      <alignment horizontal="left"/>
    </xf>
    <xf numFmtId="0" fontId="21" fillId="0" borderId="0" xfId="5" applyFont="1"/>
    <xf numFmtId="0" fontId="20" fillId="0" borderId="0" xfId="5" applyAlignment="1">
      <alignment horizontal="right"/>
    </xf>
    <xf numFmtId="4" fontId="8" fillId="0" borderId="0" xfId="6" applyNumberFormat="1" applyFont="1" applyAlignment="1">
      <alignment horizontal="left"/>
    </xf>
    <xf numFmtId="0" fontId="22" fillId="0" borderId="0" xfId="6" applyFont="1" applyAlignment="1">
      <alignment horizontal="center"/>
    </xf>
    <xf numFmtId="0" fontId="23" fillId="0" borderId="0" xfId="6" applyFont="1" applyAlignment="1">
      <alignment vertical="center"/>
    </xf>
    <xf numFmtId="0" fontId="22" fillId="0" borderId="0" xfId="6" applyFont="1"/>
    <xf numFmtId="2" fontId="24" fillId="0" borderId="0" xfId="6" applyNumberFormat="1" applyFont="1" applyAlignment="1">
      <alignment horizontal="left"/>
    </xf>
    <xf numFmtId="0" fontId="20" fillId="0" borderId="0" xfId="5"/>
    <xf numFmtId="0" fontId="25" fillId="0" borderId="0" xfId="5" applyFont="1"/>
    <xf numFmtId="4" fontId="8" fillId="0" borderId="0" xfId="6" applyNumberFormat="1" applyFont="1" applyAlignment="1">
      <alignment horizontal="left" vertical="center"/>
    </xf>
    <xf numFmtId="0" fontId="24" fillId="0" borderId="0" xfId="6" applyFont="1" applyAlignment="1">
      <alignment horizontal="center"/>
    </xf>
    <xf numFmtId="0" fontId="24" fillId="0" borderId="0" xfId="6" applyFont="1"/>
    <xf numFmtId="166" fontId="26" fillId="0" borderId="5" xfId="7" applyNumberFormat="1" applyFont="1" applyBorder="1" applyAlignment="1">
      <alignment horizontal="left"/>
    </xf>
    <xf numFmtId="0" fontId="26" fillId="0" borderId="6" xfId="7" applyFont="1" applyBorder="1" applyAlignment="1">
      <alignment horizontal="left"/>
    </xf>
    <xf numFmtId="0" fontId="25" fillId="0" borderId="6" xfId="7" applyFont="1" applyBorder="1" applyAlignment="1">
      <alignment horizontal="left"/>
    </xf>
    <xf numFmtId="0" fontId="27" fillId="0" borderId="6" xfId="7" applyFont="1" applyBorder="1" applyAlignment="1">
      <alignment horizontal="left"/>
    </xf>
    <xf numFmtId="0" fontId="28" fillId="0" borderId="6" xfId="7" applyFont="1" applyBorder="1" applyAlignment="1">
      <alignment horizontal="left" wrapText="1" readingOrder="1"/>
    </xf>
    <xf numFmtId="0" fontId="27" fillId="0" borderId="6" xfId="7" applyFont="1" applyBorder="1" applyAlignment="1">
      <alignment horizontal="left" wrapText="1"/>
    </xf>
    <xf numFmtId="0" fontId="29" fillId="0" borderId="6" xfId="7" applyFont="1" applyBorder="1" applyAlignment="1">
      <alignment horizontal="left" wrapText="1"/>
    </xf>
    <xf numFmtId="17" fontId="30" fillId="0" borderId="6" xfId="7" quotePrefix="1" applyNumberFormat="1" applyFont="1" applyBorder="1" applyAlignment="1">
      <alignment horizontal="left"/>
    </xf>
    <xf numFmtId="0" fontId="24" fillId="0" borderId="6" xfId="7" applyFont="1" applyBorder="1" applyAlignment="1">
      <alignment horizontal="left"/>
    </xf>
    <xf numFmtId="49" fontId="31" fillId="0" borderId="7" xfId="7" quotePrefix="1" applyNumberFormat="1" applyFont="1" applyBorder="1" applyAlignment="1">
      <alignment horizontal="left"/>
    </xf>
    <xf numFmtId="0" fontId="21" fillId="0" borderId="0" xfId="0" applyFont="1"/>
    <xf numFmtId="166" fontId="26" fillId="0" borderId="8" xfId="7" applyNumberFormat="1" applyFont="1" applyBorder="1" applyAlignment="1">
      <alignment horizontal="left"/>
    </xf>
    <xf numFmtId="0" fontId="26" fillId="0" borderId="0" xfId="7" applyFont="1" applyAlignment="1">
      <alignment horizontal="left"/>
    </xf>
    <xf numFmtId="0" fontId="25" fillId="0" borderId="0" xfId="7" applyFont="1" applyAlignment="1">
      <alignment horizontal="left"/>
    </xf>
    <xf numFmtId="0" fontId="25" fillId="0" borderId="9" xfId="7" applyFont="1" applyBorder="1" applyAlignment="1">
      <alignment horizontal="left"/>
    </xf>
    <xf numFmtId="166" fontId="32" fillId="0" borderId="10" xfId="7" applyNumberFormat="1" applyFont="1" applyBorder="1" applyAlignment="1">
      <alignment horizontal="left"/>
    </xf>
    <xf numFmtId="0" fontId="25" fillId="0" borderId="11" xfId="7" applyFont="1" applyBorder="1" applyAlignment="1">
      <alignment horizontal="left"/>
    </xf>
    <xf numFmtId="0" fontId="25" fillId="0" borderId="12" xfId="7" applyFont="1" applyBorder="1" applyAlignment="1">
      <alignment horizontal="left"/>
    </xf>
    <xf numFmtId="0" fontId="34" fillId="5" borderId="2" xfId="4" applyNumberFormat="1" applyFont="1" applyFill="1" applyBorder="1"/>
    <xf numFmtId="0" fontId="35" fillId="0" borderId="3" xfId="3" applyFont="1" applyBorder="1"/>
    <xf numFmtId="0" fontId="35" fillId="0" borderId="0" xfId="0" applyFont="1"/>
    <xf numFmtId="0" fontId="35" fillId="0" borderId="2" xfId="0" applyFont="1" applyBorder="1" applyAlignment="1">
      <alignment horizontal="left" vertical="center" wrapText="1"/>
    </xf>
    <xf numFmtId="0" fontId="35" fillId="0" borderId="4" xfId="0" applyFont="1" applyBorder="1" applyAlignment="1">
      <alignment horizontal="left" vertical="center" wrapText="1"/>
    </xf>
    <xf numFmtId="0" fontId="14" fillId="0" borderId="0" xfId="0" applyFont="1" applyAlignment="1">
      <alignment horizontal="right"/>
    </xf>
    <xf numFmtId="0" fontId="35" fillId="0" borderId="0" xfId="0" applyFont="1" applyAlignment="1">
      <alignment horizontal="right"/>
    </xf>
    <xf numFmtId="0" fontId="35" fillId="0" borderId="0" xfId="0" applyFont="1" applyAlignment="1">
      <alignment wrapText="1"/>
    </xf>
    <xf numFmtId="0" fontId="35" fillId="0" borderId="0" xfId="5" applyFont="1" applyAlignment="1">
      <alignment horizontal="center"/>
    </xf>
    <xf numFmtId="0" fontId="35" fillId="0" borderId="0" xfId="5" applyFont="1"/>
    <xf numFmtId="2" fontId="35" fillId="0" borderId="0" xfId="5" applyNumberFormat="1" applyFont="1"/>
    <xf numFmtId="1" fontId="35" fillId="0" borderId="0" xfId="5" applyNumberFormat="1" applyFont="1" applyAlignment="1">
      <alignment horizontal="center"/>
    </xf>
    <xf numFmtId="0" fontId="37" fillId="0" borderId="0" xfId="9" applyFont="1"/>
    <xf numFmtId="0" fontId="1" fillId="0" borderId="0" xfId="14"/>
    <xf numFmtId="4" fontId="4" fillId="0" borderId="0" xfId="14" applyNumberFormat="1" applyFont="1"/>
    <xf numFmtId="0" fontId="5" fillId="0" borderId="0" xfId="14" applyFont="1" applyAlignment="1">
      <alignment vertical="center"/>
    </xf>
    <xf numFmtId="2" fontId="1" fillId="0" borderId="0" xfId="14" applyNumberFormat="1" applyAlignment="1">
      <alignment horizontal="left"/>
    </xf>
    <xf numFmtId="0" fontId="1" fillId="0" borderId="0" xfId="14" applyAlignment="1">
      <alignment horizontal="left"/>
    </xf>
    <xf numFmtId="43" fontId="1" fillId="0" borderId="0" xfId="15" applyFont="1" applyFill="1"/>
    <xf numFmtId="0" fontId="38" fillId="0" borderId="0" xfId="14" applyFont="1"/>
    <xf numFmtId="4" fontId="8" fillId="0" borderId="0" xfId="14" applyNumberFormat="1" applyFont="1" applyAlignment="1">
      <alignment horizontal="left" vertical="center"/>
    </xf>
    <xf numFmtId="0" fontId="24" fillId="0" borderId="0" xfId="9"/>
    <xf numFmtId="17" fontId="1" fillId="0" borderId="0" xfId="14" quotePrefix="1" applyNumberFormat="1"/>
    <xf numFmtId="17" fontId="38" fillId="0" borderId="0" xfId="14" quotePrefix="1" applyNumberFormat="1" applyFont="1"/>
    <xf numFmtId="0" fontId="39" fillId="7" borderId="16" xfId="14" applyFont="1" applyFill="1" applyBorder="1" applyAlignment="1">
      <alignment horizontal="center" wrapText="1"/>
    </xf>
    <xf numFmtId="0" fontId="40" fillId="7" borderId="16" xfId="9" applyFont="1" applyFill="1" applyBorder="1" applyAlignment="1">
      <alignment horizontal="left" wrapText="1"/>
    </xf>
    <xf numFmtId="43" fontId="40" fillId="7" borderId="16" xfId="15" applyFont="1" applyFill="1" applyBorder="1" applyAlignment="1">
      <alignment horizontal="left" wrapText="1"/>
    </xf>
    <xf numFmtId="0" fontId="40" fillId="7" borderId="16" xfId="9" applyFont="1" applyFill="1" applyBorder="1" applyAlignment="1">
      <alignment horizontal="center" wrapText="1"/>
    </xf>
    <xf numFmtId="0" fontId="40" fillId="7" borderId="0" xfId="9" applyFont="1" applyFill="1" applyAlignment="1">
      <alignment horizontal="left" wrapText="1"/>
    </xf>
    <xf numFmtId="0" fontId="39" fillId="7" borderId="16" xfId="9" applyFont="1" applyFill="1" applyBorder="1" applyAlignment="1">
      <alignment horizontal="left" wrapText="1"/>
    </xf>
    <xf numFmtId="0" fontId="17" fillId="0" borderId="0" xfId="14" applyFont="1" applyAlignment="1">
      <alignment horizontal="right"/>
    </xf>
    <xf numFmtId="0" fontId="42" fillId="0" borderId="0" xfId="9" applyFont="1"/>
    <xf numFmtId="0" fontId="17" fillId="0" borderId="0" xfId="14" applyFont="1" applyAlignment="1">
      <alignment horizontal="center"/>
    </xf>
    <xf numFmtId="43" fontId="42" fillId="0" borderId="0" xfId="15" applyFont="1"/>
    <xf numFmtId="14" fontId="17" fillId="0" borderId="18" xfId="14" applyNumberFormat="1" applyFont="1" applyBorder="1" applyAlignment="1">
      <alignment horizontal="left"/>
    </xf>
    <xf numFmtId="0" fontId="17" fillId="0" borderId="12" xfId="14" applyFont="1" applyBorder="1" applyAlignment="1">
      <alignment horizontal="left" vertical="center"/>
    </xf>
    <xf numFmtId="0" fontId="17" fillId="0" borderId="11" xfId="14" applyFont="1" applyBorder="1" applyAlignment="1">
      <alignment horizontal="left"/>
    </xf>
    <xf numFmtId="0" fontId="17" fillId="0" borderId="18" xfId="14" applyFont="1" applyBorder="1" applyAlignment="1">
      <alignment horizontal="left"/>
    </xf>
    <xf numFmtId="0" fontId="17" fillId="0" borderId="18" xfId="14" applyFont="1" applyBorder="1"/>
    <xf numFmtId="0" fontId="17" fillId="0" borderId="18" xfId="14" quotePrefix="1" applyFont="1" applyBorder="1" applyAlignment="1">
      <alignment horizontal="left"/>
    </xf>
    <xf numFmtId="14" fontId="17" fillId="0" borderId="11" xfId="14" applyNumberFormat="1" applyFont="1" applyBorder="1" applyAlignment="1">
      <alignment horizontal="left" vertical="center"/>
    </xf>
    <xf numFmtId="14" fontId="17" fillId="0" borderId="10" xfId="14" applyNumberFormat="1" applyFont="1" applyBorder="1" applyAlignment="1">
      <alignment horizontal="left" vertical="center"/>
    </xf>
    <xf numFmtId="14" fontId="17" fillId="0" borderId="18" xfId="14" applyNumberFormat="1" applyFont="1" applyBorder="1" applyAlignment="1">
      <alignment horizontal="left" vertical="center"/>
    </xf>
    <xf numFmtId="0" fontId="17" fillId="0" borderId="18" xfId="14" applyFont="1" applyBorder="1" applyAlignment="1">
      <alignment horizontal="left" vertical="center"/>
    </xf>
    <xf numFmtId="0" fontId="17" fillId="0" borderId="11" xfId="14" applyFont="1" applyBorder="1" applyAlignment="1">
      <alignment horizontal="left" vertical="center"/>
    </xf>
    <xf numFmtId="43" fontId="17" fillId="0" borderId="11" xfId="15" applyFont="1" applyBorder="1"/>
    <xf numFmtId="43" fontId="17" fillId="0" borderId="18" xfId="15" applyFont="1" applyBorder="1" applyAlignment="1">
      <alignment horizontal="left" vertical="center"/>
    </xf>
    <xf numFmtId="0" fontId="17" fillId="0" borderId="18" xfId="14" quotePrefix="1" applyFont="1" applyBorder="1" applyAlignment="1">
      <alignment horizontal="left" vertical="center"/>
    </xf>
    <xf numFmtId="0" fontId="41" fillId="0" borderId="12" xfId="13" applyFont="1" applyBorder="1" applyAlignment="1">
      <alignment horizontal="left" vertical="center"/>
    </xf>
    <xf numFmtId="14" fontId="17" fillId="0" borderId="17" xfId="14" applyNumberFormat="1" applyFont="1" applyBorder="1" applyAlignment="1">
      <alignment horizontal="left"/>
    </xf>
    <xf numFmtId="0" fontId="17" fillId="0" borderId="17" xfId="14" applyFont="1" applyBorder="1" applyAlignment="1">
      <alignment horizontal="left" vertical="center"/>
    </xf>
    <xf numFmtId="0" fontId="17" fillId="0" borderId="17" xfId="14" applyFont="1" applyBorder="1" applyAlignment="1">
      <alignment horizontal="left"/>
    </xf>
    <xf numFmtId="0" fontId="17" fillId="0" borderId="17" xfId="14" applyFont="1" applyBorder="1"/>
    <xf numFmtId="0" fontId="17" fillId="0" borderId="17" xfId="14" quotePrefix="1" applyFont="1" applyBorder="1" applyAlignment="1">
      <alignment horizontal="left"/>
    </xf>
    <xf numFmtId="14" fontId="17" fillId="0" borderId="17" xfId="14" applyNumberFormat="1" applyFont="1" applyBorder="1" applyAlignment="1">
      <alignment horizontal="left" vertical="center"/>
    </xf>
    <xf numFmtId="43" fontId="17" fillId="0" borderId="17" xfId="15" applyFont="1" applyBorder="1"/>
    <xf numFmtId="43" fontId="17" fillId="0" borderId="17" xfId="15" applyFont="1" applyBorder="1" applyAlignment="1">
      <alignment horizontal="left" vertical="center"/>
    </xf>
    <xf numFmtId="0" fontId="17" fillId="0" borderId="17" xfId="14" quotePrefix="1" applyFont="1" applyBorder="1" applyAlignment="1">
      <alignment horizontal="left" vertical="center"/>
    </xf>
    <xf numFmtId="0" fontId="43" fillId="0" borderId="0" xfId="0" applyFont="1" applyAlignment="1">
      <alignment vertical="center"/>
    </xf>
    <xf numFmtId="0" fontId="44" fillId="0" borderId="0" xfId="0" applyFont="1"/>
    <xf numFmtId="0" fontId="45" fillId="0" borderId="19" xfId="0" applyFont="1" applyBorder="1" applyAlignment="1">
      <alignment vertical="center"/>
    </xf>
    <xf numFmtId="43" fontId="0" fillId="0" borderId="0" xfId="0" applyNumberFormat="1"/>
    <xf numFmtId="0" fontId="12" fillId="0" borderId="0" xfId="0" quotePrefix="1" applyFont="1"/>
    <xf numFmtId="0" fontId="47" fillId="7" borderId="16" xfId="0" applyFont="1" applyFill="1" applyBorder="1" applyAlignment="1">
      <alignment horizontal="center" wrapText="1"/>
    </xf>
    <xf numFmtId="0" fontId="47" fillId="7" borderId="16" xfId="0" applyFont="1" applyFill="1" applyBorder="1" applyAlignment="1">
      <alignment wrapText="1"/>
    </xf>
    <xf numFmtId="0" fontId="47" fillId="7" borderId="16" xfId="0" applyFont="1" applyFill="1" applyBorder="1" applyAlignment="1">
      <alignment horizontal="center" vertical="center" wrapText="1"/>
    </xf>
    <xf numFmtId="0" fontId="47" fillId="7" borderId="20" xfId="0" applyFont="1" applyFill="1" applyBorder="1" applyAlignment="1">
      <alignment wrapText="1"/>
    </xf>
    <xf numFmtId="0" fontId="47" fillId="7" borderId="20" xfId="0" applyFont="1" applyFill="1" applyBorder="1" applyAlignment="1">
      <alignment horizontal="center" wrapText="1"/>
    </xf>
    <xf numFmtId="17" fontId="46" fillId="0" borderId="0" xfId="0" quotePrefix="1" applyNumberFormat="1" applyFont="1" applyAlignment="1">
      <alignment horizontal="left"/>
    </xf>
    <xf numFmtId="0" fontId="37" fillId="0" borderId="0" xfId="0" applyFont="1"/>
    <xf numFmtId="0" fontId="30" fillId="0" borderId="0" xfId="17" applyFont="1"/>
    <xf numFmtId="4" fontId="30" fillId="0" borderId="0" xfId="17" applyNumberFormat="1" applyFont="1"/>
    <xf numFmtId="0" fontId="25" fillId="0" borderId="0" xfId="17" applyFont="1"/>
    <xf numFmtId="0" fontId="24" fillId="0" borderId="0" xfId="17"/>
    <xf numFmtId="49" fontId="24" fillId="0" borderId="0" xfId="17" applyNumberFormat="1"/>
    <xf numFmtId="17" fontId="30" fillId="0" borderId="0" xfId="17" quotePrefix="1" applyNumberFormat="1" applyFont="1"/>
    <xf numFmtId="4" fontId="25" fillId="0" borderId="0" xfId="17" applyNumberFormat="1" applyFont="1"/>
    <xf numFmtId="0" fontId="37" fillId="0" borderId="0" xfId="17" applyFont="1"/>
    <xf numFmtId="4" fontId="4" fillId="0" borderId="0" xfId="17" applyNumberFormat="1" applyFont="1"/>
    <xf numFmtId="0" fontId="38" fillId="0" borderId="0" xfId="8" applyFont="1"/>
    <xf numFmtId="49" fontId="38" fillId="0" borderId="0" xfId="8" applyNumberFormat="1" applyFont="1"/>
    <xf numFmtId="0" fontId="5" fillId="0" borderId="0" xfId="17" applyFont="1" applyAlignment="1">
      <alignment vertical="center"/>
    </xf>
    <xf numFmtId="2" fontId="24" fillId="0" borderId="0" xfId="17" applyNumberFormat="1" applyAlignment="1">
      <alignment horizontal="left"/>
    </xf>
    <xf numFmtId="4" fontId="8" fillId="0" borderId="0" xfId="17" applyNumberFormat="1" applyFont="1" applyAlignment="1">
      <alignment horizontal="left" vertical="center"/>
    </xf>
    <xf numFmtId="0" fontId="39" fillId="7" borderId="16" xfId="18" applyFont="1" applyFill="1" applyBorder="1" applyAlignment="1">
      <alignment wrapText="1"/>
    </xf>
    <xf numFmtId="0" fontId="49" fillId="7" borderId="16" xfId="18" applyFont="1" applyFill="1" applyBorder="1" applyAlignment="1">
      <alignment wrapText="1"/>
    </xf>
    <xf numFmtId="49" fontId="39" fillId="7" borderId="16" xfId="18" applyNumberFormat="1" applyFont="1" applyFill="1" applyBorder="1" applyAlignment="1">
      <alignment wrapText="1"/>
    </xf>
    <xf numFmtId="164" fontId="50" fillId="0" borderId="2" xfId="0" applyNumberFormat="1" applyFont="1" applyBorder="1" applyAlignment="1">
      <alignment horizontal="left"/>
    </xf>
    <xf numFmtId="0" fontId="50" fillId="0" borderId="2" xfId="0" applyFont="1" applyBorder="1"/>
    <xf numFmtId="0" fontId="50" fillId="0" borderId="2" xfId="0" applyFont="1" applyBorder="1" applyAlignment="1">
      <alignment horizontal="center" vertical="center"/>
    </xf>
    <xf numFmtId="2" fontId="50" fillId="0" borderId="2" xfId="0" applyNumberFormat="1" applyFont="1" applyBorder="1" applyAlignment="1">
      <alignment horizontal="left"/>
    </xf>
    <xf numFmtId="0" fontId="50" fillId="0" borderId="2" xfId="0" quotePrefix="1" applyFont="1" applyBorder="1" applyAlignment="1">
      <alignment horizontal="left" vertical="center"/>
    </xf>
    <xf numFmtId="49" fontId="50" fillId="0" borderId="2" xfId="0" applyNumberFormat="1" applyFont="1" applyBorder="1" applyAlignment="1">
      <alignment horizontal="left"/>
    </xf>
    <xf numFmtId="14" fontId="50" fillId="0" borderId="2" xfId="0" applyNumberFormat="1" applyFont="1" applyBorder="1" applyAlignment="1">
      <alignment horizontal="left"/>
    </xf>
    <xf numFmtId="1" fontId="50" fillId="0" borderId="2" xfId="0" applyNumberFormat="1" applyFont="1" applyBorder="1"/>
    <xf numFmtId="2" fontId="50" fillId="8" borderId="2" xfId="0" applyNumberFormat="1" applyFont="1" applyFill="1" applyBorder="1" applyAlignment="1">
      <alignment horizontal="right"/>
    </xf>
    <xf numFmtId="2" fontId="50" fillId="0" borderId="2" xfId="0" applyNumberFormat="1" applyFont="1" applyBorder="1" applyAlignment="1">
      <alignment horizontal="center"/>
    </xf>
    <xf numFmtId="49" fontId="50" fillId="0" borderId="2" xfId="0" applyNumberFormat="1" applyFont="1" applyBorder="1"/>
    <xf numFmtId="165" fontId="50" fillId="0" borderId="2" xfId="0" applyNumberFormat="1" applyFont="1" applyBorder="1" applyAlignment="1">
      <alignment horizontal="center"/>
    </xf>
    <xf numFmtId="2" fontId="0" fillId="0" borderId="0" xfId="0" applyNumberFormat="1"/>
    <xf numFmtId="0" fontId="51" fillId="7" borderId="1" xfId="8" applyFont="1" applyFill="1" applyBorder="1" applyAlignment="1">
      <alignment horizontal="center" wrapText="1"/>
    </xf>
    <xf numFmtId="0" fontId="52" fillId="7" borderId="1" xfId="0" applyFont="1" applyFill="1" applyBorder="1" applyAlignment="1">
      <alignment horizontal="center" vertical="center" wrapText="1"/>
    </xf>
    <xf numFmtId="0" fontId="52" fillId="7" borderId="1" xfId="0" applyFont="1" applyFill="1" applyBorder="1" applyAlignment="1">
      <alignment vertical="center" wrapText="1"/>
    </xf>
    <xf numFmtId="0" fontId="2" fillId="5" borderId="2" xfId="19" applyNumberFormat="1" applyFill="1" applyBorder="1"/>
    <xf numFmtId="0" fontId="35" fillId="0" borderId="0" xfId="3" applyFont="1"/>
    <xf numFmtId="0" fontId="35" fillId="8" borderId="2" xfId="3" applyFont="1" applyFill="1" applyBorder="1" applyAlignment="1">
      <alignment horizontal="center" vertical="center"/>
    </xf>
    <xf numFmtId="0" fontId="14" fillId="8" borderId="2" xfId="3" applyFont="1" applyFill="1" applyBorder="1" applyAlignment="1">
      <alignment horizontal="left"/>
    </xf>
    <xf numFmtId="0" fontId="2" fillId="0" borderId="17" xfId="19" applyBorder="1" applyAlignment="1">
      <alignment horizontal="left" vertical="center"/>
    </xf>
    <xf numFmtId="0" fontId="2" fillId="0" borderId="12" xfId="19" applyBorder="1" applyAlignment="1">
      <alignment horizontal="left" vertical="center"/>
    </xf>
    <xf numFmtId="0" fontId="0" fillId="0" borderId="0" xfId="14" applyFont="1"/>
    <xf numFmtId="0" fontId="53" fillId="0" borderId="0" xfId="0" applyFont="1" applyAlignment="1">
      <alignment horizontal="left"/>
    </xf>
    <xf numFmtId="4" fontId="54" fillId="0" borderId="0" xfId="0" applyNumberFormat="1" applyFont="1"/>
    <xf numFmtId="0" fontId="55" fillId="0" borderId="0" xfId="0" applyFont="1" applyAlignment="1">
      <alignment horizontal="left" vertical="center"/>
    </xf>
    <xf numFmtId="0" fontId="56" fillId="0" borderId="0" xfId="0" applyFont="1"/>
    <xf numFmtId="2" fontId="53" fillId="0" borderId="0" xfId="0" applyNumberFormat="1" applyFont="1" applyAlignment="1">
      <alignment horizontal="left"/>
    </xf>
    <xf numFmtId="0" fontId="53" fillId="0" borderId="0" xfId="0" applyFont="1" applyAlignment="1">
      <alignment horizontal="right"/>
    </xf>
    <xf numFmtId="0" fontId="57" fillId="0" borderId="0" xfId="0" applyFont="1"/>
    <xf numFmtId="49" fontId="57" fillId="0" borderId="0" xfId="0" applyNumberFormat="1" applyFont="1" applyAlignment="1">
      <alignment horizontal="left"/>
    </xf>
    <xf numFmtId="1" fontId="53" fillId="0" borderId="0" xfId="0" applyNumberFormat="1" applyFont="1"/>
    <xf numFmtId="2" fontId="58" fillId="0" borderId="0" xfId="0" applyNumberFormat="1" applyFont="1" applyAlignment="1">
      <alignment horizontal="right"/>
    </xf>
    <xf numFmtId="0" fontId="53" fillId="0" borderId="0" xfId="0" applyFont="1" applyAlignment="1">
      <alignment horizontal="center"/>
    </xf>
    <xf numFmtId="4" fontId="59" fillId="0" borderId="0" xfId="0" applyNumberFormat="1" applyFont="1" applyAlignment="1">
      <alignment horizontal="left" vertical="center"/>
    </xf>
    <xf numFmtId="0" fontId="55" fillId="0" borderId="0" xfId="0" applyFont="1" applyAlignment="1">
      <alignment horizontal="left"/>
    </xf>
    <xf numFmtId="49" fontId="53" fillId="0" borderId="0" xfId="0" applyNumberFormat="1" applyFont="1"/>
    <xf numFmtId="0" fontId="60" fillId="0" borderId="0" xfId="0" applyFont="1" applyAlignment="1">
      <alignment horizontal="left"/>
    </xf>
    <xf numFmtId="17" fontId="58" fillId="0" borderId="0" xfId="0" applyNumberFormat="1" applyFont="1" applyAlignment="1">
      <alignment horizontal="left"/>
    </xf>
    <xf numFmtId="0" fontId="61" fillId="3" borderId="21" xfId="0" applyFont="1" applyFill="1" applyBorder="1" applyAlignment="1">
      <alignment horizontal="left" vertical="center" wrapText="1"/>
    </xf>
    <xf numFmtId="1" fontId="61" fillId="3" borderId="21" xfId="0" applyNumberFormat="1" applyFont="1" applyFill="1" applyBorder="1" applyAlignment="1">
      <alignment horizontal="left" vertical="center" wrapText="1"/>
    </xf>
    <xf numFmtId="2" fontId="61" fillId="3" borderId="21" xfId="0" applyNumberFormat="1" applyFont="1" applyFill="1" applyBorder="1" applyAlignment="1">
      <alignment horizontal="left" vertical="center" wrapText="1"/>
    </xf>
    <xf numFmtId="0" fontId="61" fillId="3" borderId="22" xfId="0" applyFont="1" applyFill="1" applyBorder="1" applyAlignment="1">
      <alignment horizontal="left" vertical="center" wrapText="1"/>
    </xf>
    <xf numFmtId="0" fontId="61" fillId="3" borderId="23" xfId="0" applyFont="1" applyFill="1" applyBorder="1" applyAlignment="1">
      <alignment horizontal="left" vertical="center" wrapText="1"/>
    </xf>
    <xf numFmtId="14" fontId="62" fillId="9" borderId="24" xfId="0" applyNumberFormat="1" applyFont="1" applyFill="1" applyBorder="1" applyAlignment="1">
      <alignment horizontal="left" vertical="center"/>
    </xf>
    <xf numFmtId="49" fontId="62" fillId="9" borderId="24" xfId="0" applyNumberFormat="1" applyFont="1" applyFill="1" applyBorder="1" applyAlignment="1">
      <alignment horizontal="left" vertical="center"/>
    </xf>
    <xf numFmtId="0" fontId="62" fillId="9" borderId="24" xfId="0" applyFont="1" applyFill="1" applyBorder="1" applyAlignment="1">
      <alignment horizontal="left" vertical="center"/>
    </xf>
    <xf numFmtId="2" fontId="62" fillId="9" borderId="24" xfId="0" applyNumberFormat="1" applyFont="1" applyFill="1" applyBorder="1" applyAlignment="1">
      <alignment horizontal="left" vertical="center"/>
    </xf>
    <xf numFmtId="0" fontId="62" fillId="10" borderId="24" xfId="0" applyFont="1" applyFill="1" applyBorder="1" applyAlignment="1">
      <alignment horizontal="left" vertical="center"/>
    </xf>
    <xf numFmtId="14" fontId="2" fillId="9" borderId="24" xfId="19" applyNumberFormat="1" applyFill="1" applyBorder="1" applyAlignment="1">
      <alignment horizontal="left" vertical="center"/>
    </xf>
    <xf numFmtId="0" fontId="50" fillId="5" borderId="17" xfId="0" applyFont="1" applyFill="1" applyBorder="1" applyAlignment="1">
      <alignment horizontal="center" vertical="center"/>
    </xf>
    <xf numFmtId="14" fontId="35" fillId="9" borderId="24" xfId="0" applyNumberFormat="1" applyFont="1" applyFill="1" applyBorder="1" applyAlignment="1">
      <alignment horizontal="left" vertical="center"/>
    </xf>
    <xf numFmtId="49" fontId="35" fillId="9" borderId="24" xfId="0" applyNumberFormat="1" applyFont="1" applyFill="1" applyBorder="1" applyAlignment="1">
      <alignment horizontal="left" vertical="center"/>
    </xf>
    <xf numFmtId="0" fontId="35" fillId="10" borderId="24" xfId="0" applyFont="1" applyFill="1" applyBorder="1" applyAlignment="1">
      <alignment horizontal="left" vertical="center"/>
    </xf>
    <xf numFmtId="14" fontId="64" fillId="9" borderId="24" xfId="19" applyNumberFormat="1" applyFont="1" applyFill="1" applyBorder="1" applyAlignment="1">
      <alignment horizontal="left" vertical="center"/>
    </xf>
    <xf numFmtId="14" fontId="35" fillId="9" borderId="24" xfId="0" applyNumberFormat="1" applyFont="1" applyFill="1" applyBorder="1" applyAlignment="1">
      <alignment vertical="center"/>
    </xf>
    <xf numFmtId="0" fontId="36" fillId="0" borderId="4" xfId="10" applyFont="1" applyBorder="1" applyAlignment="1">
      <alignment vertical="center" wrapText="1"/>
    </xf>
    <xf numFmtId="0" fontId="36" fillId="0" borderId="0" xfId="9" applyFont="1" applyAlignment="1">
      <alignment vertical="center"/>
    </xf>
    <xf numFmtId="14" fontId="36" fillId="0" borderId="4" xfId="10" applyNumberFormat="1" applyFont="1" applyBorder="1" applyAlignment="1">
      <alignment vertical="center" wrapText="1"/>
    </xf>
    <xf numFmtId="14" fontId="36" fillId="0" borderId="4" xfId="10" applyNumberFormat="1" applyFont="1" applyBorder="1" applyAlignment="1">
      <alignment horizontal="left" vertical="center" wrapText="1"/>
    </xf>
    <xf numFmtId="0" fontId="36" fillId="0" borderId="4" xfId="10" applyFont="1" applyBorder="1" applyAlignment="1">
      <alignment horizontal="center" vertical="center" wrapText="1"/>
    </xf>
    <xf numFmtId="0" fontId="36" fillId="0" borderId="4" xfId="10" applyFont="1" applyBorder="1" applyAlignment="1">
      <alignment horizontal="left" vertical="center" wrapText="1"/>
    </xf>
    <xf numFmtId="0" fontId="36" fillId="0" borderId="15" xfId="10" applyFont="1" applyBorder="1" applyAlignment="1">
      <alignment vertical="center" wrapText="1"/>
    </xf>
    <xf numFmtId="0" fontId="36" fillId="0" borderId="4" xfId="10" quotePrefix="1" applyFont="1" applyBorder="1" applyAlignment="1">
      <alignment horizontal="left" vertical="center" wrapText="1"/>
    </xf>
    <xf numFmtId="1" fontId="36" fillId="0" borderId="4" xfId="11" quotePrefix="1" applyNumberFormat="1" applyFont="1" applyBorder="1" applyAlignment="1">
      <alignment horizontal="left" vertical="center"/>
    </xf>
    <xf numFmtId="43" fontId="36" fillId="0" borderId="4" xfId="12" applyFont="1" applyBorder="1" applyAlignment="1">
      <alignment vertical="center"/>
    </xf>
    <xf numFmtId="43" fontId="36" fillId="0" borderId="4" xfId="12" quotePrefix="1" applyFont="1" applyBorder="1" applyAlignment="1">
      <alignment horizontal="left" vertical="center"/>
    </xf>
    <xf numFmtId="43" fontId="2" fillId="0" borderId="12" xfId="19" applyNumberFormat="1" applyBorder="1" applyAlignment="1">
      <alignment horizontal="left" vertical="center"/>
    </xf>
    <xf numFmtId="0" fontId="35" fillId="0" borderId="0" xfId="0" applyFont="1" applyAlignment="1">
      <alignment vertical="center"/>
    </xf>
    <xf numFmtId="164" fontId="14" fillId="5" borderId="2" xfId="3" applyNumberFormat="1" applyFont="1" applyFill="1" applyBorder="1" applyAlignment="1">
      <alignment vertical="center"/>
    </xf>
    <xf numFmtId="0" fontId="14" fillId="0" borderId="2" xfId="3" applyFont="1" applyBorder="1" applyAlignment="1">
      <alignment vertical="center"/>
    </xf>
    <xf numFmtId="1" fontId="14" fillId="5" borderId="2" xfId="3" applyNumberFormat="1" applyFont="1" applyFill="1" applyBorder="1" applyAlignment="1">
      <alignment vertical="center"/>
    </xf>
    <xf numFmtId="0" fontId="63" fillId="5" borderId="2" xfId="4" applyNumberFormat="1" applyFont="1" applyFill="1" applyBorder="1" applyAlignment="1">
      <alignment vertical="center"/>
    </xf>
    <xf numFmtId="0" fontId="64" fillId="5" borderId="2" xfId="19" applyNumberFormat="1" applyFont="1" applyFill="1" applyBorder="1" applyAlignment="1">
      <alignment vertical="center"/>
    </xf>
    <xf numFmtId="0" fontId="14" fillId="0" borderId="0" xfId="0" applyFont="1" applyAlignment="1">
      <alignment horizontal="right" vertical="center"/>
    </xf>
    <xf numFmtId="14" fontId="36" fillId="0" borderId="2" xfId="10" applyNumberFormat="1" applyFont="1" applyBorder="1" applyAlignment="1">
      <alignment vertical="center" wrapText="1"/>
    </xf>
    <xf numFmtId="14" fontId="36" fillId="0" borderId="2" xfId="10" applyNumberFormat="1" applyFont="1" applyBorder="1" applyAlignment="1">
      <alignment horizontal="left" vertical="center" wrapText="1"/>
    </xf>
    <xf numFmtId="0" fontId="36" fillId="0" borderId="2" xfId="10" applyFont="1" applyBorder="1" applyAlignment="1">
      <alignment horizontal="center" vertical="center" wrapText="1"/>
    </xf>
    <xf numFmtId="0" fontId="36" fillId="0" borderId="2" xfId="10" applyFont="1" applyBorder="1" applyAlignment="1">
      <alignment horizontal="left" vertical="center" wrapText="1"/>
    </xf>
    <xf numFmtId="0" fontId="36" fillId="0" borderId="13" xfId="10" applyFont="1" applyBorder="1" applyAlignment="1">
      <alignment vertical="center" wrapText="1"/>
    </xf>
    <xf numFmtId="0" fontId="36" fillId="0" borderId="2" xfId="10" quotePrefix="1" applyFont="1" applyBorder="1" applyAlignment="1">
      <alignment horizontal="left" vertical="center" wrapText="1"/>
    </xf>
    <xf numFmtId="1" fontId="36" fillId="0" borderId="2" xfId="11" quotePrefix="1" applyNumberFormat="1" applyFont="1" applyBorder="1" applyAlignment="1">
      <alignment horizontal="left" vertical="center"/>
    </xf>
    <xf numFmtId="43" fontId="36" fillId="0" borderId="2" xfId="12" applyFont="1" applyBorder="1" applyAlignment="1">
      <alignment vertical="center"/>
    </xf>
    <xf numFmtId="43" fontId="36" fillId="0" borderId="2" xfId="12" quotePrefix="1" applyFont="1" applyBorder="1" applyAlignment="1">
      <alignment horizontal="left" vertical="center"/>
    </xf>
    <xf numFmtId="43" fontId="2" fillId="0" borderId="14" xfId="19" applyNumberFormat="1" applyBorder="1" applyAlignment="1">
      <alignment horizontal="left" vertical="center"/>
    </xf>
    <xf numFmtId="0" fontId="36" fillId="0" borderId="2" xfId="10" applyFont="1" applyBorder="1" applyAlignment="1">
      <alignment vertical="center" wrapText="1"/>
    </xf>
    <xf numFmtId="0" fontId="35" fillId="0" borderId="0" xfId="0" applyFont="1" applyAlignment="1">
      <alignment horizontal="right" vertical="center"/>
    </xf>
    <xf numFmtId="2" fontId="35" fillId="0" borderId="0" xfId="5" applyNumberFormat="1" applyFont="1" applyAlignment="1">
      <alignment vertical="center"/>
    </xf>
    <xf numFmtId="0" fontId="35" fillId="0" borderId="0" xfId="5" applyFont="1" applyAlignment="1">
      <alignment vertical="center"/>
    </xf>
    <xf numFmtId="0" fontId="35" fillId="0" borderId="0" xfId="0" applyFont="1" applyAlignment="1">
      <alignment vertical="center" wrapText="1"/>
    </xf>
    <xf numFmtId="0" fontId="35" fillId="0" borderId="0" xfId="0" applyFont="1" applyAlignment="1">
      <alignment horizontal="center" vertical="center"/>
    </xf>
    <xf numFmtId="0" fontId="35" fillId="0" borderId="1" xfId="0" applyFont="1" applyBorder="1" applyAlignment="1">
      <alignment vertical="center"/>
    </xf>
    <xf numFmtId="0" fontId="14" fillId="5" borderId="1" xfId="3" applyFont="1" applyFill="1" applyBorder="1" applyAlignment="1">
      <alignment horizontal="left" vertical="center"/>
    </xf>
    <xf numFmtId="0" fontId="35" fillId="8" borderId="1" xfId="0" applyFont="1" applyFill="1" applyBorder="1" applyAlignment="1">
      <alignment vertical="center"/>
    </xf>
    <xf numFmtId="49" fontId="18" fillId="8" borderId="1" xfId="0" applyNumberFormat="1" applyFont="1" applyFill="1" applyBorder="1" applyAlignment="1">
      <alignment horizontal="center"/>
    </xf>
    <xf numFmtId="0" fontId="65" fillId="8" borderId="1" xfId="0" applyFont="1" applyFill="1" applyBorder="1" applyAlignment="1">
      <alignment horizontal="left"/>
    </xf>
    <xf numFmtId="14" fontId="65" fillId="9" borderId="24" xfId="0" applyNumberFormat="1" applyFont="1" applyFill="1" applyBorder="1" applyAlignment="1">
      <alignment horizontal="left" vertical="center"/>
    </xf>
    <xf numFmtId="0" fontId="65" fillId="9" borderId="24" xfId="0" applyFont="1" applyFill="1" applyBorder="1" applyAlignment="1">
      <alignment horizontal="left" vertical="center"/>
    </xf>
    <xf numFmtId="0" fontId="65" fillId="8" borderId="0" xfId="0" applyFont="1" applyFill="1" applyAlignment="1">
      <alignment horizontal="left" wrapText="1"/>
    </xf>
    <xf numFmtId="164" fontId="67" fillId="8" borderId="0" xfId="20" applyNumberFormat="1" applyFont="1" applyFill="1" applyAlignment="1">
      <alignment horizontal="left"/>
    </xf>
    <xf numFmtId="0" fontId="67" fillId="8" borderId="0" xfId="20" applyFont="1" applyFill="1" applyAlignment="1">
      <alignment horizontal="left" wrapText="1"/>
    </xf>
    <xf numFmtId="49" fontId="67" fillId="8" borderId="0" xfId="20" applyNumberFormat="1" applyFont="1" applyFill="1" applyAlignment="1">
      <alignment horizontal="left" wrapText="1"/>
    </xf>
    <xf numFmtId="0" fontId="65" fillId="8" borderId="0" xfId="20" applyFont="1" applyFill="1" applyAlignment="1">
      <alignment horizontal="left" wrapText="1"/>
    </xf>
    <xf numFmtId="164" fontId="65" fillId="8" borderId="0" xfId="20" applyNumberFormat="1" applyFont="1" applyFill="1" applyAlignment="1">
      <alignment horizontal="left" wrapText="1"/>
    </xf>
    <xf numFmtId="49" fontId="65" fillId="8" borderId="0" xfId="20" applyNumberFormat="1" applyFont="1" applyFill="1" applyAlignment="1">
      <alignment horizontal="left" wrapText="1"/>
    </xf>
    <xf numFmtId="168" fontId="65" fillId="8" borderId="0" xfId="0" applyNumberFormat="1" applyFont="1" applyFill="1" applyAlignment="1">
      <alignment horizontal="left" wrapText="1"/>
    </xf>
    <xf numFmtId="168" fontId="65" fillId="8" borderId="0" xfId="20" applyNumberFormat="1" applyFont="1" applyFill="1" applyAlignment="1">
      <alignment horizontal="left" wrapText="1"/>
    </xf>
    <xf numFmtId="164" fontId="67" fillId="8" borderId="16" xfId="20" applyNumberFormat="1" applyFont="1" applyFill="1" applyBorder="1" applyAlignment="1">
      <alignment horizontal="left" wrapText="1"/>
    </xf>
    <xf numFmtId="0" fontId="67" fillId="8" borderId="16" xfId="20" applyFont="1" applyFill="1" applyBorder="1" applyAlignment="1">
      <alignment horizontal="left" wrapText="1"/>
    </xf>
    <xf numFmtId="49" fontId="67" fillId="8" borderId="5" xfId="20" applyNumberFormat="1" applyFont="1" applyFill="1" applyBorder="1" applyAlignment="1">
      <alignment horizontal="left" wrapText="1"/>
    </xf>
    <xf numFmtId="0" fontId="67" fillId="8" borderId="7" xfId="20" applyFont="1" applyFill="1" applyBorder="1" applyAlignment="1">
      <alignment horizontal="left" wrapText="1"/>
    </xf>
    <xf numFmtId="0" fontId="67" fillId="8" borderId="5" xfId="20" applyFont="1" applyFill="1" applyBorder="1" applyAlignment="1">
      <alignment horizontal="left" wrapText="1"/>
    </xf>
    <xf numFmtId="49" fontId="67" fillId="8" borderId="7" xfId="20" applyNumberFormat="1" applyFont="1" applyFill="1" applyBorder="1" applyAlignment="1">
      <alignment horizontal="left" wrapText="1"/>
    </xf>
    <xf numFmtId="49" fontId="67" fillId="8" borderId="16" xfId="20" applyNumberFormat="1" applyFont="1" applyFill="1" applyBorder="1" applyAlignment="1">
      <alignment horizontal="left" wrapText="1"/>
    </xf>
    <xf numFmtId="168" fontId="67" fillId="8" borderId="7" xfId="20" applyNumberFormat="1" applyFont="1" applyFill="1" applyBorder="1" applyAlignment="1" applyProtection="1">
      <alignment horizontal="left" wrapText="1"/>
      <protection locked="0"/>
    </xf>
    <xf numFmtId="0" fontId="67" fillId="8" borderId="16" xfId="0" applyFont="1" applyFill="1" applyBorder="1" applyAlignment="1">
      <alignment horizontal="left" wrapText="1"/>
    </xf>
    <xf numFmtId="164" fontId="67" fillId="8" borderId="20" xfId="20" applyNumberFormat="1" applyFont="1" applyFill="1" applyBorder="1" applyAlignment="1">
      <alignment horizontal="left" wrapText="1"/>
    </xf>
    <xf numFmtId="0" fontId="67" fillId="8" borderId="20" xfId="20" applyFont="1" applyFill="1" applyBorder="1" applyAlignment="1">
      <alignment horizontal="left" wrapText="1"/>
    </xf>
    <xf numFmtId="49" fontId="67" fillId="8" borderId="8" xfId="20" applyNumberFormat="1" applyFont="1" applyFill="1" applyBorder="1" applyAlignment="1">
      <alignment horizontal="left" wrapText="1"/>
    </xf>
    <xf numFmtId="0" fontId="67" fillId="8" borderId="9" xfId="20" applyFont="1" applyFill="1" applyBorder="1" applyAlignment="1">
      <alignment horizontal="left" wrapText="1"/>
    </xf>
    <xf numFmtId="0" fontId="67" fillId="8" borderId="8" xfId="20" applyFont="1" applyFill="1" applyBorder="1" applyAlignment="1">
      <alignment horizontal="left" wrapText="1"/>
    </xf>
    <xf numFmtId="49" fontId="67" fillId="8" borderId="9" xfId="20" applyNumberFormat="1" applyFont="1" applyFill="1" applyBorder="1" applyAlignment="1">
      <alignment horizontal="left" wrapText="1"/>
    </xf>
    <xf numFmtId="49" fontId="67" fillId="8" borderId="20" xfId="20" applyNumberFormat="1" applyFont="1" applyFill="1" applyBorder="1" applyAlignment="1">
      <alignment horizontal="left" wrapText="1"/>
    </xf>
    <xf numFmtId="168" fontId="67" fillId="8" borderId="9" xfId="20" applyNumberFormat="1" applyFont="1" applyFill="1" applyBorder="1" applyAlignment="1" applyProtection="1">
      <alignment horizontal="left" wrapText="1"/>
      <protection locked="0"/>
    </xf>
    <xf numFmtId="0" fontId="67" fillId="8" borderId="20" xfId="0" applyFont="1" applyFill="1" applyBorder="1" applyAlignment="1">
      <alignment horizontal="left" wrapText="1"/>
    </xf>
    <xf numFmtId="0" fontId="65" fillId="8" borderId="0" xfId="0" applyFont="1" applyFill="1" applyAlignment="1">
      <alignment horizontal="right" wrapText="1"/>
    </xf>
    <xf numFmtId="0" fontId="65" fillId="8" borderId="1" xfId="20" applyFont="1" applyFill="1" applyBorder="1" applyAlignment="1">
      <alignment horizontal="left" wrapText="1"/>
    </xf>
    <xf numFmtId="49" fontId="67" fillId="8" borderId="1" xfId="20" applyNumberFormat="1" applyFont="1" applyFill="1" applyBorder="1" applyAlignment="1">
      <alignment horizontal="left" wrapText="1"/>
    </xf>
    <xf numFmtId="0" fontId="65" fillId="5" borderId="1" xfId="3" applyFont="1" applyFill="1" applyBorder="1" applyAlignment="1">
      <alignment horizontal="left" vertical="center"/>
    </xf>
    <xf numFmtId="0" fontId="65" fillId="0" borderId="0" xfId="0" applyFont="1" applyAlignment="1">
      <alignment horizontal="left"/>
    </xf>
    <xf numFmtId="0" fontId="65" fillId="8" borderId="0" xfId="0" applyFont="1" applyFill="1" applyAlignment="1">
      <alignment horizontal="left"/>
    </xf>
    <xf numFmtId="0" fontId="65" fillId="8" borderId="1" xfId="0" applyFont="1" applyFill="1" applyBorder="1" applyAlignment="1">
      <alignment horizontal="left" vertical="center"/>
    </xf>
    <xf numFmtId="0" fontId="65" fillId="0" borderId="1" xfId="0" applyFont="1" applyBorder="1" applyAlignment="1">
      <alignment horizontal="left" vertical="center"/>
    </xf>
    <xf numFmtId="49" fontId="65" fillId="8" borderId="1" xfId="0" applyNumberFormat="1" applyFont="1" applyFill="1" applyBorder="1" applyAlignment="1">
      <alignment horizontal="left"/>
    </xf>
    <xf numFmtId="14" fontId="65" fillId="5" borderId="1" xfId="3" applyNumberFormat="1" applyFont="1" applyFill="1" applyBorder="1" applyAlignment="1">
      <alignment horizontal="left"/>
    </xf>
    <xf numFmtId="1" fontId="65" fillId="5" borderId="1" xfId="3" applyNumberFormat="1" applyFont="1" applyFill="1" applyBorder="1" applyAlignment="1">
      <alignment horizontal="left"/>
    </xf>
    <xf numFmtId="0" fontId="65" fillId="5" borderId="1" xfId="3" applyFont="1" applyFill="1" applyBorder="1" applyAlignment="1">
      <alignment horizontal="left"/>
    </xf>
    <xf numFmtId="0" fontId="65" fillId="0" borderId="1" xfId="3" applyFont="1" applyBorder="1" applyAlignment="1">
      <alignment horizontal="left"/>
    </xf>
    <xf numFmtId="164" fontId="65" fillId="5" borderId="1" xfId="3" applyNumberFormat="1" applyFont="1" applyFill="1" applyBorder="1" applyAlignment="1">
      <alignment horizontal="left"/>
    </xf>
    <xf numFmtId="0" fontId="65" fillId="0" borderId="1" xfId="3" applyFont="1" applyBorder="1" applyAlignment="1">
      <alignment horizontal="left" vertical="center"/>
    </xf>
    <xf numFmtId="0" fontId="66" fillId="5" borderId="1" xfId="19" applyNumberFormat="1" applyFont="1" applyFill="1" applyBorder="1" applyAlignment="1">
      <alignment horizontal="left"/>
    </xf>
    <xf numFmtId="0" fontId="66" fillId="5" borderId="1" xfId="4" applyNumberFormat="1" applyFont="1" applyFill="1" applyBorder="1" applyAlignment="1">
      <alignment horizontal="left"/>
    </xf>
    <xf numFmtId="14" fontId="65" fillId="9" borderId="1" xfId="0" applyNumberFormat="1" applyFont="1" applyFill="1" applyBorder="1" applyAlignment="1">
      <alignment horizontal="left" vertical="center"/>
    </xf>
    <xf numFmtId="0" fontId="65" fillId="9" borderId="1" xfId="0" applyFont="1" applyFill="1" applyBorder="1" applyAlignment="1">
      <alignment horizontal="left" vertical="center"/>
    </xf>
    <xf numFmtId="49" fontId="65" fillId="9" borderId="1" xfId="0" applyNumberFormat="1" applyFont="1" applyFill="1" applyBorder="1" applyAlignment="1">
      <alignment horizontal="left" vertical="center"/>
    </xf>
    <xf numFmtId="14" fontId="66" fillId="9" borderId="1" xfId="19" applyNumberFormat="1" applyFont="1" applyFill="1" applyBorder="1" applyAlignment="1">
      <alignment horizontal="left" vertical="center"/>
    </xf>
    <xf numFmtId="0" fontId="65" fillId="10" borderId="1" xfId="0" applyFont="1" applyFill="1" applyBorder="1" applyAlignment="1">
      <alignment horizontal="left" vertical="center"/>
    </xf>
    <xf numFmtId="14" fontId="65" fillId="0" borderId="1" xfId="14" applyNumberFormat="1" applyFont="1" applyBorder="1" applyAlignment="1">
      <alignment horizontal="left" vertical="center"/>
    </xf>
    <xf numFmtId="0" fontId="65" fillId="0" borderId="1" xfId="14" applyFont="1" applyBorder="1" applyAlignment="1">
      <alignment horizontal="left" vertical="center"/>
    </xf>
    <xf numFmtId="0" fontId="65" fillId="0" borderId="1" xfId="14" applyFont="1" applyBorder="1" applyAlignment="1">
      <alignment horizontal="left"/>
    </xf>
    <xf numFmtId="14" fontId="65" fillId="0" borderId="1" xfId="14" applyNumberFormat="1" applyFont="1" applyBorder="1" applyAlignment="1">
      <alignment horizontal="left"/>
    </xf>
    <xf numFmtId="0" fontId="65" fillId="0" borderId="1" xfId="14" quotePrefix="1" applyFont="1" applyBorder="1" applyAlignment="1">
      <alignment horizontal="left"/>
    </xf>
    <xf numFmtId="0" fontId="66" fillId="0" borderId="1" xfId="19" applyFont="1" applyBorder="1" applyAlignment="1">
      <alignment horizontal="left" vertical="center"/>
    </xf>
    <xf numFmtId="0" fontId="65" fillId="0" borderId="1" xfId="14" quotePrefix="1" applyFont="1" applyBorder="1" applyAlignment="1">
      <alignment horizontal="left" vertical="center"/>
    </xf>
    <xf numFmtId="0" fontId="66" fillId="0" borderId="1" xfId="13" applyFont="1" applyBorder="1" applyAlignment="1">
      <alignment horizontal="left" vertical="center"/>
    </xf>
    <xf numFmtId="0" fontId="65" fillId="5" borderId="1" xfId="0" applyFont="1" applyFill="1" applyBorder="1" applyAlignment="1">
      <alignment horizontal="left" vertical="center"/>
    </xf>
    <xf numFmtId="0" fontId="65" fillId="8" borderId="1" xfId="3" applyFont="1" applyFill="1" applyBorder="1" applyAlignment="1">
      <alignment horizontal="left" vertical="center"/>
    </xf>
    <xf numFmtId="0" fontId="65" fillId="8" borderId="1" xfId="3" applyFont="1" applyFill="1" applyBorder="1" applyAlignment="1">
      <alignment horizontal="left"/>
    </xf>
    <xf numFmtId="14" fontId="65" fillId="0" borderId="1" xfId="10" applyNumberFormat="1" applyFont="1" applyBorder="1" applyAlignment="1">
      <alignment horizontal="left" vertical="center" wrapText="1"/>
    </xf>
    <xf numFmtId="0" fontId="65" fillId="0" borderId="1" xfId="10" applyFont="1" applyBorder="1" applyAlignment="1">
      <alignment horizontal="left" vertical="center" wrapText="1"/>
    </xf>
    <xf numFmtId="0" fontId="65" fillId="0" borderId="1" xfId="10" quotePrefix="1" applyFont="1" applyBorder="1" applyAlignment="1">
      <alignment horizontal="left" vertical="center" wrapText="1"/>
    </xf>
    <xf numFmtId="43" fontId="66" fillId="0" borderId="1" xfId="19" applyNumberFormat="1" applyFont="1" applyBorder="1" applyAlignment="1">
      <alignment horizontal="left" vertical="center"/>
    </xf>
    <xf numFmtId="0" fontId="65" fillId="0" borderId="1" xfId="12" quotePrefix="1" applyNumberFormat="1" applyFont="1" applyBorder="1" applyAlignment="1">
      <alignment horizontal="left" vertical="center"/>
    </xf>
    <xf numFmtId="1" fontId="65" fillId="0" borderId="1" xfId="11" quotePrefix="1" applyNumberFormat="1" applyFont="1" applyBorder="1" applyAlignment="1">
      <alignment horizontal="left" vertical="center"/>
    </xf>
    <xf numFmtId="0" fontId="65" fillId="0" borderId="1" xfId="0" applyFont="1" applyBorder="1" applyAlignment="1">
      <alignment horizontal="left"/>
    </xf>
    <xf numFmtId="1" fontId="65" fillId="5" borderId="1" xfId="3" applyNumberFormat="1" applyFont="1" applyFill="1" applyBorder="1" applyAlignment="1">
      <alignment horizontal="left" vertical="center"/>
    </xf>
    <xf numFmtId="164" fontId="65" fillId="5" borderId="1" xfId="3" applyNumberFormat="1" applyFont="1" applyFill="1" applyBorder="1" applyAlignment="1">
      <alignment horizontal="left" vertical="center"/>
    </xf>
    <xf numFmtId="0" fontId="66" fillId="5" borderId="1" xfId="19" applyNumberFormat="1" applyFont="1" applyFill="1" applyBorder="1" applyAlignment="1">
      <alignment horizontal="left" vertical="center"/>
    </xf>
    <xf numFmtId="0" fontId="66" fillId="5" borderId="1" xfId="4" applyNumberFormat="1" applyFont="1" applyFill="1" applyBorder="1" applyAlignment="1">
      <alignment horizontal="left" vertical="center"/>
    </xf>
    <xf numFmtId="14" fontId="65" fillId="0" borderId="1" xfId="0" applyNumberFormat="1" applyFont="1" applyBorder="1" applyAlignment="1">
      <alignment horizontal="left"/>
    </xf>
    <xf numFmtId="0" fontId="63" fillId="5" borderId="2" xfId="4" applyNumberFormat="1" applyFont="1" applyFill="1" applyBorder="1" applyAlignment="1">
      <alignment horizontal="left"/>
    </xf>
  </cellXfs>
  <cellStyles count="22">
    <cellStyle name="Hipervínculo" xfId="19" builtinId="8"/>
    <cellStyle name="Hipervínculo 2 5" xfId="13" xr:uid="{00000000-0005-0000-0000-000001000000}"/>
    <cellStyle name="Hipervínculo 6" xfId="4" xr:uid="{00000000-0005-0000-0000-000002000000}"/>
    <cellStyle name="Millares 10 15 9" xfId="12" xr:uid="{00000000-0005-0000-0000-000003000000}"/>
    <cellStyle name="Millares 10 19 37" xfId="15" xr:uid="{00000000-0005-0000-0000-000004000000}"/>
    <cellStyle name="Millares 39 2" xfId="11" xr:uid="{00000000-0005-0000-0000-000005000000}"/>
    <cellStyle name="Normal" xfId="0" builtinId="0"/>
    <cellStyle name="Normal 10 2" xfId="9" xr:uid="{00000000-0005-0000-0000-000007000000}"/>
    <cellStyle name="Normal 104" xfId="7" xr:uid="{00000000-0005-0000-0000-000008000000}"/>
    <cellStyle name="Normal 104 5" xfId="21" xr:uid="{00000000-0005-0000-0000-000009000000}"/>
    <cellStyle name="Normal 18" xfId="5" xr:uid="{00000000-0005-0000-0000-00000A000000}"/>
    <cellStyle name="Normal 2" xfId="17" xr:uid="{00000000-0005-0000-0000-00000B000000}"/>
    <cellStyle name="Normal 2 2 2" xfId="20" xr:uid="{00000000-0005-0000-0000-00000C000000}"/>
    <cellStyle name="Normal 2 2 2 2" xfId="16" xr:uid="{00000000-0005-0000-0000-00000D000000}"/>
    <cellStyle name="Normal 27" xfId="3" xr:uid="{00000000-0005-0000-0000-00000E000000}"/>
    <cellStyle name="Normal 30" xfId="18" xr:uid="{00000000-0005-0000-0000-00000F000000}"/>
    <cellStyle name="Normal 34 5 8" xfId="8" xr:uid="{00000000-0005-0000-0000-000010000000}"/>
    <cellStyle name="Normal 34 5 8 2 2" xfId="10" xr:uid="{00000000-0005-0000-0000-000011000000}"/>
    <cellStyle name="Normal 34 5 8 4 2" xfId="14" xr:uid="{00000000-0005-0000-0000-000012000000}"/>
    <cellStyle name="Normal 34 5 8 5" xfId="1" xr:uid="{00000000-0005-0000-0000-000013000000}"/>
    <cellStyle name="Normal 38 4 7" xfId="6" xr:uid="{00000000-0005-0000-0000-000014000000}"/>
    <cellStyle name="Normal 4 2" xfId="2" xr:uid="{00000000-0005-0000-0000-000015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133350</xdr:rowOff>
    </xdr:from>
    <xdr:to>
      <xdr:col>1</xdr:col>
      <xdr:colOff>628650</xdr:colOff>
      <xdr:row>3</xdr:row>
      <xdr:rowOff>168384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F0B9567C-F8BB-4DD5-A55A-73D7494BB9E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9150" y="38471475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230443</xdr:colOff>
      <xdr:row>1</xdr:row>
      <xdr:rowOff>69134</xdr:rowOff>
    </xdr:from>
    <xdr:to>
      <xdr:col>1</xdr:col>
      <xdr:colOff>780861</xdr:colOff>
      <xdr:row>3</xdr:row>
      <xdr:rowOff>71754</xdr:rowOff>
    </xdr:to>
    <xdr:pic>
      <xdr:nvPicPr>
        <xdr:cNvPr id="2" name="Imagen 2">
          <a:extLst>
            <a:ext uri="{FF2B5EF4-FFF2-40B4-BE49-F238E27FC236}">
              <a16:creationId xmlns:a16="http://schemas.microsoft.com/office/drawing/2014/main" id="{C4540AE8-65E7-404E-9748-E3C6E8F8153C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763843" y="3041201609"/>
          <a:ext cx="550418" cy="383620"/>
        </a:xfrm>
        <a:prstGeom prst="rect">
          <a:avLst/>
        </a:prstGeom>
        <a:ln w="0">
          <a:noFill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57150</xdr:rowOff>
    </xdr:from>
    <xdr:to>
      <xdr:col>1</xdr:col>
      <xdr:colOff>666750</xdr:colOff>
      <xdr:row>3</xdr:row>
      <xdr:rowOff>92184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3CB4DED9-BD78-4DFB-B071-EA16D19A6E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715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76200</xdr:colOff>
      <xdr:row>2</xdr:row>
      <xdr:rowOff>76200</xdr:rowOff>
    </xdr:from>
    <xdr:to>
      <xdr:col>1</xdr:col>
      <xdr:colOff>676275</xdr:colOff>
      <xdr:row>4</xdr:row>
      <xdr:rowOff>111234</xdr:rowOff>
    </xdr:to>
    <xdr:pic>
      <xdr:nvPicPr>
        <xdr:cNvPr id="2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DFEDF2DF-B860-4873-B623-C928EA1CB46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38200" y="5486400"/>
          <a:ext cx="600075" cy="41603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121242</xdr:colOff>
      <xdr:row>2</xdr:row>
      <xdr:rowOff>114301</xdr:rowOff>
    </xdr:from>
    <xdr:to>
      <xdr:col>1</xdr:col>
      <xdr:colOff>654642</xdr:colOff>
      <xdr:row>4</xdr:row>
      <xdr:rowOff>156277</xdr:rowOff>
    </xdr:to>
    <xdr:pic>
      <xdr:nvPicPr>
        <xdr:cNvPr id="3" name="Imagen 1" descr="Un dibujo con letras&#10;&#10;Descripción generada automáticamente con confianza media">
          <a:extLst>
            <a:ext uri="{FF2B5EF4-FFF2-40B4-BE49-F238E27FC236}">
              <a16:creationId xmlns:a16="http://schemas.microsoft.com/office/drawing/2014/main" id="{4B793AFA-A79F-48DA-8F38-BEC74D92DB3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3242" y="495301"/>
          <a:ext cx="533400" cy="422976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blipFill dpi="0" rotWithShape="0">
                <a:blip xmlns:r="http://schemas.openxmlformats.org/officeDocument/2006/relationships"/>
                <a:srcRect/>
                <a:stretch>
                  <a:fillRect/>
                </a:stretch>
              </a:blip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3465A4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mailto:juanfnc2000@gmail.com" TargetMode="External"/><Relationship Id="rId18" Type="http://schemas.openxmlformats.org/officeDocument/2006/relationships/hyperlink" Target="mailto:luisvasquez2082@gmail.com" TargetMode="External"/><Relationship Id="rId26" Type="http://schemas.openxmlformats.org/officeDocument/2006/relationships/hyperlink" Target="mailto:luiginogardella@gmail.com" TargetMode="External"/><Relationship Id="rId39" Type="http://schemas.openxmlformats.org/officeDocument/2006/relationships/hyperlink" Target="mailto:luiscamilog@hotmail.com" TargetMode="External"/><Relationship Id="rId21" Type="http://schemas.openxmlformats.org/officeDocument/2006/relationships/hyperlink" Target="mailto:j.j.artega58@gmail.com" TargetMode="External"/><Relationship Id="rId34" Type="http://schemas.openxmlformats.org/officeDocument/2006/relationships/hyperlink" Target="mailto:sfdezdecordova@yahoo.com" TargetMode="External"/><Relationship Id="rId42" Type="http://schemas.openxmlformats.org/officeDocument/2006/relationships/hyperlink" Target="mailto:zoilacallec@hotmail.com" TargetMode="External"/><Relationship Id="rId47" Type="http://schemas.openxmlformats.org/officeDocument/2006/relationships/hyperlink" Target="mailto:catyrodas71@gmail.com" TargetMode="External"/><Relationship Id="rId50" Type="http://schemas.openxmlformats.org/officeDocument/2006/relationships/hyperlink" Target="mailto:analuvicu&#241;a@hotmail.com" TargetMode="External"/><Relationship Id="rId55" Type="http://schemas.openxmlformats.org/officeDocument/2006/relationships/hyperlink" Target="mailto:amedinat1@hotmail.com" TargetMode="External"/><Relationship Id="rId63" Type="http://schemas.openxmlformats.org/officeDocument/2006/relationships/printerSettings" Target="../printerSettings/printerSettings1.bin"/><Relationship Id="rId7" Type="http://schemas.openxmlformats.org/officeDocument/2006/relationships/hyperlink" Target="mailto:shantita9@hotmail.com" TargetMode="External"/><Relationship Id="rId2" Type="http://schemas.openxmlformats.org/officeDocument/2006/relationships/hyperlink" Target="mailto:priscibonsai1985@gmail.com" TargetMode="External"/><Relationship Id="rId16" Type="http://schemas.openxmlformats.org/officeDocument/2006/relationships/hyperlink" Target="mailto:romancito1978@gmail.com" TargetMode="External"/><Relationship Id="rId29" Type="http://schemas.openxmlformats.org/officeDocument/2006/relationships/hyperlink" Target="mailto:marthamarca146@gmail.com" TargetMode="External"/><Relationship Id="rId11" Type="http://schemas.openxmlformats.org/officeDocument/2006/relationships/hyperlink" Target="mailto:belencabrera99@gmail.com" TargetMode="External"/><Relationship Id="rId24" Type="http://schemas.openxmlformats.org/officeDocument/2006/relationships/hyperlink" Target="mailto:luiginogardella@gmail.com" TargetMode="External"/><Relationship Id="rId32" Type="http://schemas.openxmlformats.org/officeDocument/2006/relationships/hyperlink" Target="mailto:mar190d19@gmail.com" TargetMode="External"/><Relationship Id="rId37" Type="http://schemas.openxmlformats.org/officeDocument/2006/relationships/hyperlink" Target="mailto:sofyandino@gmail.com" TargetMode="External"/><Relationship Id="rId40" Type="http://schemas.openxmlformats.org/officeDocument/2006/relationships/hyperlink" Target="mailto:luiscamilog@hotmail.com" TargetMode="External"/><Relationship Id="rId45" Type="http://schemas.openxmlformats.org/officeDocument/2006/relationships/hyperlink" Target="mailto:catyrodas71@gmail.com" TargetMode="External"/><Relationship Id="rId53" Type="http://schemas.openxmlformats.org/officeDocument/2006/relationships/hyperlink" Target="mailto:ozzopulla@gmail.com" TargetMode="External"/><Relationship Id="rId58" Type="http://schemas.openxmlformats.org/officeDocument/2006/relationships/hyperlink" Target="mailto:amedinat1@hotmail.com" TargetMode="External"/><Relationship Id="rId5" Type="http://schemas.openxmlformats.org/officeDocument/2006/relationships/hyperlink" Target="mailto:shantita9@hotmail.com" TargetMode="External"/><Relationship Id="rId61" Type="http://schemas.openxmlformats.org/officeDocument/2006/relationships/hyperlink" Target="mailto:paolopuruncajasc@gamil.com" TargetMode="External"/><Relationship Id="rId19" Type="http://schemas.openxmlformats.org/officeDocument/2006/relationships/hyperlink" Target="mailto:j.j.artega58@gmail.com" TargetMode="External"/><Relationship Id="rId14" Type="http://schemas.openxmlformats.org/officeDocument/2006/relationships/hyperlink" Target="mailto:juanfnc2000@gmail.com" TargetMode="External"/><Relationship Id="rId22" Type="http://schemas.openxmlformats.org/officeDocument/2006/relationships/hyperlink" Target="mailto:cillescasr4@gmail.com" TargetMode="External"/><Relationship Id="rId27" Type="http://schemas.openxmlformats.org/officeDocument/2006/relationships/hyperlink" Target="mailto:yumblaaariel@gmail.com" TargetMode="External"/><Relationship Id="rId30" Type="http://schemas.openxmlformats.org/officeDocument/2006/relationships/hyperlink" Target="mailto:marthamarca146@gmail.com" TargetMode="External"/><Relationship Id="rId35" Type="http://schemas.openxmlformats.org/officeDocument/2006/relationships/hyperlink" Target="mailto:johannaelicalle@hotmail.com" TargetMode="External"/><Relationship Id="rId43" Type="http://schemas.openxmlformats.org/officeDocument/2006/relationships/hyperlink" Target="mailto:zoilacallec@hotmail.com" TargetMode="External"/><Relationship Id="rId48" Type="http://schemas.openxmlformats.org/officeDocument/2006/relationships/hyperlink" Target="mailto:catyrodas71@gmail.com" TargetMode="External"/><Relationship Id="rId56" Type="http://schemas.openxmlformats.org/officeDocument/2006/relationships/hyperlink" Target="mailto:amedinat1@hotmail.com" TargetMode="External"/><Relationship Id="rId64" Type="http://schemas.openxmlformats.org/officeDocument/2006/relationships/drawing" Target="../drawings/drawing1.xml"/><Relationship Id="rId8" Type="http://schemas.openxmlformats.org/officeDocument/2006/relationships/hyperlink" Target="mailto:maximogalan@yahoo.com" TargetMode="External"/><Relationship Id="rId51" Type="http://schemas.openxmlformats.org/officeDocument/2006/relationships/hyperlink" Target="mailto:ozzopulla@gmail.com" TargetMode="External"/><Relationship Id="rId3" Type="http://schemas.openxmlformats.org/officeDocument/2006/relationships/hyperlink" Target="mailto:priscibonsai1985@gmail.com" TargetMode="External"/><Relationship Id="rId12" Type="http://schemas.openxmlformats.org/officeDocument/2006/relationships/hyperlink" Target="mailto:juanfnc2000@gmail.com" TargetMode="External"/><Relationship Id="rId17" Type="http://schemas.openxmlformats.org/officeDocument/2006/relationships/hyperlink" Target="mailto:luisvasquez2082@gmail.com" TargetMode="External"/><Relationship Id="rId25" Type="http://schemas.openxmlformats.org/officeDocument/2006/relationships/hyperlink" Target="mailto:luiginogardella@gmail.com" TargetMode="External"/><Relationship Id="rId33" Type="http://schemas.openxmlformats.org/officeDocument/2006/relationships/hyperlink" Target="mailto:sfdezdecordova@yahoo.com" TargetMode="External"/><Relationship Id="rId38" Type="http://schemas.openxmlformats.org/officeDocument/2006/relationships/hyperlink" Target="mailto:sofyandino@gmail.com" TargetMode="External"/><Relationship Id="rId46" Type="http://schemas.openxmlformats.org/officeDocument/2006/relationships/hyperlink" Target="mailto:catyrodas71@gmail.com" TargetMode="External"/><Relationship Id="rId59" Type="http://schemas.openxmlformats.org/officeDocument/2006/relationships/hyperlink" Target="mailto:pjturcotte@hotmail.com" TargetMode="External"/><Relationship Id="rId20" Type="http://schemas.openxmlformats.org/officeDocument/2006/relationships/hyperlink" Target="mailto:j.j.artega58@gmail.com" TargetMode="External"/><Relationship Id="rId41" Type="http://schemas.openxmlformats.org/officeDocument/2006/relationships/hyperlink" Target="mailto:zoilacallec@hotmail.com" TargetMode="External"/><Relationship Id="rId54" Type="http://schemas.openxmlformats.org/officeDocument/2006/relationships/hyperlink" Target="mailto:ozzopulla@gmail.com" TargetMode="External"/><Relationship Id="rId62" Type="http://schemas.openxmlformats.org/officeDocument/2006/relationships/hyperlink" Target="mailto:paolopuruncajasc@gamil.com" TargetMode="External"/><Relationship Id="rId1" Type="http://schemas.openxmlformats.org/officeDocument/2006/relationships/hyperlink" Target="mailto:priscibonsai1985@gmail.com" TargetMode="External"/><Relationship Id="rId6" Type="http://schemas.openxmlformats.org/officeDocument/2006/relationships/hyperlink" Target="mailto:shantita9@hotmail.com" TargetMode="External"/><Relationship Id="rId15" Type="http://schemas.openxmlformats.org/officeDocument/2006/relationships/hyperlink" Target="mailto:romancito1978@gmail.com" TargetMode="External"/><Relationship Id="rId23" Type="http://schemas.openxmlformats.org/officeDocument/2006/relationships/hyperlink" Target="mailto:cillescasr4@gmail.com" TargetMode="External"/><Relationship Id="rId28" Type="http://schemas.openxmlformats.org/officeDocument/2006/relationships/hyperlink" Target="mailto:yumblaaariel@gmail.com" TargetMode="External"/><Relationship Id="rId36" Type="http://schemas.openxmlformats.org/officeDocument/2006/relationships/hyperlink" Target="mailto:johannaelicalle@hotmail.com" TargetMode="External"/><Relationship Id="rId49" Type="http://schemas.openxmlformats.org/officeDocument/2006/relationships/hyperlink" Target="mailto:analuvicu&#241;a@hotmail.com" TargetMode="External"/><Relationship Id="rId57" Type="http://schemas.openxmlformats.org/officeDocument/2006/relationships/hyperlink" Target="mailto:amedinat1@hotmail.com" TargetMode="External"/><Relationship Id="rId10" Type="http://schemas.openxmlformats.org/officeDocument/2006/relationships/hyperlink" Target="mailto:belencabrera99@gmail.com" TargetMode="External"/><Relationship Id="rId31" Type="http://schemas.openxmlformats.org/officeDocument/2006/relationships/hyperlink" Target="mailto:mar190d19@gmail.com" TargetMode="External"/><Relationship Id="rId44" Type="http://schemas.openxmlformats.org/officeDocument/2006/relationships/hyperlink" Target="mailto:zoilacallec@hotmail.com" TargetMode="External"/><Relationship Id="rId52" Type="http://schemas.openxmlformats.org/officeDocument/2006/relationships/hyperlink" Target="mailto:ozzopulla@gmail.com" TargetMode="External"/><Relationship Id="rId60" Type="http://schemas.openxmlformats.org/officeDocument/2006/relationships/hyperlink" Target="mailto:pjturcotte@hotmail.com" TargetMode="External"/><Relationship Id="rId4" Type="http://schemas.openxmlformats.org/officeDocument/2006/relationships/hyperlink" Target="mailto:shantita9@hotmail.com" TargetMode="External"/><Relationship Id="rId9" Type="http://schemas.openxmlformats.org/officeDocument/2006/relationships/hyperlink" Target="mailto:maximogalan@yahoo.com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boyacacuenca@boyaca.com" TargetMode="External"/><Relationship Id="rId13" Type="http://schemas.openxmlformats.org/officeDocument/2006/relationships/printerSettings" Target="../printerSettings/printerSettings2.bin"/><Relationship Id="rId3" Type="http://schemas.openxmlformats.org/officeDocument/2006/relationships/hyperlink" Target="mailto:katherine.guamanm@outlook.es" TargetMode="External"/><Relationship Id="rId7" Type="http://schemas.openxmlformats.org/officeDocument/2006/relationships/hyperlink" Target="mailto:juanlucero@colinealcorp.com" TargetMode="External"/><Relationship Id="rId12" Type="http://schemas.openxmlformats.org/officeDocument/2006/relationships/hyperlink" Target="mailto:lhconstrucciones.ec@gmail.com" TargetMode="External"/><Relationship Id="rId2" Type="http://schemas.openxmlformats.org/officeDocument/2006/relationships/hyperlink" Target="mailto:yolandapesantez@hotmail.com" TargetMode="External"/><Relationship Id="rId1" Type="http://schemas.openxmlformats.org/officeDocument/2006/relationships/hyperlink" Target="mailto:ing.edgar.lojan@gmail.com" TargetMode="External"/><Relationship Id="rId6" Type="http://schemas.openxmlformats.org/officeDocument/2006/relationships/hyperlink" Target="mailto:gudo.freire@hotmail.com" TargetMode="External"/><Relationship Id="rId11" Type="http://schemas.openxmlformats.org/officeDocument/2006/relationships/hyperlink" Target="mailto:sofyandino@gmail.com" TargetMode="External"/><Relationship Id="rId5" Type="http://schemas.openxmlformats.org/officeDocument/2006/relationships/hyperlink" Target="mailto:mariluduranpenaloza@gmail.com" TargetMode="External"/><Relationship Id="rId10" Type="http://schemas.openxmlformats.org/officeDocument/2006/relationships/hyperlink" Target="mailto:andrea28narvaez@gmail.com" TargetMode="External"/><Relationship Id="rId4" Type="http://schemas.openxmlformats.org/officeDocument/2006/relationships/hyperlink" Target="mailto:joseastu@etapanet.net" TargetMode="External"/><Relationship Id="rId9" Type="http://schemas.openxmlformats.org/officeDocument/2006/relationships/hyperlink" Target="mailto:jvaldivieso@ecija.com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mailto:byronsanchezy@gmail.com" TargetMode="External"/><Relationship Id="rId2" Type="http://schemas.openxmlformats.org/officeDocument/2006/relationships/hyperlink" Target="mailto:bellcuenca@gmail.com" TargetMode="External"/><Relationship Id="rId1" Type="http://schemas.openxmlformats.org/officeDocument/2006/relationships/hyperlink" Target="mailto:carlosvalverde_rl89@hotmail.com" TargetMode="External"/><Relationship Id="rId5" Type="http://schemas.openxmlformats.org/officeDocument/2006/relationships/drawing" Target="../drawings/drawing3.xml"/><Relationship Id="rId4" Type="http://schemas.openxmlformats.org/officeDocument/2006/relationships/hyperlink" Target="mailto:patricio.alvarado@kywi.com.ec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raulzhindon@hotmail.com" TargetMode="External"/><Relationship Id="rId13" Type="http://schemas.openxmlformats.org/officeDocument/2006/relationships/hyperlink" Target="mailto:pablo121075@gmail.com" TargetMode="External"/><Relationship Id="rId18" Type="http://schemas.openxmlformats.org/officeDocument/2006/relationships/hyperlink" Target="mailto:jaimepiedra010@gmail.com" TargetMode="External"/><Relationship Id="rId26" Type="http://schemas.openxmlformats.org/officeDocument/2006/relationships/hyperlink" Target="mailto:maryomar30@gmail.com" TargetMode="External"/><Relationship Id="rId3" Type="http://schemas.openxmlformats.org/officeDocument/2006/relationships/hyperlink" Target="mailto:lhconstrucciones.ec@gmail.com" TargetMode="External"/><Relationship Id="rId21" Type="http://schemas.openxmlformats.org/officeDocument/2006/relationships/hyperlink" Target="mailto:jontan_glu@hotmail.com" TargetMode="External"/><Relationship Id="rId7" Type="http://schemas.openxmlformats.org/officeDocument/2006/relationships/hyperlink" Target="mailto:renebaculima58@gmail.com" TargetMode="External"/><Relationship Id="rId12" Type="http://schemas.openxmlformats.org/officeDocument/2006/relationships/hyperlink" Target="mailto:felixneyra@gmail.com" TargetMode="External"/><Relationship Id="rId17" Type="http://schemas.openxmlformats.org/officeDocument/2006/relationships/hyperlink" Target="mailto:d_figueroa2009@hotmail.com" TargetMode="External"/><Relationship Id="rId25" Type="http://schemas.openxmlformats.org/officeDocument/2006/relationships/hyperlink" Target="mailto:isaacsarmiento@hotmail.com" TargetMode="External"/><Relationship Id="rId2" Type="http://schemas.openxmlformats.org/officeDocument/2006/relationships/hyperlink" Target="mailto:paulmoscosopm@hotmail.com" TargetMode="External"/><Relationship Id="rId16" Type="http://schemas.openxmlformats.org/officeDocument/2006/relationships/hyperlink" Target="mailto:kathe.kabrera@hotmail.com" TargetMode="External"/><Relationship Id="rId20" Type="http://schemas.openxmlformats.org/officeDocument/2006/relationships/hyperlink" Target="mailto:karengue105@gmail.com" TargetMode="External"/><Relationship Id="rId29" Type="http://schemas.openxmlformats.org/officeDocument/2006/relationships/hyperlink" Target="mailto:david_ricardo88@hotmail.com" TargetMode="External"/><Relationship Id="rId1" Type="http://schemas.openxmlformats.org/officeDocument/2006/relationships/hyperlink" Target="mailto:andrea28narvaez@gmail.com" TargetMode="External"/><Relationship Id="rId6" Type="http://schemas.openxmlformats.org/officeDocument/2006/relationships/hyperlink" Target="mailto:mariaelisapalaciosa@gmail.com" TargetMode="External"/><Relationship Id="rId11" Type="http://schemas.openxmlformats.org/officeDocument/2006/relationships/hyperlink" Target="mailto:djhonnyillescas@hotmail.com" TargetMode="External"/><Relationship Id="rId24" Type="http://schemas.openxmlformats.org/officeDocument/2006/relationships/hyperlink" Target="mailto:patyrie@hotmail.com" TargetMode="External"/><Relationship Id="rId5" Type="http://schemas.openxmlformats.org/officeDocument/2006/relationships/hyperlink" Target="mailto:danielita.roman@hotmail.com" TargetMode="External"/><Relationship Id="rId15" Type="http://schemas.openxmlformats.org/officeDocument/2006/relationships/hyperlink" Target="mailto:kathe.kabrera@hotmail.com" TargetMode="External"/><Relationship Id="rId23" Type="http://schemas.openxmlformats.org/officeDocument/2006/relationships/hyperlink" Target="mailto:wilsonortega2020@hotmail.com" TargetMode="External"/><Relationship Id="rId28" Type="http://schemas.openxmlformats.org/officeDocument/2006/relationships/hyperlink" Target="mailto:alejandrocastro315@gmail.com" TargetMode="External"/><Relationship Id="rId10" Type="http://schemas.openxmlformats.org/officeDocument/2006/relationships/hyperlink" Target="mailto:mpsacotof@hotmail.com" TargetMode="External"/><Relationship Id="rId19" Type="http://schemas.openxmlformats.org/officeDocument/2006/relationships/hyperlink" Target="mailto:espitacevallos@gmail.com" TargetMode="External"/><Relationship Id="rId31" Type="http://schemas.openxmlformats.org/officeDocument/2006/relationships/hyperlink" Target="mailto:villacresj@hotmail.com" TargetMode="External"/><Relationship Id="rId4" Type="http://schemas.openxmlformats.org/officeDocument/2006/relationships/hyperlink" Target="mailto:mvquevedo@ucuenca.edu.ec" TargetMode="External"/><Relationship Id="rId9" Type="http://schemas.openxmlformats.org/officeDocument/2006/relationships/hyperlink" Target="mailto:verofe12@gmail.com" TargetMode="External"/><Relationship Id="rId14" Type="http://schemas.openxmlformats.org/officeDocument/2006/relationships/hyperlink" Target="mailto:pamelavelez@hotmail.com" TargetMode="External"/><Relationship Id="rId22" Type="http://schemas.openxmlformats.org/officeDocument/2006/relationships/hyperlink" Target="mailto:contabilidad@constructorapc.com" TargetMode="External"/><Relationship Id="rId27" Type="http://schemas.openxmlformats.org/officeDocument/2006/relationships/hyperlink" Target="mailto:aniloserrano@hotmail.com" TargetMode="External"/><Relationship Id="rId30" Type="http://schemas.openxmlformats.org/officeDocument/2006/relationships/hyperlink" Target="mailto:luis.pr92@hotmail.com" TargetMode="Externa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gudo.freire@hotmail.com" TargetMode="External"/><Relationship Id="rId21" Type="http://schemas.openxmlformats.org/officeDocument/2006/relationships/hyperlink" Target="mailto:luisvasquez2082@gmail.com" TargetMode="External"/><Relationship Id="rId42" Type="http://schemas.openxmlformats.org/officeDocument/2006/relationships/hyperlink" Target="mailto:sfdezdecordova@yahoo.com" TargetMode="External"/><Relationship Id="rId47" Type="http://schemas.openxmlformats.org/officeDocument/2006/relationships/hyperlink" Target="mailto:sofyandino@gmail.com" TargetMode="External"/><Relationship Id="rId63" Type="http://schemas.openxmlformats.org/officeDocument/2006/relationships/hyperlink" Target="mailto:ozzopulla@gmail.com" TargetMode="External"/><Relationship Id="rId68" Type="http://schemas.openxmlformats.org/officeDocument/2006/relationships/hyperlink" Target="mailto:pjturcotte@hotmail.com" TargetMode="External"/><Relationship Id="rId84" Type="http://schemas.openxmlformats.org/officeDocument/2006/relationships/hyperlink" Target="mailto:mariaelisapalaciosa@gmail.com" TargetMode="External"/><Relationship Id="rId89" Type="http://schemas.openxmlformats.org/officeDocument/2006/relationships/hyperlink" Target="mailto:mpsacotof@hotmail.com" TargetMode="External"/><Relationship Id="rId16" Type="http://schemas.openxmlformats.org/officeDocument/2006/relationships/hyperlink" Target="mailto:juanfnc2000@gmail.com" TargetMode="External"/><Relationship Id="rId107" Type="http://schemas.openxmlformats.org/officeDocument/2006/relationships/hyperlink" Target="mailto:david_ricardo88@hotmail.com" TargetMode="External"/><Relationship Id="rId11" Type="http://schemas.openxmlformats.org/officeDocument/2006/relationships/hyperlink" Target="mailto:paolopuruncajasc@gamil.com" TargetMode="External"/><Relationship Id="rId32" Type="http://schemas.openxmlformats.org/officeDocument/2006/relationships/hyperlink" Target="mailto:cillescasr4@gmail.com" TargetMode="External"/><Relationship Id="rId37" Type="http://schemas.openxmlformats.org/officeDocument/2006/relationships/hyperlink" Target="mailto:yumblaaariel@gmail.com" TargetMode="External"/><Relationship Id="rId53" Type="http://schemas.openxmlformats.org/officeDocument/2006/relationships/hyperlink" Target="mailto:zoilacallec@hotmail.com" TargetMode="External"/><Relationship Id="rId58" Type="http://schemas.openxmlformats.org/officeDocument/2006/relationships/hyperlink" Target="mailto:analuvicu&#241;a@hotmail.com" TargetMode="External"/><Relationship Id="rId74" Type="http://schemas.openxmlformats.org/officeDocument/2006/relationships/hyperlink" Target="mailto:andrea28narvaez@gmail.com" TargetMode="External"/><Relationship Id="rId79" Type="http://schemas.openxmlformats.org/officeDocument/2006/relationships/hyperlink" Target="mailto:andrea28narvaez@gmail.com" TargetMode="External"/><Relationship Id="rId102" Type="http://schemas.openxmlformats.org/officeDocument/2006/relationships/hyperlink" Target="mailto:patyrie@hotmail.com" TargetMode="External"/><Relationship Id="rId5" Type="http://schemas.openxmlformats.org/officeDocument/2006/relationships/hyperlink" Target="mailto:shantita9@hotmail.com" TargetMode="External"/><Relationship Id="rId90" Type="http://schemas.openxmlformats.org/officeDocument/2006/relationships/hyperlink" Target="mailto:djhonnyillescas@hotmail.com" TargetMode="External"/><Relationship Id="rId95" Type="http://schemas.openxmlformats.org/officeDocument/2006/relationships/hyperlink" Target="mailto:d_figueroa2009@hotmail.com" TargetMode="External"/><Relationship Id="rId22" Type="http://schemas.openxmlformats.org/officeDocument/2006/relationships/hyperlink" Target="mailto:yolandapesantez@hotmail.com" TargetMode="External"/><Relationship Id="rId27" Type="http://schemas.openxmlformats.org/officeDocument/2006/relationships/hyperlink" Target="mailto:byronsanchezy@gmail.com" TargetMode="External"/><Relationship Id="rId43" Type="http://schemas.openxmlformats.org/officeDocument/2006/relationships/hyperlink" Target="mailto:sfdezdecordova@yahoo.com" TargetMode="External"/><Relationship Id="rId48" Type="http://schemas.openxmlformats.org/officeDocument/2006/relationships/hyperlink" Target="mailto:luiscamilog@hotmail.com" TargetMode="External"/><Relationship Id="rId64" Type="http://schemas.openxmlformats.org/officeDocument/2006/relationships/hyperlink" Target="mailto:amedinat1@hotmail.com" TargetMode="External"/><Relationship Id="rId69" Type="http://schemas.openxmlformats.org/officeDocument/2006/relationships/hyperlink" Target="mailto:pjturcotte@hotmail.com" TargetMode="External"/><Relationship Id="rId80" Type="http://schemas.openxmlformats.org/officeDocument/2006/relationships/hyperlink" Target="mailto:paulmoscosopm@hotmail.com" TargetMode="External"/><Relationship Id="rId85" Type="http://schemas.openxmlformats.org/officeDocument/2006/relationships/hyperlink" Target="mailto:kathe.kabrera@hotmail.com" TargetMode="External"/><Relationship Id="rId12" Type="http://schemas.openxmlformats.org/officeDocument/2006/relationships/hyperlink" Target="mailto:carlosvalverde_rl89@hotmail.com" TargetMode="External"/><Relationship Id="rId17" Type="http://schemas.openxmlformats.org/officeDocument/2006/relationships/hyperlink" Target="mailto:juanfnc2000@gmail.com" TargetMode="External"/><Relationship Id="rId33" Type="http://schemas.openxmlformats.org/officeDocument/2006/relationships/hyperlink" Target="mailto:luiginogardella@gmail.com" TargetMode="External"/><Relationship Id="rId38" Type="http://schemas.openxmlformats.org/officeDocument/2006/relationships/hyperlink" Target="mailto:marthamarca146@gmail.com" TargetMode="External"/><Relationship Id="rId59" Type="http://schemas.openxmlformats.org/officeDocument/2006/relationships/hyperlink" Target="mailto:analuvicu&#241;a@hotmail.com" TargetMode="External"/><Relationship Id="rId103" Type="http://schemas.openxmlformats.org/officeDocument/2006/relationships/hyperlink" Target="mailto:isaacsarmiento@hotmail.com" TargetMode="External"/><Relationship Id="rId108" Type="http://schemas.openxmlformats.org/officeDocument/2006/relationships/hyperlink" Target="mailto:luis.pr92@hotmail.com" TargetMode="External"/><Relationship Id="rId54" Type="http://schemas.openxmlformats.org/officeDocument/2006/relationships/hyperlink" Target="mailto:catyrodas71@gmail.com" TargetMode="External"/><Relationship Id="rId70" Type="http://schemas.openxmlformats.org/officeDocument/2006/relationships/hyperlink" Target="mailto:ing.edgar.lojan@gmail.com" TargetMode="External"/><Relationship Id="rId75" Type="http://schemas.openxmlformats.org/officeDocument/2006/relationships/hyperlink" Target="mailto:sofyandino@gmail.com" TargetMode="External"/><Relationship Id="rId91" Type="http://schemas.openxmlformats.org/officeDocument/2006/relationships/hyperlink" Target="mailto:felixneyra@gmail.com" TargetMode="External"/><Relationship Id="rId96" Type="http://schemas.openxmlformats.org/officeDocument/2006/relationships/hyperlink" Target="mailto:jaimepiedra010@gmail.com" TargetMode="External"/><Relationship Id="rId1" Type="http://schemas.openxmlformats.org/officeDocument/2006/relationships/hyperlink" Target="mailto:priscibonsai1985@gmail.com" TargetMode="External"/><Relationship Id="rId6" Type="http://schemas.openxmlformats.org/officeDocument/2006/relationships/hyperlink" Target="mailto:shantita9@hotmail.com" TargetMode="External"/><Relationship Id="rId15" Type="http://schemas.openxmlformats.org/officeDocument/2006/relationships/hyperlink" Target="mailto:juanfnc2000@gmail.com" TargetMode="External"/><Relationship Id="rId23" Type="http://schemas.openxmlformats.org/officeDocument/2006/relationships/hyperlink" Target="mailto:katherine.guamanm@outlook.es" TargetMode="External"/><Relationship Id="rId28" Type="http://schemas.openxmlformats.org/officeDocument/2006/relationships/hyperlink" Target="mailto:j.j.artega58@gmail.com" TargetMode="External"/><Relationship Id="rId36" Type="http://schemas.openxmlformats.org/officeDocument/2006/relationships/hyperlink" Target="mailto:yumblaaariel@gmail.com" TargetMode="External"/><Relationship Id="rId49" Type="http://schemas.openxmlformats.org/officeDocument/2006/relationships/hyperlink" Target="mailto:luiscamilog@hotmail.com" TargetMode="External"/><Relationship Id="rId57" Type="http://schemas.openxmlformats.org/officeDocument/2006/relationships/hyperlink" Target="mailto:catyrodas71@gmail.com" TargetMode="External"/><Relationship Id="rId106" Type="http://schemas.openxmlformats.org/officeDocument/2006/relationships/hyperlink" Target="mailto:alejandrocastro315@gmail.com" TargetMode="External"/><Relationship Id="rId10" Type="http://schemas.openxmlformats.org/officeDocument/2006/relationships/hyperlink" Target="mailto:paolopuruncajasc@gamil.com" TargetMode="External"/><Relationship Id="rId31" Type="http://schemas.openxmlformats.org/officeDocument/2006/relationships/hyperlink" Target="mailto:cillescasr4@gmail.com" TargetMode="External"/><Relationship Id="rId44" Type="http://schemas.openxmlformats.org/officeDocument/2006/relationships/hyperlink" Target="mailto:johannaelicalle@hotmail.com" TargetMode="External"/><Relationship Id="rId52" Type="http://schemas.openxmlformats.org/officeDocument/2006/relationships/hyperlink" Target="mailto:zoilacallec@hotmail.com" TargetMode="External"/><Relationship Id="rId60" Type="http://schemas.openxmlformats.org/officeDocument/2006/relationships/hyperlink" Target="mailto:ozzopulla@gmail.com" TargetMode="External"/><Relationship Id="rId65" Type="http://schemas.openxmlformats.org/officeDocument/2006/relationships/hyperlink" Target="mailto:amedinat1@hotmail.com" TargetMode="External"/><Relationship Id="rId73" Type="http://schemas.openxmlformats.org/officeDocument/2006/relationships/hyperlink" Target="mailto:jvaldivieso@ecija.com" TargetMode="External"/><Relationship Id="rId78" Type="http://schemas.openxmlformats.org/officeDocument/2006/relationships/hyperlink" Target="mailto:patricio.alvarado@kywi.com.ec" TargetMode="External"/><Relationship Id="rId81" Type="http://schemas.openxmlformats.org/officeDocument/2006/relationships/hyperlink" Target="mailto:lhconstrucciones.ec@gmail.com" TargetMode="External"/><Relationship Id="rId86" Type="http://schemas.openxmlformats.org/officeDocument/2006/relationships/hyperlink" Target="mailto:renebaculima58@gmail.com" TargetMode="External"/><Relationship Id="rId94" Type="http://schemas.openxmlformats.org/officeDocument/2006/relationships/hyperlink" Target="mailto:kathe.kabrera@hotmail.com" TargetMode="External"/><Relationship Id="rId99" Type="http://schemas.openxmlformats.org/officeDocument/2006/relationships/hyperlink" Target="mailto:jontan_glu@hotmail.com" TargetMode="External"/><Relationship Id="rId101" Type="http://schemas.openxmlformats.org/officeDocument/2006/relationships/hyperlink" Target="mailto:wilsonortega2020@hotmail.com" TargetMode="External"/><Relationship Id="rId4" Type="http://schemas.openxmlformats.org/officeDocument/2006/relationships/hyperlink" Target="mailto:shantita9@hotmail.com" TargetMode="External"/><Relationship Id="rId9" Type="http://schemas.openxmlformats.org/officeDocument/2006/relationships/hyperlink" Target="mailto:maximogalan@yahoo.com" TargetMode="External"/><Relationship Id="rId13" Type="http://schemas.openxmlformats.org/officeDocument/2006/relationships/hyperlink" Target="mailto:belencabrera99@gmail.com" TargetMode="External"/><Relationship Id="rId18" Type="http://schemas.openxmlformats.org/officeDocument/2006/relationships/hyperlink" Target="mailto:romancito1978@gmail.com" TargetMode="External"/><Relationship Id="rId39" Type="http://schemas.openxmlformats.org/officeDocument/2006/relationships/hyperlink" Target="mailto:marthamarca146@gmail.com" TargetMode="External"/><Relationship Id="rId109" Type="http://schemas.openxmlformats.org/officeDocument/2006/relationships/hyperlink" Target="mailto:villacresj@hotmail.com" TargetMode="External"/><Relationship Id="rId34" Type="http://schemas.openxmlformats.org/officeDocument/2006/relationships/hyperlink" Target="mailto:luiginogardella@gmail.com" TargetMode="External"/><Relationship Id="rId50" Type="http://schemas.openxmlformats.org/officeDocument/2006/relationships/hyperlink" Target="mailto:zoilacallec@hotmail.com" TargetMode="External"/><Relationship Id="rId55" Type="http://schemas.openxmlformats.org/officeDocument/2006/relationships/hyperlink" Target="mailto:catyrodas71@gmail.com" TargetMode="External"/><Relationship Id="rId76" Type="http://schemas.openxmlformats.org/officeDocument/2006/relationships/hyperlink" Target="mailto:lhconstrucciones.ec@gmail.com" TargetMode="External"/><Relationship Id="rId97" Type="http://schemas.openxmlformats.org/officeDocument/2006/relationships/hyperlink" Target="mailto:espitacevallos@gmail.com" TargetMode="External"/><Relationship Id="rId104" Type="http://schemas.openxmlformats.org/officeDocument/2006/relationships/hyperlink" Target="mailto:maryomar30@gmail.com" TargetMode="External"/><Relationship Id="rId7" Type="http://schemas.openxmlformats.org/officeDocument/2006/relationships/hyperlink" Target="mailto:shantita9@hotmail.com" TargetMode="External"/><Relationship Id="rId71" Type="http://schemas.openxmlformats.org/officeDocument/2006/relationships/hyperlink" Target="mailto:juanlucero@colinealcorp.com" TargetMode="External"/><Relationship Id="rId92" Type="http://schemas.openxmlformats.org/officeDocument/2006/relationships/hyperlink" Target="mailto:pablo121075@gmail.com" TargetMode="External"/><Relationship Id="rId2" Type="http://schemas.openxmlformats.org/officeDocument/2006/relationships/hyperlink" Target="mailto:priscibonsai1985@gmail.com" TargetMode="External"/><Relationship Id="rId29" Type="http://schemas.openxmlformats.org/officeDocument/2006/relationships/hyperlink" Target="mailto:j.j.artega58@gmail.com" TargetMode="External"/><Relationship Id="rId24" Type="http://schemas.openxmlformats.org/officeDocument/2006/relationships/hyperlink" Target="mailto:joseastu@etapanet.net" TargetMode="External"/><Relationship Id="rId40" Type="http://schemas.openxmlformats.org/officeDocument/2006/relationships/hyperlink" Target="mailto:mar190d19@gmail.com" TargetMode="External"/><Relationship Id="rId45" Type="http://schemas.openxmlformats.org/officeDocument/2006/relationships/hyperlink" Target="mailto:johannaelicalle@hotmail.com" TargetMode="External"/><Relationship Id="rId66" Type="http://schemas.openxmlformats.org/officeDocument/2006/relationships/hyperlink" Target="mailto:amedinat1@hotmail.com" TargetMode="External"/><Relationship Id="rId87" Type="http://schemas.openxmlformats.org/officeDocument/2006/relationships/hyperlink" Target="mailto:raulzhindon@hotmail.com" TargetMode="External"/><Relationship Id="rId110" Type="http://schemas.openxmlformats.org/officeDocument/2006/relationships/printerSettings" Target="../printerSettings/printerSettings3.bin"/><Relationship Id="rId61" Type="http://schemas.openxmlformats.org/officeDocument/2006/relationships/hyperlink" Target="mailto:ozzopulla@gmail.com" TargetMode="External"/><Relationship Id="rId82" Type="http://schemas.openxmlformats.org/officeDocument/2006/relationships/hyperlink" Target="mailto:mvquevedo@ucuenca.edu.ec" TargetMode="External"/><Relationship Id="rId19" Type="http://schemas.openxmlformats.org/officeDocument/2006/relationships/hyperlink" Target="mailto:romancito1978@gmail.com" TargetMode="External"/><Relationship Id="rId14" Type="http://schemas.openxmlformats.org/officeDocument/2006/relationships/hyperlink" Target="mailto:belencabrera99@gmail.com" TargetMode="External"/><Relationship Id="rId30" Type="http://schemas.openxmlformats.org/officeDocument/2006/relationships/hyperlink" Target="mailto:j.j.artega58@gmail.com" TargetMode="External"/><Relationship Id="rId35" Type="http://schemas.openxmlformats.org/officeDocument/2006/relationships/hyperlink" Target="mailto:luiginogardella@gmail.com" TargetMode="External"/><Relationship Id="rId56" Type="http://schemas.openxmlformats.org/officeDocument/2006/relationships/hyperlink" Target="mailto:catyrodas71@gmail.com" TargetMode="External"/><Relationship Id="rId77" Type="http://schemas.openxmlformats.org/officeDocument/2006/relationships/hyperlink" Target="mailto:bellcuenca@gmail.com" TargetMode="External"/><Relationship Id="rId100" Type="http://schemas.openxmlformats.org/officeDocument/2006/relationships/hyperlink" Target="mailto:contabilidad@constructorapc.com" TargetMode="External"/><Relationship Id="rId105" Type="http://schemas.openxmlformats.org/officeDocument/2006/relationships/hyperlink" Target="mailto:aniloserrano@hotmail.com" TargetMode="External"/><Relationship Id="rId8" Type="http://schemas.openxmlformats.org/officeDocument/2006/relationships/hyperlink" Target="mailto:maximogalan@yahoo.com" TargetMode="External"/><Relationship Id="rId51" Type="http://schemas.openxmlformats.org/officeDocument/2006/relationships/hyperlink" Target="mailto:zoilacallec@hotmail.com" TargetMode="External"/><Relationship Id="rId72" Type="http://schemas.openxmlformats.org/officeDocument/2006/relationships/hyperlink" Target="mailto:boyacacuenca@boyaca.com" TargetMode="External"/><Relationship Id="rId93" Type="http://schemas.openxmlformats.org/officeDocument/2006/relationships/hyperlink" Target="mailto:pamelavelez@hotmail.com" TargetMode="External"/><Relationship Id="rId98" Type="http://schemas.openxmlformats.org/officeDocument/2006/relationships/hyperlink" Target="mailto:karengue105@gmail.com" TargetMode="External"/><Relationship Id="rId3" Type="http://schemas.openxmlformats.org/officeDocument/2006/relationships/hyperlink" Target="mailto:priscibonsai1985@gmail.com" TargetMode="External"/><Relationship Id="rId25" Type="http://schemas.openxmlformats.org/officeDocument/2006/relationships/hyperlink" Target="mailto:mariluduranpenaloza@gmail.com" TargetMode="External"/><Relationship Id="rId46" Type="http://schemas.openxmlformats.org/officeDocument/2006/relationships/hyperlink" Target="mailto:sofyandino@gmail.com" TargetMode="External"/><Relationship Id="rId67" Type="http://schemas.openxmlformats.org/officeDocument/2006/relationships/hyperlink" Target="mailto:amedinat1@hotmail.com" TargetMode="External"/><Relationship Id="rId20" Type="http://schemas.openxmlformats.org/officeDocument/2006/relationships/hyperlink" Target="mailto:luisvasquez2082@gmail.com" TargetMode="External"/><Relationship Id="rId41" Type="http://schemas.openxmlformats.org/officeDocument/2006/relationships/hyperlink" Target="mailto:mar190d19@gmail.com" TargetMode="External"/><Relationship Id="rId62" Type="http://schemas.openxmlformats.org/officeDocument/2006/relationships/hyperlink" Target="mailto:ozzopulla@gmail.com" TargetMode="External"/><Relationship Id="rId83" Type="http://schemas.openxmlformats.org/officeDocument/2006/relationships/hyperlink" Target="mailto:danielita.roman@hotmail.com" TargetMode="External"/><Relationship Id="rId88" Type="http://schemas.openxmlformats.org/officeDocument/2006/relationships/hyperlink" Target="mailto:verofe12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3:W89"/>
  <sheetViews>
    <sheetView topLeftCell="A74" zoomScale="86" zoomScaleNormal="86" workbookViewId="0">
      <selection activeCell="O88" sqref="O88"/>
    </sheetView>
  </sheetViews>
  <sheetFormatPr baseColWidth="10" defaultRowHeight="15"/>
  <cols>
    <col min="1" max="2" width="11.6640625" bestFit="1" customWidth="1"/>
    <col min="4" max="4" width="11.6640625" bestFit="1" customWidth="1"/>
    <col min="5" max="5" width="18" customWidth="1"/>
    <col min="6" max="6" width="15.1640625" customWidth="1"/>
    <col min="8" max="8" width="11.6640625" bestFit="1" customWidth="1"/>
    <col min="11" max="11" width="14.5" customWidth="1"/>
    <col min="12" max="13" width="11.6640625" bestFit="1" customWidth="1"/>
    <col min="14" max="14" width="12.83203125" bestFit="1" customWidth="1"/>
    <col min="15" max="15" width="11.6640625" bestFit="1" customWidth="1"/>
    <col min="16" max="16" width="23.1640625" customWidth="1"/>
    <col min="18" max="18" width="11.6640625" bestFit="1" customWidth="1"/>
    <col min="20" max="20" width="12.33203125" bestFit="1" customWidth="1"/>
  </cols>
  <sheetData>
    <row r="3" spans="1:22">
      <c r="A3" s="1"/>
      <c r="C3" s="2" t="s">
        <v>0</v>
      </c>
      <c r="E3" s="3"/>
      <c r="G3" s="4"/>
      <c r="H3" s="5"/>
      <c r="I3" s="6"/>
      <c r="J3" s="7"/>
      <c r="K3" s="5"/>
      <c r="L3" s="8"/>
      <c r="M3" s="8"/>
      <c r="N3" s="5"/>
      <c r="O3" s="9"/>
    </row>
    <row r="4" spans="1:22" ht="16">
      <c r="A4" s="1"/>
      <c r="C4" s="10" t="s">
        <v>1</v>
      </c>
      <c r="E4" s="5"/>
      <c r="G4" s="11"/>
      <c r="H4" s="12"/>
      <c r="I4" s="13"/>
      <c r="J4" s="14" t="s">
        <v>23</v>
      </c>
      <c r="K4" s="12"/>
      <c r="L4" s="15"/>
      <c r="M4" s="16"/>
      <c r="N4" s="5" t="s">
        <v>340</v>
      </c>
      <c r="O4" s="9"/>
      <c r="P4" s="17"/>
    </row>
    <row r="5" spans="1:22" s="23" customFormat="1" ht="45">
      <c r="A5" s="18"/>
      <c r="B5" s="19" t="s">
        <v>2</v>
      </c>
      <c r="C5" s="19" t="s">
        <v>3</v>
      </c>
      <c r="D5" s="19" t="s">
        <v>4</v>
      </c>
      <c r="E5" s="19" t="s">
        <v>5</v>
      </c>
      <c r="F5" s="20" t="s">
        <v>6</v>
      </c>
      <c r="G5" s="19" t="s">
        <v>7</v>
      </c>
      <c r="H5" s="19" t="s">
        <v>8</v>
      </c>
      <c r="I5" s="19" t="s">
        <v>9</v>
      </c>
      <c r="J5" s="19" t="s">
        <v>10</v>
      </c>
      <c r="K5" s="19" t="s">
        <v>11</v>
      </c>
      <c r="L5" s="21" t="s">
        <v>12</v>
      </c>
      <c r="M5" s="21" t="s">
        <v>13</v>
      </c>
      <c r="N5" s="19" t="s">
        <v>14</v>
      </c>
      <c r="O5" s="22" t="s">
        <v>15</v>
      </c>
      <c r="P5" s="19" t="s">
        <v>16</v>
      </c>
      <c r="Q5" s="19" t="s">
        <v>17</v>
      </c>
      <c r="R5" s="19" t="s">
        <v>18</v>
      </c>
      <c r="S5" s="19" t="s">
        <v>19</v>
      </c>
      <c r="T5" s="19" t="s">
        <v>20</v>
      </c>
      <c r="U5" s="19" t="s">
        <v>21</v>
      </c>
    </row>
    <row r="6" spans="1:22" s="75" customFormat="1" ht="33" customHeight="1">
      <c r="A6" s="24">
        <v>1</v>
      </c>
      <c r="B6" s="25">
        <v>45209</v>
      </c>
      <c r="C6" s="26" t="s">
        <v>86</v>
      </c>
      <c r="D6" s="26" t="s">
        <v>87</v>
      </c>
      <c r="E6" s="27">
        <v>112570073</v>
      </c>
      <c r="F6" s="28" t="s">
        <v>88</v>
      </c>
      <c r="G6" s="29" t="s">
        <v>89</v>
      </c>
      <c r="H6" s="30" t="s">
        <v>42</v>
      </c>
      <c r="I6" s="26" t="s">
        <v>90</v>
      </c>
      <c r="J6" s="29" t="s">
        <v>91</v>
      </c>
      <c r="K6" s="31">
        <v>45343</v>
      </c>
      <c r="L6" s="32" t="s">
        <v>92</v>
      </c>
      <c r="M6" s="32" t="s">
        <v>93</v>
      </c>
      <c r="N6" s="29">
        <v>939408084</v>
      </c>
      <c r="O6" s="33">
        <v>15</v>
      </c>
      <c r="P6" s="26" t="s">
        <v>22</v>
      </c>
      <c r="Q6" s="26" t="s">
        <v>90</v>
      </c>
      <c r="R6" s="34"/>
      <c r="S6" s="35"/>
      <c r="T6" s="73">
        <v>104502026</v>
      </c>
      <c r="U6" s="176" t="s">
        <v>94</v>
      </c>
      <c r="V6" s="74"/>
    </row>
    <row r="7" spans="1:22" s="75" customFormat="1" ht="33" customHeight="1">
      <c r="A7" s="24">
        <v>2</v>
      </c>
      <c r="B7" s="25">
        <v>45209</v>
      </c>
      <c r="C7" s="26" t="s">
        <v>86</v>
      </c>
      <c r="D7" s="26" t="s">
        <v>87</v>
      </c>
      <c r="E7" s="27">
        <v>111000051</v>
      </c>
      <c r="F7" s="28" t="s">
        <v>95</v>
      </c>
      <c r="G7" s="29" t="s">
        <v>96</v>
      </c>
      <c r="H7" s="30" t="s">
        <v>42</v>
      </c>
      <c r="I7" s="26" t="s">
        <v>90</v>
      </c>
      <c r="J7" s="29" t="s">
        <v>91</v>
      </c>
      <c r="K7" s="31">
        <v>45343</v>
      </c>
      <c r="L7" s="32" t="s">
        <v>92</v>
      </c>
      <c r="M7" s="32" t="s">
        <v>93</v>
      </c>
      <c r="N7" s="29">
        <v>939408084</v>
      </c>
      <c r="O7" s="33">
        <v>15</v>
      </c>
      <c r="P7" s="26" t="s">
        <v>22</v>
      </c>
      <c r="Q7" s="26" t="s">
        <v>90</v>
      </c>
      <c r="R7" s="34"/>
      <c r="S7" s="35"/>
      <c r="T7" s="73">
        <v>104502026</v>
      </c>
      <c r="U7" s="176" t="s">
        <v>94</v>
      </c>
      <c r="V7" s="74"/>
    </row>
    <row r="8" spans="1:22" s="75" customFormat="1" ht="33" customHeight="1">
      <c r="A8" s="24">
        <v>3</v>
      </c>
      <c r="B8" s="25">
        <v>45209</v>
      </c>
      <c r="C8" s="26" t="s">
        <v>86</v>
      </c>
      <c r="D8" s="26" t="s">
        <v>87</v>
      </c>
      <c r="E8" s="27">
        <v>40584202</v>
      </c>
      <c r="F8" s="28" t="s">
        <v>97</v>
      </c>
      <c r="G8" s="29" t="s">
        <v>98</v>
      </c>
      <c r="H8" s="30" t="s">
        <v>42</v>
      </c>
      <c r="I8" s="26" t="s">
        <v>90</v>
      </c>
      <c r="J8" s="29" t="s">
        <v>91</v>
      </c>
      <c r="K8" s="31">
        <v>45343</v>
      </c>
      <c r="L8" s="32" t="s">
        <v>92</v>
      </c>
      <c r="M8" s="32" t="s">
        <v>93</v>
      </c>
      <c r="N8" s="29">
        <v>939408084</v>
      </c>
      <c r="O8" s="33">
        <v>15</v>
      </c>
      <c r="P8" s="26" t="s">
        <v>22</v>
      </c>
      <c r="Q8" s="26" t="s">
        <v>90</v>
      </c>
      <c r="R8" s="34"/>
      <c r="S8" s="35"/>
      <c r="T8" s="73">
        <v>104502026</v>
      </c>
      <c r="U8" s="176" t="s">
        <v>94</v>
      </c>
      <c r="V8" s="177"/>
    </row>
    <row r="9" spans="1:22" s="75" customFormat="1" ht="33" customHeight="1">
      <c r="A9" s="24">
        <v>4</v>
      </c>
      <c r="B9" s="25">
        <v>45177</v>
      </c>
      <c r="C9" s="26" t="s">
        <v>86</v>
      </c>
      <c r="D9" s="26" t="s">
        <v>627</v>
      </c>
      <c r="E9" s="27">
        <v>112520025</v>
      </c>
      <c r="F9" s="28" t="s">
        <v>99</v>
      </c>
      <c r="G9" s="29" t="s">
        <v>100</v>
      </c>
      <c r="H9" s="30" t="s">
        <v>42</v>
      </c>
      <c r="I9" s="26" t="s">
        <v>90</v>
      </c>
      <c r="J9" s="29" t="s">
        <v>91</v>
      </c>
      <c r="K9" s="31">
        <v>45344</v>
      </c>
      <c r="L9" s="32" t="s">
        <v>101</v>
      </c>
      <c r="M9" s="32" t="s">
        <v>102</v>
      </c>
      <c r="N9" s="29">
        <v>939934344</v>
      </c>
      <c r="O9" s="33">
        <v>15</v>
      </c>
      <c r="P9" s="26" t="s">
        <v>22</v>
      </c>
      <c r="Q9" s="26" t="s">
        <v>90</v>
      </c>
      <c r="R9" s="34"/>
      <c r="S9" s="35"/>
      <c r="T9" s="73">
        <v>102543675</v>
      </c>
      <c r="U9" s="176" t="s">
        <v>103</v>
      </c>
    </row>
    <row r="10" spans="1:22" s="75" customFormat="1" ht="33" customHeight="1">
      <c r="A10" s="24">
        <v>5</v>
      </c>
      <c r="B10" s="25">
        <v>45205</v>
      </c>
      <c r="C10" s="26" t="s">
        <v>86</v>
      </c>
      <c r="D10" s="26" t="s">
        <v>628</v>
      </c>
      <c r="E10" s="27">
        <v>114270004</v>
      </c>
      <c r="F10" s="28" t="s">
        <v>104</v>
      </c>
      <c r="G10" s="29" t="s">
        <v>105</v>
      </c>
      <c r="H10" s="30" t="s">
        <v>42</v>
      </c>
      <c r="I10" s="26" t="s">
        <v>90</v>
      </c>
      <c r="J10" s="29" t="s">
        <v>91</v>
      </c>
      <c r="K10" s="31">
        <v>45344</v>
      </c>
      <c r="L10" s="32" t="s">
        <v>101</v>
      </c>
      <c r="M10" s="32" t="s">
        <v>102</v>
      </c>
      <c r="N10" s="29">
        <v>939934344</v>
      </c>
      <c r="O10" s="33">
        <v>15</v>
      </c>
      <c r="P10" s="26" t="s">
        <v>22</v>
      </c>
      <c r="Q10" s="26" t="s">
        <v>90</v>
      </c>
      <c r="R10" s="34"/>
      <c r="S10" s="35"/>
      <c r="T10" s="73">
        <v>102543675</v>
      </c>
      <c r="U10" s="176" t="s">
        <v>103</v>
      </c>
    </row>
    <row r="11" spans="1:22" s="75" customFormat="1" ht="33" customHeight="1">
      <c r="A11" s="24">
        <v>6</v>
      </c>
      <c r="B11" s="25">
        <v>45177</v>
      </c>
      <c r="C11" s="26" t="s">
        <v>86</v>
      </c>
      <c r="D11" s="26" t="s">
        <v>629</v>
      </c>
      <c r="E11" s="27">
        <v>113430016</v>
      </c>
      <c r="F11" s="28" t="s">
        <v>106</v>
      </c>
      <c r="G11" s="29" t="s">
        <v>107</v>
      </c>
      <c r="H11" s="30" t="s">
        <v>42</v>
      </c>
      <c r="I11" s="26" t="s">
        <v>90</v>
      </c>
      <c r="J11" s="29" t="s">
        <v>91</v>
      </c>
      <c r="K11" s="31">
        <v>45344</v>
      </c>
      <c r="L11" s="32" t="s">
        <v>101</v>
      </c>
      <c r="M11" s="32" t="s">
        <v>102</v>
      </c>
      <c r="N11" s="29">
        <v>939934344</v>
      </c>
      <c r="O11" s="33">
        <v>15</v>
      </c>
      <c r="P11" s="26" t="s">
        <v>22</v>
      </c>
      <c r="Q11" s="26" t="s">
        <v>90</v>
      </c>
      <c r="R11" s="34"/>
      <c r="S11" s="35"/>
      <c r="T11" s="73">
        <v>102543675</v>
      </c>
      <c r="U11" s="176" t="s">
        <v>103</v>
      </c>
    </row>
    <row r="12" spans="1:22" s="75" customFormat="1" ht="33" customHeight="1">
      <c r="A12" s="24">
        <v>7</v>
      </c>
      <c r="B12" s="25">
        <v>44973</v>
      </c>
      <c r="C12" s="26" t="s">
        <v>86</v>
      </c>
      <c r="D12" s="26" t="s">
        <v>630</v>
      </c>
      <c r="E12" s="27">
        <v>40590830</v>
      </c>
      <c r="F12" s="28" t="s">
        <v>108</v>
      </c>
      <c r="G12" s="29" t="s">
        <v>657</v>
      </c>
      <c r="H12" s="30" t="s">
        <v>42</v>
      </c>
      <c r="I12" s="26" t="s">
        <v>90</v>
      </c>
      <c r="J12" s="29" t="s">
        <v>91</v>
      </c>
      <c r="K12" s="31">
        <v>45344</v>
      </c>
      <c r="L12" s="32" t="s">
        <v>101</v>
      </c>
      <c r="M12" s="32" t="s">
        <v>102</v>
      </c>
      <c r="N12" s="29">
        <v>939934344</v>
      </c>
      <c r="O12" s="33">
        <v>15</v>
      </c>
      <c r="P12" s="26" t="s">
        <v>22</v>
      </c>
      <c r="Q12" s="26" t="s">
        <v>90</v>
      </c>
      <c r="R12" s="34"/>
      <c r="S12" s="35"/>
      <c r="T12" s="73">
        <v>102543675</v>
      </c>
      <c r="U12" s="176" t="s">
        <v>103</v>
      </c>
    </row>
    <row r="13" spans="1:22" s="75" customFormat="1" ht="33" customHeight="1">
      <c r="A13" s="24">
        <v>8</v>
      </c>
      <c r="B13" s="25">
        <v>45273</v>
      </c>
      <c r="C13" s="26" t="s">
        <v>114</v>
      </c>
      <c r="D13" s="26" t="s">
        <v>115</v>
      </c>
      <c r="E13" s="27">
        <v>112500049</v>
      </c>
      <c r="F13" s="28" t="s">
        <v>116</v>
      </c>
      <c r="G13" s="29" t="s">
        <v>117</v>
      </c>
      <c r="H13" s="30">
        <v>409504</v>
      </c>
      <c r="I13" s="26" t="s">
        <v>90</v>
      </c>
      <c r="J13" s="29" t="s">
        <v>91</v>
      </c>
      <c r="K13" s="31">
        <v>45345</v>
      </c>
      <c r="L13" s="32" t="s">
        <v>118</v>
      </c>
      <c r="M13" s="32" t="s">
        <v>93</v>
      </c>
      <c r="N13" s="29">
        <v>987210017</v>
      </c>
      <c r="O13" s="33">
        <v>20</v>
      </c>
      <c r="P13" s="26" t="s">
        <v>22</v>
      </c>
      <c r="Q13" s="26" t="s">
        <v>90</v>
      </c>
      <c r="R13" s="34"/>
      <c r="S13" s="35"/>
      <c r="T13" s="73">
        <v>103811394</v>
      </c>
      <c r="U13" s="176" t="s">
        <v>119</v>
      </c>
      <c r="V13" s="177"/>
    </row>
    <row r="14" spans="1:22" s="75" customFormat="1" ht="33" customHeight="1">
      <c r="A14" s="24">
        <v>9</v>
      </c>
      <c r="B14" s="25">
        <v>45257</v>
      </c>
      <c r="C14" s="26" t="s">
        <v>114</v>
      </c>
      <c r="D14" s="26" t="s">
        <v>120</v>
      </c>
      <c r="E14" s="27">
        <v>111000051</v>
      </c>
      <c r="F14" s="28" t="s">
        <v>95</v>
      </c>
      <c r="G14" s="29" t="s">
        <v>121</v>
      </c>
      <c r="H14" s="30">
        <v>409497</v>
      </c>
      <c r="I14" s="26" t="s">
        <v>90</v>
      </c>
      <c r="J14" s="29" t="s">
        <v>91</v>
      </c>
      <c r="K14" s="31">
        <v>45345</v>
      </c>
      <c r="L14" s="32" t="s">
        <v>118</v>
      </c>
      <c r="M14" s="32" t="s">
        <v>93</v>
      </c>
      <c r="N14" s="29">
        <v>987210017</v>
      </c>
      <c r="O14" s="33">
        <v>20</v>
      </c>
      <c r="P14" s="26" t="s">
        <v>22</v>
      </c>
      <c r="Q14" s="26" t="s">
        <v>90</v>
      </c>
      <c r="R14" s="34"/>
      <c r="S14" s="35"/>
      <c r="T14" s="73">
        <v>103811394</v>
      </c>
      <c r="U14" s="176" t="s">
        <v>119</v>
      </c>
      <c r="V14" s="177"/>
    </row>
    <row r="15" spans="1:22" s="75" customFormat="1" ht="33" customHeight="1">
      <c r="A15" s="24">
        <v>10</v>
      </c>
      <c r="B15" s="25">
        <v>45254</v>
      </c>
      <c r="C15" s="26" t="s">
        <v>146</v>
      </c>
      <c r="D15" s="26" t="s">
        <v>109</v>
      </c>
      <c r="E15" s="27">
        <v>113430018</v>
      </c>
      <c r="F15" s="28" t="s">
        <v>110</v>
      </c>
      <c r="G15" s="29" t="s">
        <v>111</v>
      </c>
      <c r="H15" s="30" t="s">
        <v>42</v>
      </c>
      <c r="I15" s="26" t="s">
        <v>90</v>
      </c>
      <c r="J15" s="29" t="s">
        <v>91</v>
      </c>
      <c r="K15" s="31">
        <v>44980</v>
      </c>
      <c r="L15" s="32" t="s">
        <v>112</v>
      </c>
      <c r="M15" s="32" t="s">
        <v>113</v>
      </c>
      <c r="N15" s="29">
        <v>993874623</v>
      </c>
      <c r="O15" s="33">
        <v>20</v>
      </c>
      <c r="P15" s="26" t="s">
        <v>22</v>
      </c>
      <c r="Q15" s="26" t="s">
        <v>90</v>
      </c>
      <c r="R15" s="34"/>
      <c r="S15" s="35"/>
      <c r="T15" s="73">
        <v>101590834</v>
      </c>
      <c r="U15" s="176" t="s">
        <v>124</v>
      </c>
    </row>
    <row r="16" spans="1:22" s="75" customFormat="1" ht="33" customHeight="1">
      <c r="A16" s="24">
        <v>11</v>
      </c>
      <c r="B16" s="25">
        <v>45254</v>
      </c>
      <c r="C16" s="26" t="s">
        <v>146</v>
      </c>
      <c r="D16" s="26" t="s">
        <v>109</v>
      </c>
      <c r="E16" s="27">
        <v>415600041</v>
      </c>
      <c r="F16" s="28" t="s">
        <v>122</v>
      </c>
      <c r="G16" s="29" t="s">
        <v>123</v>
      </c>
      <c r="H16" s="30">
        <v>394172</v>
      </c>
      <c r="I16" s="26" t="s">
        <v>90</v>
      </c>
      <c r="J16" s="29" t="s">
        <v>91</v>
      </c>
      <c r="K16" s="31">
        <v>45345</v>
      </c>
      <c r="L16" s="32" t="s">
        <v>112</v>
      </c>
      <c r="M16" s="32" t="s">
        <v>113</v>
      </c>
      <c r="N16" s="29">
        <v>993874623</v>
      </c>
      <c r="O16" s="33">
        <v>20</v>
      </c>
      <c r="P16" s="26" t="s">
        <v>22</v>
      </c>
      <c r="Q16" s="26" t="s">
        <v>90</v>
      </c>
      <c r="R16" s="34"/>
      <c r="S16" s="35"/>
      <c r="T16" s="73">
        <v>101590834</v>
      </c>
      <c r="U16" s="176" t="s">
        <v>124</v>
      </c>
    </row>
    <row r="17" spans="1:21" s="75" customFormat="1" ht="33" customHeight="1">
      <c r="A17" s="24">
        <v>12</v>
      </c>
      <c r="B17" s="25">
        <v>45316</v>
      </c>
      <c r="C17" s="26" t="s">
        <v>125</v>
      </c>
      <c r="D17" s="26" t="s">
        <v>126</v>
      </c>
      <c r="E17" s="27">
        <v>40466111</v>
      </c>
      <c r="F17" s="28" t="s">
        <v>127</v>
      </c>
      <c r="G17" s="29" t="s">
        <v>128</v>
      </c>
      <c r="H17" s="30" t="s">
        <v>42</v>
      </c>
      <c r="I17" s="26" t="s">
        <v>90</v>
      </c>
      <c r="J17" s="29" t="s">
        <v>91</v>
      </c>
      <c r="K17" s="31">
        <v>45348</v>
      </c>
      <c r="L17" s="32" t="s">
        <v>129</v>
      </c>
      <c r="M17" s="32" t="s">
        <v>130</v>
      </c>
      <c r="N17" s="29">
        <v>998085764</v>
      </c>
      <c r="O17" s="33">
        <v>20</v>
      </c>
      <c r="P17" s="26" t="s">
        <v>22</v>
      </c>
      <c r="Q17" s="26" t="s">
        <v>90</v>
      </c>
      <c r="R17" s="34"/>
      <c r="S17" s="35"/>
      <c r="T17" s="73">
        <v>918908260</v>
      </c>
      <c r="U17" s="176" t="s">
        <v>131</v>
      </c>
    </row>
    <row r="18" spans="1:21" s="75" customFormat="1" ht="33" customHeight="1">
      <c r="A18" s="24">
        <v>13</v>
      </c>
      <c r="B18" s="25">
        <v>45303</v>
      </c>
      <c r="C18" s="26" t="s">
        <v>125</v>
      </c>
      <c r="D18" s="26" t="s">
        <v>132</v>
      </c>
      <c r="E18" s="27">
        <v>112580017</v>
      </c>
      <c r="F18" s="28" t="s">
        <v>133</v>
      </c>
      <c r="G18" s="29" t="s">
        <v>134</v>
      </c>
      <c r="H18" s="30" t="s">
        <v>42</v>
      </c>
      <c r="I18" s="26" t="s">
        <v>90</v>
      </c>
      <c r="J18" s="29" t="s">
        <v>91</v>
      </c>
      <c r="K18" s="31">
        <v>45348</v>
      </c>
      <c r="L18" s="32" t="s">
        <v>129</v>
      </c>
      <c r="M18" s="32" t="s">
        <v>130</v>
      </c>
      <c r="N18" s="29">
        <v>998085764</v>
      </c>
      <c r="O18" s="33">
        <v>20</v>
      </c>
      <c r="P18" s="26" t="s">
        <v>22</v>
      </c>
      <c r="Q18" s="26" t="s">
        <v>90</v>
      </c>
      <c r="R18" s="34"/>
      <c r="S18" s="35"/>
      <c r="T18" s="73">
        <v>918908260</v>
      </c>
      <c r="U18" s="176" t="s">
        <v>131</v>
      </c>
    </row>
    <row r="19" spans="1:21" s="75" customFormat="1" ht="33" customHeight="1">
      <c r="A19" s="24">
        <v>14</v>
      </c>
      <c r="B19" s="25">
        <v>45304</v>
      </c>
      <c r="C19" s="26" t="s">
        <v>135</v>
      </c>
      <c r="D19" s="26" t="s">
        <v>136</v>
      </c>
      <c r="E19" s="210">
        <v>40483182</v>
      </c>
      <c r="F19" s="28" t="s">
        <v>137</v>
      </c>
      <c r="G19" s="29" t="s">
        <v>138</v>
      </c>
      <c r="H19" s="30" t="s">
        <v>42</v>
      </c>
      <c r="I19" s="26" t="s">
        <v>90</v>
      </c>
      <c r="J19" s="29" t="s">
        <v>91</v>
      </c>
      <c r="K19" s="31">
        <v>45348</v>
      </c>
      <c r="L19" s="32" t="s">
        <v>139</v>
      </c>
      <c r="M19" s="32" t="s">
        <v>140</v>
      </c>
      <c r="N19" s="29">
        <v>995920304</v>
      </c>
      <c r="O19" s="33">
        <v>15</v>
      </c>
      <c r="P19" s="26" t="s">
        <v>22</v>
      </c>
      <c r="Q19" s="26" t="s">
        <v>90</v>
      </c>
      <c r="R19" s="34"/>
      <c r="S19" s="35"/>
      <c r="T19" s="73">
        <v>1045514161</v>
      </c>
      <c r="U19" s="176" t="s">
        <v>141</v>
      </c>
    </row>
    <row r="20" spans="1:21" s="75" customFormat="1" ht="33" customHeight="1">
      <c r="A20" s="24">
        <v>15</v>
      </c>
      <c r="B20" s="25">
        <v>45304</v>
      </c>
      <c r="C20" s="26" t="s">
        <v>135</v>
      </c>
      <c r="D20" s="26" t="s">
        <v>136</v>
      </c>
      <c r="E20" s="178">
        <v>112570128</v>
      </c>
      <c r="F20" s="28" t="s">
        <v>143</v>
      </c>
      <c r="G20" s="29" t="s">
        <v>142</v>
      </c>
      <c r="H20" s="30">
        <v>415023</v>
      </c>
      <c r="I20" s="26" t="s">
        <v>90</v>
      </c>
      <c r="J20" s="29" t="s">
        <v>91</v>
      </c>
      <c r="K20" s="31">
        <v>45348</v>
      </c>
      <c r="L20" s="32" t="s">
        <v>139</v>
      </c>
      <c r="M20" s="32" t="s">
        <v>140</v>
      </c>
      <c r="N20" s="29">
        <v>995920304</v>
      </c>
      <c r="O20" s="33">
        <v>15</v>
      </c>
      <c r="P20" s="26" t="s">
        <v>22</v>
      </c>
      <c r="Q20" s="26" t="s">
        <v>90</v>
      </c>
      <c r="R20" s="34"/>
      <c r="S20" s="35"/>
      <c r="T20" s="73">
        <v>1045514161</v>
      </c>
      <c r="U20" s="176" t="s">
        <v>141</v>
      </c>
    </row>
    <row r="21" spans="1:21" s="75" customFormat="1" ht="33" customHeight="1">
      <c r="A21" s="24">
        <v>16</v>
      </c>
      <c r="B21" s="25">
        <v>45304</v>
      </c>
      <c r="C21" s="26" t="s">
        <v>135</v>
      </c>
      <c r="D21" s="26" t="s">
        <v>136</v>
      </c>
      <c r="E21" s="178">
        <v>111000051</v>
      </c>
      <c r="F21" s="28" t="s">
        <v>144</v>
      </c>
      <c r="G21" s="29" t="s">
        <v>145</v>
      </c>
      <c r="H21" s="30" t="s">
        <v>42</v>
      </c>
      <c r="I21" s="26" t="s">
        <v>90</v>
      </c>
      <c r="J21" s="29" t="s">
        <v>91</v>
      </c>
      <c r="K21" s="31">
        <v>45348</v>
      </c>
      <c r="L21" s="32" t="s">
        <v>139</v>
      </c>
      <c r="M21" s="32" t="s">
        <v>140</v>
      </c>
      <c r="N21" s="29">
        <v>995920304</v>
      </c>
      <c r="O21" s="33">
        <v>15</v>
      </c>
      <c r="P21" s="26" t="s">
        <v>22</v>
      </c>
      <c r="Q21" s="26" t="s">
        <v>90</v>
      </c>
      <c r="R21" s="34"/>
      <c r="S21" s="35"/>
      <c r="T21" s="73">
        <v>1045514161</v>
      </c>
      <c r="U21" s="176" t="s">
        <v>141</v>
      </c>
    </row>
    <row r="22" spans="1:21" s="75" customFormat="1" ht="33" customHeight="1">
      <c r="A22" s="24">
        <v>17</v>
      </c>
      <c r="B22" s="25">
        <v>45337</v>
      </c>
      <c r="C22" s="26" t="s">
        <v>146</v>
      </c>
      <c r="D22" s="26" t="s">
        <v>147</v>
      </c>
      <c r="E22" s="27">
        <v>40466241</v>
      </c>
      <c r="F22" s="28" t="s">
        <v>148</v>
      </c>
      <c r="G22" s="29" t="s">
        <v>149</v>
      </c>
      <c r="H22" s="30" t="s">
        <v>42</v>
      </c>
      <c r="I22" s="26" t="s">
        <v>90</v>
      </c>
      <c r="J22" s="29" t="s">
        <v>91</v>
      </c>
      <c r="K22" s="31">
        <v>45348</v>
      </c>
      <c r="L22" s="32" t="s">
        <v>150</v>
      </c>
      <c r="M22" s="32" t="s">
        <v>151</v>
      </c>
      <c r="N22" s="29">
        <v>994809453</v>
      </c>
      <c r="O22" s="33">
        <v>20</v>
      </c>
      <c r="P22" s="26" t="s">
        <v>22</v>
      </c>
      <c r="Q22" s="26" t="s">
        <v>90</v>
      </c>
      <c r="R22" s="34"/>
      <c r="S22" s="35"/>
      <c r="T22" s="73">
        <v>103215935</v>
      </c>
      <c r="U22" s="176" t="s">
        <v>152</v>
      </c>
    </row>
    <row r="23" spans="1:21" s="75" customFormat="1" ht="33" customHeight="1">
      <c r="A23" s="24">
        <v>18</v>
      </c>
      <c r="B23" s="25">
        <v>45337</v>
      </c>
      <c r="C23" s="26" t="s">
        <v>146</v>
      </c>
      <c r="D23" s="26" t="s">
        <v>147</v>
      </c>
      <c r="E23" s="27">
        <v>112610069</v>
      </c>
      <c r="F23" s="28" t="s">
        <v>153</v>
      </c>
      <c r="G23" s="29" t="s">
        <v>154</v>
      </c>
      <c r="H23" s="30" t="s">
        <v>42</v>
      </c>
      <c r="I23" s="26" t="s">
        <v>90</v>
      </c>
      <c r="J23" s="29" t="s">
        <v>91</v>
      </c>
      <c r="K23" s="31">
        <v>45348</v>
      </c>
      <c r="L23" s="32" t="s">
        <v>150</v>
      </c>
      <c r="M23" s="32" t="s">
        <v>151</v>
      </c>
      <c r="N23" s="29">
        <v>994809453</v>
      </c>
      <c r="O23" s="33">
        <v>20</v>
      </c>
      <c r="P23" s="26" t="s">
        <v>22</v>
      </c>
      <c r="Q23" s="26" t="s">
        <v>90</v>
      </c>
      <c r="R23" s="34"/>
      <c r="S23" s="35"/>
      <c r="T23" s="73">
        <v>103215935</v>
      </c>
      <c r="U23" s="176" t="s">
        <v>152</v>
      </c>
    </row>
    <row r="24" spans="1:21" s="75" customFormat="1" ht="33" customHeight="1">
      <c r="A24" s="24">
        <v>19</v>
      </c>
      <c r="B24" s="25">
        <v>45315</v>
      </c>
      <c r="C24" s="26" t="s">
        <v>146</v>
      </c>
      <c r="D24" s="26" t="s">
        <v>644</v>
      </c>
      <c r="E24" s="27">
        <v>112500048</v>
      </c>
      <c r="F24" s="28" t="s">
        <v>155</v>
      </c>
      <c r="G24" s="29" t="s">
        <v>158</v>
      </c>
      <c r="H24" s="30">
        <v>400507</v>
      </c>
      <c r="I24" s="26" t="s">
        <v>90</v>
      </c>
      <c r="J24" s="29" t="s">
        <v>91</v>
      </c>
      <c r="K24" s="31">
        <v>45348</v>
      </c>
      <c r="L24" s="32" t="s">
        <v>159</v>
      </c>
      <c r="M24" s="32" t="s">
        <v>160</v>
      </c>
      <c r="N24" s="29">
        <v>997017993</v>
      </c>
      <c r="O24" s="33">
        <v>20</v>
      </c>
      <c r="P24" s="26" t="s">
        <v>22</v>
      </c>
      <c r="Q24" s="26" t="s">
        <v>90</v>
      </c>
      <c r="R24" s="34"/>
      <c r="S24" s="35"/>
      <c r="T24" s="73">
        <v>102512225</v>
      </c>
      <c r="U24" s="176"/>
    </row>
    <row r="25" spans="1:21" s="75" customFormat="1" ht="33" customHeight="1">
      <c r="A25" s="24">
        <v>20</v>
      </c>
      <c r="B25" s="25">
        <v>45315</v>
      </c>
      <c r="C25" s="26" t="s">
        <v>146</v>
      </c>
      <c r="D25" s="26" t="s">
        <v>644</v>
      </c>
      <c r="E25" s="27">
        <v>111200005</v>
      </c>
      <c r="F25" s="28" t="s">
        <v>156</v>
      </c>
      <c r="G25" s="29" t="s">
        <v>157</v>
      </c>
      <c r="H25" s="30" t="s">
        <v>42</v>
      </c>
      <c r="I25" s="26" t="s">
        <v>90</v>
      </c>
      <c r="J25" s="29" t="s">
        <v>91</v>
      </c>
      <c r="K25" s="31">
        <v>45348</v>
      </c>
      <c r="L25" s="32" t="s">
        <v>159</v>
      </c>
      <c r="M25" s="32" t="s">
        <v>160</v>
      </c>
      <c r="N25" s="29">
        <v>997017993</v>
      </c>
      <c r="O25" s="33">
        <v>20</v>
      </c>
      <c r="P25" s="26" t="s">
        <v>22</v>
      </c>
      <c r="Q25" s="26" t="s">
        <v>90</v>
      </c>
      <c r="R25" s="34"/>
      <c r="S25" s="35"/>
      <c r="T25" s="73">
        <v>102512225</v>
      </c>
      <c r="U25" s="176"/>
    </row>
    <row r="26" spans="1:21" s="75" customFormat="1" ht="33" customHeight="1">
      <c r="A26" s="24">
        <v>21</v>
      </c>
      <c r="B26" s="25">
        <v>45227</v>
      </c>
      <c r="C26" s="26" t="s">
        <v>161</v>
      </c>
      <c r="D26" s="26" t="s">
        <v>162</v>
      </c>
      <c r="E26" s="27">
        <v>40212070</v>
      </c>
      <c r="F26" s="28" t="s">
        <v>163</v>
      </c>
      <c r="G26" s="29" t="s">
        <v>164</v>
      </c>
      <c r="H26" s="30">
        <v>408066</v>
      </c>
      <c r="I26" s="26" t="s">
        <v>90</v>
      </c>
      <c r="J26" s="29" t="s">
        <v>91</v>
      </c>
      <c r="K26" s="31">
        <v>45349</v>
      </c>
      <c r="L26" s="32" t="s">
        <v>165</v>
      </c>
      <c r="M26" s="32" t="s">
        <v>166</v>
      </c>
      <c r="N26" s="179">
        <v>995868605</v>
      </c>
      <c r="O26" s="33">
        <v>20</v>
      </c>
      <c r="P26" s="26" t="s">
        <v>22</v>
      </c>
      <c r="Q26" s="26" t="s">
        <v>90</v>
      </c>
      <c r="R26" s="34"/>
      <c r="S26" s="35"/>
      <c r="T26" s="73">
        <v>300605268</v>
      </c>
      <c r="U26" s="176"/>
    </row>
    <row r="27" spans="1:21" s="75" customFormat="1" ht="33" customHeight="1">
      <c r="A27" s="24">
        <v>22</v>
      </c>
      <c r="B27" s="25">
        <v>45229</v>
      </c>
      <c r="C27" s="26" t="s">
        <v>161</v>
      </c>
      <c r="D27" s="26" t="s">
        <v>167</v>
      </c>
      <c r="E27" s="27">
        <v>41560074</v>
      </c>
      <c r="F27" s="28" t="s">
        <v>168</v>
      </c>
      <c r="G27" s="29" t="s">
        <v>169</v>
      </c>
      <c r="H27" s="30" t="s">
        <v>42</v>
      </c>
      <c r="I27" s="26" t="s">
        <v>90</v>
      </c>
      <c r="J27" s="29" t="s">
        <v>91</v>
      </c>
      <c r="K27" s="31">
        <v>45349</v>
      </c>
      <c r="L27" s="32" t="s">
        <v>165</v>
      </c>
      <c r="M27" s="32" t="s">
        <v>166</v>
      </c>
      <c r="N27" s="179">
        <v>995868605</v>
      </c>
      <c r="O27" s="33">
        <v>20</v>
      </c>
      <c r="P27" s="26" t="s">
        <v>22</v>
      </c>
      <c r="Q27" s="26" t="s">
        <v>90</v>
      </c>
      <c r="R27" s="34"/>
      <c r="S27" s="35"/>
      <c r="T27" s="73">
        <v>300605268</v>
      </c>
      <c r="U27" s="176"/>
    </row>
    <row r="28" spans="1:21" s="75" customFormat="1" ht="33" customHeight="1">
      <c r="A28" s="24">
        <v>23</v>
      </c>
      <c r="B28" s="25">
        <v>45346</v>
      </c>
      <c r="C28" s="26" t="s">
        <v>86</v>
      </c>
      <c r="D28" s="26" t="s">
        <v>170</v>
      </c>
      <c r="E28" s="27">
        <v>40446702</v>
      </c>
      <c r="F28" s="28" t="s">
        <v>83</v>
      </c>
      <c r="G28" s="29" t="s">
        <v>173</v>
      </c>
      <c r="H28" s="30">
        <v>417281</v>
      </c>
      <c r="I28" s="26" t="s">
        <v>90</v>
      </c>
      <c r="J28" s="29" t="s">
        <v>91</v>
      </c>
      <c r="K28" s="31">
        <v>45349</v>
      </c>
      <c r="L28" s="32" t="s">
        <v>175</v>
      </c>
      <c r="M28" s="32" t="s">
        <v>176</v>
      </c>
      <c r="N28" s="29">
        <v>983223869</v>
      </c>
      <c r="O28" s="33">
        <v>20</v>
      </c>
      <c r="P28" s="26" t="s">
        <v>22</v>
      </c>
      <c r="Q28" s="26" t="s">
        <v>90</v>
      </c>
      <c r="R28" s="34"/>
      <c r="S28" s="35"/>
      <c r="T28" s="73">
        <v>150365740</v>
      </c>
      <c r="U28" s="176" t="s">
        <v>177</v>
      </c>
    </row>
    <row r="29" spans="1:21" s="75" customFormat="1" ht="33" customHeight="1">
      <c r="A29" s="24">
        <v>24</v>
      </c>
      <c r="B29" s="25">
        <v>45339</v>
      </c>
      <c r="C29" s="26" t="s">
        <v>86</v>
      </c>
      <c r="D29" s="26" t="s">
        <v>171</v>
      </c>
      <c r="E29" s="27">
        <v>112520025</v>
      </c>
      <c r="F29" s="28" t="s">
        <v>172</v>
      </c>
      <c r="G29" s="29" t="s">
        <v>174</v>
      </c>
      <c r="H29" s="30" t="s">
        <v>42</v>
      </c>
      <c r="I29" s="26" t="s">
        <v>90</v>
      </c>
      <c r="J29" s="29" t="s">
        <v>91</v>
      </c>
      <c r="K29" s="31">
        <v>45349</v>
      </c>
      <c r="L29" s="32" t="s">
        <v>175</v>
      </c>
      <c r="M29" s="32" t="s">
        <v>176</v>
      </c>
      <c r="N29" s="29">
        <v>983223869</v>
      </c>
      <c r="O29" s="33">
        <v>20</v>
      </c>
      <c r="P29" s="26" t="s">
        <v>22</v>
      </c>
      <c r="Q29" s="26" t="s">
        <v>90</v>
      </c>
      <c r="R29" s="34"/>
      <c r="S29" s="35"/>
      <c r="T29" s="73">
        <v>150365740</v>
      </c>
      <c r="U29" s="176" t="s">
        <v>177</v>
      </c>
    </row>
    <row r="30" spans="1:21" s="75" customFormat="1" ht="33" customHeight="1">
      <c r="A30" s="24">
        <v>25</v>
      </c>
      <c r="B30" s="25">
        <v>45343</v>
      </c>
      <c r="C30" s="26" t="s">
        <v>146</v>
      </c>
      <c r="D30" s="26" t="s">
        <v>178</v>
      </c>
      <c r="E30" s="27">
        <v>40466111</v>
      </c>
      <c r="F30" s="28" t="s">
        <v>127</v>
      </c>
      <c r="G30" s="29" t="s">
        <v>179</v>
      </c>
      <c r="H30" s="30">
        <v>410672</v>
      </c>
      <c r="I30" s="26" t="s">
        <v>90</v>
      </c>
      <c r="J30" s="29" t="s">
        <v>91</v>
      </c>
      <c r="K30" s="31">
        <v>45350</v>
      </c>
      <c r="L30" s="32" t="s">
        <v>182</v>
      </c>
      <c r="M30" s="32" t="s">
        <v>113</v>
      </c>
      <c r="N30" s="29">
        <v>968994611</v>
      </c>
      <c r="O30" s="33">
        <v>15</v>
      </c>
      <c r="P30" s="26" t="s">
        <v>22</v>
      </c>
      <c r="Q30" s="26" t="s">
        <v>90</v>
      </c>
      <c r="R30" s="34"/>
      <c r="S30" s="35"/>
      <c r="T30" s="73">
        <v>103309134</v>
      </c>
      <c r="U30" s="176"/>
    </row>
    <row r="31" spans="1:21" s="75" customFormat="1" ht="33" customHeight="1">
      <c r="A31" s="24">
        <v>26</v>
      </c>
      <c r="B31" s="25">
        <v>45343</v>
      </c>
      <c r="C31" s="26" t="s">
        <v>146</v>
      </c>
      <c r="D31" s="26" t="s">
        <v>178</v>
      </c>
      <c r="E31" s="27">
        <v>40466111</v>
      </c>
      <c r="F31" s="28" t="s">
        <v>127</v>
      </c>
      <c r="G31" s="29" t="s">
        <v>180</v>
      </c>
      <c r="H31" s="30">
        <v>4103872</v>
      </c>
      <c r="I31" s="26" t="s">
        <v>90</v>
      </c>
      <c r="J31" s="29" t="s">
        <v>91</v>
      </c>
      <c r="K31" s="31">
        <v>45350</v>
      </c>
      <c r="L31" s="32" t="s">
        <v>182</v>
      </c>
      <c r="M31" s="32" t="s">
        <v>113</v>
      </c>
      <c r="N31" s="29">
        <v>968994611</v>
      </c>
      <c r="O31" s="33">
        <v>15</v>
      </c>
      <c r="P31" s="26" t="s">
        <v>22</v>
      </c>
      <c r="Q31" s="26" t="s">
        <v>90</v>
      </c>
      <c r="R31" s="34"/>
      <c r="S31" s="35"/>
      <c r="T31" s="73">
        <v>103309134</v>
      </c>
      <c r="U31" s="176"/>
    </row>
    <row r="32" spans="1:21" s="75" customFormat="1" ht="33" customHeight="1">
      <c r="A32" s="24">
        <v>27</v>
      </c>
      <c r="B32" s="25">
        <v>45343</v>
      </c>
      <c r="C32" s="26" t="s">
        <v>146</v>
      </c>
      <c r="D32" s="26" t="s">
        <v>178</v>
      </c>
      <c r="E32" s="27">
        <v>40466111</v>
      </c>
      <c r="F32" s="28" t="s">
        <v>127</v>
      </c>
      <c r="G32" s="29" t="s">
        <v>181</v>
      </c>
      <c r="H32" s="30">
        <v>413850</v>
      </c>
      <c r="I32" s="26" t="s">
        <v>90</v>
      </c>
      <c r="J32" s="29" t="s">
        <v>91</v>
      </c>
      <c r="K32" s="31">
        <v>45350</v>
      </c>
      <c r="L32" s="32" t="s">
        <v>182</v>
      </c>
      <c r="M32" s="32" t="s">
        <v>113</v>
      </c>
      <c r="N32" s="29">
        <v>968994611</v>
      </c>
      <c r="O32" s="33">
        <v>15</v>
      </c>
      <c r="P32" s="26" t="s">
        <v>22</v>
      </c>
      <c r="Q32" s="26" t="s">
        <v>90</v>
      </c>
      <c r="R32" s="34"/>
      <c r="S32" s="35"/>
      <c r="T32" s="73">
        <v>103309134</v>
      </c>
      <c r="U32" s="176"/>
    </row>
    <row r="33" spans="1:23" s="75" customFormat="1" ht="33" customHeight="1">
      <c r="A33" s="24">
        <v>28</v>
      </c>
      <c r="B33" s="25">
        <v>45222</v>
      </c>
      <c r="C33" s="26" t="s">
        <v>183</v>
      </c>
      <c r="D33" s="26" t="s">
        <v>184</v>
      </c>
      <c r="E33" s="27">
        <v>41560061</v>
      </c>
      <c r="F33" s="28" t="s">
        <v>185</v>
      </c>
      <c r="G33" s="29" t="s">
        <v>186</v>
      </c>
      <c r="H33" s="30" t="s">
        <v>42</v>
      </c>
      <c r="I33" s="26" t="s">
        <v>90</v>
      </c>
      <c r="J33" s="29" t="s">
        <v>91</v>
      </c>
      <c r="K33" s="31">
        <v>45351</v>
      </c>
      <c r="L33" s="32" t="s">
        <v>191</v>
      </c>
      <c r="M33" s="32" t="s">
        <v>192</v>
      </c>
      <c r="N33" s="29">
        <v>9254510932</v>
      </c>
      <c r="O33" s="33">
        <v>15</v>
      </c>
      <c r="P33" s="26" t="s">
        <v>22</v>
      </c>
      <c r="Q33" s="26" t="s">
        <v>90</v>
      </c>
      <c r="R33" s="34"/>
      <c r="S33" s="35"/>
      <c r="T33" s="73">
        <v>101384519</v>
      </c>
      <c r="U33" s="176" t="s">
        <v>193</v>
      </c>
    </row>
    <row r="34" spans="1:23" s="75" customFormat="1" ht="33" customHeight="1">
      <c r="A34" s="24">
        <v>29</v>
      </c>
      <c r="B34" s="25">
        <v>45222</v>
      </c>
      <c r="C34" s="26" t="s">
        <v>183</v>
      </c>
      <c r="D34" s="26" t="s">
        <v>184</v>
      </c>
      <c r="E34" s="27">
        <v>112580027</v>
      </c>
      <c r="F34" s="28" t="s">
        <v>187</v>
      </c>
      <c r="G34" s="29" t="s">
        <v>188</v>
      </c>
      <c r="H34" s="30">
        <v>407915</v>
      </c>
      <c r="I34" s="26" t="s">
        <v>90</v>
      </c>
      <c r="J34" s="29" t="s">
        <v>91</v>
      </c>
      <c r="K34" s="31">
        <v>45351</v>
      </c>
      <c r="L34" s="32" t="s">
        <v>191</v>
      </c>
      <c r="M34" s="32" t="s">
        <v>192</v>
      </c>
      <c r="N34" s="29">
        <v>9254510932</v>
      </c>
      <c r="O34" s="33">
        <v>15</v>
      </c>
      <c r="P34" s="26" t="s">
        <v>22</v>
      </c>
      <c r="Q34" s="26" t="s">
        <v>90</v>
      </c>
      <c r="R34" s="34"/>
      <c r="S34" s="35"/>
      <c r="T34" s="73">
        <v>101384519</v>
      </c>
      <c r="U34" s="176" t="s">
        <v>193</v>
      </c>
    </row>
    <row r="35" spans="1:23" s="75" customFormat="1" ht="33" customHeight="1">
      <c r="A35" s="24">
        <v>30</v>
      </c>
      <c r="B35" s="25">
        <v>45222</v>
      </c>
      <c r="C35" s="26" t="s">
        <v>183</v>
      </c>
      <c r="D35" s="26" t="s">
        <v>184</v>
      </c>
      <c r="E35" s="27">
        <v>40485357</v>
      </c>
      <c r="F35" s="28" t="s">
        <v>189</v>
      </c>
      <c r="G35" s="29" t="s">
        <v>190</v>
      </c>
      <c r="H35" s="30" t="s">
        <v>42</v>
      </c>
      <c r="I35" s="26" t="s">
        <v>90</v>
      </c>
      <c r="J35" s="29" t="s">
        <v>91</v>
      </c>
      <c r="K35" s="31">
        <v>45351</v>
      </c>
      <c r="L35" s="32" t="s">
        <v>191</v>
      </c>
      <c r="M35" s="32" t="s">
        <v>192</v>
      </c>
      <c r="N35" s="29">
        <v>9254510932</v>
      </c>
      <c r="O35" s="33">
        <v>15</v>
      </c>
      <c r="P35" s="26" t="s">
        <v>22</v>
      </c>
      <c r="Q35" s="26" t="s">
        <v>90</v>
      </c>
      <c r="R35" s="34"/>
      <c r="S35" s="35"/>
      <c r="T35" s="73">
        <v>101384519</v>
      </c>
      <c r="U35" s="176" t="s">
        <v>193</v>
      </c>
    </row>
    <row r="36" spans="1:23" s="75" customFormat="1" ht="33" customHeight="1">
      <c r="A36" s="24">
        <v>31</v>
      </c>
      <c r="B36" s="25">
        <v>45558</v>
      </c>
      <c r="C36" s="26" t="s">
        <v>86</v>
      </c>
      <c r="D36" s="26" t="s">
        <v>194</v>
      </c>
      <c r="E36" s="27">
        <v>111000051</v>
      </c>
      <c r="F36" s="28" t="s">
        <v>195</v>
      </c>
      <c r="G36" s="29" t="s">
        <v>196</v>
      </c>
      <c r="H36" s="30" t="s">
        <v>42</v>
      </c>
      <c r="I36" s="26" t="s">
        <v>90</v>
      </c>
      <c r="J36" s="29" t="s">
        <v>91</v>
      </c>
      <c r="K36" s="31">
        <v>45352</v>
      </c>
      <c r="L36" s="32" t="s">
        <v>197</v>
      </c>
      <c r="M36" s="32" t="s">
        <v>198</v>
      </c>
      <c r="N36" s="29">
        <v>995806472</v>
      </c>
      <c r="O36" s="33">
        <v>20</v>
      </c>
      <c r="P36" s="26" t="s">
        <v>22</v>
      </c>
      <c r="Q36" s="26" t="s">
        <v>90</v>
      </c>
      <c r="R36" s="34"/>
      <c r="S36" s="35"/>
      <c r="T36" s="73">
        <v>302101803</v>
      </c>
      <c r="U36" s="176" t="s">
        <v>199</v>
      </c>
    </row>
    <row r="37" spans="1:23" s="75" customFormat="1" ht="33" customHeight="1">
      <c r="A37" s="24">
        <v>32</v>
      </c>
      <c r="B37" s="25">
        <v>45558</v>
      </c>
      <c r="C37" s="26" t="s">
        <v>86</v>
      </c>
      <c r="D37" s="26" t="s">
        <v>194</v>
      </c>
      <c r="E37" s="27">
        <v>112570126</v>
      </c>
      <c r="F37" s="28" t="s">
        <v>200</v>
      </c>
      <c r="G37" s="29" t="s">
        <v>201</v>
      </c>
      <c r="H37" s="30" t="s">
        <v>42</v>
      </c>
      <c r="I37" s="26" t="s">
        <v>90</v>
      </c>
      <c r="J37" s="29" t="s">
        <v>91</v>
      </c>
      <c r="K37" s="31">
        <v>45352</v>
      </c>
      <c r="L37" s="32" t="s">
        <v>197</v>
      </c>
      <c r="M37" s="32" t="s">
        <v>198</v>
      </c>
      <c r="N37" s="29">
        <v>995806472</v>
      </c>
      <c r="O37" s="33">
        <v>20</v>
      </c>
      <c r="P37" s="26" t="s">
        <v>22</v>
      </c>
      <c r="Q37" s="26" t="s">
        <v>90</v>
      </c>
      <c r="R37" s="34"/>
      <c r="S37" s="35"/>
      <c r="T37" s="73">
        <v>302101803</v>
      </c>
      <c r="U37" s="176" t="s">
        <v>199</v>
      </c>
    </row>
    <row r="38" spans="1:23" s="75" customFormat="1" ht="33" customHeight="1">
      <c r="A38" s="24">
        <v>33</v>
      </c>
      <c r="B38" s="25">
        <v>45355</v>
      </c>
      <c r="C38" s="26" t="s">
        <v>146</v>
      </c>
      <c r="D38" s="26" t="s">
        <v>202</v>
      </c>
      <c r="E38" s="27">
        <v>40466241</v>
      </c>
      <c r="F38" s="28" t="s">
        <v>205</v>
      </c>
      <c r="G38" s="29" t="s">
        <v>203</v>
      </c>
      <c r="H38" s="30">
        <v>415993</v>
      </c>
      <c r="I38" s="26" t="s">
        <v>90</v>
      </c>
      <c r="J38" s="29" t="s">
        <v>91</v>
      </c>
      <c r="K38" s="31">
        <v>45356</v>
      </c>
      <c r="L38" s="32" t="s">
        <v>204</v>
      </c>
      <c r="M38" s="32" t="s">
        <v>93</v>
      </c>
      <c r="N38" s="29">
        <v>4095324</v>
      </c>
      <c r="O38" s="33">
        <v>20</v>
      </c>
      <c r="P38" s="26" t="s">
        <v>22</v>
      </c>
      <c r="Q38" s="26" t="s">
        <v>90</v>
      </c>
      <c r="R38" s="34"/>
      <c r="S38" s="35"/>
      <c r="T38" s="73">
        <v>101721421</v>
      </c>
      <c r="U38" s="176"/>
    </row>
    <row r="39" spans="1:23" s="75" customFormat="1" ht="33" customHeight="1">
      <c r="A39" s="24">
        <v>34</v>
      </c>
      <c r="B39" s="25">
        <v>45355</v>
      </c>
      <c r="C39" s="26" t="s">
        <v>146</v>
      </c>
      <c r="D39" s="26" t="s">
        <v>202</v>
      </c>
      <c r="E39" s="27">
        <v>40211501</v>
      </c>
      <c r="F39" s="28" t="s">
        <v>206</v>
      </c>
      <c r="G39" s="29" t="s">
        <v>207</v>
      </c>
      <c r="H39" s="30">
        <v>373227</v>
      </c>
      <c r="I39" s="26" t="s">
        <v>90</v>
      </c>
      <c r="J39" s="29" t="s">
        <v>91</v>
      </c>
      <c r="K39" s="31">
        <v>45356</v>
      </c>
      <c r="L39" s="32" t="s">
        <v>204</v>
      </c>
      <c r="M39" s="32" t="s">
        <v>93</v>
      </c>
      <c r="N39" s="29">
        <v>4095324</v>
      </c>
      <c r="O39" s="33">
        <v>20</v>
      </c>
      <c r="P39" s="26" t="s">
        <v>22</v>
      </c>
      <c r="Q39" s="26" t="s">
        <v>90</v>
      </c>
      <c r="R39" s="34"/>
      <c r="S39" s="35"/>
      <c r="T39" s="73">
        <v>101721421</v>
      </c>
      <c r="U39" s="176"/>
    </row>
    <row r="40" spans="1:23" s="75" customFormat="1" ht="33" customHeight="1">
      <c r="A40" s="24">
        <v>35</v>
      </c>
      <c r="B40" s="25">
        <v>45344</v>
      </c>
      <c r="C40" s="26" t="s">
        <v>183</v>
      </c>
      <c r="D40" s="26" t="s">
        <v>208</v>
      </c>
      <c r="E40" s="27">
        <v>112580058</v>
      </c>
      <c r="F40" s="28" t="s">
        <v>209</v>
      </c>
      <c r="G40" s="29" t="s">
        <v>210</v>
      </c>
      <c r="H40" s="30">
        <v>416143</v>
      </c>
      <c r="I40" s="26" t="s">
        <v>90</v>
      </c>
      <c r="J40" s="29" t="s">
        <v>91</v>
      </c>
      <c r="K40" s="31">
        <v>45356</v>
      </c>
      <c r="L40" s="32" t="s">
        <v>211</v>
      </c>
      <c r="M40" s="32" t="s">
        <v>212</v>
      </c>
      <c r="N40" s="29">
        <v>42331118</v>
      </c>
      <c r="O40" s="33">
        <v>15</v>
      </c>
      <c r="P40" s="26" t="s">
        <v>22</v>
      </c>
      <c r="Q40" s="26" t="s">
        <v>90</v>
      </c>
      <c r="R40" s="34"/>
      <c r="S40" s="35"/>
      <c r="T40" s="73">
        <v>909362139</v>
      </c>
      <c r="U40" s="176" t="s">
        <v>213</v>
      </c>
    </row>
    <row r="41" spans="1:23" s="75" customFormat="1" ht="33" customHeight="1">
      <c r="A41" s="24">
        <v>36</v>
      </c>
      <c r="B41" s="25">
        <v>45344</v>
      </c>
      <c r="C41" s="26" t="s">
        <v>183</v>
      </c>
      <c r="D41" s="26" t="s">
        <v>208</v>
      </c>
      <c r="E41" s="27">
        <v>112950021</v>
      </c>
      <c r="F41" s="28" t="s">
        <v>214</v>
      </c>
      <c r="G41" s="29" t="s">
        <v>216</v>
      </c>
      <c r="H41" s="30">
        <v>409414</v>
      </c>
      <c r="I41" s="26" t="s">
        <v>90</v>
      </c>
      <c r="J41" s="29" t="s">
        <v>91</v>
      </c>
      <c r="K41" s="31">
        <v>45356</v>
      </c>
      <c r="L41" s="32" t="s">
        <v>211</v>
      </c>
      <c r="M41" s="32" t="s">
        <v>212</v>
      </c>
      <c r="N41" s="29">
        <v>42331118</v>
      </c>
      <c r="O41" s="33">
        <v>15</v>
      </c>
      <c r="P41" s="26" t="s">
        <v>22</v>
      </c>
      <c r="Q41" s="26" t="s">
        <v>90</v>
      </c>
      <c r="R41" s="34"/>
      <c r="S41" s="35"/>
      <c r="T41" s="73">
        <v>909362139</v>
      </c>
      <c r="U41" s="176" t="s">
        <v>213</v>
      </c>
    </row>
    <row r="42" spans="1:23" s="75" customFormat="1" ht="33" customHeight="1">
      <c r="A42" s="24">
        <v>37</v>
      </c>
      <c r="B42" s="25">
        <v>45344</v>
      </c>
      <c r="C42" s="26" t="s">
        <v>183</v>
      </c>
      <c r="D42" s="26" t="s">
        <v>208</v>
      </c>
      <c r="E42" s="27">
        <v>113430018</v>
      </c>
      <c r="F42" s="28" t="s">
        <v>215</v>
      </c>
      <c r="G42" s="29" t="s">
        <v>217</v>
      </c>
      <c r="H42" s="30">
        <v>417202</v>
      </c>
      <c r="I42" s="26" t="s">
        <v>90</v>
      </c>
      <c r="J42" s="29" t="s">
        <v>91</v>
      </c>
      <c r="K42" s="31">
        <v>45356</v>
      </c>
      <c r="L42" s="32" t="s">
        <v>211</v>
      </c>
      <c r="M42" s="32" t="s">
        <v>212</v>
      </c>
      <c r="N42" s="29">
        <v>42331118</v>
      </c>
      <c r="O42" s="33">
        <v>15</v>
      </c>
      <c r="P42" s="26" t="s">
        <v>22</v>
      </c>
      <c r="Q42" s="26" t="s">
        <v>90</v>
      </c>
      <c r="R42" s="34"/>
      <c r="S42" s="35"/>
      <c r="T42" s="73">
        <v>909362139</v>
      </c>
      <c r="U42" s="176" t="s">
        <v>213</v>
      </c>
    </row>
    <row r="43" spans="1:23" s="75" customFormat="1" ht="33" customHeight="1">
      <c r="A43" s="24">
        <v>38</v>
      </c>
      <c r="B43" s="25">
        <v>45072</v>
      </c>
      <c r="C43" s="26" t="s">
        <v>135</v>
      </c>
      <c r="D43" s="26" t="s">
        <v>218</v>
      </c>
      <c r="E43" s="27">
        <v>112580027</v>
      </c>
      <c r="F43" s="28" t="s">
        <v>219</v>
      </c>
      <c r="G43" s="29" t="s">
        <v>220</v>
      </c>
      <c r="H43" s="30">
        <v>390894</v>
      </c>
      <c r="I43" s="26" t="s">
        <v>90</v>
      </c>
      <c r="J43" s="29" t="s">
        <v>91</v>
      </c>
      <c r="K43" s="31">
        <v>45357</v>
      </c>
      <c r="L43" s="32" t="s">
        <v>223</v>
      </c>
      <c r="M43" s="32" t="s">
        <v>224</v>
      </c>
      <c r="N43" s="29">
        <v>992905031</v>
      </c>
      <c r="O43" s="33">
        <v>20</v>
      </c>
      <c r="P43" s="26" t="s">
        <v>22</v>
      </c>
      <c r="Q43" s="26" t="s">
        <v>90</v>
      </c>
      <c r="R43" s="34"/>
      <c r="S43" s="35"/>
      <c r="T43" s="73">
        <v>301266110</v>
      </c>
      <c r="U43" s="176" t="s">
        <v>225</v>
      </c>
      <c r="V43"/>
      <c r="W43"/>
    </row>
    <row r="44" spans="1:23" s="75" customFormat="1" ht="33" customHeight="1">
      <c r="A44" s="24">
        <v>39</v>
      </c>
      <c r="B44" s="25">
        <v>45072</v>
      </c>
      <c r="C44" s="26" t="s">
        <v>135</v>
      </c>
      <c r="D44" s="26" t="s">
        <v>218</v>
      </c>
      <c r="E44" s="27">
        <v>4048321</v>
      </c>
      <c r="F44" s="28" t="s">
        <v>221</v>
      </c>
      <c r="G44" s="29" t="s">
        <v>222</v>
      </c>
      <c r="H44" s="30">
        <v>394021</v>
      </c>
      <c r="I44" s="26" t="s">
        <v>90</v>
      </c>
      <c r="J44" s="29" t="s">
        <v>91</v>
      </c>
      <c r="K44" s="31">
        <v>45357</v>
      </c>
      <c r="L44" s="32" t="s">
        <v>223</v>
      </c>
      <c r="M44" s="32" t="s">
        <v>224</v>
      </c>
      <c r="N44" s="29">
        <v>992905031</v>
      </c>
      <c r="O44" s="33">
        <v>30</v>
      </c>
      <c r="P44" s="26" t="s">
        <v>22</v>
      </c>
      <c r="Q44" s="26" t="s">
        <v>90</v>
      </c>
      <c r="R44" s="34"/>
      <c r="S44" s="35"/>
      <c r="T44" s="73">
        <v>301266110</v>
      </c>
      <c r="U44" s="176" t="s">
        <v>225</v>
      </c>
      <c r="V44"/>
      <c r="W44"/>
    </row>
    <row r="45" spans="1:23" s="75" customFormat="1" ht="33" customHeight="1">
      <c r="A45" s="24">
        <v>40</v>
      </c>
      <c r="B45" s="25">
        <v>45322</v>
      </c>
      <c r="C45" s="26" t="s">
        <v>161</v>
      </c>
      <c r="D45" s="26" t="s">
        <v>226</v>
      </c>
      <c r="E45" s="27">
        <v>112570126</v>
      </c>
      <c r="F45" s="28" t="s">
        <v>227</v>
      </c>
      <c r="G45" s="29" t="s">
        <v>229</v>
      </c>
      <c r="H45" s="30" t="s">
        <v>42</v>
      </c>
      <c r="I45" s="26" t="s">
        <v>90</v>
      </c>
      <c r="J45" s="29" t="s">
        <v>91</v>
      </c>
      <c r="K45" s="31">
        <v>45358</v>
      </c>
      <c r="L45" s="32" t="s">
        <v>231</v>
      </c>
      <c r="M45" s="32" t="s">
        <v>232</v>
      </c>
      <c r="N45" s="29">
        <v>991794108</v>
      </c>
      <c r="O45" s="33">
        <v>20</v>
      </c>
      <c r="P45" s="26" t="s">
        <v>22</v>
      </c>
      <c r="Q45" s="26" t="s">
        <v>90</v>
      </c>
      <c r="R45" s="34"/>
      <c r="S45" s="35"/>
      <c r="T45" s="73">
        <v>103990495</v>
      </c>
      <c r="U45" s="176" t="s">
        <v>233</v>
      </c>
      <c r="V45"/>
      <c r="W45"/>
    </row>
    <row r="46" spans="1:23" s="75" customFormat="1" ht="33" customHeight="1">
      <c r="A46" s="24">
        <v>41</v>
      </c>
      <c r="B46" s="25">
        <v>45322</v>
      </c>
      <c r="C46" s="26" t="s">
        <v>161</v>
      </c>
      <c r="D46" s="26" t="s">
        <v>226</v>
      </c>
      <c r="E46" s="27">
        <v>111030002</v>
      </c>
      <c r="F46" s="28" t="s">
        <v>228</v>
      </c>
      <c r="G46" s="29" t="s">
        <v>230</v>
      </c>
      <c r="H46" s="30" t="s">
        <v>42</v>
      </c>
      <c r="I46" s="26" t="s">
        <v>90</v>
      </c>
      <c r="J46" s="29" t="s">
        <v>91</v>
      </c>
      <c r="K46" s="31">
        <v>45358</v>
      </c>
      <c r="L46" s="32" t="s">
        <v>231</v>
      </c>
      <c r="M46" s="32" t="s">
        <v>232</v>
      </c>
      <c r="N46" s="29">
        <v>991794108</v>
      </c>
      <c r="O46" s="33">
        <v>20</v>
      </c>
      <c r="P46" s="26" t="s">
        <v>22</v>
      </c>
      <c r="Q46" s="26" t="s">
        <v>90</v>
      </c>
      <c r="R46" s="34"/>
      <c r="S46" s="35"/>
      <c r="T46" s="73">
        <v>103990495</v>
      </c>
      <c r="U46" s="176" t="s">
        <v>233</v>
      </c>
      <c r="V46"/>
      <c r="W46"/>
    </row>
    <row r="47" spans="1:23" s="75" customFormat="1" ht="27.75" customHeight="1">
      <c r="A47" s="24">
        <v>42</v>
      </c>
      <c r="B47" s="25">
        <v>45322</v>
      </c>
      <c r="C47" s="26" t="s">
        <v>161</v>
      </c>
      <c r="D47" s="26" t="s">
        <v>234</v>
      </c>
      <c r="E47" s="27">
        <v>111000051</v>
      </c>
      <c r="F47" s="28" t="s">
        <v>195</v>
      </c>
      <c r="G47" s="29" t="s">
        <v>236</v>
      </c>
      <c r="H47" s="30">
        <v>413766</v>
      </c>
      <c r="I47" s="26" t="s">
        <v>90</v>
      </c>
      <c r="J47" s="29" t="s">
        <v>91</v>
      </c>
      <c r="K47" s="31">
        <v>45358</v>
      </c>
      <c r="L47" s="32" t="s">
        <v>238</v>
      </c>
      <c r="M47" s="32" t="s">
        <v>239</v>
      </c>
      <c r="N47" s="29">
        <v>9967589457</v>
      </c>
      <c r="O47" s="33">
        <v>20</v>
      </c>
      <c r="P47" s="26" t="s">
        <v>22</v>
      </c>
      <c r="Q47" s="26" t="s">
        <v>90</v>
      </c>
      <c r="R47" s="34"/>
      <c r="S47" s="35"/>
      <c r="T47" s="73">
        <v>105903298</v>
      </c>
      <c r="U47" s="176" t="s">
        <v>240</v>
      </c>
      <c r="V47"/>
      <c r="W47"/>
    </row>
    <row r="48" spans="1:23" s="75" customFormat="1" ht="32.25" customHeight="1">
      <c r="A48" s="24">
        <v>43</v>
      </c>
      <c r="B48" s="25">
        <v>45322</v>
      </c>
      <c r="C48" s="26" t="s">
        <v>161</v>
      </c>
      <c r="D48" s="26" t="s">
        <v>234</v>
      </c>
      <c r="E48" s="27">
        <v>40584305</v>
      </c>
      <c r="F48" s="28" t="s">
        <v>235</v>
      </c>
      <c r="G48" s="29" t="s">
        <v>237</v>
      </c>
      <c r="H48" s="30">
        <v>4110398</v>
      </c>
      <c r="I48" s="26" t="s">
        <v>90</v>
      </c>
      <c r="J48" s="29" t="s">
        <v>91</v>
      </c>
      <c r="K48" s="31">
        <v>45358</v>
      </c>
      <c r="L48" s="32" t="s">
        <v>238</v>
      </c>
      <c r="M48" s="32" t="s">
        <v>239</v>
      </c>
      <c r="N48" s="29">
        <v>9967589457</v>
      </c>
      <c r="O48" s="33">
        <v>20</v>
      </c>
      <c r="P48" s="26" t="s">
        <v>22</v>
      </c>
      <c r="Q48" s="26" t="s">
        <v>90</v>
      </c>
      <c r="R48" s="34"/>
      <c r="S48" s="35"/>
      <c r="T48" s="73">
        <v>105903298</v>
      </c>
      <c r="U48" s="176" t="s">
        <v>240</v>
      </c>
      <c r="V48"/>
      <c r="W48"/>
    </row>
    <row r="49" spans="1:23" s="75" customFormat="1" ht="27.75" customHeight="1">
      <c r="A49" s="24">
        <v>44</v>
      </c>
      <c r="B49" s="25">
        <v>45343</v>
      </c>
      <c r="C49" s="26" t="s">
        <v>135</v>
      </c>
      <c r="D49" s="26" t="s">
        <v>241</v>
      </c>
      <c r="E49" s="27">
        <v>40211351</v>
      </c>
      <c r="F49" s="28" t="s">
        <v>242</v>
      </c>
      <c r="G49" s="29" t="s">
        <v>243</v>
      </c>
      <c r="H49" s="30" t="s">
        <v>42</v>
      </c>
      <c r="I49" s="26" t="s">
        <v>90</v>
      </c>
      <c r="J49" s="29" t="s">
        <v>91</v>
      </c>
      <c r="K49" s="31">
        <v>45359</v>
      </c>
      <c r="L49" s="32" t="s">
        <v>246</v>
      </c>
      <c r="M49" s="32" t="s">
        <v>247</v>
      </c>
      <c r="N49" s="29">
        <v>995798365</v>
      </c>
      <c r="O49" s="33">
        <v>20</v>
      </c>
      <c r="P49" s="26" t="s">
        <v>22</v>
      </c>
      <c r="Q49" s="26" t="s">
        <v>90</v>
      </c>
      <c r="R49" s="34"/>
      <c r="S49" s="35"/>
      <c r="T49" s="73">
        <v>101618510</v>
      </c>
      <c r="U49" s="176" t="s">
        <v>248</v>
      </c>
      <c r="V49"/>
      <c r="W49"/>
    </row>
    <row r="50" spans="1:23" s="75" customFormat="1" ht="28.5" customHeight="1">
      <c r="A50" s="24">
        <v>45</v>
      </c>
      <c r="B50" s="25">
        <v>45343</v>
      </c>
      <c r="C50" s="26" t="s">
        <v>135</v>
      </c>
      <c r="D50" s="26" t="s">
        <v>241</v>
      </c>
      <c r="E50" s="27">
        <v>40461543</v>
      </c>
      <c r="F50" s="28" t="s">
        <v>244</v>
      </c>
      <c r="G50" s="29" t="s">
        <v>245</v>
      </c>
      <c r="H50" s="30" t="s">
        <v>42</v>
      </c>
      <c r="I50" s="26" t="s">
        <v>90</v>
      </c>
      <c r="J50" s="29" t="s">
        <v>91</v>
      </c>
      <c r="K50" s="31">
        <v>45359</v>
      </c>
      <c r="L50" s="32" t="s">
        <v>246</v>
      </c>
      <c r="M50" s="32" t="s">
        <v>247</v>
      </c>
      <c r="N50" s="29">
        <v>995798365</v>
      </c>
      <c r="O50" s="33">
        <v>20</v>
      </c>
      <c r="P50" s="26" t="s">
        <v>22</v>
      </c>
      <c r="Q50" s="26" t="s">
        <v>90</v>
      </c>
      <c r="R50" s="34"/>
      <c r="S50" s="35"/>
      <c r="T50" s="73">
        <v>101618510</v>
      </c>
      <c r="U50" s="176" t="s">
        <v>248</v>
      </c>
      <c r="V50"/>
      <c r="W50"/>
    </row>
    <row r="51" spans="1:23" s="75" customFormat="1" ht="27.75" customHeight="1">
      <c r="A51" s="24">
        <v>46</v>
      </c>
      <c r="B51" s="25">
        <v>45357</v>
      </c>
      <c r="C51" s="26" t="s">
        <v>146</v>
      </c>
      <c r="D51" s="26" t="s">
        <v>249</v>
      </c>
      <c r="E51" s="27">
        <v>40466241</v>
      </c>
      <c r="F51" s="28" t="s">
        <v>205</v>
      </c>
      <c r="G51" s="29" t="s">
        <v>250</v>
      </c>
      <c r="H51" s="30" t="s">
        <v>42</v>
      </c>
      <c r="I51" s="26" t="s">
        <v>90</v>
      </c>
      <c r="J51" s="29" t="s">
        <v>91</v>
      </c>
      <c r="K51" s="31">
        <v>45362</v>
      </c>
      <c r="L51" s="32" t="s">
        <v>251</v>
      </c>
      <c r="M51" s="32" t="s">
        <v>252</v>
      </c>
      <c r="N51" s="29">
        <v>2898244</v>
      </c>
      <c r="O51" s="33">
        <v>20</v>
      </c>
      <c r="P51" s="26" t="s">
        <v>22</v>
      </c>
      <c r="Q51" s="26" t="s">
        <v>90</v>
      </c>
      <c r="R51" s="34"/>
      <c r="S51" s="35"/>
      <c r="T51" s="73">
        <v>100031491</v>
      </c>
      <c r="U51" s="176" t="s">
        <v>253</v>
      </c>
      <c r="V51"/>
      <c r="W51"/>
    </row>
    <row r="52" spans="1:23" s="75" customFormat="1" ht="26.25" customHeight="1">
      <c r="A52" s="24">
        <v>47</v>
      </c>
      <c r="B52" s="25">
        <v>45357</v>
      </c>
      <c r="C52" s="26" t="s">
        <v>146</v>
      </c>
      <c r="D52" s="26" t="s">
        <v>249</v>
      </c>
      <c r="E52" s="27">
        <v>40466241</v>
      </c>
      <c r="F52" s="28" t="s">
        <v>205</v>
      </c>
      <c r="G52" s="29" t="s">
        <v>254</v>
      </c>
      <c r="H52" s="30" t="s">
        <v>42</v>
      </c>
      <c r="I52" s="26" t="s">
        <v>90</v>
      </c>
      <c r="J52" s="29" t="s">
        <v>91</v>
      </c>
      <c r="K52" s="31">
        <v>45362</v>
      </c>
      <c r="L52" s="32" t="s">
        <v>251</v>
      </c>
      <c r="M52" s="32" t="s">
        <v>252</v>
      </c>
      <c r="N52" s="29">
        <v>2898244</v>
      </c>
      <c r="O52" s="33">
        <v>20</v>
      </c>
      <c r="P52" s="26" t="s">
        <v>22</v>
      </c>
      <c r="Q52" s="26" t="s">
        <v>90</v>
      </c>
      <c r="R52" s="34"/>
      <c r="S52" s="35"/>
      <c r="T52" s="73">
        <v>100031491</v>
      </c>
      <c r="U52" s="176" t="s">
        <v>253</v>
      </c>
      <c r="V52"/>
      <c r="W52"/>
    </row>
    <row r="53" spans="1:23" ht="27" customHeight="1">
      <c r="A53" s="24">
        <v>48</v>
      </c>
      <c r="B53" s="25">
        <v>45354</v>
      </c>
      <c r="C53" s="26" t="s">
        <v>146</v>
      </c>
      <c r="D53" s="26" t="s">
        <v>636</v>
      </c>
      <c r="E53" s="27">
        <v>112580017</v>
      </c>
      <c r="F53" s="28" t="s">
        <v>133</v>
      </c>
      <c r="G53" s="29" t="s">
        <v>256</v>
      </c>
      <c r="H53" s="30">
        <v>417778</v>
      </c>
      <c r="I53" s="26" t="s">
        <v>90</v>
      </c>
      <c r="J53" s="29" t="s">
        <v>91</v>
      </c>
      <c r="K53" s="31">
        <v>45362</v>
      </c>
      <c r="L53" s="32" t="s">
        <v>258</v>
      </c>
      <c r="M53" s="32" t="s">
        <v>259</v>
      </c>
      <c r="N53" s="29">
        <v>983366695</v>
      </c>
      <c r="O53" s="33">
        <v>20</v>
      </c>
      <c r="P53" s="26" t="s">
        <v>22</v>
      </c>
      <c r="Q53" s="26" t="s">
        <v>90</v>
      </c>
      <c r="R53" s="34"/>
      <c r="S53" s="35"/>
      <c r="T53" s="73">
        <v>104955984</v>
      </c>
      <c r="U53" s="176" t="s">
        <v>260</v>
      </c>
    </row>
    <row r="54" spans="1:23" ht="26.25" customHeight="1">
      <c r="A54" s="24">
        <v>49</v>
      </c>
      <c r="B54" s="25">
        <v>45354</v>
      </c>
      <c r="C54" s="26" t="s">
        <v>146</v>
      </c>
      <c r="D54" s="26" t="s">
        <v>636</v>
      </c>
      <c r="E54" s="27">
        <v>113430016</v>
      </c>
      <c r="F54" s="28" t="s">
        <v>255</v>
      </c>
      <c r="G54" s="29" t="s">
        <v>257</v>
      </c>
      <c r="H54" s="30" t="s">
        <v>42</v>
      </c>
      <c r="I54" s="26" t="s">
        <v>90</v>
      </c>
      <c r="J54" s="29" t="s">
        <v>91</v>
      </c>
      <c r="K54" s="31">
        <v>45362</v>
      </c>
      <c r="L54" s="32" t="s">
        <v>258</v>
      </c>
      <c r="M54" s="32" t="s">
        <v>259</v>
      </c>
      <c r="N54" s="29">
        <v>983366695</v>
      </c>
      <c r="O54" s="33">
        <v>20</v>
      </c>
      <c r="P54" s="26" t="s">
        <v>22</v>
      </c>
      <c r="Q54" s="26" t="s">
        <v>90</v>
      </c>
      <c r="R54" s="34"/>
      <c r="S54" s="35"/>
      <c r="T54" s="73">
        <v>104955984</v>
      </c>
      <c r="U54" s="176" t="s">
        <v>260</v>
      </c>
    </row>
    <row r="55" spans="1:23" ht="26.25" customHeight="1">
      <c r="A55" s="24">
        <v>50</v>
      </c>
      <c r="B55" s="25">
        <v>45344</v>
      </c>
      <c r="C55" s="26" t="s">
        <v>183</v>
      </c>
      <c r="D55" s="26" t="s">
        <v>261</v>
      </c>
      <c r="E55" s="27">
        <v>111000050</v>
      </c>
      <c r="F55" s="28" t="s">
        <v>262</v>
      </c>
      <c r="G55" s="29" t="s">
        <v>263</v>
      </c>
      <c r="H55" s="30" t="s">
        <v>42</v>
      </c>
      <c r="I55" s="26" t="s">
        <v>90</v>
      </c>
      <c r="J55" s="29" t="s">
        <v>91</v>
      </c>
      <c r="K55" s="31">
        <v>45363</v>
      </c>
      <c r="L55" s="32" t="s">
        <v>264</v>
      </c>
      <c r="M55" s="32" t="s">
        <v>265</v>
      </c>
      <c r="N55" s="29">
        <v>983132417</v>
      </c>
      <c r="O55" s="33">
        <v>20</v>
      </c>
      <c r="P55" s="26" t="s">
        <v>22</v>
      </c>
      <c r="Q55" s="26" t="s">
        <v>90</v>
      </c>
      <c r="R55" s="34"/>
      <c r="S55" s="35"/>
      <c r="T55" s="73">
        <v>100833466</v>
      </c>
      <c r="U55" s="176" t="s">
        <v>266</v>
      </c>
    </row>
    <row r="56" spans="1:23" ht="24" customHeight="1">
      <c r="A56" s="24">
        <v>51</v>
      </c>
      <c r="B56" s="25">
        <v>45344</v>
      </c>
      <c r="C56" s="26" t="s">
        <v>183</v>
      </c>
      <c r="D56" s="26" t="s">
        <v>261</v>
      </c>
      <c r="E56" s="27">
        <v>40584282</v>
      </c>
      <c r="F56" s="28" t="s">
        <v>267</v>
      </c>
      <c r="G56" s="29" t="s">
        <v>268</v>
      </c>
      <c r="H56" s="30" t="s">
        <v>42</v>
      </c>
      <c r="I56" s="26" t="s">
        <v>90</v>
      </c>
      <c r="J56" s="29" t="s">
        <v>91</v>
      </c>
      <c r="K56" s="31">
        <v>45363</v>
      </c>
      <c r="L56" s="32" t="s">
        <v>264</v>
      </c>
      <c r="M56" s="32" t="s">
        <v>265</v>
      </c>
      <c r="N56" s="29">
        <v>983132417</v>
      </c>
      <c r="O56" s="33">
        <v>20</v>
      </c>
      <c r="P56" s="26" t="s">
        <v>22</v>
      </c>
      <c r="Q56" s="26" t="s">
        <v>90</v>
      </c>
      <c r="R56" s="34"/>
      <c r="S56" s="35"/>
      <c r="T56" s="73">
        <v>100833466</v>
      </c>
      <c r="U56" s="176" t="s">
        <v>266</v>
      </c>
    </row>
    <row r="57" spans="1:23" ht="27" customHeight="1">
      <c r="A57" s="24">
        <v>52</v>
      </c>
      <c r="B57" s="25">
        <v>45294</v>
      </c>
      <c r="C57" s="26" t="s">
        <v>86</v>
      </c>
      <c r="D57" s="26" t="s">
        <v>269</v>
      </c>
      <c r="E57" s="27">
        <v>40211660</v>
      </c>
      <c r="F57" s="28" t="s">
        <v>270</v>
      </c>
      <c r="G57" s="29" t="s">
        <v>271</v>
      </c>
      <c r="H57" s="30" t="s">
        <v>42</v>
      </c>
      <c r="I57" s="26" t="s">
        <v>90</v>
      </c>
      <c r="J57" s="29" t="s">
        <v>91</v>
      </c>
      <c r="K57" s="31">
        <v>45366</v>
      </c>
      <c r="L57" s="32" t="s">
        <v>272</v>
      </c>
      <c r="M57" s="32" t="s">
        <v>273</v>
      </c>
      <c r="N57" s="29">
        <v>963782385</v>
      </c>
      <c r="O57" s="33">
        <v>15</v>
      </c>
      <c r="P57" s="26" t="s">
        <v>22</v>
      </c>
      <c r="Q57" s="26" t="s">
        <v>90</v>
      </c>
      <c r="R57" s="34"/>
      <c r="S57" s="35"/>
      <c r="T57" s="73">
        <v>104081427</v>
      </c>
      <c r="U57" s="176"/>
    </row>
    <row r="58" spans="1:23" ht="26.25" customHeight="1">
      <c r="A58" s="24">
        <v>53</v>
      </c>
      <c r="B58" s="25">
        <v>45294</v>
      </c>
      <c r="C58" s="26" t="s">
        <v>86</v>
      </c>
      <c r="D58" s="26" t="s">
        <v>269</v>
      </c>
      <c r="E58" s="27">
        <v>41560124</v>
      </c>
      <c r="F58" s="28" t="s">
        <v>274</v>
      </c>
      <c r="G58" s="29" t="s">
        <v>275</v>
      </c>
      <c r="H58" s="30" t="s">
        <v>42</v>
      </c>
      <c r="I58" s="26" t="s">
        <v>90</v>
      </c>
      <c r="J58" s="29" t="s">
        <v>91</v>
      </c>
      <c r="K58" s="31">
        <v>45366</v>
      </c>
      <c r="L58" s="32" t="s">
        <v>272</v>
      </c>
      <c r="M58" s="32" t="s">
        <v>273</v>
      </c>
      <c r="N58" s="29">
        <v>963782385</v>
      </c>
      <c r="O58" s="33">
        <v>15</v>
      </c>
      <c r="P58" s="26" t="s">
        <v>22</v>
      </c>
      <c r="Q58" s="26" t="s">
        <v>90</v>
      </c>
      <c r="R58" s="34"/>
      <c r="S58" s="35"/>
      <c r="T58" s="73">
        <v>104081427</v>
      </c>
      <c r="U58" s="176"/>
    </row>
    <row r="59" spans="1:23" ht="24" customHeight="1">
      <c r="A59" s="24">
        <v>54</v>
      </c>
      <c r="B59" s="25">
        <v>45294</v>
      </c>
      <c r="C59" s="26" t="s">
        <v>86</v>
      </c>
      <c r="D59" s="26" t="s">
        <v>269</v>
      </c>
      <c r="E59" s="27">
        <v>40466241</v>
      </c>
      <c r="F59" s="28" t="s">
        <v>205</v>
      </c>
      <c r="G59" s="29" t="s">
        <v>276</v>
      </c>
      <c r="H59" s="30" t="s">
        <v>42</v>
      </c>
      <c r="I59" s="26" t="s">
        <v>90</v>
      </c>
      <c r="J59" s="29" t="s">
        <v>91</v>
      </c>
      <c r="K59" s="31">
        <v>45366</v>
      </c>
      <c r="L59" s="32" t="s">
        <v>272</v>
      </c>
      <c r="M59" s="32" t="s">
        <v>273</v>
      </c>
      <c r="N59" s="29">
        <v>963782385</v>
      </c>
      <c r="O59" s="33">
        <v>15</v>
      </c>
      <c r="P59" s="26" t="s">
        <v>22</v>
      </c>
      <c r="Q59" s="26" t="s">
        <v>90</v>
      </c>
      <c r="R59" s="34"/>
      <c r="S59" s="35"/>
      <c r="T59" s="73">
        <v>104081427</v>
      </c>
      <c r="U59" s="176"/>
    </row>
    <row r="60" spans="1:23" ht="26.25" customHeight="1">
      <c r="A60" s="24">
        <v>55</v>
      </c>
      <c r="B60" s="25">
        <v>44974</v>
      </c>
      <c r="C60" s="26" t="s">
        <v>135</v>
      </c>
      <c r="D60" s="26" t="s">
        <v>277</v>
      </c>
      <c r="E60" s="27">
        <v>112570093</v>
      </c>
      <c r="F60" s="28" t="s">
        <v>278</v>
      </c>
      <c r="G60" s="29" t="s">
        <v>279</v>
      </c>
      <c r="H60" s="30" t="s">
        <v>42</v>
      </c>
      <c r="I60" s="26" t="s">
        <v>90</v>
      </c>
      <c r="J60" s="29" t="s">
        <v>91</v>
      </c>
      <c r="K60" s="31">
        <v>45366</v>
      </c>
      <c r="L60" s="32" t="s">
        <v>280</v>
      </c>
      <c r="M60" s="32" t="s">
        <v>281</v>
      </c>
      <c r="N60" s="29">
        <v>2816942</v>
      </c>
      <c r="O60" s="33">
        <v>15</v>
      </c>
      <c r="P60" s="26" t="s">
        <v>22</v>
      </c>
      <c r="Q60" s="26" t="s">
        <v>90</v>
      </c>
      <c r="R60" s="34"/>
      <c r="S60" s="35"/>
      <c r="T60" s="73">
        <v>101052678</v>
      </c>
      <c r="U60" s="176" t="s">
        <v>282</v>
      </c>
    </row>
    <row r="61" spans="1:23" ht="27.75" customHeight="1">
      <c r="A61" s="24">
        <v>56</v>
      </c>
      <c r="B61" s="25">
        <v>44974</v>
      </c>
      <c r="C61" s="26" t="s">
        <v>135</v>
      </c>
      <c r="D61" s="26" t="s">
        <v>277</v>
      </c>
      <c r="E61" s="27">
        <v>111000051</v>
      </c>
      <c r="F61" s="28" t="s">
        <v>144</v>
      </c>
      <c r="G61" s="29" t="s">
        <v>285</v>
      </c>
      <c r="H61" s="30">
        <v>384581</v>
      </c>
      <c r="I61" s="26" t="s">
        <v>90</v>
      </c>
      <c r="J61" s="29" t="s">
        <v>91</v>
      </c>
      <c r="K61" s="31">
        <v>45366</v>
      </c>
      <c r="L61" s="32" t="s">
        <v>280</v>
      </c>
      <c r="M61" s="32" t="s">
        <v>281</v>
      </c>
      <c r="N61" s="29">
        <v>2816942</v>
      </c>
      <c r="O61" s="33">
        <v>15</v>
      </c>
      <c r="P61" s="26" t="s">
        <v>22</v>
      </c>
      <c r="Q61" s="26" t="s">
        <v>90</v>
      </c>
      <c r="R61" s="34"/>
      <c r="S61" s="35"/>
      <c r="T61" s="73">
        <v>101052678</v>
      </c>
      <c r="U61" s="176" t="s">
        <v>282</v>
      </c>
    </row>
    <row r="62" spans="1:23" ht="24.75" customHeight="1">
      <c r="A62" s="24">
        <v>57</v>
      </c>
      <c r="B62" s="25">
        <v>44974</v>
      </c>
      <c r="C62" s="26" t="s">
        <v>135</v>
      </c>
      <c r="D62" s="26" t="s">
        <v>277</v>
      </c>
      <c r="E62" s="27">
        <v>40464671</v>
      </c>
      <c r="F62" s="28" t="s">
        <v>283</v>
      </c>
      <c r="G62" s="29" t="s">
        <v>286</v>
      </c>
      <c r="H62" s="30" t="s">
        <v>42</v>
      </c>
      <c r="I62" s="26" t="s">
        <v>90</v>
      </c>
      <c r="J62" s="29" t="s">
        <v>91</v>
      </c>
      <c r="K62" s="31">
        <v>45366</v>
      </c>
      <c r="L62" s="32" t="s">
        <v>280</v>
      </c>
      <c r="M62" s="32" t="s">
        <v>281</v>
      </c>
      <c r="N62" s="29">
        <v>2816942</v>
      </c>
      <c r="O62" s="33">
        <v>15</v>
      </c>
      <c r="P62" s="26" t="s">
        <v>22</v>
      </c>
      <c r="Q62" s="26" t="s">
        <v>90</v>
      </c>
      <c r="R62" s="34"/>
      <c r="S62" s="35"/>
      <c r="T62" s="73">
        <v>101052678</v>
      </c>
      <c r="U62" s="176" t="s">
        <v>282</v>
      </c>
    </row>
    <row r="63" spans="1:23" ht="28.5" customHeight="1">
      <c r="A63" s="24">
        <v>58</v>
      </c>
      <c r="B63" s="25">
        <v>44974</v>
      </c>
      <c r="C63" s="26" t="s">
        <v>135</v>
      </c>
      <c r="D63" s="26" t="s">
        <v>277</v>
      </c>
      <c r="E63" s="27">
        <v>40782510</v>
      </c>
      <c r="F63" s="28" t="s">
        <v>284</v>
      </c>
      <c r="G63" s="29" t="s">
        <v>287</v>
      </c>
      <c r="H63" s="30" t="s">
        <v>42</v>
      </c>
      <c r="I63" s="26" t="s">
        <v>90</v>
      </c>
      <c r="J63" s="29" t="s">
        <v>91</v>
      </c>
      <c r="K63" s="31">
        <v>45366</v>
      </c>
      <c r="L63" s="32" t="s">
        <v>280</v>
      </c>
      <c r="M63" s="32" t="s">
        <v>281</v>
      </c>
      <c r="N63" s="29">
        <v>2816942</v>
      </c>
      <c r="O63" s="33">
        <v>15</v>
      </c>
      <c r="P63" s="26" t="s">
        <v>22</v>
      </c>
      <c r="Q63" s="26" t="s">
        <v>90</v>
      </c>
      <c r="R63" s="34"/>
      <c r="S63" s="35"/>
      <c r="T63" s="73">
        <v>101052678</v>
      </c>
      <c r="U63" s="176" t="s">
        <v>282</v>
      </c>
    </row>
    <row r="64" spans="1:23" ht="27" customHeight="1">
      <c r="A64" s="24">
        <v>59</v>
      </c>
      <c r="B64" s="25">
        <v>45288</v>
      </c>
      <c r="C64" s="26" t="s">
        <v>135</v>
      </c>
      <c r="D64" s="26" t="s">
        <v>288</v>
      </c>
      <c r="E64" s="27">
        <v>40446712</v>
      </c>
      <c r="F64" s="28" t="s">
        <v>289</v>
      </c>
      <c r="G64" s="29" t="s">
        <v>290</v>
      </c>
      <c r="H64" s="30" t="s">
        <v>42</v>
      </c>
      <c r="I64" s="26" t="s">
        <v>90</v>
      </c>
      <c r="J64" s="29" t="s">
        <v>91</v>
      </c>
      <c r="K64" s="31">
        <v>45366</v>
      </c>
      <c r="L64" s="32" t="s">
        <v>291</v>
      </c>
      <c r="M64" s="32" t="s">
        <v>292</v>
      </c>
      <c r="N64" s="29">
        <v>999877844</v>
      </c>
      <c r="O64" s="33">
        <v>15</v>
      </c>
      <c r="P64" s="26" t="s">
        <v>22</v>
      </c>
      <c r="Q64" s="26" t="s">
        <v>90</v>
      </c>
      <c r="R64" s="34"/>
      <c r="S64" s="35"/>
      <c r="T64" s="73">
        <v>103179669</v>
      </c>
      <c r="U64" s="176" t="s">
        <v>293</v>
      </c>
    </row>
    <row r="65" spans="1:21" ht="27" customHeight="1">
      <c r="A65" s="24">
        <v>60</v>
      </c>
      <c r="B65" s="25">
        <v>45288</v>
      </c>
      <c r="C65" s="26" t="s">
        <v>135</v>
      </c>
      <c r="D65" s="26" t="s">
        <v>288</v>
      </c>
      <c r="E65" s="27">
        <v>112510036</v>
      </c>
      <c r="F65" s="28" t="s">
        <v>294</v>
      </c>
      <c r="G65" s="29" t="s">
        <v>297</v>
      </c>
      <c r="H65" s="30">
        <v>403122</v>
      </c>
      <c r="I65" s="26" t="s">
        <v>90</v>
      </c>
      <c r="J65" s="29" t="s">
        <v>91</v>
      </c>
      <c r="K65" s="31">
        <v>45366</v>
      </c>
      <c r="L65" s="32" t="s">
        <v>291</v>
      </c>
      <c r="M65" s="32" t="s">
        <v>292</v>
      </c>
      <c r="N65" s="29">
        <v>999877844</v>
      </c>
      <c r="O65" s="33">
        <v>15</v>
      </c>
      <c r="P65" s="26" t="s">
        <v>22</v>
      </c>
      <c r="Q65" s="26" t="s">
        <v>90</v>
      </c>
      <c r="R65" s="34"/>
      <c r="S65" s="35"/>
      <c r="T65" s="73">
        <v>103179669</v>
      </c>
      <c r="U65" s="176" t="s">
        <v>293</v>
      </c>
    </row>
    <row r="66" spans="1:21" ht="27.75" customHeight="1">
      <c r="A66" s="24">
        <v>61</v>
      </c>
      <c r="B66" s="25">
        <v>45288</v>
      </c>
      <c r="C66" s="26" t="s">
        <v>135</v>
      </c>
      <c r="D66" s="26" t="s">
        <v>288</v>
      </c>
      <c r="E66" s="27">
        <v>112610067</v>
      </c>
      <c r="F66" s="28" t="s">
        <v>295</v>
      </c>
      <c r="G66" s="29" t="s">
        <v>298</v>
      </c>
      <c r="H66" s="30" t="s">
        <v>42</v>
      </c>
      <c r="I66" s="26" t="s">
        <v>90</v>
      </c>
      <c r="J66" s="29" t="s">
        <v>91</v>
      </c>
      <c r="K66" s="31">
        <v>45366</v>
      </c>
      <c r="L66" s="32" t="s">
        <v>291</v>
      </c>
      <c r="M66" s="32" t="s">
        <v>292</v>
      </c>
      <c r="N66" s="29">
        <v>999877844</v>
      </c>
      <c r="O66" s="33">
        <v>15</v>
      </c>
      <c r="P66" s="26" t="s">
        <v>22</v>
      </c>
      <c r="Q66" s="26" t="s">
        <v>90</v>
      </c>
      <c r="R66" s="34"/>
      <c r="S66" s="35"/>
      <c r="T66" s="73">
        <v>103179669</v>
      </c>
      <c r="U66" s="176" t="s">
        <v>293</v>
      </c>
    </row>
    <row r="67" spans="1:21" ht="24.75" customHeight="1">
      <c r="A67" s="24">
        <v>62</v>
      </c>
      <c r="B67" s="25">
        <v>45288</v>
      </c>
      <c r="C67" s="26" t="s">
        <v>135</v>
      </c>
      <c r="D67" s="26" t="s">
        <v>288</v>
      </c>
      <c r="E67" s="27">
        <v>114270004</v>
      </c>
      <c r="F67" s="28" t="s">
        <v>296</v>
      </c>
      <c r="G67" s="29" t="s">
        <v>299</v>
      </c>
      <c r="H67" s="30" t="s">
        <v>42</v>
      </c>
      <c r="I67" s="26" t="s">
        <v>90</v>
      </c>
      <c r="J67" s="29" t="s">
        <v>91</v>
      </c>
      <c r="K67" s="31">
        <v>45366</v>
      </c>
      <c r="L67" s="32" t="s">
        <v>291</v>
      </c>
      <c r="M67" s="32" t="s">
        <v>292</v>
      </c>
      <c r="N67" s="29">
        <v>999877844</v>
      </c>
      <c r="O67" s="33">
        <v>15</v>
      </c>
      <c r="P67" s="26" t="s">
        <v>22</v>
      </c>
      <c r="Q67" s="26" t="s">
        <v>90</v>
      </c>
      <c r="R67" s="34"/>
      <c r="S67" s="35"/>
      <c r="T67" s="73">
        <v>103179669</v>
      </c>
      <c r="U67" s="176" t="s">
        <v>293</v>
      </c>
    </row>
    <row r="68" spans="1:21" ht="27" customHeight="1">
      <c r="A68" s="24">
        <v>63</v>
      </c>
      <c r="B68" s="25">
        <v>45331</v>
      </c>
      <c r="C68" s="26" t="s">
        <v>183</v>
      </c>
      <c r="D68" s="26" t="s">
        <v>613</v>
      </c>
      <c r="E68" s="27">
        <v>112580017</v>
      </c>
      <c r="F68" s="28" t="s">
        <v>614</v>
      </c>
      <c r="G68" s="29" t="s">
        <v>615</v>
      </c>
      <c r="H68" s="30" t="s">
        <v>42</v>
      </c>
      <c r="I68" s="26" t="s">
        <v>90</v>
      </c>
      <c r="J68" s="29" t="s">
        <v>91</v>
      </c>
      <c r="K68" s="31">
        <v>45369</v>
      </c>
      <c r="L68" s="32" t="s">
        <v>617</v>
      </c>
      <c r="M68" s="32" t="s">
        <v>618</v>
      </c>
      <c r="N68" s="29">
        <v>990064995</v>
      </c>
      <c r="O68" s="33">
        <v>20</v>
      </c>
      <c r="P68" s="26" t="s">
        <v>22</v>
      </c>
      <c r="Q68" s="26" t="s">
        <v>90</v>
      </c>
      <c r="R68" s="34"/>
      <c r="S68" s="35"/>
      <c r="T68" s="73">
        <v>101492239</v>
      </c>
      <c r="U68" s="176" t="s">
        <v>619</v>
      </c>
    </row>
    <row r="69" spans="1:21" ht="26.25" customHeight="1">
      <c r="A69" s="24">
        <v>64</v>
      </c>
      <c r="B69" s="25">
        <v>45331</v>
      </c>
      <c r="C69" s="26" t="s">
        <v>183</v>
      </c>
      <c r="D69" s="26" t="s">
        <v>613</v>
      </c>
      <c r="E69" s="27">
        <v>41560041</v>
      </c>
      <c r="F69" s="28" t="s">
        <v>122</v>
      </c>
      <c r="G69" s="29" t="s">
        <v>616</v>
      </c>
      <c r="H69" s="30" t="s">
        <v>42</v>
      </c>
      <c r="I69" s="26" t="s">
        <v>90</v>
      </c>
      <c r="J69" s="29" t="s">
        <v>91</v>
      </c>
      <c r="K69" s="31">
        <v>45369</v>
      </c>
      <c r="L69" s="32" t="s">
        <v>617</v>
      </c>
      <c r="M69" s="32" t="s">
        <v>618</v>
      </c>
      <c r="N69" s="29">
        <v>990064995</v>
      </c>
      <c r="O69" s="33">
        <v>20</v>
      </c>
      <c r="P69" s="26" t="s">
        <v>22</v>
      </c>
      <c r="Q69" s="26" t="s">
        <v>90</v>
      </c>
      <c r="R69" s="34"/>
      <c r="S69" s="35"/>
      <c r="T69" s="73">
        <v>101492239</v>
      </c>
      <c r="U69" s="176" t="s">
        <v>619</v>
      </c>
    </row>
    <row r="70" spans="1:21" ht="24.75" customHeight="1">
      <c r="A70" s="24">
        <v>65</v>
      </c>
      <c r="B70" s="25">
        <v>45192</v>
      </c>
      <c r="C70" s="26" t="s">
        <v>135</v>
      </c>
      <c r="D70" s="26" t="s">
        <v>634</v>
      </c>
      <c r="E70" s="27">
        <v>40467320</v>
      </c>
      <c r="F70" s="28" t="s">
        <v>547</v>
      </c>
      <c r="G70" s="29" t="s">
        <v>622</v>
      </c>
      <c r="H70" s="30" t="s">
        <v>42</v>
      </c>
      <c r="I70" s="26" t="s">
        <v>90</v>
      </c>
      <c r="J70" s="29" t="s">
        <v>91</v>
      </c>
      <c r="K70" s="31">
        <v>45369</v>
      </c>
      <c r="L70" s="32" t="s">
        <v>631</v>
      </c>
      <c r="M70" s="32" t="s">
        <v>626</v>
      </c>
      <c r="N70" s="29">
        <v>960400486</v>
      </c>
      <c r="O70" s="33">
        <v>15</v>
      </c>
      <c r="P70" s="26" t="s">
        <v>22</v>
      </c>
      <c r="Q70" s="26" t="s">
        <v>90</v>
      </c>
      <c r="R70" s="34"/>
      <c r="S70" s="35"/>
      <c r="T70" s="73">
        <v>104991484</v>
      </c>
      <c r="U70" s="176" t="s">
        <v>632</v>
      </c>
    </row>
    <row r="71" spans="1:21" ht="27.75" customHeight="1">
      <c r="A71" s="24">
        <v>66</v>
      </c>
      <c r="B71" s="25">
        <v>45192</v>
      </c>
      <c r="C71" s="26" t="s">
        <v>183</v>
      </c>
      <c r="D71" s="26" t="s">
        <v>635</v>
      </c>
      <c r="E71" s="27">
        <v>112610069</v>
      </c>
      <c r="F71" s="28" t="s">
        <v>620</v>
      </c>
      <c r="G71" s="29" t="s">
        <v>623</v>
      </c>
      <c r="H71" s="30" t="s">
        <v>42</v>
      </c>
      <c r="I71" s="26" t="s">
        <v>90</v>
      </c>
      <c r="J71" s="29" t="s">
        <v>91</v>
      </c>
      <c r="K71" s="31">
        <v>45369</v>
      </c>
      <c r="L71" s="32" t="s">
        <v>631</v>
      </c>
      <c r="M71" s="32" t="s">
        <v>626</v>
      </c>
      <c r="N71" s="29">
        <v>960400486</v>
      </c>
      <c r="O71" s="33">
        <v>15</v>
      </c>
      <c r="P71" s="26" t="s">
        <v>22</v>
      </c>
      <c r="Q71" s="26" t="s">
        <v>90</v>
      </c>
      <c r="R71" s="34"/>
      <c r="S71" s="35"/>
      <c r="T71" s="73">
        <v>104991484</v>
      </c>
      <c r="U71" s="176" t="s">
        <v>632</v>
      </c>
    </row>
    <row r="72" spans="1:21" ht="27.75" customHeight="1">
      <c r="A72" s="24">
        <v>67</v>
      </c>
      <c r="B72" s="25">
        <v>45192</v>
      </c>
      <c r="C72" s="26" t="s">
        <v>135</v>
      </c>
      <c r="D72" s="26" t="s">
        <v>634</v>
      </c>
      <c r="E72" s="27">
        <v>111010028</v>
      </c>
      <c r="F72" s="28" t="s">
        <v>621</v>
      </c>
      <c r="G72" s="29" t="s">
        <v>624</v>
      </c>
      <c r="H72" s="30" t="s">
        <v>42</v>
      </c>
      <c r="I72" s="26" t="s">
        <v>90</v>
      </c>
      <c r="J72" s="29" t="s">
        <v>91</v>
      </c>
      <c r="K72" s="31">
        <v>45369</v>
      </c>
      <c r="L72" s="32" t="s">
        <v>631</v>
      </c>
      <c r="M72" s="32" t="s">
        <v>626</v>
      </c>
      <c r="N72" s="29">
        <v>960400486</v>
      </c>
      <c r="O72" s="33">
        <v>15</v>
      </c>
      <c r="P72" s="26" t="s">
        <v>22</v>
      </c>
      <c r="Q72" s="26" t="s">
        <v>90</v>
      </c>
      <c r="R72" s="34"/>
      <c r="S72" s="35"/>
      <c r="T72" s="73">
        <v>104991484</v>
      </c>
      <c r="U72" s="176" t="s">
        <v>632</v>
      </c>
    </row>
    <row r="73" spans="1:21" ht="30" customHeight="1">
      <c r="A73" s="24">
        <v>68</v>
      </c>
      <c r="B73" s="25">
        <v>45327</v>
      </c>
      <c r="C73" s="26" t="s">
        <v>135</v>
      </c>
      <c r="D73" s="26" t="s">
        <v>633</v>
      </c>
      <c r="E73" s="27">
        <v>40590835</v>
      </c>
      <c r="F73" s="28" t="s">
        <v>595</v>
      </c>
      <c r="G73" s="29" t="s">
        <v>625</v>
      </c>
      <c r="H73" s="30" t="s">
        <v>42</v>
      </c>
      <c r="I73" s="26" t="s">
        <v>90</v>
      </c>
      <c r="J73" s="29" t="s">
        <v>91</v>
      </c>
      <c r="K73" s="31">
        <v>45369</v>
      </c>
      <c r="L73" s="32" t="s">
        <v>631</v>
      </c>
      <c r="M73" s="32" t="s">
        <v>626</v>
      </c>
      <c r="N73" s="29">
        <v>960400486</v>
      </c>
      <c r="O73" s="33">
        <v>15</v>
      </c>
      <c r="P73" s="26" t="s">
        <v>22</v>
      </c>
      <c r="Q73" s="26" t="s">
        <v>90</v>
      </c>
      <c r="R73" s="34"/>
      <c r="S73" s="35"/>
      <c r="T73" s="73">
        <v>104991484</v>
      </c>
      <c r="U73" s="176" t="s">
        <v>632</v>
      </c>
    </row>
    <row r="74" spans="1:21" ht="32.25" customHeight="1">
      <c r="A74" s="24">
        <v>69</v>
      </c>
      <c r="B74" s="25">
        <v>45270</v>
      </c>
      <c r="C74" s="26" t="s">
        <v>86</v>
      </c>
      <c r="D74" s="26" t="s">
        <v>643</v>
      </c>
      <c r="E74" s="27">
        <v>41592306</v>
      </c>
      <c r="F74" s="28" t="s">
        <v>168</v>
      </c>
      <c r="G74" s="29" t="s">
        <v>652</v>
      </c>
      <c r="H74" s="30" t="s">
        <v>42</v>
      </c>
      <c r="I74" s="26" t="s">
        <v>90</v>
      </c>
      <c r="J74" s="29" t="s">
        <v>91</v>
      </c>
      <c r="K74" s="31">
        <v>45370</v>
      </c>
      <c r="L74" s="32" t="s">
        <v>645</v>
      </c>
      <c r="M74" s="32" t="s">
        <v>646</v>
      </c>
      <c r="N74" s="29">
        <v>995920929</v>
      </c>
      <c r="O74" s="33">
        <v>15</v>
      </c>
      <c r="P74" s="26" t="s">
        <v>22</v>
      </c>
      <c r="Q74" s="26" t="s">
        <v>90</v>
      </c>
      <c r="R74" s="34"/>
      <c r="S74" s="35"/>
      <c r="T74" s="73">
        <v>102859634</v>
      </c>
      <c r="U74" s="176" t="s">
        <v>647</v>
      </c>
    </row>
    <row r="75" spans="1:21" ht="30" customHeight="1">
      <c r="A75" s="24">
        <v>70</v>
      </c>
      <c r="B75" s="25">
        <v>45270</v>
      </c>
      <c r="C75" s="26" t="s">
        <v>86</v>
      </c>
      <c r="D75" s="26" t="s">
        <v>643</v>
      </c>
      <c r="E75" s="27">
        <v>114270004</v>
      </c>
      <c r="F75" s="27" t="s">
        <v>651</v>
      </c>
      <c r="G75" s="29" t="s">
        <v>653</v>
      </c>
      <c r="H75" s="30" t="s">
        <v>42</v>
      </c>
      <c r="I75" s="26" t="s">
        <v>90</v>
      </c>
      <c r="J75" s="29" t="s">
        <v>91</v>
      </c>
      <c r="K75" s="31">
        <v>45370</v>
      </c>
      <c r="L75" s="32" t="s">
        <v>645</v>
      </c>
      <c r="M75" s="32" t="s">
        <v>646</v>
      </c>
      <c r="N75" s="29">
        <v>995920929</v>
      </c>
      <c r="O75" s="33">
        <v>15</v>
      </c>
      <c r="P75" s="26" t="s">
        <v>22</v>
      </c>
      <c r="Q75" s="26" t="s">
        <v>90</v>
      </c>
      <c r="R75" s="34"/>
      <c r="S75" s="35"/>
      <c r="T75" s="73">
        <v>102859634</v>
      </c>
      <c r="U75" s="176" t="s">
        <v>647</v>
      </c>
    </row>
    <row r="76" spans="1:21" ht="27.75" customHeight="1">
      <c r="A76" s="24">
        <v>71</v>
      </c>
      <c r="B76" s="25" t="s">
        <v>655</v>
      </c>
      <c r="C76" s="26" t="s">
        <v>86</v>
      </c>
      <c r="D76" s="26" t="s">
        <v>656</v>
      </c>
      <c r="E76" s="27">
        <v>112570128</v>
      </c>
      <c r="F76" s="28" t="s">
        <v>648</v>
      </c>
      <c r="G76" s="29" t="s">
        <v>654</v>
      </c>
      <c r="H76" s="30" t="s">
        <v>42</v>
      </c>
      <c r="I76" s="26" t="s">
        <v>90</v>
      </c>
      <c r="J76" s="29" t="s">
        <v>91</v>
      </c>
      <c r="K76" s="31">
        <v>45370</v>
      </c>
      <c r="L76" s="32" t="s">
        <v>645</v>
      </c>
      <c r="M76" s="32" t="s">
        <v>646</v>
      </c>
      <c r="N76" s="29">
        <v>995920929</v>
      </c>
      <c r="O76" s="33">
        <v>15</v>
      </c>
      <c r="P76" s="26" t="s">
        <v>22</v>
      </c>
      <c r="Q76" s="26" t="s">
        <v>90</v>
      </c>
      <c r="R76" s="34"/>
      <c r="S76" s="35"/>
      <c r="T76" s="73">
        <v>102859634</v>
      </c>
      <c r="U76" s="176" t="s">
        <v>647</v>
      </c>
    </row>
    <row r="77" spans="1:21" ht="30" customHeight="1">
      <c r="A77" s="24">
        <v>72</v>
      </c>
      <c r="B77" s="25">
        <v>45346</v>
      </c>
      <c r="C77" s="26" t="s">
        <v>135</v>
      </c>
      <c r="D77" s="26" t="s">
        <v>650</v>
      </c>
      <c r="E77" s="27">
        <v>40584305</v>
      </c>
      <c r="F77" s="28" t="s">
        <v>649</v>
      </c>
      <c r="G77" s="29" t="s">
        <v>657</v>
      </c>
      <c r="H77" s="30" t="s">
        <v>42</v>
      </c>
      <c r="I77" s="26" t="s">
        <v>90</v>
      </c>
      <c r="J77" s="29" t="s">
        <v>91</v>
      </c>
      <c r="K77" s="31">
        <v>45370</v>
      </c>
      <c r="L77" s="32" t="s">
        <v>645</v>
      </c>
      <c r="M77" s="32" t="s">
        <v>646</v>
      </c>
      <c r="N77" s="29">
        <v>995920929</v>
      </c>
      <c r="O77" s="33">
        <v>15</v>
      </c>
      <c r="P77" s="26" t="s">
        <v>22</v>
      </c>
      <c r="Q77" s="26" t="s">
        <v>90</v>
      </c>
      <c r="R77" s="34"/>
      <c r="S77" s="35"/>
      <c r="T77" s="73">
        <v>102859634</v>
      </c>
      <c r="U77" s="176" t="s">
        <v>647</v>
      </c>
    </row>
    <row r="78" spans="1:21" ht="28.5" customHeight="1">
      <c r="A78" s="24">
        <v>73</v>
      </c>
      <c r="B78" s="25">
        <v>45248</v>
      </c>
      <c r="C78" s="26" t="s">
        <v>135</v>
      </c>
      <c r="D78" s="26" t="s">
        <v>661</v>
      </c>
      <c r="E78" s="27">
        <v>40483182</v>
      </c>
      <c r="F78" s="28" t="s">
        <v>438</v>
      </c>
      <c r="G78" s="29" t="s">
        <v>658</v>
      </c>
      <c r="H78" s="30" t="s">
        <v>42</v>
      </c>
      <c r="I78" s="26" t="s">
        <v>90</v>
      </c>
      <c r="J78" s="29" t="s">
        <v>91</v>
      </c>
      <c r="K78" s="31">
        <v>45370</v>
      </c>
      <c r="L78" s="32" t="s">
        <v>664</v>
      </c>
      <c r="M78" s="32" t="s">
        <v>662</v>
      </c>
      <c r="N78" s="29">
        <v>999099560</v>
      </c>
      <c r="O78" s="33">
        <v>30</v>
      </c>
      <c r="P78" s="26" t="s">
        <v>22</v>
      </c>
      <c r="Q78" s="26" t="s">
        <v>90</v>
      </c>
      <c r="R78" s="34"/>
      <c r="S78" s="35"/>
      <c r="T78" s="73">
        <v>103070868</v>
      </c>
      <c r="U78" s="176" t="s">
        <v>663</v>
      </c>
    </row>
    <row r="79" spans="1:21" ht="33" customHeight="1">
      <c r="A79" s="24">
        <v>74</v>
      </c>
      <c r="B79" s="25">
        <v>45248</v>
      </c>
      <c r="C79" s="26" t="s">
        <v>135</v>
      </c>
      <c r="D79" s="26" t="s">
        <v>661</v>
      </c>
      <c r="E79" s="27">
        <v>112570128</v>
      </c>
      <c r="F79" s="28" t="s">
        <v>659</v>
      </c>
      <c r="G79" s="29" t="s">
        <v>660</v>
      </c>
      <c r="H79" s="30" t="s">
        <v>42</v>
      </c>
      <c r="I79" s="26" t="s">
        <v>90</v>
      </c>
      <c r="J79" s="29" t="s">
        <v>91</v>
      </c>
      <c r="K79" s="31">
        <v>45370</v>
      </c>
      <c r="L79" s="32" t="s">
        <v>664</v>
      </c>
      <c r="M79" s="32" t="s">
        <v>662</v>
      </c>
      <c r="N79" s="29">
        <v>999099560</v>
      </c>
      <c r="O79" s="33">
        <v>20</v>
      </c>
      <c r="P79" s="26" t="s">
        <v>22</v>
      </c>
      <c r="Q79" s="26" t="s">
        <v>90</v>
      </c>
      <c r="R79" s="34"/>
      <c r="S79" s="35"/>
      <c r="T79" s="73">
        <v>103070868</v>
      </c>
      <c r="U79" s="176" t="s">
        <v>663</v>
      </c>
    </row>
    <row r="80" spans="1:21" ht="32.25" customHeight="1">
      <c r="A80" s="24">
        <v>75</v>
      </c>
      <c r="B80" s="25"/>
      <c r="C80" s="26"/>
      <c r="D80" s="26"/>
      <c r="E80" s="27"/>
      <c r="F80" s="28"/>
      <c r="G80" s="29"/>
      <c r="H80" s="30"/>
      <c r="I80" s="26" t="s">
        <v>90</v>
      </c>
      <c r="J80" s="29" t="s">
        <v>91</v>
      </c>
      <c r="K80" s="31"/>
      <c r="L80" s="32"/>
      <c r="M80" s="32"/>
      <c r="N80" s="29"/>
      <c r="O80" s="33"/>
      <c r="P80" s="26" t="s">
        <v>22</v>
      </c>
      <c r="Q80" s="26" t="s">
        <v>90</v>
      </c>
      <c r="R80" s="34"/>
      <c r="S80" s="35"/>
      <c r="T80" s="73"/>
      <c r="U80" s="176"/>
    </row>
    <row r="81" spans="1:21" ht="35.25" customHeight="1">
      <c r="A81" s="24">
        <v>76</v>
      </c>
      <c r="B81" s="25"/>
      <c r="C81" s="26"/>
      <c r="D81" s="26"/>
      <c r="E81" s="27"/>
      <c r="F81" s="28"/>
      <c r="G81" s="29"/>
      <c r="H81" s="30"/>
      <c r="I81" s="26" t="s">
        <v>90</v>
      </c>
      <c r="J81" s="29" t="s">
        <v>91</v>
      </c>
      <c r="K81" s="31"/>
      <c r="L81" s="32"/>
      <c r="M81" s="32"/>
      <c r="N81" s="29"/>
      <c r="O81" s="33"/>
      <c r="P81" s="26" t="s">
        <v>22</v>
      </c>
      <c r="Q81" s="26" t="s">
        <v>90</v>
      </c>
      <c r="R81" s="34"/>
      <c r="S81" s="35"/>
      <c r="T81" s="73"/>
      <c r="U81" s="176"/>
    </row>
    <row r="83" spans="1:21">
      <c r="O83" s="172">
        <f>SUM(O6:O82)</f>
        <v>1310</v>
      </c>
    </row>
    <row r="86" spans="1:21" ht="17">
      <c r="K86" s="75">
        <v>34</v>
      </c>
      <c r="L86" s="75">
        <v>20</v>
      </c>
      <c r="M86" s="75">
        <f>K86*L86</f>
        <v>680</v>
      </c>
    </row>
    <row r="87" spans="1:21" ht="17">
      <c r="K87" s="75">
        <v>38</v>
      </c>
      <c r="L87" s="75">
        <v>15</v>
      </c>
      <c r="M87" s="75">
        <f>K87*L87</f>
        <v>570</v>
      </c>
    </row>
    <row r="88" spans="1:21" ht="17">
      <c r="K88" s="75">
        <v>2</v>
      </c>
      <c r="L88" s="75">
        <v>30</v>
      </c>
      <c r="M88" s="75">
        <f>K88*L88</f>
        <v>60</v>
      </c>
    </row>
    <row r="89" spans="1:21">
      <c r="M89">
        <f>SUM(M86:M88)</f>
        <v>1310</v>
      </c>
    </row>
  </sheetData>
  <hyperlinks>
    <hyperlink ref="U6" r:id="rId1" xr:uid="{00000000-0004-0000-0000-000000000000}"/>
    <hyperlink ref="U7" r:id="rId2" xr:uid="{00000000-0004-0000-0000-000001000000}"/>
    <hyperlink ref="U8" r:id="rId3" xr:uid="{00000000-0004-0000-0000-000002000000}"/>
    <hyperlink ref="U9" r:id="rId4" xr:uid="{00000000-0004-0000-0000-000003000000}"/>
    <hyperlink ref="U10" r:id="rId5" xr:uid="{00000000-0004-0000-0000-000004000000}"/>
    <hyperlink ref="U11" r:id="rId6" xr:uid="{00000000-0004-0000-0000-000005000000}"/>
    <hyperlink ref="U12" r:id="rId7" xr:uid="{00000000-0004-0000-0000-000006000000}"/>
    <hyperlink ref="U15" r:id="rId8" xr:uid="{00000000-0004-0000-0000-000007000000}"/>
    <hyperlink ref="U16" r:id="rId9" xr:uid="{00000000-0004-0000-0000-000008000000}"/>
    <hyperlink ref="U17" r:id="rId10" xr:uid="{00000000-0004-0000-0000-000009000000}"/>
    <hyperlink ref="U18" r:id="rId11" xr:uid="{00000000-0004-0000-0000-00000A000000}"/>
    <hyperlink ref="U19" r:id="rId12" xr:uid="{00000000-0004-0000-0000-00000B000000}"/>
    <hyperlink ref="U20" r:id="rId13" xr:uid="{00000000-0004-0000-0000-00000C000000}"/>
    <hyperlink ref="U21" r:id="rId14" xr:uid="{00000000-0004-0000-0000-00000D000000}"/>
    <hyperlink ref="U22" r:id="rId15" xr:uid="{00000000-0004-0000-0000-00000E000000}"/>
    <hyperlink ref="U23" r:id="rId16" xr:uid="{00000000-0004-0000-0000-00000F000000}"/>
    <hyperlink ref="U28" r:id="rId17" xr:uid="{00000000-0004-0000-0000-000010000000}"/>
    <hyperlink ref="U29" r:id="rId18" xr:uid="{00000000-0004-0000-0000-000011000000}"/>
    <hyperlink ref="U33" r:id="rId19" xr:uid="{00000000-0004-0000-0000-000012000000}"/>
    <hyperlink ref="U34" r:id="rId20" xr:uid="{00000000-0004-0000-0000-000013000000}"/>
    <hyperlink ref="U35" r:id="rId21" xr:uid="{00000000-0004-0000-0000-000014000000}"/>
    <hyperlink ref="U36" r:id="rId22" xr:uid="{00000000-0004-0000-0000-000015000000}"/>
    <hyperlink ref="U37" r:id="rId23" xr:uid="{00000000-0004-0000-0000-000016000000}"/>
    <hyperlink ref="U40" r:id="rId24" xr:uid="{00000000-0004-0000-0000-000017000000}"/>
    <hyperlink ref="U41" r:id="rId25" xr:uid="{00000000-0004-0000-0000-000018000000}"/>
    <hyperlink ref="U42" r:id="rId26" xr:uid="{00000000-0004-0000-0000-000019000000}"/>
    <hyperlink ref="U43" r:id="rId27" xr:uid="{00000000-0004-0000-0000-00001A000000}"/>
    <hyperlink ref="U44" r:id="rId28" xr:uid="{00000000-0004-0000-0000-00001B000000}"/>
    <hyperlink ref="U45" r:id="rId29" xr:uid="{00000000-0004-0000-0000-00001C000000}"/>
    <hyperlink ref="U46" r:id="rId30" xr:uid="{00000000-0004-0000-0000-00001D000000}"/>
    <hyperlink ref="U47" r:id="rId31" xr:uid="{00000000-0004-0000-0000-00001E000000}"/>
    <hyperlink ref="U48" r:id="rId32" xr:uid="{00000000-0004-0000-0000-00001F000000}"/>
    <hyperlink ref="U49" r:id="rId33" xr:uid="{00000000-0004-0000-0000-000020000000}"/>
    <hyperlink ref="U50" r:id="rId34" xr:uid="{00000000-0004-0000-0000-000021000000}"/>
    <hyperlink ref="U51" r:id="rId35" xr:uid="{00000000-0004-0000-0000-000022000000}"/>
    <hyperlink ref="U52" r:id="rId36" xr:uid="{00000000-0004-0000-0000-000023000000}"/>
    <hyperlink ref="U53" r:id="rId37" xr:uid="{00000000-0004-0000-0000-000024000000}"/>
    <hyperlink ref="U54" r:id="rId38" xr:uid="{00000000-0004-0000-0000-000025000000}"/>
    <hyperlink ref="U55" r:id="rId39" xr:uid="{00000000-0004-0000-0000-000026000000}"/>
    <hyperlink ref="U56" r:id="rId40" xr:uid="{00000000-0004-0000-0000-000027000000}"/>
    <hyperlink ref="U60" r:id="rId41" xr:uid="{00000000-0004-0000-0000-000028000000}"/>
    <hyperlink ref="U61" r:id="rId42" xr:uid="{00000000-0004-0000-0000-000029000000}"/>
    <hyperlink ref="U62" r:id="rId43" xr:uid="{00000000-0004-0000-0000-00002A000000}"/>
    <hyperlink ref="U63" r:id="rId44" xr:uid="{00000000-0004-0000-0000-00002B000000}"/>
    <hyperlink ref="U64" r:id="rId45" xr:uid="{00000000-0004-0000-0000-00002C000000}"/>
    <hyperlink ref="U65" r:id="rId46" xr:uid="{00000000-0004-0000-0000-00002D000000}"/>
    <hyperlink ref="U66" r:id="rId47" xr:uid="{00000000-0004-0000-0000-00002E000000}"/>
    <hyperlink ref="U67" r:id="rId48" xr:uid="{00000000-0004-0000-0000-00002F000000}"/>
    <hyperlink ref="U68" r:id="rId49" xr:uid="{00000000-0004-0000-0000-000030000000}"/>
    <hyperlink ref="U69" r:id="rId50" xr:uid="{00000000-0004-0000-0000-000031000000}"/>
    <hyperlink ref="U70" r:id="rId51" xr:uid="{00000000-0004-0000-0000-000032000000}"/>
    <hyperlink ref="U71" r:id="rId52" xr:uid="{00000000-0004-0000-0000-000033000000}"/>
    <hyperlink ref="U72" r:id="rId53" xr:uid="{00000000-0004-0000-0000-000034000000}"/>
    <hyperlink ref="U73" r:id="rId54" xr:uid="{00000000-0004-0000-0000-000035000000}"/>
    <hyperlink ref="U74" r:id="rId55" xr:uid="{00000000-0004-0000-0000-000036000000}"/>
    <hyperlink ref="U75" r:id="rId56" xr:uid="{00000000-0004-0000-0000-000037000000}"/>
    <hyperlink ref="U76" r:id="rId57" xr:uid="{00000000-0004-0000-0000-000038000000}"/>
    <hyperlink ref="U77" r:id="rId58" xr:uid="{00000000-0004-0000-0000-000039000000}"/>
    <hyperlink ref="U78" r:id="rId59" xr:uid="{00000000-0004-0000-0000-00003A000000}"/>
    <hyperlink ref="U79" r:id="rId60" xr:uid="{00000000-0004-0000-0000-00003B000000}"/>
    <hyperlink ref="U13" r:id="rId61" xr:uid="{00000000-0004-0000-0000-00003C000000}"/>
    <hyperlink ref="U14" r:id="rId62" xr:uid="{00000000-0004-0000-0000-00003D000000}"/>
  </hyperlinks>
  <pageMargins left="0.7" right="0.7" top="0.75" bottom="0.75" header="0.3" footer="0.3"/>
  <pageSetup paperSize="9" orientation="portrait" horizontalDpi="0" verticalDpi="0" r:id="rId63"/>
  <drawing r:id="rId6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2:S29"/>
  <sheetViews>
    <sheetView topLeftCell="A19" workbookViewId="0">
      <selection activeCell="I30" sqref="I30"/>
    </sheetView>
  </sheetViews>
  <sheetFormatPr baseColWidth="10" defaultRowHeight="15"/>
  <cols>
    <col min="1" max="1" width="11.6640625" bestFit="1" customWidth="1"/>
    <col min="2" max="3" width="13.6640625" bestFit="1" customWidth="1"/>
    <col min="4" max="4" width="11.6640625" bestFit="1" customWidth="1"/>
    <col min="5" max="5" width="17.1640625" customWidth="1"/>
    <col min="6" max="6" width="21" customWidth="1"/>
    <col min="7" max="7" width="12.83203125" bestFit="1" customWidth="1"/>
    <col min="8" max="8" width="28.1640625" customWidth="1"/>
    <col min="9" max="9" width="18.6640625" customWidth="1"/>
    <col min="10" max="10" width="11.6640625" bestFit="1" customWidth="1"/>
    <col min="11" max="11" width="19.6640625" customWidth="1"/>
    <col min="12" max="12" width="21" customWidth="1"/>
    <col min="13" max="13" width="34.1640625" bestFit="1" customWidth="1"/>
    <col min="14" max="14" width="11.6640625" bestFit="1" customWidth="1"/>
    <col min="15" max="15" width="20" bestFit="1" customWidth="1"/>
    <col min="17" max="17" width="11.1640625" bestFit="1" customWidth="1"/>
    <col min="18" max="18" width="11.6640625" bestFit="1" customWidth="1"/>
  </cols>
  <sheetData>
    <row r="2" spans="1:19">
      <c r="A2" s="41"/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</row>
    <row r="3" spans="1:19">
      <c r="A3" s="43"/>
      <c r="B3" s="44"/>
      <c r="C3" s="45" t="s">
        <v>0</v>
      </c>
      <c r="D3" s="46"/>
      <c r="E3" s="47"/>
      <c r="F3" s="48"/>
      <c r="G3" s="49"/>
      <c r="H3" s="50"/>
      <c r="I3" s="50"/>
      <c r="J3" s="50"/>
      <c r="K3" s="50"/>
      <c r="L3" s="50"/>
      <c r="M3" s="51"/>
      <c r="N3" s="50"/>
      <c r="O3" s="43"/>
      <c r="P3" s="50"/>
      <c r="Q3" s="50"/>
      <c r="R3" s="50"/>
      <c r="S3" s="50"/>
    </row>
    <row r="4" spans="1:19">
      <c r="A4" s="43"/>
      <c r="B4" s="44"/>
      <c r="C4" s="52" t="s">
        <v>1</v>
      </c>
      <c r="D4" s="53"/>
      <c r="E4" s="54"/>
      <c r="F4" s="54"/>
      <c r="G4" s="49"/>
      <c r="H4" s="50"/>
      <c r="I4" s="50"/>
      <c r="J4" s="50"/>
      <c r="K4" s="50"/>
      <c r="L4" s="50"/>
      <c r="M4" s="51"/>
      <c r="N4" s="50"/>
      <c r="O4" s="43"/>
      <c r="P4" s="50"/>
      <c r="Q4" s="50"/>
      <c r="R4" s="50"/>
      <c r="S4" s="50"/>
    </row>
    <row r="5" spans="1:19" ht="28.5" customHeight="1">
      <c r="B5" s="55" t="s">
        <v>338</v>
      </c>
      <c r="C5" s="56"/>
      <c r="D5" s="57"/>
      <c r="E5" s="58" t="s">
        <v>24</v>
      </c>
      <c r="F5" s="59"/>
      <c r="G5" s="60"/>
      <c r="H5" s="61"/>
      <c r="I5" s="57"/>
      <c r="J5" s="62"/>
      <c r="K5" s="62"/>
      <c r="L5" s="63"/>
      <c r="M5" s="64" t="s">
        <v>339</v>
      </c>
      <c r="O5" s="65"/>
    </row>
    <row r="6" spans="1:19">
      <c r="B6" s="66" t="s">
        <v>25</v>
      </c>
      <c r="C6" s="67"/>
      <c r="D6" s="68"/>
      <c r="E6" s="68"/>
      <c r="F6" s="68"/>
      <c r="G6" s="68"/>
      <c r="H6" s="68"/>
      <c r="I6" s="68"/>
      <c r="J6" s="68"/>
      <c r="K6" s="68"/>
      <c r="L6" s="68"/>
      <c r="M6" s="69"/>
      <c r="O6" s="65"/>
    </row>
    <row r="7" spans="1:19">
      <c r="B7" s="70" t="s">
        <v>642</v>
      </c>
      <c r="C7" s="71"/>
      <c r="D7" s="71"/>
      <c r="E7" s="71"/>
      <c r="F7" s="71"/>
      <c r="G7" s="71"/>
      <c r="H7" s="71"/>
      <c r="I7" s="71"/>
      <c r="J7" s="71"/>
      <c r="K7" s="71"/>
      <c r="L7" s="71"/>
      <c r="M7" s="72"/>
      <c r="O7" s="65"/>
    </row>
    <row r="8" spans="1:19" s="40" customFormat="1" ht="34">
      <c r="A8"/>
      <c r="B8" s="173" t="s">
        <v>26</v>
      </c>
      <c r="C8" s="173" t="s">
        <v>27</v>
      </c>
      <c r="D8" s="173" t="s">
        <v>28</v>
      </c>
      <c r="E8" s="173" t="s">
        <v>29</v>
      </c>
      <c r="F8" s="173" t="s">
        <v>30</v>
      </c>
      <c r="G8" s="173" t="s">
        <v>31</v>
      </c>
      <c r="H8" s="173" t="s">
        <v>32</v>
      </c>
      <c r="I8" s="173" t="s">
        <v>33</v>
      </c>
      <c r="J8" s="173" t="s">
        <v>34</v>
      </c>
      <c r="K8" s="173" t="s">
        <v>35</v>
      </c>
      <c r="L8" s="173" t="s">
        <v>36</v>
      </c>
      <c r="M8" s="173" t="s">
        <v>37</v>
      </c>
      <c r="N8" s="173" t="s">
        <v>38</v>
      </c>
      <c r="O8" s="173" t="s">
        <v>39</v>
      </c>
      <c r="P8" s="173" t="s">
        <v>40</v>
      </c>
      <c r="Q8" s="173" t="s">
        <v>41</v>
      </c>
      <c r="R8" s="174" t="s">
        <v>18</v>
      </c>
      <c r="S8" s="175" t="s">
        <v>19</v>
      </c>
    </row>
    <row r="9" spans="1:19" s="228" customFormat="1" ht="56.25" customHeight="1">
      <c r="A9" s="217">
        <v>1</v>
      </c>
      <c r="B9" s="235">
        <v>45028</v>
      </c>
      <c r="C9" s="236">
        <v>45349</v>
      </c>
      <c r="D9" s="237">
        <v>0</v>
      </c>
      <c r="E9" s="237" t="s">
        <v>331</v>
      </c>
      <c r="F9" s="76" t="s">
        <v>335</v>
      </c>
      <c r="G9" s="238">
        <v>114270008</v>
      </c>
      <c r="H9" s="239" t="s">
        <v>332</v>
      </c>
      <c r="I9" s="240" t="s">
        <v>333</v>
      </c>
      <c r="J9" s="241" t="s">
        <v>42</v>
      </c>
      <c r="K9" s="238" t="s">
        <v>302</v>
      </c>
      <c r="L9" s="238" t="s">
        <v>334</v>
      </c>
      <c r="M9" s="76"/>
      <c r="N9" s="242">
        <v>18.75</v>
      </c>
      <c r="O9" s="243">
        <v>101351732</v>
      </c>
      <c r="P9" s="244" t="s">
        <v>336</v>
      </c>
      <c r="Q9" s="253"/>
      <c r="R9" s="251"/>
      <c r="S9" s="251" t="s">
        <v>337</v>
      </c>
    </row>
    <row r="10" spans="1:19" s="228" customFormat="1" ht="56.25" customHeight="1">
      <c r="A10" s="217">
        <v>2</v>
      </c>
      <c r="B10" s="235">
        <v>45104</v>
      </c>
      <c r="C10" s="236">
        <v>45349</v>
      </c>
      <c r="D10" s="237">
        <v>1</v>
      </c>
      <c r="E10" s="237">
        <v>60803126</v>
      </c>
      <c r="F10" s="245" t="s">
        <v>343</v>
      </c>
      <c r="G10" s="238">
        <v>10210071</v>
      </c>
      <c r="H10" s="239" t="s">
        <v>344</v>
      </c>
      <c r="I10" s="240" t="s">
        <v>345</v>
      </c>
      <c r="J10" s="241" t="s">
        <v>42</v>
      </c>
      <c r="K10" s="238" t="s">
        <v>302</v>
      </c>
      <c r="L10" s="238" t="s">
        <v>346</v>
      </c>
      <c r="M10" s="76"/>
      <c r="N10" s="242">
        <v>12.5</v>
      </c>
      <c r="O10" s="243">
        <v>104898473</v>
      </c>
      <c r="P10" s="244" t="s">
        <v>347</v>
      </c>
      <c r="Q10" s="251">
        <v>987703259</v>
      </c>
      <c r="R10" s="251"/>
      <c r="S10" s="251" t="s">
        <v>348</v>
      </c>
    </row>
    <row r="11" spans="1:19" s="228" customFormat="1" ht="56.25" customHeight="1">
      <c r="A11" s="217">
        <v>3</v>
      </c>
      <c r="B11" s="235">
        <v>44951</v>
      </c>
      <c r="C11" s="236">
        <v>45349</v>
      </c>
      <c r="D11" s="237">
        <v>1</v>
      </c>
      <c r="E11" s="237">
        <v>60803269</v>
      </c>
      <c r="F11" s="245" t="s">
        <v>349</v>
      </c>
      <c r="G11" s="238">
        <v>112510035</v>
      </c>
      <c r="H11" s="239" t="s">
        <v>350</v>
      </c>
      <c r="I11" s="240" t="s">
        <v>351</v>
      </c>
      <c r="J11" s="241" t="s">
        <v>42</v>
      </c>
      <c r="K11" s="238" t="s">
        <v>302</v>
      </c>
      <c r="L11" s="238" t="s">
        <v>352</v>
      </c>
      <c r="M11" s="76"/>
      <c r="N11" s="242">
        <v>12.5</v>
      </c>
      <c r="O11" s="243">
        <v>102394897</v>
      </c>
      <c r="P11" s="244" t="s">
        <v>353</v>
      </c>
      <c r="Q11" s="251">
        <v>991022543</v>
      </c>
      <c r="R11" s="251"/>
      <c r="S11" s="251" t="s">
        <v>674</v>
      </c>
    </row>
    <row r="12" spans="1:19" s="228" customFormat="1" ht="56.25" customHeight="1">
      <c r="A12" s="217">
        <v>4</v>
      </c>
      <c r="B12" s="235">
        <v>44660</v>
      </c>
      <c r="C12" s="236">
        <v>45349</v>
      </c>
      <c r="D12" s="237">
        <v>0</v>
      </c>
      <c r="E12" s="237" t="s">
        <v>354</v>
      </c>
      <c r="F12" s="245" t="s">
        <v>355</v>
      </c>
      <c r="G12" s="238">
        <v>40197255</v>
      </c>
      <c r="H12" s="239" t="s">
        <v>356</v>
      </c>
      <c r="I12" s="240" t="s">
        <v>685</v>
      </c>
      <c r="J12" s="241" t="s">
        <v>42</v>
      </c>
      <c r="K12" s="238" t="s">
        <v>302</v>
      </c>
      <c r="L12" s="238" t="s">
        <v>357</v>
      </c>
      <c r="M12" s="76"/>
      <c r="N12" s="242">
        <v>12.5</v>
      </c>
      <c r="O12" s="243">
        <v>103646576</v>
      </c>
      <c r="P12" s="244" t="s">
        <v>358</v>
      </c>
      <c r="Q12" s="251">
        <v>2838162</v>
      </c>
      <c r="R12" s="251"/>
      <c r="S12" s="251" t="s">
        <v>359</v>
      </c>
    </row>
    <row r="13" spans="1:19" s="228" customFormat="1" ht="56.25" customHeight="1">
      <c r="A13" s="217">
        <v>5</v>
      </c>
      <c r="B13" s="235">
        <v>44263</v>
      </c>
      <c r="C13" s="236">
        <v>45349</v>
      </c>
      <c r="D13" s="237">
        <v>0</v>
      </c>
      <c r="E13" s="237" t="s">
        <v>360</v>
      </c>
      <c r="F13" s="245" t="s">
        <v>361</v>
      </c>
      <c r="G13" s="238">
        <v>40218050</v>
      </c>
      <c r="H13" s="239" t="s">
        <v>362</v>
      </c>
      <c r="I13" s="240" t="s">
        <v>363</v>
      </c>
      <c r="J13" s="241" t="s">
        <v>42</v>
      </c>
      <c r="K13" s="238" t="s">
        <v>302</v>
      </c>
      <c r="L13" s="238" t="s">
        <v>364</v>
      </c>
      <c r="M13" s="76"/>
      <c r="N13" s="242">
        <v>12.5</v>
      </c>
      <c r="O13" s="243">
        <v>102298957</v>
      </c>
      <c r="P13" s="244" t="s">
        <v>365</v>
      </c>
      <c r="Q13" s="251">
        <v>999855663</v>
      </c>
      <c r="R13" s="251"/>
      <c r="S13" s="251" t="s">
        <v>675</v>
      </c>
    </row>
    <row r="14" spans="1:19" s="228" customFormat="1" ht="56.25" customHeight="1">
      <c r="A14" s="217">
        <v>6</v>
      </c>
      <c r="B14" s="218">
        <v>45087</v>
      </c>
      <c r="C14" s="219">
        <v>45351</v>
      </c>
      <c r="D14" s="220">
        <v>0</v>
      </c>
      <c r="E14" s="220" t="s">
        <v>366</v>
      </c>
      <c r="F14" s="216" t="s">
        <v>367</v>
      </c>
      <c r="G14" s="221">
        <v>112580027</v>
      </c>
      <c r="H14" s="222" t="s">
        <v>368</v>
      </c>
      <c r="I14" s="223" t="s">
        <v>369</v>
      </c>
      <c r="J14" s="224" t="s">
        <v>42</v>
      </c>
      <c r="K14" s="221" t="s">
        <v>302</v>
      </c>
      <c r="L14" s="221" t="s">
        <v>370</v>
      </c>
      <c r="M14" s="77"/>
      <c r="N14" s="225">
        <v>12.5</v>
      </c>
      <c r="O14" s="226">
        <v>104171624</v>
      </c>
      <c r="P14" s="227" t="s">
        <v>371</v>
      </c>
      <c r="Q14" s="251">
        <v>987150817</v>
      </c>
      <c r="R14" s="251"/>
      <c r="S14" s="251" t="s">
        <v>676</v>
      </c>
    </row>
    <row r="15" spans="1:19" s="228" customFormat="1" ht="56.25" customHeight="1">
      <c r="A15" s="217">
        <v>7</v>
      </c>
      <c r="B15" s="218">
        <v>45352</v>
      </c>
      <c r="C15" s="219">
        <v>45352</v>
      </c>
      <c r="D15" s="220">
        <v>0</v>
      </c>
      <c r="E15" s="220" t="s">
        <v>372</v>
      </c>
      <c r="F15" s="216" t="s">
        <v>373</v>
      </c>
      <c r="G15" s="221">
        <v>112570128</v>
      </c>
      <c r="H15" s="222" t="s">
        <v>200</v>
      </c>
      <c r="I15" s="223" t="s">
        <v>374</v>
      </c>
      <c r="J15" s="224" t="s">
        <v>42</v>
      </c>
      <c r="K15" s="221" t="s">
        <v>302</v>
      </c>
      <c r="L15" s="221" t="s">
        <v>375</v>
      </c>
      <c r="M15" s="77"/>
      <c r="N15" s="225">
        <v>12.5</v>
      </c>
      <c r="O15" s="226">
        <v>104864954</v>
      </c>
      <c r="P15" s="227" t="s">
        <v>376</v>
      </c>
      <c r="Q15" s="251">
        <v>999604260</v>
      </c>
      <c r="R15" s="251"/>
      <c r="S15" s="251"/>
    </row>
    <row r="16" spans="1:19" s="228" customFormat="1" ht="56.25" customHeight="1">
      <c r="A16" s="217">
        <v>8</v>
      </c>
      <c r="B16" s="218">
        <v>45360</v>
      </c>
      <c r="C16" s="219">
        <v>45360</v>
      </c>
      <c r="D16" s="220">
        <v>0</v>
      </c>
      <c r="E16" s="220" t="s">
        <v>372</v>
      </c>
      <c r="F16" s="216" t="s">
        <v>373</v>
      </c>
      <c r="G16" s="221">
        <v>112930048</v>
      </c>
      <c r="H16" s="222" t="s">
        <v>377</v>
      </c>
      <c r="I16" s="223" t="s">
        <v>378</v>
      </c>
      <c r="J16" s="224" t="s">
        <v>42</v>
      </c>
      <c r="K16" s="221" t="s">
        <v>302</v>
      </c>
      <c r="L16" s="221" t="s">
        <v>379</v>
      </c>
      <c r="M16" s="77"/>
      <c r="N16" s="225">
        <v>12.5</v>
      </c>
      <c r="O16" s="226">
        <v>103946794</v>
      </c>
      <c r="P16" s="227" t="s">
        <v>380</v>
      </c>
      <c r="Q16" s="251">
        <v>987300883</v>
      </c>
      <c r="R16" s="251"/>
      <c r="S16" s="251"/>
    </row>
    <row r="17" spans="1:19" s="228" customFormat="1" ht="56.25" customHeight="1">
      <c r="A17" s="217">
        <v>9</v>
      </c>
      <c r="B17" s="218">
        <v>45330</v>
      </c>
      <c r="C17" s="219">
        <v>45363</v>
      </c>
      <c r="D17" s="220">
        <v>0</v>
      </c>
      <c r="E17" s="220" t="s">
        <v>381</v>
      </c>
      <c r="F17" s="216" t="s">
        <v>382</v>
      </c>
      <c r="G17" s="221">
        <v>111570002</v>
      </c>
      <c r="H17" s="222" t="s">
        <v>383</v>
      </c>
      <c r="I17" s="223" t="s">
        <v>384</v>
      </c>
      <c r="J17" s="224" t="s">
        <v>42</v>
      </c>
      <c r="K17" s="221" t="s">
        <v>302</v>
      </c>
      <c r="L17" s="221" t="s">
        <v>385</v>
      </c>
      <c r="M17" s="77"/>
      <c r="N17" s="225">
        <v>12.5</v>
      </c>
      <c r="O17" s="226">
        <v>102147345</v>
      </c>
      <c r="P17" s="227" t="s">
        <v>386</v>
      </c>
      <c r="Q17" s="251">
        <v>991590189</v>
      </c>
      <c r="R17" s="251"/>
      <c r="S17" s="251" t="s">
        <v>677</v>
      </c>
    </row>
    <row r="18" spans="1:19" s="228" customFormat="1" ht="56.25" customHeight="1">
      <c r="A18" s="217">
        <v>10</v>
      </c>
      <c r="B18" s="229">
        <v>45354</v>
      </c>
      <c r="C18" s="219">
        <v>45368</v>
      </c>
      <c r="D18" s="220">
        <v>0</v>
      </c>
      <c r="E18" s="220"/>
      <c r="F18" s="216" t="s">
        <v>639</v>
      </c>
      <c r="G18" s="27">
        <v>113430016</v>
      </c>
      <c r="H18" s="230" t="s">
        <v>255</v>
      </c>
      <c r="I18" s="30" t="s">
        <v>257</v>
      </c>
      <c r="J18" s="224" t="s">
        <v>42</v>
      </c>
      <c r="K18" s="221" t="s">
        <v>302</v>
      </c>
      <c r="L18" s="231" t="s">
        <v>258</v>
      </c>
      <c r="M18" s="77"/>
      <c r="N18" s="225">
        <v>18.75</v>
      </c>
      <c r="O18" s="232">
        <v>104955984</v>
      </c>
      <c r="P18" s="233" t="s">
        <v>260</v>
      </c>
      <c r="Q18" s="252">
        <v>983366695</v>
      </c>
      <c r="R18" s="251"/>
      <c r="S18" s="251" t="s">
        <v>636</v>
      </c>
    </row>
    <row r="19" spans="1:19" s="228" customFormat="1" ht="56.25" customHeight="1">
      <c r="A19" s="217">
        <v>11</v>
      </c>
      <c r="B19" s="218">
        <v>45339</v>
      </c>
      <c r="C19" s="219">
        <v>45369</v>
      </c>
      <c r="D19" s="220">
        <v>0</v>
      </c>
      <c r="E19" s="220" t="s">
        <v>637</v>
      </c>
      <c r="F19" s="216" t="s">
        <v>638</v>
      </c>
      <c r="G19" s="221">
        <v>112520025</v>
      </c>
      <c r="H19" s="222" t="s">
        <v>414</v>
      </c>
      <c r="I19" s="223" t="s">
        <v>415</v>
      </c>
      <c r="J19" s="224" t="s">
        <v>42</v>
      </c>
      <c r="K19" s="221" t="s">
        <v>302</v>
      </c>
      <c r="L19" s="221" t="s">
        <v>417</v>
      </c>
      <c r="M19" s="77"/>
      <c r="N19" s="225">
        <v>12.5</v>
      </c>
      <c r="O19" s="226">
        <v>105223622</v>
      </c>
      <c r="P19" s="227" t="s">
        <v>419</v>
      </c>
      <c r="Q19" s="251">
        <v>95974501</v>
      </c>
      <c r="R19" s="251"/>
      <c r="S19" s="251" t="s">
        <v>412</v>
      </c>
    </row>
    <row r="20" spans="1:19" s="228" customFormat="1" ht="39.75" customHeight="1">
      <c r="A20" s="234">
        <v>12</v>
      </c>
      <c r="B20" s="215">
        <v>45323</v>
      </c>
      <c r="C20" s="219">
        <v>45369</v>
      </c>
      <c r="D20" s="220">
        <v>0</v>
      </c>
      <c r="E20" s="220"/>
      <c r="F20" s="216" t="s">
        <v>640</v>
      </c>
      <c r="G20" s="212" t="s">
        <v>393</v>
      </c>
      <c r="H20" s="211" t="s">
        <v>215</v>
      </c>
      <c r="I20" s="211" t="s">
        <v>427</v>
      </c>
      <c r="J20" s="224" t="s">
        <v>42</v>
      </c>
      <c r="K20" s="221" t="s">
        <v>302</v>
      </c>
      <c r="L20" s="221" t="s">
        <v>671</v>
      </c>
      <c r="M20" s="77"/>
      <c r="N20" s="225">
        <v>18.75</v>
      </c>
      <c r="O20" s="213">
        <v>102090701</v>
      </c>
      <c r="P20" s="214" t="s">
        <v>429</v>
      </c>
      <c r="Q20" s="251">
        <v>998803827</v>
      </c>
      <c r="R20" s="251"/>
      <c r="S20" s="251" t="s">
        <v>678</v>
      </c>
    </row>
    <row r="21" spans="1:19" s="228" customFormat="1" ht="17">
      <c r="A21" s="234"/>
      <c r="B21" s="246"/>
      <c r="J21" s="247"/>
      <c r="K21" s="248"/>
      <c r="L21" s="248"/>
      <c r="M21" s="249"/>
    </row>
    <row r="22" spans="1:19" s="228" customFormat="1" ht="17">
      <c r="A22" s="234"/>
      <c r="B22" s="246"/>
      <c r="J22" s="247"/>
      <c r="K22" s="248"/>
      <c r="L22" s="248"/>
      <c r="M22" s="249"/>
    </row>
    <row r="23" spans="1:19" s="228" customFormat="1" ht="17">
      <c r="A23" s="234"/>
      <c r="B23" s="246"/>
      <c r="J23" s="247"/>
      <c r="K23" s="248"/>
      <c r="L23" s="248"/>
      <c r="M23" s="249"/>
    </row>
    <row r="24" spans="1:19" s="228" customFormat="1" ht="17">
      <c r="A24" s="234"/>
      <c r="B24" s="246"/>
      <c r="F24" s="250">
        <v>3</v>
      </c>
      <c r="G24" s="228" t="s">
        <v>641</v>
      </c>
      <c r="H24" s="228">
        <v>18.75</v>
      </c>
      <c r="I24" s="228">
        <f>F24*H24</f>
        <v>56.25</v>
      </c>
      <c r="J24" s="247"/>
      <c r="K24" s="248"/>
      <c r="L24" s="248"/>
      <c r="M24" s="249"/>
    </row>
    <row r="25" spans="1:19" s="75" customFormat="1" ht="17">
      <c r="A25" s="78"/>
      <c r="B25" s="79"/>
      <c r="F25" s="81">
        <v>8</v>
      </c>
      <c r="G25" s="82" t="s">
        <v>387</v>
      </c>
      <c r="H25" s="83">
        <v>12.5</v>
      </c>
      <c r="I25" s="75">
        <f>F25*H25</f>
        <v>100</v>
      </c>
      <c r="J25" s="83"/>
      <c r="K25" s="82"/>
      <c r="L25" s="82"/>
      <c r="M25" s="80"/>
    </row>
    <row r="26" spans="1:19" s="75" customFormat="1" ht="17">
      <c r="A26" s="78"/>
      <c r="B26" s="79"/>
      <c r="F26" s="81">
        <v>1</v>
      </c>
      <c r="G26" s="82" t="s">
        <v>46</v>
      </c>
      <c r="H26" s="83">
        <v>12.5</v>
      </c>
      <c r="I26" s="83">
        <v>12.5</v>
      </c>
      <c r="J26" s="82"/>
      <c r="K26" s="82"/>
      <c r="L26" s="82"/>
      <c r="M26" s="80"/>
    </row>
    <row r="27" spans="1:19" ht="17">
      <c r="F27" s="81"/>
      <c r="G27" s="82"/>
      <c r="H27" s="82"/>
      <c r="I27" s="83"/>
    </row>
    <row r="28" spans="1:19" ht="17">
      <c r="F28" s="81"/>
      <c r="G28" s="82"/>
      <c r="H28" s="82"/>
      <c r="I28" s="83">
        <f>SUM(I24:I27)</f>
        <v>168.75</v>
      </c>
    </row>
    <row r="29" spans="1:19" ht="17">
      <c r="F29" s="84">
        <v>12</v>
      </c>
      <c r="G29" s="82" t="s">
        <v>43</v>
      </c>
      <c r="H29" s="82"/>
      <c r="I29" s="82"/>
    </row>
  </sheetData>
  <hyperlinks>
    <hyperlink ref="P14" r:id="rId1" xr:uid="{00000000-0004-0000-0100-000000000000}"/>
    <hyperlink ref="P11" r:id="rId2" xr:uid="{00000000-0004-0000-0100-000001000000}"/>
    <hyperlink ref="P10" r:id="rId3" xr:uid="{00000000-0004-0000-0100-000002000000}"/>
    <hyperlink ref="P9" r:id="rId4" xr:uid="{00000000-0004-0000-0100-000003000000}"/>
    <hyperlink ref="P12" r:id="rId5" xr:uid="{00000000-0004-0000-0100-000004000000}"/>
    <hyperlink ref="P13" r:id="rId6" xr:uid="{00000000-0004-0000-0100-000005000000}"/>
    <hyperlink ref="P15" r:id="rId7" xr:uid="{00000000-0004-0000-0100-000006000000}"/>
    <hyperlink ref="P16" r:id="rId8" xr:uid="{00000000-0004-0000-0100-000007000000}"/>
    <hyperlink ref="P17" r:id="rId9" xr:uid="{00000000-0004-0000-0100-000008000000}"/>
    <hyperlink ref="P19" r:id="rId10" xr:uid="{00000000-0004-0000-0100-000009000000}"/>
    <hyperlink ref="P18" r:id="rId11" xr:uid="{00000000-0004-0000-0100-00000A000000}"/>
    <hyperlink ref="P20" r:id="rId12" xr:uid="{00000000-0004-0000-0100-00000B000000}"/>
  </hyperlinks>
  <pageMargins left="0.7" right="0.7" top="0.75" bottom="0.75" header="0.3" footer="0.3"/>
  <pageSetup paperSize="9" orientation="portrait" horizontalDpi="0" verticalDpi="0" r:id="rId13"/>
  <drawing r:id="rId14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3:U18"/>
  <sheetViews>
    <sheetView workbookViewId="0">
      <selection activeCell="D24" sqref="D24"/>
    </sheetView>
  </sheetViews>
  <sheetFormatPr baseColWidth="10" defaultRowHeight="15"/>
  <cols>
    <col min="2" max="2" width="11.33203125" bestFit="1" customWidth="1"/>
    <col min="5" max="5" width="16.6640625" customWidth="1"/>
    <col min="11" max="11" width="11.33203125" bestFit="1" customWidth="1"/>
    <col min="14" max="14" width="11.1640625" bestFit="1" customWidth="1"/>
    <col min="16" max="16" width="13.33203125" bestFit="1" customWidth="1"/>
    <col min="20" max="20" width="13.83203125" bestFit="1" customWidth="1"/>
  </cols>
  <sheetData>
    <row r="3" spans="1:21">
      <c r="A3" s="85"/>
      <c r="B3" s="86"/>
      <c r="C3" s="87" t="s">
        <v>44</v>
      </c>
      <c r="D3" s="86"/>
      <c r="E3" s="88"/>
      <c r="F3" s="86"/>
      <c r="G3" s="89"/>
      <c r="H3" s="86"/>
      <c r="I3" s="86"/>
      <c r="J3" s="86"/>
      <c r="K3" s="90"/>
      <c r="L3" s="90"/>
      <c r="M3" s="86"/>
      <c r="N3" s="86"/>
      <c r="O3" s="91"/>
      <c r="P3" s="86"/>
      <c r="Q3" s="86"/>
      <c r="R3" s="86"/>
      <c r="S3" s="86"/>
      <c r="T3" s="86"/>
      <c r="U3" s="92"/>
    </row>
    <row r="4" spans="1:21">
      <c r="A4" s="85"/>
      <c r="B4" s="86"/>
      <c r="C4" s="93" t="s">
        <v>45</v>
      </c>
      <c r="D4" s="86"/>
      <c r="E4" s="86"/>
      <c r="F4" s="86"/>
      <c r="G4" s="89"/>
      <c r="H4" s="86"/>
      <c r="I4" s="86" t="s">
        <v>46</v>
      </c>
      <c r="J4" s="86"/>
      <c r="K4" s="90"/>
      <c r="L4" s="90"/>
      <c r="M4" s="182" t="s">
        <v>341</v>
      </c>
      <c r="N4" s="86"/>
      <c r="O4" s="91"/>
      <c r="P4" s="86"/>
      <c r="Q4" s="94"/>
      <c r="R4" s="86"/>
      <c r="S4" s="86"/>
      <c r="T4" s="95"/>
      <c r="U4" s="96">
        <v>45292</v>
      </c>
    </row>
    <row r="5" spans="1:21" ht="37">
      <c r="A5" s="92"/>
      <c r="B5" s="97" t="s">
        <v>2</v>
      </c>
      <c r="C5" s="97" t="s">
        <v>3</v>
      </c>
      <c r="D5" s="97" t="s">
        <v>4</v>
      </c>
      <c r="E5" s="97" t="s">
        <v>5</v>
      </c>
      <c r="F5" s="97" t="s">
        <v>6</v>
      </c>
      <c r="G5" s="97" t="s">
        <v>7</v>
      </c>
      <c r="H5" s="97" t="s">
        <v>8</v>
      </c>
      <c r="I5" s="97" t="s">
        <v>9</v>
      </c>
      <c r="J5" s="97" t="s">
        <v>10</v>
      </c>
      <c r="K5" s="98" t="s">
        <v>47</v>
      </c>
      <c r="L5" s="98" t="s">
        <v>12</v>
      </c>
      <c r="M5" s="98" t="s">
        <v>13</v>
      </c>
      <c r="N5" s="98" t="s">
        <v>14</v>
      </c>
      <c r="O5" s="99" t="s">
        <v>15</v>
      </c>
      <c r="P5" s="98" t="s">
        <v>48</v>
      </c>
      <c r="Q5" s="98" t="s">
        <v>49</v>
      </c>
      <c r="R5" s="100" t="s">
        <v>50</v>
      </c>
      <c r="S5" s="100" t="s">
        <v>19</v>
      </c>
      <c r="T5" s="101" t="s">
        <v>20</v>
      </c>
      <c r="U5" s="102" t="s">
        <v>51</v>
      </c>
    </row>
    <row r="6" spans="1:21" s="39" customFormat="1" ht="23.25" customHeight="1">
      <c r="A6" s="103">
        <v>1</v>
      </c>
      <c r="B6" s="122">
        <v>45341</v>
      </c>
      <c r="C6" s="123" t="s">
        <v>52</v>
      </c>
      <c r="D6" s="124" t="s">
        <v>305</v>
      </c>
      <c r="E6" s="124">
        <v>111570002</v>
      </c>
      <c r="F6" s="125" t="s">
        <v>54</v>
      </c>
      <c r="G6" s="124" t="s">
        <v>306</v>
      </c>
      <c r="H6" s="126">
        <v>413979</v>
      </c>
      <c r="I6" s="127" t="s">
        <v>90</v>
      </c>
      <c r="J6" s="127" t="s">
        <v>91</v>
      </c>
      <c r="K6" s="127">
        <v>45344</v>
      </c>
      <c r="L6" s="123" t="s">
        <v>307</v>
      </c>
      <c r="M6" s="123" t="s">
        <v>308</v>
      </c>
      <c r="N6" s="123">
        <v>989528005</v>
      </c>
      <c r="O6" s="128">
        <v>29</v>
      </c>
      <c r="P6" s="123" t="s">
        <v>56</v>
      </c>
      <c r="Q6" s="123" t="s">
        <v>90</v>
      </c>
      <c r="R6" s="129">
        <v>0</v>
      </c>
      <c r="S6" s="129">
        <v>0</v>
      </c>
      <c r="T6" s="130">
        <v>104305081</v>
      </c>
      <c r="U6" s="180" t="s">
        <v>309</v>
      </c>
    </row>
    <row r="7" spans="1:21" s="39" customFormat="1" ht="18" customHeight="1">
      <c r="A7" s="103">
        <v>2</v>
      </c>
      <c r="B7" s="107">
        <v>45344</v>
      </c>
      <c r="C7" s="108" t="s">
        <v>310</v>
      </c>
      <c r="D7" s="109" t="s">
        <v>53</v>
      </c>
      <c r="E7" s="110">
        <v>111570003</v>
      </c>
      <c r="F7" s="111" t="s">
        <v>311</v>
      </c>
      <c r="G7" s="109" t="s">
        <v>312</v>
      </c>
      <c r="H7" s="112" t="s">
        <v>42</v>
      </c>
      <c r="I7" s="113" t="s">
        <v>90</v>
      </c>
      <c r="J7" s="114" t="s">
        <v>91</v>
      </c>
      <c r="K7" s="115">
        <v>45344</v>
      </c>
      <c r="L7" s="116" t="s">
        <v>310</v>
      </c>
      <c r="M7" s="117" t="s">
        <v>313</v>
      </c>
      <c r="N7" s="116" t="s">
        <v>55</v>
      </c>
      <c r="O7" s="118">
        <v>29</v>
      </c>
      <c r="P7" s="116" t="s">
        <v>56</v>
      </c>
      <c r="Q7" s="116" t="s">
        <v>90</v>
      </c>
      <c r="R7" s="119">
        <v>0</v>
      </c>
      <c r="S7" s="119">
        <v>0</v>
      </c>
      <c r="T7" s="120">
        <v>941053985</v>
      </c>
      <c r="U7" s="121"/>
    </row>
    <row r="8" spans="1:21" s="39" customFormat="1" ht="18">
      <c r="A8" s="103">
        <v>3</v>
      </c>
      <c r="B8" s="122">
        <v>45342</v>
      </c>
      <c r="C8" s="123" t="s">
        <v>52</v>
      </c>
      <c r="D8" s="124" t="s">
        <v>314</v>
      </c>
      <c r="E8" s="124">
        <v>111570002</v>
      </c>
      <c r="F8" s="125" t="s">
        <v>54</v>
      </c>
      <c r="G8" s="124" t="s">
        <v>315</v>
      </c>
      <c r="H8" s="126">
        <v>413960</v>
      </c>
      <c r="I8" s="127" t="s">
        <v>90</v>
      </c>
      <c r="J8" s="127" t="s">
        <v>91</v>
      </c>
      <c r="K8" s="127">
        <v>45348</v>
      </c>
      <c r="L8" s="123" t="s">
        <v>316</v>
      </c>
      <c r="M8" s="123" t="s">
        <v>317</v>
      </c>
      <c r="N8" s="123">
        <v>988537322</v>
      </c>
      <c r="O8" s="128">
        <v>29</v>
      </c>
      <c r="P8" s="123" t="s">
        <v>56</v>
      </c>
      <c r="Q8" s="123" t="s">
        <v>90</v>
      </c>
      <c r="R8" s="129">
        <v>0</v>
      </c>
      <c r="S8" s="129">
        <v>0</v>
      </c>
      <c r="T8" s="130">
        <v>190446859001</v>
      </c>
      <c r="U8" s="180"/>
    </row>
    <row r="9" spans="1:21" s="39" customFormat="1" ht="18">
      <c r="A9" s="103">
        <v>4</v>
      </c>
      <c r="B9" s="107">
        <v>45345</v>
      </c>
      <c r="C9" s="108" t="s">
        <v>135</v>
      </c>
      <c r="D9" s="109" t="s">
        <v>318</v>
      </c>
      <c r="E9" s="110">
        <v>111570003</v>
      </c>
      <c r="F9" s="111" t="s">
        <v>311</v>
      </c>
      <c r="G9" s="109" t="s">
        <v>319</v>
      </c>
      <c r="H9" s="112">
        <v>412183</v>
      </c>
      <c r="I9" s="113" t="s">
        <v>90</v>
      </c>
      <c r="J9" s="114" t="s">
        <v>91</v>
      </c>
      <c r="K9" s="115">
        <v>45350</v>
      </c>
      <c r="L9" s="116" t="s">
        <v>320</v>
      </c>
      <c r="M9" s="117" t="s">
        <v>113</v>
      </c>
      <c r="N9" s="116">
        <v>983186422</v>
      </c>
      <c r="O9" s="118">
        <v>29</v>
      </c>
      <c r="P9" s="116" t="s">
        <v>56</v>
      </c>
      <c r="Q9" s="116" t="s">
        <v>90</v>
      </c>
      <c r="R9" s="119">
        <v>0</v>
      </c>
      <c r="S9" s="119">
        <v>0</v>
      </c>
      <c r="T9" s="120">
        <v>104822705</v>
      </c>
      <c r="U9" s="181" t="s">
        <v>321</v>
      </c>
    </row>
    <row r="10" spans="1:21" s="39" customFormat="1" ht="18">
      <c r="A10" s="103">
        <v>5</v>
      </c>
      <c r="B10" s="122">
        <v>45330</v>
      </c>
      <c r="C10" s="123" t="s">
        <v>183</v>
      </c>
      <c r="D10" s="124" t="s">
        <v>322</v>
      </c>
      <c r="E10" s="124">
        <v>111570002</v>
      </c>
      <c r="F10" s="125" t="s">
        <v>54</v>
      </c>
      <c r="G10" s="124" t="s">
        <v>323</v>
      </c>
      <c r="H10" s="126">
        <v>413520</v>
      </c>
      <c r="I10" s="127" t="s">
        <v>90</v>
      </c>
      <c r="J10" s="127" t="s">
        <v>91</v>
      </c>
      <c r="K10" s="127">
        <v>45358</v>
      </c>
      <c r="L10" s="123" t="s">
        <v>324</v>
      </c>
      <c r="M10" s="123" t="s">
        <v>325</v>
      </c>
      <c r="N10" s="123">
        <v>995798341</v>
      </c>
      <c r="O10" s="128">
        <v>29</v>
      </c>
      <c r="P10" s="123" t="s">
        <v>56</v>
      </c>
      <c r="Q10" s="123" t="s">
        <v>90</v>
      </c>
      <c r="R10" s="129">
        <v>0</v>
      </c>
      <c r="S10" s="129">
        <v>0</v>
      </c>
      <c r="T10" s="130">
        <v>1706853965</v>
      </c>
      <c r="U10" s="180" t="s">
        <v>326</v>
      </c>
    </row>
    <row r="11" spans="1:21" s="39" customFormat="1" ht="18">
      <c r="A11" s="103">
        <v>6</v>
      </c>
      <c r="B11" s="107">
        <v>45366</v>
      </c>
      <c r="C11" s="123" t="s">
        <v>52</v>
      </c>
      <c r="D11" s="109" t="s">
        <v>53</v>
      </c>
      <c r="E11" s="110">
        <v>111570002</v>
      </c>
      <c r="F11" s="111" t="s">
        <v>54</v>
      </c>
      <c r="G11" s="109" t="s">
        <v>327</v>
      </c>
      <c r="H11" s="112">
        <v>413968</v>
      </c>
      <c r="I11" s="113" t="s">
        <v>90</v>
      </c>
      <c r="J11" s="114" t="s">
        <v>91</v>
      </c>
      <c r="K11" s="115">
        <v>45366</v>
      </c>
      <c r="L11" s="116" t="s">
        <v>328</v>
      </c>
      <c r="M11" s="117" t="s">
        <v>329</v>
      </c>
      <c r="N11" s="116">
        <v>983839762</v>
      </c>
      <c r="O11" s="118">
        <v>29</v>
      </c>
      <c r="P11" s="116" t="s">
        <v>56</v>
      </c>
      <c r="Q11" s="116" t="s">
        <v>90</v>
      </c>
      <c r="R11" s="119">
        <v>0</v>
      </c>
      <c r="S11" s="119">
        <v>0</v>
      </c>
      <c r="T11" s="120">
        <v>105145536</v>
      </c>
      <c r="U11" s="181" t="s">
        <v>330</v>
      </c>
    </row>
    <row r="12" spans="1:21" s="39" customFormat="1" ht="18">
      <c r="A12" s="103"/>
      <c r="B12" s="104"/>
      <c r="C12" s="104"/>
      <c r="D12" s="104"/>
      <c r="E12" s="104"/>
      <c r="F12" s="104"/>
      <c r="G12" s="104"/>
      <c r="H12" s="104"/>
      <c r="I12" s="104"/>
      <c r="M12" s="104"/>
      <c r="N12" s="104"/>
      <c r="O12" s="104"/>
      <c r="P12" s="104"/>
      <c r="Q12" s="104"/>
      <c r="R12" s="104"/>
      <c r="S12" s="104"/>
      <c r="T12" s="104"/>
      <c r="U12" s="104"/>
    </row>
    <row r="13" spans="1:21" s="39" customFormat="1" ht="18">
      <c r="A13" s="105"/>
      <c r="B13" s="104"/>
      <c r="C13" s="104"/>
      <c r="D13" s="104"/>
      <c r="E13" s="104"/>
      <c r="F13" s="104"/>
      <c r="G13" s="104"/>
      <c r="H13" s="104"/>
      <c r="I13" s="104"/>
      <c r="M13" s="106"/>
      <c r="N13" s="104"/>
      <c r="O13" s="104"/>
      <c r="P13" s="104"/>
      <c r="Q13" s="104"/>
      <c r="R13" s="104"/>
      <c r="S13" s="104"/>
      <c r="T13" s="104"/>
      <c r="U13" s="104"/>
    </row>
    <row r="17" spans="10:12" ht="17">
      <c r="J17" s="104">
        <v>6</v>
      </c>
      <c r="K17" s="104">
        <v>29</v>
      </c>
      <c r="L17" s="104">
        <f>J17*K17</f>
        <v>174</v>
      </c>
    </row>
    <row r="18" spans="10:12" ht="17">
      <c r="J18" s="104"/>
      <c r="K18" s="104"/>
      <c r="L18" s="104"/>
    </row>
  </sheetData>
  <hyperlinks>
    <hyperlink ref="U6" r:id="rId1" xr:uid="{00000000-0004-0000-0200-000000000000}"/>
    <hyperlink ref="U10" r:id="rId2" xr:uid="{00000000-0004-0000-0200-000001000000}"/>
    <hyperlink ref="U9" r:id="rId3" xr:uid="{00000000-0004-0000-0200-000002000000}"/>
    <hyperlink ref="U11" r:id="rId4" xr:uid="{00000000-0004-0000-0200-000003000000}"/>
  </hyperlinks>
  <pageMargins left="0.7" right="0.7" top="0.75" bottom="0.75" header="0.3" footer="0.3"/>
  <drawing r:id="rId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3:V10"/>
  <sheetViews>
    <sheetView tabSelected="1" topLeftCell="F1" workbookViewId="0">
      <selection activeCell="G7" sqref="G7:G8"/>
    </sheetView>
  </sheetViews>
  <sheetFormatPr baseColWidth="10" defaultRowHeight="15"/>
  <cols>
    <col min="5" max="5" width="15.33203125" customWidth="1"/>
    <col min="6" max="6" width="39.33203125" bestFit="1" customWidth="1"/>
    <col min="7" max="7" width="15.6640625" bestFit="1" customWidth="1"/>
    <col min="10" max="10" width="15.6640625" customWidth="1"/>
    <col min="11" max="11" width="18.6640625" customWidth="1"/>
    <col min="14" max="14" width="16" customWidth="1"/>
  </cols>
  <sheetData>
    <row r="3" spans="1:22">
      <c r="A3" s="5"/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</row>
    <row r="4" spans="1:22">
      <c r="A4" s="5"/>
      <c r="B4" s="5"/>
      <c r="C4" s="131" t="s">
        <v>57</v>
      </c>
      <c r="D4" s="132"/>
      <c r="E4" s="132"/>
      <c r="F4" s="5"/>
      <c r="G4" s="132"/>
      <c r="H4" s="132"/>
      <c r="I4" s="132"/>
      <c r="J4" s="132"/>
      <c r="K4" s="132"/>
      <c r="L4" s="132"/>
      <c r="M4" s="132"/>
      <c r="N4" s="132"/>
      <c r="O4" s="132"/>
      <c r="P4" s="5"/>
    </row>
    <row r="5" spans="1:22" ht="16" thickBot="1">
      <c r="A5" s="5"/>
      <c r="B5" s="132"/>
      <c r="C5" s="133" t="s">
        <v>1</v>
      </c>
      <c r="D5" s="133"/>
      <c r="E5" s="133"/>
      <c r="F5" s="5"/>
      <c r="J5" t="s">
        <v>71</v>
      </c>
      <c r="K5" s="5"/>
      <c r="L5" s="141" t="s">
        <v>340</v>
      </c>
      <c r="P5" s="5"/>
    </row>
    <row r="6" spans="1:22" s="23" customFormat="1" ht="58.5" customHeight="1">
      <c r="A6" s="135"/>
      <c r="B6" s="136" t="s">
        <v>58</v>
      </c>
      <c r="C6" s="137" t="s">
        <v>59</v>
      </c>
      <c r="D6" s="137" t="s">
        <v>4</v>
      </c>
      <c r="E6" s="138" t="s">
        <v>60</v>
      </c>
      <c r="F6" s="137" t="s">
        <v>61</v>
      </c>
      <c r="G6" s="137" t="s">
        <v>62</v>
      </c>
      <c r="H6" s="136" t="s">
        <v>8</v>
      </c>
      <c r="I6" s="137" t="s">
        <v>63</v>
      </c>
      <c r="J6" s="137" t="s">
        <v>64</v>
      </c>
      <c r="K6" s="137" t="s">
        <v>65</v>
      </c>
      <c r="L6" s="137" t="s">
        <v>12</v>
      </c>
      <c r="M6" s="139" t="s">
        <v>66</v>
      </c>
      <c r="N6" s="137" t="s">
        <v>14</v>
      </c>
      <c r="O6" s="140" t="s">
        <v>15</v>
      </c>
      <c r="P6" s="137" t="s">
        <v>67</v>
      </c>
      <c r="Q6" s="139"/>
      <c r="R6" s="139"/>
    </row>
    <row r="7" spans="1:22" s="39" customFormat="1" ht="24" customHeight="1">
      <c r="A7" s="24">
        <v>1</v>
      </c>
      <c r="B7" s="25">
        <v>45366</v>
      </c>
      <c r="C7" s="26" t="s">
        <v>135</v>
      </c>
      <c r="D7" s="26" t="s">
        <v>68</v>
      </c>
      <c r="E7" s="27">
        <v>112950019</v>
      </c>
      <c r="F7" s="28" t="s">
        <v>300</v>
      </c>
      <c r="G7" s="29" t="s">
        <v>301</v>
      </c>
      <c r="H7" s="30" t="s">
        <v>42</v>
      </c>
      <c r="I7" s="26" t="s">
        <v>302</v>
      </c>
      <c r="J7" s="29" t="s">
        <v>303</v>
      </c>
      <c r="K7" s="31">
        <v>45366</v>
      </c>
      <c r="L7" s="32" t="s">
        <v>135</v>
      </c>
      <c r="M7" s="32" t="s">
        <v>304</v>
      </c>
      <c r="N7" s="254">
        <v>987665567</v>
      </c>
      <c r="O7" s="33">
        <v>15</v>
      </c>
      <c r="P7" s="26" t="s">
        <v>69</v>
      </c>
      <c r="Q7" s="26"/>
      <c r="R7" s="34"/>
      <c r="S7" s="35"/>
      <c r="T7" s="36"/>
      <c r="U7" s="37"/>
      <c r="V7" s="38"/>
    </row>
    <row r="8" spans="1:22" s="39" customFormat="1" ht="24" customHeight="1">
      <c r="A8" s="24">
        <v>2</v>
      </c>
      <c r="B8" s="25">
        <v>45366</v>
      </c>
      <c r="C8" s="26" t="s">
        <v>135</v>
      </c>
      <c r="D8" s="26" t="s">
        <v>68</v>
      </c>
      <c r="E8" s="27">
        <v>922100240</v>
      </c>
      <c r="F8" s="28" t="s">
        <v>694</v>
      </c>
      <c r="G8" s="29" t="s">
        <v>696</v>
      </c>
      <c r="H8" s="30" t="s">
        <v>42</v>
      </c>
      <c r="I8" s="26" t="s">
        <v>302</v>
      </c>
      <c r="J8" s="29" t="s">
        <v>303</v>
      </c>
      <c r="K8" s="31">
        <v>45366</v>
      </c>
      <c r="L8" s="32" t="s">
        <v>135</v>
      </c>
      <c r="M8" s="32" t="s">
        <v>304</v>
      </c>
      <c r="N8" s="254">
        <v>987665567</v>
      </c>
      <c r="O8" s="33">
        <v>15</v>
      </c>
      <c r="P8" s="26" t="s">
        <v>69</v>
      </c>
      <c r="Q8" s="26"/>
      <c r="R8" s="34"/>
      <c r="S8" s="35"/>
      <c r="T8" s="36"/>
      <c r="U8" s="37"/>
      <c r="V8" s="38"/>
    </row>
    <row r="10" spans="1:22">
      <c r="N10" t="s">
        <v>70</v>
      </c>
      <c r="O10" s="134">
        <v>30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U9"/>
  <sheetViews>
    <sheetView workbookViewId="0">
      <selection activeCell="K19" sqref="K19"/>
    </sheetView>
  </sheetViews>
  <sheetFormatPr baseColWidth="10" defaultRowHeight="15"/>
  <cols>
    <col min="3" max="3" width="11.33203125" customWidth="1"/>
    <col min="11" max="11" width="20" customWidth="1"/>
  </cols>
  <sheetData>
    <row r="1" spans="1:21">
      <c r="A1" s="142"/>
      <c r="B1" s="143" t="s">
        <v>72</v>
      </c>
      <c r="C1" s="144"/>
      <c r="D1" s="143"/>
      <c r="E1" s="145"/>
      <c r="F1" s="145"/>
      <c r="G1" s="146"/>
      <c r="H1" s="146"/>
      <c r="I1" s="146"/>
      <c r="J1" s="146"/>
      <c r="K1" s="146"/>
      <c r="L1" s="146"/>
      <c r="M1" s="147"/>
      <c r="N1" s="146"/>
      <c r="O1" s="146"/>
      <c r="P1" s="146"/>
    </row>
    <row r="2" spans="1:21">
      <c r="A2" s="142"/>
      <c r="B2" s="148" t="s">
        <v>74</v>
      </c>
      <c r="C2" s="149"/>
      <c r="D2" s="145"/>
      <c r="E2" s="145"/>
      <c r="F2" s="145"/>
      <c r="G2" s="146"/>
      <c r="H2" s="146"/>
      <c r="I2" s="146"/>
      <c r="J2" s="146"/>
      <c r="K2" s="146"/>
      <c r="L2" s="146"/>
      <c r="M2" s="147"/>
      <c r="N2" s="146"/>
      <c r="O2" s="146"/>
      <c r="P2" s="146"/>
    </row>
    <row r="3" spans="1:21">
      <c r="A3" s="142"/>
      <c r="B3" s="150"/>
      <c r="C3" s="151"/>
      <c r="D3" s="150"/>
      <c r="E3" s="150"/>
      <c r="F3" s="150"/>
      <c r="G3" s="150"/>
      <c r="H3" s="150"/>
      <c r="I3" s="152"/>
      <c r="J3" s="150"/>
      <c r="K3" s="145"/>
      <c r="L3" s="145"/>
      <c r="M3" s="153"/>
      <c r="N3" s="146"/>
      <c r="O3" s="146"/>
      <c r="P3" s="150"/>
    </row>
    <row r="4" spans="1:21">
      <c r="A4" s="142"/>
      <c r="B4" s="146"/>
      <c r="C4" s="151" t="s">
        <v>0</v>
      </c>
      <c r="D4" s="146"/>
      <c r="E4" s="154"/>
      <c r="F4" s="146"/>
      <c r="G4" s="155"/>
      <c r="H4" s="146"/>
      <c r="I4" s="146"/>
      <c r="J4" s="146"/>
      <c r="K4" s="145"/>
      <c r="L4" s="149"/>
      <c r="M4" s="147"/>
      <c r="N4" s="146"/>
      <c r="O4" s="146"/>
      <c r="P4" s="146"/>
    </row>
    <row r="5" spans="1:21">
      <c r="A5" s="142"/>
      <c r="B5" s="146"/>
      <c r="C5" s="156" t="s">
        <v>1</v>
      </c>
      <c r="D5" s="156" t="s">
        <v>1</v>
      </c>
      <c r="E5" s="146"/>
      <c r="G5" s="146"/>
      <c r="H5" s="146"/>
      <c r="I5" s="146"/>
      <c r="J5" s="146" t="s">
        <v>85</v>
      </c>
      <c r="K5" s="146"/>
      <c r="L5" s="146"/>
      <c r="M5" s="146" t="s">
        <v>342</v>
      </c>
    </row>
    <row r="6" spans="1:21" ht="37">
      <c r="A6" s="142"/>
      <c r="B6" s="157" t="s">
        <v>2</v>
      </c>
      <c r="C6" s="157" t="s">
        <v>3</v>
      </c>
      <c r="D6" s="157" t="s">
        <v>4</v>
      </c>
      <c r="E6" s="157" t="s">
        <v>5</v>
      </c>
      <c r="F6" s="158" t="s">
        <v>6</v>
      </c>
      <c r="G6" s="157" t="s">
        <v>7</v>
      </c>
      <c r="H6" s="157" t="s">
        <v>8</v>
      </c>
      <c r="I6" s="157" t="s">
        <v>9</v>
      </c>
      <c r="J6" s="157" t="s">
        <v>10</v>
      </c>
      <c r="K6" s="157" t="s">
        <v>11</v>
      </c>
      <c r="L6" s="157" t="s">
        <v>75</v>
      </c>
      <c r="M6" s="159" t="s">
        <v>76</v>
      </c>
      <c r="N6" s="157" t="s">
        <v>77</v>
      </c>
      <c r="O6" s="157" t="s">
        <v>73</v>
      </c>
      <c r="P6" s="157" t="s">
        <v>78</v>
      </c>
      <c r="Q6" s="157" t="s">
        <v>79</v>
      </c>
      <c r="R6" s="157" t="s">
        <v>80</v>
      </c>
      <c r="S6" s="157" t="s">
        <v>81</v>
      </c>
      <c r="T6" s="159" t="s">
        <v>82</v>
      </c>
      <c r="U6" s="157" t="s">
        <v>13</v>
      </c>
    </row>
    <row r="7" spans="1:21" s="40" customFormat="1" ht="24" customHeight="1">
      <c r="A7" s="40">
        <v>1</v>
      </c>
      <c r="B7" s="160"/>
      <c r="C7" s="161" t="s">
        <v>0</v>
      </c>
      <c r="D7" s="161"/>
      <c r="E7" s="162"/>
      <c r="F7" s="161"/>
      <c r="G7" s="163"/>
      <c r="H7" s="164"/>
      <c r="I7" s="165"/>
      <c r="J7" s="165"/>
      <c r="K7" s="166"/>
      <c r="L7" s="167"/>
      <c r="M7" s="167"/>
      <c r="N7" s="168"/>
      <c r="O7" s="169" t="s">
        <v>84</v>
      </c>
      <c r="P7" s="161"/>
      <c r="Q7" s="170"/>
      <c r="R7" s="171"/>
      <c r="S7" s="167"/>
      <c r="T7" s="167"/>
      <c r="U7" s="170"/>
    </row>
    <row r="8" spans="1:21" s="40" customFormat="1" ht="24" customHeight="1">
      <c r="A8" s="40">
        <v>2</v>
      </c>
      <c r="B8" s="160"/>
      <c r="C8" s="161" t="s">
        <v>0</v>
      </c>
      <c r="D8" s="161"/>
      <c r="E8" s="162"/>
      <c r="F8" s="161"/>
      <c r="G8" s="163"/>
      <c r="H8" s="164"/>
      <c r="I8" s="165"/>
      <c r="J8" s="165"/>
      <c r="K8" s="166"/>
      <c r="L8" s="167"/>
      <c r="M8" s="167"/>
      <c r="N8" s="168"/>
      <c r="O8" s="169" t="s">
        <v>84</v>
      </c>
      <c r="P8" s="161"/>
      <c r="Q8" s="170"/>
      <c r="R8" s="171"/>
      <c r="S8" s="167"/>
      <c r="T8" s="167"/>
      <c r="U8" s="170"/>
    </row>
    <row r="9" spans="1:21" s="40" customFormat="1" ht="24" customHeight="1">
      <c r="A9" s="40">
        <v>3</v>
      </c>
      <c r="B9" s="160"/>
      <c r="C9" s="161" t="s">
        <v>0</v>
      </c>
      <c r="D9" s="161"/>
      <c r="E9" s="162"/>
      <c r="F9" s="161"/>
      <c r="G9" s="163"/>
      <c r="H9" s="164"/>
      <c r="I9" s="165"/>
      <c r="J9" s="165"/>
      <c r="K9" s="166"/>
      <c r="L9" s="167"/>
      <c r="M9" s="167"/>
      <c r="N9" s="168"/>
      <c r="O9" s="169" t="s">
        <v>84</v>
      </c>
      <c r="P9" s="161"/>
      <c r="Q9" s="170"/>
      <c r="R9" s="171"/>
      <c r="S9" s="167"/>
      <c r="T9" s="167"/>
      <c r="U9" s="170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U39"/>
  <sheetViews>
    <sheetView topLeftCell="A16" workbookViewId="0">
      <selection activeCell="L24" sqref="L24:N24"/>
    </sheetView>
  </sheetViews>
  <sheetFormatPr baseColWidth="10" defaultRowHeight="15"/>
  <sheetData>
    <row r="1" spans="1:21" ht="16">
      <c r="G1" s="210"/>
    </row>
    <row r="2" spans="1:21">
      <c r="B2" s="183"/>
      <c r="C2" s="184" t="s">
        <v>0</v>
      </c>
      <c r="F2" s="185"/>
      <c r="G2" s="186"/>
      <c r="H2" s="187"/>
      <c r="I2" s="188"/>
      <c r="J2" s="189"/>
      <c r="K2" s="190"/>
      <c r="L2" s="191"/>
      <c r="M2" s="191"/>
      <c r="N2" s="183"/>
      <c r="O2" s="192"/>
      <c r="T2" s="193"/>
    </row>
    <row r="3" spans="1:21">
      <c r="B3" s="183"/>
      <c r="C3" s="194" t="s">
        <v>1</v>
      </c>
      <c r="F3" s="195"/>
      <c r="G3" s="186"/>
      <c r="H3" s="187"/>
      <c r="I3" s="188"/>
      <c r="J3" s="189" t="s">
        <v>388</v>
      </c>
      <c r="K3" s="190"/>
      <c r="L3" s="191"/>
      <c r="M3" s="196"/>
      <c r="N3" s="197" t="s">
        <v>389</v>
      </c>
      <c r="O3" s="192"/>
      <c r="P3" s="198"/>
      <c r="T3" s="193"/>
    </row>
    <row r="4" spans="1:21" ht="20">
      <c r="B4" s="199" t="s">
        <v>11</v>
      </c>
      <c r="C4" s="199" t="s">
        <v>2</v>
      </c>
      <c r="D4" s="199" t="s">
        <v>3</v>
      </c>
      <c r="E4" s="199" t="s">
        <v>4</v>
      </c>
      <c r="F4" s="199" t="s">
        <v>5</v>
      </c>
      <c r="G4" s="199" t="s">
        <v>6</v>
      </c>
      <c r="H4" s="199" t="s">
        <v>7</v>
      </c>
      <c r="I4" s="199" t="s">
        <v>8</v>
      </c>
      <c r="J4" s="199" t="s">
        <v>9</v>
      </c>
      <c r="K4" s="199" t="s">
        <v>10</v>
      </c>
      <c r="L4" s="200" t="s">
        <v>12</v>
      </c>
      <c r="M4" s="200" t="s">
        <v>13</v>
      </c>
      <c r="N4" s="199" t="s">
        <v>14</v>
      </c>
      <c r="O4" s="201" t="s">
        <v>15</v>
      </c>
      <c r="P4" s="199" t="s">
        <v>16</v>
      </c>
      <c r="Q4" s="199" t="s">
        <v>17</v>
      </c>
      <c r="R4" s="202" t="s">
        <v>18</v>
      </c>
      <c r="S4" s="199" t="s">
        <v>19</v>
      </c>
      <c r="T4" s="199" t="s">
        <v>20</v>
      </c>
      <c r="U4" s="203" t="s">
        <v>21</v>
      </c>
    </row>
    <row r="5" spans="1:21">
      <c r="A5">
        <v>1</v>
      </c>
      <c r="B5" s="204">
        <v>45343</v>
      </c>
      <c r="C5" s="204">
        <v>45339</v>
      </c>
      <c r="D5" s="204" t="s">
        <v>135</v>
      </c>
      <c r="E5" s="204" t="s">
        <v>412</v>
      </c>
      <c r="F5" s="205" t="s">
        <v>413</v>
      </c>
      <c r="G5" s="204" t="s">
        <v>414</v>
      </c>
      <c r="H5" s="204" t="s">
        <v>415</v>
      </c>
      <c r="I5" s="205" t="s">
        <v>416</v>
      </c>
      <c r="J5" s="204" t="s">
        <v>302</v>
      </c>
      <c r="K5" s="204" t="s">
        <v>303</v>
      </c>
      <c r="L5" s="204" t="s">
        <v>417</v>
      </c>
      <c r="M5" s="204" t="s">
        <v>418</v>
      </c>
      <c r="N5" s="206">
        <v>995974501</v>
      </c>
      <c r="O5" s="207">
        <v>25</v>
      </c>
      <c r="P5" s="204" t="s">
        <v>390</v>
      </c>
      <c r="Q5" s="204" t="s">
        <v>302</v>
      </c>
      <c r="R5" s="204"/>
      <c r="S5" s="204" t="s">
        <v>412</v>
      </c>
      <c r="T5" s="208">
        <v>105223622</v>
      </c>
      <c r="U5" s="209" t="s">
        <v>419</v>
      </c>
    </row>
    <row r="6" spans="1:21">
      <c r="A6">
        <v>2</v>
      </c>
      <c r="B6" s="204">
        <v>45344</v>
      </c>
      <c r="C6" s="204">
        <v>45338</v>
      </c>
      <c r="D6" s="204" t="s">
        <v>125</v>
      </c>
      <c r="E6" s="204" t="s">
        <v>420</v>
      </c>
      <c r="F6" s="205" t="s">
        <v>421</v>
      </c>
      <c r="G6" s="204" t="s">
        <v>278</v>
      </c>
      <c r="H6" s="204" t="s">
        <v>422</v>
      </c>
      <c r="I6" s="205" t="s">
        <v>423</v>
      </c>
      <c r="J6" s="204" t="s">
        <v>302</v>
      </c>
      <c r="K6" s="204" t="s">
        <v>303</v>
      </c>
      <c r="L6" s="204" t="s">
        <v>424</v>
      </c>
      <c r="M6" s="204" t="s">
        <v>130</v>
      </c>
      <c r="N6" s="206">
        <v>987980249</v>
      </c>
      <c r="O6" s="207">
        <v>29</v>
      </c>
      <c r="P6" s="204" t="s">
        <v>390</v>
      </c>
      <c r="Q6" s="204" t="s">
        <v>302</v>
      </c>
      <c r="R6" s="204"/>
      <c r="S6" s="204" t="s">
        <v>420</v>
      </c>
      <c r="T6" s="208">
        <v>103147500</v>
      </c>
      <c r="U6" s="209" t="s">
        <v>425</v>
      </c>
    </row>
    <row r="7" spans="1:21">
      <c r="A7">
        <v>3</v>
      </c>
      <c r="B7" s="204">
        <v>45344</v>
      </c>
      <c r="C7" s="204">
        <v>45323</v>
      </c>
      <c r="D7" s="204" t="s">
        <v>86</v>
      </c>
      <c r="E7" s="204" t="s">
        <v>426</v>
      </c>
      <c r="F7" s="205" t="s">
        <v>393</v>
      </c>
      <c r="G7" s="204" t="s">
        <v>215</v>
      </c>
      <c r="H7" s="204" t="s">
        <v>427</v>
      </c>
      <c r="I7" s="205" t="s">
        <v>42</v>
      </c>
      <c r="J7" s="204" t="s">
        <v>302</v>
      </c>
      <c r="K7" s="204" t="s">
        <v>303</v>
      </c>
      <c r="L7" s="204" t="s">
        <v>671</v>
      </c>
      <c r="M7" s="204" t="s">
        <v>428</v>
      </c>
      <c r="N7" s="206">
        <v>998803827</v>
      </c>
      <c r="O7" s="207">
        <v>30</v>
      </c>
      <c r="P7" s="204" t="s">
        <v>390</v>
      </c>
      <c r="Q7" s="204" t="s">
        <v>302</v>
      </c>
      <c r="R7" s="204"/>
      <c r="S7" s="204" t="s">
        <v>426</v>
      </c>
      <c r="T7" s="208">
        <v>102090701</v>
      </c>
      <c r="U7" s="209" t="s">
        <v>429</v>
      </c>
    </row>
    <row r="8" spans="1:21">
      <c r="A8">
        <v>4</v>
      </c>
      <c r="B8" s="204">
        <v>45345</v>
      </c>
      <c r="C8" s="204">
        <v>45324</v>
      </c>
      <c r="D8" s="204" t="s">
        <v>183</v>
      </c>
      <c r="E8" s="204" t="s">
        <v>430</v>
      </c>
      <c r="F8" s="205" t="s">
        <v>431</v>
      </c>
      <c r="G8" s="204" t="s">
        <v>432</v>
      </c>
      <c r="H8" s="204" t="s">
        <v>433</v>
      </c>
      <c r="I8" s="205" t="s">
        <v>42</v>
      </c>
      <c r="J8" s="204" t="s">
        <v>302</v>
      </c>
      <c r="K8" s="204" t="s">
        <v>303</v>
      </c>
      <c r="L8" s="204" t="s">
        <v>434</v>
      </c>
      <c r="M8" s="204" t="s">
        <v>224</v>
      </c>
      <c r="N8" s="206">
        <v>984756497</v>
      </c>
      <c r="O8" s="207">
        <v>29</v>
      </c>
      <c r="P8" s="204" t="s">
        <v>390</v>
      </c>
      <c r="Q8" s="204" t="s">
        <v>302</v>
      </c>
      <c r="R8" s="204"/>
      <c r="S8" s="204" t="s">
        <v>430</v>
      </c>
      <c r="T8" s="208">
        <v>300426913</v>
      </c>
      <c r="U8" s="209" t="s">
        <v>435</v>
      </c>
    </row>
    <row r="9" spans="1:21">
      <c r="A9">
        <v>5</v>
      </c>
      <c r="B9" s="204">
        <v>45348</v>
      </c>
      <c r="C9" s="204">
        <v>45318</v>
      </c>
      <c r="D9" s="204" t="s">
        <v>135</v>
      </c>
      <c r="E9" s="204" t="s">
        <v>437</v>
      </c>
      <c r="F9" s="205" t="s">
        <v>436</v>
      </c>
      <c r="G9" s="204" t="s">
        <v>438</v>
      </c>
      <c r="H9" s="204" t="s">
        <v>439</v>
      </c>
      <c r="I9" s="205" t="s">
        <v>42</v>
      </c>
      <c r="J9" s="204" t="s">
        <v>302</v>
      </c>
      <c r="K9" s="204" t="s">
        <v>303</v>
      </c>
      <c r="L9" s="204" t="s">
        <v>440</v>
      </c>
      <c r="M9" s="204" t="s">
        <v>176</v>
      </c>
      <c r="N9" s="206">
        <v>995259757</v>
      </c>
      <c r="O9" s="207">
        <v>45</v>
      </c>
      <c r="P9" s="204" t="s">
        <v>390</v>
      </c>
      <c r="Q9" s="204" t="s">
        <v>302</v>
      </c>
      <c r="R9" s="204"/>
      <c r="S9" s="204" t="s">
        <v>437</v>
      </c>
      <c r="T9" s="208">
        <v>103951851</v>
      </c>
      <c r="U9" s="209" t="s">
        <v>441</v>
      </c>
    </row>
    <row r="10" spans="1:21">
      <c r="A10">
        <v>6</v>
      </c>
      <c r="B10" s="204">
        <v>45348</v>
      </c>
      <c r="C10" s="204">
        <v>45331</v>
      </c>
      <c r="D10" s="204" t="s">
        <v>146</v>
      </c>
      <c r="E10" s="204" t="s">
        <v>442</v>
      </c>
      <c r="F10" s="205" t="s">
        <v>443</v>
      </c>
      <c r="G10" s="204" t="s">
        <v>406</v>
      </c>
      <c r="H10" s="204" t="s">
        <v>444</v>
      </c>
      <c r="I10" s="205" t="s">
        <v>42</v>
      </c>
      <c r="J10" s="204" t="s">
        <v>302</v>
      </c>
      <c r="K10" s="204" t="s">
        <v>303</v>
      </c>
      <c r="L10" s="204" t="s">
        <v>445</v>
      </c>
      <c r="M10" s="204" t="s">
        <v>446</v>
      </c>
      <c r="N10" s="206">
        <v>2885380</v>
      </c>
      <c r="O10" s="207">
        <v>29</v>
      </c>
      <c r="P10" s="204" t="s">
        <v>390</v>
      </c>
      <c r="Q10" s="204" t="s">
        <v>302</v>
      </c>
      <c r="R10" s="204"/>
      <c r="S10" s="204" t="s">
        <v>442</v>
      </c>
      <c r="T10" s="208">
        <v>103061305</v>
      </c>
      <c r="U10" s="209" t="s">
        <v>510</v>
      </c>
    </row>
    <row r="11" spans="1:21">
      <c r="A11">
        <v>7</v>
      </c>
      <c r="B11" s="204">
        <v>45349</v>
      </c>
      <c r="C11" s="204">
        <v>45346</v>
      </c>
      <c r="D11" s="204" t="s">
        <v>135</v>
      </c>
      <c r="E11" s="204" t="s">
        <v>447</v>
      </c>
      <c r="F11" s="205" t="s">
        <v>448</v>
      </c>
      <c r="G11" s="204" t="s">
        <v>144</v>
      </c>
      <c r="H11" s="204" t="s">
        <v>449</v>
      </c>
      <c r="I11" s="205" t="s">
        <v>42</v>
      </c>
      <c r="J11" s="204" t="s">
        <v>302</v>
      </c>
      <c r="K11" s="204" t="s">
        <v>303</v>
      </c>
      <c r="L11" s="204" t="s">
        <v>391</v>
      </c>
      <c r="M11" s="204" t="s">
        <v>392</v>
      </c>
      <c r="N11" s="206">
        <v>999352423</v>
      </c>
      <c r="O11" s="207">
        <v>25</v>
      </c>
      <c r="P11" s="204" t="s">
        <v>390</v>
      </c>
      <c r="Q11" s="204" t="s">
        <v>302</v>
      </c>
      <c r="R11" s="204"/>
      <c r="S11" s="204" t="s">
        <v>447</v>
      </c>
      <c r="T11" s="208">
        <v>10515777</v>
      </c>
      <c r="U11" s="209" t="s">
        <v>450</v>
      </c>
    </row>
    <row r="12" spans="1:21">
      <c r="A12">
        <v>8</v>
      </c>
      <c r="B12" s="204">
        <v>45350</v>
      </c>
      <c r="C12" s="204">
        <v>44969</v>
      </c>
      <c r="D12" s="204" t="s">
        <v>86</v>
      </c>
      <c r="E12" s="204" t="s">
        <v>451</v>
      </c>
      <c r="F12" s="205" t="s">
        <v>452</v>
      </c>
      <c r="G12" s="204" t="s">
        <v>453</v>
      </c>
      <c r="H12" s="204" t="s">
        <v>454</v>
      </c>
      <c r="I12" s="205" t="s">
        <v>42</v>
      </c>
      <c r="J12" s="204" t="s">
        <v>302</v>
      </c>
      <c r="K12" s="204" t="s">
        <v>303</v>
      </c>
      <c r="L12" s="204" t="s">
        <v>455</v>
      </c>
      <c r="M12" s="204" t="s">
        <v>456</v>
      </c>
      <c r="N12" s="206">
        <v>994053164</v>
      </c>
      <c r="O12" s="207">
        <v>15</v>
      </c>
      <c r="P12" s="204" t="s">
        <v>390</v>
      </c>
      <c r="Q12" s="204" t="s">
        <v>302</v>
      </c>
      <c r="R12" s="204"/>
      <c r="S12" s="204" t="s">
        <v>451</v>
      </c>
      <c r="T12" s="208">
        <v>190316076</v>
      </c>
      <c r="U12" s="209" t="s">
        <v>457</v>
      </c>
    </row>
    <row r="13" spans="1:21">
      <c r="A13">
        <v>9</v>
      </c>
      <c r="B13" s="204">
        <v>45350</v>
      </c>
      <c r="C13" s="204">
        <v>45349</v>
      </c>
      <c r="D13" s="204" t="s">
        <v>86</v>
      </c>
      <c r="E13" s="204" t="s">
        <v>458</v>
      </c>
      <c r="F13" s="205" t="s">
        <v>459</v>
      </c>
      <c r="G13" s="204" t="s">
        <v>460</v>
      </c>
      <c r="H13" s="204" t="s">
        <v>461</v>
      </c>
      <c r="I13" s="205" t="s">
        <v>462</v>
      </c>
      <c r="J13" s="204" t="s">
        <v>302</v>
      </c>
      <c r="K13" s="204" t="s">
        <v>303</v>
      </c>
      <c r="L13" s="204" t="s">
        <v>463</v>
      </c>
      <c r="M13" s="204" t="s">
        <v>130</v>
      </c>
      <c r="N13" s="206">
        <v>983808258</v>
      </c>
      <c r="O13" s="207">
        <v>29</v>
      </c>
      <c r="P13" s="204" t="s">
        <v>390</v>
      </c>
      <c r="Q13" s="204" t="s">
        <v>302</v>
      </c>
      <c r="R13" s="204"/>
      <c r="S13" s="204" t="s">
        <v>458</v>
      </c>
      <c r="T13" s="208">
        <v>301373478</v>
      </c>
      <c r="U13" s="209" t="s">
        <v>464</v>
      </c>
    </row>
    <row r="14" spans="1:21">
      <c r="A14">
        <v>10</v>
      </c>
      <c r="B14" s="204">
        <v>45350</v>
      </c>
      <c r="C14" s="204">
        <v>45318</v>
      </c>
      <c r="D14" s="204" t="s">
        <v>146</v>
      </c>
      <c r="E14" s="204" t="s">
        <v>465</v>
      </c>
      <c r="F14" s="205" t="s">
        <v>466</v>
      </c>
      <c r="G14" s="204" t="s">
        <v>467</v>
      </c>
      <c r="H14" s="204" t="s">
        <v>468</v>
      </c>
      <c r="I14" s="205" t="s">
        <v>469</v>
      </c>
      <c r="J14" s="204" t="s">
        <v>302</v>
      </c>
      <c r="K14" s="204" t="s">
        <v>303</v>
      </c>
      <c r="L14" s="204" t="s">
        <v>470</v>
      </c>
      <c r="M14" s="204" t="s">
        <v>471</v>
      </c>
      <c r="N14" s="206">
        <v>992808008</v>
      </c>
      <c r="O14" s="207">
        <v>29</v>
      </c>
      <c r="P14" s="204" t="s">
        <v>390</v>
      </c>
      <c r="Q14" s="204" t="s">
        <v>302</v>
      </c>
      <c r="R14" s="204"/>
      <c r="S14" s="204" t="s">
        <v>465</v>
      </c>
      <c r="T14" s="208">
        <v>104805494</v>
      </c>
      <c r="U14" s="209" t="s">
        <v>472</v>
      </c>
    </row>
    <row r="15" spans="1:21">
      <c r="A15">
        <v>11</v>
      </c>
      <c r="B15" s="204">
        <v>45350</v>
      </c>
      <c r="C15" s="204">
        <v>45346</v>
      </c>
      <c r="D15" s="204" t="s">
        <v>135</v>
      </c>
      <c r="E15" s="204" t="s">
        <v>473</v>
      </c>
      <c r="F15" s="205" t="s">
        <v>443</v>
      </c>
      <c r="G15" s="204" t="s">
        <v>406</v>
      </c>
      <c r="H15" s="204" t="s">
        <v>474</v>
      </c>
      <c r="I15" s="205" t="s">
        <v>42</v>
      </c>
      <c r="J15" s="204" t="s">
        <v>302</v>
      </c>
      <c r="K15" s="204" t="s">
        <v>303</v>
      </c>
      <c r="L15" s="204" t="s">
        <v>475</v>
      </c>
      <c r="M15" s="204" t="s">
        <v>476</v>
      </c>
      <c r="N15" s="206">
        <v>984116073</v>
      </c>
      <c r="O15" s="207">
        <v>29</v>
      </c>
      <c r="P15" s="204" t="s">
        <v>390</v>
      </c>
      <c r="Q15" s="204" t="s">
        <v>302</v>
      </c>
      <c r="R15" s="204"/>
      <c r="S15" s="204" t="s">
        <v>473</v>
      </c>
      <c r="T15" s="208">
        <v>301757779</v>
      </c>
      <c r="U15" s="209" t="s">
        <v>477</v>
      </c>
    </row>
    <row r="16" spans="1:21">
      <c r="A16">
        <v>12</v>
      </c>
      <c r="B16" s="204">
        <v>45351</v>
      </c>
      <c r="C16" s="204">
        <v>45346</v>
      </c>
      <c r="D16" s="204" t="s">
        <v>135</v>
      </c>
      <c r="E16" s="204" t="s">
        <v>478</v>
      </c>
      <c r="F16" s="205" t="s">
        <v>448</v>
      </c>
      <c r="G16" s="204" t="s">
        <v>144</v>
      </c>
      <c r="H16" s="204" t="s">
        <v>479</v>
      </c>
      <c r="I16" s="205" t="s">
        <v>480</v>
      </c>
      <c r="J16" s="204" t="s">
        <v>302</v>
      </c>
      <c r="K16" s="204" t="s">
        <v>303</v>
      </c>
      <c r="L16" s="204" t="s">
        <v>481</v>
      </c>
      <c r="M16" s="204" t="s">
        <v>482</v>
      </c>
      <c r="N16" s="206">
        <v>992098722</v>
      </c>
      <c r="O16" s="207">
        <v>25</v>
      </c>
      <c r="P16" s="204" t="s">
        <v>390</v>
      </c>
      <c r="Q16" s="204" t="s">
        <v>302</v>
      </c>
      <c r="R16" s="204"/>
      <c r="S16" s="204" t="s">
        <v>478</v>
      </c>
      <c r="T16" s="208">
        <v>107212722</v>
      </c>
      <c r="U16" s="209" t="s">
        <v>483</v>
      </c>
    </row>
    <row r="17" spans="1:21">
      <c r="A17">
        <v>13</v>
      </c>
      <c r="B17" s="204">
        <v>45351</v>
      </c>
      <c r="C17" s="204">
        <v>45344</v>
      </c>
      <c r="D17" s="204" t="s">
        <v>183</v>
      </c>
      <c r="E17" s="204" t="s">
        <v>484</v>
      </c>
      <c r="F17" s="205" t="s">
        <v>448</v>
      </c>
      <c r="G17" s="204" t="s">
        <v>144</v>
      </c>
      <c r="H17" s="204" t="s">
        <v>485</v>
      </c>
      <c r="I17" s="205" t="s">
        <v>486</v>
      </c>
      <c r="J17" s="204" t="s">
        <v>302</v>
      </c>
      <c r="K17" s="204" t="s">
        <v>303</v>
      </c>
      <c r="L17" s="204" t="s">
        <v>487</v>
      </c>
      <c r="M17" s="204" t="s">
        <v>130</v>
      </c>
      <c r="N17" s="206">
        <v>959496034</v>
      </c>
      <c r="O17" s="207">
        <v>25</v>
      </c>
      <c r="P17" s="204" t="s">
        <v>390</v>
      </c>
      <c r="Q17" s="204" t="s">
        <v>302</v>
      </c>
      <c r="R17" s="204"/>
      <c r="S17" s="204" t="s">
        <v>484</v>
      </c>
      <c r="T17" s="208">
        <v>152413647</v>
      </c>
      <c r="U17" s="209" t="s">
        <v>488</v>
      </c>
    </row>
    <row r="18" spans="1:21">
      <c r="A18">
        <v>14</v>
      </c>
      <c r="B18" s="204">
        <v>45351</v>
      </c>
      <c r="C18" s="204">
        <v>45347</v>
      </c>
      <c r="D18" s="204" t="s">
        <v>183</v>
      </c>
      <c r="E18" s="204" t="s">
        <v>489</v>
      </c>
      <c r="F18" s="205" t="s">
        <v>490</v>
      </c>
      <c r="G18" s="204" t="s">
        <v>491</v>
      </c>
      <c r="H18" s="204" t="s">
        <v>492</v>
      </c>
      <c r="I18" s="205" t="s">
        <v>493</v>
      </c>
      <c r="J18" s="204" t="s">
        <v>302</v>
      </c>
      <c r="K18" s="204" t="s">
        <v>303</v>
      </c>
      <c r="L18" s="204" t="s">
        <v>494</v>
      </c>
      <c r="M18" s="204" t="s">
        <v>495</v>
      </c>
      <c r="N18" s="206">
        <v>991511193</v>
      </c>
      <c r="O18" s="207">
        <v>25</v>
      </c>
      <c r="P18" s="204" t="s">
        <v>390</v>
      </c>
      <c r="Q18" s="204" t="s">
        <v>302</v>
      </c>
      <c r="R18" s="204"/>
      <c r="S18" s="204" t="s">
        <v>489</v>
      </c>
      <c r="T18" s="208">
        <v>101663342</v>
      </c>
      <c r="U18" s="209" t="s">
        <v>496</v>
      </c>
    </row>
    <row r="19" spans="1:21">
      <c r="A19">
        <v>15</v>
      </c>
      <c r="B19" s="204">
        <v>45351</v>
      </c>
      <c r="C19" s="204">
        <v>45347</v>
      </c>
      <c r="D19" s="204" t="s">
        <v>183</v>
      </c>
      <c r="E19" s="204" t="s">
        <v>497</v>
      </c>
      <c r="F19" s="205" t="s">
        <v>498</v>
      </c>
      <c r="G19" s="204" t="s">
        <v>499</v>
      </c>
      <c r="H19" s="204" t="s">
        <v>500</v>
      </c>
      <c r="I19" s="205" t="s">
        <v>501</v>
      </c>
      <c r="J19" s="204" t="s">
        <v>302</v>
      </c>
      <c r="K19" s="204" t="s">
        <v>303</v>
      </c>
      <c r="L19" s="204" t="s">
        <v>502</v>
      </c>
      <c r="M19" s="204" t="s">
        <v>503</v>
      </c>
      <c r="N19" s="206">
        <v>992514217</v>
      </c>
      <c r="O19" s="207">
        <v>25</v>
      </c>
      <c r="P19" s="204" t="s">
        <v>390</v>
      </c>
      <c r="Q19" s="204" t="s">
        <v>302</v>
      </c>
      <c r="R19" s="204"/>
      <c r="S19" s="204" t="s">
        <v>497</v>
      </c>
      <c r="T19" s="208">
        <v>104504217</v>
      </c>
      <c r="U19" s="209" t="s">
        <v>504</v>
      </c>
    </row>
    <row r="20" spans="1:21">
      <c r="A20">
        <v>16</v>
      </c>
      <c r="B20" s="204">
        <v>45351</v>
      </c>
      <c r="C20" s="204">
        <v>45348</v>
      </c>
      <c r="D20" s="204" t="s">
        <v>114</v>
      </c>
      <c r="E20" s="204" t="s">
        <v>505</v>
      </c>
      <c r="F20" s="205" t="s">
        <v>506</v>
      </c>
      <c r="G20" s="204" t="s">
        <v>283</v>
      </c>
      <c r="H20" s="204" t="s">
        <v>507</v>
      </c>
      <c r="I20" s="205" t="s">
        <v>508</v>
      </c>
      <c r="J20" s="204" t="s">
        <v>302</v>
      </c>
      <c r="K20" s="204" t="s">
        <v>303</v>
      </c>
      <c r="L20" s="204" t="s">
        <v>445</v>
      </c>
      <c r="M20" s="204" t="s">
        <v>509</v>
      </c>
      <c r="N20" s="206">
        <v>995744177</v>
      </c>
      <c r="O20" s="207">
        <v>15</v>
      </c>
      <c r="P20" s="204" t="s">
        <v>390</v>
      </c>
      <c r="Q20" s="204" t="s">
        <v>302</v>
      </c>
      <c r="R20" s="204"/>
      <c r="S20" s="204" t="s">
        <v>505</v>
      </c>
      <c r="T20" s="208">
        <v>100735976</v>
      </c>
      <c r="U20" s="209" t="s">
        <v>510</v>
      </c>
    </row>
    <row r="21" spans="1:21">
      <c r="A21">
        <v>17</v>
      </c>
      <c r="B21" s="204">
        <v>45356</v>
      </c>
      <c r="C21" s="204">
        <v>45354</v>
      </c>
      <c r="D21" s="204" t="s">
        <v>146</v>
      </c>
      <c r="E21" s="204" t="s">
        <v>511</v>
      </c>
      <c r="F21" s="205" t="s">
        <v>512</v>
      </c>
      <c r="G21" s="204" t="s">
        <v>205</v>
      </c>
      <c r="H21" s="204" t="s">
        <v>513</v>
      </c>
      <c r="I21" s="205" t="s">
        <v>514</v>
      </c>
      <c r="J21" s="204" t="s">
        <v>302</v>
      </c>
      <c r="K21" s="204" t="s">
        <v>303</v>
      </c>
      <c r="L21" s="204" t="s">
        <v>515</v>
      </c>
      <c r="M21" s="204" t="s">
        <v>516</v>
      </c>
      <c r="N21" s="206">
        <v>999257103</v>
      </c>
      <c r="O21" s="207">
        <v>15</v>
      </c>
      <c r="P21" s="204" t="s">
        <v>390</v>
      </c>
      <c r="Q21" s="204" t="s">
        <v>302</v>
      </c>
      <c r="R21" s="204"/>
      <c r="S21" s="204" t="s">
        <v>511</v>
      </c>
      <c r="T21" s="208">
        <v>103867479</v>
      </c>
      <c r="U21" s="209" t="s">
        <v>517</v>
      </c>
    </row>
    <row r="22" spans="1:21">
      <c r="A22">
        <v>18</v>
      </c>
      <c r="B22" s="204">
        <v>45356</v>
      </c>
      <c r="C22" s="204">
        <v>45171</v>
      </c>
      <c r="D22" s="204" t="s">
        <v>135</v>
      </c>
      <c r="E22" s="204" t="s">
        <v>518</v>
      </c>
      <c r="F22" s="205" t="s">
        <v>413</v>
      </c>
      <c r="G22" s="204" t="s">
        <v>519</v>
      </c>
      <c r="H22" s="204" t="s">
        <v>520</v>
      </c>
      <c r="I22" s="205" t="s">
        <v>521</v>
      </c>
      <c r="J22" s="204" t="s">
        <v>302</v>
      </c>
      <c r="K22" s="204" t="s">
        <v>303</v>
      </c>
      <c r="L22" s="204" t="s">
        <v>522</v>
      </c>
      <c r="M22" s="204" t="s">
        <v>523</v>
      </c>
      <c r="N22" s="206">
        <v>98393960</v>
      </c>
      <c r="O22" s="207">
        <v>25</v>
      </c>
      <c r="P22" s="204" t="s">
        <v>390</v>
      </c>
      <c r="Q22" s="204" t="s">
        <v>302</v>
      </c>
      <c r="R22" s="204"/>
      <c r="S22" s="204" t="s">
        <v>518</v>
      </c>
      <c r="T22" s="208">
        <v>105777916</v>
      </c>
      <c r="U22" s="209" t="s">
        <v>524</v>
      </c>
    </row>
    <row r="23" spans="1:21">
      <c r="A23">
        <v>19</v>
      </c>
      <c r="B23" s="204">
        <v>45356</v>
      </c>
      <c r="C23" s="204">
        <v>45355</v>
      </c>
      <c r="D23" s="204" t="s">
        <v>146</v>
      </c>
      <c r="E23" s="204" t="s">
        <v>525</v>
      </c>
      <c r="F23" s="205" t="s">
        <v>526</v>
      </c>
      <c r="G23" s="204" t="s">
        <v>209</v>
      </c>
      <c r="H23" s="204" t="s">
        <v>527</v>
      </c>
      <c r="I23" s="205" t="s">
        <v>528</v>
      </c>
      <c r="J23" s="204" t="s">
        <v>302</v>
      </c>
      <c r="K23" s="204" t="s">
        <v>303</v>
      </c>
      <c r="L23" s="204" t="s">
        <v>529</v>
      </c>
      <c r="M23" s="204" t="s">
        <v>329</v>
      </c>
      <c r="N23" s="206">
        <v>2340334</v>
      </c>
      <c r="O23" s="207">
        <v>29</v>
      </c>
      <c r="P23" s="204" t="s">
        <v>390</v>
      </c>
      <c r="Q23" s="204" t="s">
        <v>302</v>
      </c>
      <c r="R23" s="204"/>
      <c r="S23" s="204" t="s">
        <v>525</v>
      </c>
      <c r="T23" s="208">
        <v>101565711</v>
      </c>
      <c r="U23" s="209" t="s">
        <v>530</v>
      </c>
    </row>
    <row r="24" spans="1:21">
      <c r="A24">
        <v>20</v>
      </c>
      <c r="B24" s="204">
        <v>45357</v>
      </c>
      <c r="C24" s="204">
        <v>45356</v>
      </c>
      <c r="D24" s="204" t="s">
        <v>86</v>
      </c>
      <c r="E24" s="204" t="s">
        <v>531</v>
      </c>
      <c r="F24" s="205" t="s">
        <v>532</v>
      </c>
      <c r="G24" s="204" t="s">
        <v>533</v>
      </c>
      <c r="H24" s="204" t="s">
        <v>534</v>
      </c>
      <c r="I24" s="205" t="s">
        <v>535</v>
      </c>
      <c r="J24" s="204" t="s">
        <v>302</v>
      </c>
      <c r="K24" s="204" t="s">
        <v>303</v>
      </c>
      <c r="L24" s="204" t="s">
        <v>536</v>
      </c>
      <c r="M24" s="204" t="s">
        <v>537</v>
      </c>
      <c r="N24" s="206">
        <v>990906375</v>
      </c>
      <c r="O24" s="207">
        <v>29</v>
      </c>
      <c r="P24" s="204" t="s">
        <v>390</v>
      </c>
      <c r="Q24" s="204" t="s">
        <v>302</v>
      </c>
      <c r="R24" s="204"/>
      <c r="S24" s="204" t="s">
        <v>531</v>
      </c>
      <c r="T24" s="208">
        <v>103488359</v>
      </c>
      <c r="U24" s="209" t="s">
        <v>538</v>
      </c>
    </row>
    <row r="25" spans="1:21">
      <c r="A25">
        <v>21</v>
      </c>
      <c r="B25" s="204">
        <v>45362</v>
      </c>
      <c r="C25" s="204">
        <v>45359</v>
      </c>
      <c r="D25" s="204" t="s">
        <v>135</v>
      </c>
      <c r="E25" s="204" t="s">
        <v>539</v>
      </c>
      <c r="F25" s="205" t="s">
        <v>512</v>
      </c>
      <c r="G25" s="204" t="s">
        <v>205</v>
      </c>
      <c r="H25" s="204" t="s">
        <v>540</v>
      </c>
      <c r="I25" s="205" t="s">
        <v>541</v>
      </c>
      <c r="J25" s="204" t="s">
        <v>302</v>
      </c>
      <c r="K25" s="204" t="s">
        <v>303</v>
      </c>
      <c r="L25" s="204" t="s">
        <v>542</v>
      </c>
      <c r="M25" s="204" t="s">
        <v>543</v>
      </c>
      <c r="N25" s="206">
        <v>998158095</v>
      </c>
      <c r="O25" s="207">
        <v>15</v>
      </c>
      <c r="P25" s="204" t="s">
        <v>390</v>
      </c>
      <c r="Q25" s="204" t="s">
        <v>302</v>
      </c>
      <c r="R25" s="204"/>
      <c r="S25" s="204" t="s">
        <v>539</v>
      </c>
      <c r="T25" s="208">
        <v>7030113720</v>
      </c>
      <c r="U25" s="209" t="s">
        <v>544</v>
      </c>
    </row>
    <row r="26" spans="1:21">
      <c r="A26">
        <v>22</v>
      </c>
      <c r="B26" s="204">
        <v>45362</v>
      </c>
      <c r="C26" s="204">
        <v>45358</v>
      </c>
      <c r="D26" s="204" t="s">
        <v>146</v>
      </c>
      <c r="E26" s="204" t="s">
        <v>545</v>
      </c>
      <c r="F26" s="205" t="s">
        <v>546</v>
      </c>
      <c r="G26" s="204" t="s">
        <v>547</v>
      </c>
      <c r="H26" s="204" t="s">
        <v>548</v>
      </c>
      <c r="I26" s="205" t="s">
        <v>549</v>
      </c>
      <c r="J26" s="204" t="s">
        <v>302</v>
      </c>
      <c r="K26" s="204" t="s">
        <v>303</v>
      </c>
      <c r="L26" s="204" t="s">
        <v>550</v>
      </c>
      <c r="M26" s="204" t="s">
        <v>551</v>
      </c>
      <c r="N26" s="206">
        <v>4012421</v>
      </c>
      <c r="O26" s="207">
        <v>15</v>
      </c>
      <c r="P26" s="204" t="s">
        <v>390</v>
      </c>
      <c r="Q26" s="204" t="s">
        <v>302</v>
      </c>
      <c r="R26" s="204"/>
      <c r="S26" s="204" t="s">
        <v>545</v>
      </c>
      <c r="T26" s="208">
        <v>10176857</v>
      </c>
      <c r="U26" s="209" t="s">
        <v>552</v>
      </c>
    </row>
    <row r="27" spans="1:21">
      <c r="A27">
        <v>23</v>
      </c>
      <c r="B27" s="204">
        <v>45363</v>
      </c>
      <c r="C27" s="204">
        <v>45264</v>
      </c>
      <c r="D27" s="204" t="s">
        <v>183</v>
      </c>
      <c r="E27" s="204" t="s">
        <v>553</v>
      </c>
      <c r="F27" s="205" t="s">
        <v>526</v>
      </c>
      <c r="G27" s="204" t="s">
        <v>209</v>
      </c>
      <c r="H27" s="204" t="s">
        <v>554</v>
      </c>
      <c r="I27" s="205" t="s">
        <v>555</v>
      </c>
      <c r="J27" s="204" t="s">
        <v>302</v>
      </c>
      <c r="K27" s="204" t="s">
        <v>303</v>
      </c>
      <c r="L27" s="204" t="s">
        <v>556</v>
      </c>
      <c r="M27" s="204" t="s">
        <v>557</v>
      </c>
      <c r="N27" s="206">
        <v>74203315</v>
      </c>
      <c r="O27" s="207">
        <v>29</v>
      </c>
      <c r="P27" s="204" t="s">
        <v>390</v>
      </c>
      <c r="Q27" s="204" t="s">
        <v>302</v>
      </c>
      <c r="R27" s="204"/>
      <c r="S27" s="204" t="s">
        <v>553</v>
      </c>
      <c r="T27" s="208">
        <v>103104964</v>
      </c>
      <c r="U27" s="209" t="s">
        <v>558</v>
      </c>
    </row>
    <row r="28" spans="1:21">
      <c r="A28">
        <v>24</v>
      </c>
      <c r="B28" s="204">
        <v>45363</v>
      </c>
      <c r="C28" s="204">
        <v>45256</v>
      </c>
      <c r="D28" s="204" t="s">
        <v>146</v>
      </c>
      <c r="E28" s="204" t="s">
        <v>559</v>
      </c>
      <c r="F28" s="205" t="s">
        <v>526</v>
      </c>
      <c r="G28" s="204" t="s">
        <v>209</v>
      </c>
      <c r="H28" s="204" t="s">
        <v>560</v>
      </c>
      <c r="I28" s="205" t="s">
        <v>561</v>
      </c>
      <c r="J28" s="204" t="s">
        <v>302</v>
      </c>
      <c r="K28" s="204" t="s">
        <v>303</v>
      </c>
      <c r="L28" s="204" t="s">
        <v>562</v>
      </c>
      <c r="M28" s="204" t="s">
        <v>563</v>
      </c>
      <c r="N28" s="206">
        <v>998958112</v>
      </c>
      <c r="O28" s="207">
        <v>29</v>
      </c>
      <c r="P28" s="204" t="s">
        <v>390</v>
      </c>
      <c r="Q28" s="204" t="s">
        <v>302</v>
      </c>
      <c r="R28" s="204"/>
      <c r="S28" s="204" t="s">
        <v>559</v>
      </c>
      <c r="T28" s="208">
        <v>103128666</v>
      </c>
      <c r="U28" s="209" t="s">
        <v>564</v>
      </c>
    </row>
    <row r="29" spans="1:21">
      <c r="A29">
        <v>25</v>
      </c>
      <c r="B29" s="204">
        <v>45363</v>
      </c>
      <c r="C29" s="204">
        <v>45324</v>
      </c>
      <c r="D29" s="204" t="s">
        <v>135</v>
      </c>
      <c r="E29" s="204" t="s">
        <v>565</v>
      </c>
      <c r="F29" s="205" t="s">
        <v>566</v>
      </c>
      <c r="G29" s="204" t="s">
        <v>567</v>
      </c>
      <c r="H29" s="204" t="s">
        <v>568</v>
      </c>
      <c r="I29" s="205" t="s">
        <v>569</v>
      </c>
      <c r="J29" s="204" t="s">
        <v>302</v>
      </c>
      <c r="K29" s="204" t="s">
        <v>303</v>
      </c>
      <c r="L29" s="204" t="s">
        <v>570</v>
      </c>
      <c r="M29" s="204" t="s">
        <v>571</v>
      </c>
      <c r="N29" s="206">
        <v>999309831</v>
      </c>
      <c r="O29" s="207">
        <v>29</v>
      </c>
      <c r="P29" s="204" t="s">
        <v>390</v>
      </c>
      <c r="Q29" s="204" t="s">
        <v>302</v>
      </c>
      <c r="R29" s="204"/>
      <c r="S29" s="204" t="s">
        <v>565</v>
      </c>
      <c r="T29" s="208">
        <v>102713542</v>
      </c>
      <c r="U29" s="209" t="s">
        <v>572</v>
      </c>
    </row>
    <row r="30" spans="1:21">
      <c r="A30">
        <v>26</v>
      </c>
      <c r="B30" s="204">
        <v>45364</v>
      </c>
      <c r="C30" s="204">
        <v>45363</v>
      </c>
      <c r="D30" s="204" t="s">
        <v>146</v>
      </c>
      <c r="E30" s="204" t="s">
        <v>573</v>
      </c>
      <c r="F30" s="205" t="s">
        <v>512</v>
      </c>
      <c r="G30" s="204" t="s">
        <v>205</v>
      </c>
      <c r="H30" s="204" t="s">
        <v>574</v>
      </c>
      <c r="I30" s="205" t="s">
        <v>575</v>
      </c>
      <c r="J30" s="204" t="s">
        <v>302</v>
      </c>
      <c r="K30" s="204" t="s">
        <v>303</v>
      </c>
      <c r="L30" s="204" t="s">
        <v>576</v>
      </c>
      <c r="M30" s="204" t="s">
        <v>577</v>
      </c>
      <c r="N30" s="206">
        <v>959219374</v>
      </c>
      <c r="O30" s="207">
        <v>15</v>
      </c>
      <c r="P30" s="204" t="s">
        <v>390</v>
      </c>
      <c r="Q30" s="204" t="s">
        <v>302</v>
      </c>
      <c r="R30" s="204"/>
      <c r="S30" s="204" t="s">
        <v>573</v>
      </c>
      <c r="T30" s="208">
        <v>705559219</v>
      </c>
      <c r="U30" s="209"/>
    </row>
    <row r="31" spans="1:21">
      <c r="A31">
        <v>27</v>
      </c>
      <c r="B31" s="204">
        <v>45365</v>
      </c>
      <c r="C31" s="204">
        <v>45339</v>
      </c>
      <c r="D31" s="204" t="s">
        <v>135</v>
      </c>
      <c r="E31" s="204" t="s">
        <v>578</v>
      </c>
      <c r="F31" s="205" t="s">
        <v>579</v>
      </c>
      <c r="G31" s="204" t="s">
        <v>206</v>
      </c>
      <c r="H31" s="204" t="s">
        <v>580</v>
      </c>
      <c r="I31" s="205" t="s">
        <v>581</v>
      </c>
      <c r="J31" s="204" t="s">
        <v>302</v>
      </c>
      <c r="K31" s="204" t="s">
        <v>303</v>
      </c>
      <c r="L31" s="204" t="s">
        <v>582</v>
      </c>
      <c r="M31" s="204" t="s">
        <v>583</v>
      </c>
      <c r="N31" s="206">
        <v>980476700</v>
      </c>
      <c r="O31" s="207">
        <v>29</v>
      </c>
      <c r="P31" s="204" t="s">
        <v>390</v>
      </c>
      <c r="Q31" s="204" t="s">
        <v>302</v>
      </c>
      <c r="R31" s="204"/>
      <c r="S31" s="204" t="s">
        <v>578</v>
      </c>
      <c r="T31" s="208">
        <v>104995238</v>
      </c>
      <c r="U31" s="209" t="s">
        <v>584</v>
      </c>
    </row>
    <row r="32" spans="1:21">
      <c r="A32">
        <v>28</v>
      </c>
      <c r="B32" s="204">
        <v>45365</v>
      </c>
      <c r="C32" s="204">
        <v>45362</v>
      </c>
      <c r="D32" s="204" t="s">
        <v>135</v>
      </c>
      <c r="E32" s="204" t="s">
        <v>585</v>
      </c>
      <c r="F32" s="205" t="s">
        <v>586</v>
      </c>
      <c r="G32" s="204" t="s">
        <v>587</v>
      </c>
      <c r="H32" s="204" t="s">
        <v>588</v>
      </c>
      <c r="I32" s="205" t="s">
        <v>589</v>
      </c>
      <c r="J32" s="204" t="s">
        <v>302</v>
      </c>
      <c r="K32" s="204" t="s">
        <v>303</v>
      </c>
      <c r="L32" s="204" t="s">
        <v>590</v>
      </c>
      <c r="M32" s="204" t="s">
        <v>591</v>
      </c>
      <c r="N32" s="206">
        <v>996420101</v>
      </c>
      <c r="O32" s="207">
        <v>15</v>
      </c>
      <c r="P32" s="204" t="s">
        <v>390</v>
      </c>
      <c r="Q32" s="204" t="s">
        <v>302</v>
      </c>
      <c r="R32" s="204"/>
      <c r="S32" s="204" t="s">
        <v>585</v>
      </c>
      <c r="T32" s="208">
        <v>102499712</v>
      </c>
      <c r="U32" s="209" t="s">
        <v>592</v>
      </c>
    </row>
    <row r="33" spans="1:21">
      <c r="A33">
        <v>29</v>
      </c>
      <c r="B33" s="204">
        <v>45366</v>
      </c>
      <c r="C33" s="204">
        <v>45366</v>
      </c>
      <c r="D33" s="204" t="s">
        <v>135</v>
      </c>
      <c r="E33" s="204" t="s">
        <v>593</v>
      </c>
      <c r="F33" s="205" t="s">
        <v>594</v>
      </c>
      <c r="G33" s="204" t="s">
        <v>595</v>
      </c>
      <c r="H33" s="204" t="s">
        <v>596</v>
      </c>
      <c r="I33" s="205" t="s">
        <v>597</v>
      </c>
      <c r="J33" s="204" t="s">
        <v>302</v>
      </c>
      <c r="K33" s="204" t="s">
        <v>303</v>
      </c>
      <c r="L33" s="204" t="s">
        <v>598</v>
      </c>
      <c r="M33" s="204" t="s">
        <v>599</v>
      </c>
      <c r="N33" s="206">
        <v>4175723</v>
      </c>
      <c r="O33" s="207">
        <v>25</v>
      </c>
      <c r="P33" s="204" t="s">
        <v>390</v>
      </c>
      <c r="Q33" s="204" t="s">
        <v>302</v>
      </c>
      <c r="R33" s="204"/>
      <c r="S33" s="204" t="s">
        <v>593</v>
      </c>
      <c r="T33" s="208">
        <v>107570509</v>
      </c>
      <c r="U33" s="209" t="s">
        <v>600</v>
      </c>
    </row>
    <row r="34" spans="1:21">
      <c r="A34">
        <v>30</v>
      </c>
      <c r="B34" s="204">
        <v>45366</v>
      </c>
      <c r="C34" s="204">
        <v>45301</v>
      </c>
      <c r="D34" s="204" t="s">
        <v>135</v>
      </c>
      <c r="E34" s="204" t="s">
        <v>601</v>
      </c>
      <c r="F34" s="205" t="s">
        <v>443</v>
      </c>
      <c r="G34" s="204" t="s">
        <v>187</v>
      </c>
      <c r="H34" s="204" t="s">
        <v>602</v>
      </c>
      <c r="I34" s="205" t="s">
        <v>42</v>
      </c>
      <c r="J34" s="204" t="s">
        <v>302</v>
      </c>
      <c r="K34" s="204" t="s">
        <v>303</v>
      </c>
      <c r="L34" s="204" t="s">
        <v>603</v>
      </c>
      <c r="M34" s="204" t="s">
        <v>604</v>
      </c>
      <c r="N34" s="206">
        <v>984288180</v>
      </c>
      <c r="O34" s="207">
        <v>29</v>
      </c>
      <c r="P34" s="204" t="s">
        <v>390</v>
      </c>
      <c r="Q34" s="204" t="s">
        <v>302</v>
      </c>
      <c r="R34" s="204"/>
      <c r="S34" s="204" t="s">
        <v>601</v>
      </c>
      <c r="T34" s="208">
        <v>105072003</v>
      </c>
      <c r="U34" s="209" t="s">
        <v>605</v>
      </c>
    </row>
    <row r="35" spans="1:21">
      <c r="A35">
        <v>31</v>
      </c>
      <c r="B35" s="204">
        <v>45366</v>
      </c>
      <c r="C35" s="204">
        <v>45363</v>
      </c>
      <c r="D35" s="204" t="s">
        <v>86</v>
      </c>
      <c r="E35" s="204" t="s">
        <v>606</v>
      </c>
      <c r="F35" s="205" t="s">
        <v>607</v>
      </c>
      <c r="G35" s="204" t="s">
        <v>519</v>
      </c>
      <c r="H35" s="204" t="s">
        <v>608</v>
      </c>
      <c r="I35" s="205" t="s">
        <v>609</v>
      </c>
      <c r="J35" s="204" t="s">
        <v>302</v>
      </c>
      <c r="K35" s="204" t="s">
        <v>303</v>
      </c>
      <c r="L35" s="204" t="s">
        <v>610</v>
      </c>
      <c r="M35" s="204" t="s">
        <v>611</v>
      </c>
      <c r="N35" s="206">
        <v>968437311</v>
      </c>
      <c r="O35" s="207">
        <v>25</v>
      </c>
      <c r="P35" s="204" t="s">
        <v>390</v>
      </c>
      <c r="Q35" s="204" t="s">
        <v>302</v>
      </c>
      <c r="R35" s="204"/>
      <c r="S35" s="204" t="s">
        <v>606</v>
      </c>
      <c r="T35" s="208">
        <v>1721485165</v>
      </c>
      <c r="U35" s="209" t="s">
        <v>612</v>
      </c>
    </row>
    <row r="36" spans="1:21">
      <c r="A36">
        <v>32</v>
      </c>
      <c r="B36" s="204">
        <v>45370</v>
      </c>
      <c r="C36" s="204">
        <v>45370</v>
      </c>
      <c r="D36" s="204" t="s">
        <v>135</v>
      </c>
      <c r="E36" s="204" t="s">
        <v>665</v>
      </c>
      <c r="F36" s="205" t="s">
        <v>666</v>
      </c>
      <c r="G36" s="204" t="s">
        <v>133</v>
      </c>
      <c r="H36" s="204" t="s">
        <v>667</v>
      </c>
      <c r="I36" s="205" t="s">
        <v>42</v>
      </c>
      <c r="J36" s="204" t="s">
        <v>302</v>
      </c>
      <c r="K36" s="204" t="s">
        <v>303</v>
      </c>
      <c r="L36" s="204" t="s">
        <v>668</v>
      </c>
      <c r="M36" s="204" t="s">
        <v>669</v>
      </c>
      <c r="N36" s="206">
        <v>998532504</v>
      </c>
      <c r="O36" s="207">
        <v>29</v>
      </c>
      <c r="P36" s="204" t="s">
        <v>390</v>
      </c>
      <c r="Q36" s="204" t="s">
        <v>302</v>
      </c>
      <c r="R36" s="204"/>
      <c r="S36" s="204" t="s">
        <v>665</v>
      </c>
      <c r="T36" s="208">
        <v>602160764</v>
      </c>
      <c r="U36" s="209" t="s">
        <v>670</v>
      </c>
    </row>
    <row r="39" spans="1:21">
      <c r="O39" s="172">
        <f>SUM(O5:O38)</f>
        <v>811</v>
      </c>
    </row>
  </sheetData>
  <hyperlinks>
    <hyperlink ref="U5" r:id="rId1" xr:uid="{00000000-0004-0000-0500-000000000000}"/>
    <hyperlink ref="U6" r:id="rId2" xr:uid="{00000000-0004-0000-0500-000001000000}"/>
    <hyperlink ref="U7" r:id="rId3" xr:uid="{00000000-0004-0000-0500-000002000000}"/>
    <hyperlink ref="U8" r:id="rId4" xr:uid="{00000000-0004-0000-0500-000003000000}"/>
    <hyperlink ref="U9" r:id="rId5" xr:uid="{00000000-0004-0000-0500-000004000000}"/>
    <hyperlink ref="U11" r:id="rId6" xr:uid="{00000000-0004-0000-0500-000005000000}"/>
    <hyperlink ref="U12" r:id="rId7" xr:uid="{00000000-0004-0000-0500-000006000000}"/>
    <hyperlink ref="U13" r:id="rId8" xr:uid="{00000000-0004-0000-0500-000007000000}"/>
    <hyperlink ref="U14" r:id="rId9" xr:uid="{00000000-0004-0000-0500-000008000000}"/>
    <hyperlink ref="U15" r:id="rId10" xr:uid="{00000000-0004-0000-0500-000009000000}"/>
    <hyperlink ref="U16" r:id="rId11" xr:uid="{00000000-0004-0000-0500-00000A000000}"/>
    <hyperlink ref="U17" r:id="rId12" xr:uid="{00000000-0004-0000-0500-00000B000000}"/>
    <hyperlink ref="U18" r:id="rId13" xr:uid="{00000000-0004-0000-0500-00000C000000}"/>
    <hyperlink ref="U19" r:id="rId14" xr:uid="{00000000-0004-0000-0500-00000D000000}"/>
    <hyperlink ref="U10" r:id="rId15" xr:uid="{00000000-0004-0000-0500-00000E000000}"/>
    <hyperlink ref="U20" r:id="rId16" xr:uid="{00000000-0004-0000-0500-00000F000000}"/>
    <hyperlink ref="U21" r:id="rId17" xr:uid="{00000000-0004-0000-0500-000010000000}"/>
    <hyperlink ref="U22" r:id="rId18" xr:uid="{00000000-0004-0000-0500-000011000000}"/>
    <hyperlink ref="U23" r:id="rId19" xr:uid="{00000000-0004-0000-0500-000012000000}"/>
    <hyperlink ref="U24" r:id="rId20" xr:uid="{00000000-0004-0000-0500-000013000000}"/>
    <hyperlink ref="U25" r:id="rId21" xr:uid="{00000000-0004-0000-0500-000014000000}"/>
    <hyperlink ref="U26" r:id="rId22" xr:uid="{00000000-0004-0000-0500-000015000000}"/>
    <hyperlink ref="U27" r:id="rId23" xr:uid="{00000000-0004-0000-0500-000016000000}"/>
    <hyperlink ref="U28" r:id="rId24" xr:uid="{00000000-0004-0000-0500-000017000000}"/>
    <hyperlink ref="U29" r:id="rId25" xr:uid="{00000000-0004-0000-0500-000018000000}"/>
    <hyperlink ref="U31" r:id="rId26" xr:uid="{00000000-0004-0000-0500-000019000000}"/>
    <hyperlink ref="U32" r:id="rId27" xr:uid="{00000000-0004-0000-0500-00001A000000}"/>
    <hyperlink ref="U33" r:id="rId28" xr:uid="{00000000-0004-0000-0500-00001B000000}"/>
    <hyperlink ref="U34" r:id="rId29" xr:uid="{00000000-0004-0000-0500-00001C000000}"/>
    <hyperlink ref="U35" r:id="rId30" xr:uid="{00000000-0004-0000-0500-00001D000000}"/>
    <hyperlink ref="U36" r:id="rId31" xr:uid="{00000000-0004-0000-0500-00001E000000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P131"/>
  <sheetViews>
    <sheetView topLeftCell="A108" workbookViewId="0">
      <selection activeCell="B132" sqref="B132"/>
    </sheetView>
  </sheetViews>
  <sheetFormatPr baseColWidth="10" defaultColWidth="11" defaultRowHeight="16"/>
  <cols>
    <col min="1" max="1" width="11" style="289"/>
    <col min="2" max="2" width="13.5" style="289" customWidth="1"/>
    <col min="3" max="3" width="25" style="289" customWidth="1"/>
    <col min="4" max="4" width="19.1640625" style="289" customWidth="1"/>
    <col min="5" max="5" width="14.33203125" style="289" customWidth="1"/>
    <col min="6" max="6" width="27" style="289" customWidth="1"/>
    <col min="7" max="7" width="11" style="289"/>
    <col min="8" max="8" width="20.5" style="289" customWidth="1"/>
    <col min="9" max="9" width="12" style="289" customWidth="1"/>
    <col min="10" max="10" width="11.1640625" style="289" bestFit="1" customWidth="1"/>
    <col min="11" max="11" width="11" style="289"/>
    <col min="12" max="12" width="14.1640625" style="289" customWidth="1"/>
    <col min="13" max="13" width="16.5" style="289" customWidth="1"/>
    <col min="14" max="15" width="11" style="289"/>
    <col min="16" max="16" width="17.1640625" style="289" customWidth="1"/>
    <col min="17" max="16384" width="11" style="289"/>
  </cols>
  <sheetData>
    <row r="1" spans="1:16">
      <c r="A1" s="258"/>
      <c r="B1" s="259" t="s">
        <v>57</v>
      </c>
      <c r="C1" s="260"/>
      <c r="D1" s="260"/>
      <c r="E1" s="261"/>
      <c r="F1" s="262"/>
      <c r="G1" s="262"/>
      <c r="H1" s="262"/>
      <c r="I1" s="263"/>
      <c r="J1" s="262"/>
      <c r="K1" s="262"/>
      <c r="L1" s="264"/>
      <c r="M1" s="265"/>
      <c r="N1" s="264"/>
      <c r="O1" s="262"/>
      <c r="P1" s="258"/>
    </row>
    <row r="2" spans="1:16">
      <c r="A2" s="258"/>
      <c r="B2" s="259" t="s">
        <v>394</v>
      </c>
      <c r="C2" s="260"/>
      <c r="D2" s="260"/>
      <c r="E2" s="261"/>
      <c r="F2" s="262"/>
      <c r="G2" s="262"/>
      <c r="H2" s="262"/>
      <c r="I2" s="263"/>
      <c r="J2" s="262"/>
      <c r="K2" s="262"/>
      <c r="L2" s="264"/>
      <c r="M2" s="266"/>
      <c r="N2" s="264"/>
      <c r="O2" s="262"/>
      <c r="P2" s="258"/>
    </row>
    <row r="3" spans="1:16">
      <c r="A3" s="258"/>
      <c r="B3" s="259" t="s">
        <v>395</v>
      </c>
      <c r="C3" s="260"/>
      <c r="D3" s="260"/>
      <c r="E3" s="261"/>
      <c r="F3" s="262"/>
      <c r="G3" s="262"/>
      <c r="H3" s="262"/>
      <c r="I3" s="263"/>
      <c r="J3" s="262"/>
      <c r="K3" s="262"/>
      <c r="L3" s="264"/>
      <c r="M3" s="266"/>
      <c r="N3" s="264"/>
      <c r="O3" s="262"/>
      <c r="P3" s="258"/>
    </row>
    <row r="4" spans="1:16" ht="18.75" customHeight="1">
      <c r="A4" s="258"/>
      <c r="B4" s="267" t="s">
        <v>396</v>
      </c>
      <c r="C4" s="268" t="s">
        <v>397</v>
      </c>
      <c r="D4" s="268" t="s">
        <v>398</v>
      </c>
      <c r="E4" s="269" t="s">
        <v>410</v>
      </c>
      <c r="F4" s="268" t="s">
        <v>399</v>
      </c>
      <c r="G4" s="270" t="s">
        <v>400</v>
      </c>
      <c r="H4" s="271" t="s">
        <v>411</v>
      </c>
      <c r="I4" s="267" t="s">
        <v>407</v>
      </c>
      <c r="J4" s="272" t="s">
        <v>408</v>
      </c>
      <c r="K4" s="272" t="s">
        <v>63</v>
      </c>
      <c r="L4" s="273" t="s">
        <v>409</v>
      </c>
      <c r="M4" s="274" t="s">
        <v>401</v>
      </c>
      <c r="N4" s="269" t="s">
        <v>402</v>
      </c>
      <c r="O4" s="275" t="s">
        <v>403</v>
      </c>
      <c r="P4" s="275" t="s">
        <v>404</v>
      </c>
    </row>
    <row r="5" spans="1:16" ht="17" hidden="1">
      <c r="A5" s="258"/>
      <c r="B5" s="276"/>
      <c r="C5" s="277"/>
      <c r="D5" s="277"/>
      <c r="E5" s="278"/>
      <c r="F5" s="277"/>
      <c r="G5" s="279"/>
      <c r="H5" s="280" t="s">
        <v>405</v>
      </c>
      <c r="I5" s="276" t="s">
        <v>405</v>
      </c>
      <c r="J5" s="281" t="s">
        <v>63</v>
      </c>
      <c r="K5" s="281"/>
      <c r="L5" s="282"/>
      <c r="M5" s="283"/>
      <c r="N5" s="278"/>
      <c r="O5" s="284"/>
      <c r="P5" s="284"/>
    </row>
    <row r="6" spans="1:16" s="290" customFormat="1" ht="17">
      <c r="A6" s="285">
        <v>1</v>
      </c>
      <c r="B6" s="294">
        <v>45343</v>
      </c>
      <c r="C6" s="295" t="s">
        <v>92</v>
      </c>
      <c r="D6" s="295" t="s">
        <v>93</v>
      </c>
      <c r="E6" s="296">
        <v>939408084</v>
      </c>
      <c r="F6" s="297" t="s">
        <v>88</v>
      </c>
      <c r="G6" s="286" t="s">
        <v>672</v>
      </c>
      <c r="H6" s="296" t="s">
        <v>86</v>
      </c>
      <c r="I6" s="298">
        <v>45209</v>
      </c>
      <c r="J6" s="299">
        <v>112570073</v>
      </c>
      <c r="K6" s="255" t="s">
        <v>90</v>
      </c>
      <c r="L6" s="288" t="s">
        <v>42</v>
      </c>
      <c r="M6" s="296" t="s">
        <v>89</v>
      </c>
      <c r="N6" s="287"/>
      <c r="O6" s="300" t="s">
        <v>94</v>
      </c>
      <c r="P6" s="301">
        <v>104502026</v>
      </c>
    </row>
    <row r="7" spans="1:16" ht="17">
      <c r="A7" s="285">
        <v>2</v>
      </c>
      <c r="B7" s="294">
        <v>45343</v>
      </c>
      <c r="C7" s="295" t="s">
        <v>92</v>
      </c>
      <c r="D7" s="295" t="s">
        <v>93</v>
      </c>
      <c r="E7" s="296">
        <v>939408084</v>
      </c>
      <c r="F7" s="297" t="s">
        <v>95</v>
      </c>
      <c r="G7" s="286" t="s">
        <v>672</v>
      </c>
      <c r="H7" s="296" t="s">
        <v>86</v>
      </c>
      <c r="I7" s="298">
        <v>45209</v>
      </c>
      <c r="J7" s="299">
        <v>111000051</v>
      </c>
      <c r="K7" s="255" t="s">
        <v>90</v>
      </c>
      <c r="L7" s="288" t="s">
        <v>42</v>
      </c>
      <c r="M7" s="296" t="s">
        <v>96</v>
      </c>
      <c r="N7" s="287"/>
      <c r="O7" s="300" t="s">
        <v>94</v>
      </c>
      <c r="P7" s="301">
        <v>104502026</v>
      </c>
    </row>
    <row r="8" spans="1:16" ht="17">
      <c r="A8" s="285">
        <v>3</v>
      </c>
      <c r="B8" s="294">
        <v>45343</v>
      </c>
      <c r="C8" s="295" t="s">
        <v>92</v>
      </c>
      <c r="D8" s="295" t="s">
        <v>93</v>
      </c>
      <c r="E8" s="296">
        <v>939408084</v>
      </c>
      <c r="F8" s="297" t="s">
        <v>97</v>
      </c>
      <c r="G8" s="286" t="s">
        <v>672</v>
      </c>
      <c r="H8" s="296" t="s">
        <v>86</v>
      </c>
      <c r="I8" s="298">
        <v>45209</v>
      </c>
      <c r="J8" s="299">
        <v>40584202</v>
      </c>
      <c r="K8" s="255" t="s">
        <v>90</v>
      </c>
      <c r="L8" s="288" t="s">
        <v>42</v>
      </c>
      <c r="M8" s="296" t="s">
        <v>98</v>
      </c>
      <c r="N8" s="287"/>
      <c r="O8" s="300" t="s">
        <v>94</v>
      </c>
      <c r="P8" s="301">
        <v>104502026</v>
      </c>
    </row>
    <row r="9" spans="1:16" ht="17">
      <c r="A9" s="285">
        <v>4</v>
      </c>
      <c r="B9" s="302">
        <v>45343</v>
      </c>
      <c r="C9" s="302" t="s">
        <v>417</v>
      </c>
      <c r="D9" s="302" t="s">
        <v>418</v>
      </c>
      <c r="E9" s="303">
        <v>995974501</v>
      </c>
      <c r="F9" s="302" t="s">
        <v>414</v>
      </c>
      <c r="G9" s="286" t="s">
        <v>697</v>
      </c>
      <c r="H9" s="302" t="s">
        <v>135</v>
      </c>
      <c r="I9" s="302">
        <v>45339</v>
      </c>
      <c r="J9" s="304" t="s">
        <v>413</v>
      </c>
      <c r="K9" s="255" t="s">
        <v>90</v>
      </c>
      <c r="L9" s="304" t="s">
        <v>416</v>
      </c>
      <c r="M9" s="302" t="s">
        <v>415</v>
      </c>
      <c r="N9" s="287"/>
      <c r="O9" s="305" t="s">
        <v>419</v>
      </c>
      <c r="P9" s="306">
        <v>105223622</v>
      </c>
    </row>
    <row r="10" spans="1:16" ht="17">
      <c r="A10" s="285">
        <v>5</v>
      </c>
      <c r="B10" s="302">
        <v>45344</v>
      </c>
      <c r="C10" s="302" t="s">
        <v>424</v>
      </c>
      <c r="D10" s="302" t="s">
        <v>130</v>
      </c>
      <c r="E10" s="303">
        <v>987980249</v>
      </c>
      <c r="F10" s="302" t="s">
        <v>278</v>
      </c>
      <c r="G10" s="286" t="s">
        <v>697</v>
      </c>
      <c r="H10" s="302" t="s">
        <v>125</v>
      </c>
      <c r="I10" s="302">
        <v>45338</v>
      </c>
      <c r="J10" s="304" t="s">
        <v>421</v>
      </c>
      <c r="K10" s="255" t="s">
        <v>90</v>
      </c>
      <c r="L10" s="304" t="s">
        <v>423</v>
      </c>
      <c r="M10" s="302" t="s">
        <v>422</v>
      </c>
      <c r="N10" s="287"/>
      <c r="O10" s="305" t="s">
        <v>425</v>
      </c>
      <c r="P10" s="306">
        <v>103147500</v>
      </c>
    </row>
    <row r="11" spans="1:16" ht="17">
      <c r="A11" s="285">
        <v>6</v>
      </c>
      <c r="B11" s="302">
        <v>45344</v>
      </c>
      <c r="C11" s="302" t="s">
        <v>671</v>
      </c>
      <c r="D11" s="302" t="s">
        <v>428</v>
      </c>
      <c r="E11" s="303">
        <v>998803827</v>
      </c>
      <c r="F11" s="302" t="s">
        <v>215</v>
      </c>
      <c r="G11" s="286" t="s">
        <v>697</v>
      </c>
      <c r="H11" s="302" t="s">
        <v>86</v>
      </c>
      <c r="I11" s="302">
        <v>45323</v>
      </c>
      <c r="J11" s="304" t="s">
        <v>393</v>
      </c>
      <c r="K11" s="255" t="s">
        <v>90</v>
      </c>
      <c r="L11" s="304" t="s">
        <v>42</v>
      </c>
      <c r="M11" s="302" t="s">
        <v>427</v>
      </c>
      <c r="N11" s="287"/>
      <c r="O11" s="305" t="s">
        <v>429</v>
      </c>
      <c r="P11" s="306">
        <v>102090701</v>
      </c>
    </row>
    <row r="12" spans="1:16" ht="17">
      <c r="A12" s="285">
        <v>7</v>
      </c>
      <c r="B12" s="294">
        <v>45344</v>
      </c>
      <c r="C12" s="295" t="s">
        <v>101</v>
      </c>
      <c r="D12" s="295" t="s">
        <v>102</v>
      </c>
      <c r="E12" s="296">
        <v>939934344</v>
      </c>
      <c r="F12" s="297" t="s">
        <v>99</v>
      </c>
      <c r="G12" s="286" t="s">
        <v>672</v>
      </c>
      <c r="H12" s="296" t="s">
        <v>86</v>
      </c>
      <c r="I12" s="298">
        <v>45177</v>
      </c>
      <c r="J12" s="299">
        <v>112520025</v>
      </c>
      <c r="K12" s="255" t="s">
        <v>90</v>
      </c>
      <c r="L12" s="288" t="s">
        <v>42</v>
      </c>
      <c r="M12" s="296" t="s">
        <v>100</v>
      </c>
      <c r="N12" s="287"/>
      <c r="O12" s="300" t="s">
        <v>103</v>
      </c>
      <c r="P12" s="301">
        <v>102543675</v>
      </c>
    </row>
    <row r="13" spans="1:16" ht="17">
      <c r="A13" s="285">
        <v>8</v>
      </c>
      <c r="B13" s="294">
        <v>45344</v>
      </c>
      <c r="C13" s="295" t="s">
        <v>101</v>
      </c>
      <c r="D13" s="295" t="s">
        <v>102</v>
      </c>
      <c r="E13" s="296">
        <v>939934344</v>
      </c>
      <c r="F13" s="297" t="s">
        <v>104</v>
      </c>
      <c r="G13" s="286" t="s">
        <v>672</v>
      </c>
      <c r="H13" s="296" t="s">
        <v>86</v>
      </c>
      <c r="I13" s="298">
        <v>45205</v>
      </c>
      <c r="J13" s="299">
        <v>114270004</v>
      </c>
      <c r="K13" s="255" t="s">
        <v>90</v>
      </c>
      <c r="L13" s="288" t="s">
        <v>42</v>
      </c>
      <c r="M13" s="296" t="s">
        <v>105</v>
      </c>
      <c r="N13" s="287"/>
      <c r="O13" s="300" t="s">
        <v>103</v>
      </c>
      <c r="P13" s="301">
        <v>102543675</v>
      </c>
    </row>
    <row r="14" spans="1:16" ht="17">
      <c r="A14" s="285">
        <v>9</v>
      </c>
      <c r="B14" s="294">
        <v>45344</v>
      </c>
      <c r="C14" s="295" t="s">
        <v>101</v>
      </c>
      <c r="D14" s="295" t="s">
        <v>102</v>
      </c>
      <c r="E14" s="296">
        <v>939934344</v>
      </c>
      <c r="F14" s="297" t="s">
        <v>106</v>
      </c>
      <c r="G14" s="286" t="s">
        <v>672</v>
      </c>
      <c r="H14" s="296" t="s">
        <v>86</v>
      </c>
      <c r="I14" s="298">
        <v>45177</v>
      </c>
      <c r="J14" s="299">
        <v>113430016</v>
      </c>
      <c r="K14" s="255" t="s">
        <v>90</v>
      </c>
      <c r="L14" s="288" t="s">
        <v>42</v>
      </c>
      <c r="M14" s="296" t="s">
        <v>107</v>
      </c>
      <c r="N14" s="287"/>
      <c r="O14" s="300" t="s">
        <v>103</v>
      </c>
      <c r="P14" s="301">
        <v>102543675</v>
      </c>
    </row>
    <row r="15" spans="1:16" ht="17">
      <c r="A15" s="285">
        <v>10</v>
      </c>
      <c r="B15" s="294">
        <v>45344</v>
      </c>
      <c r="C15" s="295" t="s">
        <v>101</v>
      </c>
      <c r="D15" s="295" t="s">
        <v>102</v>
      </c>
      <c r="E15" s="296">
        <v>939934344</v>
      </c>
      <c r="F15" s="297" t="s">
        <v>108</v>
      </c>
      <c r="G15" s="286" t="s">
        <v>672</v>
      </c>
      <c r="H15" s="296" t="s">
        <v>86</v>
      </c>
      <c r="I15" s="298">
        <v>44973</v>
      </c>
      <c r="J15" s="299">
        <v>40590830</v>
      </c>
      <c r="K15" s="255" t="s">
        <v>90</v>
      </c>
      <c r="L15" s="288" t="s">
        <v>42</v>
      </c>
      <c r="M15" s="296" t="s">
        <v>657</v>
      </c>
      <c r="N15" s="287"/>
      <c r="O15" s="300" t="s">
        <v>103</v>
      </c>
      <c r="P15" s="301">
        <v>102543675</v>
      </c>
    </row>
    <row r="16" spans="1:16" ht="17">
      <c r="A16" s="285">
        <v>11</v>
      </c>
      <c r="B16" s="307">
        <v>45344</v>
      </c>
      <c r="C16" s="308" t="s">
        <v>307</v>
      </c>
      <c r="D16" s="308" t="s">
        <v>308</v>
      </c>
      <c r="E16" s="308">
        <v>989528005</v>
      </c>
      <c r="F16" s="309" t="s">
        <v>54</v>
      </c>
      <c r="G16" s="286" t="s">
        <v>673</v>
      </c>
      <c r="H16" s="308" t="s">
        <v>52</v>
      </c>
      <c r="I16" s="310">
        <v>45341</v>
      </c>
      <c r="J16" s="309">
        <v>111570002</v>
      </c>
      <c r="K16" s="255" t="s">
        <v>90</v>
      </c>
      <c r="L16" s="311">
        <v>413979</v>
      </c>
      <c r="M16" s="309" t="s">
        <v>306</v>
      </c>
      <c r="N16" s="287"/>
      <c r="O16" s="312" t="s">
        <v>309</v>
      </c>
      <c r="P16" s="313">
        <v>104305081</v>
      </c>
    </row>
    <row r="17" spans="1:16" ht="17">
      <c r="A17" s="285">
        <v>12</v>
      </c>
      <c r="B17" s="307">
        <v>45344</v>
      </c>
      <c r="C17" s="308" t="s">
        <v>310</v>
      </c>
      <c r="D17" s="308" t="s">
        <v>313</v>
      </c>
      <c r="E17" s="308" t="s">
        <v>55</v>
      </c>
      <c r="F17" s="309" t="s">
        <v>311</v>
      </c>
      <c r="G17" s="286" t="s">
        <v>673</v>
      </c>
      <c r="H17" s="308" t="s">
        <v>310</v>
      </c>
      <c r="I17" s="310">
        <v>45344</v>
      </c>
      <c r="J17" s="309">
        <v>111570003</v>
      </c>
      <c r="K17" s="255" t="s">
        <v>90</v>
      </c>
      <c r="L17" s="311" t="s">
        <v>42</v>
      </c>
      <c r="M17" s="309" t="s">
        <v>312</v>
      </c>
      <c r="N17" s="287"/>
      <c r="O17" s="314"/>
      <c r="P17" s="313">
        <v>941053985</v>
      </c>
    </row>
    <row r="18" spans="1:16" ht="17">
      <c r="A18" s="285">
        <v>13</v>
      </c>
      <c r="B18" s="302">
        <v>45345</v>
      </c>
      <c r="C18" s="302" t="s">
        <v>434</v>
      </c>
      <c r="D18" s="302" t="s">
        <v>224</v>
      </c>
      <c r="E18" s="303">
        <v>984756497</v>
      </c>
      <c r="F18" s="302" t="s">
        <v>432</v>
      </c>
      <c r="G18" s="286" t="s">
        <v>697</v>
      </c>
      <c r="H18" s="302" t="s">
        <v>183</v>
      </c>
      <c r="I18" s="302">
        <v>45324</v>
      </c>
      <c r="J18" s="304" t="s">
        <v>431</v>
      </c>
      <c r="K18" s="255" t="s">
        <v>90</v>
      </c>
      <c r="L18" s="311" t="s">
        <v>42</v>
      </c>
      <c r="M18" s="302" t="s">
        <v>433</v>
      </c>
      <c r="N18" s="287"/>
      <c r="O18" s="305" t="s">
        <v>435</v>
      </c>
      <c r="P18" s="306">
        <v>300426913</v>
      </c>
    </row>
    <row r="19" spans="1:16" ht="17">
      <c r="A19" s="285">
        <v>14</v>
      </c>
      <c r="B19" s="294">
        <v>45345</v>
      </c>
      <c r="C19" s="295" t="s">
        <v>118</v>
      </c>
      <c r="D19" s="295" t="s">
        <v>93</v>
      </c>
      <c r="E19" s="296">
        <v>987210017</v>
      </c>
      <c r="F19" s="297" t="s">
        <v>116</v>
      </c>
      <c r="G19" s="286" t="s">
        <v>672</v>
      </c>
      <c r="H19" s="296" t="s">
        <v>114</v>
      </c>
      <c r="I19" s="298">
        <v>45273</v>
      </c>
      <c r="J19" s="299">
        <v>112500049</v>
      </c>
      <c r="K19" s="255" t="s">
        <v>90</v>
      </c>
      <c r="L19" s="288">
        <v>409504</v>
      </c>
      <c r="M19" s="296" t="s">
        <v>117</v>
      </c>
      <c r="N19" s="287"/>
      <c r="O19" s="300" t="s">
        <v>119</v>
      </c>
      <c r="P19" s="301">
        <v>103811394</v>
      </c>
    </row>
    <row r="20" spans="1:16" ht="17">
      <c r="A20" s="285">
        <v>15</v>
      </c>
      <c r="B20" s="294">
        <v>45345</v>
      </c>
      <c r="C20" s="295" t="s">
        <v>118</v>
      </c>
      <c r="D20" s="295" t="s">
        <v>93</v>
      </c>
      <c r="E20" s="296">
        <v>987210017</v>
      </c>
      <c r="F20" s="297" t="s">
        <v>95</v>
      </c>
      <c r="G20" s="286" t="s">
        <v>672</v>
      </c>
      <c r="H20" s="296" t="s">
        <v>114</v>
      </c>
      <c r="I20" s="298">
        <v>45257</v>
      </c>
      <c r="J20" s="299">
        <v>111000051</v>
      </c>
      <c r="K20" s="255" t="s">
        <v>90</v>
      </c>
      <c r="L20" s="288">
        <v>409497</v>
      </c>
      <c r="M20" s="296" t="s">
        <v>121</v>
      </c>
      <c r="N20" s="287"/>
      <c r="O20" s="300" t="s">
        <v>119</v>
      </c>
      <c r="P20" s="301">
        <v>103811394</v>
      </c>
    </row>
    <row r="21" spans="1:16" ht="17">
      <c r="A21" s="285">
        <v>16</v>
      </c>
      <c r="B21" s="294">
        <v>44980</v>
      </c>
      <c r="C21" s="295" t="s">
        <v>112</v>
      </c>
      <c r="D21" s="295" t="s">
        <v>113</v>
      </c>
      <c r="E21" s="296">
        <v>993874623</v>
      </c>
      <c r="F21" s="297" t="s">
        <v>110</v>
      </c>
      <c r="G21" s="286" t="s">
        <v>672</v>
      </c>
      <c r="H21" s="296" t="s">
        <v>146</v>
      </c>
      <c r="I21" s="298">
        <v>45254</v>
      </c>
      <c r="J21" s="299">
        <v>113430018</v>
      </c>
      <c r="K21" s="255" t="s">
        <v>90</v>
      </c>
      <c r="L21" s="288" t="s">
        <v>42</v>
      </c>
      <c r="M21" s="296" t="s">
        <v>111</v>
      </c>
      <c r="N21" s="287"/>
      <c r="O21" s="300" t="s">
        <v>124</v>
      </c>
      <c r="P21" s="301">
        <v>101590834</v>
      </c>
    </row>
    <row r="22" spans="1:16" ht="17">
      <c r="A22" s="285">
        <v>17</v>
      </c>
      <c r="B22" s="294">
        <v>45345</v>
      </c>
      <c r="C22" s="295" t="s">
        <v>112</v>
      </c>
      <c r="D22" s="295" t="s">
        <v>113</v>
      </c>
      <c r="E22" s="296">
        <v>993874623</v>
      </c>
      <c r="F22" s="297" t="s">
        <v>122</v>
      </c>
      <c r="G22" s="286" t="s">
        <v>672</v>
      </c>
      <c r="H22" s="296" t="s">
        <v>146</v>
      </c>
      <c r="I22" s="298">
        <v>45254</v>
      </c>
      <c r="J22" s="299">
        <v>415600041</v>
      </c>
      <c r="K22" s="255" t="s">
        <v>90</v>
      </c>
      <c r="L22" s="288">
        <v>394172</v>
      </c>
      <c r="M22" s="296" t="s">
        <v>123</v>
      </c>
      <c r="N22" s="287"/>
      <c r="O22" s="300" t="s">
        <v>124</v>
      </c>
      <c r="P22" s="301">
        <v>101590834</v>
      </c>
    </row>
    <row r="23" spans="1:16" ht="17">
      <c r="A23" s="285">
        <v>18</v>
      </c>
      <c r="B23" s="294">
        <v>45348</v>
      </c>
      <c r="C23" s="295" t="s">
        <v>129</v>
      </c>
      <c r="D23" s="295" t="s">
        <v>130</v>
      </c>
      <c r="E23" s="296">
        <v>998085764</v>
      </c>
      <c r="F23" s="297" t="s">
        <v>127</v>
      </c>
      <c r="G23" s="286" t="s">
        <v>672</v>
      </c>
      <c r="H23" s="296" t="s">
        <v>125</v>
      </c>
      <c r="I23" s="298">
        <v>45316</v>
      </c>
      <c r="J23" s="299">
        <v>40466111</v>
      </c>
      <c r="K23" s="255" t="s">
        <v>90</v>
      </c>
      <c r="L23" s="288" t="s">
        <v>42</v>
      </c>
      <c r="M23" s="296" t="s">
        <v>128</v>
      </c>
      <c r="N23" s="287"/>
      <c r="O23" s="300" t="s">
        <v>131</v>
      </c>
      <c r="P23" s="301">
        <v>918908260</v>
      </c>
    </row>
    <row r="24" spans="1:16" ht="17">
      <c r="A24" s="285">
        <v>19</v>
      </c>
      <c r="B24" s="294">
        <v>45348</v>
      </c>
      <c r="C24" s="295" t="s">
        <v>129</v>
      </c>
      <c r="D24" s="295" t="s">
        <v>130</v>
      </c>
      <c r="E24" s="296">
        <v>998085764</v>
      </c>
      <c r="F24" s="297" t="s">
        <v>133</v>
      </c>
      <c r="G24" s="286" t="s">
        <v>672</v>
      </c>
      <c r="H24" s="296" t="s">
        <v>125</v>
      </c>
      <c r="I24" s="298">
        <v>45303</v>
      </c>
      <c r="J24" s="299">
        <v>112580017</v>
      </c>
      <c r="K24" s="255" t="s">
        <v>90</v>
      </c>
      <c r="L24" s="288" t="s">
        <v>42</v>
      </c>
      <c r="M24" s="296" t="s">
        <v>134</v>
      </c>
      <c r="N24" s="287"/>
      <c r="O24" s="300" t="s">
        <v>131</v>
      </c>
      <c r="P24" s="301">
        <v>918908260</v>
      </c>
    </row>
    <row r="25" spans="1:16" ht="17">
      <c r="A25" s="285">
        <v>20</v>
      </c>
      <c r="B25" s="294">
        <v>45348</v>
      </c>
      <c r="C25" s="295" t="s">
        <v>139</v>
      </c>
      <c r="D25" s="295" t="s">
        <v>140</v>
      </c>
      <c r="E25" s="296">
        <v>995920304</v>
      </c>
      <c r="F25" s="297" t="s">
        <v>137</v>
      </c>
      <c r="G25" s="286" t="s">
        <v>672</v>
      </c>
      <c r="H25" s="296" t="s">
        <v>135</v>
      </c>
      <c r="I25" s="298">
        <v>45304</v>
      </c>
      <c r="J25" s="315">
        <v>40483182</v>
      </c>
      <c r="K25" s="255" t="s">
        <v>90</v>
      </c>
      <c r="L25" s="288" t="s">
        <v>42</v>
      </c>
      <c r="M25" s="296" t="s">
        <v>138</v>
      </c>
      <c r="N25" s="287"/>
      <c r="O25" s="300" t="s">
        <v>141</v>
      </c>
      <c r="P25" s="301">
        <v>1045514161</v>
      </c>
    </row>
    <row r="26" spans="1:16" ht="17">
      <c r="A26" s="285">
        <v>21</v>
      </c>
      <c r="B26" s="294">
        <v>45348</v>
      </c>
      <c r="C26" s="295" t="s">
        <v>139</v>
      </c>
      <c r="D26" s="295" t="s">
        <v>140</v>
      </c>
      <c r="E26" s="296">
        <v>995920304</v>
      </c>
      <c r="F26" s="297" t="s">
        <v>143</v>
      </c>
      <c r="G26" s="286" t="s">
        <v>672</v>
      </c>
      <c r="H26" s="296" t="s">
        <v>135</v>
      </c>
      <c r="I26" s="298">
        <v>45304</v>
      </c>
      <c r="J26" s="316">
        <v>112570128</v>
      </c>
      <c r="K26" s="255" t="s">
        <v>90</v>
      </c>
      <c r="L26" s="288">
        <v>415023</v>
      </c>
      <c r="M26" s="296" t="s">
        <v>142</v>
      </c>
      <c r="N26" s="287"/>
      <c r="O26" s="300" t="s">
        <v>141</v>
      </c>
      <c r="P26" s="301">
        <v>1045514161</v>
      </c>
    </row>
    <row r="27" spans="1:16" ht="17">
      <c r="A27" s="285">
        <v>22</v>
      </c>
      <c r="B27" s="294">
        <v>45348</v>
      </c>
      <c r="C27" s="295" t="s">
        <v>139</v>
      </c>
      <c r="D27" s="295" t="s">
        <v>140</v>
      </c>
      <c r="E27" s="296">
        <v>995920304</v>
      </c>
      <c r="F27" s="297" t="s">
        <v>144</v>
      </c>
      <c r="G27" s="286" t="s">
        <v>672</v>
      </c>
      <c r="H27" s="296" t="s">
        <v>135</v>
      </c>
      <c r="I27" s="298">
        <v>45304</v>
      </c>
      <c r="J27" s="316">
        <v>111000051</v>
      </c>
      <c r="K27" s="255" t="s">
        <v>90</v>
      </c>
      <c r="L27" s="288" t="s">
        <v>42</v>
      </c>
      <c r="M27" s="296" t="s">
        <v>145</v>
      </c>
      <c r="N27" s="287"/>
      <c r="O27" s="300" t="s">
        <v>141</v>
      </c>
      <c r="P27" s="301">
        <v>1045514161</v>
      </c>
    </row>
    <row r="28" spans="1:16" ht="17">
      <c r="A28" s="285">
        <v>23</v>
      </c>
      <c r="B28" s="294">
        <v>45348</v>
      </c>
      <c r="C28" s="295" t="s">
        <v>150</v>
      </c>
      <c r="D28" s="295" t="s">
        <v>151</v>
      </c>
      <c r="E28" s="296">
        <v>994809453</v>
      </c>
      <c r="F28" s="297" t="s">
        <v>148</v>
      </c>
      <c r="G28" s="286" t="s">
        <v>672</v>
      </c>
      <c r="H28" s="296" t="s">
        <v>146</v>
      </c>
      <c r="I28" s="298">
        <v>45337</v>
      </c>
      <c r="J28" s="299">
        <v>40466241</v>
      </c>
      <c r="K28" s="255" t="s">
        <v>90</v>
      </c>
      <c r="L28" s="288" t="s">
        <v>42</v>
      </c>
      <c r="M28" s="296" t="s">
        <v>149</v>
      </c>
      <c r="N28" s="287"/>
      <c r="O28" s="300" t="s">
        <v>152</v>
      </c>
      <c r="P28" s="301">
        <v>103215935</v>
      </c>
    </row>
    <row r="29" spans="1:16" ht="17">
      <c r="A29" s="285">
        <v>24</v>
      </c>
      <c r="B29" s="294">
        <v>45348</v>
      </c>
      <c r="C29" s="295" t="s">
        <v>150</v>
      </c>
      <c r="D29" s="295" t="s">
        <v>151</v>
      </c>
      <c r="E29" s="296">
        <v>994809453</v>
      </c>
      <c r="F29" s="297" t="s">
        <v>153</v>
      </c>
      <c r="G29" s="286" t="s">
        <v>672</v>
      </c>
      <c r="H29" s="296" t="s">
        <v>146</v>
      </c>
      <c r="I29" s="298">
        <v>45337</v>
      </c>
      <c r="J29" s="299">
        <v>112610069</v>
      </c>
      <c r="K29" s="255" t="s">
        <v>90</v>
      </c>
      <c r="L29" s="288" t="s">
        <v>42</v>
      </c>
      <c r="M29" s="296" t="s">
        <v>154</v>
      </c>
      <c r="N29" s="287"/>
      <c r="O29" s="300" t="s">
        <v>152</v>
      </c>
      <c r="P29" s="301">
        <v>103215935</v>
      </c>
    </row>
    <row r="30" spans="1:16" ht="17">
      <c r="A30" s="285">
        <v>25</v>
      </c>
      <c r="B30" s="294">
        <v>45348</v>
      </c>
      <c r="C30" s="295" t="s">
        <v>159</v>
      </c>
      <c r="D30" s="295" t="s">
        <v>160</v>
      </c>
      <c r="E30" s="296">
        <v>997017993</v>
      </c>
      <c r="F30" s="297" t="s">
        <v>155</v>
      </c>
      <c r="G30" s="286" t="s">
        <v>672</v>
      </c>
      <c r="H30" s="296" t="s">
        <v>146</v>
      </c>
      <c r="I30" s="298">
        <v>45315</v>
      </c>
      <c r="J30" s="299">
        <v>112500048</v>
      </c>
      <c r="K30" s="255" t="s">
        <v>90</v>
      </c>
      <c r="L30" s="288">
        <v>400507</v>
      </c>
      <c r="M30" s="296" t="s">
        <v>158</v>
      </c>
      <c r="N30" s="287"/>
      <c r="O30" s="300"/>
      <c r="P30" s="301">
        <v>102512225</v>
      </c>
    </row>
    <row r="31" spans="1:16" ht="17">
      <c r="A31" s="285">
        <v>26</v>
      </c>
      <c r="B31" s="294">
        <v>45348</v>
      </c>
      <c r="C31" s="295" t="s">
        <v>159</v>
      </c>
      <c r="D31" s="295" t="s">
        <v>160</v>
      </c>
      <c r="E31" s="296">
        <v>997017993</v>
      </c>
      <c r="F31" s="297" t="s">
        <v>156</v>
      </c>
      <c r="G31" s="286" t="s">
        <v>672</v>
      </c>
      <c r="H31" s="296" t="s">
        <v>146</v>
      </c>
      <c r="I31" s="298">
        <v>45315</v>
      </c>
      <c r="J31" s="299">
        <v>111200005</v>
      </c>
      <c r="K31" s="255" t="s">
        <v>90</v>
      </c>
      <c r="L31" s="288" t="s">
        <v>42</v>
      </c>
      <c r="M31" s="296" t="s">
        <v>157</v>
      </c>
      <c r="N31" s="287"/>
      <c r="O31" s="300"/>
      <c r="P31" s="301">
        <v>102512225</v>
      </c>
    </row>
    <row r="32" spans="1:16" ht="17">
      <c r="A32" s="285">
        <v>27</v>
      </c>
      <c r="B32" s="302">
        <v>45348</v>
      </c>
      <c r="C32" s="302" t="s">
        <v>440</v>
      </c>
      <c r="D32" s="302" t="s">
        <v>176</v>
      </c>
      <c r="E32" s="303">
        <v>995259757</v>
      </c>
      <c r="F32" s="302" t="s">
        <v>438</v>
      </c>
      <c r="G32" s="286" t="s">
        <v>697</v>
      </c>
      <c r="H32" s="302" t="s">
        <v>135</v>
      </c>
      <c r="I32" s="302">
        <v>45318</v>
      </c>
      <c r="J32" s="304" t="s">
        <v>436</v>
      </c>
      <c r="K32" s="255" t="s">
        <v>90</v>
      </c>
      <c r="L32" s="304" t="s">
        <v>42</v>
      </c>
      <c r="M32" s="302" t="s">
        <v>439</v>
      </c>
      <c r="N32" s="287"/>
      <c r="O32" s="305" t="s">
        <v>441</v>
      </c>
      <c r="P32" s="306">
        <v>103951851</v>
      </c>
    </row>
    <row r="33" spans="1:16" ht="17">
      <c r="A33" s="285">
        <v>28</v>
      </c>
      <c r="B33" s="302">
        <v>45348</v>
      </c>
      <c r="C33" s="302" t="s">
        <v>445</v>
      </c>
      <c r="D33" s="302" t="s">
        <v>446</v>
      </c>
      <c r="E33" s="303">
        <v>2885380</v>
      </c>
      <c r="F33" s="302" t="s">
        <v>406</v>
      </c>
      <c r="G33" s="286" t="s">
        <v>697</v>
      </c>
      <c r="H33" s="302" t="s">
        <v>146</v>
      </c>
      <c r="I33" s="302">
        <v>45331</v>
      </c>
      <c r="J33" s="304" t="s">
        <v>443</v>
      </c>
      <c r="K33" s="255" t="s">
        <v>90</v>
      </c>
      <c r="L33" s="304" t="s">
        <v>42</v>
      </c>
      <c r="M33" s="302" t="s">
        <v>444</v>
      </c>
      <c r="N33" s="287"/>
      <c r="O33" s="305" t="s">
        <v>510</v>
      </c>
      <c r="P33" s="306">
        <v>103061305</v>
      </c>
    </row>
    <row r="34" spans="1:16" ht="17">
      <c r="A34" s="285">
        <v>29</v>
      </c>
      <c r="B34" s="302">
        <v>45349</v>
      </c>
      <c r="C34" s="302" t="s">
        <v>391</v>
      </c>
      <c r="D34" s="302" t="s">
        <v>392</v>
      </c>
      <c r="E34" s="303">
        <v>999352423</v>
      </c>
      <c r="F34" s="302" t="s">
        <v>144</v>
      </c>
      <c r="G34" s="286" t="s">
        <v>697</v>
      </c>
      <c r="H34" s="302" t="s">
        <v>135</v>
      </c>
      <c r="I34" s="302">
        <v>45346</v>
      </c>
      <c r="J34" s="304" t="s">
        <v>448</v>
      </c>
      <c r="K34" s="255" t="s">
        <v>90</v>
      </c>
      <c r="L34" s="304" t="s">
        <v>42</v>
      </c>
      <c r="M34" s="302" t="s">
        <v>449</v>
      </c>
      <c r="N34" s="287"/>
      <c r="O34" s="305" t="s">
        <v>450</v>
      </c>
      <c r="P34" s="306">
        <v>10515777</v>
      </c>
    </row>
    <row r="35" spans="1:16" ht="17">
      <c r="A35" s="285">
        <v>30</v>
      </c>
      <c r="B35" s="307">
        <v>45348</v>
      </c>
      <c r="C35" s="308" t="s">
        <v>316</v>
      </c>
      <c r="D35" s="308" t="s">
        <v>317</v>
      </c>
      <c r="E35" s="308">
        <v>988537322</v>
      </c>
      <c r="F35" s="309" t="s">
        <v>54</v>
      </c>
      <c r="G35" s="286" t="s">
        <v>673</v>
      </c>
      <c r="H35" s="308" t="s">
        <v>52</v>
      </c>
      <c r="I35" s="310">
        <v>45342</v>
      </c>
      <c r="J35" s="309">
        <v>111570002</v>
      </c>
      <c r="K35" s="255" t="s">
        <v>90</v>
      </c>
      <c r="L35" s="311">
        <v>413960</v>
      </c>
      <c r="M35" s="309" t="s">
        <v>315</v>
      </c>
      <c r="N35" s="287"/>
      <c r="O35" s="300"/>
      <c r="P35" s="313">
        <v>190446859</v>
      </c>
    </row>
    <row r="36" spans="1:16" ht="17">
      <c r="A36" s="285">
        <v>31</v>
      </c>
      <c r="B36" s="294">
        <v>45349</v>
      </c>
      <c r="C36" s="295" t="s">
        <v>165</v>
      </c>
      <c r="D36" s="295" t="s">
        <v>166</v>
      </c>
      <c r="E36" s="317">
        <v>995868605</v>
      </c>
      <c r="F36" s="297" t="s">
        <v>163</v>
      </c>
      <c r="G36" s="286" t="s">
        <v>672</v>
      </c>
      <c r="H36" s="296" t="s">
        <v>161</v>
      </c>
      <c r="I36" s="298">
        <v>45227</v>
      </c>
      <c r="J36" s="299">
        <v>40212070</v>
      </c>
      <c r="K36" s="255" t="s">
        <v>90</v>
      </c>
      <c r="L36" s="288">
        <v>408066</v>
      </c>
      <c r="M36" s="296" t="s">
        <v>164</v>
      </c>
      <c r="N36" s="287"/>
      <c r="O36" s="300"/>
      <c r="P36" s="301">
        <v>300605268</v>
      </c>
    </row>
    <row r="37" spans="1:16" ht="17">
      <c r="A37" s="285">
        <v>32</v>
      </c>
      <c r="B37" s="294">
        <v>45349</v>
      </c>
      <c r="C37" s="295" t="s">
        <v>165</v>
      </c>
      <c r="D37" s="295" t="s">
        <v>166</v>
      </c>
      <c r="E37" s="317">
        <v>995868605</v>
      </c>
      <c r="F37" s="297" t="s">
        <v>168</v>
      </c>
      <c r="G37" s="286" t="s">
        <v>672</v>
      </c>
      <c r="H37" s="296" t="s">
        <v>161</v>
      </c>
      <c r="I37" s="298">
        <v>45229</v>
      </c>
      <c r="J37" s="299">
        <v>41560074</v>
      </c>
      <c r="K37" s="255" t="s">
        <v>90</v>
      </c>
      <c r="L37" s="288" t="s">
        <v>42</v>
      </c>
      <c r="M37" s="296" t="s">
        <v>169</v>
      </c>
      <c r="N37" s="287"/>
      <c r="O37" s="300"/>
      <c r="P37" s="301">
        <v>300605268</v>
      </c>
    </row>
    <row r="38" spans="1:16" ht="17">
      <c r="A38" s="285">
        <v>33</v>
      </c>
      <c r="B38" s="294">
        <v>45349</v>
      </c>
      <c r="C38" s="295" t="s">
        <v>175</v>
      </c>
      <c r="D38" s="295" t="s">
        <v>176</v>
      </c>
      <c r="E38" s="296">
        <v>983223869</v>
      </c>
      <c r="F38" s="297" t="s">
        <v>83</v>
      </c>
      <c r="G38" s="286" t="s">
        <v>672</v>
      </c>
      <c r="H38" s="296" t="s">
        <v>86</v>
      </c>
      <c r="I38" s="298">
        <v>45346</v>
      </c>
      <c r="J38" s="299">
        <v>40446702</v>
      </c>
      <c r="K38" s="255" t="s">
        <v>90</v>
      </c>
      <c r="L38" s="288">
        <v>417281</v>
      </c>
      <c r="M38" s="296" t="s">
        <v>173</v>
      </c>
      <c r="N38" s="287"/>
      <c r="O38" s="300" t="s">
        <v>177</v>
      </c>
      <c r="P38" s="301">
        <v>150365740</v>
      </c>
    </row>
    <row r="39" spans="1:16" ht="17">
      <c r="A39" s="285">
        <v>34</v>
      </c>
      <c r="B39" s="294">
        <v>45349</v>
      </c>
      <c r="C39" s="295" t="s">
        <v>175</v>
      </c>
      <c r="D39" s="295" t="s">
        <v>176</v>
      </c>
      <c r="E39" s="296">
        <v>983223869</v>
      </c>
      <c r="F39" s="297" t="s">
        <v>172</v>
      </c>
      <c r="G39" s="286" t="s">
        <v>672</v>
      </c>
      <c r="H39" s="296" t="s">
        <v>86</v>
      </c>
      <c r="I39" s="298">
        <v>45339</v>
      </c>
      <c r="J39" s="299">
        <v>112520025</v>
      </c>
      <c r="K39" s="255" t="s">
        <v>90</v>
      </c>
      <c r="L39" s="288" t="s">
        <v>42</v>
      </c>
      <c r="M39" s="296" t="s">
        <v>174</v>
      </c>
      <c r="N39" s="287"/>
      <c r="O39" s="300" t="s">
        <v>177</v>
      </c>
      <c r="P39" s="301">
        <v>150365740</v>
      </c>
    </row>
    <row r="40" spans="1:16" ht="17">
      <c r="A40" s="285">
        <v>35</v>
      </c>
      <c r="B40" s="318">
        <v>45349</v>
      </c>
      <c r="C40" s="319" t="s">
        <v>334</v>
      </c>
      <c r="D40" s="295" t="s">
        <v>679</v>
      </c>
      <c r="E40" s="291">
        <v>997468815</v>
      </c>
      <c r="F40" s="319" t="s">
        <v>332</v>
      </c>
      <c r="G40" s="286" t="s">
        <v>684</v>
      </c>
      <c r="H40" s="296" t="s">
        <v>86</v>
      </c>
      <c r="I40" s="318">
        <v>45028</v>
      </c>
      <c r="J40" s="299">
        <v>114270008</v>
      </c>
      <c r="K40" s="255" t="s">
        <v>90</v>
      </c>
      <c r="L40" s="288" t="s">
        <v>42</v>
      </c>
      <c r="M40" s="320" t="s">
        <v>333</v>
      </c>
      <c r="N40" s="287"/>
      <c r="O40" s="321" t="s">
        <v>336</v>
      </c>
      <c r="P40" s="322">
        <v>101351732</v>
      </c>
    </row>
    <row r="41" spans="1:16" ht="17">
      <c r="A41" s="285">
        <v>36</v>
      </c>
      <c r="B41" s="318">
        <v>45349</v>
      </c>
      <c r="C41" s="319" t="s">
        <v>346</v>
      </c>
      <c r="D41" s="295" t="s">
        <v>680</v>
      </c>
      <c r="E41" s="292">
        <v>987703259</v>
      </c>
      <c r="F41" s="319" t="s">
        <v>344</v>
      </c>
      <c r="G41" s="286" t="s">
        <v>684</v>
      </c>
      <c r="H41" s="296" t="s">
        <v>161</v>
      </c>
      <c r="I41" s="318">
        <v>45104</v>
      </c>
      <c r="J41" s="299">
        <v>10210071</v>
      </c>
      <c r="K41" s="255" t="s">
        <v>90</v>
      </c>
      <c r="L41" s="288" t="s">
        <v>42</v>
      </c>
      <c r="M41" s="320" t="s">
        <v>345</v>
      </c>
      <c r="N41" s="287"/>
      <c r="O41" s="321" t="s">
        <v>347</v>
      </c>
      <c r="P41" s="322">
        <v>104898473</v>
      </c>
    </row>
    <row r="42" spans="1:16" ht="17">
      <c r="A42" s="285">
        <v>37</v>
      </c>
      <c r="B42" s="318">
        <v>45349</v>
      </c>
      <c r="C42" s="319" t="s">
        <v>352</v>
      </c>
      <c r="D42" s="295" t="s">
        <v>681</v>
      </c>
      <c r="E42" s="292">
        <v>991022543</v>
      </c>
      <c r="F42" s="319" t="s">
        <v>350</v>
      </c>
      <c r="G42" s="286" t="s">
        <v>684</v>
      </c>
      <c r="H42" s="296" t="s">
        <v>135</v>
      </c>
      <c r="I42" s="318">
        <v>44951</v>
      </c>
      <c r="J42" s="299">
        <v>112510035</v>
      </c>
      <c r="K42" s="255" t="s">
        <v>90</v>
      </c>
      <c r="L42" s="288" t="s">
        <v>42</v>
      </c>
      <c r="M42" s="320" t="s">
        <v>351</v>
      </c>
      <c r="N42" s="287"/>
      <c r="O42" s="321" t="s">
        <v>353</v>
      </c>
      <c r="P42" s="322">
        <v>102394897</v>
      </c>
    </row>
    <row r="43" spans="1:16" ht="17">
      <c r="A43" s="285">
        <v>38</v>
      </c>
      <c r="B43" s="318">
        <v>45349</v>
      </c>
      <c r="C43" s="319" t="s">
        <v>357</v>
      </c>
      <c r="D43" s="295" t="s">
        <v>682</v>
      </c>
      <c r="E43" s="292">
        <v>2838162</v>
      </c>
      <c r="F43" s="319" t="s">
        <v>356</v>
      </c>
      <c r="G43" s="286" t="s">
        <v>684</v>
      </c>
      <c r="H43" s="296" t="s">
        <v>183</v>
      </c>
      <c r="I43" s="318">
        <v>44660</v>
      </c>
      <c r="J43" s="299">
        <v>40197255</v>
      </c>
      <c r="K43" s="255" t="s">
        <v>90</v>
      </c>
      <c r="L43" s="288" t="s">
        <v>42</v>
      </c>
      <c r="M43" s="320" t="s">
        <v>685</v>
      </c>
      <c r="N43" s="287"/>
      <c r="O43" s="321" t="s">
        <v>358</v>
      </c>
      <c r="P43" s="322">
        <v>103646576</v>
      </c>
    </row>
    <row r="44" spans="1:16" ht="17">
      <c r="A44" s="285">
        <v>39</v>
      </c>
      <c r="B44" s="318">
        <v>45349</v>
      </c>
      <c r="C44" s="319" t="s">
        <v>364</v>
      </c>
      <c r="D44" s="295" t="s">
        <v>683</v>
      </c>
      <c r="E44" s="292">
        <v>999855663</v>
      </c>
      <c r="F44" s="319" t="s">
        <v>362</v>
      </c>
      <c r="G44" s="286" t="s">
        <v>684</v>
      </c>
      <c r="H44" s="296" t="s">
        <v>146</v>
      </c>
      <c r="I44" s="318">
        <v>44263</v>
      </c>
      <c r="J44" s="299">
        <v>40218050</v>
      </c>
      <c r="K44" s="255" t="s">
        <v>90</v>
      </c>
      <c r="L44" s="288" t="s">
        <v>42</v>
      </c>
      <c r="M44" s="320" t="s">
        <v>363</v>
      </c>
      <c r="N44" s="287"/>
      <c r="O44" s="321" t="s">
        <v>365</v>
      </c>
      <c r="P44" s="322">
        <v>102298957</v>
      </c>
    </row>
    <row r="45" spans="1:16" ht="17">
      <c r="A45" s="285">
        <v>40</v>
      </c>
      <c r="B45" s="307">
        <v>45350</v>
      </c>
      <c r="C45" s="308" t="s">
        <v>320</v>
      </c>
      <c r="D45" s="308" t="s">
        <v>113</v>
      </c>
      <c r="E45" s="308">
        <v>983186422</v>
      </c>
      <c r="F45" s="309" t="s">
        <v>311</v>
      </c>
      <c r="G45" s="286" t="s">
        <v>673</v>
      </c>
      <c r="H45" s="308" t="s">
        <v>135</v>
      </c>
      <c r="I45" s="310">
        <v>45345</v>
      </c>
      <c r="J45" s="309">
        <v>111570003</v>
      </c>
      <c r="K45" s="255" t="s">
        <v>90</v>
      </c>
      <c r="L45" s="311">
        <v>412183</v>
      </c>
      <c r="M45" s="309" t="s">
        <v>319</v>
      </c>
      <c r="N45" s="287"/>
      <c r="O45" s="312" t="s">
        <v>321</v>
      </c>
      <c r="P45" s="313">
        <v>104822705</v>
      </c>
    </row>
    <row r="46" spans="1:16" ht="17">
      <c r="A46" s="285">
        <v>41</v>
      </c>
      <c r="B46" s="302">
        <v>45350</v>
      </c>
      <c r="C46" s="302" t="s">
        <v>455</v>
      </c>
      <c r="D46" s="302" t="s">
        <v>456</v>
      </c>
      <c r="E46" s="303">
        <v>994053164</v>
      </c>
      <c r="F46" s="302" t="s">
        <v>453</v>
      </c>
      <c r="G46" s="286" t="s">
        <v>697</v>
      </c>
      <c r="H46" s="302" t="s">
        <v>86</v>
      </c>
      <c r="I46" s="302">
        <v>44969</v>
      </c>
      <c r="J46" s="304" t="s">
        <v>452</v>
      </c>
      <c r="K46" s="255" t="s">
        <v>90</v>
      </c>
      <c r="L46" s="304" t="s">
        <v>42</v>
      </c>
      <c r="M46" s="302" t="s">
        <v>454</v>
      </c>
      <c r="N46" s="287"/>
      <c r="O46" s="305" t="s">
        <v>457</v>
      </c>
      <c r="P46" s="306">
        <v>190316076</v>
      </c>
    </row>
    <row r="47" spans="1:16" ht="17">
      <c r="A47" s="285">
        <v>42</v>
      </c>
      <c r="B47" s="302">
        <v>45350</v>
      </c>
      <c r="C47" s="302" t="s">
        <v>463</v>
      </c>
      <c r="D47" s="302" t="s">
        <v>130</v>
      </c>
      <c r="E47" s="303">
        <v>983808258</v>
      </c>
      <c r="F47" s="302" t="s">
        <v>460</v>
      </c>
      <c r="G47" s="286" t="s">
        <v>697</v>
      </c>
      <c r="H47" s="302" t="s">
        <v>86</v>
      </c>
      <c r="I47" s="302">
        <v>45349</v>
      </c>
      <c r="J47" s="304" t="s">
        <v>459</v>
      </c>
      <c r="K47" s="255" t="s">
        <v>90</v>
      </c>
      <c r="L47" s="304" t="s">
        <v>462</v>
      </c>
      <c r="M47" s="302" t="s">
        <v>461</v>
      </c>
      <c r="N47" s="287"/>
      <c r="O47" s="305" t="s">
        <v>464</v>
      </c>
      <c r="P47" s="306">
        <v>301373478</v>
      </c>
    </row>
    <row r="48" spans="1:16" ht="17">
      <c r="A48" s="285">
        <v>43</v>
      </c>
      <c r="B48" s="302">
        <v>45350</v>
      </c>
      <c r="C48" s="302" t="s">
        <v>470</v>
      </c>
      <c r="D48" s="302" t="s">
        <v>471</v>
      </c>
      <c r="E48" s="303">
        <v>992808008</v>
      </c>
      <c r="F48" s="302" t="s">
        <v>467</v>
      </c>
      <c r="G48" s="286" t="s">
        <v>697</v>
      </c>
      <c r="H48" s="302" t="s">
        <v>146</v>
      </c>
      <c r="I48" s="302">
        <v>45318</v>
      </c>
      <c r="J48" s="304" t="s">
        <v>466</v>
      </c>
      <c r="K48" s="255" t="s">
        <v>90</v>
      </c>
      <c r="L48" s="304" t="s">
        <v>469</v>
      </c>
      <c r="M48" s="302" t="s">
        <v>468</v>
      </c>
      <c r="N48" s="287"/>
      <c r="O48" s="305" t="s">
        <v>472</v>
      </c>
      <c r="P48" s="306">
        <v>104805494</v>
      </c>
    </row>
    <row r="49" spans="1:16" ht="17">
      <c r="A49" s="285">
        <v>44</v>
      </c>
      <c r="B49" s="302">
        <v>45350</v>
      </c>
      <c r="C49" s="302" t="s">
        <v>475</v>
      </c>
      <c r="D49" s="302" t="s">
        <v>476</v>
      </c>
      <c r="E49" s="303">
        <v>984116073</v>
      </c>
      <c r="F49" s="302" t="s">
        <v>406</v>
      </c>
      <c r="G49" s="286" t="s">
        <v>697</v>
      </c>
      <c r="H49" s="302" t="s">
        <v>135</v>
      </c>
      <c r="I49" s="302">
        <v>45346</v>
      </c>
      <c r="J49" s="304" t="s">
        <v>443</v>
      </c>
      <c r="K49" s="255" t="s">
        <v>90</v>
      </c>
      <c r="L49" s="304" t="s">
        <v>42</v>
      </c>
      <c r="M49" s="302" t="s">
        <v>474</v>
      </c>
      <c r="N49" s="287"/>
      <c r="O49" s="305" t="s">
        <v>477</v>
      </c>
      <c r="P49" s="306">
        <v>301757779</v>
      </c>
    </row>
    <row r="50" spans="1:16" ht="17">
      <c r="A50" s="285">
        <v>45</v>
      </c>
      <c r="B50" s="31">
        <v>45350</v>
      </c>
      <c r="C50" s="32" t="s">
        <v>182</v>
      </c>
      <c r="D50" s="32" t="s">
        <v>113</v>
      </c>
      <c r="E50" s="29">
        <v>968994611</v>
      </c>
      <c r="F50" s="28" t="s">
        <v>127</v>
      </c>
      <c r="G50" s="286" t="s">
        <v>672</v>
      </c>
      <c r="H50" s="26" t="s">
        <v>146</v>
      </c>
      <c r="I50" s="25">
        <v>45343</v>
      </c>
      <c r="J50" s="27">
        <v>40466111</v>
      </c>
      <c r="K50" s="255" t="s">
        <v>90</v>
      </c>
      <c r="L50" s="30">
        <v>410672</v>
      </c>
      <c r="M50" s="29" t="s">
        <v>179</v>
      </c>
      <c r="N50" s="287"/>
      <c r="O50" s="305"/>
      <c r="P50" s="330">
        <v>103309134</v>
      </c>
    </row>
    <row r="51" spans="1:16" ht="17">
      <c r="A51" s="285">
        <v>46</v>
      </c>
      <c r="B51" s="31">
        <v>45350</v>
      </c>
      <c r="C51" s="32" t="s">
        <v>182</v>
      </c>
      <c r="D51" s="32" t="s">
        <v>113</v>
      </c>
      <c r="E51" s="29">
        <v>968994611</v>
      </c>
      <c r="F51" s="28" t="s">
        <v>127</v>
      </c>
      <c r="G51" s="286" t="s">
        <v>672</v>
      </c>
      <c r="H51" s="26" t="s">
        <v>146</v>
      </c>
      <c r="I51" s="25">
        <v>45343</v>
      </c>
      <c r="J51" s="27">
        <v>40466111</v>
      </c>
      <c r="K51" s="255" t="s">
        <v>90</v>
      </c>
      <c r="L51" s="30">
        <v>4103872</v>
      </c>
      <c r="M51" s="29" t="s">
        <v>180</v>
      </c>
      <c r="N51" s="287"/>
      <c r="O51" s="305"/>
      <c r="P51" s="330">
        <v>103309134</v>
      </c>
    </row>
    <row r="52" spans="1:16" ht="17">
      <c r="A52" s="285">
        <v>47</v>
      </c>
      <c r="B52" s="31">
        <v>45350</v>
      </c>
      <c r="C52" s="32" t="s">
        <v>182</v>
      </c>
      <c r="D52" s="32" t="s">
        <v>113</v>
      </c>
      <c r="E52" s="29">
        <v>968994611</v>
      </c>
      <c r="F52" s="28" t="s">
        <v>127</v>
      </c>
      <c r="G52" s="286" t="s">
        <v>672</v>
      </c>
      <c r="H52" s="26" t="s">
        <v>146</v>
      </c>
      <c r="I52" s="25">
        <v>45343</v>
      </c>
      <c r="J52" s="27">
        <v>40466111</v>
      </c>
      <c r="K52" s="255" t="s">
        <v>90</v>
      </c>
      <c r="L52" s="30">
        <v>413850</v>
      </c>
      <c r="M52" s="29" t="s">
        <v>181</v>
      </c>
      <c r="N52" s="287"/>
      <c r="O52" s="305"/>
      <c r="P52" s="330">
        <v>103309134</v>
      </c>
    </row>
    <row r="53" spans="1:16" ht="17">
      <c r="A53" s="285">
        <v>48</v>
      </c>
      <c r="B53" s="302">
        <v>45351</v>
      </c>
      <c r="C53" s="302" t="s">
        <v>481</v>
      </c>
      <c r="D53" s="302" t="s">
        <v>482</v>
      </c>
      <c r="E53" s="303">
        <v>992098722</v>
      </c>
      <c r="F53" s="302" t="s">
        <v>144</v>
      </c>
      <c r="G53" s="286" t="s">
        <v>697</v>
      </c>
      <c r="H53" s="302" t="s">
        <v>135</v>
      </c>
      <c r="I53" s="302">
        <v>45346</v>
      </c>
      <c r="J53" s="304" t="s">
        <v>448</v>
      </c>
      <c r="K53" s="255" t="s">
        <v>90</v>
      </c>
      <c r="L53" s="304" t="s">
        <v>480</v>
      </c>
      <c r="M53" s="302" t="s">
        <v>479</v>
      </c>
      <c r="N53" s="287"/>
      <c r="O53" s="305" t="s">
        <v>483</v>
      </c>
      <c r="P53" s="306">
        <v>107212722</v>
      </c>
    </row>
    <row r="54" spans="1:16" ht="17">
      <c r="A54" s="285">
        <v>49</v>
      </c>
      <c r="B54" s="302">
        <v>45351</v>
      </c>
      <c r="C54" s="302" t="s">
        <v>487</v>
      </c>
      <c r="D54" s="302" t="s">
        <v>130</v>
      </c>
      <c r="E54" s="303">
        <v>959496034</v>
      </c>
      <c r="F54" s="302" t="s">
        <v>144</v>
      </c>
      <c r="G54" s="286" t="s">
        <v>697</v>
      </c>
      <c r="H54" s="302" t="s">
        <v>183</v>
      </c>
      <c r="I54" s="302">
        <v>45344</v>
      </c>
      <c r="J54" s="304" t="s">
        <v>448</v>
      </c>
      <c r="K54" s="255" t="s">
        <v>90</v>
      </c>
      <c r="L54" s="304" t="s">
        <v>486</v>
      </c>
      <c r="M54" s="302" t="s">
        <v>485</v>
      </c>
      <c r="N54" s="287"/>
      <c r="O54" s="305" t="s">
        <v>488</v>
      </c>
      <c r="P54" s="306">
        <v>152413647</v>
      </c>
    </row>
    <row r="55" spans="1:16" ht="17">
      <c r="A55" s="285">
        <v>50</v>
      </c>
      <c r="B55" s="302">
        <v>45351</v>
      </c>
      <c r="C55" s="302" t="s">
        <v>494</v>
      </c>
      <c r="D55" s="302" t="s">
        <v>495</v>
      </c>
      <c r="E55" s="303">
        <v>991511193</v>
      </c>
      <c r="F55" s="302" t="s">
        <v>491</v>
      </c>
      <c r="G55" s="286" t="s">
        <v>697</v>
      </c>
      <c r="H55" s="302" t="s">
        <v>183</v>
      </c>
      <c r="I55" s="302">
        <v>45347</v>
      </c>
      <c r="J55" s="304" t="s">
        <v>490</v>
      </c>
      <c r="K55" s="255" t="s">
        <v>90</v>
      </c>
      <c r="L55" s="304" t="s">
        <v>493</v>
      </c>
      <c r="M55" s="302" t="s">
        <v>492</v>
      </c>
      <c r="N55" s="287"/>
      <c r="O55" s="305" t="s">
        <v>496</v>
      </c>
      <c r="P55" s="306">
        <v>101663342</v>
      </c>
    </row>
    <row r="56" spans="1:16" ht="17">
      <c r="A56" s="285">
        <v>51</v>
      </c>
      <c r="B56" s="302">
        <v>45351</v>
      </c>
      <c r="C56" s="302" t="s">
        <v>502</v>
      </c>
      <c r="D56" s="302" t="s">
        <v>503</v>
      </c>
      <c r="E56" s="303">
        <v>992514217</v>
      </c>
      <c r="F56" s="302" t="s">
        <v>499</v>
      </c>
      <c r="G56" s="286" t="s">
        <v>697</v>
      </c>
      <c r="H56" s="302" t="s">
        <v>183</v>
      </c>
      <c r="I56" s="302">
        <v>45347</v>
      </c>
      <c r="J56" s="304" t="s">
        <v>498</v>
      </c>
      <c r="K56" s="255" t="s">
        <v>90</v>
      </c>
      <c r="L56" s="304" t="s">
        <v>501</v>
      </c>
      <c r="M56" s="302" t="s">
        <v>500</v>
      </c>
      <c r="N56" s="287"/>
      <c r="O56" s="305" t="s">
        <v>504</v>
      </c>
      <c r="P56" s="306">
        <v>104504217</v>
      </c>
    </row>
    <row r="57" spans="1:16" ht="17">
      <c r="A57" s="285">
        <v>52</v>
      </c>
      <c r="B57" s="302">
        <v>45351</v>
      </c>
      <c r="C57" s="302" t="s">
        <v>445</v>
      </c>
      <c r="D57" s="302" t="s">
        <v>509</v>
      </c>
      <c r="E57" s="303">
        <v>995744177</v>
      </c>
      <c r="F57" s="302" t="s">
        <v>283</v>
      </c>
      <c r="G57" s="286" t="s">
        <v>697</v>
      </c>
      <c r="H57" s="302" t="s">
        <v>114</v>
      </c>
      <c r="I57" s="302">
        <v>45348</v>
      </c>
      <c r="J57" s="304" t="s">
        <v>506</v>
      </c>
      <c r="K57" s="255" t="s">
        <v>90</v>
      </c>
      <c r="L57" s="304" t="s">
        <v>508</v>
      </c>
      <c r="M57" s="302" t="s">
        <v>507</v>
      </c>
      <c r="N57" s="287"/>
      <c r="O57" s="305" t="s">
        <v>510</v>
      </c>
      <c r="P57" s="306">
        <v>100735976</v>
      </c>
    </row>
    <row r="58" spans="1:16" ht="17">
      <c r="A58" s="285">
        <v>53</v>
      </c>
      <c r="B58" s="294">
        <v>45351</v>
      </c>
      <c r="C58" s="295" t="s">
        <v>191</v>
      </c>
      <c r="D58" s="295" t="s">
        <v>192</v>
      </c>
      <c r="E58" s="296">
        <v>9254510932</v>
      </c>
      <c r="F58" s="297" t="s">
        <v>185</v>
      </c>
      <c r="G58" s="286" t="s">
        <v>672</v>
      </c>
      <c r="H58" s="296" t="s">
        <v>183</v>
      </c>
      <c r="I58" s="298">
        <v>45222</v>
      </c>
      <c r="J58" s="299">
        <v>41560061</v>
      </c>
      <c r="K58" s="255" t="s">
        <v>90</v>
      </c>
      <c r="L58" s="288" t="s">
        <v>42</v>
      </c>
      <c r="M58" s="296" t="s">
        <v>186</v>
      </c>
      <c r="N58" s="287"/>
      <c r="O58" s="300" t="s">
        <v>193</v>
      </c>
      <c r="P58" s="301">
        <v>101384519</v>
      </c>
    </row>
    <row r="59" spans="1:16" ht="17">
      <c r="A59" s="285">
        <v>54</v>
      </c>
      <c r="B59" s="294">
        <v>45351</v>
      </c>
      <c r="C59" s="295" t="s">
        <v>191</v>
      </c>
      <c r="D59" s="295" t="s">
        <v>192</v>
      </c>
      <c r="E59" s="296">
        <v>9254510932</v>
      </c>
      <c r="F59" s="297" t="s">
        <v>187</v>
      </c>
      <c r="G59" s="286" t="s">
        <v>672</v>
      </c>
      <c r="H59" s="296" t="s">
        <v>183</v>
      </c>
      <c r="I59" s="298">
        <v>45222</v>
      </c>
      <c r="J59" s="299">
        <v>112580027</v>
      </c>
      <c r="K59" s="255" t="s">
        <v>90</v>
      </c>
      <c r="L59" s="288">
        <v>407915</v>
      </c>
      <c r="M59" s="296" t="s">
        <v>188</v>
      </c>
      <c r="N59" s="287"/>
      <c r="O59" s="300" t="s">
        <v>193</v>
      </c>
      <c r="P59" s="301">
        <v>101384519</v>
      </c>
    </row>
    <row r="60" spans="1:16" ht="17">
      <c r="A60" s="285">
        <v>55</v>
      </c>
      <c r="B60" s="294">
        <v>45351</v>
      </c>
      <c r="C60" s="295" t="s">
        <v>191</v>
      </c>
      <c r="D60" s="295" t="s">
        <v>192</v>
      </c>
      <c r="E60" s="296">
        <v>9254510932</v>
      </c>
      <c r="F60" s="297" t="s">
        <v>189</v>
      </c>
      <c r="G60" s="286" t="s">
        <v>672</v>
      </c>
      <c r="H60" s="296" t="s">
        <v>183</v>
      </c>
      <c r="I60" s="298">
        <v>45222</v>
      </c>
      <c r="J60" s="299">
        <v>40485357</v>
      </c>
      <c r="K60" s="255" t="s">
        <v>90</v>
      </c>
      <c r="L60" s="288" t="s">
        <v>42</v>
      </c>
      <c r="M60" s="296" t="s">
        <v>190</v>
      </c>
      <c r="N60" s="287"/>
      <c r="O60" s="300" t="s">
        <v>193</v>
      </c>
      <c r="P60" s="301">
        <v>101384519</v>
      </c>
    </row>
    <row r="61" spans="1:16" ht="17">
      <c r="A61" s="285">
        <v>56</v>
      </c>
      <c r="B61" s="318">
        <v>45351</v>
      </c>
      <c r="C61" s="319" t="s">
        <v>370</v>
      </c>
      <c r="D61" s="295" t="s">
        <v>686</v>
      </c>
      <c r="E61" s="296">
        <v>987150817</v>
      </c>
      <c r="F61" s="319" t="s">
        <v>368</v>
      </c>
      <c r="G61" s="286" t="s">
        <v>684</v>
      </c>
      <c r="H61" s="296" t="s">
        <v>688</v>
      </c>
      <c r="I61" s="318">
        <v>45087</v>
      </c>
      <c r="J61" s="319">
        <v>112580027</v>
      </c>
      <c r="K61" s="255" t="s">
        <v>90</v>
      </c>
      <c r="L61" s="288" t="s">
        <v>42</v>
      </c>
      <c r="M61" s="320" t="s">
        <v>369</v>
      </c>
      <c r="N61" s="287"/>
      <c r="O61" s="321" t="s">
        <v>371</v>
      </c>
      <c r="P61" s="322">
        <v>104171624</v>
      </c>
    </row>
    <row r="62" spans="1:16" ht="20.25" customHeight="1">
      <c r="A62" s="285">
        <v>57</v>
      </c>
      <c r="B62" s="318">
        <v>45352</v>
      </c>
      <c r="C62" s="319" t="s">
        <v>375</v>
      </c>
      <c r="D62" s="295" t="s">
        <v>687</v>
      </c>
      <c r="E62" s="296">
        <v>999604260</v>
      </c>
      <c r="F62" s="319" t="s">
        <v>200</v>
      </c>
      <c r="G62" s="286" t="s">
        <v>684</v>
      </c>
      <c r="H62" s="296"/>
      <c r="I62" s="318">
        <v>45352</v>
      </c>
      <c r="J62" s="319">
        <v>112570128</v>
      </c>
      <c r="K62" s="255" t="s">
        <v>90</v>
      </c>
      <c r="L62" s="288" t="s">
        <v>42</v>
      </c>
      <c r="M62" s="320" t="s">
        <v>374</v>
      </c>
      <c r="N62" s="287"/>
      <c r="O62" s="321" t="s">
        <v>376</v>
      </c>
      <c r="P62" s="322">
        <v>104864954</v>
      </c>
    </row>
    <row r="63" spans="1:16" ht="17">
      <c r="A63" s="285">
        <v>58</v>
      </c>
      <c r="B63" s="294">
        <v>45352</v>
      </c>
      <c r="C63" s="295" t="s">
        <v>197</v>
      </c>
      <c r="D63" s="295" t="s">
        <v>198</v>
      </c>
      <c r="E63" s="296">
        <v>995806472</v>
      </c>
      <c r="F63" s="297" t="s">
        <v>195</v>
      </c>
      <c r="G63" s="286" t="s">
        <v>672</v>
      </c>
      <c r="H63" s="296" t="s">
        <v>86</v>
      </c>
      <c r="I63" s="298">
        <v>45558</v>
      </c>
      <c r="J63" s="299">
        <v>111000051</v>
      </c>
      <c r="K63" s="255" t="s">
        <v>90</v>
      </c>
      <c r="L63" s="288" t="s">
        <v>42</v>
      </c>
      <c r="M63" s="296" t="s">
        <v>196</v>
      </c>
      <c r="N63" s="287"/>
      <c r="O63" s="300" t="s">
        <v>199</v>
      </c>
      <c r="P63" s="301">
        <v>302101803</v>
      </c>
    </row>
    <row r="64" spans="1:16" ht="17">
      <c r="A64" s="285">
        <v>59</v>
      </c>
      <c r="B64" s="294">
        <v>45352</v>
      </c>
      <c r="C64" s="295" t="s">
        <v>197</v>
      </c>
      <c r="D64" s="295" t="s">
        <v>198</v>
      </c>
      <c r="E64" s="296">
        <v>995806472</v>
      </c>
      <c r="F64" s="297" t="s">
        <v>200</v>
      </c>
      <c r="G64" s="286" t="s">
        <v>672</v>
      </c>
      <c r="H64" s="296" t="s">
        <v>86</v>
      </c>
      <c r="I64" s="298">
        <v>45558</v>
      </c>
      <c r="J64" s="299">
        <v>112570126</v>
      </c>
      <c r="K64" s="255" t="s">
        <v>90</v>
      </c>
      <c r="L64" s="288" t="s">
        <v>42</v>
      </c>
      <c r="M64" s="296" t="s">
        <v>201</v>
      </c>
      <c r="N64" s="287"/>
      <c r="O64" s="300" t="s">
        <v>199</v>
      </c>
      <c r="P64" s="301">
        <v>302101803</v>
      </c>
    </row>
    <row r="65" spans="1:16" ht="17">
      <c r="A65" s="285">
        <v>60</v>
      </c>
      <c r="B65" s="294">
        <v>45356</v>
      </c>
      <c r="C65" s="295" t="s">
        <v>204</v>
      </c>
      <c r="D65" s="295" t="s">
        <v>93</v>
      </c>
      <c r="E65" s="296">
        <v>4095324</v>
      </c>
      <c r="F65" s="297" t="s">
        <v>205</v>
      </c>
      <c r="G65" s="286" t="s">
        <v>672</v>
      </c>
      <c r="H65" s="296" t="s">
        <v>146</v>
      </c>
      <c r="I65" s="298">
        <v>45355</v>
      </c>
      <c r="J65" s="299">
        <v>40466241</v>
      </c>
      <c r="K65" s="255" t="s">
        <v>90</v>
      </c>
      <c r="L65" s="288">
        <v>415993</v>
      </c>
      <c r="M65" s="296" t="s">
        <v>203</v>
      </c>
      <c r="N65" s="287"/>
      <c r="O65" s="300"/>
      <c r="P65" s="301">
        <v>101721421</v>
      </c>
    </row>
    <row r="66" spans="1:16" ht="17">
      <c r="A66" s="285">
        <v>61</v>
      </c>
      <c r="B66" s="294">
        <v>45356</v>
      </c>
      <c r="C66" s="295" t="s">
        <v>204</v>
      </c>
      <c r="D66" s="295" t="s">
        <v>93</v>
      </c>
      <c r="E66" s="296">
        <v>4095324</v>
      </c>
      <c r="F66" s="297" t="s">
        <v>206</v>
      </c>
      <c r="G66" s="286" t="s">
        <v>672</v>
      </c>
      <c r="H66" s="296" t="s">
        <v>146</v>
      </c>
      <c r="I66" s="298">
        <v>45355</v>
      </c>
      <c r="J66" s="299">
        <v>40211501</v>
      </c>
      <c r="K66" s="255" t="s">
        <v>90</v>
      </c>
      <c r="L66" s="288">
        <v>373227</v>
      </c>
      <c r="M66" s="296" t="s">
        <v>207</v>
      </c>
      <c r="N66" s="287"/>
      <c r="O66" s="300"/>
      <c r="P66" s="301">
        <v>101721421</v>
      </c>
    </row>
    <row r="67" spans="1:16" ht="17">
      <c r="A67" s="285">
        <v>62</v>
      </c>
      <c r="B67" s="294">
        <v>45356</v>
      </c>
      <c r="C67" s="295" t="s">
        <v>211</v>
      </c>
      <c r="D67" s="295" t="s">
        <v>212</v>
      </c>
      <c r="E67" s="296">
        <v>42331118</v>
      </c>
      <c r="F67" s="297" t="s">
        <v>209</v>
      </c>
      <c r="G67" s="286" t="s">
        <v>672</v>
      </c>
      <c r="H67" s="296" t="s">
        <v>183</v>
      </c>
      <c r="I67" s="298">
        <v>45344</v>
      </c>
      <c r="J67" s="299">
        <v>112580058</v>
      </c>
      <c r="K67" s="255" t="s">
        <v>90</v>
      </c>
      <c r="L67" s="288">
        <v>416143</v>
      </c>
      <c r="M67" s="296" t="s">
        <v>210</v>
      </c>
      <c r="N67" s="287"/>
      <c r="O67" s="300" t="s">
        <v>213</v>
      </c>
      <c r="P67" s="301">
        <v>909362139</v>
      </c>
    </row>
    <row r="68" spans="1:16" ht="17">
      <c r="A68" s="285">
        <v>63</v>
      </c>
      <c r="B68" s="294">
        <v>45356</v>
      </c>
      <c r="C68" s="295" t="s">
        <v>211</v>
      </c>
      <c r="D68" s="295" t="s">
        <v>212</v>
      </c>
      <c r="E68" s="296">
        <v>42331118</v>
      </c>
      <c r="F68" s="297" t="s">
        <v>214</v>
      </c>
      <c r="G68" s="286" t="s">
        <v>672</v>
      </c>
      <c r="H68" s="296" t="s">
        <v>183</v>
      </c>
      <c r="I68" s="298">
        <v>45344</v>
      </c>
      <c r="J68" s="299">
        <v>112950021</v>
      </c>
      <c r="K68" s="255" t="s">
        <v>90</v>
      </c>
      <c r="L68" s="288">
        <v>409414</v>
      </c>
      <c r="M68" s="296" t="s">
        <v>216</v>
      </c>
      <c r="N68" s="287"/>
      <c r="O68" s="300" t="s">
        <v>213</v>
      </c>
      <c r="P68" s="301">
        <v>909362139</v>
      </c>
    </row>
    <row r="69" spans="1:16" ht="17">
      <c r="A69" s="285">
        <v>64</v>
      </c>
      <c r="B69" s="294">
        <v>45356</v>
      </c>
      <c r="C69" s="295" t="s">
        <v>211</v>
      </c>
      <c r="D69" s="295" t="s">
        <v>212</v>
      </c>
      <c r="E69" s="296">
        <v>42331118</v>
      </c>
      <c r="F69" s="297" t="s">
        <v>215</v>
      </c>
      <c r="G69" s="286" t="s">
        <v>672</v>
      </c>
      <c r="H69" s="296" t="s">
        <v>183</v>
      </c>
      <c r="I69" s="298">
        <v>45344</v>
      </c>
      <c r="J69" s="299">
        <v>113430018</v>
      </c>
      <c r="K69" s="255" t="s">
        <v>90</v>
      </c>
      <c r="L69" s="288">
        <v>417202</v>
      </c>
      <c r="M69" s="296" t="s">
        <v>217</v>
      </c>
      <c r="N69" s="287"/>
      <c r="O69" s="300" t="s">
        <v>213</v>
      </c>
      <c r="P69" s="301">
        <v>909362139</v>
      </c>
    </row>
    <row r="70" spans="1:16" ht="17">
      <c r="A70" s="285">
        <v>65</v>
      </c>
      <c r="B70" s="302">
        <v>45356</v>
      </c>
      <c r="C70" s="302" t="s">
        <v>515</v>
      </c>
      <c r="D70" s="302" t="s">
        <v>516</v>
      </c>
      <c r="E70" s="303">
        <v>999257103</v>
      </c>
      <c r="F70" s="302" t="s">
        <v>205</v>
      </c>
      <c r="G70" s="286" t="s">
        <v>697</v>
      </c>
      <c r="H70" s="302" t="s">
        <v>146</v>
      </c>
      <c r="I70" s="302">
        <v>45354</v>
      </c>
      <c r="J70" s="304" t="s">
        <v>512</v>
      </c>
      <c r="K70" s="255" t="s">
        <v>90</v>
      </c>
      <c r="L70" s="304" t="s">
        <v>514</v>
      </c>
      <c r="M70" s="302" t="s">
        <v>513</v>
      </c>
      <c r="N70" s="287"/>
      <c r="O70" s="305" t="s">
        <v>517</v>
      </c>
      <c r="P70" s="306">
        <v>103867479</v>
      </c>
    </row>
    <row r="71" spans="1:16" ht="17">
      <c r="A71" s="285">
        <v>66</v>
      </c>
      <c r="B71" s="302">
        <v>45356</v>
      </c>
      <c r="C71" s="302" t="s">
        <v>522</v>
      </c>
      <c r="D71" s="302" t="s">
        <v>523</v>
      </c>
      <c r="E71" s="303">
        <v>98393960</v>
      </c>
      <c r="F71" s="302" t="s">
        <v>519</v>
      </c>
      <c r="G71" s="286" t="s">
        <v>697</v>
      </c>
      <c r="H71" s="302" t="s">
        <v>135</v>
      </c>
      <c r="I71" s="302">
        <v>45171</v>
      </c>
      <c r="J71" s="304" t="s">
        <v>413</v>
      </c>
      <c r="K71" s="255" t="s">
        <v>90</v>
      </c>
      <c r="L71" s="304" t="s">
        <v>521</v>
      </c>
      <c r="M71" s="302" t="s">
        <v>520</v>
      </c>
      <c r="N71" s="287"/>
      <c r="O71" s="305" t="s">
        <v>524</v>
      </c>
      <c r="P71" s="306">
        <v>105777916</v>
      </c>
    </row>
    <row r="72" spans="1:16" ht="17">
      <c r="A72" s="285">
        <v>67</v>
      </c>
      <c r="B72" s="302">
        <v>45356</v>
      </c>
      <c r="C72" s="302" t="s">
        <v>529</v>
      </c>
      <c r="D72" s="302" t="s">
        <v>329</v>
      </c>
      <c r="E72" s="303">
        <v>2340334</v>
      </c>
      <c r="F72" s="302" t="s">
        <v>209</v>
      </c>
      <c r="G72" s="286" t="s">
        <v>697</v>
      </c>
      <c r="H72" s="302" t="s">
        <v>146</v>
      </c>
      <c r="I72" s="302">
        <v>45355</v>
      </c>
      <c r="J72" s="304" t="s">
        <v>526</v>
      </c>
      <c r="K72" s="255" t="s">
        <v>90</v>
      </c>
      <c r="L72" s="304" t="s">
        <v>528</v>
      </c>
      <c r="M72" s="302" t="s">
        <v>527</v>
      </c>
      <c r="N72" s="287"/>
      <c r="O72" s="305" t="s">
        <v>530</v>
      </c>
      <c r="P72" s="306">
        <v>101565711</v>
      </c>
    </row>
    <row r="73" spans="1:16" ht="17">
      <c r="A73" s="285">
        <v>68</v>
      </c>
      <c r="B73" s="302">
        <v>45357</v>
      </c>
      <c r="C73" s="256" t="s">
        <v>536</v>
      </c>
      <c r="D73" s="256" t="s">
        <v>537</v>
      </c>
      <c r="E73" s="257">
        <v>990906375</v>
      </c>
      <c r="F73" s="302" t="s">
        <v>533</v>
      </c>
      <c r="G73" s="286" t="s">
        <v>697</v>
      </c>
      <c r="H73" s="302" t="s">
        <v>86</v>
      </c>
      <c r="I73" s="302">
        <v>45356</v>
      </c>
      <c r="J73" s="304" t="s">
        <v>532</v>
      </c>
      <c r="K73" s="255" t="s">
        <v>90</v>
      </c>
      <c r="L73" s="304" t="s">
        <v>535</v>
      </c>
      <c r="M73" s="302" t="s">
        <v>534</v>
      </c>
      <c r="N73" s="287"/>
      <c r="O73" s="305" t="s">
        <v>538</v>
      </c>
      <c r="P73" s="306">
        <v>103488359</v>
      </c>
    </row>
    <row r="74" spans="1:16" ht="17">
      <c r="A74" s="285">
        <v>69</v>
      </c>
      <c r="B74" s="294">
        <v>45357</v>
      </c>
      <c r="C74" s="295" t="s">
        <v>223</v>
      </c>
      <c r="D74" s="295" t="s">
        <v>224</v>
      </c>
      <c r="E74" s="296">
        <v>992905031</v>
      </c>
      <c r="F74" s="297" t="s">
        <v>219</v>
      </c>
      <c r="G74" s="286" t="s">
        <v>672</v>
      </c>
      <c r="H74" s="296" t="s">
        <v>135</v>
      </c>
      <c r="I74" s="298">
        <v>45072</v>
      </c>
      <c r="J74" s="299">
        <v>112580027</v>
      </c>
      <c r="K74" s="255" t="s">
        <v>90</v>
      </c>
      <c r="L74" s="288">
        <v>390894</v>
      </c>
      <c r="M74" s="296" t="s">
        <v>220</v>
      </c>
      <c r="N74" s="287"/>
      <c r="O74" s="300" t="s">
        <v>225</v>
      </c>
      <c r="P74" s="301">
        <v>301266110</v>
      </c>
    </row>
    <row r="75" spans="1:16" ht="17">
      <c r="A75" s="285">
        <v>70</v>
      </c>
      <c r="B75" s="294">
        <v>45357</v>
      </c>
      <c r="C75" s="295" t="s">
        <v>223</v>
      </c>
      <c r="D75" s="295" t="s">
        <v>224</v>
      </c>
      <c r="E75" s="296">
        <v>992905031</v>
      </c>
      <c r="F75" s="297" t="s">
        <v>221</v>
      </c>
      <c r="G75" s="286" t="s">
        <v>672</v>
      </c>
      <c r="H75" s="296" t="s">
        <v>135</v>
      </c>
      <c r="I75" s="298">
        <v>45072</v>
      </c>
      <c r="J75" s="299">
        <v>4048321</v>
      </c>
      <c r="K75" s="255" t="s">
        <v>90</v>
      </c>
      <c r="L75" s="288">
        <v>394021</v>
      </c>
      <c r="M75" s="296" t="s">
        <v>222</v>
      </c>
      <c r="N75" s="287"/>
      <c r="O75" s="300" t="s">
        <v>225</v>
      </c>
      <c r="P75" s="301">
        <v>301266110</v>
      </c>
    </row>
    <row r="76" spans="1:16" ht="17">
      <c r="A76" s="285">
        <v>71</v>
      </c>
      <c r="B76" s="294">
        <v>45358</v>
      </c>
      <c r="C76" s="295" t="s">
        <v>231</v>
      </c>
      <c r="D76" s="295" t="s">
        <v>232</v>
      </c>
      <c r="E76" s="296">
        <v>991794108</v>
      </c>
      <c r="F76" s="297" t="s">
        <v>227</v>
      </c>
      <c r="G76" s="286" t="s">
        <v>672</v>
      </c>
      <c r="H76" s="296" t="s">
        <v>161</v>
      </c>
      <c r="I76" s="298">
        <v>45322</v>
      </c>
      <c r="J76" s="299">
        <v>112570126</v>
      </c>
      <c r="K76" s="255" t="s">
        <v>90</v>
      </c>
      <c r="L76" s="288" t="s">
        <v>42</v>
      </c>
      <c r="M76" s="296" t="s">
        <v>229</v>
      </c>
      <c r="N76" s="287"/>
      <c r="O76" s="300" t="s">
        <v>233</v>
      </c>
      <c r="P76" s="301">
        <v>103990495</v>
      </c>
    </row>
    <row r="77" spans="1:16" ht="17">
      <c r="A77" s="285">
        <v>72</v>
      </c>
      <c r="B77" s="294">
        <v>45358</v>
      </c>
      <c r="C77" s="295" t="s">
        <v>231</v>
      </c>
      <c r="D77" s="295" t="s">
        <v>232</v>
      </c>
      <c r="E77" s="296">
        <v>991794108</v>
      </c>
      <c r="F77" s="297" t="s">
        <v>228</v>
      </c>
      <c r="G77" s="286" t="s">
        <v>672</v>
      </c>
      <c r="H77" s="296" t="s">
        <v>161</v>
      </c>
      <c r="I77" s="298">
        <v>45322</v>
      </c>
      <c r="J77" s="299">
        <v>111030002</v>
      </c>
      <c r="K77" s="255" t="s">
        <v>90</v>
      </c>
      <c r="L77" s="288" t="s">
        <v>42</v>
      </c>
      <c r="M77" s="296" t="s">
        <v>230</v>
      </c>
      <c r="N77" s="287"/>
      <c r="O77" s="300" t="s">
        <v>233</v>
      </c>
      <c r="P77" s="301">
        <v>103990495</v>
      </c>
    </row>
    <row r="78" spans="1:16" ht="17">
      <c r="A78" s="285">
        <v>73</v>
      </c>
      <c r="B78" s="294">
        <v>45358</v>
      </c>
      <c r="C78" s="295" t="s">
        <v>238</v>
      </c>
      <c r="D78" s="295" t="s">
        <v>239</v>
      </c>
      <c r="E78" s="296">
        <v>9967589457</v>
      </c>
      <c r="F78" s="297" t="s">
        <v>195</v>
      </c>
      <c r="G78" s="286" t="s">
        <v>672</v>
      </c>
      <c r="H78" s="296" t="s">
        <v>161</v>
      </c>
      <c r="I78" s="298">
        <v>45322</v>
      </c>
      <c r="J78" s="299">
        <v>111000051</v>
      </c>
      <c r="K78" s="255" t="s">
        <v>90</v>
      </c>
      <c r="L78" s="288">
        <v>413766</v>
      </c>
      <c r="M78" s="296" t="s">
        <v>236</v>
      </c>
      <c r="N78" s="287"/>
      <c r="O78" s="300" t="s">
        <v>240</v>
      </c>
      <c r="P78" s="301">
        <v>105903298</v>
      </c>
    </row>
    <row r="79" spans="1:16" ht="17">
      <c r="A79" s="285">
        <v>74</v>
      </c>
      <c r="B79" s="294">
        <v>45358</v>
      </c>
      <c r="C79" s="295" t="s">
        <v>238</v>
      </c>
      <c r="D79" s="295" t="s">
        <v>239</v>
      </c>
      <c r="E79" s="296">
        <v>9967589457</v>
      </c>
      <c r="F79" s="297" t="s">
        <v>235</v>
      </c>
      <c r="G79" s="286" t="s">
        <v>672</v>
      </c>
      <c r="H79" s="296" t="s">
        <v>161</v>
      </c>
      <c r="I79" s="298">
        <v>45322</v>
      </c>
      <c r="J79" s="299">
        <v>40584305</v>
      </c>
      <c r="K79" s="255" t="s">
        <v>90</v>
      </c>
      <c r="L79" s="288">
        <v>4110398</v>
      </c>
      <c r="M79" s="296" t="s">
        <v>237</v>
      </c>
      <c r="N79" s="287"/>
      <c r="O79" s="300" t="s">
        <v>240</v>
      </c>
      <c r="P79" s="301">
        <v>105903298</v>
      </c>
    </row>
    <row r="80" spans="1:16" ht="17">
      <c r="A80" s="285">
        <v>75</v>
      </c>
      <c r="B80" s="307">
        <v>45358</v>
      </c>
      <c r="C80" s="308" t="s">
        <v>324</v>
      </c>
      <c r="D80" s="308" t="s">
        <v>325</v>
      </c>
      <c r="E80" s="308">
        <v>995798341</v>
      </c>
      <c r="F80" s="309" t="s">
        <v>54</v>
      </c>
      <c r="G80" s="286" t="s">
        <v>673</v>
      </c>
      <c r="H80" s="308" t="s">
        <v>183</v>
      </c>
      <c r="I80" s="310">
        <v>45330</v>
      </c>
      <c r="J80" s="309">
        <v>111570002</v>
      </c>
      <c r="K80" s="255" t="s">
        <v>90</v>
      </c>
      <c r="L80" s="288" t="s">
        <v>42</v>
      </c>
      <c r="M80" s="309" t="s">
        <v>323</v>
      </c>
      <c r="N80" s="287"/>
      <c r="O80" s="312" t="s">
        <v>326</v>
      </c>
      <c r="P80" s="313">
        <v>1706853965</v>
      </c>
    </row>
    <row r="81" spans="1:16" ht="17">
      <c r="A81" s="285">
        <v>76</v>
      </c>
      <c r="B81" s="294">
        <v>45359</v>
      </c>
      <c r="C81" s="295" t="s">
        <v>246</v>
      </c>
      <c r="D81" s="295" t="s">
        <v>247</v>
      </c>
      <c r="E81" s="296">
        <v>995798365</v>
      </c>
      <c r="F81" s="297" t="s">
        <v>242</v>
      </c>
      <c r="G81" s="286" t="s">
        <v>672</v>
      </c>
      <c r="H81" s="296" t="s">
        <v>135</v>
      </c>
      <c r="I81" s="298">
        <v>45343</v>
      </c>
      <c r="J81" s="299">
        <v>40211351</v>
      </c>
      <c r="K81" s="255" t="s">
        <v>90</v>
      </c>
      <c r="L81" s="288" t="s">
        <v>42</v>
      </c>
      <c r="M81" s="296" t="s">
        <v>243</v>
      </c>
      <c r="N81" s="287"/>
      <c r="O81" s="300" t="s">
        <v>248</v>
      </c>
      <c r="P81" s="301">
        <v>101618510</v>
      </c>
    </row>
    <row r="82" spans="1:16" ht="17">
      <c r="A82" s="285">
        <v>77</v>
      </c>
      <c r="B82" s="294">
        <v>45359</v>
      </c>
      <c r="C82" s="295" t="s">
        <v>246</v>
      </c>
      <c r="D82" s="295" t="s">
        <v>247</v>
      </c>
      <c r="E82" s="296">
        <v>995798365</v>
      </c>
      <c r="F82" s="297" t="s">
        <v>244</v>
      </c>
      <c r="G82" s="286" t="s">
        <v>672</v>
      </c>
      <c r="H82" s="296" t="s">
        <v>135</v>
      </c>
      <c r="I82" s="298">
        <v>45343</v>
      </c>
      <c r="J82" s="299">
        <v>40461543</v>
      </c>
      <c r="K82" s="255" t="s">
        <v>90</v>
      </c>
      <c r="L82" s="288" t="s">
        <v>42</v>
      </c>
      <c r="M82" s="296" t="s">
        <v>245</v>
      </c>
      <c r="N82" s="287"/>
      <c r="O82" s="300" t="s">
        <v>248</v>
      </c>
      <c r="P82" s="301">
        <v>101618510</v>
      </c>
    </row>
    <row r="83" spans="1:16" ht="17">
      <c r="A83" s="285">
        <v>78</v>
      </c>
      <c r="B83" s="318">
        <v>45360</v>
      </c>
      <c r="C83" s="319" t="s">
        <v>379</v>
      </c>
      <c r="D83" s="295" t="s">
        <v>689</v>
      </c>
      <c r="E83" s="296">
        <v>987300883</v>
      </c>
      <c r="F83" s="319" t="s">
        <v>377</v>
      </c>
      <c r="G83" s="286" t="s">
        <v>684</v>
      </c>
      <c r="H83" s="296" t="s">
        <v>692</v>
      </c>
      <c r="I83" s="318">
        <v>45360</v>
      </c>
      <c r="J83" s="319">
        <v>112930048</v>
      </c>
      <c r="K83" s="255" t="s">
        <v>90</v>
      </c>
      <c r="L83" s="323" t="s">
        <v>42</v>
      </c>
      <c r="M83" s="320" t="s">
        <v>378</v>
      </c>
      <c r="N83" s="287"/>
      <c r="O83" s="321" t="s">
        <v>380</v>
      </c>
      <c r="P83" s="322">
        <v>103946794</v>
      </c>
    </row>
    <row r="84" spans="1:16" ht="34">
      <c r="A84" s="285">
        <v>79</v>
      </c>
      <c r="B84" s="318">
        <v>45363</v>
      </c>
      <c r="C84" s="319" t="s">
        <v>385</v>
      </c>
      <c r="D84" s="295" t="s">
        <v>690</v>
      </c>
      <c r="E84" s="296">
        <v>9915900699</v>
      </c>
      <c r="F84" s="319" t="s">
        <v>383</v>
      </c>
      <c r="G84" s="286" t="s">
        <v>684</v>
      </c>
      <c r="H84" s="296" t="s">
        <v>691</v>
      </c>
      <c r="I84" s="318">
        <v>45330</v>
      </c>
      <c r="J84" s="319">
        <v>111570002</v>
      </c>
      <c r="K84" s="255" t="s">
        <v>90</v>
      </c>
      <c r="L84" s="323" t="s">
        <v>42</v>
      </c>
      <c r="M84" s="320" t="s">
        <v>384</v>
      </c>
      <c r="N84" s="287"/>
      <c r="O84" s="321" t="s">
        <v>386</v>
      </c>
      <c r="P84" s="322">
        <v>102147345</v>
      </c>
    </row>
    <row r="85" spans="1:16" ht="17">
      <c r="A85" s="285">
        <v>80</v>
      </c>
      <c r="B85" s="294">
        <v>45362</v>
      </c>
      <c r="C85" s="295" t="s">
        <v>251</v>
      </c>
      <c r="D85" s="295" t="s">
        <v>252</v>
      </c>
      <c r="E85" s="296">
        <v>2898244</v>
      </c>
      <c r="F85" s="297" t="s">
        <v>205</v>
      </c>
      <c r="G85" s="286" t="s">
        <v>672</v>
      </c>
      <c r="H85" s="296" t="s">
        <v>146</v>
      </c>
      <c r="I85" s="298">
        <v>45357</v>
      </c>
      <c r="J85" s="299">
        <v>40466241</v>
      </c>
      <c r="K85" s="255" t="s">
        <v>90</v>
      </c>
      <c r="L85" s="288" t="s">
        <v>42</v>
      </c>
      <c r="M85" s="296" t="s">
        <v>250</v>
      </c>
      <c r="N85" s="324"/>
      <c r="O85" s="300" t="s">
        <v>253</v>
      </c>
      <c r="P85" s="301">
        <v>100031491</v>
      </c>
    </row>
    <row r="86" spans="1:16" ht="17">
      <c r="A86" s="285">
        <v>81</v>
      </c>
      <c r="B86" s="294">
        <v>45362</v>
      </c>
      <c r="C86" s="295" t="s">
        <v>251</v>
      </c>
      <c r="D86" s="295" t="s">
        <v>252</v>
      </c>
      <c r="E86" s="296">
        <v>2898244</v>
      </c>
      <c r="F86" s="297" t="s">
        <v>205</v>
      </c>
      <c r="G86" s="286" t="s">
        <v>672</v>
      </c>
      <c r="H86" s="296" t="s">
        <v>146</v>
      </c>
      <c r="I86" s="298">
        <v>45357</v>
      </c>
      <c r="J86" s="299">
        <v>40466241</v>
      </c>
      <c r="K86" s="255" t="s">
        <v>90</v>
      </c>
      <c r="L86" s="288" t="s">
        <v>42</v>
      </c>
      <c r="M86" s="296" t="s">
        <v>254</v>
      </c>
      <c r="N86" s="324"/>
      <c r="O86" s="300" t="s">
        <v>253</v>
      </c>
      <c r="P86" s="301">
        <v>100031491</v>
      </c>
    </row>
    <row r="87" spans="1:16" ht="17">
      <c r="A87" s="285">
        <v>82</v>
      </c>
      <c r="B87" s="294">
        <v>45362</v>
      </c>
      <c r="C87" s="295" t="s">
        <v>258</v>
      </c>
      <c r="D87" s="295" t="s">
        <v>259</v>
      </c>
      <c r="E87" s="296">
        <v>983366695</v>
      </c>
      <c r="F87" s="297" t="s">
        <v>133</v>
      </c>
      <c r="G87" s="286" t="s">
        <v>672</v>
      </c>
      <c r="H87" s="296" t="s">
        <v>146</v>
      </c>
      <c r="I87" s="298">
        <v>45354</v>
      </c>
      <c r="J87" s="299">
        <v>112580017</v>
      </c>
      <c r="K87" s="255" t="s">
        <v>90</v>
      </c>
      <c r="L87" s="288">
        <v>417778</v>
      </c>
      <c r="M87" s="296" t="s">
        <v>256</v>
      </c>
      <c r="N87" s="324"/>
      <c r="O87" s="300" t="s">
        <v>260</v>
      </c>
      <c r="P87" s="301">
        <v>104955984</v>
      </c>
    </row>
    <row r="88" spans="1:16" ht="17">
      <c r="A88" s="285">
        <v>83</v>
      </c>
      <c r="B88" s="294">
        <v>45362</v>
      </c>
      <c r="C88" s="295" t="s">
        <v>258</v>
      </c>
      <c r="D88" s="295" t="s">
        <v>259</v>
      </c>
      <c r="E88" s="296">
        <v>983366695</v>
      </c>
      <c r="F88" s="297" t="s">
        <v>255</v>
      </c>
      <c r="G88" s="286" t="s">
        <v>672</v>
      </c>
      <c r="H88" s="296" t="s">
        <v>146</v>
      </c>
      <c r="I88" s="298">
        <v>45354</v>
      </c>
      <c r="J88" s="299">
        <v>113430016</v>
      </c>
      <c r="K88" s="255" t="s">
        <v>90</v>
      </c>
      <c r="L88" s="288" t="s">
        <v>42</v>
      </c>
      <c r="M88" s="296" t="s">
        <v>257</v>
      </c>
      <c r="N88" s="324"/>
      <c r="O88" s="300" t="s">
        <v>260</v>
      </c>
      <c r="P88" s="301">
        <v>104955984</v>
      </c>
    </row>
    <row r="89" spans="1:16" ht="17">
      <c r="A89" s="285">
        <v>84</v>
      </c>
      <c r="B89" s="302">
        <v>45362</v>
      </c>
      <c r="C89" s="302" t="s">
        <v>542</v>
      </c>
      <c r="D89" s="302" t="s">
        <v>543</v>
      </c>
      <c r="E89" s="303">
        <v>998158095</v>
      </c>
      <c r="F89" s="302" t="s">
        <v>205</v>
      </c>
      <c r="G89" s="286" t="s">
        <v>697</v>
      </c>
      <c r="H89" s="302" t="s">
        <v>135</v>
      </c>
      <c r="I89" s="302">
        <v>45359</v>
      </c>
      <c r="J89" s="304" t="s">
        <v>512</v>
      </c>
      <c r="K89" s="255" t="s">
        <v>90</v>
      </c>
      <c r="L89" s="304" t="s">
        <v>541</v>
      </c>
      <c r="M89" s="302" t="s">
        <v>540</v>
      </c>
      <c r="N89" s="324"/>
      <c r="O89" s="305" t="s">
        <v>544</v>
      </c>
      <c r="P89" s="306">
        <v>7030113720</v>
      </c>
    </row>
    <row r="90" spans="1:16" ht="17">
      <c r="A90" s="285">
        <v>85</v>
      </c>
      <c r="B90" s="302">
        <v>45362</v>
      </c>
      <c r="C90" s="302" t="s">
        <v>550</v>
      </c>
      <c r="D90" s="302" t="s">
        <v>551</v>
      </c>
      <c r="E90" s="303">
        <v>4012421</v>
      </c>
      <c r="F90" s="302" t="s">
        <v>547</v>
      </c>
      <c r="G90" s="286" t="s">
        <v>697</v>
      </c>
      <c r="H90" s="302" t="s">
        <v>146</v>
      </c>
      <c r="I90" s="302">
        <v>45358</v>
      </c>
      <c r="J90" s="304" t="s">
        <v>546</v>
      </c>
      <c r="K90" s="255" t="s">
        <v>90</v>
      </c>
      <c r="L90" s="304" t="s">
        <v>549</v>
      </c>
      <c r="M90" s="302" t="s">
        <v>548</v>
      </c>
      <c r="N90" s="324"/>
      <c r="O90" s="305" t="s">
        <v>552</v>
      </c>
      <c r="P90" s="306">
        <v>10176857</v>
      </c>
    </row>
    <row r="91" spans="1:16" ht="17">
      <c r="A91" s="285">
        <v>86</v>
      </c>
      <c r="B91" s="302">
        <v>45363</v>
      </c>
      <c r="C91" s="302" t="s">
        <v>556</v>
      </c>
      <c r="D91" s="302" t="s">
        <v>557</v>
      </c>
      <c r="E91" s="303">
        <v>74203315</v>
      </c>
      <c r="F91" s="302" t="s">
        <v>209</v>
      </c>
      <c r="G91" s="286" t="s">
        <v>697</v>
      </c>
      <c r="H91" s="302" t="s">
        <v>183</v>
      </c>
      <c r="I91" s="302">
        <v>45264</v>
      </c>
      <c r="J91" s="304" t="s">
        <v>526</v>
      </c>
      <c r="K91" s="255" t="s">
        <v>90</v>
      </c>
      <c r="L91" s="304" t="s">
        <v>555</v>
      </c>
      <c r="M91" s="302" t="s">
        <v>554</v>
      </c>
      <c r="N91" s="324"/>
      <c r="O91" s="305" t="s">
        <v>558</v>
      </c>
      <c r="P91" s="306">
        <v>103104964</v>
      </c>
    </row>
    <row r="92" spans="1:16" ht="17">
      <c r="A92" s="285">
        <v>87</v>
      </c>
      <c r="B92" s="302">
        <v>45363</v>
      </c>
      <c r="C92" s="302" t="s">
        <v>562</v>
      </c>
      <c r="D92" s="302" t="s">
        <v>563</v>
      </c>
      <c r="E92" s="303">
        <v>998958112</v>
      </c>
      <c r="F92" s="302" t="s">
        <v>209</v>
      </c>
      <c r="G92" s="286" t="s">
        <v>697</v>
      </c>
      <c r="H92" s="302" t="s">
        <v>146</v>
      </c>
      <c r="I92" s="302">
        <v>45256</v>
      </c>
      <c r="J92" s="304" t="s">
        <v>526</v>
      </c>
      <c r="K92" s="255" t="s">
        <v>90</v>
      </c>
      <c r="L92" s="304" t="s">
        <v>561</v>
      </c>
      <c r="M92" s="302" t="s">
        <v>560</v>
      </c>
      <c r="N92" s="324"/>
      <c r="O92" s="305" t="s">
        <v>564</v>
      </c>
      <c r="P92" s="306">
        <v>103128666</v>
      </c>
    </row>
    <row r="93" spans="1:16" ht="17">
      <c r="A93" s="285">
        <v>88</v>
      </c>
      <c r="B93" s="302">
        <v>45363</v>
      </c>
      <c r="C93" s="302" t="s">
        <v>570</v>
      </c>
      <c r="D93" s="302" t="s">
        <v>571</v>
      </c>
      <c r="E93" s="303">
        <v>999309831</v>
      </c>
      <c r="F93" s="302" t="s">
        <v>567</v>
      </c>
      <c r="G93" s="286" t="s">
        <v>697</v>
      </c>
      <c r="H93" s="302" t="s">
        <v>135</v>
      </c>
      <c r="I93" s="302">
        <v>45324</v>
      </c>
      <c r="J93" s="304" t="s">
        <v>566</v>
      </c>
      <c r="K93" s="255" t="s">
        <v>90</v>
      </c>
      <c r="L93" s="304" t="s">
        <v>569</v>
      </c>
      <c r="M93" s="302" t="s">
        <v>568</v>
      </c>
      <c r="N93" s="324"/>
      <c r="O93" s="305" t="s">
        <v>572</v>
      </c>
      <c r="P93" s="306">
        <v>102713542</v>
      </c>
    </row>
    <row r="94" spans="1:16" ht="17">
      <c r="A94" s="285">
        <v>89</v>
      </c>
      <c r="B94" s="294">
        <v>45363</v>
      </c>
      <c r="C94" s="295" t="s">
        <v>264</v>
      </c>
      <c r="D94" s="295" t="s">
        <v>265</v>
      </c>
      <c r="E94" s="296">
        <v>983132417</v>
      </c>
      <c r="F94" s="297" t="s">
        <v>262</v>
      </c>
      <c r="G94" s="286" t="s">
        <v>672</v>
      </c>
      <c r="H94" s="296" t="s">
        <v>183</v>
      </c>
      <c r="I94" s="298">
        <v>45344</v>
      </c>
      <c r="J94" s="299">
        <v>111000050</v>
      </c>
      <c r="K94" s="255" t="s">
        <v>90</v>
      </c>
      <c r="L94" s="288" t="s">
        <v>42</v>
      </c>
      <c r="M94" s="296" t="s">
        <v>263</v>
      </c>
      <c r="N94" s="324"/>
      <c r="O94" s="300" t="s">
        <v>266</v>
      </c>
      <c r="P94" s="301">
        <v>100833466</v>
      </c>
    </row>
    <row r="95" spans="1:16" ht="17">
      <c r="A95" s="285">
        <v>90</v>
      </c>
      <c r="B95" s="294">
        <v>45363</v>
      </c>
      <c r="C95" s="295" t="s">
        <v>264</v>
      </c>
      <c r="D95" s="295" t="s">
        <v>265</v>
      </c>
      <c r="E95" s="296">
        <v>983132417</v>
      </c>
      <c r="F95" s="297" t="s">
        <v>267</v>
      </c>
      <c r="G95" s="286" t="s">
        <v>672</v>
      </c>
      <c r="H95" s="296" t="s">
        <v>183</v>
      </c>
      <c r="I95" s="298">
        <v>45344</v>
      </c>
      <c r="J95" s="299">
        <v>40584282</v>
      </c>
      <c r="K95" s="255" t="s">
        <v>90</v>
      </c>
      <c r="L95" s="288" t="s">
        <v>42</v>
      </c>
      <c r="M95" s="296" t="s">
        <v>268</v>
      </c>
      <c r="N95" s="324"/>
      <c r="O95" s="300" t="s">
        <v>266</v>
      </c>
      <c r="P95" s="301">
        <v>100833466</v>
      </c>
    </row>
    <row r="96" spans="1:16" ht="17">
      <c r="A96" s="285">
        <v>91</v>
      </c>
      <c r="B96" s="302">
        <v>45364</v>
      </c>
      <c r="C96" s="302" t="s">
        <v>576</v>
      </c>
      <c r="D96" s="302" t="s">
        <v>577</v>
      </c>
      <c r="E96" s="303">
        <v>959219374</v>
      </c>
      <c r="F96" s="302" t="s">
        <v>205</v>
      </c>
      <c r="G96" s="286" t="s">
        <v>697</v>
      </c>
      <c r="H96" s="302" t="s">
        <v>146</v>
      </c>
      <c r="I96" s="302">
        <v>45363</v>
      </c>
      <c r="J96" s="304" t="s">
        <v>512</v>
      </c>
      <c r="K96" s="255" t="s">
        <v>90</v>
      </c>
      <c r="L96" s="304" t="s">
        <v>575</v>
      </c>
      <c r="M96" s="302" t="s">
        <v>574</v>
      </c>
      <c r="N96" s="324"/>
      <c r="O96" s="305"/>
      <c r="P96" s="306">
        <v>705559219</v>
      </c>
    </row>
    <row r="97" spans="1:16" ht="17">
      <c r="A97" s="285">
        <v>92</v>
      </c>
      <c r="B97" s="302">
        <v>45365</v>
      </c>
      <c r="C97" s="302" t="s">
        <v>582</v>
      </c>
      <c r="D97" s="302" t="s">
        <v>583</v>
      </c>
      <c r="E97" s="303">
        <v>980476700</v>
      </c>
      <c r="F97" s="302" t="s">
        <v>206</v>
      </c>
      <c r="G97" s="286" t="s">
        <v>697</v>
      </c>
      <c r="H97" s="302" t="s">
        <v>135</v>
      </c>
      <c r="I97" s="302">
        <v>45339</v>
      </c>
      <c r="J97" s="304" t="s">
        <v>579</v>
      </c>
      <c r="K97" s="255" t="s">
        <v>90</v>
      </c>
      <c r="L97" s="304" t="s">
        <v>581</v>
      </c>
      <c r="M97" s="302" t="s">
        <v>580</v>
      </c>
      <c r="N97" s="324"/>
      <c r="O97" s="305" t="s">
        <v>584</v>
      </c>
      <c r="P97" s="306">
        <v>104995238</v>
      </c>
    </row>
    <row r="98" spans="1:16" ht="17">
      <c r="A98" s="285">
        <v>93</v>
      </c>
      <c r="B98" s="302">
        <v>45365</v>
      </c>
      <c r="C98" s="302" t="s">
        <v>590</v>
      </c>
      <c r="D98" s="302" t="s">
        <v>591</v>
      </c>
      <c r="E98" s="303">
        <v>996420101</v>
      </c>
      <c r="F98" s="302" t="s">
        <v>587</v>
      </c>
      <c r="G98" s="286" t="s">
        <v>697</v>
      </c>
      <c r="H98" s="302" t="s">
        <v>135</v>
      </c>
      <c r="I98" s="302">
        <v>45362</v>
      </c>
      <c r="J98" s="304" t="s">
        <v>586</v>
      </c>
      <c r="K98" s="255" t="s">
        <v>90</v>
      </c>
      <c r="L98" s="304" t="s">
        <v>589</v>
      </c>
      <c r="M98" s="302" t="s">
        <v>588</v>
      </c>
      <c r="N98" s="324"/>
      <c r="O98" s="305" t="s">
        <v>592</v>
      </c>
      <c r="P98" s="306">
        <v>102499712</v>
      </c>
    </row>
    <row r="99" spans="1:16" ht="17">
      <c r="A99" s="285">
        <v>94</v>
      </c>
      <c r="B99" s="302">
        <v>45366</v>
      </c>
      <c r="C99" s="302" t="s">
        <v>598</v>
      </c>
      <c r="D99" s="302" t="s">
        <v>599</v>
      </c>
      <c r="E99" s="303">
        <v>4175723</v>
      </c>
      <c r="F99" s="302" t="s">
        <v>595</v>
      </c>
      <c r="G99" s="286" t="s">
        <v>697</v>
      </c>
      <c r="H99" s="302" t="s">
        <v>135</v>
      </c>
      <c r="I99" s="302">
        <v>45366</v>
      </c>
      <c r="J99" s="304" t="s">
        <v>594</v>
      </c>
      <c r="K99" s="255" t="s">
        <v>90</v>
      </c>
      <c r="L99" s="304" t="s">
        <v>597</v>
      </c>
      <c r="M99" s="302" t="s">
        <v>596</v>
      </c>
      <c r="N99" s="324"/>
      <c r="O99" s="305" t="s">
        <v>600</v>
      </c>
      <c r="P99" s="306">
        <v>107570509</v>
      </c>
    </row>
    <row r="100" spans="1:16" ht="17">
      <c r="A100" s="285">
        <v>95</v>
      </c>
      <c r="B100" s="302">
        <v>45366</v>
      </c>
      <c r="C100" s="302" t="s">
        <v>603</v>
      </c>
      <c r="D100" s="302" t="s">
        <v>604</v>
      </c>
      <c r="E100" s="303">
        <v>984288180</v>
      </c>
      <c r="F100" s="302" t="s">
        <v>187</v>
      </c>
      <c r="G100" s="286" t="s">
        <v>697</v>
      </c>
      <c r="H100" s="302" t="s">
        <v>135</v>
      </c>
      <c r="I100" s="302">
        <v>45301</v>
      </c>
      <c r="J100" s="304" t="s">
        <v>443</v>
      </c>
      <c r="K100" s="255" t="s">
        <v>90</v>
      </c>
      <c r="L100" s="304" t="s">
        <v>42</v>
      </c>
      <c r="M100" s="302" t="s">
        <v>602</v>
      </c>
      <c r="N100" s="324"/>
      <c r="O100" s="305" t="s">
        <v>605</v>
      </c>
      <c r="P100" s="306">
        <v>105072003</v>
      </c>
    </row>
    <row r="101" spans="1:16" ht="17">
      <c r="A101" s="285">
        <v>96</v>
      </c>
      <c r="B101" s="302">
        <v>45366</v>
      </c>
      <c r="C101" s="302" t="s">
        <v>610</v>
      </c>
      <c r="D101" s="302" t="s">
        <v>611</v>
      </c>
      <c r="E101" s="303">
        <v>968437311</v>
      </c>
      <c r="F101" s="302" t="s">
        <v>519</v>
      </c>
      <c r="G101" s="286" t="s">
        <v>697</v>
      </c>
      <c r="H101" s="302" t="s">
        <v>86</v>
      </c>
      <c r="I101" s="302">
        <v>45363</v>
      </c>
      <c r="J101" s="304" t="s">
        <v>607</v>
      </c>
      <c r="K101" s="255" t="s">
        <v>90</v>
      </c>
      <c r="L101" s="304" t="s">
        <v>609</v>
      </c>
      <c r="M101" s="302" t="s">
        <v>608</v>
      </c>
      <c r="N101" s="324"/>
      <c r="O101" s="305" t="s">
        <v>612</v>
      </c>
      <c r="P101" s="306">
        <v>1721485165</v>
      </c>
    </row>
    <row r="102" spans="1:16" ht="17">
      <c r="A102" s="285">
        <v>97</v>
      </c>
      <c r="B102" s="307">
        <v>45366</v>
      </c>
      <c r="C102" s="308" t="s">
        <v>328</v>
      </c>
      <c r="D102" s="308" t="s">
        <v>329</v>
      </c>
      <c r="E102" s="308">
        <v>983839762</v>
      </c>
      <c r="F102" s="309" t="s">
        <v>54</v>
      </c>
      <c r="G102" s="286" t="s">
        <v>673</v>
      </c>
      <c r="H102" s="308" t="s">
        <v>52</v>
      </c>
      <c r="I102" s="310">
        <v>45366</v>
      </c>
      <c r="J102" s="309">
        <v>111570002</v>
      </c>
      <c r="K102" s="255" t="s">
        <v>90</v>
      </c>
      <c r="L102" s="288" t="s">
        <v>42</v>
      </c>
      <c r="M102" s="309" t="s">
        <v>327</v>
      </c>
      <c r="N102" s="324"/>
      <c r="O102" s="312" t="s">
        <v>330</v>
      </c>
      <c r="P102" s="313">
        <v>105145536</v>
      </c>
    </row>
    <row r="103" spans="1:16" ht="17">
      <c r="A103" s="285">
        <v>98</v>
      </c>
      <c r="B103" s="298">
        <v>45366</v>
      </c>
      <c r="C103" s="296" t="s">
        <v>135</v>
      </c>
      <c r="D103" s="295" t="s">
        <v>693</v>
      </c>
      <c r="E103" s="293">
        <v>987665567</v>
      </c>
      <c r="F103" s="297" t="s">
        <v>300</v>
      </c>
      <c r="G103" s="286" t="s">
        <v>695</v>
      </c>
      <c r="H103" s="296" t="s">
        <v>135</v>
      </c>
      <c r="I103" s="298">
        <v>45366</v>
      </c>
      <c r="J103" s="299">
        <v>112950019</v>
      </c>
      <c r="K103" s="255" t="s">
        <v>90</v>
      </c>
      <c r="L103" s="288" t="s">
        <v>42</v>
      </c>
      <c r="M103" s="296" t="s">
        <v>301</v>
      </c>
      <c r="N103" s="324"/>
      <c r="O103" s="300"/>
      <c r="P103" s="301">
        <v>104088265</v>
      </c>
    </row>
    <row r="104" spans="1:16" ht="17">
      <c r="A104" s="285">
        <v>99</v>
      </c>
      <c r="B104" s="298">
        <v>45366</v>
      </c>
      <c r="C104" s="296" t="s">
        <v>135</v>
      </c>
      <c r="D104" s="295" t="s">
        <v>693</v>
      </c>
      <c r="E104" s="293">
        <v>987665567</v>
      </c>
      <c r="F104" s="297" t="s">
        <v>694</v>
      </c>
      <c r="G104" s="286" t="s">
        <v>695</v>
      </c>
      <c r="H104" s="296" t="s">
        <v>135</v>
      </c>
      <c r="I104" s="298">
        <v>45366</v>
      </c>
      <c r="J104" s="299">
        <v>922100240</v>
      </c>
      <c r="K104" s="255" t="s">
        <v>90</v>
      </c>
      <c r="L104" s="288" t="s">
        <v>42</v>
      </c>
      <c r="M104" s="296" t="s">
        <v>696</v>
      </c>
      <c r="N104" s="324"/>
      <c r="O104" s="300"/>
      <c r="P104" s="301">
        <v>104088265</v>
      </c>
    </row>
    <row r="105" spans="1:16" ht="17">
      <c r="A105" s="285">
        <v>100</v>
      </c>
      <c r="B105" s="294">
        <v>45366</v>
      </c>
      <c r="C105" s="295" t="s">
        <v>272</v>
      </c>
      <c r="D105" s="295" t="s">
        <v>273</v>
      </c>
      <c r="E105" s="296">
        <v>963782385</v>
      </c>
      <c r="F105" s="297" t="s">
        <v>270</v>
      </c>
      <c r="G105" s="286" t="s">
        <v>672</v>
      </c>
      <c r="H105" s="296" t="s">
        <v>86</v>
      </c>
      <c r="I105" s="298">
        <v>45294</v>
      </c>
      <c r="J105" s="299">
        <v>40211660</v>
      </c>
      <c r="K105" s="255" t="s">
        <v>90</v>
      </c>
      <c r="L105" s="288" t="s">
        <v>42</v>
      </c>
      <c r="M105" s="296" t="s">
        <v>271</v>
      </c>
      <c r="N105" s="324"/>
      <c r="O105" s="300"/>
      <c r="P105" s="301">
        <v>104081427</v>
      </c>
    </row>
    <row r="106" spans="1:16" ht="17">
      <c r="A106" s="285">
        <v>101</v>
      </c>
      <c r="B106" s="294">
        <v>45366</v>
      </c>
      <c r="C106" s="295" t="s">
        <v>272</v>
      </c>
      <c r="D106" s="295" t="s">
        <v>273</v>
      </c>
      <c r="E106" s="296">
        <v>963782385</v>
      </c>
      <c r="F106" s="297" t="s">
        <v>274</v>
      </c>
      <c r="G106" s="286" t="s">
        <v>672</v>
      </c>
      <c r="H106" s="296" t="s">
        <v>86</v>
      </c>
      <c r="I106" s="298">
        <v>45294</v>
      </c>
      <c r="J106" s="299">
        <v>41560124</v>
      </c>
      <c r="K106" s="255" t="s">
        <v>90</v>
      </c>
      <c r="L106" s="288" t="s">
        <v>42</v>
      </c>
      <c r="M106" s="296" t="s">
        <v>275</v>
      </c>
      <c r="N106" s="324"/>
      <c r="O106" s="300"/>
      <c r="P106" s="301">
        <v>104081427</v>
      </c>
    </row>
    <row r="107" spans="1:16" ht="17">
      <c r="A107" s="285">
        <v>102</v>
      </c>
      <c r="B107" s="294">
        <v>45366</v>
      </c>
      <c r="C107" s="295" t="s">
        <v>272</v>
      </c>
      <c r="D107" s="295" t="s">
        <v>273</v>
      </c>
      <c r="E107" s="296">
        <v>963782385</v>
      </c>
      <c r="F107" s="297" t="s">
        <v>205</v>
      </c>
      <c r="G107" s="286" t="s">
        <v>672</v>
      </c>
      <c r="H107" s="296" t="s">
        <v>86</v>
      </c>
      <c r="I107" s="298">
        <v>45294</v>
      </c>
      <c r="J107" s="299">
        <v>40466241</v>
      </c>
      <c r="K107" s="255" t="s">
        <v>90</v>
      </c>
      <c r="L107" s="288" t="s">
        <v>42</v>
      </c>
      <c r="M107" s="296" t="s">
        <v>276</v>
      </c>
      <c r="N107" s="324"/>
      <c r="O107" s="300"/>
      <c r="P107" s="301">
        <v>104081427</v>
      </c>
    </row>
    <row r="108" spans="1:16" ht="17">
      <c r="A108" s="285">
        <v>103</v>
      </c>
      <c r="B108" s="294">
        <v>45366</v>
      </c>
      <c r="C108" s="295" t="s">
        <v>280</v>
      </c>
      <c r="D108" s="295" t="s">
        <v>281</v>
      </c>
      <c r="E108" s="296">
        <v>2816942</v>
      </c>
      <c r="F108" s="297" t="s">
        <v>278</v>
      </c>
      <c r="G108" s="286" t="s">
        <v>672</v>
      </c>
      <c r="H108" s="296" t="s">
        <v>135</v>
      </c>
      <c r="I108" s="298">
        <v>44974</v>
      </c>
      <c r="J108" s="299">
        <v>112570093</v>
      </c>
      <c r="K108" s="255" t="s">
        <v>90</v>
      </c>
      <c r="L108" s="288" t="s">
        <v>42</v>
      </c>
      <c r="M108" s="296" t="s">
        <v>279</v>
      </c>
      <c r="N108" s="324"/>
      <c r="O108" s="300" t="s">
        <v>282</v>
      </c>
      <c r="P108" s="301">
        <v>101052678</v>
      </c>
    </row>
    <row r="109" spans="1:16" ht="17">
      <c r="A109" s="285">
        <v>104</v>
      </c>
      <c r="B109" s="294">
        <v>45366</v>
      </c>
      <c r="C109" s="295" t="s">
        <v>280</v>
      </c>
      <c r="D109" s="295" t="s">
        <v>281</v>
      </c>
      <c r="E109" s="296">
        <v>2816942</v>
      </c>
      <c r="F109" s="297" t="s">
        <v>144</v>
      </c>
      <c r="G109" s="286" t="s">
        <v>672</v>
      </c>
      <c r="H109" s="296" t="s">
        <v>135</v>
      </c>
      <c r="I109" s="298">
        <v>44974</v>
      </c>
      <c r="J109" s="299">
        <v>111000051</v>
      </c>
      <c r="K109" s="255" t="s">
        <v>90</v>
      </c>
      <c r="L109" s="288">
        <v>384581</v>
      </c>
      <c r="M109" s="296" t="s">
        <v>285</v>
      </c>
      <c r="N109" s="324"/>
      <c r="O109" s="300" t="s">
        <v>282</v>
      </c>
      <c r="P109" s="301">
        <v>101052678</v>
      </c>
    </row>
    <row r="110" spans="1:16" ht="17">
      <c r="A110" s="285">
        <v>105</v>
      </c>
      <c r="B110" s="294">
        <v>45366</v>
      </c>
      <c r="C110" s="295" t="s">
        <v>280</v>
      </c>
      <c r="D110" s="295" t="s">
        <v>281</v>
      </c>
      <c r="E110" s="296">
        <v>2816942</v>
      </c>
      <c r="F110" s="297" t="s">
        <v>283</v>
      </c>
      <c r="G110" s="286" t="s">
        <v>672</v>
      </c>
      <c r="H110" s="296" t="s">
        <v>135</v>
      </c>
      <c r="I110" s="298">
        <v>44974</v>
      </c>
      <c r="J110" s="299">
        <v>40464671</v>
      </c>
      <c r="K110" s="255" t="s">
        <v>90</v>
      </c>
      <c r="L110" s="288" t="s">
        <v>42</v>
      </c>
      <c r="M110" s="296" t="s">
        <v>286</v>
      </c>
      <c r="N110" s="324"/>
      <c r="O110" s="300" t="s">
        <v>282</v>
      </c>
      <c r="P110" s="301">
        <v>101052678</v>
      </c>
    </row>
    <row r="111" spans="1:16" ht="17">
      <c r="A111" s="285">
        <v>106</v>
      </c>
      <c r="B111" s="294">
        <v>45366</v>
      </c>
      <c r="C111" s="295" t="s">
        <v>280</v>
      </c>
      <c r="D111" s="295" t="s">
        <v>281</v>
      </c>
      <c r="E111" s="296">
        <v>2816942</v>
      </c>
      <c r="F111" s="297" t="s">
        <v>284</v>
      </c>
      <c r="G111" s="286" t="s">
        <v>672</v>
      </c>
      <c r="H111" s="296" t="s">
        <v>135</v>
      </c>
      <c r="I111" s="298">
        <v>44974</v>
      </c>
      <c r="J111" s="299">
        <v>40782510</v>
      </c>
      <c r="K111" s="255" t="s">
        <v>90</v>
      </c>
      <c r="L111" s="288" t="s">
        <v>42</v>
      </c>
      <c r="M111" s="296" t="s">
        <v>287</v>
      </c>
      <c r="N111" s="324"/>
      <c r="O111" s="300" t="s">
        <v>282</v>
      </c>
      <c r="P111" s="301">
        <v>101052678</v>
      </c>
    </row>
    <row r="112" spans="1:16" ht="17">
      <c r="A112" s="285">
        <v>107</v>
      </c>
      <c r="B112" s="294">
        <v>45366</v>
      </c>
      <c r="C112" s="295" t="s">
        <v>291</v>
      </c>
      <c r="D112" s="295" t="s">
        <v>292</v>
      </c>
      <c r="E112" s="296">
        <v>999877844</v>
      </c>
      <c r="F112" s="297" t="s">
        <v>289</v>
      </c>
      <c r="G112" s="286" t="s">
        <v>672</v>
      </c>
      <c r="H112" s="296" t="s">
        <v>135</v>
      </c>
      <c r="I112" s="298">
        <v>45288</v>
      </c>
      <c r="J112" s="299">
        <v>40446712</v>
      </c>
      <c r="K112" s="255" t="s">
        <v>90</v>
      </c>
      <c r="L112" s="288" t="s">
        <v>42</v>
      </c>
      <c r="M112" s="296" t="s">
        <v>290</v>
      </c>
      <c r="N112" s="324"/>
      <c r="O112" s="300" t="s">
        <v>293</v>
      </c>
      <c r="P112" s="301">
        <v>103179669</v>
      </c>
    </row>
    <row r="113" spans="1:16" ht="17">
      <c r="A113" s="285">
        <v>108</v>
      </c>
      <c r="B113" s="294">
        <v>45366</v>
      </c>
      <c r="C113" s="295" t="s">
        <v>291</v>
      </c>
      <c r="D113" s="295" t="s">
        <v>292</v>
      </c>
      <c r="E113" s="296">
        <v>999877844</v>
      </c>
      <c r="F113" s="297" t="s">
        <v>294</v>
      </c>
      <c r="G113" s="286" t="s">
        <v>672</v>
      </c>
      <c r="H113" s="296" t="s">
        <v>135</v>
      </c>
      <c r="I113" s="298">
        <v>45288</v>
      </c>
      <c r="J113" s="299">
        <v>112510036</v>
      </c>
      <c r="K113" s="255" t="s">
        <v>90</v>
      </c>
      <c r="L113" s="288">
        <v>403122</v>
      </c>
      <c r="M113" s="296" t="s">
        <v>297</v>
      </c>
      <c r="N113" s="324"/>
      <c r="O113" s="300" t="s">
        <v>293</v>
      </c>
      <c r="P113" s="301">
        <v>103179669</v>
      </c>
    </row>
    <row r="114" spans="1:16" ht="17">
      <c r="A114" s="285">
        <v>109</v>
      </c>
      <c r="B114" s="294">
        <v>45366</v>
      </c>
      <c r="C114" s="295" t="s">
        <v>291</v>
      </c>
      <c r="D114" s="295" t="s">
        <v>292</v>
      </c>
      <c r="E114" s="296">
        <v>999877844</v>
      </c>
      <c r="F114" s="297" t="s">
        <v>295</v>
      </c>
      <c r="G114" s="286" t="s">
        <v>672</v>
      </c>
      <c r="H114" s="296" t="s">
        <v>135</v>
      </c>
      <c r="I114" s="298">
        <v>45288</v>
      </c>
      <c r="J114" s="299">
        <v>112610067</v>
      </c>
      <c r="K114" s="255" t="s">
        <v>90</v>
      </c>
      <c r="L114" s="288" t="s">
        <v>42</v>
      </c>
      <c r="M114" s="296" t="s">
        <v>298</v>
      </c>
      <c r="N114" s="324"/>
      <c r="O114" s="300" t="s">
        <v>293</v>
      </c>
      <c r="P114" s="301">
        <v>103179669</v>
      </c>
    </row>
    <row r="115" spans="1:16" ht="17">
      <c r="A115" s="285">
        <v>110</v>
      </c>
      <c r="B115" s="294">
        <v>45366</v>
      </c>
      <c r="C115" s="295" t="s">
        <v>291</v>
      </c>
      <c r="D115" s="295" t="s">
        <v>292</v>
      </c>
      <c r="E115" s="296">
        <v>999877844</v>
      </c>
      <c r="F115" s="297" t="s">
        <v>296</v>
      </c>
      <c r="G115" s="286" t="s">
        <v>672</v>
      </c>
      <c r="H115" s="296" t="s">
        <v>135</v>
      </c>
      <c r="I115" s="298">
        <v>45288</v>
      </c>
      <c r="J115" s="299">
        <v>114270004</v>
      </c>
      <c r="K115" s="255" t="s">
        <v>90</v>
      </c>
      <c r="L115" s="288" t="s">
        <v>42</v>
      </c>
      <c r="M115" s="296" t="s">
        <v>299</v>
      </c>
      <c r="N115" s="324"/>
      <c r="O115" s="300" t="s">
        <v>293</v>
      </c>
      <c r="P115" s="301">
        <v>103179669</v>
      </c>
    </row>
    <row r="116" spans="1:16" ht="17">
      <c r="A116" s="285">
        <v>111</v>
      </c>
      <c r="B116" s="318">
        <v>45368</v>
      </c>
      <c r="C116" s="325" t="s">
        <v>258</v>
      </c>
      <c r="D116" s="295" t="s">
        <v>259</v>
      </c>
      <c r="E116" s="288">
        <v>983366695</v>
      </c>
      <c r="F116" s="299" t="s">
        <v>255</v>
      </c>
      <c r="G116" s="286" t="s">
        <v>684</v>
      </c>
      <c r="H116" s="296" t="s">
        <v>146</v>
      </c>
      <c r="I116" s="326">
        <v>45354</v>
      </c>
      <c r="J116" s="299">
        <v>113430016</v>
      </c>
      <c r="K116" s="255" t="s">
        <v>90</v>
      </c>
      <c r="L116" s="323" t="s">
        <v>42</v>
      </c>
      <c r="M116" s="288" t="s">
        <v>257</v>
      </c>
      <c r="N116" s="324"/>
      <c r="O116" s="327" t="s">
        <v>260</v>
      </c>
      <c r="P116" s="328">
        <v>104955984</v>
      </c>
    </row>
    <row r="117" spans="1:16" ht="17">
      <c r="A117" s="285">
        <v>112</v>
      </c>
      <c r="B117" s="318">
        <v>45369</v>
      </c>
      <c r="C117" s="319" t="s">
        <v>417</v>
      </c>
      <c r="D117" s="295" t="s">
        <v>418</v>
      </c>
      <c r="E117" s="292">
        <v>95974501</v>
      </c>
      <c r="F117" s="319" t="s">
        <v>414</v>
      </c>
      <c r="G117" s="286" t="s">
        <v>684</v>
      </c>
      <c r="H117" s="296" t="s">
        <v>135</v>
      </c>
      <c r="I117" s="318">
        <v>45339</v>
      </c>
      <c r="J117" s="319">
        <v>112520025</v>
      </c>
      <c r="K117" s="255" t="s">
        <v>90</v>
      </c>
      <c r="L117" s="323" t="s">
        <v>42</v>
      </c>
      <c r="M117" s="320" t="s">
        <v>415</v>
      </c>
      <c r="N117" s="324"/>
      <c r="O117" s="321" t="s">
        <v>419</v>
      </c>
      <c r="P117" s="322">
        <v>105223622</v>
      </c>
    </row>
    <row r="118" spans="1:16" ht="17">
      <c r="A118" s="285">
        <v>113</v>
      </c>
      <c r="B118" s="318">
        <v>45369</v>
      </c>
      <c r="C118" s="319" t="s">
        <v>671</v>
      </c>
      <c r="D118" s="295" t="s">
        <v>428</v>
      </c>
      <c r="E118" s="292">
        <v>998803827</v>
      </c>
      <c r="F118" s="302" t="s">
        <v>215</v>
      </c>
      <c r="G118" s="286" t="s">
        <v>684</v>
      </c>
      <c r="H118" s="296" t="s">
        <v>86</v>
      </c>
      <c r="I118" s="302">
        <v>45323</v>
      </c>
      <c r="J118" s="304" t="s">
        <v>393</v>
      </c>
      <c r="K118" s="255" t="s">
        <v>90</v>
      </c>
      <c r="L118" s="323" t="s">
        <v>42</v>
      </c>
      <c r="M118" s="302" t="s">
        <v>427</v>
      </c>
      <c r="N118" s="324"/>
      <c r="O118" s="305" t="s">
        <v>429</v>
      </c>
      <c r="P118" s="306">
        <v>102090701</v>
      </c>
    </row>
    <row r="119" spans="1:16" ht="17">
      <c r="A119" s="285">
        <v>114</v>
      </c>
      <c r="B119" s="294">
        <v>45369</v>
      </c>
      <c r="C119" s="295" t="s">
        <v>617</v>
      </c>
      <c r="D119" s="295" t="s">
        <v>618</v>
      </c>
      <c r="E119" s="296">
        <v>990064995</v>
      </c>
      <c r="F119" s="297" t="s">
        <v>614</v>
      </c>
      <c r="G119" s="286" t="s">
        <v>672</v>
      </c>
      <c r="H119" s="296" t="s">
        <v>183</v>
      </c>
      <c r="I119" s="298">
        <v>45331</v>
      </c>
      <c r="J119" s="299">
        <v>112580017</v>
      </c>
      <c r="K119" s="255" t="s">
        <v>90</v>
      </c>
      <c r="L119" s="288" t="s">
        <v>42</v>
      </c>
      <c r="M119" s="296" t="s">
        <v>615</v>
      </c>
      <c r="N119" s="324"/>
      <c r="O119" s="300" t="s">
        <v>619</v>
      </c>
      <c r="P119" s="301">
        <v>101492239</v>
      </c>
    </row>
    <row r="120" spans="1:16" ht="17">
      <c r="A120" s="285">
        <v>115</v>
      </c>
      <c r="B120" s="294">
        <v>45369</v>
      </c>
      <c r="C120" s="295" t="s">
        <v>617</v>
      </c>
      <c r="D120" s="295" t="s">
        <v>618</v>
      </c>
      <c r="E120" s="296">
        <v>990064995</v>
      </c>
      <c r="F120" s="297" t="s">
        <v>122</v>
      </c>
      <c r="G120" s="286" t="s">
        <v>672</v>
      </c>
      <c r="H120" s="296" t="s">
        <v>183</v>
      </c>
      <c r="I120" s="298">
        <v>45331</v>
      </c>
      <c r="J120" s="299">
        <v>41560041</v>
      </c>
      <c r="K120" s="255" t="s">
        <v>90</v>
      </c>
      <c r="L120" s="288" t="s">
        <v>42</v>
      </c>
      <c r="M120" s="296" t="s">
        <v>616</v>
      </c>
      <c r="N120" s="324"/>
      <c r="O120" s="300" t="s">
        <v>619</v>
      </c>
      <c r="P120" s="301">
        <v>101492239</v>
      </c>
    </row>
    <row r="121" spans="1:16" ht="17">
      <c r="A121" s="285">
        <v>116</v>
      </c>
      <c r="B121" s="294">
        <v>45369</v>
      </c>
      <c r="C121" s="295" t="s">
        <v>631</v>
      </c>
      <c r="D121" s="295" t="s">
        <v>626</v>
      </c>
      <c r="E121" s="296">
        <v>960400486</v>
      </c>
      <c r="F121" s="297" t="s">
        <v>547</v>
      </c>
      <c r="G121" s="286" t="s">
        <v>672</v>
      </c>
      <c r="H121" s="296" t="s">
        <v>135</v>
      </c>
      <c r="I121" s="298">
        <v>45192</v>
      </c>
      <c r="J121" s="299">
        <v>40467320</v>
      </c>
      <c r="K121" s="255" t="s">
        <v>90</v>
      </c>
      <c r="L121" s="288" t="s">
        <v>42</v>
      </c>
      <c r="M121" s="296" t="s">
        <v>622</v>
      </c>
      <c r="N121" s="324"/>
      <c r="O121" s="300" t="s">
        <v>632</v>
      </c>
      <c r="P121" s="301">
        <v>104991484</v>
      </c>
    </row>
    <row r="122" spans="1:16" ht="17">
      <c r="A122" s="285">
        <v>117</v>
      </c>
      <c r="B122" s="294">
        <v>45369</v>
      </c>
      <c r="C122" s="295" t="s">
        <v>631</v>
      </c>
      <c r="D122" s="295" t="s">
        <v>626</v>
      </c>
      <c r="E122" s="296">
        <v>960400486</v>
      </c>
      <c r="F122" s="297" t="s">
        <v>620</v>
      </c>
      <c r="G122" s="286" t="s">
        <v>672</v>
      </c>
      <c r="H122" s="296" t="s">
        <v>183</v>
      </c>
      <c r="I122" s="298">
        <v>45192</v>
      </c>
      <c r="J122" s="299">
        <v>112610069</v>
      </c>
      <c r="K122" s="255" t="s">
        <v>90</v>
      </c>
      <c r="L122" s="288" t="s">
        <v>42</v>
      </c>
      <c r="M122" s="296" t="s">
        <v>623</v>
      </c>
      <c r="N122" s="324"/>
      <c r="O122" s="300" t="s">
        <v>632</v>
      </c>
      <c r="P122" s="301">
        <v>104991484</v>
      </c>
    </row>
    <row r="123" spans="1:16" ht="17">
      <c r="A123" s="285">
        <v>118</v>
      </c>
      <c r="B123" s="294">
        <v>45369</v>
      </c>
      <c r="C123" s="295" t="s">
        <v>631</v>
      </c>
      <c r="D123" s="295" t="s">
        <v>626</v>
      </c>
      <c r="E123" s="296">
        <v>960400486</v>
      </c>
      <c r="F123" s="297" t="s">
        <v>621</v>
      </c>
      <c r="G123" s="286" t="s">
        <v>672</v>
      </c>
      <c r="H123" s="296" t="s">
        <v>135</v>
      </c>
      <c r="I123" s="298">
        <v>45192</v>
      </c>
      <c r="J123" s="299">
        <v>111010028</v>
      </c>
      <c r="K123" s="255" t="s">
        <v>90</v>
      </c>
      <c r="L123" s="288" t="s">
        <v>42</v>
      </c>
      <c r="M123" s="296" t="s">
        <v>624</v>
      </c>
      <c r="N123" s="324"/>
      <c r="O123" s="300" t="s">
        <v>632</v>
      </c>
      <c r="P123" s="301">
        <v>104991484</v>
      </c>
    </row>
    <row r="124" spans="1:16" ht="17">
      <c r="A124" s="285">
        <v>119</v>
      </c>
      <c r="B124" s="294">
        <v>45369</v>
      </c>
      <c r="C124" s="295" t="s">
        <v>631</v>
      </c>
      <c r="D124" s="295" t="s">
        <v>626</v>
      </c>
      <c r="E124" s="296">
        <v>960400486</v>
      </c>
      <c r="F124" s="297" t="s">
        <v>595</v>
      </c>
      <c r="G124" s="286" t="s">
        <v>672</v>
      </c>
      <c r="H124" s="296" t="s">
        <v>135</v>
      </c>
      <c r="I124" s="298">
        <v>45327</v>
      </c>
      <c r="J124" s="299">
        <v>40590835</v>
      </c>
      <c r="K124" s="255" t="s">
        <v>90</v>
      </c>
      <c r="L124" s="288" t="s">
        <v>42</v>
      </c>
      <c r="M124" s="296" t="s">
        <v>625</v>
      </c>
      <c r="N124" s="324"/>
      <c r="O124" s="300" t="s">
        <v>632</v>
      </c>
      <c r="P124" s="301">
        <v>104991484</v>
      </c>
    </row>
    <row r="125" spans="1:16" ht="17">
      <c r="A125" s="285">
        <v>120</v>
      </c>
      <c r="B125" s="294">
        <v>45370</v>
      </c>
      <c r="C125" s="295" t="s">
        <v>645</v>
      </c>
      <c r="D125" s="295" t="s">
        <v>646</v>
      </c>
      <c r="E125" s="296">
        <v>995920929</v>
      </c>
      <c r="F125" s="297" t="s">
        <v>168</v>
      </c>
      <c r="G125" s="286" t="s">
        <v>672</v>
      </c>
      <c r="H125" s="296" t="s">
        <v>86</v>
      </c>
      <c r="I125" s="298">
        <v>45270</v>
      </c>
      <c r="J125" s="299">
        <v>41592306</v>
      </c>
      <c r="K125" s="255" t="s">
        <v>90</v>
      </c>
      <c r="L125" s="288" t="s">
        <v>42</v>
      </c>
      <c r="M125" s="296" t="s">
        <v>652</v>
      </c>
      <c r="N125" s="324"/>
      <c r="O125" s="300" t="s">
        <v>647</v>
      </c>
      <c r="P125" s="301">
        <v>102859634</v>
      </c>
    </row>
    <row r="126" spans="1:16" ht="17">
      <c r="A126" s="285">
        <v>121</v>
      </c>
      <c r="B126" s="294">
        <v>45370</v>
      </c>
      <c r="C126" s="295" t="s">
        <v>645</v>
      </c>
      <c r="D126" s="295" t="s">
        <v>646</v>
      </c>
      <c r="E126" s="296">
        <v>995920929</v>
      </c>
      <c r="F126" s="299" t="s">
        <v>651</v>
      </c>
      <c r="G126" s="286" t="s">
        <v>672</v>
      </c>
      <c r="H126" s="296" t="s">
        <v>86</v>
      </c>
      <c r="I126" s="298">
        <v>45270</v>
      </c>
      <c r="J126" s="299">
        <v>114270004</v>
      </c>
      <c r="K126" s="255" t="s">
        <v>90</v>
      </c>
      <c r="L126" s="288" t="s">
        <v>42</v>
      </c>
      <c r="M126" s="296" t="s">
        <v>653</v>
      </c>
      <c r="N126" s="324"/>
      <c r="O126" s="300" t="s">
        <v>647</v>
      </c>
      <c r="P126" s="301">
        <v>102859634</v>
      </c>
    </row>
    <row r="127" spans="1:16" ht="17">
      <c r="A127" s="285">
        <v>122</v>
      </c>
      <c r="B127" s="294">
        <v>45370</v>
      </c>
      <c r="C127" s="295" t="s">
        <v>645</v>
      </c>
      <c r="D127" s="295" t="s">
        <v>646</v>
      </c>
      <c r="E127" s="296">
        <v>995920929</v>
      </c>
      <c r="F127" s="297" t="s">
        <v>648</v>
      </c>
      <c r="G127" s="286" t="s">
        <v>672</v>
      </c>
      <c r="H127" s="296" t="s">
        <v>86</v>
      </c>
      <c r="I127" s="298" t="s">
        <v>655</v>
      </c>
      <c r="J127" s="299">
        <v>112570128</v>
      </c>
      <c r="K127" s="255" t="s">
        <v>90</v>
      </c>
      <c r="L127" s="288" t="s">
        <v>42</v>
      </c>
      <c r="M127" s="296" t="s">
        <v>654</v>
      </c>
      <c r="N127" s="324"/>
      <c r="O127" s="300" t="s">
        <v>647</v>
      </c>
      <c r="P127" s="301">
        <v>102859634</v>
      </c>
    </row>
    <row r="128" spans="1:16" ht="17">
      <c r="A128" s="285">
        <v>123</v>
      </c>
      <c r="B128" s="294">
        <v>45370</v>
      </c>
      <c r="C128" s="295" t="s">
        <v>645</v>
      </c>
      <c r="D128" s="295" t="s">
        <v>646</v>
      </c>
      <c r="E128" s="296">
        <v>995920929</v>
      </c>
      <c r="F128" s="297" t="s">
        <v>649</v>
      </c>
      <c r="G128" s="286" t="s">
        <v>672</v>
      </c>
      <c r="H128" s="296" t="s">
        <v>135</v>
      </c>
      <c r="I128" s="298">
        <v>45346</v>
      </c>
      <c r="J128" s="299">
        <v>40584305</v>
      </c>
      <c r="K128" s="255" t="s">
        <v>90</v>
      </c>
      <c r="L128" s="288" t="s">
        <v>42</v>
      </c>
      <c r="M128" s="296" t="s">
        <v>657</v>
      </c>
      <c r="N128" s="324"/>
      <c r="O128" s="300" t="s">
        <v>647</v>
      </c>
      <c r="P128" s="301">
        <v>102859634</v>
      </c>
    </row>
    <row r="129" spans="1:16" ht="17">
      <c r="A129" s="285">
        <v>124</v>
      </c>
      <c r="B129" s="294">
        <v>45370</v>
      </c>
      <c r="C129" s="295" t="s">
        <v>664</v>
      </c>
      <c r="D129" s="295" t="s">
        <v>662</v>
      </c>
      <c r="E129" s="296">
        <v>999099560</v>
      </c>
      <c r="F129" s="297" t="s">
        <v>438</v>
      </c>
      <c r="G129" s="286" t="s">
        <v>672</v>
      </c>
      <c r="H129" s="296" t="s">
        <v>135</v>
      </c>
      <c r="I129" s="298">
        <v>45248</v>
      </c>
      <c r="J129" s="299">
        <v>40483182</v>
      </c>
      <c r="K129" s="255" t="s">
        <v>90</v>
      </c>
      <c r="L129" s="288" t="s">
        <v>42</v>
      </c>
      <c r="M129" s="296" t="s">
        <v>658</v>
      </c>
      <c r="N129" s="324"/>
      <c r="O129" s="300" t="s">
        <v>663</v>
      </c>
      <c r="P129" s="301">
        <v>103070868</v>
      </c>
    </row>
    <row r="130" spans="1:16" ht="17">
      <c r="A130" s="285">
        <v>125</v>
      </c>
      <c r="B130" s="294">
        <v>45370</v>
      </c>
      <c r="C130" s="295" t="s">
        <v>664</v>
      </c>
      <c r="D130" s="295" t="s">
        <v>662</v>
      </c>
      <c r="E130" s="296">
        <v>999099560</v>
      </c>
      <c r="F130" s="297" t="s">
        <v>659</v>
      </c>
      <c r="G130" s="286" t="s">
        <v>672</v>
      </c>
      <c r="H130" s="296" t="s">
        <v>135</v>
      </c>
      <c r="I130" s="298">
        <v>45248</v>
      </c>
      <c r="J130" s="299">
        <v>112570128</v>
      </c>
      <c r="K130" s="255" t="s">
        <v>90</v>
      </c>
      <c r="L130" s="288" t="s">
        <v>42</v>
      </c>
      <c r="M130" s="296" t="s">
        <v>660</v>
      </c>
      <c r="N130" s="324"/>
      <c r="O130" s="300" t="s">
        <v>663</v>
      </c>
      <c r="P130" s="301">
        <v>103070868</v>
      </c>
    </row>
    <row r="131" spans="1:16" ht="17">
      <c r="A131" s="285">
        <v>126</v>
      </c>
      <c r="B131" s="302">
        <v>45370</v>
      </c>
      <c r="C131" s="302" t="s">
        <v>668</v>
      </c>
      <c r="D131" s="302" t="s">
        <v>669</v>
      </c>
      <c r="E131" s="303">
        <v>998532504</v>
      </c>
      <c r="F131" s="302" t="s">
        <v>133</v>
      </c>
      <c r="G131" s="286" t="s">
        <v>697</v>
      </c>
      <c r="H131" s="302" t="s">
        <v>135</v>
      </c>
      <c r="I131" s="329">
        <v>45369</v>
      </c>
      <c r="J131" s="304" t="s">
        <v>666</v>
      </c>
      <c r="K131" s="255" t="s">
        <v>90</v>
      </c>
      <c r="L131" s="288" t="s">
        <v>42</v>
      </c>
      <c r="M131" s="302" t="s">
        <v>667</v>
      </c>
      <c r="N131" s="324"/>
      <c r="O131" s="305" t="s">
        <v>670</v>
      </c>
      <c r="P131" s="306">
        <v>602160764</v>
      </c>
    </row>
  </sheetData>
  <hyperlinks>
    <hyperlink ref="O6" r:id="rId1" xr:uid="{00000000-0004-0000-0600-000000000000}"/>
    <hyperlink ref="O7" r:id="rId2" xr:uid="{00000000-0004-0000-0600-000001000000}"/>
    <hyperlink ref="O8" r:id="rId3" xr:uid="{00000000-0004-0000-0600-000002000000}"/>
    <hyperlink ref="O12" r:id="rId4" xr:uid="{00000000-0004-0000-0600-000003000000}"/>
    <hyperlink ref="O13" r:id="rId5" xr:uid="{00000000-0004-0000-0600-000004000000}"/>
    <hyperlink ref="O14" r:id="rId6" xr:uid="{00000000-0004-0000-0600-000005000000}"/>
    <hyperlink ref="O15" r:id="rId7" xr:uid="{00000000-0004-0000-0600-000006000000}"/>
    <hyperlink ref="O21" r:id="rId8" xr:uid="{00000000-0004-0000-0600-000007000000}"/>
    <hyperlink ref="O22" r:id="rId9" xr:uid="{00000000-0004-0000-0600-000008000000}"/>
    <hyperlink ref="O19" r:id="rId10" xr:uid="{00000000-0004-0000-0600-000009000000}"/>
    <hyperlink ref="O20" r:id="rId11" xr:uid="{00000000-0004-0000-0600-00000A000000}"/>
    <hyperlink ref="O16" r:id="rId12" xr:uid="{00000000-0004-0000-0600-00000B000000}"/>
    <hyperlink ref="O23" r:id="rId13" xr:uid="{00000000-0004-0000-0600-00000C000000}"/>
    <hyperlink ref="O24" r:id="rId14" xr:uid="{00000000-0004-0000-0600-00000D000000}"/>
    <hyperlink ref="O25" r:id="rId15" xr:uid="{00000000-0004-0000-0600-00000E000000}"/>
    <hyperlink ref="O26" r:id="rId16" xr:uid="{00000000-0004-0000-0600-00000F000000}"/>
    <hyperlink ref="O27" r:id="rId17" xr:uid="{00000000-0004-0000-0600-000010000000}"/>
    <hyperlink ref="O28" r:id="rId18" xr:uid="{00000000-0004-0000-0600-000011000000}"/>
    <hyperlink ref="O29" r:id="rId19" xr:uid="{00000000-0004-0000-0600-000012000000}"/>
    <hyperlink ref="O38" r:id="rId20" xr:uid="{00000000-0004-0000-0600-000013000000}"/>
    <hyperlink ref="O39" r:id="rId21" xr:uid="{00000000-0004-0000-0600-000014000000}"/>
    <hyperlink ref="O42" r:id="rId22" xr:uid="{00000000-0004-0000-0600-000015000000}"/>
    <hyperlink ref="O41" r:id="rId23" xr:uid="{00000000-0004-0000-0600-000016000000}"/>
    <hyperlink ref="O40" r:id="rId24" xr:uid="{00000000-0004-0000-0600-000017000000}"/>
    <hyperlink ref="O43" r:id="rId25" xr:uid="{00000000-0004-0000-0600-000018000000}"/>
    <hyperlink ref="O44" r:id="rId26" xr:uid="{00000000-0004-0000-0600-000019000000}"/>
    <hyperlink ref="O45" r:id="rId27" xr:uid="{00000000-0004-0000-0600-00001A000000}"/>
    <hyperlink ref="O58" r:id="rId28" xr:uid="{00000000-0004-0000-0600-00001B000000}"/>
    <hyperlink ref="O59" r:id="rId29" xr:uid="{00000000-0004-0000-0600-00001C000000}"/>
    <hyperlink ref="O60" r:id="rId30" xr:uid="{00000000-0004-0000-0600-00001D000000}"/>
    <hyperlink ref="O63" r:id="rId31" xr:uid="{00000000-0004-0000-0600-00001E000000}"/>
    <hyperlink ref="O64" r:id="rId32" xr:uid="{00000000-0004-0000-0600-00001F000000}"/>
    <hyperlink ref="O67" r:id="rId33" xr:uid="{00000000-0004-0000-0600-000020000000}"/>
    <hyperlink ref="O68" r:id="rId34" xr:uid="{00000000-0004-0000-0600-000021000000}"/>
    <hyperlink ref="O69" r:id="rId35" xr:uid="{00000000-0004-0000-0600-000022000000}"/>
    <hyperlink ref="O74" r:id="rId36" xr:uid="{00000000-0004-0000-0600-000023000000}"/>
    <hyperlink ref="O75" r:id="rId37" xr:uid="{00000000-0004-0000-0600-000024000000}"/>
    <hyperlink ref="O76" r:id="rId38" xr:uid="{00000000-0004-0000-0600-000025000000}"/>
    <hyperlink ref="O77" r:id="rId39" xr:uid="{00000000-0004-0000-0600-000026000000}"/>
    <hyperlink ref="O78" r:id="rId40" xr:uid="{00000000-0004-0000-0600-000027000000}"/>
    <hyperlink ref="O79" r:id="rId41" xr:uid="{00000000-0004-0000-0600-000028000000}"/>
    <hyperlink ref="O81" r:id="rId42" xr:uid="{00000000-0004-0000-0600-000029000000}"/>
    <hyperlink ref="O82" r:id="rId43" xr:uid="{00000000-0004-0000-0600-00002A000000}"/>
    <hyperlink ref="O85" r:id="rId44" xr:uid="{00000000-0004-0000-0600-00002B000000}"/>
    <hyperlink ref="O86" r:id="rId45" xr:uid="{00000000-0004-0000-0600-00002C000000}"/>
    <hyperlink ref="O87" r:id="rId46" xr:uid="{00000000-0004-0000-0600-00002D000000}"/>
    <hyperlink ref="O88" r:id="rId47" xr:uid="{00000000-0004-0000-0600-00002E000000}"/>
    <hyperlink ref="O94" r:id="rId48" xr:uid="{00000000-0004-0000-0600-00002F000000}"/>
    <hyperlink ref="O95" r:id="rId49" xr:uid="{00000000-0004-0000-0600-000030000000}"/>
    <hyperlink ref="O108" r:id="rId50" xr:uid="{00000000-0004-0000-0600-000031000000}"/>
    <hyperlink ref="O109" r:id="rId51" xr:uid="{00000000-0004-0000-0600-000032000000}"/>
    <hyperlink ref="O110" r:id="rId52" xr:uid="{00000000-0004-0000-0600-000033000000}"/>
    <hyperlink ref="O111" r:id="rId53" xr:uid="{00000000-0004-0000-0600-000034000000}"/>
    <hyperlink ref="O112" r:id="rId54" xr:uid="{00000000-0004-0000-0600-000035000000}"/>
    <hyperlink ref="O113" r:id="rId55" xr:uid="{00000000-0004-0000-0600-000036000000}"/>
    <hyperlink ref="O114" r:id="rId56" xr:uid="{00000000-0004-0000-0600-000037000000}"/>
    <hyperlink ref="O115" r:id="rId57" xr:uid="{00000000-0004-0000-0600-000038000000}"/>
    <hyperlink ref="O119" r:id="rId58" xr:uid="{00000000-0004-0000-0600-000039000000}"/>
    <hyperlink ref="O120" r:id="rId59" xr:uid="{00000000-0004-0000-0600-00003A000000}"/>
    <hyperlink ref="O121" r:id="rId60" xr:uid="{00000000-0004-0000-0600-00003B000000}"/>
    <hyperlink ref="O122" r:id="rId61" xr:uid="{00000000-0004-0000-0600-00003C000000}"/>
    <hyperlink ref="O123" r:id="rId62" xr:uid="{00000000-0004-0000-0600-00003D000000}"/>
    <hyperlink ref="O124" r:id="rId63" xr:uid="{00000000-0004-0000-0600-00003E000000}"/>
    <hyperlink ref="O125" r:id="rId64" xr:uid="{00000000-0004-0000-0600-00003F000000}"/>
    <hyperlink ref="O126" r:id="rId65" xr:uid="{00000000-0004-0000-0600-000040000000}"/>
    <hyperlink ref="O127" r:id="rId66" xr:uid="{00000000-0004-0000-0600-000041000000}"/>
    <hyperlink ref="O128" r:id="rId67" xr:uid="{00000000-0004-0000-0600-000042000000}"/>
    <hyperlink ref="O129" r:id="rId68" xr:uid="{00000000-0004-0000-0600-000043000000}"/>
    <hyperlink ref="O130" r:id="rId69" xr:uid="{00000000-0004-0000-0600-000044000000}"/>
    <hyperlink ref="O61" r:id="rId70" xr:uid="{00000000-0004-0000-0600-000045000000}"/>
    <hyperlink ref="O62" r:id="rId71" xr:uid="{00000000-0004-0000-0600-000046000000}"/>
    <hyperlink ref="O83" r:id="rId72" xr:uid="{00000000-0004-0000-0600-000047000000}"/>
    <hyperlink ref="O84" r:id="rId73" xr:uid="{00000000-0004-0000-0600-000048000000}"/>
    <hyperlink ref="O117" r:id="rId74" xr:uid="{00000000-0004-0000-0600-000049000000}"/>
    <hyperlink ref="O116" r:id="rId75" xr:uid="{00000000-0004-0000-0600-00004A000000}"/>
    <hyperlink ref="O118" r:id="rId76" xr:uid="{00000000-0004-0000-0600-00004B000000}"/>
    <hyperlink ref="O80" r:id="rId77" xr:uid="{00000000-0004-0000-0600-00004C000000}"/>
    <hyperlink ref="O102" r:id="rId78" xr:uid="{00000000-0004-0000-0600-00004D000000}"/>
    <hyperlink ref="O9" r:id="rId79" xr:uid="{00000000-0004-0000-0600-00004E000000}"/>
    <hyperlink ref="O10" r:id="rId80" xr:uid="{00000000-0004-0000-0600-00004F000000}"/>
    <hyperlink ref="O11" r:id="rId81" xr:uid="{00000000-0004-0000-0600-000050000000}"/>
    <hyperlink ref="O18" r:id="rId82" xr:uid="{00000000-0004-0000-0600-000051000000}"/>
    <hyperlink ref="O32" r:id="rId83" xr:uid="{00000000-0004-0000-0600-000052000000}"/>
    <hyperlink ref="O34" r:id="rId84" xr:uid="{00000000-0004-0000-0600-000053000000}"/>
    <hyperlink ref="O33" r:id="rId85" xr:uid="{00000000-0004-0000-0600-000054000000}"/>
    <hyperlink ref="O46" r:id="rId86" xr:uid="{00000000-0004-0000-0600-000055000000}"/>
    <hyperlink ref="O47" r:id="rId87" xr:uid="{00000000-0004-0000-0600-000056000000}"/>
    <hyperlink ref="O48" r:id="rId88" xr:uid="{00000000-0004-0000-0600-000057000000}"/>
    <hyperlink ref="O49" r:id="rId89" xr:uid="{00000000-0004-0000-0600-000058000000}"/>
    <hyperlink ref="O53" r:id="rId90" xr:uid="{00000000-0004-0000-0600-000059000000}"/>
    <hyperlink ref="O54" r:id="rId91" xr:uid="{00000000-0004-0000-0600-00005A000000}"/>
    <hyperlink ref="O55" r:id="rId92" xr:uid="{00000000-0004-0000-0600-00005B000000}"/>
    <hyperlink ref="O56" r:id="rId93" xr:uid="{00000000-0004-0000-0600-00005C000000}"/>
    <hyperlink ref="O57" r:id="rId94" xr:uid="{00000000-0004-0000-0600-00005D000000}"/>
    <hyperlink ref="O70" r:id="rId95" xr:uid="{00000000-0004-0000-0600-00005E000000}"/>
    <hyperlink ref="O71" r:id="rId96" xr:uid="{00000000-0004-0000-0600-00005F000000}"/>
    <hyperlink ref="O72" r:id="rId97" xr:uid="{00000000-0004-0000-0600-000060000000}"/>
    <hyperlink ref="O73" r:id="rId98" xr:uid="{00000000-0004-0000-0600-000061000000}"/>
    <hyperlink ref="O89" r:id="rId99" xr:uid="{00000000-0004-0000-0600-000062000000}"/>
    <hyperlink ref="O90" r:id="rId100" xr:uid="{00000000-0004-0000-0600-000063000000}"/>
    <hyperlink ref="O91" r:id="rId101" xr:uid="{00000000-0004-0000-0600-000064000000}"/>
    <hyperlink ref="O92" r:id="rId102" xr:uid="{00000000-0004-0000-0600-000065000000}"/>
    <hyperlink ref="O93" r:id="rId103" xr:uid="{00000000-0004-0000-0600-000066000000}"/>
    <hyperlink ref="O97" r:id="rId104" xr:uid="{00000000-0004-0000-0600-000067000000}"/>
    <hyperlink ref="O98" r:id="rId105" xr:uid="{00000000-0004-0000-0600-000068000000}"/>
    <hyperlink ref="O99" r:id="rId106" xr:uid="{00000000-0004-0000-0600-000069000000}"/>
    <hyperlink ref="O100" r:id="rId107" xr:uid="{00000000-0004-0000-0600-00006A000000}"/>
    <hyperlink ref="O101" r:id="rId108" xr:uid="{00000000-0004-0000-0600-00006B000000}"/>
    <hyperlink ref="O131" r:id="rId109" xr:uid="{00000000-0004-0000-0600-00006C000000}"/>
  </hyperlinks>
  <pageMargins left="0.7" right="0.7" top="0.75" bottom="0.75" header="0.3" footer="0.3"/>
  <pageSetup paperSize="9" orientation="portrait" horizontalDpi="0" verticalDpi="0" r:id="rId11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PROMOCION</vt:lpstr>
      <vt:lpstr>GARANTIA</vt:lpstr>
      <vt:lpstr>BBQ</vt:lpstr>
      <vt:lpstr>ALMACENES </vt:lpstr>
      <vt:lpstr>PROYECTO </vt:lpstr>
      <vt:lpstr>1 PRODUCTO</vt:lpstr>
      <vt:lpstr>CONSOLIDADO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Marcia Navarrete</dc:creator>
  <cp:lastModifiedBy>Andres Cardenas</cp:lastModifiedBy>
  <dcterms:created xsi:type="dcterms:W3CDTF">2024-01-22T20:29:31Z</dcterms:created>
  <dcterms:modified xsi:type="dcterms:W3CDTF">2024-12-23T21:04:31Z</dcterms:modified>
</cp:coreProperties>
</file>