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13_ncr:1_{2F2D6753-83D8-2E4F-AAB1-A2BF52A6055F}" xr6:coauthVersionLast="47" xr6:coauthVersionMax="47" xr10:uidLastSave="{00000000-0000-0000-0000-000000000000}"/>
  <bookViews>
    <workbookView xWindow="0" yWindow="500" windowWidth="44800" windowHeight="23000" activeTab="1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2" i="1" l="1"/>
  <c r="M27" i="2"/>
  <c r="M28" i="2" s="1"/>
  <c r="M26" i="2"/>
  <c r="M25" i="2"/>
  <c r="O29" i="3"/>
  <c r="N20" i="2"/>
  <c r="M24" i="2"/>
  <c r="M23" i="2"/>
  <c r="M22" i="2"/>
  <c r="M21" i="2"/>
  <c r="M61" i="1" l="1"/>
  <c r="M63" i="1" l="1"/>
  <c r="M62" i="1"/>
  <c r="M64" i="1" l="1"/>
</calcChain>
</file>

<file path=xl/sharedStrings.xml><?xml version="1.0" encoding="utf-8"?>
<sst xmlns="http://schemas.openxmlformats.org/spreadsheetml/2006/main" count="1631" uniqueCount="664">
  <si>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</si>
  <si>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</si>
  <si>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</si>
  <si>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</si>
  <si>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</si>
  <si>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</si>
  <si>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</si>
  <si>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</si>
  <si>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</si>
  <si>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</si>
  <si>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</si>
  <si>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</si>
  <si>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</si>
  <si>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</si>
  <si>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</si>
  <si>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</si>
  <si>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</si>
  <si>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</si>
  <si>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</si>
  <si>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</si>
  <si>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</si>
  <si>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</si>
  <si>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</si>
  <si>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</si>
  <si>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</si>
  <si>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</si>
  <si>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</si>
  <si>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</si>
  <si>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</si>
  <si>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</si>
  <si>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</si>
  <si>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</si>
  <si>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</si>
  <si>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</si>
  <si>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</si>
  <si>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</si>
  <si>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</si>
  <si>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</si>
  <si>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</si>
  <si>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</si>
  <si>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</si>
  <si>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</si>
  <si>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</si>
  <si>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</si>
  <si>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</si>
  <si>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</si>
  <si>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</si>
  <si>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</si>
  <si>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</si>
  <si>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</si>
  <si>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</si>
  <si>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</si>
  <si>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</si>
  <si>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</si>
  <si>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</si>
  <si>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</si>
  <si>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</si>
  <si>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</si>
  <si>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</si>
  <si>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</si>
  <si>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</si>
  <si>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</si>
  <si>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</si>
  <si>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</si>
  <si>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</si>
  <si>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</si>
  <si>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</si>
  <si>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</si>
  <si>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</si>
  <si>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</si>
  <si>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</si>
  <si>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</si>
  <si>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</si>
  <si>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</si>
  <si>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</si>
  <si>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</si>
  <si>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</si>
  <si>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</si>
  <si>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</si>
  <si>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</si>
  <si>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</si>
  <si>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</si>
  <si>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</si>
  <si>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>SEPTIEMBRE 2024</t>
  </si>
  <si>
    <t>Cristian Capelo</t>
  </si>
  <si>
    <t>Trituradores</t>
  </si>
  <si>
    <t>Cocinas</t>
  </si>
  <si>
    <t>Horno</t>
  </si>
  <si>
    <t>CAPELO NOVIEMBRE2024</t>
  </si>
  <si>
    <t xml:space="preserve">CAPELO NOVIEMBRE 2024 </t>
  </si>
  <si>
    <t>CAPELO DICIEMBRE 2024</t>
  </si>
  <si>
    <t>Al 16 de DICIEMBRE del 2024</t>
  </si>
  <si>
    <t>Diciembre</t>
  </si>
  <si>
    <t>Capelo Diciembre 2024</t>
  </si>
  <si>
    <t>CAPELO - DICIEMBRE 2024</t>
  </si>
  <si>
    <t>Kywi</t>
  </si>
  <si>
    <t>043-906-000032673</t>
  </si>
  <si>
    <t xml:space="preserve">Cocina GBC 64000 KBB </t>
  </si>
  <si>
    <t>ZP244900174</t>
  </si>
  <si>
    <t>Maria Helena Aguilar</t>
  </si>
  <si>
    <t>Manuel Vega y Padre Aguirre</t>
  </si>
  <si>
    <t>ma5252360@gmail.com</t>
  </si>
  <si>
    <t>ZP242N00910</t>
  </si>
  <si>
    <t>Cocina GBC 75030 KBB</t>
  </si>
  <si>
    <t>ZP241900087</t>
  </si>
  <si>
    <t>Edificio Santa Ana</t>
  </si>
  <si>
    <t>Refrigeradora RLF 74920</t>
  </si>
  <si>
    <t>MC234J00021</t>
  </si>
  <si>
    <t>Horno HLB 760 G</t>
  </si>
  <si>
    <t>TZ247C12535</t>
  </si>
  <si>
    <t>Comercial Solis</t>
  </si>
  <si>
    <t>001-500-000066741</t>
  </si>
  <si>
    <t>PX244N00010</t>
  </si>
  <si>
    <t>Campana DVI 98-61 E0S BM</t>
  </si>
  <si>
    <t>Ana Gabriel Peñafiel</t>
  </si>
  <si>
    <t>UNAE</t>
  </si>
  <si>
    <t>0301524617</t>
  </si>
  <si>
    <t>0987233336</t>
  </si>
  <si>
    <t>0999047343</t>
  </si>
  <si>
    <t>sacmicas@gmail.com</t>
  </si>
  <si>
    <t>microondas ML 82-61 BIS L</t>
  </si>
  <si>
    <t>TP243M05784</t>
  </si>
  <si>
    <t>Horno HBL BS G1P</t>
  </si>
  <si>
    <t>TZ242K21499</t>
  </si>
  <si>
    <t>ZPZ3B800543</t>
  </si>
  <si>
    <t>Cocina IZC 32310 MSP BK</t>
  </si>
  <si>
    <t>ZPZ43200284</t>
  </si>
  <si>
    <t>Horno Steakmaster</t>
  </si>
  <si>
    <t>TZ219610374</t>
  </si>
  <si>
    <t>Adrian Heras</t>
  </si>
  <si>
    <t>Calle del Batan y Unidad Nacional</t>
  </si>
  <si>
    <t>0982660042</t>
  </si>
  <si>
    <t>0104435409</t>
  </si>
  <si>
    <t>adrianheras@icloud.com</t>
  </si>
  <si>
    <t>0995881329</t>
  </si>
  <si>
    <t>IZS97630MST BK</t>
  </si>
  <si>
    <t>ZP22B660031</t>
  </si>
  <si>
    <t>ZP245800128</t>
  </si>
  <si>
    <t>Av Gonzalez Suares</t>
  </si>
  <si>
    <t>Veronica Castillo</t>
  </si>
  <si>
    <t>043-901-000015743</t>
  </si>
  <si>
    <t>0104719448</t>
  </si>
  <si>
    <t>cavi.constructora@hotmail.com</t>
  </si>
  <si>
    <t>Horno HSB 630 BK</t>
  </si>
  <si>
    <t>TZ241R25436</t>
  </si>
  <si>
    <t>0998434826</t>
  </si>
  <si>
    <t>Cocina GBC 75-61GBA BM</t>
  </si>
  <si>
    <t>Teresa Gaguana</t>
  </si>
  <si>
    <t>Condominio San Pedro</t>
  </si>
  <si>
    <t>0959682731</t>
  </si>
  <si>
    <t>0921545984</t>
  </si>
  <si>
    <t>ola-teresaesa@outlook.es</t>
  </si>
  <si>
    <t>ZP247500393</t>
  </si>
  <si>
    <t>Campana C9310</t>
  </si>
  <si>
    <t>TP242C00909</t>
  </si>
  <si>
    <t>Home Vega</t>
  </si>
  <si>
    <t>006-000-156984</t>
  </si>
  <si>
    <t>Cocina JZC 16342 BBB</t>
  </si>
  <si>
    <t>ZP245F00220</t>
  </si>
  <si>
    <t>Gabriela Gonzales</t>
  </si>
  <si>
    <t>Machangara</t>
  </si>
  <si>
    <t>0999726830</t>
  </si>
  <si>
    <t>gaby.g1034@hotmail.com</t>
  </si>
  <si>
    <t>043-903-000045473</t>
  </si>
  <si>
    <t>TP247904154</t>
  </si>
  <si>
    <t>Microondas ML 82-61 BIS L</t>
  </si>
  <si>
    <t>Horno HLB 8416 BK</t>
  </si>
  <si>
    <t>TZ244J19283</t>
  </si>
  <si>
    <t>016-907-000218325</t>
  </si>
  <si>
    <t>Campana C910</t>
  </si>
  <si>
    <t>TP243607318</t>
  </si>
  <si>
    <t>Maria Lituma</t>
  </si>
  <si>
    <t>Limon</t>
  </si>
  <si>
    <t>0999388974</t>
  </si>
  <si>
    <t>0102005428</t>
  </si>
  <si>
    <t>michelle_96038@hotmail.com</t>
  </si>
  <si>
    <t>0391008825</t>
  </si>
  <si>
    <t>Cocina GBC 95030 KBB</t>
  </si>
  <si>
    <t>2P245H00428</t>
  </si>
  <si>
    <t>006-002-000158395</t>
  </si>
  <si>
    <t>ZP242P00815</t>
  </si>
  <si>
    <t>Adriana Arpi</t>
  </si>
  <si>
    <t>Los Chugo 1-099</t>
  </si>
  <si>
    <t>0102250115</t>
  </si>
  <si>
    <t>juliahbarrera@hotmail.com</t>
  </si>
  <si>
    <t>Horno GZC 7533OXBB</t>
  </si>
  <si>
    <t>ZP244V00265</t>
  </si>
  <si>
    <t>001-500-0000-65596</t>
  </si>
  <si>
    <t>Horno GBC 75030KBB</t>
  </si>
  <si>
    <t>ZP242N00530</t>
  </si>
  <si>
    <t>Nelly Gomez</t>
  </si>
  <si>
    <t>Av 10 de agosto y Pichincha</t>
  </si>
  <si>
    <t>0983312274</t>
  </si>
  <si>
    <t>0102616943</t>
  </si>
  <si>
    <t>abjairolopez@gmail.com</t>
  </si>
  <si>
    <t>Campana EXT C710</t>
  </si>
  <si>
    <t>TP245000359</t>
  </si>
  <si>
    <t>0987921640</t>
  </si>
  <si>
    <t>CO249E00646</t>
  </si>
  <si>
    <t>Almacenes Chordeleg</t>
  </si>
  <si>
    <t>072825840</t>
  </si>
  <si>
    <t>0300886025001</t>
  </si>
  <si>
    <t>CO249E00814</t>
  </si>
  <si>
    <t>Kiwi Miraflores</t>
  </si>
  <si>
    <t>CO249E00918</t>
  </si>
  <si>
    <t>Av. Elialiut Multiplaza Miraflores</t>
  </si>
  <si>
    <t>CO249E00256</t>
  </si>
  <si>
    <t>CO249500140</t>
  </si>
  <si>
    <t>Barbacoa a Gas T-BBQ 3100</t>
  </si>
  <si>
    <t>CO249E00059</t>
  </si>
  <si>
    <t>CO249E00142</t>
  </si>
  <si>
    <t>CO249E00241</t>
  </si>
  <si>
    <t>CO249E00483</t>
  </si>
  <si>
    <t>CO249E00885</t>
  </si>
  <si>
    <t>Kiwi Wayra</t>
  </si>
  <si>
    <t>Av. 24 de Mayo Wayra Plaza</t>
  </si>
  <si>
    <t>0987001205</t>
  </si>
  <si>
    <t>1790041220001</t>
  </si>
  <si>
    <t>CO249E00201</t>
  </si>
  <si>
    <t>Juan Jose Calderon</t>
  </si>
  <si>
    <t>San Pedro del Cebollar</t>
  </si>
  <si>
    <t>0995670755</t>
  </si>
  <si>
    <t>0104641154</t>
  </si>
  <si>
    <t>tulo26jjc@gmail.com</t>
  </si>
  <si>
    <t>jhon.cruz@kywi.com.ec</t>
  </si>
  <si>
    <t>almaceneschordeleg@gmail.com</t>
  </si>
  <si>
    <t>CO249E00728</t>
  </si>
  <si>
    <t>Av. Paucarbamba y Luis Moreno</t>
  </si>
  <si>
    <t>CO249E00612</t>
  </si>
  <si>
    <t>Mariscal Lamar</t>
  </si>
  <si>
    <t>0991172261</t>
  </si>
  <si>
    <t>0104088265</t>
  </si>
  <si>
    <t>CO249E00507</t>
  </si>
  <si>
    <t>0906351443</t>
  </si>
  <si>
    <t>freddyn@kywi.com.ec</t>
  </si>
  <si>
    <t>CO249E00146</t>
  </si>
  <si>
    <t>CO249E00144</t>
  </si>
  <si>
    <t>CO249E00589</t>
  </si>
  <si>
    <t>CO249E00608</t>
  </si>
  <si>
    <t>Sangurima y Thomas ordoñez</t>
  </si>
  <si>
    <t>0104779830</t>
  </si>
  <si>
    <t>CO249E00544</t>
  </si>
  <si>
    <t>Belen Tello</t>
  </si>
  <si>
    <t>El Tejar</t>
  </si>
  <si>
    <t>0983145657</t>
  </si>
  <si>
    <t>0104987771</t>
  </si>
  <si>
    <t>bel.tello.crespo@gmail.com</t>
  </si>
  <si>
    <t>043-407-000018033</t>
  </si>
  <si>
    <t>Mercard</t>
  </si>
  <si>
    <t>001-502-000000028</t>
  </si>
  <si>
    <t>0994541607</t>
  </si>
  <si>
    <t>0958639951</t>
  </si>
  <si>
    <t>0100735976001</t>
  </si>
  <si>
    <t>maria.velez.m@hotmail.com</t>
  </si>
  <si>
    <t>016-902-000465750</t>
  </si>
  <si>
    <t>Sukasa</t>
  </si>
  <si>
    <t>044-013-000008150</t>
  </si>
  <si>
    <t>Alodia Cevallos</t>
  </si>
  <si>
    <t>0992287509</t>
  </si>
  <si>
    <t>alodiacevallos0@gmail.com</t>
  </si>
  <si>
    <t>israelpalacios245@gmail.com</t>
  </si>
  <si>
    <t>conjunto fabricador de hielo</t>
  </si>
  <si>
    <t>RLF 7A920 SS</t>
  </si>
  <si>
    <t>MC2144T00020</t>
  </si>
  <si>
    <t>Byron Leon</t>
  </si>
  <si>
    <t>molde que fabrica hielos esta roto</t>
  </si>
  <si>
    <t>0300839651</t>
  </si>
  <si>
    <t>gloriagmsacayob@hotmail.com</t>
  </si>
  <si>
    <t>001 500-000057544</t>
  </si>
  <si>
    <t>TP242E03203</t>
  </si>
  <si>
    <t>Frank Ferreteria</t>
  </si>
  <si>
    <t>se ajusta tuerca del impulsor del motor</t>
  </si>
  <si>
    <t>contabilodad@frankferreteria.com</t>
  </si>
  <si>
    <t>230710AF1966</t>
  </si>
  <si>
    <t>Mauricio Matute</t>
  </si>
  <si>
    <t>0107861106</t>
  </si>
  <si>
    <t>0302168539</t>
  </si>
  <si>
    <t>016-908-000024035</t>
  </si>
  <si>
    <t>T2216E22874</t>
  </si>
  <si>
    <t>Rodrigo Arcentales</t>
  </si>
  <si>
    <t>0100299932</t>
  </si>
  <si>
    <t>Esteban Proaño</t>
  </si>
  <si>
    <t>012-100-000147102</t>
  </si>
  <si>
    <t>junta embocadura</t>
  </si>
  <si>
    <t>TZ21CD08626</t>
  </si>
  <si>
    <t>Dayana Chica</t>
  </si>
  <si>
    <t>Junta embocadura rota</t>
  </si>
  <si>
    <t>0103790416</t>
  </si>
  <si>
    <t>dayanachica@hotmail.com</t>
  </si>
  <si>
    <t>002-103-000003421</t>
  </si>
  <si>
    <t>W178400009</t>
  </si>
  <si>
    <t>Com. Luna Pazmiño(Darwin Perez)</t>
  </si>
  <si>
    <t>traslado equipo para limpieza</t>
  </si>
  <si>
    <t>0202415188</t>
  </si>
  <si>
    <t>darwincherrez1234@gmail.com</t>
  </si>
  <si>
    <t>reloj TC HLB 840 MAX</t>
  </si>
  <si>
    <t>T2241405203</t>
  </si>
  <si>
    <t>Paola Cordova</t>
  </si>
  <si>
    <t>tarjeta no permite programar</t>
  </si>
  <si>
    <t>1101086401</t>
  </si>
  <si>
    <t>nancyeditcoronel@gmail.com</t>
  </si>
  <si>
    <t>T2241405191</t>
  </si>
  <si>
    <t>Graciela Alvarado</t>
  </si>
  <si>
    <t>Tarjeta display no enciende</t>
  </si>
  <si>
    <t>0301485611</t>
  </si>
  <si>
    <t>006-000155654</t>
  </si>
  <si>
    <t>T2243604716</t>
  </si>
  <si>
    <t>Xavier Coellar</t>
  </si>
  <si>
    <t>Tarejta no permite programar</t>
  </si>
  <si>
    <t>0190487997</t>
  </si>
  <si>
    <t>parrilladelaherradura@gmail.com</t>
  </si>
  <si>
    <t>001-501-000001708</t>
  </si>
  <si>
    <t>COMERCIAL SOLIS</t>
  </si>
  <si>
    <t>≥≥≥≥≥≥≥≥</t>
  </si>
  <si>
    <t>KIWI</t>
  </si>
  <si>
    <t>111010041</t>
  </si>
  <si>
    <t>HORNO HSB 630 BK</t>
  </si>
  <si>
    <t>T2243BO8444</t>
  </si>
  <si>
    <t>MARIA PAZ SOTO</t>
  </si>
  <si>
    <t>TARQUINO CORDERO 1 50</t>
  </si>
  <si>
    <t>0982566025</t>
  </si>
  <si>
    <t>aceros_jac@hotmail.com</t>
  </si>
  <si>
    <t>001-500-000068121</t>
  </si>
  <si>
    <t>40467304</t>
  </si>
  <si>
    <t>CAMPANA C710</t>
  </si>
  <si>
    <t>TP245D00356</t>
  </si>
  <si>
    <t>JUDITH CRESPO</t>
  </si>
  <si>
    <t>0101179604</t>
  </si>
  <si>
    <t>0104226212</t>
  </si>
  <si>
    <t>0984764651</t>
  </si>
  <si>
    <t>CALLE VIEJA Y ELIALIUT</t>
  </si>
  <si>
    <t>luiscarrillo.tecniasi@hotmail.com</t>
  </si>
  <si>
    <t>040-103-000009461</t>
  </si>
  <si>
    <t>4046624100</t>
  </si>
  <si>
    <t>T246000413</t>
  </si>
  <si>
    <t>THALIA PAREDES</t>
  </si>
  <si>
    <t>AV MIGRANTE Y CAPULIES</t>
  </si>
  <si>
    <t>0988839069</t>
  </si>
  <si>
    <t>0105022214</t>
  </si>
  <si>
    <t>thalyparedes1993@gmail.com</t>
  </si>
  <si>
    <t>BOYACA</t>
  </si>
  <si>
    <t>007-006-000132856</t>
  </si>
  <si>
    <t>112500049</t>
  </si>
  <si>
    <t>COCINA I25 86630 MST BK</t>
  </si>
  <si>
    <t>2P242900861</t>
  </si>
  <si>
    <t>JUAN MOROCHO</t>
  </si>
  <si>
    <t>RICAURTE</t>
  </si>
  <si>
    <t>0987719902</t>
  </si>
  <si>
    <t>0103649505</t>
  </si>
  <si>
    <t>juanisebastian2006@gmail.com</t>
  </si>
  <si>
    <t>KYWI</t>
  </si>
  <si>
    <t>043-405-000046296</t>
  </si>
  <si>
    <t>112580017</t>
  </si>
  <si>
    <t>COCINA GBC 64000 KBB</t>
  </si>
  <si>
    <t>ZP24560029U</t>
  </si>
  <si>
    <t>CRISTIAN PALACIOS</t>
  </si>
  <si>
    <t>PORTAL DE MISICATA</t>
  </si>
  <si>
    <t>0987156124</t>
  </si>
  <si>
    <t>0101536438</t>
  </si>
  <si>
    <t>chistian.palacios.carrion@hotmail.com</t>
  </si>
  <si>
    <t>001-500-000268459</t>
  </si>
  <si>
    <t>043-901-000001517</t>
  </si>
  <si>
    <t>112570093</t>
  </si>
  <si>
    <t>COCINA GZC75330 XBB</t>
  </si>
  <si>
    <t>ZP246K00147</t>
  </si>
  <si>
    <t>FERNANDO CHICA</t>
  </si>
  <si>
    <t>CANTON QUERO Y AV. AMERICAS</t>
  </si>
  <si>
    <t>0998953575</t>
  </si>
  <si>
    <t>0195091714</t>
  </si>
  <si>
    <t>austrofil@hotmail.com</t>
  </si>
  <si>
    <t>IVAN CARPIO</t>
  </si>
  <si>
    <t>002-201-00002383</t>
  </si>
  <si>
    <t>LUNA PAZMIÑO</t>
  </si>
  <si>
    <t>112570068</t>
  </si>
  <si>
    <t>COCINA GZC 95320 XBB</t>
  </si>
  <si>
    <t>ZP239B00323</t>
  </si>
  <si>
    <t>CHIQUINTAD</t>
  </si>
  <si>
    <t>0960640865</t>
  </si>
  <si>
    <t>0103683124</t>
  </si>
  <si>
    <t>tutundente@hotmail.com</t>
  </si>
  <si>
    <t>40212014</t>
  </si>
  <si>
    <t>COCINA EX60146ADRCI</t>
  </si>
  <si>
    <t>ZP23AJ00338</t>
  </si>
  <si>
    <t>ROCIO MONTENEGRO</t>
  </si>
  <si>
    <t>TODOS SANTOS</t>
  </si>
  <si>
    <t>0992585972</t>
  </si>
  <si>
    <t>0102758182</t>
  </si>
  <si>
    <t>augustotenemes@gmail.com</t>
  </si>
  <si>
    <t>001-500-000067468</t>
  </si>
  <si>
    <t>11258005800</t>
  </si>
  <si>
    <t>COCINA GBC 95030 KBB</t>
  </si>
  <si>
    <t>GUSTAVO QUITO</t>
  </si>
  <si>
    <t>HINMO NACIONAL Y BANDERA NACIONAL</t>
  </si>
  <si>
    <t>0997086658</t>
  </si>
  <si>
    <t>0301530069</t>
  </si>
  <si>
    <t>gustavoqr281@gmail.com</t>
  </si>
  <si>
    <t>043-903-000046120</t>
  </si>
  <si>
    <t>40466111</t>
  </si>
  <si>
    <t>CAMPANA EXT C910</t>
  </si>
  <si>
    <t>TP2446002704</t>
  </si>
  <si>
    <t>JORGE SANCHEZ</t>
  </si>
  <si>
    <t>CHILCAPAMBA Y AV. 24 MAYO</t>
  </si>
  <si>
    <t>0993645040</t>
  </si>
  <si>
    <t>0104551585</t>
  </si>
  <si>
    <t>jfranco64@hotmail.com</t>
  </si>
  <si>
    <t>001-300-000064715</t>
  </si>
  <si>
    <t>40466411</t>
  </si>
  <si>
    <t>TP241A03870</t>
  </si>
  <si>
    <t>CARLOS NARANJO</t>
  </si>
  <si>
    <t>CIUDADELA RUMIÑAHUI</t>
  </si>
  <si>
    <t>074207241</t>
  </si>
  <si>
    <t>0102938658</t>
  </si>
  <si>
    <t>carlosnaranjo75@gmail.com</t>
  </si>
  <si>
    <t>112570128</t>
  </si>
  <si>
    <t>COCINA JZC 96342 BBB</t>
  </si>
  <si>
    <t>ZP243E00222</t>
  </si>
  <si>
    <t xml:space="preserve">EDUARDO MORENO </t>
  </si>
  <si>
    <t xml:space="preserve">TARQUI </t>
  </si>
  <si>
    <t>0984558504</t>
  </si>
  <si>
    <t>0103794657</t>
  </si>
  <si>
    <t>eduardomc75@outlook.com</t>
  </si>
  <si>
    <t>007-006-000132878</t>
  </si>
  <si>
    <t>CAMPANA C910</t>
  </si>
  <si>
    <t>TP246B02178</t>
  </si>
  <si>
    <t>BLANCA ABAD</t>
  </si>
  <si>
    <t>0998676075</t>
  </si>
  <si>
    <t>0105200687</t>
  </si>
  <si>
    <t>blancaelenaabadcortez@gmail.com</t>
  </si>
  <si>
    <t>TODO HOGAR AM</t>
  </si>
  <si>
    <t>044-012-000004941</t>
  </si>
  <si>
    <t>112580027</t>
  </si>
  <si>
    <t>COCINA GBC75030KBD</t>
  </si>
  <si>
    <t>ZP23BE0057</t>
  </si>
  <si>
    <t>XIMANA MERCHAN</t>
  </si>
  <si>
    <t>AURELIO AGUILAR 1-59</t>
  </si>
  <si>
    <t>0999268426</t>
  </si>
  <si>
    <t>010166028-0</t>
  </si>
  <si>
    <t>ximenamerchan@hotmail.com</t>
  </si>
  <si>
    <t>JORGE CABRERA</t>
  </si>
  <si>
    <t>001-500-000065799</t>
  </si>
  <si>
    <t>40466241</t>
  </si>
  <si>
    <t>CAMPANA C9310</t>
  </si>
  <si>
    <t>TP242F04615</t>
  </si>
  <si>
    <t>SARAR Y LOS CEREZOS</t>
  </si>
  <si>
    <t>0958728358</t>
  </si>
  <si>
    <t>0105385249</t>
  </si>
  <si>
    <t>mireya_cj@hotmail.com</t>
  </si>
  <si>
    <t>Horno 646 SS</t>
  </si>
  <si>
    <t>T2244WZ7079</t>
  </si>
  <si>
    <t>Eduardo Moreno Carvallo</t>
  </si>
  <si>
    <t>Tarqui</t>
  </si>
  <si>
    <t>0997592018</t>
  </si>
  <si>
    <t>0104863972</t>
  </si>
  <si>
    <t>dieguito.severo@hotmail.com</t>
  </si>
  <si>
    <t>Microondas ML 822 BIS L</t>
  </si>
  <si>
    <t>TP247904243</t>
  </si>
  <si>
    <t>E1230107</t>
  </si>
  <si>
    <t>Campana CC480</t>
  </si>
  <si>
    <t>PX241100026</t>
  </si>
  <si>
    <t>Eulalia Salcedo</t>
  </si>
  <si>
    <t>Edificio Terra</t>
  </si>
  <si>
    <t>0994480536</t>
  </si>
  <si>
    <t>0101032092</t>
  </si>
  <si>
    <t>Lisleyduran@gmail.com</t>
  </si>
  <si>
    <t>T2243604720</t>
  </si>
  <si>
    <t>TP241204865</t>
  </si>
  <si>
    <t>ZP236N00029</t>
  </si>
  <si>
    <t>ZP236N00023</t>
  </si>
  <si>
    <t>001-501-000001914</t>
  </si>
  <si>
    <t>Microonda ML 820 BIS</t>
  </si>
  <si>
    <t>Cocina 12C 32310MSPBK</t>
  </si>
  <si>
    <t>Cocina 12C32310MSPBK</t>
  </si>
  <si>
    <t>001-005-000067755</t>
  </si>
  <si>
    <t xml:space="preserve">Campana CC480 Isla </t>
  </si>
  <si>
    <t>Pablo Valdivieso</t>
  </si>
  <si>
    <t>Challuabamba</t>
  </si>
  <si>
    <t>0999754331</t>
  </si>
  <si>
    <t>0103567434</t>
  </si>
  <si>
    <t>pablovaldivieso@hotmail.com</t>
  </si>
  <si>
    <t>Cocina G2C 96310XBB</t>
  </si>
  <si>
    <t>ZPR43U00085</t>
  </si>
  <si>
    <t>Horno HLB 8400 FBK</t>
  </si>
  <si>
    <t>TZ246406410</t>
  </si>
  <si>
    <t>TP24SE04653</t>
  </si>
  <si>
    <t>ZP22B600040</t>
  </si>
  <si>
    <t>Susana Merchan</t>
  </si>
  <si>
    <t>0994509684</t>
  </si>
  <si>
    <t>1707482540</t>
  </si>
  <si>
    <t>masusana10@hotmail.com</t>
  </si>
  <si>
    <t>T2234K16020</t>
  </si>
  <si>
    <t>TP232A10370</t>
  </si>
  <si>
    <t>045-907-000016032</t>
  </si>
  <si>
    <t>TP245400424</t>
  </si>
  <si>
    <t xml:space="preserve"> Cocina GBC95030 KBB</t>
  </si>
  <si>
    <t>Microondas ML 820 BIS</t>
  </si>
  <si>
    <t>Marco Minchala</t>
  </si>
  <si>
    <t>Av 10 de agosto 3 175</t>
  </si>
  <si>
    <t>0958601466</t>
  </si>
  <si>
    <t>0106445984</t>
  </si>
  <si>
    <t>antonimarco-35@hotmail.com</t>
  </si>
  <si>
    <t>T2293604653</t>
  </si>
  <si>
    <t>111000051</t>
  </si>
  <si>
    <t>HORNO HLB 8416 BK</t>
  </si>
  <si>
    <t>T2249238288</t>
  </si>
  <si>
    <t>SAN MATEO LA CERAMICA</t>
  </si>
  <si>
    <t>0996955679</t>
  </si>
  <si>
    <t>0100982859</t>
  </si>
  <si>
    <t xml:space="preserve">COCINA GBC 75030 KBB </t>
  </si>
  <si>
    <t>ZP242N00495</t>
  </si>
  <si>
    <t>GENARO BRITO</t>
  </si>
  <si>
    <t>FRANCISCO ASCAZUBI Y MANUEL CAJAS</t>
  </si>
  <si>
    <t>0999755940</t>
  </si>
  <si>
    <t>0102400363001</t>
  </si>
  <si>
    <t>gerencia@britoasociados.com</t>
  </si>
  <si>
    <t>001-500-000068860</t>
  </si>
  <si>
    <t>TP246B02164</t>
  </si>
  <si>
    <t>ROLANDO PEREZ</t>
  </si>
  <si>
    <t>LA COMPAÑIA</t>
  </si>
  <si>
    <t>0960027045</t>
  </si>
  <si>
    <t>0102232675</t>
  </si>
  <si>
    <t>rolandoperez083@gmail.com</t>
  </si>
  <si>
    <t>001-005-000068958</t>
  </si>
  <si>
    <t>40461506</t>
  </si>
  <si>
    <t>CAMPANA C610</t>
  </si>
  <si>
    <t>TP225H05302</t>
  </si>
  <si>
    <t>MARIA LOJA</t>
  </si>
  <si>
    <t>EL VALLE</t>
  </si>
  <si>
    <t>0989288650</t>
  </si>
  <si>
    <t>0103308789</t>
  </si>
  <si>
    <t>lojaesther@gmail.com</t>
  </si>
  <si>
    <t>112950020</t>
  </si>
  <si>
    <t>CAMPANA DVN 74030 TCL BK</t>
  </si>
  <si>
    <t>EK241F00159</t>
  </si>
  <si>
    <t>001-500-000061567</t>
  </si>
  <si>
    <t>COCINA GZC 75330 XBB</t>
  </si>
  <si>
    <t>ZP239600296</t>
  </si>
  <si>
    <t>CLARA AVILA</t>
  </si>
  <si>
    <t>LATINOAMERICANA Y PUERTO RICO</t>
  </si>
  <si>
    <t>0987002015</t>
  </si>
  <si>
    <t>0102219813</t>
  </si>
  <si>
    <t>anylore@gmail.com</t>
  </si>
  <si>
    <t>007-006-000152783</t>
  </si>
  <si>
    <t>111030002</t>
  </si>
  <si>
    <t>HORNO HLB 760 6</t>
  </si>
  <si>
    <t>T2249519442</t>
  </si>
  <si>
    <t>CRISTINA BARTELS</t>
  </si>
  <si>
    <t>MISICATA, CONDOMINIO AKARI 2</t>
  </si>
  <si>
    <t>0996359204</t>
  </si>
  <si>
    <t>0103543419</t>
  </si>
  <si>
    <t>cristyburt15@gmail.com</t>
  </si>
  <si>
    <t>CO249E00874</t>
  </si>
  <si>
    <t>Maribel Pesantez</t>
  </si>
  <si>
    <t>Misicata Condominios Codelsur II</t>
  </si>
  <si>
    <t>0999871896</t>
  </si>
  <si>
    <t>0102320207</t>
  </si>
  <si>
    <t>alextrujilloc@hotmail.com</t>
  </si>
  <si>
    <t>CO249E00063</t>
  </si>
  <si>
    <t>Cristian Ullauri</t>
  </si>
  <si>
    <t>Plaza del Arte</t>
  </si>
  <si>
    <t>0995973278</t>
  </si>
  <si>
    <t>0103527305</t>
  </si>
  <si>
    <t>cristianullauri@hotmail.com</t>
  </si>
  <si>
    <t>CO225R00065</t>
  </si>
  <si>
    <t>Dalia Clavijo Barahona</t>
  </si>
  <si>
    <t>Toribio de Ortiguera S/N</t>
  </si>
  <si>
    <t>0984985813</t>
  </si>
  <si>
    <t>0300808094</t>
  </si>
  <si>
    <t>deliaclavijo@hotmail.com</t>
  </si>
  <si>
    <t>ZP224900007</t>
  </si>
  <si>
    <t>Liseth Pesantez</t>
  </si>
  <si>
    <t>0998153226</t>
  </si>
  <si>
    <t>gabrielapp199@gmail.com</t>
  </si>
  <si>
    <t>040-103-000009867</t>
  </si>
  <si>
    <t>PX22BG00608</t>
  </si>
  <si>
    <t>DHT 97670 ROSWL</t>
  </si>
  <si>
    <t>EY243C00041</t>
  </si>
  <si>
    <t>Microondas  ML 8220 BIS L</t>
  </si>
  <si>
    <t>001-501-000053097</t>
  </si>
  <si>
    <t>TRITURADOR TR 510.1</t>
  </si>
  <si>
    <t>FREGADERO DIAMOND RS15 2C-1E</t>
  </si>
  <si>
    <t>HORNO HSB 750 G</t>
  </si>
  <si>
    <t>CAMPANA C7310</t>
  </si>
  <si>
    <t>REFRIGERADOR ALF 717920 SS</t>
  </si>
  <si>
    <t>001-500-000050147</t>
  </si>
  <si>
    <t xml:space="preserve">GUILLERMINA DEL CARMEN  MOSQUERA </t>
  </si>
  <si>
    <t>043-902-000032023</t>
  </si>
  <si>
    <t>churoscm@gmail.com</t>
  </si>
  <si>
    <t>SUKASA</t>
  </si>
  <si>
    <t>040-103-000008202</t>
  </si>
  <si>
    <t>040-103-000009958</t>
  </si>
  <si>
    <t>043-905-000045284</t>
  </si>
  <si>
    <t>072880278</t>
  </si>
  <si>
    <t>Fregadero presenta manchas, pintura se desprende del cristal, solicita CAMBIO DE PRODUCTO</t>
  </si>
  <si>
    <t>rarcentales001@gmail.com</t>
  </si>
  <si>
    <t>chelita-reyes@hotmail.com</t>
  </si>
  <si>
    <t>esteban_67@hotmail.es</t>
  </si>
  <si>
    <t>gjijon@kywi.com.ec</t>
  </si>
  <si>
    <t>jgjijon@kywi.com.ec</t>
  </si>
  <si>
    <t>001-100-000601419</t>
  </si>
  <si>
    <t>TK115160007</t>
  </si>
  <si>
    <t>001-500-000066876</t>
  </si>
  <si>
    <t>006-002-000156386</t>
  </si>
  <si>
    <t>040-103-000000541</t>
  </si>
  <si>
    <t>Cocina IZS 86630 MST BK</t>
  </si>
  <si>
    <t>Almacenes España</t>
  </si>
  <si>
    <t>001-501-000054713</t>
  </si>
  <si>
    <t>ALMACEN</t>
  </si>
  <si>
    <t>040-104-000008328</t>
  </si>
  <si>
    <t>LUNA PAZMINO</t>
  </si>
  <si>
    <t>002-201-00001923</t>
  </si>
  <si>
    <t>043-904-000052256</t>
  </si>
  <si>
    <t>TOTAL</t>
  </si>
  <si>
    <t>Fregadero</t>
  </si>
  <si>
    <t>Horno Electrico</t>
  </si>
  <si>
    <t>Campana</t>
  </si>
  <si>
    <t>Refrigerador</t>
  </si>
  <si>
    <t>FREGADERO UNI5RWTEKA SK</t>
  </si>
  <si>
    <t>034-107-000026186</t>
  </si>
  <si>
    <t>111010023</t>
  </si>
  <si>
    <t>HORNO HSB 646 SS</t>
  </si>
  <si>
    <t>T2247416439</t>
  </si>
  <si>
    <t>ELISABETH RAMON</t>
  </si>
  <si>
    <t>CASALES DEL RIO</t>
  </si>
  <si>
    <t>0905478194</t>
  </si>
  <si>
    <t>0987016654</t>
  </si>
  <si>
    <t>001-500-000067706</t>
  </si>
  <si>
    <t>112580034</t>
  </si>
  <si>
    <t>ZP242P00825</t>
  </si>
  <si>
    <t>MIGUEL CHIRIBOIGA</t>
  </si>
  <si>
    <t>DUYDUG</t>
  </si>
  <si>
    <t>0967478185</t>
  </si>
  <si>
    <t>1400167654</t>
  </si>
  <si>
    <t>chirimiguel521@gmail.com</t>
  </si>
  <si>
    <t>040-101-000000402</t>
  </si>
  <si>
    <t>Campana  DVT PRO 98660 TRL BK</t>
  </si>
  <si>
    <t>Refrigerador RMF 77560 GBK MX</t>
  </si>
  <si>
    <t>Cocina GBC95030 KBB</t>
  </si>
  <si>
    <t>PX246J00289</t>
  </si>
  <si>
    <t>TKAZC4C1852001</t>
  </si>
  <si>
    <t>T2247202272</t>
  </si>
  <si>
    <t>2P24IA00079</t>
  </si>
  <si>
    <t>Andrea Torres</t>
  </si>
  <si>
    <t>Azogues</t>
  </si>
  <si>
    <t>0994869516</t>
  </si>
  <si>
    <t>adrianocrespopapito@yahoo.com</t>
  </si>
  <si>
    <t>Monica Sinchi</t>
  </si>
  <si>
    <t>Av. Hurtado de Mendoza 10 90</t>
  </si>
  <si>
    <t>0103817839</t>
  </si>
  <si>
    <t>0985384397</t>
  </si>
  <si>
    <t>pjarabluejeans@hotmail.com</t>
  </si>
  <si>
    <t>CO249E00499</t>
  </si>
  <si>
    <t>0301527644</t>
  </si>
  <si>
    <t xml:space="preserve">CAMPANA </t>
  </si>
  <si>
    <t>Heroes de Verdeloma y Luis Codero</t>
  </si>
  <si>
    <t>Fregadero de Exhibicion manchado</t>
  </si>
  <si>
    <t>Exhibicion Almacen</t>
  </si>
  <si>
    <t>switch de presion Falso Contacto</t>
  </si>
  <si>
    <t>switch de pres+O12+M9+O11+M9+O11</t>
  </si>
  <si>
    <t>No enciende</t>
  </si>
  <si>
    <t>Termopar fuera de posicion</t>
  </si>
  <si>
    <t>Horno se apaga</t>
  </si>
  <si>
    <t>Suena Demasiado</t>
  </si>
  <si>
    <t>Tarjeta Touch no responde</t>
  </si>
  <si>
    <t>Se ajusta conector tarjeta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</si>
</sst>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7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2"/>
      <name val="Calibri"/>
      <family val="2"/>
    </font>
    <font>
      <sz val="13"/>
      <color rgb="FF000000"/>
      <name val="Calibri"/>
      <family val="2"/>
    </font>
    <font>
      <u/>
      <sz val="13"/>
      <color rgb="FF156082"/>
      <name val="Calibri"/>
      <family val="2"/>
    </font>
    <font>
      <sz val="14"/>
      <color theme="1"/>
      <name val="Calibri"/>
      <family val="2"/>
    </font>
    <font>
      <sz val="2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indexed="8"/>
      <name val="Calibri"/>
      <family val="2"/>
    </font>
    <font>
      <sz val="14"/>
      <color theme="1"/>
      <name val="Arial"/>
      <family val="2"/>
    </font>
    <font>
      <u/>
      <sz val="14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22">
    <xf numFmtId="0" fontId="0" fillId="0" borderId="0"/>
    <xf numFmtId="0" fontId="11" fillId="0" borderId="0"/>
    <xf numFmtId="0" fontId="11" fillId="2" borderId="0">
      <alignment horizontal="left"/>
    </xf>
    <xf numFmtId="0" fontId="3" fillId="0" borderId="0"/>
    <xf numFmtId="0" fontId="4" fillId="0" borderId="0" applyNumberFormat="0" applyFill="0" applyBorder="0" applyAlignment="0" applyProtection="0"/>
    <xf numFmtId="0" fontId="22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3" fillId="0" borderId="0"/>
    <xf numFmtId="167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48" fillId="0" borderId="0"/>
    <xf numFmtId="0" fontId="26" fillId="0" borderId="0"/>
    <xf numFmtId="0" fontId="3" fillId="0" borderId="0"/>
    <xf numFmtId="0" fontId="4" fillId="0" borderId="0" applyNumberFormat="0" applyFill="0" applyBorder="0" applyAlignment="0" applyProtection="0"/>
    <xf numFmtId="0" fontId="26" fillId="0" borderId="0"/>
    <xf numFmtId="0" fontId="11" fillId="0" borderId="0"/>
  </cellStyleXfs>
  <cellXfs count="216">
    <xf numFmtId="0" fontId="0" fillId="0" borderId="0" xfId="0"/>
    <xf numFmtId="0" fontId="5" fillId="0" borderId="0" xfId="0" applyFont="1" applyAlignment="1">
      <alignment horizontal="right"/>
    </xf>
    <xf numFmtId="4" fontId="6" fillId="0" borderId="0" xfId="0" applyNumberFormat="1" applyFont="1"/>
    <xf numFmtId="0" fontId="7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/>
    <xf numFmtId="49" fontId="8" fillId="0" borderId="0" xfId="0" applyNumberFormat="1" applyFont="1" applyAlignment="1">
      <alignment horizontal="left"/>
    </xf>
    <xf numFmtId="1" fontId="0" fillId="0" borderId="0" xfId="0" applyNumberFormat="1"/>
    <xf numFmtId="2" fontId="9" fillId="0" borderId="0" xfId="0" applyNumberFormat="1" applyFont="1" applyAlignment="1">
      <alignment horizontal="right" indent="1"/>
    </xf>
    <xf numFmtId="4" fontId="10" fillId="0" borderId="0" xfId="0" applyNumberFormat="1" applyFont="1" applyAlignment="1">
      <alignment horizontal="left" vertical="center"/>
    </xf>
    <xf numFmtId="0" fontId="12" fillId="0" borderId="0" xfId="1" applyFont="1"/>
    <xf numFmtId="0" fontId="13" fillId="2" borderId="0" xfId="2" applyFont="1" applyAlignment="1">
      <alignment horizontal="center" vertical="center"/>
    </xf>
    <xf numFmtId="1" fontId="13" fillId="2" borderId="0" xfId="2" applyNumberFormat="1" applyFont="1" applyAlignment="1">
      <alignment horizontal="right" vertical="center"/>
    </xf>
    <xf numFmtId="1" fontId="13" fillId="2" borderId="0" xfId="2" applyNumberFormat="1" applyFont="1" applyAlignment="1">
      <alignment horizontal="center" vertical="center"/>
    </xf>
    <xf numFmtId="2" fontId="13" fillId="2" borderId="0" xfId="2" applyNumberFormat="1" applyFont="1" applyAlignment="1">
      <alignment vertical="center"/>
    </xf>
    <xf numFmtId="49" fontId="0" fillId="0" borderId="0" xfId="0" quotePrefix="1" applyNumberFormat="1"/>
    <xf numFmtId="17" fontId="9" fillId="0" borderId="0" xfId="0" quotePrefix="1" applyNumberFormat="1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1" fontId="15" fillId="3" borderId="1" xfId="0" applyNumberFormat="1" applyFont="1" applyFill="1" applyBorder="1" applyAlignment="1">
      <alignment horizontal="center" vertical="center" wrapText="1"/>
    </xf>
    <xf numFmtId="2" fontId="15" fillId="3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6" fillId="0" borderId="0" xfId="3" applyFont="1" applyAlignment="1">
      <alignment horizontal="right"/>
    </xf>
    <xf numFmtId="0" fontId="16" fillId="5" borderId="2" xfId="3" applyFont="1" applyFill="1" applyBorder="1" applyAlignment="1">
      <alignment horizontal="center" vertical="center"/>
    </xf>
    <xf numFmtId="0" fontId="17" fillId="5" borderId="2" xfId="4" applyNumberFormat="1" applyFont="1" applyFill="1" applyBorder="1"/>
    <xf numFmtId="0" fontId="18" fillId="5" borderId="2" xfId="4" applyNumberFormat="1" applyFont="1" applyFill="1" applyBorder="1"/>
    <xf numFmtId="0" fontId="19" fillId="0" borderId="3" xfId="3" applyFont="1" applyBorder="1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left" vertical="top"/>
    </xf>
    <xf numFmtId="0" fontId="21" fillId="6" borderId="0" xfId="0" applyFont="1" applyFill="1" applyAlignment="1">
      <alignment horizontal="left"/>
    </xf>
    <xf numFmtId="0" fontId="23" fillId="0" borderId="0" xfId="5" applyFont="1"/>
    <xf numFmtId="0" fontId="22" fillId="0" borderId="0" xfId="5" applyAlignment="1">
      <alignment horizontal="right"/>
    </xf>
    <xf numFmtId="4" fontId="10" fillId="0" borderId="0" xfId="6" applyNumberFormat="1" applyFont="1" applyAlignment="1">
      <alignment horizontal="left"/>
    </xf>
    <xf numFmtId="0" fontId="24" fillId="0" borderId="0" xfId="6" applyFont="1" applyAlignment="1">
      <alignment horizontal="center"/>
    </xf>
    <xf numFmtId="0" fontId="25" fillId="0" borderId="0" xfId="6" applyFont="1" applyAlignment="1">
      <alignment vertical="center"/>
    </xf>
    <xf numFmtId="0" fontId="24" fillId="0" borderId="0" xfId="6" applyFont="1"/>
    <xf numFmtId="2" fontId="26" fillId="0" borderId="0" xfId="6" applyNumberFormat="1" applyFont="1" applyAlignment="1">
      <alignment horizontal="left"/>
    </xf>
    <xf numFmtId="0" fontId="22" fillId="0" borderId="0" xfId="5"/>
    <xf numFmtId="0" fontId="27" fillId="0" borderId="0" xfId="5" applyFont="1"/>
    <xf numFmtId="4" fontId="10" fillId="0" borderId="0" xfId="6" applyNumberFormat="1" applyFont="1" applyAlignment="1">
      <alignment horizontal="left" vertical="center"/>
    </xf>
    <xf numFmtId="0" fontId="26" fillId="0" borderId="0" xfId="6" applyFont="1" applyAlignment="1">
      <alignment horizontal="center"/>
    </xf>
    <xf numFmtId="0" fontId="26" fillId="0" borderId="0" xfId="6" applyFont="1"/>
    <xf numFmtId="166" fontId="28" fillId="0" borderId="4" xfId="7" applyNumberFormat="1" applyFont="1" applyBorder="1" applyAlignment="1">
      <alignment horizontal="left"/>
    </xf>
    <xf numFmtId="0" fontId="28" fillId="0" borderId="5" xfId="7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9" fillId="0" borderId="5" xfId="7" applyFont="1" applyBorder="1" applyAlignment="1">
      <alignment horizontal="left"/>
    </xf>
    <xf numFmtId="0" fontId="30" fillId="0" borderId="5" xfId="7" applyFont="1" applyBorder="1" applyAlignment="1">
      <alignment horizontal="left" wrapText="1" readingOrder="1"/>
    </xf>
    <xf numFmtId="0" fontId="29" fillId="0" borderId="5" xfId="7" applyFont="1" applyBorder="1" applyAlignment="1">
      <alignment horizontal="left" wrapText="1"/>
    </xf>
    <xf numFmtId="0" fontId="31" fillId="0" borderId="5" xfId="7" applyFont="1" applyBorder="1" applyAlignment="1">
      <alignment horizontal="left" wrapText="1"/>
    </xf>
    <xf numFmtId="17" fontId="32" fillId="0" borderId="5" xfId="7" quotePrefix="1" applyNumberFormat="1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49" fontId="33" fillId="0" borderId="6" xfId="7" quotePrefix="1" applyNumberFormat="1" applyFont="1" applyBorder="1" applyAlignment="1">
      <alignment horizontal="left"/>
    </xf>
    <xf numFmtId="0" fontId="23" fillId="0" borderId="0" xfId="0" applyFont="1"/>
    <xf numFmtId="166" fontId="28" fillId="0" borderId="7" xfId="7" applyNumberFormat="1" applyFont="1" applyBorder="1" applyAlignment="1">
      <alignment horizontal="left"/>
    </xf>
    <xf numFmtId="0" fontId="28" fillId="0" borderId="0" xfId="7" applyFont="1" applyAlignment="1">
      <alignment horizontal="left"/>
    </xf>
    <xf numFmtId="0" fontId="27" fillId="0" borderId="0" xfId="7" applyFont="1" applyAlignment="1">
      <alignment horizontal="left"/>
    </xf>
    <xf numFmtId="0" fontId="27" fillId="0" borderId="8" xfId="7" applyFont="1" applyBorder="1" applyAlignment="1">
      <alignment horizontal="left"/>
    </xf>
    <xf numFmtId="166" fontId="34" fillId="0" borderId="9" xfId="7" applyNumberFormat="1" applyFont="1" applyBorder="1" applyAlignment="1">
      <alignment horizontal="left"/>
    </xf>
    <xf numFmtId="0" fontId="27" fillId="0" borderId="10" xfId="7" applyFont="1" applyBorder="1" applyAlignment="1">
      <alignment horizontal="left"/>
    </xf>
    <xf numFmtId="0" fontId="27" fillId="0" borderId="11" xfId="7" applyFont="1" applyBorder="1" applyAlignment="1">
      <alignment horizontal="left"/>
    </xf>
    <xf numFmtId="0" fontId="37" fillId="0" borderId="0" xfId="0" applyFont="1"/>
    <xf numFmtId="0" fontId="16" fillId="0" borderId="0" xfId="0" applyFont="1" applyAlignment="1">
      <alignment horizontal="right"/>
    </xf>
    <xf numFmtId="0" fontId="39" fillId="0" borderId="0" xfId="9" applyFont="1"/>
    <xf numFmtId="0" fontId="3" fillId="0" borderId="0" xfId="14"/>
    <xf numFmtId="4" fontId="6" fillId="0" borderId="0" xfId="14" applyNumberFormat="1" applyFont="1"/>
    <xf numFmtId="0" fontId="7" fillId="0" borderId="0" xfId="14" applyFont="1" applyAlignment="1">
      <alignment vertical="center"/>
    </xf>
    <xf numFmtId="2" fontId="3" fillId="0" borderId="0" xfId="14" applyNumberFormat="1" applyAlignment="1">
      <alignment horizontal="left"/>
    </xf>
    <xf numFmtId="0" fontId="3" fillId="0" borderId="0" xfId="14" applyAlignment="1">
      <alignment horizontal="left"/>
    </xf>
    <xf numFmtId="43" fontId="3" fillId="0" borderId="0" xfId="15" applyFont="1" applyFill="1"/>
    <xf numFmtId="0" fontId="40" fillId="0" borderId="0" xfId="14" applyFont="1"/>
    <xf numFmtId="4" fontId="10" fillId="0" borderId="0" xfId="14" applyNumberFormat="1" applyFont="1" applyAlignment="1">
      <alignment horizontal="left" vertical="center"/>
    </xf>
    <xf numFmtId="0" fontId="26" fillId="0" borderId="0" xfId="9"/>
    <xf numFmtId="17" fontId="3" fillId="0" borderId="0" xfId="14" quotePrefix="1" applyNumberFormat="1"/>
    <xf numFmtId="17" fontId="40" fillId="0" borderId="0" xfId="14" quotePrefix="1" applyNumberFormat="1" applyFont="1"/>
    <xf numFmtId="0" fontId="41" fillId="7" borderId="14" xfId="14" applyFont="1" applyFill="1" applyBorder="1" applyAlignment="1">
      <alignment horizontal="center" wrapText="1"/>
    </xf>
    <xf numFmtId="0" fontId="42" fillId="7" borderId="14" xfId="9" applyFont="1" applyFill="1" applyBorder="1" applyAlignment="1">
      <alignment horizontal="left" wrapText="1"/>
    </xf>
    <xf numFmtId="43" fontId="42" fillId="7" borderId="14" xfId="15" applyFont="1" applyFill="1" applyBorder="1" applyAlignment="1">
      <alignment horizontal="left" wrapText="1"/>
    </xf>
    <xf numFmtId="0" fontId="42" fillId="7" borderId="14" xfId="9" applyFont="1" applyFill="1" applyBorder="1" applyAlignment="1">
      <alignment horizontal="center" wrapText="1"/>
    </xf>
    <xf numFmtId="0" fontId="42" fillId="7" borderId="0" xfId="9" applyFont="1" applyFill="1" applyAlignment="1">
      <alignment horizontal="left" wrapText="1"/>
    </xf>
    <xf numFmtId="0" fontId="41" fillId="7" borderId="14" xfId="9" applyFont="1" applyFill="1" applyBorder="1" applyAlignment="1">
      <alignment horizontal="left" wrapText="1"/>
    </xf>
    <xf numFmtId="0" fontId="19" fillId="0" borderId="0" xfId="14" applyFont="1" applyAlignment="1">
      <alignment horizontal="right"/>
    </xf>
    <xf numFmtId="0" fontId="19" fillId="0" borderId="10" xfId="14" applyFont="1" applyBorder="1" applyAlignment="1">
      <alignment horizontal="left"/>
    </xf>
    <xf numFmtId="0" fontId="19" fillId="0" borderId="16" xfId="14" applyFont="1" applyBorder="1" applyAlignment="1">
      <alignment horizontal="left"/>
    </xf>
    <xf numFmtId="0" fontId="19" fillId="0" borderId="16" xfId="14" applyFont="1" applyBorder="1"/>
    <xf numFmtId="0" fontId="19" fillId="0" borderId="10" xfId="14" applyFont="1" applyBorder="1" applyAlignment="1">
      <alignment horizontal="left" vertical="center"/>
    </xf>
    <xf numFmtId="14" fontId="19" fillId="0" borderId="15" xfId="14" applyNumberFormat="1" applyFont="1" applyBorder="1" applyAlignment="1">
      <alignment horizontal="left"/>
    </xf>
    <xf numFmtId="0" fontId="19" fillId="0" borderId="15" xfId="14" applyFont="1" applyBorder="1" applyAlignment="1">
      <alignment horizontal="left" vertical="center"/>
    </xf>
    <xf numFmtId="0" fontId="19" fillId="0" borderId="15" xfId="14" applyFont="1" applyBorder="1" applyAlignment="1">
      <alignment horizontal="left"/>
    </xf>
    <xf numFmtId="0" fontId="19" fillId="0" borderId="15" xfId="14" quotePrefix="1" applyFont="1" applyBorder="1" applyAlignment="1">
      <alignment horizontal="left"/>
    </xf>
    <xf numFmtId="14" fontId="19" fillId="0" borderId="15" xfId="14" applyNumberFormat="1" applyFont="1" applyBorder="1" applyAlignment="1">
      <alignment horizontal="left" vertical="center"/>
    </xf>
    <xf numFmtId="43" fontId="19" fillId="0" borderId="15" xfId="15" applyFont="1" applyBorder="1"/>
    <xf numFmtId="43" fontId="19" fillId="0" borderId="15" xfId="15" applyFont="1" applyBorder="1" applyAlignment="1">
      <alignment horizontal="left" vertical="center"/>
    </xf>
    <xf numFmtId="0" fontId="43" fillId="0" borderId="0" xfId="0" applyFont="1" applyAlignment="1">
      <alignment vertical="center"/>
    </xf>
    <xf numFmtId="0" fontId="44" fillId="0" borderId="0" xfId="0" applyFont="1"/>
    <xf numFmtId="0" fontId="45" fillId="0" borderId="17" xfId="0" applyFont="1" applyBorder="1" applyAlignment="1">
      <alignment vertical="center"/>
    </xf>
    <xf numFmtId="0" fontId="14" fillId="0" borderId="0" xfId="0" quotePrefix="1" applyFont="1"/>
    <xf numFmtId="0" fontId="47" fillId="7" borderId="14" xfId="0" applyFont="1" applyFill="1" applyBorder="1" applyAlignment="1">
      <alignment horizontal="center" wrapText="1"/>
    </xf>
    <xf numFmtId="0" fontId="47" fillId="7" borderId="14" xfId="0" applyFont="1" applyFill="1" applyBorder="1" applyAlignment="1">
      <alignment wrapText="1"/>
    </xf>
    <xf numFmtId="0" fontId="47" fillId="7" borderId="14" xfId="0" applyFont="1" applyFill="1" applyBorder="1" applyAlignment="1">
      <alignment horizontal="center" vertical="center" wrapText="1"/>
    </xf>
    <xf numFmtId="0" fontId="47" fillId="7" borderId="18" xfId="0" applyFont="1" applyFill="1" applyBorder="1" applyAlignment="1">
      <alignment wrapText="1"/>
    </xf>
    <xf numFmtId="0" fontId="47" fillId="7" borderId="18" xfId="0" applyFont="1" applyFill="1" applyBorder="1" applyAlignment="1">
      <alignment horizontal="center" wrapText="1"/>
    </xf>
    <xf numFmtId="17" fontId="46" fillId="0" borderId="0" xfId="0" quotePrefix="1" applyNumberFormat="1" applyFont="1" applyAlignment="1">
      <alignment horizontal="left"/>
    </xf>
    <xf numFmtId="0" fontId="39" fillId="0" borderId="0" xfId="0" applyFont="1"/>
    <xf numFmtId="0" fontId="32" fillId="0" borderId="0" xfId="17" applyFont="1"/>
    <xf numFmtId="4" fontId="32" fillId="0" borderId="0" xfId="17" applyNumberFormat="1" applyFont="1"/>
    <xf numFmtId="0" fontId="27" fillId="0" borderId="0" xfId="17" applyFont="1"/>
    <xf numFmtId="0" fontId="26" fillId="0" borderId="0" xfId="17"/>
    <xf numFmtId="49" fontId="26" fillId="0" borderId="0" xfId="17" applyNumberFormat="1"/>
    <xf numFmtId="17" fontId="32" fillId="0" borderId="0" xfId="17" quotePrefix="1" applyNumberFormat="1" applyFont="1"/>
    <xf numFmtId="4" fontId="27" fillId="0" borderId="0" xfId="17" applyNumberFormat="1" applyFont="1"/>
    <xf numFmtId="0" fontId="39" fillId="0" borderId="0" xfId="17" applyFont="1"/>
    <xf numFmtId="4" fontId="6" fillId="0" borderId="0" xfId="17" applyNumberFormat="1" applyFont="1"/>
    <xf numFmtId="0" fontId="40" fillId="0" borderId="0" xfId="8" applyFont="1"/>
    <xf numFmtId="49" fontId="40" fillId="0" borderId="0" xfId="8" applyNumberFormat="1" applyFont="1"/>
    <xf numFmtId="0" fontId="7" fillId="0" borderId="0" xfId="17" applyFont="1" applyAlignment="1">
      <alignment vertical="center"/>
    </xf>
    <xf numFmtId="2" fontId="26" fillId="0" borderId="0" xfId="17" applyNumberFormat="1" applyAlignment="1">
      <alignment horizontal="left"/>
    </xf>
    <xf numFmtId="4" fontId="10" fillId="0" borderId="0" xfId="17" applyNumberFormat="1" applyFont="1" applyAlignment="1">
      <alignment horizontal="left" vertical="center"/>
    </xf>
    <xf numFmtId="0" fontId="41" fillId="7" borderId="14" xfId="18" applyFont="1" applyFill="1" applyBorder="1" applyAlignment="1">
      <alignment wrapText="1"/>
    </xf>
    <xf numFmtId="0" fontId="49" fillId="7" borderId="14" xfId="18" applyFont="1" applyFill="1" applyBorder="1" applyAlignment="1">
      <alignment wrapText="1"/>
    </xf>
    <xf numFmtId="49" fontId="41" fillId="7" borderId="14" xfId="18" applyNumberFormat="1" applyFont="1" applyFill="1" applyBorder="1" applyAlignment="1">
      <alignment wrapText="1"/>
    </xf>
    <xf numFmtId="0" fontId="51" fillId="7" borderId="1" xfId="8" applyFont="1" applyFill="1" applyBorder="1" applyAlignment="1">
      <alignment horizontal="center" wrapText="1"/>
    </xf>
    <xf numFmtId="0" fontId="52" fillId="7" borderId="1" xfId="0" applyFont="1" applyFill="1" applyBorder="1" applyAlignment="1">
      <alignment horizontal="center" vertical="center" wrapText="1"/>
    </xf>
    <xf numFmtId="0" fontId="52" fillId="7" borderId="1" xfId="0" applyFont="1" applyFill="1" applyBorder="1" applyAlignment="1">
      <alignment vertical="center" wrapText="1"/>
    </xf>
    <xf numFmtId="0" fontId="4" fillId="0" borderId="15" xfId="19" applyBorder="1" applyAlignment="1">
      <alignment horizontal="left" vertical="center"/>
    </xf>
    <xf numFmtId="0" fontId="0" fillId="0" borderId="0" xfId="14" applyFont="1"/>
    <xf numFmtId="0" fontId="53" fillId="0" borderId="0" xfId="0" applyFont="1" applyAlignment="1">
      <alignment horizontal="left"/>
    </xf>
    <xf numFmtId="4" fontId="54" fillId="0" borderId="0" xfId="0" applyNumberFormat="1" applyFont="1"/>
    <xf numFmtId="0" fontId="55" fillId="0" borderId="0" xfId="0" applyFont="1" applyAlignment="1">
      <alignment horizontal="left" vertical="center"/>
    </xf>
    <xf numFmtId="0" fontId="56" fillId="0" borderId="0" xfId="0" applyFont="1"/>
    <xf numFmtId="2" fontId="53" fillId="0" borderId="0" xfId="0" applyNumberFormat="1" applyFont="1" applyAlignment="1">
      <alignment horizontal="left"/>
    </xf>
    <xf numFmtId="0" fontId="53" fillId="0" borderId="0" xfId="0" applyFont="1" applyAlignment="1">
      <alignment horizontal="right"/>
    </xf>
    <xf numFmtId="0" fontId="57" fillId="0" borderId="0" xfId="0" applyFont="1"/>
    <xf numFmtId="49" fontId="57" fillId="0" borderId="0" xfId="0" applyNumberFormat="1" applyFont="1" applyAlignment="1">
      <alignment horizontal="left"/>
    </xf>
    <xf numFmtId="1" fontId="53" fillId="0" borderId="0" xfId="0" applyNumberFormat="1" applyFont="1"/>
    <xf numFmtId="2" fontId="58" fillId="0" borderId="0" xfId="0" applyNumberFormat="1" applyFont="1" applyAlignment="1">
      <alignment horizontal="right"/>
    </xf>
    <xf numFmtId="0" fontId="53" fillId="0" borderId="0" xfId="0" applyFont="1" applyAlignment="1">
      <alignment horizontal="center"/>
    </xf>
    <xf numFmtId="4" fontId="59" fillId="0" borderId="0" xfId="0" applyNumberFormat="1" applyFont="1" applyAlignment="1">
      <alignment horizontal="left" vertical="center"/>
    </xf>
    <xf numFmtId="0" fontId="55" fillId="0" borderId="0" xfId="0" applyFont="1" applyAlignment="1">
      <alignment horizontal="left"/>
    </xf>
    <xf numFmtId="49" fontId="53" fillId="0" borderId="0" xfId="0" applyNumberFormat="1" applyFont="1"/>
    <xf numFmtId="0" fontId="60" fillId="0" borderId="0" xfId="0" applyFont="1" applyAlignment="1">
      <alignment horizontal="left"/>
    </xf>
    <xf numFmtId="17" fontId="58" fillId="0" borderId="0" xfId="0" applyNumberFormat="1" applyFont="1" applyAlignment="1">
      <alignment horizontal="left"/>
    </xf>
    <xf numFmtId="0" fontId="61" fillId="3" borderId="19" xfId="0" applyFont="1" applyFill="1" applyBorder="1" applyAlignment="1">
      <alignment horizontal="left" vertical="center" wrapText="1"/>
    </xf>
    <xf numFmtId="1" fontId="61" fillId="3" borderId="19" xfId="0" applyNumberFormat="1" applyFont="1" applyFill="1" applyBorder="1" applyAlignment="1">
      <alignment horizontal="left" vertical="center" wrapText="1"/>
    </xf>
    <xf numFmtId="2" fontId="61" fillId="3" borderId="19" xfId="0" applyNumberFormat="1" applyFont="1" applyFill="1" applyBorder="1" applyAlignment="1">
      <alignment horizontal="left" vertical="center" wrapText="1"/>
    </xf>
    <xf numFmtId="0" fontId="61" fillId="3" borderId="20" xfId="0" applyFont="1" applyFill="1" applyBorder="1" applyAlignment="1">
      <alignment horizontal="left" vertical="center" wrapText="1"/>
    </xf>
    <xf numFmtId="0" fontId="61" fillId="3" borderId="21" xfId="0" applyFont="1" applyFill="1" applyBorder="1" applyAlignment="1">
      <alignment horizontal="left" vertical="center" wrapText="1"/>
    </xf>
    <xf numFmtId="0" fontId="50" fillId="5" borderId="15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vertical="center"/>
    </xf>
    <xf numFmtId="0" fontId="38" fillId="8" borderId="0" xfId="9" applyFont="1" applyFill="1" applyAlignment="1">
      <alignment vertical="center"/>
    </xf>
    <xf numFmtId="14" fontId="38" fillId="8" borderId="2" xfId="10" applyNumberFormat="1" applyFont="1" applyFill="1" applyBorder="1" applyAlignment="1">
      <alignment vertical="center" wrapText="1"/>
    </xf>
    <xf numFmtId="14" fontId="38" fillId="8" borderId="2" xfId="10" applyNumberFormat="1" applyFont="1" applyFill="1" applyBorder="1" applyAlignment="1">
      <alignment horizontal="left" vertical="center" wrapText="1"/>
    </xf>
    <xf numFmtId="0" fontId="38" fillId="8" borderId="2" xfId="1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left" vertical="center" wrapText="1"/>
    </xf>
    <xf numFmtId="0" fontId="38" fillId="8" borderId="2" xfId="10" applyFont="1" applyFill="1" applyBorder="1" applyAlignment="1">
      <alignment horizontal="left" vertical="center" wrapText="1"/>
    </xf>
    <xf numFmtId="0" fontId="38" fillId="8" borderId="12" xfId="10" applyFont="1" applyFill="1" applyBorder="1" applyAlignment="1">
      <alignment vertical="center" wrapText="1"/>
    </xf>
    <xf numFmtId="0" fontId="38" fillId="8" borderId="2" xfId="10" quotePrefix="1" applyFont="1" applyFill="1" applyBorder="1" applyAlignment="1">
      <alignment horizontal="left" vertical="center" wrapText="1"/>
    </xf>
    <xf numFmtId="1" fontId="38" fillId="8" borderId="2" xfId="11" quotePrefix="1" applyNumberFormat="1" applyFont="1" applyFill="1" applyBorder="1" applyAlignment="1">
      <alignment horizontal="left" vertical="center"/>
    </xf>
    <xf numFmtId="43" fontId="38" fillId="8" borderId="2" xfId="12" applyFont="1" applyFill="1" applyBorder="1" applyAlignment="1">
      <alignment vertical="center"/>
    </xf>
    <xf numFmtId="43" fontId="4" fillId="8" borderId="13" xfId="19" applyNumberFormat="1" applyFill="1" applyBorder="1" applyAlignment="1">
      <alignment horizontal="left" vertical="center"/>
    </xf>
    <xf numFmtId="0" fontId="4" fillId="8" borderId="0" xfId="19" applyFill="1" applyAlignment="1">
      <alignment vertical="center"/>
    </xf>
    <xf numFmtId="0" fontId="37" fillId="8" borderId="0" xfId="0" applyFont="1" applyFill="1" applyAlignment="1">
      <alignment vertical="center"/>
    </xf>
    <xf numFmtId="0" fontId="16" fillId="8" borderId="2" xfId="3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6" fillId="8" borderId="2" xfId="3" applyFont="1" applyFill="1" applyBorder="1" applyAlignment="1">
      <alignment horizontal="left" vertical="center"/>
    </xf>
    <xf numFmtId="168" fontId="37" fillId="9" borderId="22" xfId="0" applyNumberFormat="1" applyFont="1" applyFill="1" applyBorder="1" applyAlignment="1">
      <alignment horizontal="left" vertical="center"/>
    </xf>
    <xf numFmtId="14" fontId="16" fillId="8" borderId="2" xfId="3" applyNumberFormat="1" applyFont="1" applyFill="1" applyBorder="1" applyAlignment="1">
      <alignment horizontal="center" vertical="center"/>
    </xf>
    <xf numFmtId="1" fontId="16" fillId="8" borderId="2" xfId="3" applyNumberFormat="1" applyFont="1" applyFill="1" applyBorder="1" applyAlignment="1">
      <alignment horizontal="left" vertical="center"/>
    </xf>
    <xf numFmtId="2" fontId="16" fillId="8" borderId="2" xfId="3" applyNumberFormat="1" applyFont="1" applyFill="1" applyBorder="1" applyAlignment="1">
      <alignment horizontal="center" vertical="center"/>
    </xf>
    <xf numFmtId="165" fontId="16" fillId="8" borderId="2" xfId="3" applyNumberFormat="1" applyFont="1" applyFill="1" applyBorder="1" applyAlignment="1">
      <alignment horizontal="center" vertical="center"/>
    </xf>
    <xf numFmtId="0" fontId="4" fillId="8" borderId="2" xfId="19" applyNumberFormat="1" applyFill="1" applyBorder="1" applyAlignment="1">
      <alignment horizontal="left" vertical="center"/>
    </xf>
    <xf numFmtId="49" fontId="16" fillId="8" borderId="2" xfId="3" applyNumberFormat="1" applyFont="1" applyFill="1" applyBorder="1" applyAlignment="1">
      <alignment horizontal="left" vertical="center"/>
    </xf>
    <xf numFmtId="49" fontId="36" fillId="8" borderId="2" xfId="4" applyNumberFormat="1" applyFont="1" applyFill="1" applyBorder="1" applyAlignment="1">
      <alignment horizontal="center" vertical="center"/>
    </xf>
    <xf numFmtId="14" fontId="65" fillId="11" borderId="2" xfId="0" applyNumberFormat="1" applyFont="1" applyFill="1" applyBorder="1" applyAlignment="1">
      <alignment horizontal="center" vertical="center"/>
    </xf>
    <xf numFmtId="1" fontId="65" fillId="11" borderId="12" xfId="0" applyNumberFormat="1" applyFont="1" applyFill="1" applyBorder="1" applyAlignment="1">
      <alignment horizontal="left" vertical="center"/>
    </xf>
    <xf numFmtId="49" fontId="65" fillId="11" borderId="12" xfId="0" applyNumberFormat="1" applyFont="1" applyFill="1" applyBorder="1" applyAlignment="1">
      <alignment horizontal="left" vertical="center"/>
    </xf>
    <xf numFmtId="2" fontId="65" fillId="11" borderId="12" xfId="0" applyNumberFormat="1" applyFont="1" applyFill="1" applyBorder="1" applyAlignment="1">
      <alignment horizontal="center" vertical="center"/>
    </xf>
    <xf numFmtId="49" fontId="66" fillId="11" borderId="12" xfId="0" applyNumberFormat="1" applyFont="1" applyFill="1" applyBorder="1" applyAlignment="1">
      <alignment horizontal="center" vertical="center"/>
    </xf>
    <xf numFmtId="0" fontId="4" fillId="11" borderId="12" xfId="19" applyFill="1" applyBorder="1" applyAlignment="1">
      <alignment horizontal="left" vertical="center"/>
    </xf>
    <xf numFmtId="0" fontId="65" fillId="11" borderId="2" xfId="0" applyFont="1" applyFill="1" applyBorder="1" applyAlignment="1">
      <alignment horizontal="left" vertical="center"/>
    </xf>
    <xf numFmtId="49" fontId="63" fillId="8" borderId="15" xfId="21" applyNumberFormat="1" applyFont="1" applyFill="1" applyBorder="1" applyAlignment="1">
      <alignment horizontal="left"/>
    </xf>
    <xf numFmtId="49" fontId="19" fillId="0" borderId="15" xfId="14" quotePrefix="1" applyNumberFormat="1" applyFont="1" applyBorder="1" applyAlignment="1">
      <alignment horizontal="left" vertical="center"/>
    </xf>
    <xf numFmtId="1" fontId="37" fillId="8" borderId="2" xfId="3" applyNumberFormat="1" applyFont="1" applyFill="1" applyBorder="1" applyAlignment="1">
      <alignment horizontal="left" vertical="center"/>
    </xf>
    <xf numFmtId="49" fontId="38" fillId="8" borderId="2" xfId="12" quotePrefix="1" applyNumberFormat="1" applyFont="1" applyFill="1" applyBorder="1" applyAlignment="1">
      <alignment horizontal="left" vertical="center"/>
    </xf>
    <xf numFmtId="14" fontId="62" fillId="9" borderId="1" xfId="0" applyNumberFormat="1" applyFont="1" applyFill="1" applyBorder="1" applyAlignment="1">
      <alignment horizontal="left" vertical="center"/>
    </xf>
    <xf numFmtId="49" fontId="62" fillId="9" borderId="1" xfId="0" applyNumberFormat="1" applyFont="1" applyFill="1" applyBorder="1" applyAlignment="1">
      <alignment horizontal="left" vertical="center"/>
    </xf>
    <xf numFmtId="43" fontId="0" fillId="0" borderId="0" xfId="0" applyNumberFormat="1"/>
    <xf numFmtId="0" fontId="67" fillId="0" borderId="0" xfId="0" applyFont="1" applyAlignment="1">
      <alignment horizontal="center" vertical="center"/>
    </xf>
    <xf numFmtId="43" fontId="38" fillId="8" borderId="2" xfId="12" applyFont="1" applyFill="1" applyBorder="1" applyAlignment="1">
      <alignment horizontal="right" vertical="center"/>
    </xf>
    <xf numFmtId="14" fontId="37" fillId="8" borderId="2" xfId="10" applyNumberFormat="1" applyFont="1" applyFill="1" applyBorder="1" applyAlignment="1">
      <alignment horizontal="left" vertical="center" wrapText="1"/>
    </xf>
    <xf numFmtId="2" fontId="37" fillId="8" borderId="2" xfId="3" applyNumberFormat="1" applyFont="1" applyFill="1" applyBorder="1" applyAlignment="1">
      <alignment horizontal="center" vertical="center"/>
    </xf>
    <xf numFmtId="2" fontId="37" fillId="11" borderId="12" xfId="0" applyNumberFormat="1" applyFont="1" applyFill="1" applyBorder="1" applyAlignment="1">
      <alignment horizontal="center" vertical="center"/>
    </xf>
    <xf numFmtId="2" fontId="16" fillId="8" borderId="23" xfId="3" applyNumberFormat="1" applyFont="1" applyFill="1" applyBorder="1" applyAlignment="1">
      <alignment horizontal="center" vertical="center"/>
    </xf>
    <xf numFmtId="2" fontId="69" fillId="0" borderId="1" xfId="0" applyNumberFormat="1" applyFont="1" applyBorder="1"/>
    <xf numFmtId="0" fontId="68" fillId="0" borderId="1" xfId="0" applyFont="1" applyBorder="1"/>
    <xf numFmtId="0" fontId="2" fillId="0" borderId="1" xfId="0" applyFont="1" applyBorder="1"/>
    <xf numFmtId="0" fontId="64" fillId="8" borderId="1" xfId="1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64" fontId="70" fillId="5" borderId="2" xfId="3" applyNumberFormat="1" applyFont="1" applyFill="1" applyBorder="1" applyAlignment="1">
      <alignment horizontal="left"/>
    </xf>
    <xf numFmtId="0" fontId="70" fillId="5" borderId="2" xfId="3" applyFont="1" applyFill="1" applyBorder="1"/>
    <xf numFmtId="49" fontId="71" fillId="9" borderId="22" xfId="0" applyNumberFormat="1" applyFont="1" applyFill="1" applyBorder="1" applyAlignment="1">
      <alignment horizontal="left" vertical="center"/>
    </xf>
    <xf numFmtId="14" fontId="71" fillId="9" borderId="22" xfId="0" applyNumberFormat="1" applyFont="1" applyFill="1" applyBorder="1" applyAlignment="1">
      <alignment horizontal="left" vertical="center"/>
    </xf>
    <xf numFmtId="0" fontId="70" fillId="5" borderId="2" xfId="3" applyFont="1" applyFill="1" applyBorder="1" applyAlignment="1">
      <alignment horizontal="left" vertical="center"/>
    </xf>
    <xf numFmtId="0" fontId="70" fillId="5" borderId="2" xfId="3" applyFont="1" applyFill="1" applyBorder="1" applyAlignment="1">
      <alignment horizontal="left"/>
    </xf>
    <xf numFmtId="1" fontId="70" fillId="5" borderId="2" xfId="3" applyNumberFormat="1" applyFont="1" applyFill="1" applyBorder="1"/>
    <xf numFmtId="2" fontId="70" fillId="5" borderId="2" xfId="3" applyNumberFormat="1" applyFont="1" applyFill="1" applyBorder="1" applyAlignment="1">
      <alignment horizontal="center"/>
    </xf>
    <xf numFmtId="165" fontId="72" fillId="5" borderId="2" xfId="19" applyNumberFormat="1" applyFont="1" applyFill="1" applyBorder="1" applyAlignment="1">
      <alignment horizontal="left"/>
    </xf>
    <xf numFmtId="2" fontId="62" fillId="9" borderId="1" xfId="0" applyNumberFormat="1" applyFont="1" applyFill="1" applyBorder="1" applyAlignment="1">
      <alignment horizontal="left" vertical="center"/>
    </xf>
    <xf numFmtId="49" fontId="62" fillId="10" borderId="1" xfId="0" applyNumberFormat="1" applyFont="1" applyFill="1" applyBorder="1" applyAlignment="1">
      <alignment horizontal="left" vertical="center"/>
    </xf>
    <xf numFmtId="0" fontId="4" fillId="10" borderId="1" xfId="19" applyFill="1" applyBorder="1" applyAlignment="1">
      <alignment horizontal="left" vertical="center"/>
    </xf>
    <xf numFmtId="49" fontId="37" fillId="8" borderId="2" xfId="12" quotePrefix="1" applyNumberFormat="1" applyFont="1" applyFill="1" applyBorder="1" applyAlignment="1">
      <alignment horizontal="left" vertical="center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la-teresaesa@outlook.es" TargetMode="External"/><Relationship Id="rId18" Type="http://schemas.openxmlformats.org/officeDocument/2006/relationships/hyperlink" Target="mailto:michelle_96038@hotmail.com" TargetMode="External"/><Relationship Id="rId26" Type="http://schemas.openxmlformats.org/officeDocument/2006/relationships/hyperlink" Target="mailto:dieguito.severo@hotmail.com" TargetMode="External"/><Relationship Id="rId39" Type="http://schemas.openxmlformats.org/officeDocument/2006/relationships/hyperlink" Target="mailto:antonimarco-35@hotmail.com" TargetMode="External"/><Relationship Id="rId21" Type="http://schemas.openxmlformats.org/officeDocument/2006/relationships/hyperlink" Target="mailto:abjairolopez@gmail.com" TargetMode="External"/><Relationship Id="rId34" Type="http://schemas.openxmlformats.org/officeDocument/2006/relationships/hyperlink" Target="mailto:pablovaldivieso@hotmail.com" TargetMode="External"/><Relationship Id="rId42" Type="http://schemas.openxmlformats.org/officeDocument/2006/relationships/hyperlink" Target="mailto:adrianocrespopapito@yahoo.com" TargetMode="External"/><Relationship Id="rId7" Type="http://schemas.openxmlformats.org/officeDocument/2006/relationships/hyperlink" Target="mailto:sacmicas@gmail.com" TargetMode="External"/><Relationship Id="rId2" Type="http://schemas.openxmlformats.org/officeDocument/2006/relationships/hyperlink" Target="mailto:ma5252360@gmail.com" TargetMode="External"/><Relationship Id="rId16" Type="http://schemas.openxmlformats.org/officeDocument/2006/relationships/hyperlink" Target="mailto:gaby.g1034@hotmail.com" TargetMode="External"/><Relationship Id="rId29" Type="http://schemas.openxmlformats.org/officeDocument/2006/relationships/hyperlink" Target="mailto:Lisleyduran@gmail.com" TargetMode="External"/><Relationship Id="rId1" Type="http://schemas.openxmlformats.org/officeDocument/2006/relationships/hyperlink" Target="mailto:ma5252360@gmail.com" TargetMode="External"/><Relationship Id="rId6" Type="http://schemas.openxmlformats.org/officeDocument/2006/relationships/hyperlink" Target="mailto:sacmicas@gmail.com" TargetMode="External"/><Relationship Id="rId11" Type="http://schemas.openxmlformats.org/officeDocument/2006/relationships/hyperlink" Target="mailto:cavi.constructora@hotmail.com" TargetMode="External"/><Relationship Id="rId24" Type="http://schemas.openxmlformats.org/officeDocument/2006/relationships/hyperlink" Target="mailto:alodiacevallos0@gmail.com" TargetMode="External"/><Relationship Id="rId32" Type="http://schemas.openxmlformats.org/officeDocument/2006/relationships/hyperlink" Target="mailto:pablovaldivieso@hotmail.com" TargetMode="External"/><Relationship Id="rId37" Type="http://schemas.openxmlformats.org/officeDocument/2006/relationships/hyperlink" Target="mailto:masusana10@hotmail.com" TargetMode="External"/><Relationship Id="rId40" Type="http://schemas.openxmlformats.org/officeDocument/2006/relationships/hyperlink" Target="mailto:antonimarco-35@hotmail.com" TargetMode="External"/><Relationship Id="rId45" Type="http://schemas.openxmlformats.org/officeDocument/2006/relationships/drawing" Target="../drawings/drawing1.xml"/><Relationship Id="rId5" Type="http://schemas.openxmlformats.org/officeDocument/2006/relationships/hyperlink" Target="mailto:sacmicas@gmail.com" TargetMode="External"/><Relationship Id="rId15" Type="http://schemas.openxmlformats.org/officeDocument/2006/relationships/hyperlink" Target="mailto:gaby.g1034@hotmail.com" TargetMode="External"/><Relationship Id="rId23" Type="http://schemas.openxmlformats.org/officeDocument/2006/relationships/hyperlink" Target="mailto:alodiacevallos0@gmail.com" TargetMode="External"/><Relationship Id="rId28" Type="http://schemas.openxmlformats.org/officeDocument/2006/relationships/hyperlink" Target="mailto:Lisleyduran@gmail.com" TargetMode="External"/><Relationship Id="rId36" Type="http://schemas.openxmlformats.org/officeDocument/2006/relationships/hyperlink" Target="mailto:masusana10@hotmail.com" TargetMode="External"/><Relationship Id="rId10" Type="http://schemas.openxmlformats.org/officeDocument/2006/relationships/hyperlink" Target="mailto:cavi.constructora@hotmail.com" TargetMode="External"/><Relationship Id="rId19" Type="http://schemas.openxmlformats.org/officeDocument/2006/relationships/hyperlink" Target="mailto:juliahbarrera@hotmail.com" TargetMode="External"/><Relationship Id="rId31" Type="http://schemas.openxmlformats.org/officeDocument/2006/relationships/hyperlink" Target="mailto:Lisleyduran@gmail.com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sacmicas@gmail.com" TargetMode="External"/><Relationship Id="rId9" Type="http://schemas.openxmlformats.org/officeDocument/2006/relationships/hyperlink" Target="mailto:adrianheras@icloud.com" TargetMode="External"/><Relationship Id="rId14" Type="http://schemas.openxmlformats.org/officeDocument/2006/relationships/hyperlink" Target="mailto:gaby.g1034@hotmail.com" TargetMode="External"/><Relationship Id="rId22" Type="http://schemas.openxmlformats.org/officeDocument/2006/relationships/hyperlink" Target="mailto:abjairolopez@gmail.com" TargetMode="External"/><Relationship Id="rId27" Type="http://schemas.openxmlformats.org/officeDocument/2006/relationships/hyperlink" Target="mailto:Lisleyduran@gmail.com" TargetMode="External"/><Relationship Id="rId30" Type="http://schemas.openxmlformats.org/officeDocument/2006/relationships/hyperlink" Target="mailto:Lisleyduran@gmail.com" TargetMode="External"/><Relationship Id="rId35" Type="http://schemas.openxmlformats.org/officeDocument/2006/relationships/hyperlink" Target="mailto:pablovaldivieso@hotmail.com" TargetMode="External"/><Relationship Id="rId43" Type="http://schemas.openxmlformats.org/officeDocument/2006/relationships/hyperlink" Target="mailto:adrianocrespopapito@yahoo.com" TargetMode="External"/><Relationship Id="rId8" Type="http://schemas.openxmlformats.org/officeDocument/2006/relationships/hyperlink" Target="mailto:adrianheras@icloud.com" TargetMode="External"/><Relationship Id="rId3" Type="http://schemas.openxmlformats.org/officeDocument/2006/relationships/hyperlink" Target="mailto:sacmicas@gmail.com" TargetMode="External"/><Relationship Id="rId12" Type="http://schemas.openxmlformats.org/officeDocument/2006/relationships/hyperlink" Target="mailto:ola-teresaesa@outlook.es" TargetMode="External"/><Relationship Id="rId17" Type="http://schemas.openxmlformats.org/officeDocument/2006/relationships/hyperlink" Target="mailto:michelle_96038@hotmail.com" TargetMode="External"/><Relationship Id="rId25" Type="http://schemas.openxmlformats.org/officeDocument/2006/relationships/hyperlink" Target="mailto:dieguito.severo@hotmail.com" TargetMode="External"/><Relationship Id="rId33" Type="http://schemas.openxmlformats.org/officeDocument/2006/relationships/hyperlink" Target="mailto:pablovaldivieso@hotmail.com" TargetMode="External"/><Relationship Id="rId38" Type="http://schemas.openxmlformats.org/officeDocument/2006/relationships/hyperlink" Target="mailto:masusana10@hotmail.com" TargetMode="External"/><Relationship Id="rId20" Type="http://schemas.openxmlformats.org/officeDocument/2006/relationships/hyperlink" Target="mailto:juliahbarrera@hotmail.com" TargetMode="External"/><Relationship Id="rId41" Type="http://schemas.openxmlformats.org/officeDocument/2006/relationships/hyperlink" Target="mailto:adrianheras@icloud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arcentales001@gmail.com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mailto:dayanachica@hotmail.com" TargetMode="External"/><Relationship Id="rId7" Type="http://schemas.openxmlformats.org/officeDocument/2006/relationships/hyperlink" Target="mailto:gabrielapp199@gmail.co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darwincherrez1234@gmail.com" TargetMode="External"/><Relationship Id="rId1" Type="http://schemas.openxmlformats.org/officeDocument/2006/relationships/hyperlink" Target="mailto:contabilodad@frankferreteria.com" TargetMode="External"/><Relationship Id="rId6" Type="http://schemas.openxmlformats.org/officeDocument/2006/relationships/hyperlink" Target="mailto:parrilladelaherradura@gmail.com" TargetMode="External"/><Relationship Id="rId11" Type="http://schemas.openxmlformats.org/officeDocument/2006/relationships/hyperlink" Target="mailto:gjijon@kywi.com.ec" TargetMode="External"/><Relationship Id="rId5" Type="http://schemas.openxmlformats.org/officeDocument/2006/relationships/hyperlink" Target="mailto:nancyeditcoronel@gmail.com" TargetMode="External"/><Relationship Id="rId10" Type="http://schemas.openxmlformats.org/officeDocument/2006/relationships/hyperlink" Target="mailto:esteban_67@hotmail.es" TargetMode="External"/><Relationship Id="rId4" Type="http://schemas.openxmlformats.org/officeDocument/2006/relationships/hyperlink" Target="mailto:gloriagmsacayob@hotmail.com" TargetMode="External"/><Relationship Id="rId9" Type="http://schemas.openxmlformats.org/officeDocument/2006/relationships/hyperlink" Target="mailto:chelita-reyes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.velez.m@hotmail.com" TargetMode="External"/><Relationship Id="rId13" Type="http://schemas.openxmlformats.org/officeDocument/2006/relationships/hyperlink" Target="mailto:jgjijon@kywi.com.ec" TargetMode="External"/><Relationship Id="rId3" Type="http://schemas.openxmlformats.org/officeDocument/2006/relationships/hyperlink" Target="mailto:tulo26jjc@gmail.com" TargetMode="External"/><Relationship Id="rId7" Type="http://schemas.openxmlformats.org/officeDocument/2006/relationships/hyperlink" Target="mailto:israelpalacios245@gmail.com" TargetMode="External"/><Relationship Id="rId12" Type="http://schemas.openxmlformats.org/officeDocument/2006/relationships/hyperlink" Target="mailto:deliaclavijo@hotmail.com" TargetMode="External"/><Relationship Id="rId2" Type="http://schemas.openxmlformats.org/officeDocument/2006/relationships/hyperlink" Target="mailto:freddyn@kywi.com.ec" TargetMode="External"/><Relationship Id="rId16" Type="http://schemas.openxmlformats.org/officeDocument/2006/relationships/drawing" Target="../drawings/drawing3.xml"/><Relationship Id="rId1" Type="http://schemas.openxmlformats.org/officeDocument/2006/relationships/hyperlink" Target="mailto:almaceneschordeleg@gmail.com" TargetMode="External"/><Relationship Id="rId6" Type="http://schemas.openxmlformats.org/officeDocument/2006/relationships/hyperlink" Target="mailto:bel.tello.crespo@gmail.com" TargetMode="External"/><Relationship Id="rId11" Type="http://schemas.openxmlformats.org/officeDocument/2006/relationships/hyperlink" Target="mailto:cristianullauri@hotmail.com" TargetMode="External"/><Relationship Id="rId5" Type="http://schemas.openxmlformats.org/officeDocument/2006/relationships/hyperlink" Target="mailto:jhon.cruz@kywi.com.ec" TargetMode="External"/><Relationship Id="rId15" Type="http://schemas.openxmlformats.org/officeDocument/2006/relationships/hyperlink" Target="mailto:pjarabluejeans@hotmail.com" TargetMode="External"/><Relationship Id="rId10" Type="http://schemas.openxmlformats.org/officeDocument/2006/relationships/hyperlink" Target="mailto:alextrujilloc@hotmail.com" TargetMode="External"/><Relationship Id="rId4" Type="http://schemas.openxmlformats.org/officeDocument/2006/relationships/hyperlink" Target="mailto:jhon.cruz@kywi.com.ec" TargetMode="External"/><Relationship Id="rId9" Type="http://schemas.openxmlformats.org/officeDocument/2006/relationships/hyperlink" Target="mailto:israelpalacios245@gmail.com" TargetMode="External"/><Relationship Id="rId14" Type="http://schemas.openxmlformats.org/officeDocument/2006/relationships/hyperlink" Target="mailto:jgjijon@kywi.com.e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augustotenemes@gmail.com" TargetMode="External"/><Relationship Id="rId13" Type="http://schemas.openxmlformats.org/officeDocument/2006/relationships/hyperlink" Target="mailto:blancaelenaabadcortez@gmail.com" TargetMode="External"/><Relationship Id="rId18" Type="http://schemas.openxmlformats.org/officeDocument/2006/relationships/hyperlink" Target="mailto:rolandoperez083@gmail.com" TargetMode="External"/><Relationship Id="rId3" Type="http://schemas.openxmlformats.org/officeDocument/2006/relationships/hyperlink" Target="mailto:thalyparedes1993@gmail.com" TargetMode="External"/><Relationship Id="rId21" Type="http://schemas.openxmlformats.org/officeDocument/2006/relationships/hyperlink" Target="mailto:cristyburt15@gmail.com" TargetMode="External"/><Relationship Id="rId7" Type="http://schemas.openxmlformats.org/officeDocument/2006/relationships/hyperlink" Target="mailto:tutundente@hotmail.com" TargetMode="External"/><Relationship Id="rId12" Type="http://schemas.openxmlformats.org/officeDocument/2006/relationships/hyperlink" Target="mailto:eduardomc75@outlook.com" TargetMode="External"/><Relationship Id="rId17" Type="http://schemas.openxmlformats.org/officeDocument/2006/relationships/hyperlink" Target="mailto:gerencia@britoasociados.com" TargetMode="External"/><Relationship Id="rId2" Type="http://schemas.openxmlformats.org/officeDocument/2006/relationships/hyperlink" Target="mailto:luiscarrillo.tecniasi@hotmail.com" TargetMode="External"/><Relationship Id="rId16" Type="http://schemas.openxmlformats.org/officeDocument/2006/relationships/hyperlink" Target="mailto:churoscm@gmail.com" TargetMode="External"/><Relationship Id="rId20" Type="http://schemas.openxmlformats.org/officeDocument/2006/relationships/hyperlink" Target="mailto:anylore@gmail.com" TargetMode="External"/><Relationship Id="rId1" Type="http://schemas.openxmlformats.org/officeDocument/2006/relationships/hyperlink" Target="mailto:aceros_jac@hotmail.com" TargetMode="External"/><Relationship Id="rId6" Type="http://schemas.openxmlformats.org/officeDocument/2006/relationships/hyperlink" Target="mailto:austrofil@hotmail.com" TargetMode="External"/><Relationship Id="rId11" Type="http://schemas.openxmlformats.org/officeDocument/2006/relationships/hyperlink" Target="mailto:carlosnaranjo75@gmail.com" TargetMode="External"/><Relationship Id="rId5" Type="http://schemas.openxmlformats.org/officeDocument/2006/relationships/hyperlink" Target="mailto:chistian.palacios.carrion@hotmail.com" TargetMode="External"/><Relationship Id="rId15" Type="http://schemas.openxmlformats.org/officeDocument/2006/relationships/hyperlink" Target="mailto:mireya_cj@hotmail.com" TargetMode="External"/><Relationship Id="rId23" Type="http://schemas.openxmlformats.org/officeDocument/2006/relationships/printerSettings" Target="../printerSettings/printerSettings3.bin"/><Relationship Id="rId10" Type="http://schemas.openxmlformats.org/officeDocument/2006/relationships/hyperlink" Target="mailto:jfranco64@hotmail.com" TargetMode="External"/><Relationship Id="rId19" Type="http://schemas.openxmlformats.org/officeDocument/2006/relationships/hyperlink" Target="mailto:lojaesther@gmail.com" TargetMode="External"/><Relationship Id="rId4" Type="http://schemas.openxmlformats.org/officeDocument/2006/relationships/hyperlink" Target="mailto:juanisebastian2006@gmail.com" TargetMode="External"/><Relationship Id="rId9" Type="http://schemas.openxmlformats.org/officeDocument/2006/relationships/hyperlink" Target="mailto:gustavoqr281@gmail.com" TargetMode="External"/><Relationship Id="rId14" Type="http://schemas.openxmlformats.org/officeDocument/2006/relationships/hyperlink" Target="mailto:ximenamerchan@hotmail.com" TargetMode="External"/><Relationship Id="rId22" Type="http://schemas.openxmlformats.org/officeDocument/2006/relationships/hyperlink" Target="mailto:chirimiguel5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64"/>
  <sheetViews>
    <sheetView topLeftCell="A26" zoomScale="78" zoomScaleNormal="78" workbookViewId="0">
      <selection activeCell="J54" sqref="J54"/>
    </sheetView>
  </sheetViews>
  <sheetFormatPr baseColWidth="10" defaultRowHeight="15"/>
  <cols>
    <col min="1" max="1" width="3.33203125" customWidth="1"/>
    <col min="2" max="2" width="12.5" bestFit="1" customWidth="1"/>
    <col min="3" max="3" width="19.6640625" customWidth="1"/>
    <col min="4" max="4" width="21.33203125" customWidth="1"/>
    <col min="5" max="5" width="18" customWidth="1"/>
    <col min="6" max="6" width="31.33203125" customWidth="1"/>
    <col min="7" max="7" width="23.33203125" bestFit="1" customWidth="1"/>
    <col min="8" max="8" width="8.5" customWidth="1"/>
    <col min="9" max="9" width="14.6640625" customWidth="1"/>
    <col min="10" max="10" width="17.33203125" customWidth="1"/>
    <col min="11" max="11" width="14.5" customWidth="1"/>
    <col min="12" max="12" width="28.5" customWidth="1"/>
    <col min="13" max="13" width="37" customWidth="1"/>
    <col min="14" max="14" width="14.6640625" bestFit="1" customWidth="1"/>
    <col min="15" max="15" width="11.1640625" customWidth="1"/>
    <col min="16" max="16" width="28.83203125" customWidth="1"/>
    <col min="17" max="17" width="18.33203125" customWidth="1"/>
    <col min="18" max="18" width="7.1640625" customWidth="1"/>
    <col min="19" max="19" width="20.5" customWidth="1"/>
    <col min="20" max="20" width="16.6640625" customWidth="1"/>
    <col min="21" max="21" width="29.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90</v>
      </c>
      <c r="O4" s="9"/>
      <c r="P4" s="17"/>
    </row>
    <row r="5" spans="1:21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1" customHeight="1">
      <c r="A6">
        <v>1</v>
      </c>
      <c r="B6" s="168">
        <v>45587</v>
      </c>
      <c r="C6" s="167" t="s">
        <v>95</v>
      </c>
      <c r="D6" s="167" t="s">
        <v>96</v>
      </c>
      <c r="E6" s="164">
        <v>112580017</v>
      </c>
      <c r="F6" s="167" t="s">
        <v>97</v>
      </c>
      <c r="G6" s="167" t="s">
        <v>98</v>
      </c>
      <c r="H6" s="164" t="s">
        <v>42</v>
      </c>
      <c r="I6" s="164" t="s">
        <v>74</v>
      </c>
      <c r="J6" s="164" t="s">
        <v>75</v>
      </c>
      <c r="K6" s="169">
        <v>45560</v>
      </c>
      <c r="L6" s="170" t="s">
        <v>99</v>
      </c>
      <c r="M6" s="170" t="s">
        <v>100</v>
      </c>
      <c r="N6" s="174" t="s">
        <v>117</v>
      </c>
      <c r="O6" s="171">
        <v>20</v>
      </c>
      <c r="P6" s="164" t="s">
        <v>22</v>
      </c>
      <c r="Q6" s="164" t="s">
        <v>74</v>
      </c>
      <c r="R6" s="172"/>
      <c r="S6" s="167" t="s">
        <v>96</v>
      </c>
      <c r="T6" s="175">
        <v>104261110</v>
      </c>
      <c r="U6" s="173" t="s">
        <v>101</v>
      </c>
    </row>
    <row r="7" spans="1:21" ht="31" customHeight="1">
      <c r="A7">
        <v>2</v>
      </c>
      <c r="B7" s="168">
        <v>45587</v>
      </c>
      <c r="C7" s="167" t="s">
        <v>95</v>
      </c>
      <c r="D7" s="167" t="s">
        <v>96</v>
      </c>
      <c r="E7" s="164">
        <v>112580017</v>
      </c>
      <c r="F7" s="167" t="s">
        <v>97</v>
      </c>
      <c r="G7" s="167" t="s">
        <v>102</v>
      </c>
      <c r="H7" s="164" t="s">
        <v>42</v>
      </c>
      <c r="I7" s="164" t="s">
        <v>74</v>
      </c>
      <c r="J7" s="164" t="s">
        <v>75</v>
      </c>
      <c r="K7" s="169">
        <v>45560</v>
      </c>
      <c r="L7" s="170" t="s">
        <v>99</v>
      </c>
      <c r="M7" s="170" t="s">
        <v>100</v>
      </c>
      <c r="N7" s="174" t="s">
        <v>117</v>
      </c>
      <c r="O7" s="171">
        <v>20</v>
      </c>
      <c r="P7" s="164" t="s">
        <v>22</v>
      </c>
      <c r="Q7" s="164" t="s">
        <v>74</v>
      </c>
      <c r="R7" s="172"/>
      <c r="S7" s="167" t="s">
        <v>96</v>
      </c>
      <c r="T7" s="175">
        <v>104261110</v>
      </c>
      <c r="U7" s="173" t="s">
        <v>101</v>
      </c>
    </row>
    <row r="8" spans="1:21" ht="31" customHeight="1">
      <c r="A8">
        <v>3</v>
      </c>
      <c r="B8" s="168">
        <v>45622</v>
      </c>
      <c r="C8" s="167" t="s">
        <v>255</v>
      </c>
      <c r="D8" s="167" t="s">
        <v>256</v>
      </c>
      <c r="E8" s="164">
        <v>112580027</v>
      </c>
      <c r="F8" s="167" t="s">
        <v>103</v>
      </c>
      <c r="G8" s="167" t="s">
        <v>104</v>
      </c>
      <c r="H8" s="164" t="s">
        <v>42</v>
      </c>
      <c r="I8" s="164" t="s">
        <v>74</v>
      </c>
      <c r="J8" s="164" t="s">
        <v>75</v>
      </c>
      <c r="K8" s="169">
        <v>45622</v>
      </c>
      <c r="L8" s="170" t="s">
        <v>257</v>
      </c>
      <c r="M8" s="170" t="s">
        <v>105</v>
      </c>
      <c r="N8" s="174" t="s">
        <v>118</v>
      </c>
      <c r="O8" s="171">
        <v>15</v>
      </c>
      <c r="P8" s="164" t="s">
        <v>22</v>
      </c>
      <c r="Q8" s="164" t="s">
        <v>74</v>
      </c>
      <c r="R8" s="172"/>
      <c r="S8" s="167" t="s">
        <v>256</v>
      </c>
      <c r="T8" s="175">
        <v>100338177</v>
      </c>
      <c r="U8" s="173" t="s">
        <v>259</v>
      </c>
    </row>
    <row r="9" spans="1:21" ht="31" customHeight="1">
      <c r="A9">
        <v>4</v>
      </c>
      <c r="B9" s="168">
        <v>45622</v>
      </c>
      <c r="C9" s="167" t="s">
        <v>255</v>
      </c>
      <c r="D9" s="167" t="s">
        <v>256</v>
      </c>
      <c r="E9" s="164">
        <v>113430018</v>
      </c>
      <c r="F9" s="167" t="s">
        <v>106</v>
      </c>
      <c r="G9" s="167" t="s">
        <v>107</v>
      </c>
      <c r="H9" s="164" t="s">
        <v>42</v>
      </c>
      <c r="I9" s="164" t="s">
        <v>74</v>
      </c>
      <c r="J9" s="164" t="s">
        <v>75</v>
      </c>
      <c r="K9" s="169">
        <v>45622</v>
      </c>
      <c r="L9" s="170" t="s">
        <v>257</v>
      </c>
      <c r="M9" s="170" t="s">
        <v>105</v>
      </c>
      <c r="N9" s="174" t="s">
        <v>118</v>
      </c>
      <c r="O9" s="171">
        <v>15</v>
      </c>
      <c r="P9" s="164" t="s">
        <v>22</v>
      </c>
      <c r="Q9" s="164" t="s">
        <v>74</v>
      </c>
      <c r="R9" s="172"/>
      <c r="S9" s="167" t="s">
        <v>256</v>
      </c>
      <c r="T9" s="175">
        <v>100338177</v>
      </c>
      <c r="U9" s="173" t="s">
        <v>259</v>
      </c>
    </row>
    <row r="10" spans="1:21" ht="31" customHeight="1">
      <c r="A10">
        <v>5</v>
      </c>
      <c r="B10" s="168">
        <v>45622</v>
      </c>
      <c r="C10" s="167" t="s">
        <v>255</v>
      </c>
      <c r="D10" s="167" t="s">
        <v>256</v>
      </c>
      <c r="E10" s="164">
        <v>111030002</v>
      </c>
      <c r="F10" s="167" t="s">
        <v>108</v>
      </c>
      <c r="G10" s="167" t="s">
        <v>109</v>
      </c>
      <c r="H10" s="164" t="s">
        <v>42</v>
      </c>
      <c r="I10" s="164" t="s">
        <v>74</v>
      </c>
      <c r="J10" s="164" t="s">
        <v>75</v>
      </c>
      <c r="K10" s="169">
        <v>45622</v>
      </c>
      <c r="L10" s="170" t="s">
        <v>257</v>
      </c>
      <c r="M10" s="170" t="s">
        <v>105</v>
      </c>
      <c r="N10" s="174" t="s">
        <v>118</v>
      </c>
      <c r="O10" s="171">
        <v>15</v>
      </c>
      <c r="P10" s="164" t="s">
        <v>22</v>
      </c>
      <c r="Q10" s="164" t="s">
        <v>74</v>
      </c>
      <c r="R10" s="172"/>
      <c r="S10" s="167" t="s">
        <v>256</v>
      </c>
      <c r="T10" s="175">
        <v>100338177</v>
      </c>
      <c r="U10" s="173" t="s">
        <v>259</v>
      </c>
    </row>
    <row r="11" spans="1:21" ht="31" customHeight="1">
      <c r="A11">
        <v>6</v>
      </c>
      <c r="B11" s="168">
        <v>45563</v>
      </c>
      <c r="C11" s="167" t="s">
        <v>110</v>
      </c>
      <c r="D11" s="167" t="s">
        <v>600</v>
      </c>
      <c r="E11" s="164">
        <v>112930068</v>
      </c>
      <c r="F11" s="167" t="s">
        <v>113</v>
      </c>
      <c r="G11" s="167" t="s">
        <v>112</v>
      </c>
      <c r="H11" s="164" t="s">
        <v>42</v>
      </c>
      <c r="I11" s="164" t="s">
        <v>74</v>
      </c>
      <c r="J11" s="164" t="s">
        <v>75</v>
      </c>
      <c r="K11" s="169">
        <v>45623</v>
      </c>
      <c r="L11" s="170" t="s">
        <v>114</v>
      </c>
      <c r="M11" s="170" t="s">
        <v>115</v>
      </c>
      <c r="N11" s="174" t="s">
        <v>134</v>
      </c>
      <c r="O11" s="171">
        <v>15</v>
      </c>
      <c r="P11" s="164" t="s">
        <v>22</v>
      </c>
      <c r="Q11" s="164" t="s">
        <v>74</v>
      </c>
      <c r="R11" s="172"/>
      <c r="S11" s="167" t="s">
        <v>600</v>
      </c>
      <c r="T11" s="175" t="s">
        <v>116</v>
      </c>
      <c r="U11" s="173" t="s">
        <v>119</v>
      </c>
    </row>
    <row r="12" spans="1:21" ht="31" customHeight="1">
      <c r="A12">
        <v>7</v>
      </c>
      <c r="B12" s="168">
        <v>45563</v>
      </c>
      <c r="C12" s="167" t="s">
        <v>110</v>
      </c>
      <c r="D12" s="167" t="s">
        <v>111</v>
      </c>
      <c r="E12" s="164">
        <v>112030010</v>
      </c>
      <c r="F12" s="167" t="s">
        <v>120</v>
      </c>
      <c r="G12" s="167" t="s">
        <v>121</v>
      </c>
      <c r="H12" s="164" t="s">
        <v>42</v>
      </c>
      <c r="I12" s="164" t="s">
        <v>74</v>
      </c>
      <c r="J12" s="164" t="s">
        <v>75</v>
      </c>
      <c r="K12" s="169">
        <v>45623</v>
      </c>
      <c r="L12" s="170" t="s">
        <v>114</v>
      </c>
      <c r="M12" s="170" t="s">
        <v>115</v>
      </c>
      <c r="N12" s="174" t="s">
        <v>134</v>
      </c>
      <c r="O12" s="171">
        <v>15</v>
      </c>
      <c r="P12" s="164" t="s">
        <v>22</v>
      </c>
      <c r="Q12" s="164" t="s">
        <v>74</v>
      </c>
      <c r="R12" s="172"/>
      <c r="S12" s="167" t="s">
        <v>111</v>
      </c>
      <c r="T12" s="175" t="s">
        <v>116</v>
      </c>
      <c r="U12" s="173" t="s">
        <v>119</v>
      </c>
    </row>
    <row r="13" spans="1:21" ht="31" customHeight="1">
      <c r="A13">
        <v>8</v>
      </c>
      <c r="B13" s="168">
        <v>45563</v>
      </c>
      <c r="C13" s="167" t="s">
        <v>110</v>
      </c>
      <c r="D13" s="167" t="s">
        <v>111</v>
      </c>
      <c r="E13" s="164">
        <v>111000059</v>
      </c>
      <c r="F13" s="167" t="s">
        <v>122</v>
      </c>
      <c r="G13" s="167" t="s">
        <v>123</v>
      </c>
      <c r="H13" s="164" t="s">
        <v>42</v>
      </c>
      <c r="I13" s="164" t="s">
        <v>74</v>
      </c>
      <c r="J13" s="164" t="s">
        <v>75</v>
      </c>
      <c r="K13" s="169">
        <v>45623</v>
      </c>
      <c r="L13" s="170" t="s">
        <v>114</v>
      </c>
      <c r="M13" s="170" t="s">
        <v>115</v>
      </c>
      <c r="N13" s="174" t="s">
        <v>134</v>
      </c>
      <c r="O13" s="171">
        <v>15</v>
      </c>
      <c r="P13" s="164" t="s">
        <v>22</v>
      </c>
      <c r="Q13" s="164" t="s">
        <v>74</v>
      </c>
      <c r="R13" s="172"/>
      <c r="S13" s="167" t="s">
        <v>111</v>
      </c>
      <c r="T13" s="175" t="s">
        <v>116</v>
      </c>
      <c r="U13" s="173" t="s">
        <v>119</v>
      </c>
    </row>
    <row r="14" spans="1:21" ht="31" customHeight="1">
      <c r="A14">
        <v>9</v>
      </c>
      <c r="B14" s="168">
        <v>45563</v>
      </c>
      <c r="C14" s="167" t="s">
        <v>110</v>
      </c>
      <c r="D14" s="167" t="s">
        <v>111</v>
      </c>
      <c r="E14" s="164">
        <v>112570211</v>
      </c>
      <c r="F14" s="167" t="s">
        <v>146</v>
      </c>
      <c r="G14" s="167" t="s">
        <v>124</v>
      </c>
      <c r="H14" s="164" t="s">
        <v>42</v>
      </c>
      <c r="I14" s="164" t="s">
        <v>74</v>
      </c>
      <c r="J14" s="164" t="s">
        <v>75</v>
      </c>
      <c r="K14" s="169">
        <v>45623</v>
      </c>
      <c r="L14" s="170" t="s">
        <v>114</v>
      </c>
      <c r="M14" s="170" t="s">
        <v>115</v>
      </c>
      <c r="N14" s="174" t="s">
        <v>134</v>
      </c>
      <c r="O14" s="171">
        <v>15</v>
      </c>
      <c r="P14" s="164" t="s">
        <v>22</v>
      </c>
      <c r="Q14" s="164" t="s">
        <v>74</v>
      </c>
      <c r="R14" s="172"/>
      <c r="S14" s="167" t="s">
        <v>111</v>
      </c>
      <c r="T14" s="175" t="s">
        <v>116</v>
      </c>
      <c r="U14" s="173" t="s">
        <v>119</v>
      </c>
    </row>
    <row r="15" spans="1:21" ht="31" customHeight="1">
      <c r="A15">
        <v>10</v>
      </c>
      <c r="B15" s="168">
        <v>45563</v>
      </c>
      <c r="C15" s="167" t="s">
        <v>110</v>
      </c>
      <c r="D15" s="167" t="s">
        <v>111</v>
      </c>
      <c r="E15" s="164">
        <v>112510036</v>
      </c>
      <c r="F15" s="167" t="s">
        <v>125</v>
      </c>
      <c r="G15" s="167" t="s">
        <v>126</v>
      </c>
      <c r="H15" s="164" t="s">
        <v>42</v>
      </c>
      <c r="I15" s="164" t="s">
        <v>74</v>
      </c>
      <c r="J15" s="164" t="s">
        <v>75</v>
      </c>
      <c r="K15" s="169">
        <v>45623</v>
      </c>
      <c r="L15" s="170" t="s">
        <v>114</v>
      </c>
      <c r="M15" s="170" t="s">
        <v>115</v>
      </c>
      <c r="N15" s="174" t="s">
        <v>134</v>
      </c>
      <c r="O15" s="171">
        <v>15</v>
      </c>
      <c r="P15" s="164" t="s">
        <v>22</v>
      </c>
      <c r="Q15" s="164" t="s">
        <v>74</v>
      </c>
      <c r="R15" s="172"/>
      <c r="S15" s="167" t="s">
        <v>111</v>
      </c>
      <c r="T15" s="175" t="s">
        <v>116</v>
      </c>
      <c r="U15" s="173" t="s">
        <v>119</v>
      </c>
    </row>
    <row r="16" spans="1:21" ht="31" customHeight="1">
      <c r="A16">
        <v>11</v>
      </c>
      <c r="B16" s="168">
        <v>45625</v>
      </c>
      <c r="C16" s="167" t="s">
        <v>95</v>
      </c>
      <c r="D16" s="167" t="s">
        <v>254</v>
      </c>
      <c r="E16" s="164">
        <v>111000030</v>
      </c>
      <c r="F16" s="167" t="s">
        <v>127</v>
      </c>
      <c r="G16" s="167" t="s">
        <v>128</v>
      </c>
      <c r="H16" s="164" t="s">
        <v>42</v>
      </c>
      <c r="I16" s="164" t="s">
        <v>74</v>
      </c>
      <c r="J16" s="164" t="s">
        <v>75</v>
      </c>
      <c r="K16" s="169">
        <v>45625</v>
      </c>
      <c r="L16" s="170" t="s">
        <v>129</v>
      </c>
      <c r="M16" s="170" t="s">
        <v>130</v>
      </c>
      <c r="N16" s="174" t="s">
        <v>131</v>
      </c>
      <c r="O16" s="171">
        <v>20</v>
      </c>
      <c r="P16" s="164" t="s">
        <v>22</v>
      </c>
      <c r="Q16" s="164" t="s">
        <v>74</v>
      </c>
      <c r="R16" s="172"/>
      <c r="S16" s="167" t="s">
        <v>254</v>
      </c>
      <c r="T16" s="175" t="s">
        <v>132</v>
      </c>
      <c r="U16" s="173" t="s">
        <v>133</v>
      </c>
    </row>
    <row r="17" spans="1:21" ht="31" customHeight="1">
      <c r="A17">
        <v>12</v>
      </c>
      <c r="B17" s="168">
        <v>45625</v>
      </c>
      <c r="C17" s="167" t="s">
        <v>95</v>
      </c>
      <c r="D17" s="167" t="s">
        <v>254</v>
      </c>
      <c r="E17" s="164">
        <v>112500048</v>
      </c>
      <c r="F17" s="167" t="s">
        <v>135</v>
      </c>
      <c r="G17" s="167" t="s">
        <v>136</v>
      </c>
      <c r="H17" s="164" t="s">
        <v>42</v>
      </c>
      <c r="I17" s="164" t="s">
        <v>74</v>
      </c>
      <c r="J17" s="164" t="s">
        <v>75</v>
      </c>
      <c r="K17" s="169">
        <v>45625</v>
      </c>
      <c r="L17" s="170" t="s">
        <v>129</v>
      </c>
      <c r="M17" s="170" t="s">
        <v>130</v>
      </c>
      <c r="N17" s="174" t="s">
        <v>131</v>
      </c>
      <c r="O17" s="171">
        <v>20</v>
      </c>
      <c r="P17" s="164" t="s">
        <v>22</v>
      </c>
      <c r="Q17" s="164" t="s">
        <v>74</v>
      </c>
      <c r="R17" s="172"/>
      <c r="S17" s="167" t="s">
        <v>254</v>
      </c>
      <c r="T17" s="175" t="s">
        <v>132</v>
      </c>
      <c r="U17" s="173" t="s">
        <v>133</v>
      </c>
    </row>
    <row r="18" spans="1:21" ht="31" customHeight="1">
      <c r="A18">
        <v>12</v>
      </c>
      <c r="B18" s="168">
        <v>45625</v>
      </c>
      <c r="C18" s="167" t="s">
        <v>95</v>
      </c>
      <c r="D18" s="167" t="s">
        <v>254</v>
      </c>
      <c r="E18" s="164">
        <v>113100004</v>
      </c>
      <c r="F18" s="167" t="s">
        <v>574</v>
      </c>
      <c r="G18" s="167" t="s">
        <v>575</v>
      </c>
      <c r="H18" s="164" t="s">
        <v>42</v>
      </c>
      <c r="I18" s="164" t="s">
        <v>74</v>
      </c>
      <c r="J18" s="164" t="s">
        <v>75</v>
      </c>
      <c r="K18" s="169">
        <v>45625</v>
      </c>
      <c r="L18" s="170" t="s">
        <v>129</v>
      </c>
      <c r="M18" s="170" t="s">
        <v>130</v>
      </c>
      <c r="N18" s="174" t="s">
        <v>131</v>
      </c>
      <c r="O18" s="193">
        <v>30</v>
      </c>
      <c r="P18" s="164" t="s">
        <v>22</v>
      </c>
      <c r="Q18" s="164" t="s">
        <v>74</v>
      </c>
      <c r="R18" s="172"/>
      <c r="S18" s="167" t="s">
        <v>254</v>
      </c>
      <c r="T18" s="175" t="s">
        <v>132</v>
      </c>
      <c r="U18" s="173" t="s">
        <v>133</v>
      </c>
    </row>
    <row r="19" spans="1:21" ht="31" customHeight="1">
      <c r="A19">
        <v>13</v>
      </c>
      <c r="B19" s="168">
        <v>45628</v>
      </c>
      <c r="C19" s="167" t="s">
        <v>95</v>
      </c>
      <c r="D19" s="167" t="s">
        <v>140</v>
      </c>
      <c r="E19" s="164">
        <v>112580027</v>
      </c>
      <c r="F19" s="167" t="s">
        <v>103</v>
      </c>
      <c r="G19" s="167" t="s">
        <v>137</v>
      </c>
      <c r="H19" s="164" t="s">
        <v>42</v>
      </c>
      <c r="I19" s="164" t="s">
        <v>74</v>
      </c>
      <c r="J19" s="164" t="s">
        <v>75</v>
      </c>
      <c r="K19" s="169">
        <v>45628</v>
      </c>
      <c r="L19" s="170" t="s">
        <v>139</v>
      </c>
      <c r="M19" s="170" t="s">
        <v>138</v>
      </c>
      <c r="N19" s="174" t="s">
        <v>145</v>
      </c>
      <c r="O19" s="171">
        <v>20</v>
      </c>
      <c r="P19" s="164" t="s">
        <v>22</v>
      </c>
      <c r="Q19" s="164" t="s">
        <v>74</v>
      </c>
      <c r="R19" s="172"/>
      <c r="S19" s="167" t="s">
        <v>140</v>
      </c>
      <c r="T19" s="175" t="s">
        <v>141</v>
      </c>
      <c r="U19" s="173" t="s">
        <v>142</v>
      </c>
    </row>
    <row r="20" spans="1:21" ht="31" customHeight="1">
      <c r="A20">
        <v>14</v>
      </c>
      <c r="B20" s="168">
        <v>45628</v>
      </c>
      <c r="C20" s="167" t="s">
        <v>95</v>
      </c>
      <c r="D20" s="167" t="s">
        <v>140</v>
      </c>
      <c r="E20" s="164">
        <v>112580027</v>
      </c>
      <c r="F20" s="167" t="s">
        <v>143</v>
      </c>
      <c r="G20" s="167" t="s">
        <v>144</v>
      </c>
      <c r="H20" s="164" t="s">
        <v>42</v>
      </c>
      <c r="I20" s="164" t="s">
        <v>74</v>
      </c>
      <c r="J20" s="164" t="s">
        <v>75</v>
      </c>
      <c r="K20" s="169">
        <v>45628</v>
      </c>
      <c r="L20" s="170" t="s">
        <v>139</v>
      </c>
      <c r="M20" s="170" t="s">
        <v>138</v>
      </c>
      <c r="N20" s="174" t="s">
        <v>145</v>
      </c>
      <c r="O20" s="171">
        <v>20</v>
      </c>
      <c r="P20" s="164" t="s">
        <v>22</v>
      </c>
      <c r="Q20" s="164" t="s">
        <v>74</v>
      </c>
      <c r="R20" s="172"/>
      <c r="S20" s="167" t="s">
        <v>140</v>
      </c>
      <c r="T20" s="175" t="s">
        <v>141</v>
      </c>
      <c r="U20" s="173" t="s">
        <v>142</v>
      </c>
    </row>
    <row r="21" spans="1:21" ht="31" customHeight="1">
      <c r="A21">
        <v>15</v>
      </c>
      <c r="B21" s="168">
        <v>45631</v>
      </c>
      <c r="C21" s="167" t="s">
        <v>95</v>
      </c>
      <c r="D21" s="167" t="s">
        <v>163</v>
      </c>
      <c r="E21" s="164">
        <v>112580027</v>
      </c>
      <c r="F21" s="167" t="s">
        <v>103</v>
      </c>
      <c r="G21" s="167" t="s">
        <v>152</v>
      </c>
      <c r="H21" s="164" t="s">
        <v>42</v>
      </c>
      <c r="I21" s="164" t="s">
        <v>74</v>
      </c>
      <c r="J21" s="164" t="s">
        <v>75</v>
      </c>
      <c r="K21" s="169">
        <v>45631</v>
      </c>
      <c r="L21" s="170" t="s">
        <v>147</v>
      </c>
      <c r="M21" s="170" t="s">
        <v>148</v>
      </c>
      <c r="N21" s="174" t="s">
        <v>149</v>
      </c>
      <c r="O21" s="171">
        <v>20</v>
      </c>
      <c r="P21" s="164" t="s">
        <v>22</v>
      </c>
      <c r="Q21" s="164" t="s">
        <v>74</v>
      </c>
      <c r="R21" s="172"/>
      <c r="S21" s="167" t="s">
        <v>163</v>
      </c>
      <c r="T21" s="175" t="s">
        <v>150</v>
      </c>
      <c r="U21" s="173" t="s">
        <v>151</v>
      </c>
    </row>
    <row r="22" spans="1:21" ht="31" customHeight="1">
      <c r="A22">
        <v>16</v>
      </c>
      <c r="B22" s="168">
        <v>45631</v>
      </c>
      <c r="C22" s="167" t="s">
        <v>95</v>
      </c>
      <c r="D22" s="167" t="s">
        <v>163</v>
      </c>
      <c r="E22" s="164">
        <v>40466241</v>
      </c>
      <c r="F22" s="167" t="s">
        <v>153</v>
      </c>
      <c r="G22" s="167" t="s">
        <v>154</v>
      </c>
      <c r="H22" s="164" t="s">
        <v>42</v>
      </c>
      <c r="I22" s="164" t="s">
        <v>74</v>
      </c>
      <c r="J22" s="164" t="s">
        <v>75</v>
      </c>
      <c r="K22" s="169">
        <v>45631</v>
      </c>
      <c r="L22" s="170" t="s">
        <v>147</v>
      </c>
      <c r="M22" s="170" t="s">
        <v>148</v>
      </c>
      <c r="N22" s="174" t="s">
        <v>149</v>
      </c>
      <c r="O22" s="171">
        <v>20</v>
      </c>
      <c r="P22" s="164" t="s">
        <v>22</v>
      </c>
      <c r="Q22" s="164" t="s">
        <v>74</v>
      </c>
      <c r="R22" s="172"/>
      <c r="S22" s="167" t="s">
        <v>163</v>
      </c>
      <c r="T22" s="175" t="s">
        <v>150</v>
      </c>
      <c r="U22" s="173" t="s">
        <v>151</v>
      </c>
    </row>
    <row r="23" spans="1:21" ht="31" customHeight="1">
      <c r="A23">
        <v>17</v>
      </c>
      <c r="B23" s="168">
        <v>45632</v>
      </c>
      <c r="C23" s="167" t="s">
        <v>155</v>
      </c>
      <c r="D23" s="167" t="s">
        <v>156</v>
      </c>
      <c r="E23" s="164">
        <v>112570118</v>
      </c>
      <c r="F23" s="167" t="s">
        <v>157</v>
      </c>
      <c r="G23" s="167" t="s">
        <v>158</v>
      </c>
      <c r="H23" s="164" t="s">
        <v>42</v>
      </c>
      <c r="I23" s="164" t="s">
        <v>74</v>
      </c>
      <c r="J23" s="164" t="s">
        <v>75</v>
      </c>
      <c r="K23" s="169">
        <v>45632</v>
      </c>
      <c r="L23" s="170" t="s">
        <v>159</v>
      </c>
      <c r="M23" s="170" t="s">
        <v>160</v>
      </c>
      <c r="N23" s="174" t="s">
        <v>161</v>
      </c>
      <c r="O23" s="171">
        <v>15</v>
      </c>
      <c r="P23" s="164" t="s">
        <v>22</v>
      </c>
      <c r="Q23" s="164" t="s">
        <v>74</v>
      </c>
      <c r="R23" s="172"/>
      <c r="S23" s="167" t="s">
        <v>156</v>
      </c>
      <c r="T23" s="175" t="s">
        <v>176</v>
      </c>
      <c r="U23" s="173" t="s">
        <v>162</v>
      </c>
    </row>
    <row r="24" spans="1:21" ht="31" customHeight="1">
      <c r="A24">
        <v>18</v>
      </c>
      <c r="B24" s="168">
        <v>45632</v>
      </c>
      <c r="C24" s="167" t="s">
        <v>155</v>
      </c>
      <c r="D24" s="167" t="s">
        <v>156</v>
      </c>
      <c r="E24" s="164">
        <v>112030019</v>
      </c>
      <c r="F24" s="167" t="s">
        <v>165</v>
      </c>
      <c r="G24" s="167" t="s">
        <v>164</v>
      </c>
      <c r="H24" s="164" t="s">
        <v>42</v>
      </c>
      <c r="I24" s="164" t="s">
        <v>74</v>
      </c>
      <c r="J24" s="164" t="s">
        <v>75</v>
      </c>
      <c r="K24" s="169">
        <v>45632</v>
      </c>
      <c r="L24" s="170" t="s">
        <v>159</v>
      </c>
      <c r="M24" s="170" t="s">
        <v>160</v>
      </c>
      <c r="N24" s="174" t="s">
        <v>161</v>
      </c>
      <c r="O24" s="171">
        <v>15</v>
      </c>
      <c r="P24" s="164" t="s">
        <v>22</v>
      </c>
      <c r="Q24" s="164" t="s">
        <v>74</v>
      </c>
      <c r="R24" s="172"/>
      <c r="S24" s="167" t="s">
        <v>156</v>
      </c>
      <c r="T24" s="175" t="s">
        <v>176</v>
      </c>
      <c r="U24" s="173" t="s">
        <v>162</v>
      </c>
    </row>
    <row r="25" spans="1:21" ht="31" customHeight="1">
      <c r="A25">
        <v>19</v>
      </c>
      <c r="B25" s="168">
        <v>45632</v>
      </c>
      <c r="C25" s="167" t="s">
        <v>155</v>
      </c>
      <c r="D25" s="167" t="s">
        <v>156</v>
      </c>
      <c r="E25" s="164">
        <v>111000051</v>
      </c>
      <c r="F25" s="167" t="s">
        <v>166</v>
      </c>
      <c r="G25" s="167" t="s">
        <v>167</v>
      </c>
      <c r="H25" s="164" t="s">
        <v>42</v>
      </c>
      <c r="I25" s="164" t="s">
        <v>74</v>
      </c>
      <c r="J25" s="164" t="s">
        <v>75</v>
      </c>
      <c r="K25" s="169">
        <v>45632</v>
      </c>
      <c r="L25" s="170" t="s">
        <v>159</v>
      </c>
      <c r="M25" s="170" t="s">
        <v>160</v>
      </c>
      <c r="N25" s="174" t="s">
        <v>161</v>
      </c>
      <c r="O25" s="171">
        <v>15</v>
      </c>
      <c r="P25" s="164" t="s">
        <v>22</v>
      </c>
      <c r="Q25" s="164" t="s">
        <v>74</v>
      </c>
      <c r="R25" s="172"/>
      <c r="S25" s="167" t="s">
        <v>156</v>
      </c>
      <c r="T25" s="175" t="s">
        <v>176</v>
      </c>
      <c r="U25" s="173" t="s">
        <v>162</v>
      </c>
    </row>
    <row r="26" spans="1:21" ht="31" customHeight="1">
      <c r="A26">
        <v>20</v>
      </c>
      <c r="B26" s="168">
        <v>45632</v>
      </c>
      <c r="C26" s="167" t="s">
        <v>95</v>
      </c>
      <c r="D26" s="167" t="s">
        <v>168</v>
      </c>
      <c r="E26" s="164">
        <v>40466111</v>
      </c>
      <c r="F26" s="167" t="s">
        <v>169</v>
      </c>
      <c r="G26" s="167" t="s">
        <v>170</v>
      </c>
      <c r="H26" s="164" t="s">
        <v>42</v>
      </c>
      <c r="I26" s="164" t="s">
        <v>74</v>
      </c>
      <c r="J26" s="164" t="s">
        <v>75</v>
      </c>
      <c r="K26" s="169">
        <v>45632</v>
      </c>
      <c r="L26" s="170" t="s">
        <v>171</v>
      </c>
      <c r="M26" s="170" t="s">
        <v>172</v>
      </c>
      <c r="N26" s="174" t="s">
        <v>173</v>
      </c>
      <c r="O26" s="171">
        <v>20</v>
      </c>
      <c r="P26" s="164" t="s">
        <v>22</v>
      </c>
      <c r="Q26" s="164" t="s">
        <v>74</v>
      </c>
      <c r="R26" s="172"/>
      <c r="S26" s="167" t="s">
        <v>168</v>
      </c>
      <c r="T26" s="175" t="s">
        <v>174</v>
      </c>
      <c r="U26" s="173" t="s">
        <v>175</v>
      </c>
    </row>
    <row r="27" spans="1:21" ht="31" customHeight="1">
      <c r="A27">
        <v>21</v>
      </c>
      <c r="B27" s="168">
        <v>45632</v>
      </c>
      <c r="C27" s="167" t="s">
        <v>95</v>
      </c>
      <c r="D27" s="167" t="s">
        <v>168</v>
      </c>
      <c r="E27" s="164">
        <v>112580058</v>
      </c>
      <c r="F27" s="167" t="s">
        <v>177</v>
      </c>
      <c r="G27" s="167" t="s">
        <v>178</v>
      </c>
      <c r="H27" s="164" t="s">
        <v>42</v>
      </c>
      <c r="I27" s="164" t="s">
        <v>74</v>
      </c>
      <c r="J27" s="164" t="s">
        <v>75</v>
      </c>
      <c r="K27" s="176">
        <v>45632</v>
      </c>
      <c r="L27" s="177" t="s">
        <v>171</v>
      </c>
      <c r="M27" s="177" t="s">
        <v>172</v>
      </c>
      <c r="N27" s="178" t="s">
        <v>173</v>
      </c>
      <c r="O27" s="179">
        <v>20</v>
      </c>
      <c r="P27" s="164" t="s">
        <v>22</v>
      </c>
      <c r="Q27" s="164" t="s">
        <v>74</v>
      </c>
      <c r="R27" s="181"/>
      <c r="S27" s="182" t="s">
        <v>168</v>
      </c>
      <c r="T27" s="180" t="s">
        <v>174</v>
      </c>
      <c r="U27" s="181" t="s">
        <v>175</v>
      </c>
    </row>
    <row r="28" spans="1:21" ht="31" customHeight="1">
      <c r="B28" s="168">
        <v>45633</v>
      </c>
      <c r="C28" s="167" t="s">
        <v>110</v>
      </c>
      <c r="D28" s="167" t="s">
        <v>472</v>
      </c>
      <c r="E28" s="190">
        <v>40480321</v>
      </c>
      <c r="F28" s="167" t="s">
        <v>473</v>
      </c>
      <c r="G28" s="167" t="s">
        <v>573</v>
      </c>
      <c r="H28" s="164" t="s">
        <v>42</v>
      </c>
      <c r="I28" s="164" t="s">
        <v>74</v>
      </c>
      <c r="J28" s="164" t="s">
        <v>75</v>
      </c>
      <c r="K28" s="176">
        <v>45633</v>
      </c>
      <c r="L28" s="177" t="s">
        <v>474</v>
      </c>
      <c r="M28" s="177" t="s">
        <v>475</v>
      </c>
      <c r="N28" s="178" t="s">
        <v>476</v>
      </c>
      <c r="O28" s="194">
        <v>30</v>
      </c>
      <c r="P28" s="164" t="s">
        <v>22</v>
      </c>
      <c r="Q28" s="164" t="s">
        <v>74</v>
      </c>
      <c r="R28" s="181"/>
      <c r="S28" s="167" t="s">
        <v>472</v>
      </c>
      <c r="T28" s="180" t="s">
        <v>477</v>
      </c>
      <c r="U28" s="181" t="s">
        <v>478</v>
      </c>
    </row>
    <row r="29" spans="1:21" ht="31" customHeight="1">
      <c r="A29">
        <v>22</v>
      </c>
      <c r="B29" s="168">
        <v>45633</v>
      </c>
      <c r="C29" s="167" t="s">
        <v>110</v>
      </c>
      <c r="D29" s="167" t="s">
        <v>472</v>
      </c>
      <c r="E29" s="164">
        <v>112570073</v>
      </c>
      <c r="F29" s="167" t="s">
        <v>479</v>
      </c>
      <c r="G29" s="167" t="s">
        <v>480</v>
      </c>
      <c r="H29" s="164" t="s">
        <v>42</v>
      </c>
      <c r="I29" s="164" t="s">
        <v>74</v>
      </c>
      <c r="J29" s="164" t="s">
        <v>75</v>
      </c>
      <c r="K29" s="176">
        <v>45633</v>
      </c>
      <c r="L29" s="177" t="s">
        <v>474</v>
      </c>
      <c r="M29" s="177" t="s">
        <v>475</v>
      </c>
      <c r="N29" s="178" t="s">
        <v>476</v>
      </c>
      <c r="O29" s="179">
        <v>15</v>
      </c>
      <c r="P29" s="164" t="s">
        <v>22</v>
      </c>
      <c r="Q29" s="164" t="s">
        <v>74</v>
      </c>
      <c r="R29" s="181"/>
      <c r="S29" s="167" t="s">
        <v>472</v>
      </c>
      <c r="T29" s="180" t="s">
        <v>477</v>
      </c>
      <c r="U29" s="181" t="s">
        <v>478</v>
      </c>
    </row>
    <row r="30" spans="1:21" ht="31" customHeight="1">
      <c r="A30">
        <v>23</v>
      </c>
      <c r="B30" s="168">
        <v>45633</v>
      </c>
      <c r="C30" s="167" t="s">
        <v>110</v>
      </c>
      <c r="D30" s="167" t="s">
        <v>472</v>
      </c>
      <c r="E30" s="164">
        <v>111000072</v>
      </c>
      <c r="F30" s="167" t="s">
        <v>481</v>
      </c>
      <c r="G30" s="167" t="s">
        <v>482</v>
      </c>
      <c r="H30" s="164" t="s">
        <v>42</v>
      </c>
      <c r="I30" s="164" t="s">
        <v>74</v>
      </c>
      <c r="J30" s="164" t="s">
        <v>75</v>
      </c>
      <c r="K30" s="176">
        <v>45633</v>
      </c>
      <c r="L30" s="177" t="s">
        <v>474</v>
      </c>
      <c r="M30" s="177" t="s">
        <v>475</v>
      </c>
      <c r="N30" s="178" t="s">
        <v>476</v>
      </c>
      <c r="O30" s="179">
        <v>15</v>
      </c>
      <c r="P30" s="164" t="s">
        <v>22</v>
      </c>
      <c r="Q30" s="164" t="s">
        <v>74</v>
      </c>
      <c r="R30" s="181"/>
      <c r="S30" s="167" t="s">
        <v>472</v>
      </c>
      <c r="T30" s="180" t="s">
        <v>477</v>
      </c>
      <c r="U30" s="181" t="s">
        <v>478</v>
      </c>
    </row>
    <row r="31" spans="1:21" ht="31" customHeight="1">
      <c r="B31" s="168">
        <v>45633</v>
      </c>
      <c r="C31" s="167" t="s">
        <v>110</v>
      </c>
      <c r="D31" s="167" t="s">
        <v>472</v>
      </c>
      <c r="E31" s="164">
        <v>112030019</v>
      </c>
      <c r="F31" s="167" t="s">
        <v>576</v>
      </c>
      <c r="G31" s="167" t="s">
        <v>483</v>
      </c>
      <c r="H31" s="164" t="s">
        <v>42</v>
      </c>
      <c r="I31" s="164" t="s">
        <v>74</v>
      </c>
      <c r="J31" s="164" t="s">
        <v>75</v>
      </c>
      <c r="K31" s="176">
        <v>45633</v>
      </c>
      <c r="L31" s="177" t="s">
        <v>474</v>
      </c>
      <c r="M31" s="177" t="s">
        <v>475</v>
      </c>
      <c r="N31" s="178" t="s">
        <v>476</v>
      </c>
      <c r="O31" s="179">
        <v>15</v>
      </c>
      <c r="P31" s="164" t="s">
        <v>22</v>
      </c>
      <c r="Q31" s="164" t="s">
        <v>74</v>
      </c>
      <c r="R31" s="181"/>
      <c r="S31" s="167" t="s">
        <v>472</v>
      </c>
      <c r="T31" s="180" t="s">
        <v>477</v>
      </c>
      <c r="U31" s="181" t="s">
        <v>478</v>
      </c>
    </row>
    <row r="32" spans="1:21" ht="31" customHeight="1">
      <c r="B32" s="168">
        <v>45635</v>
      </c>
      <c r="C32" s="167" t="s">
        <v>155</v>
      </c>
      <c r="D32" s="167" t="s">
        <v>179</v>
      </c>
      <c r="E32" s="164">
        <v>112580058</v>
      </c>
      <c r="F32" s="167" t="s">
        <v>177</v>
      </c>
      <c r="G32" s="167" t="s">
        <v>180</v>
      </c>
      <c r="H32" s="164" t="s">
        <v>42</v>
      </c>
      <c r="I32" s="164" t="s">
        <v>74</v>
      </c>
      <c r="J32" s="164" t="s">
        <v>75</v>
      </c>
      <c r="K32" s="169">
        <v>45635</v>
      </c>
      <c r="L32" s="185" t="s">
        <v>181</v>
      </c>
      <c r="M32" s="170" t="s">
        <v>182</v>
      </c>
      <c r="N32" s="174" t="s">
        <v>258</v>
      </c>
      <c r="O32" s="171">
        <v>20</v>
      </c>
      <c r="P32" s="164" t="s">
        <v>22</v>
      </c>
      <c r="Q32" s="164" t="s">
        <v>74</v>
      </c>
      <c r="R32" s="172"/>
      <c r="S32" s="167" t="s">
        <v>179</v>
      </c>
      <c r="T32" s="175" t="s">
        <v>183</v>
      </c>
      <c r="U32" s="173" t="s">
        <v>184</v>
      </c>
    </row>
    <row r="33" spans="1:21" ht="31" customHeight="1">
      <c r="A33">
        <v>24</v>
      </c>
      <c r="B33" s="168">
        <v>45635</v>
      </c>
      <c r="C33" s="167" t="s">
        <v>155</v>
      </c>
      <c r="D33" s="167" t="s">
        <v>601</v>
      </c>
      <c r="E33" s="164">
        <v>112570093</v>
      </c>
      <c r="F33" s="167" t="s">
        <v>185</v>
      </c>
      <c r="G33" s="167" t="s">
        <v>186</v>
      </c>
      <c r="H33" s="164" t="s">
        <v>42</v>
      </c>
      <c r="I33" s="164" t="s">
        <v>74</v>
      </c>
      <c r="J33" s="164" t="s">
        <v>75</v>
      </c>
      <c r="K33" s="169">
        <v>45635</v>
      </c>
      <c r="L33" s="185" t="s">
        <v>181</v>
      </c>
      <c r="M33" s="170" t="s">
        <v>182</v>
      </c>
      <c r="N33" s="174" t="s">
        <v>258</v>
      </c>
      <c r="O33" s="171">
        <v>20</v>
      </c>
      <c r="P33" s="164" t="s">
        <v>22</v>
      </c>
      <c r="Q33" s="164" t="s">
        <v>74</v>
      </c>
      <c r="R33" s="172"/>
      <c r="S33" s="167" t="s">
        <v>601</v>
      </c>
      <c r="T33" s="175" t="s">
        <v>183</v>
      </c>
      <c r="U33" s="173" t="s">
        <v>184</v>
      </c>
    </row>
    <row r="34" spans="1:21" ht="31" customHeight="1">
      <c r="A34">
        <v>25</v>
      </c>
      <c r="B34" s="168">
        <v>45605</v>
      </c>
      <c r="C34" s="167" t="s">
        <v>255</v>
      </c>
      <c r="D34" s="167" t="s">
        <v>572</v>
      </c>
      <c r="E34" s="164">
        <v>111010028</v>
      </c>
      <c r="F34" s="167" t="s">
        <v>447</v>
      </c>
      <c r="G34" s="167" t="s">
        <v>448</v>
      </c>
      <c r="H34" s="164" t="s">
        <v>42</v>
      </c>
      <c r="I34" s="164" t="s">
        <v>74</v>
      </c>
      <c r="J34" s="164" t="s">
        <v>75</v>
      </c>
      <c r="K34" s="169">
        <v>45635</v>
      </c>
      <c r="L34" s="170" t="s">
        <v>449</v>
      </c>
      <c r="M34" s="170" t="s">
        <v>450</v>
      </c>
      <c r="N34" s="174" t="s">
        <v>451</v>
      </c>
      <c r="O34" s="171">
        <v>20</v>
      </c>
      <c r="P34" s="164" t="s">
        <v>22</v>
      </c>
      <c r="Q34" s="164" t="s">
        <v>74</v>
      </c>
      <c r="R34" s="172"/>
      <c r="S34" s="167" t="s">
        <v>572</v>
      </c>
      <c r="T34" s="175" t="s">
        <v>452</v>
      </c>
      <c r="U34" s="173" t="s">
        <v>453</v>
      </c>
    </row>
    <row r="35" spans="1:21" ht="31" customHeight="1">
      <c r="A35">
        <v>26</v>
      </c>
      <c r="B35" s="168">
        <v>45605</v>
      </c>
      <c r="C35" s="167" t="s">
        <v>255</v>
      </c>
      <c r="D35" s="167" t="s">
        <v>588</v>
      </c>
      <c r="E35" s="164">
        <v>40584305</v>
      </c>
      <c r="F35" s="167" t="s">
        <v>454</v>
      </c>
      <c r="G35" s="167" t="s">
        <v>455</v>
      </c>
      <c r="H35" s="164" t="s">
        <v>42</v>
      </c>
      <c r="I35" s="164" t="s">
        <v>74</v>
      </c>
      <c r="J35" s="164" t="s">
        <v>75</v>
      </c>
      <c r="K35" s="169">
        <v>45635</v>
      </c>
      <c r="L35" s="170" t="s">
        <v>449</v>
      </c>
      <c r="M35" s="170" t="s">
        <v>450</v>
      </c>
      <c r="N35" s="174" t="s">
        <v>451</v>
      </c>
      <c r="O35" s="171">
        <v>20</v>
      </c>
      <c r="P35" s="164" t="s">
        <v>22</v>
      </c>
      <c r="Q35" s="164" t="s">
        <v>74</v>
      </c>
      <c r="R35" s="172"/>
      <c r="S35" s="167" t="s">
        <v>588</v>
      </c>
      <c r="T35" s="175" t="s">
        <v>452</v>
      </c>
      <c r="U35" s="173" t="s">
        <v>453</v>
      </c>
    </row>
    <row r="36" spans="1:21" ht="31" customHeight="1">
      <c r="A36">
        <v>27</v>
      </c>
      <c r="B36" s="168">
        <v>45636</v>
      </c>
      <c r="C36" s="167" t="s">
        <v>110</v>
      </c>
      <c r="D36" s="167" t="s">
        <v>187</v>
      </c>
      <c r="E36" s="164">
        <v>112580027</v>
      </c>
      <c r="F36" s="167" t="s">
        <v>188</v>
      </c>
      <c r="G36" s="167" t="s">
        <v>189</v>
      </c>
      <c r="H36" s="164" t="s">
        <v>42</v>
      </c>
      <c r="I36" s="164" t="s">
        <v>74</v>
      </c>
      <c r="J36" s="164" t="s">
        <v>75</v>
      </c>
      <c r="K36" s="169">
        <v>45636</v>
      </c>
      <c r="L36" s="170" t="s">
        <v>190</v>
      </c>
      <c r="M36" s="170" t="s">
        <v>191</v>
      </c>
      <c r="N36" s="174" t="s">
        <v>192</v>
      </c>
      <c r="O36" s="171">
        <v>20</v>
      </c>
      <c r="P36" s="164" t="s">
        <v>22</v>
      </c>
      <c r="Q36" s="164" t="s">
        <v>74</v>
      </c>
      <c r="R36" s="172"/>
      <c r="S36" s="167" t="s">
        <v>187</v>
      </c>
      <c r="T36" s="175" t="s">
        <v>193</v>
      </c>
      <c r="U36" s="173" t="s">
        <v>194</v>
      </c>
    </row>
    <row r="37" spans="1:21" ht="31" customHeight="1">
      <c r="A37">
        <v>28</v>
      </c>
      <c r="B37" s="168">
        <v>45636</v>
      </c>
      <c r="C37" s="167" t="s">
        <v>110</v>
      </c>
      <c r="D37" s="167" t="s">
        <v>187</v>
      </c>
      <c r="E37" s="164">
        <v>4046304</v>
      </c>
      <c r="F37" s="167" t="s">
        <v>195</v>
      </c>
      <c r="G37" s="167" t="s">
        <v>196</v>
      </c>
      <c r="H37" s="164" t="s">
        <v>42</v>
      </c>
      <c r="I37" s="164" t="s">
        <v>74</v>
      </c>
      <c r="J37" s="164" t="s">
        <v>75</v>
      </c>
      <c r="K37" s="169">
        <v>45636</v>
      </c>
      <c r="L37" s="170" t="s">
        <v>190</v>
      </c>
      <c r="M37" s="170" t="s">
        <v>191</v>
      </c>
      <c r="N37" s="174" t="s">
        <v>192</v>
      </c>
      <c r="O37" s="171">
        <v>20</v>
      </c>
      <c r="P37" s="164" t="s">
        <v>22</v>
      </c>
      <c r="Q37" s="164" t="s">
        <v>74</v>
      </c>
      <c r="R37" s="172"/>
      <c r="S37" s="167" t="s">
        <v>187</v>
      </c>
      <c r="T37" s="175" t="s">
        <v>193</v>
      </c>
      <c r="U37" s="173" t="s">
        <v>194</v>
      </c>
    </row>
    <row r="38" spans="1:21" ht="31" customHeight="1">
      <c r="A38">
        <v>29</v>
      </c>
      <c r="B38" s="168">
        <v>45637</v>
      </c>
      <c r="C38" s="167" t="s">
        <v>110</v>
      </c>
      <c r="D38" s="167" t="s">
        <v>468</v>
      </c>
      <c r="E38" s="164" t="s">
        <v>456</v>
      </c>
      <c r="F38" s="167" t="s">
        <v>457</v>
      </c>
      <c r="G38" s="167" t="s">
        <v>458</v>
      </c>
      <c r="H38" s="164" t="s">
        <v>42</v>
      </c>
      <c r="I38" s="164" t="s">
        <v>74</v>
      </c>
      <c r="J38" s="164" t="s">
        <v>75</v>
      </c>
      <c r="K38" s="169">
        <v>45637</v>
      </c>
      <c r="L38" s="170" t="s">
        <v>459</v>
      </c>
      <c r="M38" s="170" t="s">
        <v>460</v>
      </c>
      <c r="N38" s="174" t="s">
        <v>461</v>
      </c>
      <c r="O38" s="193">
        <v>30</v>
      </c>
      <c r="P38" s="164" t="s">
        <v>22</v>
      </c>
      <c r="Q38" s="164" t="s">
        <v>74</v>
      </c>
      <c r="R38" s="172"/>
      <c r="S38" s="167" t="s">
        <v>468</v>
      </c>
      <c r="T38" s="175" t="s">
        <v>462</v>
      </c>
      <c r="U38" s="173" t="s">
        <v>463</v>
      </c>
    </row>
    <row r="39" spans="1:21" ht="28" customHeight="1">
      <c r="A39">
        <v>30</v>
      </c>
      <c r="B39" s="168">
        <v>45637</v>
      </c>
      <c r="C39" s="167" t="s">
        <v>110</v>
      </c>
      <c r="D39" s="167" t="s">
        <v>468</v>
      </c>
      <c r="E39" s="164">
        <v>111000051</v>
      </c>
      <c r="F39" s="167" t="s">
        <v>166</v>
      </c>
      <c r="G39" s="167" t="s">
        <v>464</v>
      </c>
      <c r="H39" s="164" t="s">
        <v>42</v>
      </c>
      <c r="I39" s="164" t="s">
        <v>74</v>
      </c>
      <c r="J39" s="164" t="s">
        <v>75</v>
      </c>
      <c r="K39" s="169">
        <v>45637</v>
      </c>
      <c r="L39" s="170" t="s">
        <v>459</v>
      </c>
      <c r="M39" s="170" t="s">
        <v>460</v>
      </c>
      <c r="N39" s="174" t="s">
        <v>461</v>
      </c>
      <c r="O39" s="171">
        <v>15</v>
      </c>
      <c r="P39" s="164" t="s">
        <v>22</v>
      </c>
      <c r="Q39" s="164" t="s">
        <v>74</v>
      </c>
      <c r="R39" s="172"/>
      <c r="S39" s="167" t="s">
        <v>468</v>
      </c>
      <c r="T39" s="175" t="s">
        <v>462</v>
      </c>
      <c r="U39" s="173" t="s">
        <v>463</v>
      </c>
    </row>
    <row r="40" spans="1:21" ht="34" customHeight="1">
      <c r="A40">
        <v>31</v>
      </c>
      <c r="B40" s="168">
        <v>45637</v>
      </c>
      <c r="C40" s="167" t="s">
        <v>110</v>
      </c>
      <c r="D40" s="167" t="s">
        <v>468</v>
      </c>
      <c r="E40" s="164">
        <v>40584202</v>
      </c>
      <c r="F40" s="167" t="s">
        <v>469</v>
      </c>
      <c r="G40" s="167" t="s">
        <v>465</v>
      </c>
      <c r="H40" s="164" t="s">
        <v>42</v>
      </c>
      <c r="I40" s="164" t="s">
        <v>74</v>
      </c>
      <c r="J40" s="164" t="s">
        <v>75</v>
      </c>
      <c r="K40" s="169">
        <v>45637</v>
      </c>
      <c r="L40" s="170" t="s">
        <v>459</v>
      </c>
      <c r="M40" s="170" t="s">
        <v>460</v>
      </c>
      <c r="N40" s="174" t="s">
        <v>461</v>
      </c>
      <c r="O40" s="171">
        <v>15</v>
      </c>
      <c r="P40" s="164" t="s">
        <v>22</v>
      </c>
      <c r="Q40" s="164" t="s">
        <v>74</v>
      </c>
      <c r="R40" s="172"/>
      <c r="S40" s="167" t="s">
        <v>468</v>
      </c>
      <c r="T40" s="175" t="s">
        <v>462</v>
      </c>
      <c r="U40" s="173" t="s">
        <v>463</v>
      </c>
    </row>
    <row r="41" spans="1:21" ht="36" customHeight="1">
      <c r="A41">
        <v>32</v>
      </c>
      <c r="B41" s="168">
        <v>45637</v>
      </c>
      <c r="C41" s="167" t="s">
        <v>110</v>
      </c>
      <c r="D41" s="167" t="s">
        <v>468</v>
      </c>
      <c r="E41" s="164">
        <v>112510036</v>
      </c>
      <c r="F41" s="167" t="s">
        <v>470</v>
      </c>
      <c r="G41" s="167" t="s">
        <v>467</v>
      </c>
      <c r="H41" s="164" t="s">
        <v>42</v>
      </c>
      <c r="I41" s="164" t="s">
        <v>74</v>
      </c>
      <c r="J41" s="164" t="s">
        <v>75</v>
      </c>
      <c r="K41" s="169">
        <v>45637</v>
      </c>
      <c r="L41" s="170" t="s">
        <v>459</v>
      </c>
      <c r="M41" s="170" t="s">
        <v>460</v>
      </c>
      <c r="N41" s="174" t="s">
        <v>461</v>
      </c>
      <c r="O41" s="171">
        <v>15</v>
      </c>
      <c r="P41" s="164" t="s">
        <v>22</v>
      </c>
      <c r="Q41" s="164" t="s">
        <v>74</v>
      </c>
      <c r="R41" s="172"/>
      <c r="S41" s="167" t="s">
        <v>468</v>
      </c>
      <c r="T41" s="175" t="s">
        <v>462</v>
      </c>
      <c r="U41" s="173" t="s">
        <v>463</v>
      </c>
    </row>
    <row r="42" spans="1:21" ht="34" customHeight="1">
      <c r="B42" s="168">
        <v>45637</v>
      </c>
      <c r="C42" s="167" t="s">
        <v>110</v>
      </c>
      <c r="D42" s="167" t="s">
        <v>468</v>
      </c>
      <c r="E42" s="164">
        <v>112510031</v>
      </c>
      <c r="F42" s="167" t="s">
        <v>471</v>
      </c>
      <c r="G42" s="167" t="s">
        <v>466</v>
      </c>
      <c r="H42" s="164" t="s">
        <v>42</v>
      </c>
      <c r="I42" s="164" t="s">
        <v>74</v>
      </c>
      <c r="J42" s="164" t="s">
        <v>75</v>
      </c>
      <c r="K42" s="169">
        <v>45637</v>
      </c>
      <c r="L42" s="170" t="s">
        <v>459</v>
      </c>
      <c r="M42" s="170" t="s">
        <v>460</v>
      </c>
      <c r="N42" s="174" t="s">
        <v>461</v>
      </c>
      <c r="O42" s="171">
        <v>15</v>
      </c>
      <c r="P42" s="164" t="s">
        <v>22</v>
      </c>
      <c r="Q42" s="164" t="s">
        <v>74</v>
      </c>
      <c r="R42" s="172"/>
      <c r="S42" s="167" t="s">
        <v>468</v>
      </c>
      <c r="T42" s="175" t="s">
        <v>462</v>
      </c>
      <c r="U42" s="173" t="s">
        <v>463</v>
      </c>
    </row>
    <row r="43" spans="1:21" ht="43" customHeight="1">
      <c r="B43" s="168">
        <v>45638</v>
      </c>
      <c r="C43" s="167" t="s">
        <v>604</v>
      </c>
      <c r="D43" s="167" t="s">
        <v>605</v>
      </c>
      <c r="E43" s="164">
        <v>112500049</v>
      </c>
      <c r="F43" s="167" t="s">
        <v>603</v>
      </c>
      <c r="G43" s="167" t="s">
        <v>484</v>
      </c>
      <c r="H43" s="164" t="s">
        <v>42</v>
      </c>
      <c r="I43" s="164" t="s">
        <v>74</v>
      </c>
      <c r="J43" s="164" t="s">
        <v>75</v>
      </c>
      <c r="K43" s="169">
        <v>45638</v>
      </c>
      <c r="L43" s="170" t="s">
        <v>485</v>
      </c>
      <c r="M43" s="170" t="s">
        <v>475</v>
      </c>
      <c r="N43" s="174" t="s">
        <v>486</v>
      </c>
      <c r="O43" s="171">
        <v>15</v>
      </c>
      <c r="P43" s="164" t="s">
        <v>22</v>
      </c>
      <c r="Q43" s="164" t="s">
        <v>74</v>
      </c>
      <c r="R43" s="172"/>
      <c r="S43" s="167" t="s">
        <v>605</v>
      </c>
      <c r="T43" s="175" t="s">
        <v>487</v>
      </c>
      <c r="U43" s="173" t="s">
        <v>488</v>
      </c>
    </row>
    <row r="44" spans="1:21" ht="41" customHeight="1">
      <c r="B44" s="168">
        <v>45638</v>
      </c>
      <c r="C44" s="167" t="s">
        <v>255</v>
      </c>
      <c r="D44" s="167" t="s">
        <v>602</v>
      </c>
      <c r="E44" s="164">
        <v>111000051</v>
      </c>
      <c r="F44" s="167" t="s">
        <v>166</v>
      </c>
      <c r="G44" s="167" t="s">
        <v>489</v>
      </c>
      <c r="H44" s="164" t="s">
        <v>42</v>
      </c>
      <c r="I44" s="164" t="s">
        <v>74</v>
      </c>
      <c r="J44" s="164" t="s">
        <v>75</v>
      </c>
      <c r="K44" s="169">
        <v>45638</v>
      </c>
      <c r="L44" s="170" t="s">
        <v>485</v>
      </c>
      <c r="M44" s="170" t="s">
        <v>475</v>
      </c>
      <c r="N44" s="174" t="s">
        <v>486</v>
      </c>
      <c r="O44" s="171">
        <v>15</v>
      </c>
      <c r="P44" s="164" t="s">
        <v>22</v>
      </c>
      <c r="Q44" s="164" t="s">
        <v>74</v>
      </c>
      <c r="R44" s="172"/>
      <c r="S44" s="167" t="s">
        <v>602</v>
      </c>
      <c r="T44" s="175" t="s">
        <v>487</v>
      </c>
      <c r="U44" s="173" t="s">
        <v>488</v>
      </c>
    </row>
    <row r="45" spans="1:21" ht="40" customHeight="1">
      <c r="B45" s="168">
        <v>45638</v>
      </c>
      <c r="C45" s="167" t="s">
        <v>255</v>
      </c>
      <c r="D45" s="167" t="s">
        <v>602</v>
      </c>
      <c r="E45" s="164">
        <v>40584202</v>
      </c>
      <c r="F45" s="167" t="s">
        <v>494</v>
      </c>
      <c r="G45" s="167" t="s">
        <v>490</v>
      </c>
      <c r="H45" s="164" t="s">
        <v>42</v>
      </c>
      <c r="I45" s="164" t="s">
        <v>74</v>
      </c>
      <c r="J45" s="164" t="s">
        <v>75</v>
      </c>
      <c r="K45" s="169">
        <v>45638</v>
      </c>
      <c r="L45" s="170" t="s">
        <v>485</v>
      </c>
      <c r="M45" s="170" t="s">
        <v>475</v>
      </c>
      <c r="N45" s="174" t="s">
        <v>486</v>
      </c>
      <c r="O45" s="171">
        <v>15</v>
      </c>
      <c r="P45" s="164" t="s">
        <v>22</v>
      </c>
      <c r="Q45" s="164" t="s">
        <v>74</v>
      </c>
      <c r="R45" s="172"/>
      <c r="S45" s="167" t="s">
        <v>602</v>
      </c>
      <c r="T45" s="175" t="s">
        <v>487</v>
      </c>
      <c r="U45" s="173" t="s">
        <v>488</v>
      </c>
    </row>
    <row r="46" spans="1:21" ht="41" customHeight="1">
      <c r="B46" s="168">
        <v>45638</v>
      </c>
      <c r="C46" s="167" t="s">
        <v>95</v>
      </c>
      <c r="D46" s="167" t="s">
        <v>491</v>
      </c>
      <c r="E46" s="164">
        <v>112580058</v>
      </c>
      <c r="F46" s="167" t="s">
        <v>493</v>
      </c>
      <c r="G46" s="167" t="s">
        <v>492</v>
      </c>
      <c r="H46" s="164" t="s">
        <v>42</v>
      </c>
      <c r="I46" s="164" t="s">
        <v>74</v>
      </c>
      <c r="J46" s="164" t="s">
        <v>75</v>
      </c>
      <c r="K46" s="169">
        <v>45638</v>
      </c>
      <c r="L46" s="170" t="s">
        <v>495</v>
      </c>
      <c r="M46" s="170" t="s">
        <v>496</v>
      </c>
      <c r="N46" s="174" t="s">
        <v>497</v>
      </c>
      <c r="O46" s="171">
        <v>20</v>
      </c>
      <c r="P46" s="164" t="s">
        <v>22</v>
      </c>
      <c r="Q46" s="164" t="s">
        <v>74</v>
      </c>
      <c r="R46" s="172"/>
      <c r="S46" s="167" t="s">
        <v>491</v>
      </c>
      <c r="T46" s="175" t="s">
        <v>498</v>
      </c>
      <c r="U46" s="173" t="s">
        <v>499</v>
      </c>
    </row>
    <row r="47" spans="1:21" ht="35" customHeight="1">
      <c r="B47" s="168">
        <v>45638</v>
      </c>
      <c r="C47" s="167" t="s">
        <v>95</v>
      </c>
      <c r="D47" s="167" t="s">
        <v>491</v>
      </c>
      <c r="E47" s="164">
        <v>111000051</v>
      </c>
      <c r="F47" s="167" t="s">
        <v>166</v>
      </c>
      <c r="G47" s="167" t="s">
        <v>500</v>
      </c>
      <c r="H47" s="164" t="s">
        <v>42</v>
      </c>
      <c r="I47" s="164" t="s">
        <v>74</v>
      </c>
      <c r="J47" s="164" t="s">
        <v>75</v>
      </c>
      <c r="K47" s="169">
        <v>45638</v>
      </c>
      <c r="L47" s="170" t="s">
        <v>495</v>
      </c>
      <c r="M47" s="170" t="s">
        <v>496</v>
      </c>
      <c r="N47" s="174" t="s">
        <v>497</v>
      </c>
      <c r="O47" s="195">
        <v>20</v>
      </c>
      <c r="P47" s="164" t="s">
        <v>22</v>
      </c>
      <c r="Q47" s="164" t="s">
        <v>74</v>
      </c>
      <c r="R47" s="172"/>
      <c r="S47" s="167" t="s">
        <v>491</v>
      </c>
      <c r="T47" s="175" t="s">
        <v>498</v>
      </c>
      <c r="U47" s="173" t="s">
        <v>499</v>
      </c>
    </row>
    <row r="48" spans="1:21" ht="35" customHeight="1">
      <c r="B48" s="168">
        <v>45642</v>
      </c>
      <c r="C48" s="167" t="s">
        <v>255</v>
      </c>
      <c r="D48" s="167" t="s">
        <v>633</v>
      </c>
      <c r="E48" s="164">
        <v>112930047</v>
      </c>
      <c r="F48" s="167" t="s">
        <v>634</v>
      </c>
      <c r="G48" s="167" t="s">
        <v>637</v>
      </c>
      <c r="H48" s="164" t="s">
        <v>42</v>
      </c>
      <c r="I48" s="164" t="s">
        <v>74</v>
      </c>
      <c r="J48" s="164" t="s">
        <v>75</v>
      </c>
      <c r="K48" s="169">
        <v>45642</v>
      </c>
      <c r="L48" s="170" t="s">
        <v>641</v>
      </c>
      <c r="M48" s="170" t="s">
        <v>642</v>
      </c>
      <c r="N48" s="174" t="s">
        <v>643</v>
      </c>
      <c r="O48" s="195">
        <v>15</v>
      </c>
      <c r="P48" s="164" t="s">
        <v>22</v>
      </c>
      <c r="Q48" s="164" t="s">
        <v>74</v>
      </c>
      <c r="R48" s="172"/>
      <c r="S48" s="167" t="s">
        <v>633</v>
      </c>
      <c r="T48" s="175" t="s">
        <v>651</v>
      </c>
      <c r="U48" s="173" t="s">
        <v>644</v>
      </c>
    </row>
    <row r="49" spans="2:21" ht="32" customHeight="1">
      <c r="B49" s="168">
        <v>45642</v>
      </c>
      <c r="C49" s="167" t="s">
        <v>255</v>
      </c>
      <c r="D49" s="167" t="s">
        <v>633</v>
      </c>
      <c r="E49" s="164">
        <v>113430051</v>
      </c>
      <c r="F49" s="167" t="s">
        <v>635</v>
      </c>
      <c r="G49" s="167" t="s">
        <v>638</v>
      </c>
      <c r="H49" s="164" t="s">
        <v>42</v>
      </c>
      <c r="I49" s="164" t="s">
        <v>74</v>
      </c>
      <c r="J49" s="164" t="s">
        <v>75</v>
      </c>
      <c r="K49" s="169">
        <v>45642</v>
      </c>
      <c r="L49" s="170" t="s">
        <v>641</v>
      </c>
      <c r="M49" s="170" t="s">
        <v>642</v>
      </c>
      <c r="N49" s="174" t="s">
        <v>643</v>
      </c>
      <c r="O49" s="195">
        <v>15</v>
      </c>
      <c r="P49" s="164" t="s">
        <v>22</v>
      </c>
      <c r="Q49" s="164" t="s">
        <v>74</v>
      </c>
      <c r="R49" s="172"/>
      <c r="S49" s="167" t="s">
        <v>633</v>
      </c>
      <c r="T49" s="175" t="s">
        <v>651</v>
      </c>
      <c r="U49" s="173" t="s">
        <v>644</v>
      </c>
    </row>
    <row r="50" spans="2:21" ht="32" customHeight="1">
      <c r="B50" s="168">
        <v>45642</v>
      </c>
      <c r="C50" s="167" t="s">
        <v>255</v>
      </c>
      <c r="D50" s="167" t="s">
        <v>633</v>
      </c>
      <c r="E50" s="164">
        <v>111000051</v>
      </c>
      <c r="F50" s="167" t="s">
        <v>166</v>
      </c>
      <c r="G50" s="167" t="s">
        <v>639</v>
      </c>
      <c r="H50" s="164" t="s">
        <v>42</v>
      </c>
      <c r="I50" s="164" t="s">
        <v>74</v>
      </c>
      <c r="J50" s="164" t="s">
        <v>75</v>
      </c>
      <c r="K50" s="169">
        <v>45642</v>
      </c>
      <c r="L50" s="170" t="s">
        <v>641</v>
      </c>
      <c r="M50" s="170" t="s">
        <v>642</v>
      </c>
      <c r="N50" s="174" t="s">
        <v>643</v>
      </c>
      <c r="O50" s="195">
        <v>15</v>
      </c>
      <c r="P50" s="164" t="s">
        <v>22</v>
      </c>
      <c r="Q50" s="164" t="s">
        <v>74</v>
      </c>
      <c r="R50" s="172"/>
      <c r="S50" s="167" t="s">
        <v>633</v>
      </c>
      <c r="T50" s="175" t="s">
        <v>651</v>
      </c>
      <c r="U50" s="173" t="s">
        <v>644</v>
      </c>
    </row>
    <row r="51" spans="2:21" ht="44" customHeight="1">
      <c r="B51" s="168">
        <v>45642</v>
      </c>
      <c r="C51" s="167" t="s">
        <v>255</v>
      </c>
      <c r="D51" s="167" t="s">
        <v>633</v>
      </c>
      <c r="E51" s="164">
        <v>112580058</v>
      </c>
      <c r="F51" s="167" t="s">
        <v>636</v>
      </c>
      <c r="G51" s="167" t="s">
        <v>640</v>
      </c>
      <c r="H51" s="164" t="s">
        <v>42</v>
      </c>
      <c r="I51" s="164" t="s">
        <v>74</v>
      </c>
      <c r="J51" s="164" t="s">
        <v>75</v>
      </c>
      <c r="K51" s="169">
        <v>45642</v>
      </c>
      <c r="L51" s="170" t="s">
        <v>641</v>
      </c>
      <c r="M51" s="170" t="s">
        <v>642</v>
      </c>
      <c r="N51" s="174" t="s">
        <v>643</v>
      </c>
      <c r="O51" s="195">
        <v>15</v>
      </c>
      <c r="P51" s="164" t="s">
        <v>22</v>
      </c>
      <c r="Q51" s="164" t="s">
        <v>74</v>
      </c>
      <c r="R51" s="172"/>
      <c r="S51" s="167" t="s">
        <v>633</v>
      </c>
      <c r="T51" s="175" t="s">
        <v>651</v>
      </c>
      <c r="U51" s="173" t="s">
        <v>644</v>
      </c>
    </row>
    <row r="52" spans="2:21" ht="24">
      <c r="O52" s="196">
        <f>SUM(O6:O51)</f>
        <v>825</v>
      </c>
    </row>
    <row r="61" spans="2:21" ht="29">
      <c r="K61" s="197">
        <v>3</v>
      </c>
      <c r="L61" s="197">
        <v>30</v>
      </c>
      <c r="M61" s="197">
        <f>K61*L61</f>
        <v>90</v>
      </c>
    </row>
    <row r="62" spans="2:21" ht="29">
      <c r="K62" s="197">
        <v>25</v>
      </c>
      <c r="L62" s="197">
        <v>15</v>
      </c>
      <c r="M62" s="197">
        <f>K62*L62</f>
        <v>375</v>
      </c>
    </row>
    <row r="63" spans="2:21" ht="29">
      <c r="K63" s="197">
        <v>18</v>
      </c>
      <c r="L63" s="197">
        <v>20</v>
      </c>
      <c r="M63" s="197">
        <f>K63*L63</f>
        <v>360</v>
      </c>
    </row>
    <row r="64" spans="2:21" ht="29">
      <c r="K64" s="197"/>
      <c r="L64" s="197"/>
      <c r="M64" s="197">
        <f>SUM(M61:M63)</f>
        <v>825</v>
      </c>
    </row>
  </sheetData>
  <hyperlinks>
    <hyperlink ref="U6" r:id="rId1" xr:uid="{9398D191-DEAC-2649-9E8E-F3C441B32035}"/>
    <hyperlink ref="U7" r:id="rId2" xr:uid="{47AA9114-937B-CA41-B859-1EF6F5F179A7}"/>
    <hyperlink ref="U11" r:id="rId3" xr:uid="{2CE9D4A6-96E3-EC42-8A51-18D6F1508148}"/>
    <hyperlink ref="U12" r:id="rId4" xr:uid="{BA22D9AE-7F5E-3842-A534-EF5EB5D3F60E}"/>
    <hyperlink ref="U13" r:id="rId5" xr:uid="{547C84C2-F601-5140-AC49-F322BAEF49C5}"/>
    <hyperlink ref="U14" r:id="rId6" xr:uid="{8E789835-9EA1-C441-ADE1-5F28DC775426}"/>
    <hyperlink ref="U15" r:id="rId7" xr:uid="{9938813F-ACBF-264C-B840-3DFEDA088B1F}"/>
    <hyperlink ref="U16" r:id="rId8" xr:uid="{DDAC7C57-BA24-C549-8FC3-93E47395177B}"/>
    <hyperlink ref="U17" r:id="rId9" xr:uid="{94CEB534-A290-1346-9EFE-49DBD41F4756}"/>
    <hyperlink ref="U19" r:id="rId10" xr:uid="{8C50A67E-E29D-8A48-807A-C16251A1F748}"/>
    <hyperlink ref="U20" r:id="rId11" xr:uid="{E6F1F150-EA72-404F-ADC2-E7DFE3A9FAD4}"/>
    <hyperlink ref="U21" r:id="rId12" xr:uid="{209201F5-6C14-5A47-9C7A-F862072ABC29}"/>
    <hyperlink ref="U22" r:id="rId13" xr:uid="{FD2CE381-D6EC-654E-91FB-C89FD5A889B5}"/>
    <hyperlink ref="U23" r:id="rId14" xr:uid="{04FB42D6-DEB0-6F4A-8B0E-F1413DE6B69C}"/>
    <hyperlink ref="U24" r:id="rId15" xr:uid="{CCCE7B67-6E7E-AC4C-81C0-9C432F33F53A}"/>
    <hyperlink ref="U25" r:id="rId16" xr:uid="{5A1C748F-673A-3F49-B513-B4488ADEADCD}"/>
    <hyperlink ref="U26" r:id="rId17" xr:uid="{977C6AB8-36CF-1843-9792-4AF34DB18965}"/>
    <hyperlink ref="U27" r:id="rId18" display="mailto:michelle_96038@hotmail.com" xr:uid="{23619315-F49C-F44F-8D5C-2AFC4E24B0F4}"/>
    <hyperlink ref="U32" r:id="rId19" xr:uid="{7DD3F8C9-0DF1-1144-92AD-E124015A2379}"/>
    <hyperlink ref="U33" r:id="rId20" xr:uid="{239E3FC9-2699-614C-8081-29F420541BF7}"/>
    <hyperlink ref="U36" r:id="rId21" xr:uid="{06A7A58C-6B5E-EC41-8F5B-CB274D5CBD43}"/>
    <hyperlink ref="U37" r:id="rId22" xr:uid="{012C4048-0CC9-B340-9CD5-19395EA36230}"/>
    <hyperlink ref="U8" r:id="rId23" xr:uid="{4D28656B-C217-4D4E-9C26-055F34A2277E}"/>
    <hyperlink ref="U9:U10" r:id="rId24" display="alodiacevallos0@gmail.com" xr:uid="{1B2159F6-A9DB-1A42-A9BD-A88374576A68}"/>
    <hyperlink ref="U34" r:id="rId25" xr:uid="{58583A80-7121-804B-BF8F-97AE28CC6085}"/>
    <hyperlink ref="U35" r:id="rId26" xr:uid="{8729F313-89F2-F142-BB45-4EE412B04457}"/>
    <hyperlink ref="U38" r:id="rId27" xr:uid="{CAFE4870-8DD8-0C49-A508-295FEADAF0CF}"/>
    <hyperlink ref="U39" r:id="rId28" xr:uid="{6FAEB458-833A-FC42-8ABC-E615EAC366D3}"/>
    <hyperlink ref="U40" r:id="rId29" xr:uid="{3A624270-F154-D14E-97C9-06103CE56F03}"/>
    <hyperlink ref="U41" r:id="rId30" xr:uid="{B5B059E3-7055-4345-BEE3-7746EEFD22F7}"/>
    <hyperlink ref="U42" r:id="rId31" xr:uid="{12861607-FB23-E94D-87DB-A4D66134EBB2}"/>
    <hyperlink ref="U28" r:id="rId32" xr:uid="{9D3D3B84-327C-4943-B8B4-804DEBAC89A6}"/>
    <hyperlink ref="U29" r:id="rId33" xr:uid="{3F2A1C9B-611B-DA43-A1F1-43E0F6637D44}"/>
    <hyperlink ref="U30" r:id="rId34" xr:uid="{5972AFFF-01D1-8549-95DA-43AD57841334}"/>
    <hyperlink ref="U31" r:id="rId35" xr:uid="{547D3770-9FB5-0E4A-96D1-5A3E139C33DD}"/>
    <hyperlink ref="U43" r:id="rId36" xr:uid="{7C4F88FC-B0EE-D14F-B466-D6E3EC716CED}"/>
    <hyperlink ref="U44" r:id="rId37" xr:uid="{1EC64466-3669-5A41-BCEC-3DE9699551E3}"/>
    <hyperlink ref="U45" r:id="rId38" xr:uid="{38ECC0F9-ECD4-C14F-B091-A8F8E7201F04}"/>
    <hyperlink ref="U46" r:id="rId39" xr:uid="{1FFD3651-8A55-914A-9C7C-95F15F827297}"/>
    <hyperlink ref="U47" r:id="rId40" xr:uid="{2F024550-C2FE-0B47-98DC-79A26B85EC79}"/>
    <hyperlink ref="U18" r:id="rId41" xr:uid="{F367BB44-327D-4A4F-A312-F894DDD41039}"/>
    <hyperlink ref="U48" r:id="rId42" xr:uid="{FBFD39A0-FA91-5447-8246-B11DBEFDCF26}"/>
    <hyperlink ref="U49:U51" r:id="rId43" display="adrianocrespopapito@yahoo.com" xr:uid="{F9B02406-2996-0549-85E1-FB9D00E7267B}"/>
  </hyperlinks>
  <pageMargins left="0.7" right="0.7" top="0.75" bottom="0.75" header="0.3" footer="0.3"/>
  <pageSetup paperSize="9" orientation="portrait" horizontalDpi="0" verticalDpi="0" r:id="rId44"/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8"/>
  <sheetViews>
    <sheetView tabSelected="1" topLeftCell="A5" zoomScaleNormal="100" workbookViewId="0">
      <selection activeCell="M11" sqref="M11"/>
    </sheetView>
  </sheetViews>
  <sheetFormatPr baseColWidth="10" defaultRowHeight="15"/>
  <cols>
    <col min="1" max="1" width="11.6640625" bestFit="1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30.5" customWidth="1"/>
    <col min="17" max="17" width="12.83203125" bestFit="1" customWidth="1"/>
    <col min="18" max="18" width="11.6640625" bestFit="1" customWidth="1"/>
    <col min="19" max="19" width="24" customWidth="1"/>
  </cols>
  <sheetData>
    <row r="2" spans="1:20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20">
      <c r="A3" s="33"/>
      <c r="B3" s="34"/>
      <c r="C3" s="35" t="s">
        <v>0</v>
      </c>
      <c r="D3" s="36"/>
      <c r="E3" s="37"/>
      <c r="F3" s="38"/>
      <c r="G3" s="39"/>
      <c r="H3" s="40"/>
      <c r="I3" s="40"/>
      <c r="J3" s="40"/>
      <c r="K3" s="40"/>
      <c r="L3" s="40"/>
      <c r="M3" s="41"/>
      <c r="N3" s="40"/>
      <c r="O3" s="33"/>
      <c r="P3" s="40"/>
      <c r="Q3" s="40"/>
      <c r="R3" s="40"/>
      <c r="S3" s="40"/>
    </row>
    <row r="4" spans="1:20">
      <c r="A4" s="33"/>
      <c r="B4" s="34"/>
      <c r="C4" s="42" t="s">
        <v>1</v>
      </c>
      <c r="D4" s="43"/>
      <c r="E4" s="44"/>
      <c r="F4" s="44"/>
      <c r="G4" s="39"/>
      <c r="H4" s="40"/>
      <c r="I4" s="40"/>
      <c r="J4" s="40"/>
      <c r="K4" s="40"/>
      <c r="L4" s="40"/>
      <c r="M4" s="41"/>
      <c r="N4" s="40"/>
      <c r="O4" s="33"/>
      <c r="P4" s="40"/>
      <c r="Q4" s="40"/>
      <c r="R4" s="40"/>
      <c r="S4" s="40"/>
    </row>
    <row r="5" spans="1:20" ht="28.5" customHeight="1">
      <c r="B5" s="45" t="s">
        <v>79</v>
      </c>
      <c r="C5" s="46"/>
      <c r="D5" s="47"/>
      <c r="E5" s="48" t="s">
        <v>24</v>
      </c>
      <c r="F5" s="49"/>
      <c r="G5" s="50"/>
      <c r="H5" s="51"/>
      <c r="I5" s="47"/>
      <c r="J5" s="52"/>
      <c r="K5" s="52"/>
      <c r="L5" s="53"/>
      <c r="M5" s="54" t="s">
        <v>92</v>
      </c>
      <c r="O5" s="55"/>
    </row>
    <row r="6" spans="1:20">
      <c r="B6" s="56" t="s">
        <v>25</v>
      </c>
      <c r="C6" s="57"/>
      <c r="D6" s="58"/>
      <c r="E6" s="58"/>
      <c r="F6" s="58"/>
      <c r="G6" s="58"/>
      <c r="H6" s="58"/>
      <c r="I6" s="58"/>
      <c r="J6" s="58"/>
      <c r="K6" s="58"/>
      <c r="L6" s="58"/>
      <c r="M6" s="59"/>
      <c r="O6" s="55"/>
    </row>
    <row r="7" spans="1:20">
      <c r="B7" s="60" t="s">
        <v>91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2"/>
      <c r="O7" s="55"/>
    </row>
    <row r="8" spans="1:20" s="30" customFormat="1" ht="34">
      <c r="A8"/>
      <c r="B8" s="123" t="s">
        <v>26</v>
      </c>
      <c r="C8" s="123" t="s">
        <v>27</v>
      </c>
      <c r="D8" s="123" t="s">
        <v>28</v>
      </c>
      <c r="E8" s="123" t="s">
        <v>29</v>
      </c>
      <c r="F8" s="123" t="s">
        <v>30</v>
      </c>
      <c r="G8" s="123" t="s">
        <v>31</v>
      </c>
      <c r="H8" s="123" t="s">
        <v>32</v>
      </c>
      <c r="I8" s="123" t="s">
        <v>33</v>
      </c>
      <c r="J8" s="123" t="s">
        <v>34</v>
      </c>
      <c r="K8" s="123" t="s">
        <v>35</v>
      </c>
      <c r="L8" s="123" t="s">
        <v>36</v>
      </c>
      <c r="M8" s="123" t="s">
        <v>37</v>
      </c>
      <c r="N8" s="123" t="s">
        <v>38</v>
      </c>
      <c r="O8" s="123" t="s">
        <v>39</v>
      </c>
      <c r="P8" s="123" t="s">
        <v>40</v>
      </c>
      <c r="Q8" s="123" t="s">
        <v>41</v>
      </c>
      <c r="R8" s="124" t="s">
        <v>18</v>
      </c>
      <c r="S8" s="125" t="s">
        <v>19</v>
      </c>
    </row>
    <row r="9" spans="1:20" s="163" customFormat="1" ht="56.25" customHeight="1">
      <c r="A9" s="151">
        <v>1</v>
      </c>
      <c r="B9" s="152">
        <v>45603</v>
      </c>
      <c r="C9" s="192">
        <v>45616</v>
      </c>
      <c r="D9" s="154">
        <v>1</v>
      </c>
      <c r="E9" s="154"/>
      <c r="F9" s="155" t="s">
        <v>658</v>
      </c>
      <c r="G9" s="156">
        <v>40197155</v>
      </c>
      <c r="H9" s="157" t="s">
        <v>578</v>
      </c>
      <c r="I9" s="158" t="s">
        <v>273</v>
      </c>
      <c r="J9" s="159" t="s">
        <v>42</v>
      </c>
      <c r="K9" s="156" t="s">
        <v>84</v>
      </c>
      <c r="L9" s="156" t="s">
        <v>274</v>
      </c>
      <c r="M9" s="155" t="s">
        <v>656</v>
      </c>
      <c r="N9" s="160">
        <v>12.5</v>
      </c>
      <c r="O9" s="186" t="s">
        <v>276</v>
      </c>
      <c r="P9" s="161" t="s">
        <v>596</v>
      </c>
      <c r="Q9" s="150">
        <v>995325816</v>
      </c>
      <c r="R9" s="150"/>
      <c r="S9" s="150" t="s">
        <v>277</v>
      </c>
      <c r="T9" s="162"/>
    </row>
    <row r="10" spans="1:20" s="163" customFormat="1" ht="56.25" customHeight="1">
      <c r="A10" s="151">
        <v>2</v>
      </c>
      <c r="B10" s="152"/>
      <c r="C10" s="153">
        <v>45620</v>
      </c>
      <c r="D10" s="154">
        <v>1</v>
      </c>
      <c r="E10" s="154"/>
      <c r="F10" s="155" t="s">
        <v>654</v>
      </c>
      <c r="G10" s="156"/>
      <c r="H10" s="157" t="s">
        <v>616</v>
      </c>
      <c r="I10" s="158" t="s">
        <v>290</v>
      </c>
      <c r="J10" s="159" t="s">
        <v>42</v>
      </c>
      <c r="K10" s="156" t="s">
        <v>84</v>
      </c>
      <c r="L10" s="156" t="s">
        <v>291</v>
      </c>
      <c r="M10" s="155" t="s">
        <v>292</v>
      </c>
      <c r="N10" s="160">
        <v>12.5</v>
      </c>
      <c r="O10" s="186" t="s">
        <v>293</v>
      </c>
      <c r="P10" s="161" t="s">
        <v>294</v>
      </c>
      <c r="Q10" s="150">
        <v>983146040</v>
      </c>
      <c r="R10" s="150"/>
      <c r="S10" s="150" t="s">
        <v>606</v>
      </c>
      <c r="T10" s="162"/>
    </row>
    <row r="11" spans="1:20" s="163" customFormat="1" ht="56.25" customHeight="1">
      <c r="A11" s="151">
        <v>3</v>
      </c>
      <c r="B11" s="152">
        <v>44496</v>
      </c>
      <c r="C11" s="153">
        <v>45621</v>
      </c>
      <c r="D11" s="154">
        <v>1</v>
      </c>
      <c r="E11" s="154"/>
      <c r="F11" s="155"/>
      <c r="G11" s="156">
        <v>115160007</v>
      </c>
      <c r="H11" s="157" t="s">
        <v>579</v>
      </c>
      <c r="I11" s="158" t="s">
        <v>599</v>
      </c>
      <c r="J11" s="159" t="s">
        <v>42</v>
      </c>
      <c r="K11" s="156" t="s">
        <v>84</v>
      </c>
      <c r="L11" s="156" t="s">
        <v>281</v>
      </c>
      <c r="M11" s="155" t="s">
        <v>592</v>
      </c>
      <c r="N11" s="160">
        <v>12.5</v>
      </c>
      <c r="O11" s="215" t="s">
        <v>657</v>
      </c>
      <c r="P11" s="161" t="s">
        <v>595</v>
      </c>
      <c r="Q11" s="150">
        <v>984295711</v>
      </c>
      <c r="R11" s="150"/>
      <c r="S11" s="150" t="s">
        <v>282</v>
      </c>
      <c r="T11" s="162"/>
    </row>
    <row r="12" spans="1:20" s="163" customFormat="1" ht="56.25" customHeight="1">
      <c r="A12" s="151">
        <v>4</v>
      </c>
      <c r="B12" s="152">
        <v>44636</v>
      </c>
      <c r="C12" s="153">
        <v>45621</v>
      </c>
      <c r="D12" s="154">
        <v>1</v>
      </c>
      <c r="E12" s="154">
        <v>83330312</v>
      </c>
      <c r="F12" s="155" t="s">
        <v>283</v>
      </c>
      <c r="G12" s="156">
        <v>11000051</v>
      </c>
      <c r="H12" s="157" t="s">
        <v>502</v>
      </c>
      <c r="I12" s="158" t="s">
        <v>284</v>
      </c>
      <c r="J12" s="159" t="s">
        <v>42</v>
      </c>
      <c r="K12" s="156" t="s">
        <v>84</v>
      </c>
      <c r="L12" s="156" t="s">
        <v>285</v>
      </c>
      <c r="M12" s="155" t="s">
        <v>286</v>
      </c>
      <c r="N12" s="160">
        <v>15</v>
      </c>
      <c r="O12" s="186" t="s">
        <v>287</v>
      </c>
      <c r="P12" s="161" t="s">
        <v>288</v>
      </c>
      <c r="Q12" s="150">
        <v>9992752711</v>
      </c>
      <c r="R12" s="150"/>
      <c r="S12" s="150" t="s">
        <v>289</v>
      </c>
      <c r="T12" s="162"/>
    </row>
    <row r="13" spans="1:20" s="163" customFormat="1" ht="56.25" customHeight="1">
      <c r="A13" s="151"/>
      <c r="B13" s="152">
        <v>45447</v>
      </c>
      <c r="C13" s="153">
        <v>45622</v>
      </c>
      <c r="D13" s="154">
        <v>1</v>
      </c>
      <c r="E13" s="154">
        <v>83340602</v>
      </c>
      <c r="F13" s="155" t="s">
        <v>295</v>
      </c>
      <c r="G13" s="156">
        <v>111000051</v>
      </c>
      <c r="H13" s="157" t="s">
        <v>502</v>
      </c>
      <c r="I13" s="158" t="s">
        <v>296</v>
      </c>
      <c r="J13" s="159" t="s">
        <v>42</v>
      </c>
      <c r="K13" s="156" t="s">
        <v>84</v>
      </c>
      <c r="L13" s="156" t="s">
        <v>297</v>
      </c>
      <c r="M13" s="155" t="s">
        <v>298</v>
      </c>
      <c r="N13" s="160">
        <v>15</v>
      </c>
      <c r="O13" s="186" t="s">
        <v>299</v>
      </c>
      <c r="P13" s="161" t="s">
        <v>300</v>
      </c>
      <c r="Q13" s="150">
        <v>987595719</v>
      </c>
      <c r="R13" s="150"/>
      <c r="S13" s="150" t="s">
        <v>577</v>
      </c>
      <c r="T13" s="162"/>
    </row>
    <row r="14" spans="1:20" s="163" customFormat="1" ht="56.25" customHeight="1">
      <c r="A14" s="151">
        <v>5</v>
      </c>
      <c r="B14" s="152">
        <v>44520</v>
      </c>
      <c r="C14" s="153">
        <v>45623</v>
      </c>
      <c r="D14" s="154">
        <v>1</v>
      </c>
      <c r="E14" s="154"/>
      <c r="F14" s="155" t="s">
        <v>660</v>
      </c>
      <c r="G14" s="156">
        <v>111040006</v>
      </c>
      <c r="H14" s="157" t="s">
        <v>580</v>
      </c>
      <c r="I14" s="158" t="s">
        <v>278</v>
      </c>
      <c r="J14" s="159" t="s">
        <v>42</v>
      </c>
      <c r="K14" s="156" t="s">
        <v>84</v>
      </c>
      <c r="L14" s="156" t="s">
        <v>279</v>
      </c>
      <c r="M14" s="155" t="s">
        <v>659</v>
      </c>
      <c r="N14" s="160">
        <v>18.75</v>
      </c>
      <c r="O14" s="186" t="s">
        <v>280</v>
      </c>
      <c r="P14" s="161" t="s">
        <v>593</v>
      </c>
      <c r="Q14" s="150">
        <v>984936932</v>
      </c>
      <c r="R14" s="150"/>
      <c r="S14" s="150">
        <v>14377</v>
      </c>
      <c r="T14" s="162"/>
    </row>
    <row r="15" spans="1:20" s="163" customFormat="1" ht="56.25" customHeight="1">
      <c r="A15" s="151"/>
      <c r="B15" s="152">
        <v>45379</v>
      </c>
      <c r="C15" s="153">
        <v>45623</v>
      </c>
      <c r="D15" s="154">
        <v>1</v>
      </c>
      <c r="E15" s="154">
        <v>83340602</v>
      </c>
      <c r="F15" s="155" t="s">
        <v>295</v>
      </c>
      <c r="G15" s="156">
        <v>111000051</v>
      </c>
      <c r="H15" s="157" t="s">
        <v>502</v>
      </c>
      <c r="I15" s="158" t="s">
        <v>301</v>
      </c>
      <c r="J15" s="159" t="s">
        <v>42</v>
      </c>
      <c r="K15" s="156" t="s">
        <v>84</v>
      </c>
      <c r="L15" s="156" t="s">
        <v>302</v>
      </c>
      <c r="M15" s="155" t="s">
        <v>303</v>
      </c>
      <c r="N15" s="160">
        <v>15</v>
      </c>
      <c r="O15" s="186" t="s">
        <v>304</v>
      </c>
      <c r="P15" s="161" t="s">
        <v>594</v>
      </c>
      <c r="Q15" s="150">
        <v>984886263</v>
      </c>
      <c r="R15" s="150"/>
      <c r="S15" s="150" t="s">
        <v>305</v>
      </c>
      <c r="T15" s="162"/>
    </row>
    <row r="16" spans="1:20" s="163" customFormat="1" ht="56.25" customHeight="1">
      <c r="A16" s="151">
        <v>6</v>
      </c>
      <c r="B16" s="152">
        <v>45605</v>
      </c>
      <c r="C16" s="192">
        <v>45624</v>
      </c>
      <c r="D16" s="154">
        <v>1</v>
      </c>
      <c r="E16" s="154"/>
      <c r="F16" s="155" t="s">
        <v>661</v>
      </c>
      <c r="G16" s="156">
        <v>40467320</v>
      </c>
      <c r="H16" s="157" t="s">
        <v>581</v>
      </c>
      <c r="I16" s="158" t="s">
        <v>269</v>
      </c>
      <c r="J16" s="159" t="s">
        <v>42</v>
      </c>
      <c r="K16" s="156" t="s">
        <v>84</v>
      </c>
      <c r="L16" s="156" t="s">
        <v>270</v>
      </c>
      <c r="M16" s="155" t="s">
        <v>271</v>
      </c>
      <c r="N16" s="160">
        <v>12.5</v>
      </c>
      <c r="O16" s="186" t="s">
        <v>275</v>
      </c>
      <c r="P16" s="161" t="s">
        <v>272</v>
      </c>
      <c r="Q16" s="150">
        <v>985618122</v>
      </c>
      <c r="R16" s="150"/>
      <c r="S16" s="150" t="s">
        <v>598</v>
      </c>
      <c r="T16" s="162"/>
    </row>
    <row r="17" spans="1:20" s="163" customFormat="1" ht="56.25" customHeight="1">
      <c r="A17" s="151">
        <v>7</v>
      </c>
      <c r="B17" s="152">
        <v>45325</v>
      </c>
      <c r="C17" s="153">
        <v>45631</v>
      </c>
      <c r="D17" s="154">
        <v>1</v>
      </c>
      <c r="E17" s="154">
        <v>81672510</v>
      </c>
      <c r="F17" s="155" t="s">
        <v>261</v>
      </c>
      <c r="G17" s="156" t="s">
        <v>262</v>
      </c>
      <c r="H17" s="157" t="s">
        <v>582</v>
      </c>
      <c r="I17" s="158" t="s">
        <v>263</v>
      </c>
      <c r="J17" s="159" t="s">
        <v>42</v>
      </c>
      <c r="K17" s="156" t="s">
        <v>84</v>
      </c>
      <c r="L17" s="156" t="s">
        <v>264</v>
      </c>
      <c r="M17" s="155" t="s">
        <v>265</v>
      </c>
      <c r="N17" s="160">
        <v>18.75</v>
      </c>
      <c r="O17" s="186" t="s">
        <v>266</v>
      </c>
      <c r="P17" s="161" t="s">
        <v>267</v>
      </c>
      <c r="Q17" s="150">
        <v>998282572</v>
      </c>
      <c r="R17" s="150"/>
      <c r="S17" s="150" t="s">
        <v>268</v>
      </c>
      <c r="T17" s="162"/>
    </row>
    <row r="18" spans="1:20" ht="36" customHeight="1">
      <c r="B18" s="152">
        <v>45443</v>
      </c>
      <c r="C18" s="153">
        <v>45631</v>
      </c>
      <c r="D18" s="154">
        <v>1</v>
      </c>
      <c r="E18" s="154">
        <v>83340602</v>
      </c>
      <c r="F18" s="155" t="s">
        <v>295</v>
      </c>
      <c r="G18" s="156">
        <v>111000051</v>
      </c>
      <c r="H18" s="157" t="s">
        <v>502</v>
      </c>
      <c r="I18" s="158" t="s">
        <v>306</v>
      </c>
      <c r="J18" s="159" t="s">
        <v>42</v>
      </c>
      <c r="K18" s="156" t="s">
        <v>84</v>
      </c>
      <c r="L18" s="156" t="s">
        <v>307</v>
      </c>
      <c r="M18" s="155" t="s">
        <v>308</v>
      </c>
      <c r="N18" s="160">
        <v>15</v>
      </c>
      <c r="O18" s="186" t="s">
        <v>309</v>
      </c>
      <c r="P18" s="161" t="s">
        <v>310</v>
      </c>
      <c r="Q18" s="150">
        <v>999500222</v>
      </c>
      <c r="R18" s="150"/>
      <c r="S18" s="150" t="s">
        <v>311</v>
      </c>
    </row>
    <row r="19" spans="1:20" ht="36" customHeight="1">
      <c r="B19" s="152">
        <v>44986</v>
      </c>
      <c r="C19" s="153">
        <v>45635</v>
      </c>
      <c r="D19" s="154">
        <v>1</v>
      </c>
      <c r="E19" s="154"/>
      <c r="F19" s="155" t="s">
        <v>662</v>
      </c>
      <c r="G19" s="156">
        <v>112570128</v>
      </c>
      <c r="H19" s="157" t="s">
        <v>414</v>
      </c>
      <c r="I19" s="158" t="s">
        <v>568</v>
      </c>
      <c r="J19" s="159" t="s">
        <v>42</v>
      </c>
      <c r="K19" s="156" t="s">
        <v>84</v>
      </c>
      <c r="L19" s="156" t="s">
        <v>569</v>
      </c>
      <c r="M19" s="155" t="s">
        <v>663</v>
      </c>
      <c r="N19" s="191">
        <v>12.5</v>
      </c>
      <c r="O19" s="186" t="s">
        <v>570</v>
      </c>
      <c r="P19" s="161" t="s">
        <v>571</v>
      </c>
      <c r="Q19" s="150">
        <v>998153226</v>
      </c>
      <c r="R19" s="150"/>
      <c r="S19" s="150" t="s">
        <v>583</v>
      </c>
    </row>
    <row r="20" spans="1:20" s="63" customFormat="1" ht="17">
      <c r="A20" s="64"/>
      <c r="B20"/>
      <c r="C20"/>
      <c r="D20"/>
      <c r="E20"/>
      <c r="F20"/>
      <c r="G20"/>
      <c r="H20"/>
      <c r="I20"/>
      <c r="N20" s="189">
        <f>SUM(N9:N19)</f>
        <v>160</v>
      </c>
      <c r="O20"/>
      <c r="P20"/>
      <c r="Q20"/>
      <c r="R20"/>
      <c r="S20"/>
    </row>
    <row r="21" spans="1:20" s="63" customFormat="1" ht="17">
      <c r="A21" s="64"/>
      <c r="B21"/>
      <c r="C21"/>
      <c r="D21"/>
      <c r="E21"/>
      <c r="F21"/>
      <c r="G21"/>
      <c r="H21"/>
      <c r="I21"/>
      <c r="J21" s="198">
        <v>1</v>
      </c>
      <c r="K21" s="199" t="s">
        <v>85</v>
      </c>
      <c r="L21" s="199">
        <v>12.5</v>
      </c>
      <c r="M21" s="165">
        <f t="shared" ref="M21:M27" si="0">J21*L21</f>
        <v>12.5</v>
      </c>
      <c r="N21"/>
      <c r="O21"/>
      <c r="P21"/>
      <c r="Q21"/>
      <c r="R21"/>
      <c r="S21"/>
    </row>
    <row r="22" spans="1:20" ht="17">
      <c r="J22" s="198">
        <v>1</v>
      </c>
      <c r="K22" s="199" t="s">
        <v>86</v>
      </c>
      <c r="L22" s="199">
        <v>12.5</v>
      </c>
      <c r="M22" s="165">
        <f t="shared" si="0"/>
        <v>12.5</v>
      </c>
    </row>
    <row r="23" spans="1:20" ht="17">
      <c r="J23" s="198">
        <v>1</v>
      </c>
      <c r="K23" s="199" t="s">
        <v>87</v>
      </c>
      <c r="L23" s="200">
        <v>18.75</v>
      </c>
      <c r="M23" s="165">
        <f t="shared" si="0"/>
        <v>18.75</v>
      </c>
    </row>
    <row r="24" spans="1:20" ht="17">
      <c r="J24" s="198">
        <v>2</v>
      </c>
      <c r="K24" s="199" t="s">
        <v>612</v>
      </c>
      <c r="L24" s="199">
        <v>12.5</v>
      </c>
      <c r="M24" s="165">
        <f t="shared" si="0"/>
        <v>25</v>
      </c>
    </row>
    <row r="25" spans="1:20" ht="16">
      <c r="J25" s="198">
        <v>4</v>
      </c>
      <c r="K25" s="201" t="s">
        <v>613</v>
      </c>
      <c r="L25" s="200">
        <v>15</v>
      </c>
      <c r="M25" s="165">
        <f t="shared" si="0"/>
        <v>60</v>
      </c>
    </row>
    <row r="26" spans="1:20" ht="17">
      <c r="J26" s="201">
        <v>1</v>
      </c>
      <c r="K26" s="199" t="s">
        <v>614</v>
      </c>
      <c r="L26" s="199">
        <v>12.5</v>
      </c>
      <c r="M26" s="165">
        <f t="shared" si="0"/>
        <v>12.5</v>
      </c>
    </row>
    <row r="27" spans="1:20" ht="17">
      <c r="J27" s="201">
        <v>1</v>
      </c>
      <c r="K27" s="199" t="s">
        <v>615</v>
      </c>
      <c r="L27" s="202">
        <v>18.75</v>
      </c>
      <c r="M27" s="165">
        <f t="shared" si="0"/>
        <v>18.75</v>
      </c>
    </row>
    <row r="28" spans="1:20">
      <c r="M28" s="165">
        <f>SUM(M21:M27)</f>
        <v>160</v>
      </c>
    </row>
  </sheetData>
  <phoneticPr fontId="39" type="noConversion"/>
  <hyperlinks>
    <hyperlink ref="P16" r:id="rId1" xr:uid="{380D5EC7-B34C-0041-AECD-DC63A9AA882C}"/>
    <hyperlink ref="P10" r:id="rId2" xr:uid="{E9A485E8-A7A4-C843-A132-3BAB62F8EC62}"/>
    <hyperlink ref="P12" r:id="rId3" xr:uid="{EB94D8A0-DF70-EF4C-9930-054423EAD635}"/>
    <hyperlink ref="P17" r:id="rId4" xr:uid="{FF15B432-455F-604C-92DA-B64377C2F3EE}"/>
    <hyperlink ref="P13" r:id="rId5" xr:uid="{BE6EB576-6441-4E46-BB83-81EB9CEA60EE}"/>
    <hyperlink ref="P18" r:id="rId6" xr:uid="{59235E16-07EF-9C43-9842-709DA4C9ADEA}"/>
    <hyperlink ref="P19" r:id="rId7" xr:uid="{1DBBEA2D-1CD2-6047-A93A-86418581D6CA}"/>
    <hyperlink ref="P14" r:id="rId8" xr:uid="{D0F2F1A7-13E0-5C48-819C-F4EED0A06967}"/>
    <hyperlink ref="P15" r:id="rId9" xr:uid="{0E3350EC-5D7B-6846-AD13-975B64EF061F}"/>
    <hyperlink ref="P11" r:id="rId10" xr:uid="{4E895DDB-0A6D-B048-843A-C6AEAF2BB67F}"/>
    <hyperlink ref="P9" r:id="rId11" xr:uid="{A1B97734-2202-F44E-BBD6-DFC8CB33A31C}"/>
  </hyperlinks>
  <pageMargins left="0.7" right="0.7" top="0.75" bottom="0.75" header="0.3" footer="0.3"/>
  <pageSetup paperSize="9" orientation="portrait" horizontalDpi="0" verticalDpi="0" r:id="rId12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32"/>
  <sheetViews>
    <sheetView topLeftCell="A3" zoomScale="98" zoomScaleNormal="98" workbookViewId="0">
      <selection activeCell="E33" sqref="E33"/>
    </sheetView>
  </sheetViews>
  <sheetFormatPr baseColWidth="10" defaultRowHeight="15"/>
  <cols>
    <col min="1" max="1" width="3.6640625" customWidth="1"/>
    <col min="2" max="2" width="11.33203125" bestFit="1" customWidth="1"/>
    <col min="3" max="3" width="20.1640625" customWidth="1"/>
    <col min="4" max="4" width="20.5" customWidth="1"/>
    <col min="5" max="5" width="12.6640625" customWidth="1"/>
    <col min="6" max="6" width="28.1640625" customWidth="1"/>
    <col min="7" max="7" width="14.6640625" customWidth="1"/>
    <col min="8" max="8" width="8.1640625" customWidth="1"/>
    <col min="9" max="9" width="8.5" customWidth="1"/>
    <col min="10" max="10" width="9" customWidth="1"/>
    <col min="11" max="11" width="10.33203125" customWidth="1"/>
    <col min="12" max="12" width="20.33203125" customWidth="1"/>
    <col min="13" max="13" width="31.83203125" customWidth="1"/>
    <col min="14" max="14" width="11.1640625" bestFit="1" customWidth="1"/>
    <col min="15" max="15" width="7.83203125" customWidth="1"/>
    <col min="16" max="16" width="22.1640625" customWidth="1"/>
    <col min="17" max="17" width="8.1640625" customWidth="1"/>
    <col min="18" max="18" width="6.83203125" customWidth="1"/>
    <col min="19" max="19" width="20.1640625" customWidth="1"/>
    <col min="20" max="20" width="16.1640625" customWidth="1"/>
    <col min="21" max="21" width="32.33203125" customWidth="1"/>
  </cols>
  <sheetData>
    <row r="3" spans="1:21">
      <c r="A3" s="65"/>
      <c r="B3" s="66"/>
      <c r="C3" s="67" t="s">
        <v>43</v>
      </c>
      <c r="D3" s="66"/>
      <c r="E3" s="68"/>
      <c r="F3" s="66"/>
      <c r="G3" s="69"/>
      <c r="H3" s="66"/>
      <c r="I3" s="66"/>
      <c r="J3" s="66"/>
      <c r="K3" s="70"/>
      <c r="L3" s="70"/>
      <c r="M3" s="66"/>
      <c r="N3" s="66"/>
      <c r="O3" s="71"/>
      <c r="P3" s="66"/>
      <c r="Q3" s="66"/>
      <c r="R3" s="66"/>
      <c r="S3" s="66"/>
      <c r="T3" s="66"/>
      <c r="U3" s="72"/>
    </row>
    <row r="4" spans="1:21">
      <c r="A4" s="65"/>
      <c r="B4" s="66"/>
      <c r="C4" s="73" t="s">
        <v>44</v>
      </c>
      <c r="D4" s="66"/>
      <c r="E4" s="66"/>
      <c r="F4" s="66"/>
      <c r="G4" s="69"/>
      <c r="H4" s="66"/>
      <c r="I4" s="66" t="s">
        <v>45</v>
      </c>
      <c r="J4" s="66"/>
      <c r="K4" s="70"/>
      <c r="L4" s="70"/>
      <c r="M4" s="127" t="s">
        <v>93</v>
      </c>
      <c r="N4" s="66"/>
      <c r="O4" s="71"/>
      <c r="P4" s="66"/>
      <c r="Q4" s="74"/>
      <c r="R4" s="66"/>
      <c r="S4" s="66"/>
      <c r="T4" s="75"/>
      <c r="U4" s="76">
        <v>45536</v>
      </c>
    </row>
    <row r="5" spans="1:21" ht="25">
      <c r="A5" s="72"/>
      <c r="B5" s="77" t="s">
        <v>2</v>
      </c>
      <c r="C5" s="77" t="s">
        <v>3</v>
      </c>
      <c r="D5" s="77" t="s">
        <v>4</v>
      </c>
      <c r="E5" s="77" t="s">
        <v>5</v>
      </c>
      <c r="F5" s="77" t="s">
        <v>6</v>
      </c>
      <c r="G5" s="77" t="s">
        <v>7</v>
      </c>
      <c r="H5" s="77" t="s">
        <v>8</v>
      </c>
      <c r="I5" s="77" t="s">
        <v>9</v>
      </c>
      <c r="J5" s="77" t="s">
        <v>10</v>
      </c>
      <c r="K5" s="78" t="s">
        <v>46</v>
      </c>
      <c r="L5" s="78" t="s">
        <v>12</v>
      </c>
      <c r="M5" s="78" t="s">
        <v>13</v>
      </c>
      <c r="N5" s="78" t="s">
        <v>14</v>
      </c>
      <c r="O5" s="79" t="s">
        <v>15</v>
      </c>
      <c r="P5" s="78" t="s">
        <v>47</v>
      </c>
      <c r="Q5" s="78" t="s">
        <v>48</v>
      </c>
      <c r="R5" s="80" t="s">
        <v>49</v>
      </c>
      <c r="S5" s="80" t="s">
        <v>19</v>
      </c>
      <c r="T5" s="81" t="s">
        <v>20</v>
      </c>
      <c r="U5" s="82" t="s">
        <v>50</v>
      </c>
    </row>
    <row r="6" spans="1:21" s="29" customFormat="1" ht="23.25" customHeight="1">
      <c r="A6" s="83">
        <v>1</v>
      </c>
      <c r="B6" s="88">
        <v>45621</v>
      </c>
      <c r="C6" s="89" t="s">
        <v>655</v>
      </c>
      <c r="D6" s="84"/>
      <c r="E6" s="85">
        <v>111570002</v>
      </c>
      <c r="F6" s="86" t="s">
        <v>208</v>
      </c>
      <c r="G6" s="90" t="s">
        <v>198</v>
      </c>
      <c r="H6" s="91" t="s">
        <v>42</v>
      </c>
      <c r="I6" s="92" t="s">
        <v>74</v>
      </c>
      <c r="J6" s="92" t="s">
        <v>75</v>
      </c>
      <c r="K6" s="88">
        <v>45621</v>
      </c>
      <c r="L6" s="89" t="s">
        <v>199</v>
      </c>
      <c r="M6" s="87" t="s">
        <v>653</v>
      </c>
      <c r="N6" s="183" t="s">
        <v>200</v>
      </c>
      <c r="O6" s="93">
        <v>29</v>
      </c>
      <c r="P6" s="89" t="s">
        <v>82</v>
      </c>
      <c r="Q6" s="89" t="s">
        <v>74</v>
      </c>
      <c r="R6" s="94"/>
      <c r="S6" s="94"/>
      <c r="T6" s="184" t="s">
        <v>201</v>
      </c>
      <c r="U6" s="126" t="s">
        <v>225</v>
      </c>
    </row>
    <row r="7" spans="1:21" s="29" customFormat="1" ht="23.25" customHeight="1">
      <c r="A7" s="83">
        <v>2</v>
      </c>
      <c r="B7" s="88">
        <v>45622</v>
      </c>
      <c r="C7" s="89" t="s">
        <v>655</v>
      </c>
      <c r="D7" s="84"/>
      <c r="E7" s="85">
        <v>111570002</v>
      </c>
      <c r="F7" s="86" t="s">
        <v>208</v>
      </c>
      <c r="G7" s="90" t="s">
        <v>202</v>
      </c>
      <c r="H7" s="91" t="s">
        <v>42</v>
      </c>
      <c r="I7" s="92" t="s">
        <v>74</v>
      </c>
      <c r="J7" s="92" t="s">
        <v>75</v>
      </c>
      <c r="K7" s="88">
        <v>45622</v>
      </c>
      <c r="L7" s="89" t="s">
        <v>203</v>
      </c>
      <c r="M7" s="87" t="s">
        <v>205</v>
      </c>
      <c r="N7" s="183" t="s">
        <v>251</v>
      </c>
      <c r="O7" s="93">
        <v>29</v>
      </c>
      <c r="P7" s="89" t="s">
        <v>82</v>
      </c>
      <c r="Q7" s="89" t="s">
        <v>74</v>
      </c>
      <c r="R7" s="94"/>
      <c r="S7" s="94"/>
      <c r="T7" s="184" t="s">
        <v>217</v>
      </c>
      <c r="U7" s="126" t="s">
        <v>597</v>
      </c>
    </row>
    <row r="8" spans="1:21" s="29" customFormat="1" ht="23.25" customHeight="1">
      <c r="A8" s="83">
        <v>3</v>
      </c>
      <c r="B8" s="88">
        <v>45622</v>
      </c>
      <c r="C8" s="89" t="s">
        <v>655</v>
      </c>
      <c r="D8" s="84"/>
      <c r="E8" s="85">
        <v>111570002</v>
      </c>
      <c r="F8" s="86" t="s">
        <v>208</v>
      </c>
      <c r="G8" s="90" t="s">
        <v>204</v>
      </c>
      <c r="H8" s="91" t="s">
        <v>42</v>
      </c>
      <c r="I8" s="92" t="s">
        <v>74</v>
      </c>
      <c r="J8" s="92" t="s">
        <v>75</v>
      </c>
      <c r="K8" s="88">
        <v>45622</v>
      </c>
      <c r="L8" s="89" t="s">
        <v>203</v>
      </c>
      <c r="M8" s="87" t="s">
        <v>205</v>
      </c>
      <c r="N8" s="183" t="s">
        <v>251</v>
      </c>
      <c r="O8" s="93">
        <v>29</v>
      </c>
      <c r="P8" s="89" t="s">
        <v>82</v>
      </c>
      <c r="Q8" s="89" t="s">
        <v>74</v>
      </c>
      <c r="R8" s="94"/>
      <c r="S8" s="94"/>
      <c r="T8" s="184" t="s">
        <v>217</v>
      </c>
      <c r="U8" s="126" t="s">
        <v>597</v>
      </c>
    </row>
    <row r="9" spans="1:21" s="29" customFormat="1" ht="23.25" customHeight="1">
      <c r="A9" s="83">
        <v>4</v>
      </c>
      <c r="B9" s="88">
        <v>45622</v>
      </c>
      <c r="C9" s="89" t="s">
        <v>655</v>
      </c>
      <c r="D9" s="84"/>
      <c r="E9" s="85">
        <v>111570003</v>
      </c>
      <c r="F9" s="86" t="s">
        <v>78</v>
      </c>
      <c r="G9" s="90" t="s">
        <v>206</v>
      </c>
      <c r="H9" s="91" t="s">
        <v>42</v>
      </c>
      <c r="I9" s="92" t="s">
        <v>74</v>
      </c>
      <c r="J9" s="92" t="s">
        <v>75</v>
      </c>
      <c r="K9" s="88">
        <v>45622</v>
      </c>
      <c r="L9" s="89" t="s">
        <v>203</v>
      </c>
      <c r="M9" s="87" t="s">
        <v>205</v>
      </c>
      <c r="N9" s="183" t="s">
        <v>251</v>
      </c>
      <c r="O9" s="93">
        <v>29</v>
      </c>
      <c r="P9" s="89" t="s">
        <v>82</v>
      </c>
      <c r="Q9" s="89" t="s">
        <v>74</v>
      </c>
      <c r="R9" s="94"/>
      <c r="S9" s="94"/>
      <c r="T9" s="184" t="s">
        <v>217</v>
      </c>
      <c r="U9" s="126" t="s">
        <v>597</v>
      </c>
    </row>
    <row r="10" spans="1:21" s="29" customFormat="1" ht="23.25" customHeight="1">
      <c r="A10" s="83">
        <v>5</v>
      </c>
      <c r="B10" s="88">
        <v>45622</v>
      </c>
      <c r="C10" s="89" t="s">
        <v>655</v>
      </c>
      <c r="D10" s="84"/>
      <c r="E10" s="85">
        <v>111570003</v>
      </c>
      <c r="F10" s="86" t="s">
        <v>78</v>
      </c>
      <c r="G10" s="90" t="s">
        <v>207</v>
      </c>
      <c r="H10" s="91" t="s">
        <v>42</v>
      </c>
      <c r="I10" s="92" t="s">
        <v>74</v>
      </c>
      <c r="J10" s="92" t="s">
        <v>75</v>
      </c>
      <c r="K10" s="88">
        <v>45622</v>
      </c>
      <c r="L10" s="89" t="s">
        <v>203</v>
      </c>
      <c r="M10" s="87" t="s">
        <v>205</v>
      </c>
      <c r="N10" s="183" t="s">
        <v>251</v>
      </c>
      <c r="O10" s="93">
        <v>29</v>
      </c>
      <c r="P10" s="89" t="s">
        <v>82</v>
      </c>
      <c r="Q10" s="89" t="s">
        <v>74</v>
      </c>
      <c r="R10" s="94"/>
      <c r="S10" s="94"/>
      <c r="T10" s="184" t="s">
        <v>217</v>
      </c>
      <c r="U10" s="126" t="s">
        <v>597</v>
      </c>
    </row>
    <row r="11" spans="1:21" s="29" customFormat="1" ht="23.25" customHeight="1">
      <c r="A11" s="83">
        <v>6</v>
      </c>
      <c r="B11" s="88">
        <v>45623</v>
      </c>
      <c r="C11" s="89" t="s">
        <v>655</v>
      </c>
      <c r="D11" s="84"/>
      <c r="E11" s="85">
        <v>111570003</v>
      </c>
      <c r="F11" s="86" t="s">
        <v>78</v>
      </c>
      <c r="G11" s="90" t="s">
        <v>209</v>
      </c>
      <c r="H11" s="91" t="s">
        <v>42</v>
      </c>
      <c r="I11" s="92" t="s">
        <v>74</v>
      </c>
      <c r="J11" s="92" t="s">
        <v>75</v>
      </c>
      <c r="K11" s="88">
        <v>45623</v>
      </c>
      <c r="L11" s="89" t="s">
        <v>214</v>
      </c>
      <c r="M11" s="87" t="s">
        <v>215</v>
      </c>
      <c r="N11" s="183" t="s">
        <v>216</v>
      </c>
      <c r="O11" s="93">
        <v>29</v>
      </c>
      <c r="P11" s="89" t="s">
        <v>82</v>
      </c>
      <c r="Q11" s="89" t="s">
        <v>74</v>
      </c>
      <c r="R11" s="94"/>
      <c r="S11" s="94"/>
      <c r="T11" s="184" t="s">
        <v>217</v>
      </c>
      <c r="U11" s="126" t="s">
        <v>224</v>
      </c>
    </row>
    <row r="12" spans="1:21" s="29" customFormat="1" ht="23.25" customHeight="1">
      <c r="A12" s="83">
        <v>7</v>
      </c>
      <c r="B12" s="88">
        <v>45623</v>
      </c>
      <c r="C12" s="89" t="s">
        <v>655</v>
      </c>
      <c r="D12" s="84"/>
      <c r="E12" s="85">
        <v>111570003</v>
      </c>
      <c r="F12" s="86" t="s">
        <v>78</v>
      </c>
      <c r="G12" s="90" t="s">
        <v>210</v>
      </c>
      <c r="H12" s="91" t="s">
        <v>42</v>
      </c>
      <c r="I12" s="92" t="s">
        <v>74</v>
      </c>
      <c r="J12" s="92" t="s">
        <v>75</v>
      </c>
      <c r="K12" s="88">
        <v>45623</v>
      </c>
      <c r="L12" s="89" t="s">
        <v>214</v>
      </c>
      <c r="M12" s="87" t="s">
        <v>215</v>
      </c>
      <c r="N12" s="183" t="s">
        <v>216</v>
      </c>
      <c r="O12" s="93">
        <v>29</v>
      </c>
      <c r="P12" s="89" t="s">
        <v>82</v>
      </c>
      <c r="Q12" s="89" t="s">
        <v>74</v>
      </c>
      <c r="R12" s="94"/>
      <c r="S12" s="94"/>
      <c r="T12" s="184" t="s">
        <v>217</v>
      </c>
      <c r="U12" s="126" t="s">
        <v>224</v>
      </c>
    </row>
    <row r="13" spans="1:21" s="29" customFormat="1" ht="23.25" customHeight="1">
      <c r="A13" s="83">
        <v>8</v>
      </c>
      <c r="B13" s="88">
        <v>45623</v>
      </c>
      <c r="C13" s="89" t="s">
        <v>655</v>
      </c>
      <c r="D13" s="84"/>
      <c r="E13" s="85">
        <v>111570003</v>
      </c>
      <c r="F13" s="86" t="s">
        <v>78</v>
      </c>
      <c r="G13" s="90" t="s">
        <v>211</v>
      </c>
      <c r="H13" s="91" t="s">
        <v>42</v>
      </c>
      <c r="I13" s="92" t="s">
        <v>74</v>
      </c>
      <c r="J13" s="92" t="s">
        <v>75</v>
      </c>
      <c r="K13" s="88">
        <v>45623</v>
      </c>
      <c r="L13" s="89" t="s">
        <v>214</v>
      </c>
      <c r="M13" s="87" t="s">
        <v>215</v>
      </c>
      <c r="N13" s="183" t="s">
        <v>216</v>
      </c>
      <c r="O13" s="93">
        <v>29</v>
      </c>
      <c r="P13" s="89" t="s">
        <v>82</v>
      </c>
      <c r="Q13" s="89" t="s">
        <v>74</v>
      </c>
      <c r="R13" s="94"/>
      <c r="S13" s="94"/>
      <c r="T13" s="184" t="s">
        <v>217</v>
      </c>
      <c r="U13" s="126" t="s">
        <v>224</v>
      </c>
    </row>
    <row r="14" spans="1:21" s="29" customFormat="1" ht="23.25" customHeight="1">
      <c r="A14" s="83">
        <v>9</v>
      </c>
      <c r="B14" s="88">
        <v>45623</v>
      </c>
      <c r="C14" s="89" t="s">
        <v>655</v>
      </c>
      <c r="D14" s="84"/>
      <c r="E14" s="85">
        <v>111570002</v>
      </c>
      <c r="F14" s="86" t="s">
        <v>208</v>
      </c>
      <c r="G14" s="90" t="s">
        <v>212</v>
      </c>
      <c r="H14" s="91" t="s">
        <v>42</v>
      </c>
      <c r="I14" s="92" t="s">
        <v>74</v>
      </c>
      <c r="J14" s="92" t="s">
        <v>75</v>
      </c>
      <c r="K14" s="88">
        <v>45623</v>
      </c>
      <c r="L14" s="89" t="s">
        <v>214</v>
      </c>
      <c r="M14" s="87" t="s">
        <v>215</v>
      </c>
      <c r="N14" s="183" t="s">
        <v>216</v>
      </c>
      <c r="O14" s="93">
        <v>29</v>
      </c>
      <c r="P14" s="89" t="s">
        <v>82</v>
      </c>
      <c r="Q14" s="89" t="s">
        <v>74</v>
      </c>
      <c r="R14" s="94"/>
      <c r="S14" s="94"/>
      <c r="T14" s="184" t="s">
        <v>217</v>
      </c>
      <c r="U14" s="126" t="s">
        <v>224</v>
      </c>
    </row>
    <row r="15" spans="1:21" s="29" customFormat="1" ht="23.25" customHeight="1">
      <c r="A15" s="83">
        <v>10</v>
      </c>
      <c r="B15" s="88">
        <v>45623</v>
      </c>
      <c r="C15" s="89" t="s">
        <v>655</v>
      </c>
      <c r="D15" s="84"/>
      <c r="E15" s="85">
        <v>111570002</v>
      </c>
      <c r="F15" s="86" t="s">
        <v>208</v>
      </c>
      <c r="G15" s="90" t="s">
        <v>213</v>
      </c>
      <c r="H15" s="91" t="s">
        <v>42</v>
      </c>
      <c r="I15" s="92" t="s">
        <v>74</v>
      </c>
      <c r="J15" s="92" t="s">
        <v>75</v>
      </c>
      <c r="K15" s="88">
        <v>45623</v>
      </c>
      <c r="L15" s="89" t="s">
        <v>214</v>
      </c>
      <c r="M15" s="87" t="s">
        <v>215</v>
      </c>
      <c r="N15" s="183" t="s">
        <v>216</v>
      </c>
      <c r="O15" s="93">
        <v>29</v>
      </c>
      <c r="P15" s="89" t="s">
        <v>82</v>
      </c>
      <c r="Q15" s="89" t="s">
        <v>74</v>
      </c>
      <c r="R15" s="94"/>
      <c r="S15" s="94"/>
      <c r="T15" s="184" t="s">
        <v>217</v>
      </c>
      <c r="U15" s="126" t="s">
        <v>224</v>
      </c>
    </row>
    <row r="16" spans="1:21" s="29" customFormat="1" ht="23.25" customHeight="1">
      <c r="A16" s="83">
        <v>11</v>
      </c>
      <c r="B16" s="88">
        <v>45619</v>
      </c>
      <c r="C16" s="89" t="s">
        <v>312</v>
      </c>
      <c r="D16" s="84" t="s">
        <v>249</v>
      </c>
      <c r="E16" s="85">
        <v>111570003</v>
      </c>
      <c r="F16" s="86" t="s">
        <v>78</v>
      </c>
      <c r="G16" s="90" t="s">
        <v>218</v>
      </c>
      <c r="H16" s="91" t="s">
        <v>42</v>
      </c>
      <c r="I16" s="92" t="s">
        <v>74</v>
      </c>
      <c r="J16" s="92" t="s">
        <v>75</v>
      </c>
      <c r="K16" s="88">
        <v>45625</v>
      </c>
      <c r="L16" s="89" t="s">
        <v>219</v>
      </c>
      <c r="M16" s="87" t="s">
        <v>220</v>
      </c>
      <c r="N16" s="183" t="s">
        <v>221</v>
      </c>
      <c r="O16" s="93">
        <v>29</v>
      </c>
      <c r="P16" s="89"/>
      <c r="Q16" s="89" t="s">
        <v>74</v>
      </c>
      <c r="R16" s="94"/>
      <c r="S16" s="84" t="s">
        <v>249</v>
      </c>
      <c r="T16" s="184" t="s">
        <v>222</v>
      </c>
      <c r="U16" s="126" t="s">
        <v>223</v>
      </c>
    </row>
    <row r="17" spans="1:21" s="29" customFormat="1" ht="23.25" customHeight="1">
      <c r="A17" s="83">
        <v>12</v>
      </c>
      <c r="B17" s="88">
        <v>45625</v>
      </c>
      <c r="C17" s="89" t="s">
        <v>587</v>
      </c>
      <c r="D17" s="84" t="s">
        <v>607</v>
      </c>
      <c r="E17" s="85">
        <v>11157002</v>
      </c>
      <c r="F17" s="86" t="s">
        <v>208</v>
      </c>
      <c r="G17" s="90" t="s">
        <v>650</v>
      </c>
      <c r="H17" s="91" t="s">
        <v>42</v>
      </c>
      <c r="I17" s="92" t="s">
        <v>74</v>
      </c>
      <c r="J17" s="92" t="s">
        <v>75</v>
      </c>
      <c r="K17" s="88">
        <v>45625</v>
      </c>
      <c r="L17" s="89" t="s">
        <v>645</v>
      </c>
      <c r="M17" s="87" t="s">
        <v>646</v>
      </c>
      <c r="N17" s="183" t="s">
        <v>648</v>
      </c>
      <c r="O17" s="93">
        <v>29</v>
      </c>
      <c r="Q17" s="89" t="s">
        <v>74</v>
      </c>
      <c r="R17" s="94"/>
      <c r="S17" s="84" t="s">
        <v>607</v>
      </c>
      <c r="T17" s="184" t="s">
        <v>647</v>
      </c>
      <c r="U17" s="126" t="s">
        <v>649</v>
      </c>
    </row>
    <row r="18" spans="1:21" s="29" customFormat="1" ht="23.25" customHeight="1">
      <c r="A18" s="83">
        <v>13</v>
      </c>
      <c r="B18" s="88">
        <v>45625</v>
      </c>
      <c r="C18" s="89" t="s">
        <v>655</v>
      </c>
      <c r="D18" s="84"/>
      <c r="E18" s="85">
        <v>111570002</v>
      </c>
      <c r="F18" s="86" t="s">
        <v>208</v>
      </c>
      <c r="G18" s="90" t="s">
        <v>226</v>
      </c>
      <c r="H18" s="91" t="s">
        <v>42</v>
      </c>
      <c r="I18" s="92" t="s">
        <v>74</v>
      </c>
      <c r="J18" s="92" t="s">
        <v>75</v>
      </c>
      <c r="K18" s="88">
        <v>45625</v>
      </c>
      <c r="L18" s="89" t="s">
        <v>248</v>
      </c>
      <c r="M18" s="87" t="s">
        <v>227</v>
      </c>
      <c r="N18" s="183" t="s">
        <v>250</v>
      </c>
      <c r="O18" s="93">
        <v>29</v>
      </c>
      <c r="P18" s="89" t="s">
        <v>82</v>
      </c>
      <c r="Q18" s="89" t="s">
        <v>74</v>
      </c>
      <c r="R18" s="94"/>
      <c r="S18" s="94"/>
      <c r="T18" s="184" t="s">
        <v>252</v>
      </c>
      <c r="U18" s="126" t="s">
        <v>253</v>
      </c>
    </row>
    <row r="19" spans="1:21" s="29" customFormat="1" ht="23.25" customHeight="1">
      <c r="A19" s="83">
        <v>14</v>
      </c>
      <c r="B19" s="88">
        <v>45627</v>
      </c>
      <c r="C19" s="89" t="s">
        <v>655</v>
      </c>
      <c r="D19" s="84"/>
      <c r="E19" s="85">
        <v>111570002</v>
      </c>
      <c r="F19" s="86" t="s">
        <v>208</v>
      </c>
      <c r="G19" s="90" t="s">
        <v>228</v>
      </c>
      <c r="H19" s="91" t="s">
        <v>42</v>
      </c>
      <c r="I19" s="92" t="s">
        <v>74</v>
      </c>
      <c r="J19" s="92" t="s">
        <v>75</v>
      </c>
      <c r="K19" s="88">
        <v>45627</v>
      </c>
      <c r="L19" s="89" t="s">
        <v>110</v>
      </c>
      <c r="M19" s="87" t="s">
        <v>229</v>
      </c>
      <c r="N19" s="183" t="s">
        <v>230</v>
      </c>
      <c r="O19" s="93">
        <v>29</v>
      </c>
      <c r="P19" s="89" t="s">
        <v>82</v>
      </c>
      <c r="Q19" s="89" t="s">
        <v>74</v>
      </c>
      <c r="R19" s="94"/>
      <c r="S19" s="94"/>
      <c r="T19" s="184" t="s">
        <v>231</v>
      </c>
      <c r="U19" s="126" t="s">
        <v>260</v>
      </c>
    </row>
    <row r="20" spans="1:21" s="29" customFormat="1" ht="23.25" customHeight="1">
      <c r="A20" s="83">
        <v>15</v>
      </c>
      <c r="B20" s="88">
        <v>45629</v>
      </c>
      <c r="C20" s="89" t="s">
        <v>655</v>
      </c>
      <c r="D20" s="84"/>
      <c r="E20" s="85">
        <v>111570002</v>
      </c>
      <c r="F20" s="86" t="s">
        <v>208</v>
      </c>
      <c r="G20" s="90" t="s">
        <v>232</v>
      </c>
      <c r="H20" s="91" t="s">
        <v>42</v>
      </c>
      <c r="I20" s="92" t="s">
        <v>74</v>
      </c>
      <c r="J20" s="92" t="s">
        <v>75</v>
      </c>
      <c r="K20" s="88">
        <v>45629</v>
      </c>
      <c r="L20" s="89" t="s">
        <v>214</v>
      </c>
      <c r="M20" s="87" t="s">
        <v>215</v>
      </c>
      <c r="N20" s="183" t="s">
        <v>233</v>
      </c>
      <c r="O20" s="93">
        <v>29</v>
      </c>
      <c r="P20" s="89" t="s">
        <v>82</v>
      </c>
      <c r="Q20" s="89" t="s">
        <v>74</v>
      </c>
      <c r="R20" s="94"/>
      <c r="S20" s="94"/>
      <c r="T20" s="184" t="s">
        <v>217</v>
      </c>
      <c r="U20" s="126" t="s">
        <v>234</v>
      </c>
    </row>
    <row r="21" spans="1:21" s="29" customFormat="1" ht="23.25" customHeight="1">
      <c r="A21" s="83">
        <v>16</v>
      </c>
      <c r="B21" s="88">
        <v>45631</v>
      </c>
      <c r="C21" s="89" t="s">
        <v>655</v>
      </c>
      <c r="D21" s="84"/>
      <c r="E21" s="85">
        <v>111570003</v>
      </c>
      <c r="F21" s="86" t="s">
        <v>78</v>
      </c>
      <c r="G21" s="90" t="s">
        <v>235</v>
      </c>
      <c r="H21" s="91" t="s">
        <v>42</v>
      </c>
      <c r="I21" s="92" t="s">
        <v>74</v>
      </c>
      <c r="J21" s="92" t="s">
        <v>75</v>
      </c>
      <c r="K21" s="88">
        <v>45631</v>
      </c>
      <c r="L21" s="89" t="s">
        <v>110</v>
      </c>
      <c r="M21" s="87" t="s">
        <v>239</v>
      </c>
      <c r="N21" s="183" t="s">
        <v>197</v>
      </c>
      <c r="O21" s="93">
        <v>29</v>
      </c>
      <c r="P21" s="89" t="s">
        <v>82</v>
      </c>
      <c r="Q21" s="89" t="s">
        <v>74</v>
      </c>
      <c r="R21" s="94"/>
      <c r="S21" s="94"/>
      <c r="T21" s="184" t="s">
        <v>240</v>
      </c>
      <c r="U21" s="126" t="s">
        <v>260</v>
      </c>
    </row>
    <row r="22" spans="1:21" s="29" customFormat="1" ht="23.25" customHeight="1">
      <c r="A22" s="83">
        <v>17</v>
      </c>
      <c r="B22" s="88">
        <v>45631</v>
      </c>
      <c r="C22" s="89" t="s">
        <v>655</v>
      </c>
      <c r="D22" s="84"/>
      <c r="E22" s="85">
        <v>111570003</v>
      </c>
      <c r="F22" s="86" t="s">
        <v>78</v>
      </c>
      <c r="G22" s="90" t="s">
        <v>236</v>
      </c>
      <c r="H22" s="91" t="s">
        <v>42</v>
      </c>
      <c r="I22" s="92" t="s">
        <v>74</v>
      </c>
      <c r="J22" s="92" t="s">
        <v>75</v>
      </c>
      <c r="K22" s="88">
        <v>45631</v>
      </c>
      <c r="L22" s="89" t="s">
        <v>110</v>
      </c>
      <c r="M22" s="87" t="s">
        <v>239</v>
      </c>
      <c r="N22" s="183" t="s">
        <v>197</v>
      </c>
      <c r="O22" s="93">
        <v>29</v>
      </c>
      <c r="P22" s="89" t="s">
        <v>82</v>
      </c>
      <c r="Q22" s="89" t="s">
        <v>74</v>
      </c>
      <c r="R22" s="94"/>
      <c r="S22" s="94"/>
      <c r="T22" s="184" t="s">
        <v>240</v>
      </c>
      <c r="U22" s="126" t="s">
        <v>260</v>
      </c>
    </row>
    <row r="23" spans="1:21" s="29" customFormat="1" ht="23.25" customHeight="1">
      <c r="A23" s="83">
        <v>18</v>
      </c>
      <c r="B23" s="88">
        <v>45631</v>
      </c>
      <c r="C23" s="89" t="s">
        <v>655</v>
      </c>
      <c r="D23" s="84"/>
      <c r="E23" s="85">
        <v>111570002</v>
      </c>
      <c r="F23" s="86" t="s">
        <v>208</v>
      </c>
      <c r="G23" s="90" t="s">
        <v>237</v>
      </c>
      <c r="H23" s="91" t="s">
        <v>42</v>
      </c>
      <c r="I23" s="92" t="s">
        <v>74</v>
      </c>
      <c r="J23" s="92" t="s">
        <v>75</v>
      </c>
      <c r="K23" s="88">
        <v>45631</v>
      </c>
      <c r="L23" s="89" t="s">
        <v>110</v>
      </c>
      <c r="M23" s="87" t="s">
        <v>239</v>
      </c>
      <c r="N23" s="183" t="s">
        <v>197</v>
      </c>
      <c r="O23" s="93">
        <v>29</v>
      </c>
      <c r="P23" s="89" t="s">
        <v>82</v>
      </c>
      <c r="Q23" s="89" t="s">
        <v>74</v>
      </c>
      <c r="R23" s="94"/>
      <c r="S23" s="94"/>
      <c r="T23" s="184" t="s">
        <v>240</v>
      </c>
      <c r="U23" s="126" t="s">
        <v>260</v>
      </c>
    </row>
    <row r="24" spans="1:21" s="29" customFormat="1" ht="23.25" customHeight="1">
      <c r="A24" s="83">
        <v>19</v>
      </c>
      <c r="B24" s="88">
        <v>45631</v>
      </c>
      <c r="C24" s="89" t="s">
        <v>655</v>
      </c>
      <c r="D24" s="84"/>
      <c r="E24" s="85">
        <v>111570002</v>
      </c>
      <c r="F24" s="86" t="s">
        <v>208</v>
      </c>
      <c r="G24" s="90" t="s">
        <v>238</v>
      </c>
      <c r="H24" s="91" t="s">
        <v>42</v>
      </c>
      <c r="I24" s="92" t="s">
        <v>74</v>
      </c>
      <c r="J24" s="92" t="s">
        <v>75</v>
      </c>
      <c r="K24" s="88">
        <v>45631</v>
      </c>
      <c r="L24" s="89" t="s">
        <v>110</v>
      </c>
      <c r="M24" s="87" t="s">
        <v>239</v>
      </c>
      <c r="N24" s="183" t="s">
        <v>197</v>
      </c>
      <c r="O24" s="93">
        <v>29</v>
      </c>
      <c r="P24" s="89" t="s">
        <v>82</v>
      </c>
      <c r="Q24" s="89" t="s">
        <v>74</v>
      </c>
      <c r="R24" s="94"/>
      <c r="S24" s="94"/>
      <c r="T24" s="184" t="s">
        <v>240</v>
      </c>
      <c r="U24" s="126" t="s">
        <v>260</v>
      </c>
    </row>
    <row r="25" spans="1:21" ht="18">
      <c r="A25" s="83">
        <v>20</v>
      </c>
      <c r="B25" s="88">
        <v>45632</v>
      </c>
      <c r="C25" s="89" t="s">
        <v>350</v>
      </c>
      <c r="D25" s="94" t="s">
        <v>247</v>
      </c>
      <c r="E25" s="85">
        <v>111570002</v>
      </c>
      <c r="F25" s="86" t="s">
        <v>208</v>
      </c>
      <c r="G25" s="90" t="s">
        <v>241</v>
      </c>
      <c r="H25" s="91" t="s">
        <v>42</v>
      </c>
      <c r="I25" s="92" t="s">
        <v>74</v>
      </c>
      <c r="J25" s="92" t="s">
        <v>75</v>
      </c>
      <c r="K25" s="88">
        <v>45632</v>
      </c>
      <c r="L25" s="89" t="s">
        <v>242</v>
      </c>
      <c r="M25" s="87" t="s">
        <v>243</v>
      </c>
      <c r="N25" s="183" t="s">
        <v>244</v>
      </c>
      <c r="O25" s="93">
        <v>29</v>
      </c>
      <c r="P25" s="89"/>
      <c r="Q25" s="89" t="s">
        <v>74</v>
      </c>
      <c r="R25" s="94"/>
      <c r="S25" s="94" t="s">
        <v>247</v>
      </c>
      <c r="T25" s="184" t="s">
        <v>245</v>
      </c>
      <c r="U25" s="126" t="s">
        <v>246</v>
      </c>
    </row>
    <row r="26" spans="1:21" ht="18">
      <c r="A26" s="83">
        <v>21</v>
      </c>
      <c r="B26" s="88">
        <v>45635</v>
      </c>
      <c r="C26" s="89" t="s">
        <v>350</v>
      </c>
      <c r="D26" s="94" t="s">
        <v>610</v>
      </c>
      <c r="E26" s="85">
        <v>111570002</v>
      </c>
      <c r="F26" s="86" t="s">
        <v>208</v>
      </c>
      <c r="G26" s="90" t="s">
        <v>550</v>
      </c>
      <c r="H26" s="91" t="s">
        <v>42</v>
      </c>
      <c r="I26" s="92" t="s">
        <v>74</v>
      </c>
      <c r="J26" s="92" t="s">
        <v>75</v>
      </c>
      <c r="K26" s="88">
        <v>45635</v>
      </c>
      <c r="L26" s="89" t="s">
        <v>551</v>
      </c>
      <c r="M26" s="87" t="s">
        <v>552</v>
      </c>
      <c r="N26" s="183" t="s">
        <v>553</v>
      </c>
      <c r="O26" s="93">
        <v>29</v>
      </c>
      <c r="P26" s="89"/>
      <c r="Q26" s="89" t="s">
        <v>74</v>
      </c>
      <c r="R26" s="94"/>
      <c r="S26" s="94" t="s">
        <v>610</v>
      </c>
      <c r="T26" s="184" t="s">
        <v>554</v>
      </c>
      <c r="U26" s="126" t="s">
        <v>555</v>
      </c>
    </row>
    <row r="27" spans="1:21" ht="18">
      <c r="A27" s="83">
        <v>22</v>
      </c>
      <c r="B27" s="88">
        <v>45639</v>
      </c>
      <c r="C27" s="89" t="s">
        <v>587</v>
      </c>
      <c r="D27" s="94" t="s">
        <v>607</v>
      </c>
      <c r="E27" s="85">
        <v>111570003</v>
      </c>
      <c r="F27" s="86" t="s">
        <v>78</v>
      </c>
      <c r="G27" s="90" t="s">
        <v>556</v>
      </c>
      <c r="H27" s="91" t="s">
        <v>42</v>
      </c>
      <c r="I27" s="92" t="s">
        <v>74</v>
      </c>
      <c r="J27" s="92" t="s">
        <v>75</v>
      </c>
      <c r="K27" s="88">
        <v>45639</v>
      </c>
      <c r="L27" s="89" t="s">
        <v>557</v>
      </c>
      <c r="M27" s="87" t="s">
        <v>558</v>
      </c>
      <c r="N27" s="183" t="s">
        <v>559</v>
      </c>
      <c r="O27" s="93">
        <v>29</v>
      </c>
      <c r="P27" s="89"/>
      <c r="Q27" s="89" t="s">
        <v>74</v>
      </c>
      <c r="R27" s="94"/>
      <c r="S27" s="94" t="s">
        <v>607</v>
      </c>
      <c r="T27" s="184" t="s">
        <v>560</v>
      </c>
      <c r="U27" s="126" t="s">
        <v>561</v>
      </c>
    </row>
    <row r="28" spans="1:21" ht="18">
      <c r="A28" s="83">
        <v>23</v>
      </c>
      <c r="B28" s="88">
        <v>45639</v>
      </c>
      <c r="C28" s="89" t="s">
        <v>608</v>
      </c>
      <c r="D28" s="94" t="s">
        <v>609</v>
      </c>
      <c r="E28" s="85">
        <v>111570003</v>
      </c>
      <c r="F28" s="86" t="s">
        <v>78</v>
      </c>
      <c r="G28" s="90" t="s">
        <v>562</v>
      </c>
      <c r="H28" s="91" t="s">
        <v>42</v>
      </c>
      <c r="I28" s="92" t="s">
        <v>74</v>
      </c>
      <c r="J28" s="92" t="s">
        <v>75</v>
      </c>
      <c r="K28" s="88">
        <v>45639</v>
      </c>
      <c r="L28" s="89" t="s">
        <v>563</v>
      </c>
      <c r="M28" s="87" t="s">
        <v>564</v>
      </c>
      <c r="N28" s="183" t="s">
        <v>565</v>
      </c>
      <c r="O28" s="93">
        <v>29</v>
      </c>
      <c r="P28" s="89"/>
      <c r="Q28" s="89" t="s">
        <v>74</v>
      </c>
      <c r="R28" s="94"/>
      <c r="S28" s="94" t="s">
        <v>609</v>
      </c>
      <c r="T28" s="184" t="s">
        <v>566</v>
      </c>
      <c r="U28" s="126" t="s">
        <v>567</v>
      </c>
    </row>
    <row r="29" spans="1:21">
      <c r="O29" s="189">
        <f>SUM(O6:O28)</f>
        <v>667</v>
      </c>
    </row>
    <row r="32" spans="1:21">
      <c r="N32" s="165" t="s">
        <v>611</v>
      </c>
      <c r="O32" s="165">
        <v>667</v>
      </c>
    </row>
  </sheetData>
  <phoneticPr fontId="39" type="noConversion"/>
  <hyperlinks>
    <hyperlink ref="U6" r:id="rId1" xr:uid="{97C04628-8874-D746-82B2-E8D2D07369A9}"/>
    <hyperlink ref="U20" r:id="rId2" xr:uid="{12D92373-5E83-E840-A1AD-D3AA1AFECC05}"/>
    <hyperlink ref="U16" r:id="rId3" xr:uid="{C8CBDCC8-E473-3B4F-ACAF-EC6A610C4749}"/>
    <hyperlink ref="U15" r:id="rId4" xr:uid="{78E974D3-6CC8-CD4F-B001-39ED5778CC25}"/>
    <hyperlink ref="U11:U14" r:id="rId5" display="jhon.cruz@kywi.com.ec" xr:uid="{D0B828D4-72E0-EC49-902B-ED2B46BC1865}"/>
    <hyperlink ref="U25" r:id="rId6" xr:uid="{6EB9E1E9-5D74-9C4E-99C9-6A2AFCB7FFDB}"/>
    <hyperlink ref="U19" r:id="rId7" xr:uid="{FE4F3953-47A0-374C-B95B-4265A34F6819}"/>
    <hyperlink ref="U18" r:id="rId8" xr:uid="{27135BC4-A2F2-7C47-B5FC-9EBD27897B6B}"/>
    <hyperlink ref="U21:U24" r:id="rId9" display="israelpalacios245@gmail.com" xr:uid="{3F62EA7D-A826-C742-BD9C-4D6B382C822F}"/>
    <hyperlink ref="U26" r:id="rId10" xr:uid="{911B2EF2-3DC3-6B4C-AAA9-70CD0AFC127F}"/>
    <hyperlink ref="U27" r:id="rId11" xr:uid="{F839D4C8-8013-304E-809E-528830FA632F}"/>
    <hyperlink ref="U28" r:id="rId12" xr:uid="{23550097-D66C-3B4B-B083-E5201EEF4859}"/>
    <hyperlink ref="U7" r:id="rId13" xr:uid="{0513B417-82B8-4649-92C6-1E047CAC37BE}"/>
    <hyperlink ref="U8:U10" r:id="rId14" display="jgjijon@kywi.com.ec" xr:uid="{A73A9BE1-36A4-D845-ABB5-87600BC9C752}"/>
    <hyperlink ref="U17" r:id="rId15" xr:uid="{3CC2A061-60EF-E648-B858-FE2970A189A9}"/>
  </hyperlinks>
  <pageMargins left="0.7" right="0.7" top="0.75" bottom="0.75" header="0.3" footer="0.3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9"/>
  <sheetViews>
    <sheetView workbookViewId="0">
      <selection activeCell="M7" sqref="M7"/>
    </sheetView>
  </sheetViews>
  <sheetFormatPr baseColWidth="10" defaultRowHeight="15"/>
  <cols>
    <col min="3" max="3" width="19.5" customWidth="1"/>
    <col min="5" max="5" width="15.33203125" customWidth="1"/>
    <col min="6" max="6" width="39.33203125" bestFit="1" customWidth="1"/>
    <col min="7" max="7" width="16.83203125" customWidth="1"/>
    <col min="10" max="10" width="15.6640625" customWidth="1"/>
    <col min="11" max="11" width="18.6640625" customWidth="1"/>
    <col min="12" max="12" width="27.6640625" customWidth="1"/>
    <col min="13" max="13" width="20.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95" t="s">
        <v>51</v>
      </c>
      <c r="D4" s="96"/>
      <c r="E4" s="96"/>
      <c r="F4" s="5"/>
      <c r="G4" s="96"/>
      <c r="H4" s="96"/>
      <c r="I4" s="96"/>
      <c r="J4" s="96"/>
      <c r="K4" s="96"/>
      <c r="L4" s="96"/>
      <c r="M4" s="96"/>
      <c r="N4" s="96"/>
      <c r="O4" s="96"/>
      <c r="P4" s="5"/>
    </row>
    <row r="5" spans="1:22" ht="16" thickBot="1">
      <c r="A5" s="5"/>
      <c r="B5" s="96"/>
      <c r="C5" s="97" t="s">
        <v>1</v>
      </c>
      <c r="D5" s="97"/>
      <c r="E5" s="97"/>
      <c r="F5" s="5"/>
      <c r="J5" t="s">
        <v>62</v>
      </c>
      <c r="K5" s="5"/>
      <c r="L5" s="104" t="s">
        <v>88</v>
      </c>
      <c r="P5" s="5"/>
    </row>
    <row r="6" spans="1:22" s="23" customFormat="1" ht="58.5" customHeight="1">
      <c r="A6" s="98"/>
      <c r="B6" s="99" t="s">
        <v>52</v>
      </c>
      <c r="C6" s="100" t="s">
        <v>53</v>
      </c>
      <c r="D6" s="100" t="s">
        <v>4</v>
      </c>
      <c r="E6" s="101" t="s">
        <v>54</v>
      </c>
      <c r="F6" s="100" t="s">
        <v>55</v>
      </c>
      <c r="G6" s="100" t="s">
        <v>56</v>
      </c>
      <c r="H6" s="99" t="s">
        <v>8</v>
      </c>
      <c r="I6" s="100" t="s">
        <v>57</v>
      </c>
      <c r="J6" s="100" t="s">
        <v>58</v>
      </c>
      <c r="K6" s="100" t="s">
        <v>59</v>
      </c>
      <c r="L6" s="100" t="s">
        <v>12</v>
      </c>
      <c r="M6" s="102" t="s">
        <v>60</v>
      </c>
      <c r="N6" s="100" t="s">
        <v>14</v>
      </c>
      <c r="O6" s="103" t="s">
        <v>15</v>
      </c>
      <c r="P6" s="100" t="s">
        <v>61</v>
      </c>
      <c r="Q6" s="102"/>
      <c r="R6" s="102"/>
    </row>
    <row r="7" spans="1:22" s="29" customFormat="1" ht="24" customHeight="1">
      <c r="A7" s="24">
        <v>1</v>
      </c>
      <c r="B7" s="203"/>
      <c r="C7" s="204" t="s">
        <v>312</v>
      </c>
      <c r="D7" s="204"/>
      <c r="E7" s="205" t="s">
        <v>530</v>
      </c>
      <c r="F7" s="206" t="s">
        <v>531</v>
      </c>
      <c r="G7" s="206" t="s">
        <v>532</v>
      </c>
      <c r="H7" s="207" t="s">
        <v>42</v>
      </c>
      <c r="I7" s="204" t="s">
        <v>76</v>
      </c>
      <c r="J7" s="208" t="s">
        <v>77</v>
      </c>
      <c r="K7" s="206">
        <v>45639</v>
      </c>
      <c r="L7" s="206" t="s">
        <v>312</v>
      </c>
      <c r="M7" s="209" t="s">
        <v>229</v>
      </c>
      <c r="N7" s="205" t="s">
        <v>591</v>
      </c>
      <c r="O7" s="210">
        <v>15</v>
      </c>
      <c r="P7" s="204" t="s">
        <v>82</v>
      </c>
      <c r="Q7" s="204"/>
      <c r="R7" s="211"/>
      <c r="S7" s="25"/>
      <c r="T7" s="26"/>
      <c r="U7" s="27"/>
      <c r="V7" s="28"/>
    </row>
    <row r="9" spans="1:22">
      <c r="K9">
        <v>1</v>
      </c>
      <c r="L9" t="s">
        <v>652</v>
      </c>
      <c r="M9">
        <v>15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J11" sqref="J11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05"/>
      <c r="B1" s="106" t="s">
        <v>63</v>
      </c>
      <c r="C1" s="107"/>
      <c r="D1" s="106"/>
      <c r="E1" s="108"/>
      <c r="F1" s="108"/>
      <c r="G1" s="109"/>
      <c r="H1" s="109"/>
      <c r="I1" s="109"/>
      <c r="J1" s="109"/>
      <c r="K1" s="109"/>
      <c r="L1" s="109"/>
      <c r="M1" s="110"/>
      <c r="N1" s="109"/>
      <c r="O1" s="109"/>
      <c r="P1" s="109"/>
    </row>
    <row r="2" spans="1:21">
      <c r="A2" s="105"/>
      <c r="B2" s="111" t="s">
        <v>83</v>
      </c>
      <c r="C2" s="112"/>
      <c r="D2" s="108"/>
      <c r="E2" s="108"/>
      <c r="F2" s="108"/>
      <c r="G2" s="109"/>
      <c r="H2" s="109"/>
      <c r="I2" s="109"/>
      <c r="J2" s="109"/>
      <c r="K2" s="109"/>
      <c r="L2" s="109"/>
      <c r="M2" s="110"/>
      <c r="N2" s="109"/>
      <c r="O2" s="109"/>
      <c r="P2" s="109"/>
    </row>
    <row r="3" spans="1:21">
      <c r="A3" s="105"/>
      <c r="B3" s="113"/>
      <c r="C3" s="114"/>
      <c r="D3" s="113"/>
      <c r="E3" s="113"/>
      <c r="F3" s="113"/>
      <c r="G3" s="113"/>
      <c r="H3" s="113"/>
      <c r="I3" s="115"/>
      <c r="J3" s="113"/>
      <c r="K3" s="108"/>
      <c r="L3" s="108"/>
      <c r="M3" s="116"/>
      <c r="N3" s="109"/>
      <c r="O3" s="109"/>
      <c r="P3" s="113"/>
    </row>
    <row r="4" spans="1:21">
      <c r="A4" s="105"/>
      <c r="B4" s="109"/>
      <c r="C4" s="114" t="s">
        <v>0</v>
      </c>
      <c r="D4" s="109"/>
      <c r="E4" s="117"/>
      <c r="F4" s="109"/>
      <c r="G4" s="118"/>
      <c r="H4" s="109"/>
      <c r="I4" s="109"/>
      <c r="J4" s="109"/>
      <c r="K4" s="108"/>
      <c r="L4" s="112"/>
      <c r="M4" s="110"/>
      <c r="N4" s="109"/>
      <c r="O4" s="109"/>
      <c r="P4" s="109"/>
    </row>
    <row r="5" spans="1:21">
      <c r="A5" s="105"/>
      <c r="B5" s="109"/>
      <c r="C5" s="119" t="s">
        <v>1</v>
      </c>
      <c r="D5" s="119" t="s">
        <v>1</v>
      </c>
      <c r="E5" s="109"/>
      <c r="G5" s="109"/>
      <c r="H5" s="109"/>
      <c r="I5" s="109"/>
      <c r="J5" s="109" t="s">
        <v>73</v>
      </c>
      <c r="K5" s="109"/>
      <c r="L5" s="109"/>
      <c r="M5" s="109" t="s">
        <v>89</v>
      </c>
    </row>
    <row r="6" spans="1:21" ht="37">
      <c r="A6" s="105"/>
      <c r="B6" s="120" t="s">
        <v>2</v>
      </c>
      <c r="C6" s="120" t="s">
        <v>3</v>
      </c>
      <c r="D6" s="120" t="s">
        <v>4</v>
      </c>
      <c r="E6" s="120" t="s">
        <v>5</v>
      </c>
      <c r="F6" s="121" t="s">
        <v>6</v>
      </c>
      <c r="G6" s="120" t="s">
        <v>7</v>
      </c>
      <c r="H6" s="120" t="s">
        <v>8</v>
      </c>
      <c r="I6" s="120" t="s">
        <v>9</v>
      </c>
      <c r="J6" s="120" t="s">
        <v>10</v>
      </c>
      <c r="K6" s="120" t="s">
        <v>11</v>
      </c>
      <c r="L6" s="120" t="s">
        <v>65</v>
      </c>
      <c r="M6" s="122" t="s">
        <v>66</v>
      </c>
      <c r="N6" s="120" t="s">
        <v>67</v>
      </c>
      <c r="O6" s="120" t="s">
        <v>64</v>
      </c>
      <c r="P6" s="120" t="s">
        <v>68</v>
      </c>
      <c r="Q6" s="120" t="s">
        <v>69</v>
      </c>
      <c r="R6" s="120" t="s">
        <v>70</v>
      </c>
      <c r="S6" s="120" t="s">
        <v>71</v>
      </c>
      <c r="T6" s="122" t="s">
        <v>72</v>
      </c>
      <c r="U6" s="120" t="s">
        <v>13</v>
      </c>
    </row>
    <row r="7" spans="1:21" s="30" customFormat="1" ht="24" customHeight="1">
      <c r="A7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6"/>
      <c r="O7" s="165"/>
      <c r="P7" s="165"/>
      <c r="Q7" s="165"/>
      <c r="R7" s="165"/>
      <c r="S7" s="165"/>
      <c r="T7" s="165"/>
      <c r="U7" s="165"/>
    </row>
    <row r="8" spans="1:21" s="30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30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0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0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0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0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0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0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0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0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0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0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0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0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0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0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0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0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0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0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0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0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0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0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0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0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0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0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0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0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0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0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0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0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0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7"/>
  <sheetViews>
    <sheetView topLeftCell="A3" zoomScale="148" zoomScaleNormal="148" workbookViewId="0">
      <selection activeCell="A18" sqref="A18:XFD18"/>
    </sheetView>
  </sheetViews>
  <sheetFormatPr baseColWidth="10" defaultRowHeight="15"/>
  <cols>
    <col min="1" max="1" width="3.1640625" customWidth="1"/>
    <col min="2" max="2" width="7.33203125" customWidth="1"/>
    <col min="3" max="3" width="10.33203125" customWidth="1"/>
    <col min="4" max="4" width="14" customWidth="1"/>
    <col min="5" max="5" width="1.6640625" customWidth="1"/>
    <col min="6" max="6" width="15" customWidth="1"/>
    <col min="7" max="7" width="9" customWidth="1"/>
    <col min="8" max="8" width="20.33203125" customWidth="1"/>
    <col min="9" max="9" width="10.33203125" customWidth="1"/>
    <col min="10" max="10" width="5" customWidth="1"/>
    <col min="11" max="11" width="6.6640625" customWidth="1"/>
    <col min="12" max="12" width="7.33203125" customWidth="1"/>
    <col min="13" max="13" width="28.1640625" customWidth="1"/>
    <col min="14" max="14" width="24.5" customWidth="1"/>
    <col min="15" max="15" width="9.6640625" customWidth="1"/>
    <col min="16" max="16" width="5.33203125" customWidth="1"/>
    <col min="18" max="18" width="8" customWidth="1"/>
    <col min="19" max="19" width="3.83203125" customWidth="1"/>
    <col min="20" max="20" width="14" customWidth="1"/>
    <col min="22" max="22" width="30.1640625" customWidth="1"/>
  </cols>
  <sheetData>
    <row r="1" spans="1:22" ht="16">
      <c r="E1" t="s">
        <v>313</v>
      </c>
      <c r="H1" s="149"/>
    </row>
    <row r="2" spans="1:22">
      <c r="B2" s="128"/>
      <c r="C2" s="129" t="s">
        <v>0</v>
      </c>
      <c r="G2" s="130"/>
      <c r="H2" s="131"/>
      <c r="I2" s="132"/>
      <c r="J2" s="133"/>
      <c r="K2" s="134"/>
      <c r="L2" s="135"/>
      <c r="M2" s="136"/>
      <c r="N2" s="136"/>
      <c r="O2" s="128"/>
      <c r="P2" s="137"/>
      <c r="U2" s="138"/>
    </row>
    <row r="3" spans="1:22">
      <c r="B3" s="128"/>
      <c r="C3" s="139" t="s">
        <v>1</v>
      </c>
      <c r="G3" s="140"/>
      <c r="H3" s="131"/>
      <c r="I3" s="132"/>
      <c r="J3" s="133"/>
      <c r="K3" s="134" t="s">
        <v>80</v>
      </c>
      <c r="L3" s="135"/>
      <c r="M3" s="136"/>
      <c r="N3" s="141"/>
      <c r="O3" s="142" t="s">
        <v>94</v>
      </c>
      <c r="P3" s="137"/>
      <c r="Q3" s="143"/>
      <c r="U3" s="138"/>
    </row>
    <row r="4" spans="1:22" ht="24" customHeight="1">
      <c r="B4" s="144" t="s">
        <v>11</v>
      </c>
      <c r="C4" s="144" t="s">
        <v>2</v>
      </c>
      <c r="D4" s="144" t="s">
        <v>3</v>
      </c>
      <c r="E4" s="144"/>
      <c r="F4" s="144" t="s">
        <v>4</v>
      </c>
      <c r="G4" s="144" t="s">
        <v>5</v>
      </c>
      <c r="H4" s="144" t="s">
        <v>6</v>
      </c>
      <c r="I4" s="144" t="s">
        <v>7</v>
      </c>
      <c r="J4" s="144" t="s">
        <v>8</v>
      </c>
      <c r="K4" s="144" t="s">
        <v>9</v>
      </c>
      <c r="L4" s="144" t="s">
        <v>10</v>
      </c>
      <c r="M4" s="145" t="s">
        <v>12</v>
      </c>
      <c r="N4" s="145" t="s">
        <v>13</v>
      </c>
      <c r="O4" s="144" t="s">
        <v>14</v>
      </c>
      <c r="P4" s="146" t="s">
        <v>15</v>
      </c>
      <c r="Q4" s="144" t="s">
        <v>16</v>
      </c>
      <c r="R4" s="144" t="s">
        <v>17</v>
      </c>
      <c r="S4" s="147" t="s">
        <v>18</v>
      </c>
      <c r="T4" s="144" t="s">
        <v>19</v>
      </c>
      <c r="U4" s="144" t="s">
        <v>20</v>
      </c>
      <c r="V4" s="148" t="s">
        <v>21</v>
      </c>
    </row>
    <row r="5" spans="1:22">
      <c r="A5">
        <v>1</v>
      </c>
      <c r="B5" s="187">
        <v>45617</v>
      </c>
      <c r="C5" s="187">
        <v>45598</v>
      </c>
      <c r="D5" s="187" t="s">
        <v>314</v>
      </c>
      <c r="E5" s="187"/>
      <c r="F5" s="187" t="s">
        <v>361</v>
      </c>
      <c r="G5" s="188" t="s">
        <v>315</v>
      </c>
      <c r="H5" s="187" t="s">
        <v>316</v>
      </c>
      <c r="I5" s="187" t="s">
        <v>317</v>
      </c>
      <c r="J5" s="188" t="s">
        <v>42</v>
      </c>
      <c r="K5" s="187" t="s">
        <v>76</v>
      </c>
      <c r="L5" s="187" t="s">
        <v>77</v>
      </c>
      <c r="M5" s="187" t="s">
        <v>318</v>
      </c>
      <c r="N5" s="187" t="s">
        <v>319</v>
      </c>
      <c r="O5" s="188" t="s">
        <v>320</v>
      </c>
      <c r="P5" s="212">
        <v>25</v>
      </c>
      <c r="Q5" s="187" t="s">
        <v>81</v>
      </c>
      <c r="R5" s="187" t="s">
        <v>76</v>
      </c>
      <c r="S5" s="187"/>
      <c r="T5" s="187" t="s">
        <v>361</v>
      </c>
      <c r="U5" s="213" t="s">
        <v>328</v>
      </c>
      <c r="V5" s="214" t="s">
        <v>321</v>
      </c>
    </row>
    <row r="6" spans="1:22">
      <c r="B6" s="187">
        <v>45622</v>
      </c>
      <c r="C6" s="187">
        <v>45621</v>
      </c>
      <c r="D6" s="187" t="s">
        <v>312</v>
      </c>
      <c r="E6" s="187"/>
      <c r="F6" s="187" t="s">
        <v>322</v>
      </c>
      <c r="G6" s="188" t="s">
        <v>323</v>
      </c>
      <c r="H6" s="187" t="s">
        <v>324</v>
      </c>
      <c r="I6" s="187" t="s">
        <v>325</v>
      </c>
      <c r="J6" s="188" t="s">
        <v>42</v>
      </c>
      <c r="K6" s="187" t="s">
        <v>76</v>
      </c>
      <c r="L6" s="187" t="s">
        <v>77</v>
      </c>
      <c r="M6" s="187" t="s">
        <v>326</v>
      </c>
      <c r="N6" s="187" t="s">
        <v>330</v>
      </c>
      <c r="O6" s="188" t="s">
        <v>329</v>
      </c>
      <c r="P6" s="212">
        <v>15</v>
      </c>
      <c r="Q6" s="187" t="s">
        <v>81</v>
      </c>
      <c r="R6" s="187" t="s">
        <v>76</v>
      </c>
      <c r="S6" s="187"/>
      <c r="T6" s="187" t="s">
        <v>322</v>
      </c>
      <c r="U6" s="213" t="s">
        <v>327</v>
      </c>
      <c r="V6" s="214" t="s">
        <v>331</v>
      </c>
    </row>
    <row r="7" spans="1:22">
      <c r="B7" s="187">
        <v>45628</v>
      </c>
      <c r="C7" s="187">
        <v>45609</v>
      </c>
      <c r="D7" s="187" t="s">
        <v>587</v>
      </c>
      <c r="E7" s="187"/>
      <c r="F7" s="187" t="s">
        <v>332</v>
      </c>
      <c r="G7" s="188" t="s">
        <v>333</v>
      </c>
      <c r="H7" s="187" t="s">
        <v>398</v>
      </c>
      <c r="I7" s="187" t="s">
        <v>334</v>
      </c>
      <c r="J7" s="188" t="s">
        <v>42</v>
      </c>
      <c r="K7" s="187" t="s">
        <v>76</v>
      </c>
      <c r="L7" s="187" t="s">
        <v>77</v>
      </c>
      <c r="M7" s="187" t="s">
        <v>335</v>
      </c>
      <c r="N7" s="187" t="s">
        <v>336</v>
      </c>
      <c r="O7" s="188" t="s">
        <v>337</v>
      </c>
      <c r="P7" s="212">
        <v>15</v>
      </c>
      <c r="Q7" s="187" t="s">
        <v>81</v>
      </c>
      <c r="R7" s="187" t="s">
        <v>76</v>
      </c>
      <c r="S7" s="187"/>
      <c r="T7" s="187" t="s">
        <v>332</v>
      </c>
      <c r="U7" s="213" t="s">
        <v>338</v>
      </c>
      <c r="V7" s="214" t="s">
        <v>339</v>
      </c>
    </row>
    <row r="8" spans="1:22">
      <c r="B8" s="187">
        <v>45624</v>
      </c>
      <c r="C8" s="187">
        <v>45626</v>
      </c>
      <c r="D8" s="187" t="s">
        <v>587</v>
      </c>
      <c r="E8" s="187"/>
      <c r="F8" s="187" t="s">
        <v>588</v>
      </c>
      <c r="G8" s="188" t="s">
        <v>413</v>
      </c>
      <c r="H8" s="187" t="s">
        <v>414</v>
      </c>
      <c r="I8" s="187" t="s">
        <v>415</v>
      </c>
      <c r="J8" s="188" t="s">
        <v>42</v>
      </c>
      <c r="K8" s="187" t="s">
        <v>76</v>
      </c>
      <c r="L8" s="187" t="s">
        <v>77</v>
      </c>
      <c r="M8" s="187" t="s">
        <v>416</v>
      </c>
      <c r="N8" s="187" t="s">
        <v>417</v>
      </c>
      <c r="O8" s="188" t="s">
        <v>418</v>
      </c>
      <c r="P8" s="212">
        <v>29</v>
      </c>
      <c r="Q8" s="187" t="s">
        <v>81</v>
      </c>
      <c r="R8" s="187" t="s">
        <v>76</v>
      </c>
      <c r="S8" s="187"/>
      <c r="T8" s="187" t="s">
        <v>588</v>
      </c>
      <c r="U8" s="213" t="s">
        <v>419</v>
      </c>
      <c r="V8" s="214" t="s">
        <v>420</v>
      </c>
    </row>
    <row r="9" spans="1:22">
      <c r="B9" s="187">
        <v>45629</v>
      </c>
      <c r="C9" s="187">
        <v>45622</v>
      </c>
      <c r="D9" s="187" t="s">
        <v>340</v>
      </c>
      <c r="E9" s="187"/>
      <c r="F9" s="187" t="s">
        <v>341</v>
      </c>
      <c r="G9" s="188" t="s">
        <v>342</v>
      </c>
      <c r="H9" s="187" t="s">
        <v>343</v>
      </c>
      <c r="I9" s="187" t="s">
        <v>344</v>
      </c>
      <c r="J9" s="188" t="s">
        <v>42</v>
      </c>
      <c r="K9" s="187" t="s">
        <v>76</v>
      </c>
      <c r="L9" s="187" t="s">
        <v>77</v>
      </c>
      <c r="M9" s="187" t="s">
        <v>345</v>
      </c>
      <c r="N9" s="187" t="s">
        <v>346</v>
      </c>
      <c r="O9" s="188" t="s">
        <v>347</v>
      </c>
      <c r="P9" s="212">
        <v>29</v>
      </c>
      <c r="Q9" s="187" t="s">
        <v>81</v>
      </c>
      <c r="R9" s="187" t="s">
        <v>76</v>
      </c>
      <c r="S9" s="187"/>
      <c r="T9" s="187" t="s">
        <v>341</v>
      </c>
      <c r="U9" s="213" t="s">
        <v>348</v>
      </c>
      <c r="V9" s="214" t="s">
        <v>349</v>
      </c>
    </row>
    <row r="10" spans="1:22">
      <c r="B10" s="187">
        <v>45629</v>
      </c>
      <c r="C10" s="187">
        <v>45625</v>
      </c>
      <c r="D10" s="187" t="s">
        <v>340</v>
      </c>
      <c r="E10" s="187"/>
      <c r="F10" s="187" t="s">
        <v>421</v>
      </c>
      <c r="G10" s="188" t="s">
        <v>397</v>
      </c>
      <c r="H10" s="187" t="s">
        <v>422</v>
      </c>
      <c r="I10" s="187" t="s">
        <v>423</v>
      </c>
      <c r="J10" s="188" t="s">
        <v>42</v>
      </c>
      <c r="K10" s="187" t="s">
        <v>76</v>
      </c>
      <c r="L10" s="187" t="s">
        <v>77</v>
      </c>
      <c r="M10" s="187" t="s">
        <v>424</v>
      </c>
      <c r="N10" s="187" t="s">
        <v>346</v>
      </c>
      <c r="O10" s="188" t="s">
        <v>425</v>
      </c>
      <c r="P10" s="212">
        <v>15</v>
      </c>
      <c r="Q10" s="187" t="s">
        <v>81</v>
      </c>
      <c r="R10" s="187" t="s">
        <v>76</v>
      </c>
      <c r="S10" s="187"/>
      <c r="T10" s="187" t="s">
        <v>421</v>
      </c>
      <c r="U10" s="213" t="s">
        <v>426</v>
      </c>
      <c r="V10" s="214" t="s">
        <v>427</v>
      </c>
    </row>
    <row r="11" spans="1:22">
      <c r="B11" s="187">
        <v>45629</v>
      </c>
      <c r="C11" s="187">
        <v>45625</v>
      </c>
      <c r="D11" s="187" t="s">
        <v>350</v>
      </c>
      <c r="E11" s="187"/>
      <c r="F11" s="187" t="s">
        <v>351</v>
      </c>
      <c r="G11" s="188" t="s">
        <v>352</v>
      </c>
      <c r="H11" s="187" t="s">
        <v>353</v>
      </c>
      <c r="I11" s="187" t="s">
        <v>354</v>
      </c>
      <c r="J11" s="188" t="s">
        <v>42</v>
      </c>
      <c r="K11" s="187" t="s">
        <v>76</v>
      </c>
      <c r="L11" s="187" t="s">
        <v>77</v>
      </c>
      <c r="M11" s="187" t="s">
        <v>355</v>
      </c>
      <c r="N11" s="187" t="s">
        <v>356</v>
      </c>
      <c r="O11" s="188" t="s">
        <v>357</v>
      </c>
      <c r="P11" s="212">
        <v>29</v>
      </c>
      <c r="Q11" s="187" t="s">
        <v>81</v>
      </c>
      <c r="R11" s="187" t="s">
        <v>76</v>
      </c>
      <c r="S11" s="187"/>
      <c r="T11" s="187" t="s">
        <v>351</v>
      </c>
      <c r="U11" s="213" t="s">
        <v>358</v>
      </c>
      <c r="V11" s="214" t="s">
        <v>359</v>
      </c>
    </row>
    <row r="12" spans="1:22">
      <c r="B12" s="187">
        <v>45630</v>
      </c>
      <c r="C12" s="187">
        <v>45624</v>
      </c>
      <c r="D12" s="187" t="s">
        <v>428</v>
      </c>
      <c r="E12" s="187"/>
      <c r="F12" s="187" t="s">
        <v>429</v>
      </c>
      <c r="G12" s="188" t="s">
        <v>430</v>
      </c>
      <c r="H12" s="187" t="s">
        <v>431</v>
      </c>
      <c r="I12" s="187" t="s">
        <v>432</v>
      </c>
      <c r="J12" s="188" t="s">
        <v>42</v>
      </c>
      <c r="K12" s="187" t="s">
        <v>76</v>
      </c>
      <c r="L12" s="187" t="s">
        <v>77</v>
      </c>
      <c r="M12" s="187" t="s">
        <v>433</v>
      </c>
      <c r="N12" s="187" t="s">
        <v>434</v>
      </c>
      <c r="O12" s="188" t="s">
        <v>435</v>
      </c>
      <c r="P12" s="212">
        <v>29</v>
      </c>
      <c r="Q12" s="187" t="s">
        <v>81</v>
      </c>
      <c r="R12" s="187" t="s">
        <v>76</v>
      </c>
      <c r="S12" s="187"/>
      <c r="T12" s="187" t="s">
        <v>429</v>
      </c>
      <c r="U12" s="213" t="s">
        <v>436</v>
      </c>
      <c r="V12" s="214" t="s">
        <v>437</v>
      </c>
    </row>
    <row r="13" spans="1:22">
      <c r="B13" s="187">
        <v>45631</v>
      </c>
      <c r="C13" s="187">
        <v>45625</v>
      </c>
      <c r="D13" s="187" t="s">
        <v>312</v>
      </c>
      <c r="E13" s="187"/>
      <c r="F13" s="187" t="s">
        <v>360</v>
      </c>
      <c r="G13" s="188" t="s">
        <v>362</v>
      </c>
      <c r="H13" s="187" t="s">
        <v>363</v>
      </c>
      <c r="I13" s="187" t="s">
        <v>364</v>
      </c>
      <c r="J13" s="188" t="s">
        <v>42</v>
      </c>
      <c r="K13" s="187" t="s">
        <v>76</v>
      </c>
      <c r="L13" s="187" t="s">
        <v>77</v>
      </c>
      <c r="M13" s="187" t="s">
        <v>365</v>
      </c>
      <c r="N13" s="187" t="s">
        <v>366</v>
      </c>
      <c r="O13" s="188" t="s">
        <v>367</v>
      </c>
      <c r="P13" s="212">
        <v>29</v>
      </c>
      <c r="Q13" s="187" t="s">
        <v>81</v>
      </c>
      <c r="R13" s="187" t="s">
        <v>76</v>
      </c>
      <c r="S13" s="187"/>
      <c r="T13" s="187" t="s">
        <v>360</v>
      </c>
      <c r="U13" s="213" t="s">
        <v>368</v>
      </c>
      <c r="V13" s="214" t="s">
        <v>369</v>
      </c>
    </row>
    <row r="14" spans="1:22">
      <c r="B14" s="187">
        <v>45632</v>
      </c>
      <c r="C14" s="187">
        <v>45631</v>
      </c>
      <c r="D14" s="187" t="s">
        <v>372</v>
      </c>
      <c r="E14" s="187"/>
      <c r="F14" s="187" t="s">
        <v>371</v>
      </c>
      <c r="G14" s="188" t="s">
        <v>373</v>
      </c>
      <c r="H14" s="187" t="s">
        <v>374</v>
      </c>
      <c r="I14" s="187" t="s">
        <v>375</v>
      </c>
      <c r="J14" s="188" t="s">
        <v>42</v>
      </c>
      <c r="K14" s="187" t="s">
        <v>76</v>
      </c>
      <c r="L14" s="187" t="s">
        <v>77</v>
      </c>
      <c r="M14" s="187" t="s">
        <v>370</v>
      </c>
      <c r="N14" s="187" t="s">
        <v>376</v>
      </c>
      <c r="O14" s="188" t="s">
        <v>377</v>
      </c>
      <c r="P14" s="212">
        <v>29</v>
      </c>
      <c r="Q14" s="187" t="s">
        <v>81</v>
      </c>
      <c r="R14" s="187" t="s">
        <v>76</v>
      </c>
      <c r="S14" s="187"/>
      <c r="T14" s="187" t="s">
        <v>371</v>
      </c>
      <c r="U14" s="213" t="s">
        <v>378</v>
      </c>
      <c r="V14" s="214" t="s">
        <v>379</v>
      </c>
    </row>
    <row r="15" spans="1:22">
      <c r="B15" s="187">
        <v>45631</v>
      </c>
      <c r="C15" s="187">
        <v>45630</v>
      </c>
      <c r="D15" s="187" t="s">
        <v>312</v>
      </c>
      <c r="E15" s="187"/>
      <c r="F15" s="187" t="s">
        <v>439</v>
      </c>
      <c r="G15" s="188" t="s">
        <v>440</v>
      </c>
      <c r="H15" s="187" t="s">
        <v>441</v>
      </c>
      <c r="I15" s="187" t="s">
        <v>442</v>
      </c>
      <c r="J15" s="188" t="s">
        <v>42</v>
      </c>
      <c r="K15" s="187" t="s">
        <v>76</v>
      </c>
      <c r="L15" s="187" t="s">
        <v>77</v>
      </c>
      <c r="M15" s="187" t="s">
        <v>438</v>
      </c>
      <c r="N15" s="187" t="s">
        <v>443</v>
      </c>
      <c r="O15" s="188" t="s">
        <v>444</v>
      </c>
      <c r="P15" s="212">
        <v>15</v>
      </c>
      <c r="Q15" s="187" t="s">
        <v>81</v>
      </c>
      <c r="R15" s="187" t="s">
        <v>76</v>
      </c>
      <c r="S15" s="187"/>
      <c r="T15" s="187" t="s">
        <v>439</v>
      </c>
      <c r="U15" s="213" t="s">
        <v>445</v>
      </c>
      <c r="V15" s="214" t="s">
        <v>446</v>
      </c>
    </row>
    <row r="16" spans="1:22">
      <c r="B16" s="187">
        <v>45632</v>
      </c>
      <c r="C16" s="187">
        <v>45598</v>
      </c>
      <c r="D16" s="187" t="s">
        <v>587</v>
      </c>
      <c r="E16" s="187"/>
      <c r="F16" s="187" t="s">
        <v>589</v>
      </c>
      <c r="G16" s="188" t="s">
        <v>380</v>
      </c>
      <c r="H16" s="187" t="s">
        <v>381</v>
      </c>
      <c r="I16" s="187" t="s">
        <v>382</v>
      </c>
      <c r="J16" s="188" t="s">
        <v>42</v>
      </c>
      <c r="K16" s="187" t="s">
        <v>76</v>
      </c>
      <c r="L16" s="187" t="s">
        <v>77</v>
      </c>
      <c r="M16" s="187" t="s">
        <v>383</v>
      </c>
      <c r="N16" s="187" t="s">
        <v>384</v>
      </c>
      <c r="O16" s="188" t="s">
        <v>385</v>
      </c>
      <c r="P16" s="212">
        <v>29</v>
      </c>
      <c r="Q16" s="187" t="s">
        <v>81</v>
      </c>
      <c r="R16" s="187" t="s">
        <v>76</v>
      </c>
      <c r="S16" s="187"/>
      <c r="T16" s="187" t="s">
        <v>589</v>
      </c>
      <c r="U16" s="213" t="s">
        <v>386</v>
      </c>
      <c r="V16" s="214" t="s">
        <v>387</v>
      </c>
    </row>
    <row r="17" spans="2:22">
      <c r="B17" s="187">
        <v>45635</v>
      </c>
      <c r="C17" s="187">
        <v>45591</v>
      </c>
      <c r="D17" s="187" t="s">
        <v>312</v>
      </c>
      <c r="E17" s="187"/>
      <c r="F17" s="187" t="s">
        <v>388</v>
      </c>
      <c r="G17" s="188" t="s">
        <v>389</v>
      </c>
      <c r="H17" s="187" t="s">
        <v>390</v>
      </c>
      <c r="I17" s="187" t="s">
        <v>180</v>
      </c>
      <c r="J17" s="188" t="s">
        <v>42</v>
      </c>
      <c r="K17" s="187" t="s">
        <v>76</v>
      </c>
      <c r="L17" s="187" t="s">
        <v>77</v>
      </c>
      <c r="M17" s="187" t="s">
        <v>391</v>
      </c>
      <c r="N17" s="187" t="s">
        <v>392</v>
      </c>
      <c r="O17" s="188" t="s">
        <v>393</v>
      </c>
      <c r="P17" s="212">
        <v>29</v>
      </c>
      <c r="Q17" s="187" t="s">
        <v>81</v>
      </c>
      <c r="R17" s="187" t="s">
        <v>76</v>
      </c>
      <c r="S17" s="187"/>
      <c r="T17" s="187" t="s">
        <v>388</v>
      </c>
      <c r="U17" s="213" t="s">
        <v>394</v>
      </c>
      <c r="V17" s="214" t="s">
        <v>395</v>
      </c>
    </row>
    <row r="18" spans="2:22">
      <c r="B18" s="187">
        <v>45635</v>
      </c>
      <c r="C18" s="187"/>
      <c r="D18" s="187" t="s">
        <v>314</v>
      </c>
      <c r="E18" s="187"/>
      <c r="F18" s="187" t="s">
        <v>396</v>
      </c>
      <c r="G18" s="188" t="s">
        <v>397</v>
      </c>
      <c r="H18" s="187" t="s">
        <v>398</v>
      </c>
      <c r="I18" s="187" t="s">
        <v>399</v>
      </c>
      <c r="J18" s="188" t="s">
        <v>42</v>
      </c>
      <c r="K18" s="187" t="s">
        <v>76</v>
      </c>
      <c r="L18" s="187" t="s">
        <v>77</v>
      </c>
      <c r="M18" s="187" t="s">
        <v>400</v>
      </c>
      <c r="N18" s="187" t="s">
        <v>401</v>
      </c>
      <c r="O18" s="188" t="s">
        <v>402</v>
      </c>
      <c r="P18" s="212">
        <v>15</v>
      </c>
      <c r="Q18" s="187" t="s">
        <v>81</v>
      </c>
      <c r="R18" s="187" t="s">
        <v>76</v>
      </c>
      <c r="S18" s="187"/>
      <c r="T18" s="187" t="s">
        <v>396</v>
      </c>
      <c r="U18" s="213" t="s">
        <v>403</v>
      </c>
      <c r="V18" s="214" t="s">
        <v>404</v>
      </c>
    </row>
    <row r="19" spans="2:22">
      <c r="B19" s="187">
        <v>45635</v>
      </c>
      <c r="C19" s="187">
        <v>45627</v>
      </c>
      <c r="D19" s="187" t="s">
        <v>350</v>
      </c>
      <c r="E19" s="187"/>
      <c r="F19" s="187" t="s">
        <v>585</v>
      </c>
      <c r="G19" s="188" t="s">
        <v>501</v>
      </c>
      <c r="H19" s="187" t="s">
        <v>502</v>
      </c>
      <c r="I19" s="187" t="s">
        <v>503</v>
      </c>
      <c r="J19" s="188" t="s">
        <v>42</v>
      </c>
      <c r="K19" s="187" t="s">
        <v>76</v>
      </c>
      <c r="L19" s="187" t="s">
        <v>77</v>
      </c>
      <c r="M19" s="187" t="s">
        <v>584</v>
      </c>
      <c r="N19" s="187" t="s">
        <v>504</v>
      </c>
      <c r="O19" s="188" t="s">
        <v>505</v>
      </c>
      <c r="P19" s="212">
        <v>25</v>
      </c>
      <c r="Q19" s="187" t="s">
        <v>81</v>
      </c>
      <c r="R19" s="187" t="s">
        <v>76</v>
      </c>
      <c r="S19" s="187"/>
      <c r="T19" s="187" t="s">
        <v>585</v>
      </c>
      <c r="U19" s="213" t="s">
        <v>506</v>
      </c>
      <c r="V19" s="214" t="s">
        <v>586</v>
      </c>
    </row>
    <row r="20" spans="2:22">
      <c r="B20" s="187">
        <v>45635</v>
      </c>
      <c r="C20" s="187">
        <v>45619</v>
      </c>
      <c r="D20" s="187" t="s">
        <v>350</v>
      </c>
      <c r="E20" s="187"/>
      <c r="F20" s="187" t="s">
        <v>590</v>
      </c>
      <c r="G20" s="188" t="s">
        <v>430</v>
      </c>
      <c r="H20" s="187" t="s">
        <v>507</v>
      </c>
      <c r="I20" s="187" t="s">
        <v>508</v>
      </c>
      <c r="J20" s="188" t="s">
        <v>42</v>
      </c>
      <c r="K20" s="187" t="s">
        <v>76</v>
      </c>
      <c r="L20" s="187" t="s">
        <v>77</v>
      </c>
      <c r="M20" s="187" t="s">
        <v>509</v>
      </c>
      <c r="N20" s="187" t="s">
        <v>510</v>
      </c>
      <c r="O20" s="188" t="s">
        <v>511</v>
      </c>
      <c r="P20" s="212">
        <v>29</v>
      </c>
      <c r="Q20" s="187" t="s">
        <v>81</v>
      </c>
      <c r="R20" s="187" t="s">
        <v>76</v>
      </c>
      <c r="S20" s="187"/>
      <c r="T20" s="187" t="s">
        <v>590</v>
      </c>
      <c r="U20" s="213" t="s">
        <v>512</v>
      </c>
      <c r="V20" s="214" t="s">
        <v>513</v>
      </c>
    </row>
    <row r="21" spans="2:22">
      <c r="B21" s="187">
        <v>45636</v>
      </c>
      <c r="C21" s="187">
        <v>45485</v>
      </c>
      <c r="D21" s="187" t="s">
        <v>312</v>
      </c>
      <c r="E21" s="187"/>
      <c r="F21" s="187" t="s">
        <v>405</v>
      </c>
      <c r="G21" s="188" t="s">
        <v>406</v>
      </c>
      <c r="H21" s="187" t="s">
        <v>398</v>
      </c>
      <c r="I21" s="187" t="s">
        <v>407</v>
      </c>
      <c r="J21" s="188" t="s">
        <v>42</v>
      </c>
      <c r="K21" s="187" t="s">
        <v>76</v>
      </c>
      <c r="L21" s="187" t="s">
        <v>77</v>
      </c>
      <c r="M21" s="187" t="s">
        <v>408</v>
      </c>
      <c r="N21" s="187" t="s">
        <v>409</v>
      </c>
      <c r="O21" s="188" t="s">
        <v>410</v>
      </c>
      <c r="P21" s="212">
        <v>15</v>
      </c>
      <c r="Q21" s="187" t="s">
        <v>81</v>
      </c>
      <c r="R21" s="187" t="s">
        <v>76</v>
      </c>
      <c r="S21" s="187"/>
      <c r="T21" s="187" t="s">
        <v>405</v>
      </c>
      <c r="U21" s="213" t="s">
        <v>411</v>
      </c>
      <c r="V21" s="214" t="s">
        <v>412</v>
      </c>
    </row>
    <row r="22" spans="2:22">
      <c r="B22" s="187">
        <v>45637</v>
      </c>
      <c r="C22" s="187">
        <v>45632</v>
      </c>
      <c r="D22" s="187" t="s">
        <v>312</v>
      </c>
      <c r="E22" s="187"/>
      <c r="F22" s="187" t="s">
        <v>514</v>
      </c>
      <c r="G22" s="188" t="s">
        <v>397</v>
      </c>
      <c r="H22" s="187" t="s">
        <v>422</v>
      </c>
      <c r="I22" s="187" t="s">
        <v>515</v>
      </c>
      <c r="J22" s="188" t="s">
        <v>42</v>
      </c>
      <c r="K22" s="187" t="s">
        <v>76</v>
      </c>
      <c r="L22" s="187" t="s">
        <v>77</v>
      </c>
      <c r="M22" s="187" t="s">
        <v>516</v>
      </c>
      <c r="N22" s="187" t="s">
        <v>517</v>
      </c>
      <c r="O22" s="188" t="s">
        <v>518</v>
      </c>
      <c r="P22" s="212">
        <v>15</v>
      </c>
      <c r="Q22" s="187" t="s">
        <v>81</v>
      </c>
      <c r="R22" s="187" t="s">
        <v>76</v>
      </c>
      <c r="S22" s="187"/>
      <c r="T22" s="187" t="s">
        <v>514</v>
      </c>
      <c r="U22" s="213" t="s">
        <v>519</v>
      </c>
      <c r="V22" s="214" t="s">
        <v>520</v>
      </c>
    </row>
    <row r="23" spans="2:22">
      <c r="B23" s="187">
        <v>45637</v>
      </c>
      <c r="C23" s="187">
        <v>45636</v>
      </c>
      <c r="D23" s="187" t="s">
        <v>312</v>
      </c>
      <c r="E23" s="187"/>
      <c r="F23" s="187" t="s">
        <v>521</v>
      </c>
      <c r="G23" s="188" t="s">
        <v>522</v>
      </c>
      <c r="H23" s="187" t="s">
        <v>523</v>
      </c>
      <c r="I23" s="187" t="s">
        <v>524</v>
      </c>
      <c r="J23" s="188" t="s">
        <v>42</v>
      </c>
      <c r="K23" s="187" t="s">
        <v>76</v>
      </c>
      <c r="L23" s="187" t="s">
        <v>77</v>
      </c>
      <c r="M23" s="187" t="s">
        <v>525</v>
      </c>
      <c r="N23" s="187" t="s">
        <v>526</v>
      </c>
      <c r="O23" s="188" t="s">
        <v>527</v>
      </c>
      <c r="P23" s="212">
        <v>15</v>
      </c>
      <c r="Q23" s="187" t="s">
        <v>81</v>
      </c>
      <c r="R23" s="187" t="s">
        <v>76</v>
      </c>
      <c r="S23" s="187"/>
      <c r="T23" s="187" t="s">
        <v>521</v>
      </c>
      <c r="U23" s="213" t="s">
        <v>528</v>
      </c>
      <c r="V23" s="214" t="s">
        <v>529</v>
      </c>
    </row>
    <row r="24" spans="2:22">
      <c r="B24" s="187">
        <v>45639</v>
      </c>
      <c r="C24" s="187">
        <v>45377</v>
      </c>
      <c r="D24" s="187" t="s">
        <v>312</v>
      </c>
      <c r="E24" s="187"/>
      <c r="F24" s="187" t="s">
        <v>533</v>
      </c>
      <c r="G24" s="188" t="s">
        <v>362</v>
      </c>
      <c r="H24" s="187" t="s">
        <v>534</v>
      </c>
      <c r="I24" s="187" t="s">
        <v>535</v>
      </c>
      <c r="J24" s="188" t="s">
        <v>42</v>
      </c>
      <c r="K24" s="187" t="s">
        <v>76</v>
      </c>
      <c r="L24" s="187" t="s">
        <v>77</v>
      </c>
      <c r="M24" s="187" t="s">
        <v>536</v>
      </c>
      <c r="N24" s="187" t="s">
        <v>537</v>
      </c>
      <c r="O24" s="188" t="s">
        <v>538</v>
      </c>
      <c r="P24" s="212">
        <v>29</v>
      </c>
      <c r="Q24" s="187" t="s">
        <v>81</v>
      </c>
      <c r="R24" s="187" t="s">
        <v>76</v>
      </c>
      <c r="S24" s="187"/>
      <c r="T24" s="187" t="s">
        <v>533</v>
      </c>
      <c r="U24" s="213" t="s">
        <v>539</v>
      </c>
      <c r="V24" s="214" t="s">
        <v>540</v>
      </c>
    </row>
    <row r="25" spans="2:22">
      <c r="B25" s="187">
        <v>45639</v>
      </c>
      <c r="C25" s="187">
        <v>45623</v>
      </c>
      <c r="D25" s="187" t="s">
        <v>340</v>
      </c>
      <c r="E25" s="187"/>
      <c r="F25" s="187" t="s">
        <v>541</v>
      </c>
      <c r="G25" s="188" t="s">
        <v>542</v>
      </c>
      <c r="H25" s="187" t="s">
        <v>543</v>
      </c>
      <c r="I25" s="187" t="s">
        <v>544</v>
      </c>
      <c r="J25" s="188" t="s">
        <v>42</v>
      </c>
      <c r="K25" s="187" t="s">
        <v>76</v>
      </c>
      <c r="L25" s="187" t="s">
        <v>77</v>
      </c>
      <c r="M25" s="187" t="s">
        <v>545</v>
      </c>
      <c r="N25" s="187" t="s">
        <v>546</v>
      </c>
      <c r="O25" s="188" t="s">
        <v>547</v>
      </c>
      <c r="P25" s="212">
        <v>29</v>
      </c>
      <c r="Q25" s="187" t="s">
        <v>81</v>
      </c>
      <c r="R25" s="187" t="s">
        <v>76</v>
      </c>
      <c r="S25" s="187"/>
      <c r="T25" s="187" t="s">
        <v>541</v>
      </c>
      <c r="U25" s="213" t="s">
        <v>548</v>
      </c>
      <c r="V25" s="214" t="s">
        <v>549</v>
      </c>
    </row>
    <row r="26" spans="2:22">
      <c r="B26" s="187">
        <v>45639</v>
      </c>
      <c r="C26" s="187">
        <v>45624</v>
      </c>
      <c r="D26" s="187" t="s">
        <v>587</v>
      </c>
      <c r="E26" s="187"/>
      <c r="F26" s="187" t="s">
        <v>617</v>
      </c>
      <c r="G26" s="188" t="s">
        <v>618</v>
      </c>
      <c r="H26" s="187" t="s">
        <v>619</v>
      </c>
      <c r="I26" s="187" t="s">
        <v>620</v>
      </c>
      <c r="J26" s="188" t="s">
        <v>42</v>
      </c>
      <c r="K26" s="187" t="s">
        <v>76</v>
      </c>
      <c r="L26" s="187" t="s">
        <v>77</v>
      </c>
      <c r="M26" s="187" t="s">
        <v>621</v>
      </c>
      <c r="N26" s="187" t="s">
        <v>622</v>
      </c>
      <c r="O26" s="188" t="s">
        <v>624</v>
      </c>
      <c r="P26" s="212">
        <v>29</v>
      </c>
      <c r="Q26" s="187" t="s">
        <v>81</v>
      </c>
      <c r="R26" s="187" t="s">
        <v>76</v>
      </c>
      <c r="S26" s="187"/>
      <c r="T26" s="187" t="s">
        <v>617</v>
      </c>
      <c r="U26" s="213" t="s">
        <v>623</v>
      </c>
      <c r="V26" s="214"/>
    </row>
    <row r="27" spans="2:22">
      <c r="B27" s="187">
        <v>45640</v>
      </c>
      <c r="C27" s="187">
        <v>45602</v>
      </c>
      <c r="D27" s="187" t="s">
        <v>312</v>
      </c>
      <c r="E27" s="187"/>
      <c r="F27" s="187" t="s">
        <v>625</v>
      </c>
      <c r="G27" s="188" t="s">
        <v>626</v>
      </c>
      <c r="H27" s="187" t="s">
        <v>390</v>
      </c>
      <c r="I27" s="187" t="s">
        <v>627</v>
      </c>
      <c r="J27" s="188" t="s">
        <v>42</v>
      </c>
      <c r="K27" s="187" t="s">
        <v>76</v>
      </c>
      <c r="L27" s="187" t="s">
        <v>77</v>
      </c>
      <c r="M27" s="187" t="s">
        <v>628</v>
      </c>
      <c r="N27" s="187" t="s">
        <v>629</v>
      </c>
      <c r="O27" s="188" t="s">
        <v>630</v>
      </c>
      <c r="P27" s="212">
        <v>29</v>
      </c>
      <c r="Q27" s="187" t="s">
        <v>81</v>
      </c>
      <c r="R27" s="187" t="s">
        <v>76</v>
      </c>
      <c r="S27" s="187"/>
      <c r="T27" s="187" t="s">
        <v>625</v>
      </c>
      <c r="U27" s="213" t="s">
        <v>631</v>
      </c>
      <c r="V27" s="214" t="s">
        <v>632</v>
      </c>
    </row>
  </sheetData>
  <hyperlinks>
    <hyperlink ref="V5" r:id="rId1" xr:uid="{07D5B461-D1B8-3649-A49A-91949AA639A4}"/>
    <hyperlink ref="V6" r:id="rId2" xr:uid="{2CC39C77-9892-2945-BE3E-ADF64B16DDF0}"/>
    <hyperlink ref="V7" r:id="rId3" xr:uid="{1FCFA219-C36E-2940-8D0B-E93F11895EFD}"/>
    <hyperlink ref="V9" r:id="rId4" xr:uid="{6B7BC491-8236-1B4C-974B-218CDB7F371E}"/>
    <hyperlink ref="V11" r:id="rId5" xr:uid="{75900903-991D-854E-8267-5948FF2A53FC}"/>
    <hyperlink ref="V13" r:id="rId6" xr:uid="{4878DDA5-C5D4-EF46-AD01-83FAD083C09D}"/>
    <hyperlink ref="V14" r:id="rId7" xr:uid="{AB8A2452-602D-304C-8C56-24C052BD0ACE}"/>
    <hyperlink ref="V16" r:id="rId8" xr:uid="{3F939A1D-19DC-E64D-A01F-F3149778B2A0}"/>
    <hyperlink ref="V17" r:id="rId9" xr:uid="{F94B4631-D53C-894B-9FB6-A7629C7A0711}"/>
    <hyperlink ref="V18" r:id="rId10" xr:uid="{23F06376-7C46-0249-AEF6-EC2EF29D12E3}"/>
    <hyperlink ref="V21" r:id="rId11" xr:uid="{1BB6DEFA-0F2E-4D40-9354-7C9A25A2A915}"/>
    <hyperlink ref="V8" r:id="rId12" xr:uid="{162F0AF7-4124-5B41-A6B7-E69773EBBA9C}"/>
    <hyperlink ref="V10" r:id="rId13" xr:uid="{E647A2BC-BA98-7246-9121-FDF984B429F6}"/>
    <hyperlink ref="V12" r:id="rId14" xr:uid="{6427DE0B-0350-B44A-AE6E-489DE86432F7}"/>
    <hyperlink ref="V15" r:id="rId15" xr:uid="{E1C8A1C7-0C1E-3E4D-AE49-28BEA637DA80}"/>
    <hyperlink ref="V19" r:id="rId16" xr:uid="{37653135-A463-C840-AE04-924CEE3D1243}"/>
    <hyperlink ref="V20" r:id="rId17" xr:uid="{F8EE5B12-DCA9-D644-8DA7-7D813B6E0A29}"/>
    <hyperlink ref="V22" r:id="rId18" xr:uid="{E1A8CF2D-838D-5E4F-91F2-94D41719F2B0}"/>
    <hyperlink ref="V23" r:id="rId19" xr:uid="{B4CF7560-6373-2E46-ACBB-0759CF9D5E13}"/>
    <hyperlink ref="V24" r:id="rId20" xr:uid="{19999ABB-D0DD-2347-A92C-4BE7320A774E}"/>
    <hyperlink ref="V25" r:id="rId21" xr:uid="{8FF18D0B-CB44-F54D-9EF5-C342E8480C3C}"/>
    <hyperlink ref="V27" r:id="rId22" xr:uid="{D03E0B77-CF0F-2242-839C-B8CF34000E8B}"/>
  </hyperlinks>
  <pageMargins left="0.7" right="0.7" top="0.75" bottom="0.75" header="0.3" footer="0.3"/>
  <pageSetup paperSize="9" orientation="portrait" horizontalDpi="0" verticalDpi="0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Andres Cardenas</cp:lastModifiedBy>
  <dcterms:created xsi:type="dcterms:W3CDTF">2024-01-22T20:29:31Z</dcterms:created>
  <dcterms:modified xsi:type="dcterms:W3CDTF">2024-12-17T04:11:32Z</dcterms:modified>
</cp:coreProperties>
</file>