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51200" windowHeight="25940" tabRatio="600" firstSheet="0" activeTab="1" autoFilterDateGrouping="1"/>
  </bookViews>
  <sheets>
    <sheet name="GARANTIAS" sheetId="1" state="visible" r:id="rId1"/>
    <sheet name="PROMOCION" sheetId="2" state="visible" r:id="rId2"/>
    <sheet name="BBQ" sheetId="3" state="visible" r:id="rId3"/>
    <sheet name="BASE " sheetId="4" state="visible" r:id="rId4"/>
    <sheet name="CONSOLIDADO" sheetId="5" state="visible" r:id="rId5"/>
    <sheet name="UN PRODUCTO" sheetId="6" state="visible" r:id="rId6"/>
    <sheet name="ALMACEN" sheetId="7" state="visible" r:id="rId7"/>
  </sheets>
  <definedNames>
    <definedName name="PROD">'BASE '!$A$3:$B$907</definedName>
    <definedName name="_xlnm._FilterDatabase" localSheetId="3" hidden="1">'BASE '!$A$1:$B$907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dd/mm/yy;@"/>
    <numFmt numFmtId="165" formatCode="&quot;$&quot;#,##0.00"/>
    <numFmt numFmtId="166" formatCode="dd/mm/yyyy"/>
    <numFmt numFmtId="167" formatCode="&quot;$&quot;#,##0.00;[Red]&quot;$&quot;\-#,##0.00"/>
    <numFmt numFmtId="168" formatCode="dd\-mm\-yy;@"/>
    <numFmt numFmtId="169" formatCode="_-* #,##0.00\ _€_-;\-* #,##0.00\ _€_-;_-* &quot;-&quot;??\ _€_-;_-@_-"/>
    <numFmt numFmtId="170" formatCode="_-* #,##0.00_-;\-* #,##0.00_-;_-* &quot;-&quot;??_-;_-@_-"/>
    <numFmt numFmtId="171" formatCode="_(&quot;$&quot;\ * #,##0.00_);_(&quot;$&quot;\ * \(#,##0.00\);_(&quot;$&quot;\ * &quot;-&quot;??_);_(@_)"/>
    <numFmt numFmtId="172" formatCode="yyyy-mm-dd h:mm:ss"/>
    <numFmt numFmtId="173" formatCode="DD/MM/YYYY"/>
  </numFmts>
  <fonts count="86">
    <font>
      <name val="Aptos Narrow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color theme="1"/>
      <sz val="12"/>
      <scheme val="minor"/>
    </font>
    <font>
      <name val="Calibri"/>
      <family val="2"/>
      <color rgb="FF000000"/>
      <sz val="10"/>
    </font>
    <font>
      <name val="Calibri"/>
      <family val="2"/>
      <color rgb="FF000000"/>
      <sz val="13"/>
    </font>
    <font>
      <name val="Aptos Narrow"/>
      <color rgb="FF000000"/>
      <sz val="11"/>
    </font>
    <font>
      <name val="Franklin Gothic Book"/>
      <family val="2"/>
      <b val="1"/>
      <sz val="13"/>
    </font>
    <font>
      <name val="Arial"/>
      <family val="2"/>
      <b val="1"/>
      <sz val="13"/>
    </font>
    <font>
      <name val="Calibri"/>
      <family val="2"/>
      <b val="1"/>
      <sz val="13"/>
    </font>
    <font>
      <name val="Arial"/>
      <family val="2"/>
      <sz val="13"/>
    </font>
    <font>
      <name val="Aptos Narrow"/>
      <color rgb="FF000000"/>
      <sz val="13"/>
    </font>
    <font>
      <name val="Aptos Narrow"/>
      <sz val="13"/>
    </font>
    <font>
      <name val="Aptos Narrow"/>
      <color rgb="FF000000"/>
      <sz val="7"/>
    </font>
    <font>
      <name val="Calibri"/>
      <family val="2"/>
      <sz val="13"/>
    </font>
    <font>
      <name val="Aptos Narrow"/>
      <sz val="7"/>
    </font>
    <font>
      <name val="Aptos Narrow"/>
      <b val="1"/>
      <sz val="18"/>
    </font>
    <font>
      <name val="Aptos Narrow"/>
      <b val="1"/>
      <color rgb="FF000000"/>
      <sz val="18"/>
    </font>
    <font>
      <name val="Aptos Narrow"/>
      <sz val="18"/>
    </font>
    <font>
      <name val="Aptos Narrow"/>
      <b val="1"/>
      <sz val="7"/>
    </font>
    <font>
      <name val="Arial"/>
      <family val="2"/>
      <sz val="10"/>
    </font>
    <font>
      <name val="Arial"/>
      <family val="2"/>
      <b val="1"/>
      <sz val="15"/>
    </font>
    <font>
      <name val="Calibri"/>
      <family val="2"/>
      <b val="1"/>
      <color rgb="FFFFFFFF"/>
      <sz val="13"/>
    </font>
    <font>
      <name val="Calibri"/>
      <family val="2"/>
      <color theme="1"/>
      <sz val="13"/>
    </font>
    <font>
      <name val="Aptos Narrow"/>
      <color theme="10"/>
      <sz val="11"/>
      <u val="single"/>
      <scheme val="minor"/>
    </font>
    <font>
      <name val="Aptos Narrow"/>
      <color theme="1"/>
      <sz val="13"/>
      <scheme val="minor"/>
    </font>
    <font>
      <name val="Calibri"/>
      <family val="2"/>
      <sz val="7"/>
    </font>
    <font>
      <name val="Franklin Gothic Book"/>
      <family val="2"/>
      <sz val="13"/>
    </font>
    <font>
      <name val="Calibri"/>
      <family val="2"/>
      <color indexed="8"/>
      <sz val="13"/>
    </font>
    <font>
      <name val="Calibri"/>
      <family val="2"/>
      <sz val="13"/>
    </font>
    <font>
      <name val="Calibri"/>
      <family val="2"/>
      <color indexed="8"/>
      <sz val="13"/>
    </font>
    <font>
      <name val="Calibri"/>
      <family val="2"/>
      <b val="1"/>
      <color rgb="FFFFFFFF"/>
      <sz val="12"/>
    </font>
    <font>
      <name val="Aptos Narrow"/>
      <sz val="8"/>
      <scheme val="minor"/>
    </font>
    <font>
      <name val="Aptos Narrow"/>
      <color theme="1"/>
      <sz val="8"/>
      <scheme val="minor"/>
    </font>
    <font>
      <name val="Aptos Narrow"/>
      <b val="1"/>
      <color theme="0"/>
      <sz val="12"/>
      <scheme val="minor"/>
    </font>
    <font>
      <name val="Calibri"/>
      <family val="2"/>
      <b val="1"/>
      <color rgb="FF000000"/>
      <sz val="10"/>
    </font>
    <font>
      <name val="Calibri"/>
      <family val="2"/>
      <sz val="14"/>
    </font>
    <font>
      <name val="Calibri"/>
      <family val="2"/>
      <color indexed="8"/>
      <sz val="11"/>
    </font>
    <font>
      <name val="Arial"/>
      <family val="2"/>
      <color theme="10"/>
      <sz val="10"/>
      <u val="single"/>
    </font>
    <font>
      <name val="Calibri"/>
      <family val="2"/>
      <color theme="10"/>
      <sz val="12.65"/>
      <u val="single"/>
    </font>
    <font>
      <name val="Times New Roman"/>
      <family val="1"/>
      <color theme="10"/>
      <sz val="10"/>
      <u val="single"/>
    </font>
    <font>
      <name val="Calibri"/>
      <family val="2"/>
      <color rgb="FF0000FF"/>
      <sz val="11"/>
      <u val="single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Arial"/>
      <family val="2"/>
      <sz val="10"/>
    </font>
    <font>
      <name val="Arial Cyr"/>
      <charset val="204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</font>
    <font>
      <name val="Arial"/>
      <family val="2"/>
      <sz val="8"/>
    </font>
    <font>
      <name val="Calibri"/>
      <family val="2"/>
      <color indexed="8"/>
      <sz val="11"/>
    </font>
    <font>
      <name val="MS Sans Serif"/>
      <charset val="204"/>
      <color indexed="8"/>
      <sz val="10"/>
    </font>
    <font>
      <name val="Aptos Narrow"/>
      <color rgb="FF006100"/>
      <sz val="11"/>
      <scheme val="minor"/>
    </font>
    <font>
      <name val="Aptos Narrow"/>
      <b val="1"/>
      <color rgb="FFFA7D00"/>
      <sz val="11"/>
      <scheme val="minor"/>
    </font>
    <font>
      <name val="Aptos Narrow"/>
      <b val="1"/>
      <color theme="0"/>
      <sz val="11"/>
      <scheme val="minor"/>
    </font>
    <font>
      <name val="Aptos Narrow"/>
      <color rgb="FFFA7D00"/>
      <sz val="11"/>
      <scheme val="minor"/>
    </font>
    <font>
      <name val="Aptos Narrow"/>
      <b val="1"/>
      <color theme="3"/>
      <sz val="15"/>
      <scheme val="minor"/>
    </font>
    <font>
      <name val="Aptos Narrow"/>
      <b val="1"/>
      <color theme="3"/>
      <sz val="11"/>
      <scheme val="minor"/>
    </font>
    <font>
      <name val="Aptos Narrow"/>
      <color theme="0"/>
      <sz val="11"/>
      <scheme val="minor"/>
    </font>
    <font>
      <name val="Aptos Narrow"/>
      <color rgb="FF3F3F76"/>
      <sz val="11"/>
      <scheme val="minor"/>
    </font>
    <font>
      <name val="Aptos Narrow"/>
      <color rgb="FF9C0006"/>
      <sz val="11"/>
      <scheme val="minor"/>
    </font>
    <font>
      <name val="Aptos Narrow"/>
      <color rgb="FF9C5700"/>
      <sz val="11"/>
      <scheme val="minor"/>
    </font>
    <font>
      <name val="Aptos Narrow"/>
      <b val="1"/>
      <color rgb="FF3F3F3F"/>
      <sz val="11"/>
      <scheme val="minor"/>
    </font>
    <font>
      <name val="Aptos Narrow"/>
      <color rgb="FFFF0000"/>
      <sz val="11"/>
      <scheme val="minor"/>
    </font>
    <font>
      <name val="Aptos Narrow"/>
      <i val="1"/>
      <color rgb="FF7F7F7F"/>
      <sz val="11"/>
      <scheme val="minor"/>
    </font>
    <font>
      <name val="Aptos Display"/>
      <color theme="3"/>
      <sz val="18"/>
      <scheme val="major"/>
    </font>
    <font>
      <name val="Aptos Narrow"/>
      <b val="1"/>
      <color theme="3"/>
      <sz val="13"/>
      <scheme val="minor"/>
    </font>
    <font>
      <name val="Aptos Narrow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color theme="1"/>
      <sz val="14"/>
    </font>
    <font>
      <name val="Calibri"/>
      <family val="2"/>
      <color rgb="FF000000"/>
      <sz val="14"/>
    </font>
    <font>
      <name val="Aptos Narrow"/>
      <family val="2"/>
      <sz val="8"/>
      <scheme val="minor"/>
    </font>
    <font>
      <name val="Calibri"/>
      <family val="2"/>
      <color theme="10"/>
      <sz val="14"/>
      <u val="single"/>
    </font>
    <font>
      <name val="Calibri"/>
      <family val="2"/>
      <b val="1"/>
      <color rgb="FF000000"/>
      <sz val="14"/>
    </font>
    <font>
      <name val="Calibri"/>
      <family val="2"/>
      <color rgb="FFFFFFFF"/>
      <sz val="12"/>
    </font>
    <font>
      <name val="Calibri"/>
      <family val="2"/>
      <color rgb="FF000000"/>
      <sz val="9"/>
    </font>
    <font>
      <name val="Calibri"/>
      <family val="2"/>
      <b val="1"/>
      <color rgb="FFFFFFFF"/>
      <sz val="9"/>
    </font>
    <font>
      <name val="Aptos Narrow"/>
      <family val="2"/>
      <color theme="1"/>
      <sz val="9"/>
      <scheme val="minor"/>
    </font>
    <font>
      <name val="Aptos Narrow"/>
      <b val="1"/>
      <color theme="1"/>
      <sz val="14"/>
      <scheme val="minor"/>
    </font>
    <font>
      <name val="Aptos Narrow"/>
      <family val="2"/>
      <color theme="1"/>
      <sz val="14"/>
      <scheme val="minor"/>
    </font>
    <font>
      <name val="Gothic sans-serif"/>
      <charset val="1"/>
      <color rgb="FF1D2228"/>
      <sz val="9"/>
    </font>
    <font>
      <name val="Arial"/>
      <charset val="1"/>
      <family val="2"/>
      <color rgb="FF1D2228"/>
      <sz val="10"/>
    </font>
    <font>
      <name val="Gothic sans-serif"/>
      <charset val="1"/>
      <b val="1"/>
      <color rgb="FF1D2228"/>
      <sz val="9"/>
    </font>
    <font>
      <name val="Calibri"/>
      <charset val="1"/>
      <family val="2"/>
      <b val="1"/>
      <color rgb="FF000000"/>
      <sz val="11"/>
    </font>
    <font>
      <name val="Aptos Narrow"/>
      <family val="2"/>
      <color theme="1"/>
      <sz val="10"/>
      <scheme val="minor"/>
    </font>
    <font>
      <name val="Aptos Narrow"/>
      <family val="2"/>
      <b val="1"/>
      <color theme="0"/>
      <sz val="10"/>
      <scheme val="minor"/>
    </font>
    <font>
      <name val="Calibri"/>
      <family val="2"/>
      <color indexed="8"/>
      <sz val="14"/>
    </font>
    <font>
      <name val="Aptos Narrow"/>
      <family val="2"/>
      <color theme="1"/>
      <sz val="13"/>
      <scheme val="minor"/>
    </font>
  </fonts>
  <fills count="41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4" tint="0.7999511703848384"/>
        <bgColor indexed="65"/>
      </patternFill>
    </fill>
    <fill>
      <patternFill patternType="solid">
        <fgColor theme="5" tint="0.7999511703848384"/>
        <bgColor indexed="65"/>
      </patternFill>
    </fill>
    <fill>
      <patternFill patternType="solid">
        <fgColor theme="6" tint="0.7999511703848384"/>
        <bgColor indexed="65"/>
      </patternFill>
    </fill>
    <fill>
      <patternFill patternType="solid">
        <fgColor theme="7" tint="0.7999511703848384"/>
        <bgColor indexed="65"/>
      </patternFill>
    </fill>
    <fill>
      <patternFill patternType="solid">
        <fgColor theme="8" tint="0.7999511703848384"/>
        <bgColor indexed="65"/>
      </patternFill>
    </fill>
    <fill>
      <patternFill patternType="solid">
        <fgColor theme="9" tint="0.799951170384838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450666829432"/>
        <bgColor indexed="65"/>
      </patternFill>
    </fill>
    <fill>
      <patternFill patternType="solid">
        <fgColor theme="5" tint="0.3999450666829432"/>
        <bgColor indexed="65"/>
      </patternFill>
    </fill>
    <fill>
      <patternFill patternType="solid">
        <fgColor theme="6" tint="0.3999450666829432"/>
        <bgColor indexed="65"/>
      </patternFill>
    </fill>
    <fill>
      <patternFill patternType="solid">
        <fgColor theme="7" tint="0.3999450666829432"/>
        <bgColor indexed="65"/>
      </patternFill>
    </fill>
    <fill>
      <patternFill patternType="solid">
        <fgColor theme="8" tint="0.3999450666829432"/>
        <bgColor indexed="65"/>
      </patternFill>
    </fill>
    <fill>
      <patternFill patternType="solid">
        <fgColor theme="9" tint="0.3999450666829432"/>
        <bgColor indexed="65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127">
    <xf numFmtId="0" fontId="6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6" fillId="0" borderId="0"/>
    <xf numFmtId="169" fontId="66" fillId="0" borderId="0"/>
    <xf numFmtId="43" fontId="43" fillId="0" borderId="0"/>
    <xf numFmtId="0" fontId="23" fillId="0" borderId="0"/>
    <xf numFmtId="0" fontId="48" fillId="0" borderId="0"/>
    <xf numFmtId="0" fontId="48" fillId="5" borderId="0" applyAlignment="1">
      <alignment horizontal="left"/>
    </xf>
    <xf numFmtId="0" fontId="66" fillId="0" borderId="0"/>
    <xf numFmtId="0" fontId="66" fillId="0" borderId="0"/>
    <xf numFmtId="0" fontId="23" fillId="0" borderId="0"/>
    <xf numFmtId="0" fontId="43" fillId="0" borderId="0"/>
    <xf numFmtId="0" fontId="66" fillId="0" borderId="0"/>
    <xf numFmtId="43" fontId="43" fillId="0" borderId="0"/>
    <xf numFmtId="0" fontId="48" fillId="0" borderId="0"/>
    <xf numFmtId="43" fontId="43" fillId="0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9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0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1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2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3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4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5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6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7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8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19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0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1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2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3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4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5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66" fillId="26" borderId="0"/>
    <xf numFmtId="0" fontId="37" fillId="0" borderId="0"/>
    <xf numFmtId="0" fontId="23" fillId="0" borderId="0"/>
    <xf numFmtId="0" fontId="37" fillId="0" borderId="0"/>
    <xf numFmtId="0" fontId="38" fillId="0" borderId="0" applyAlignment="1" applyProtection="1">
      <alignment vertical="top"/>
      <protection locked="0" hidden="0"/>
    </xf>
    <xf numFmtId="0" fontId="39" fillId="0" borderId="0"/>
    <xf numFmtId="0" fontId="23" fillId="0" borderId="0"/>
    <xf numFmtId="0" fontId="40" fillId="0" borderId="0"/>
    <xf numFmtId="43" fontId="43" fillId="0" borderId="0"/>
    <xf numFmtId="43" fontId="43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43" fillId="0" borderId="0"/>
    <xf numFmtId="43" fontId="43" fillId="0" borderId="0"/>
    <xf numFmtId="43" fontId="43" fillId="0" borderId="0"/>
    <xf numFmtId="43" fontId="48" fillId="0" borderId="0"/>
    <xf numFmtId="43" fontId="48" fillId="0" borderId="0"/>
    <xf numFmtId="43" fontId="48" fillId="0" borderId="0"/>
    <xf numFmtId="43" fontId="43" fillId="0" borderId="0"/>
    <xf numFmtId="43" fontId="48" fillId="0" borderId="0"/>
    <xf numFmtId="43" fontId="48" fillId="0" borderId="0"/>
    <xf numFmtId="43" fontId="48" fillId="0" borderId="0"/>
    <xf numFmtId="43" fontId="48" fillId="0" borderId="0"/>
    <xf numFmtId="43" fontId="48" fillId="0" borderId="0"/>
    <xf numFmtId="43" fontId="48" fillId="0" borderId="0"/>
    <xf numFmtId="43" fontId="48" fillId="0" borderId="0"/>
    <xf numFmtId="43" fontId="48" fillId="0" borderId="0"/>
    <xf numFmtId="43" fontId="48" fillId="0" borderId="0"/>
    <xf numFmtId="43" fontId="48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48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48" fillId="0" borderId="0"/>
    <xf numFmtId="43" fontId="48" fillId="0" borderId="0"/>
    <xf numFmtId="43" fontId="48" fillId="0" borderId="0"/>
    <xf numFmtId="43" fontId="48" fillId="0" borderId="0"/>
    <xf numFmtId="43" fontId="48" fillId="0" borderId="0"/>
    <xf numFmtId="43" fontId="48" fillId="0" borderId="0"/>
    <xf numFmtId="43" fontId="48" fillId="0" borderId="0"/>
    <xf numFmtId="43" fontId="48" fillId="0" borderId="0"/>
    <xf numFmtId="43" fontId="48" fillId="0" borderId="0"/>
    <xf numFmtId="43" fontId="48" fillId="0" borderId="0"/>
    <xf numFmtId="43" fontId="48" fillId="0" borderId="0"/>
    <xf numFmtId="43" fontId="48" fillId="0" borderId="0"/>
    <xf numFmtId="43" fontId="48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169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43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44" fontId="66" fillId="0" borderId="0"/>
    <xf numFmtId="44" fontId="66" fillId="0" borderId="0"/>
    <xf numFmtId="44" fontId="66" fillId="0" borderId="0"/>
    <xf numFmtId="44" fontId="66" fillId="0" borderId="0"/>
    <xf numFmtId="171" fontId="48" fillId="0" borderId="0"/>
    <xf numFmtId="44" fontId="66" fillId="0" borderId="0"/>
    <xf numFmtId="44" fontId="66" fillId="0" borderId="0"/>
    <xf numFmtId="44" fontId="66" fillId="0" borderId="0"/>
    <xf numFmtId="0" fontId="42" fillId="0" borderId="0"/>
    <xf numFmtId="0" fontId="66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66" fillId="0" borderId="0"/>
    <xf numFmtId="0" fontId="66" fillId="0" borderId="0"/>
    <xf numFmtId="0" fontId="4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43" fillId="0" borderId="0"/>
    <xf numFmtId="0" fontId="43" fillId="0" borderId="0"/>
    <xf numFmtId="0" fontId="4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4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4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44" fillId="0" borderId="0"/>
    <xf numFmtId="0" fontId="43" fillId="0" borderId="0"/>
    <xf numFmtId="0" fontId="4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42" fillId="0" borderId="0"/>
    <xf numFmtId="0" fontId="4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46" fillId="0" borderId="0"/>
    <xf numFmtId="0" fontId="48" fillId="5" borderId="0" applyAlignment="1">
      <alignment horizontal="left"/>
    </xf>
    <xf numFmtId="0" fontId="4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66" fillId="27" borderId="12"/>
    <xf numFmtId="0" fontId="47" fillId="0" borderId="0"/>
    <xf numFmtId="0" fontId="48" fillId="0" borderId="0"/>
    <xf numFmtId="0" fontId="49" fillId="0" borderId="0"/>
    <xf numFmtId="0" fontId="66" fillId="9" borderId="0"/>
    <xf numFmtId="0" fontId="66" fillId="10" borderId="0"/>
    <xf numFmtId="0" fontId="66" fillId="11" borderId="0"/>
    <xf numFmtId="0" fontId="66" fillId="12" borderId="0"/>
    <xf numFmtId="0" fontId="66" fillId="13" borderId="0"/>
    <xf numFmtId="0" fontId="66" fillId="14" borderId="0"/>
    <xf numFmtId="0" fontId="66" fillId="15" borderId="0"/>
    <xf numFmtId="0" fontId="66" fillId="16" borderId="0"/>
    <xf numFmtId="0" fontId="66" fillId="17" borderId="0"/>
    <xf numFmtId="0" fontId="66" fillId="18" borderId="0"/>
    <xf numFmtId="0" fontId="66" fillId="19" borderId="0"/>
    <xf numFmtId="0" fontId="66" fillId="20" borderId="0"/>
    <xf numFmtId="0" fontId="66" fillId="21" borderId="0"/>
    <xf numFmtId="0" fontId="66" fillId="22" borderId="0"/>
    <xf numFmtId="0" fontId="66" fillId="23" borderId="0"/>
    <xf numFmtId="0" fontId="66" fillId="24" borderId="0"/>
    <xf numFmtId="0" fontId="66" fillId="25" borderId="0"/>
    <xf numFmtId="0" fontId="66" fillId="26" borderId="0"/>
    <xf numFmtId="0" fontId="50" fillId="28" borderId="0"/>
    <xf numFmtId="0" fontId="51" fillId="29" borderId="13"/>
    <xf numFmtId="0" fontId="52" fillId="30" borderId="14"/>
    <xf numFmtId="0" fontId="53" fillId="0" borderId="15"/>
    <xf numFmtId="0" fontId="54" fillId="0" borderId="16"/>
    <xf numFmtId="0" fontId="55" fillId="0" borderId="0"/>
    <xf numFmtId="0" fontId="56" fillId="31" borderId="0"/>
    <xf numFmtId="0" fontId="56" fillId="32" borderId="0"/>
    <xf numFmtId="0" fontId="56" fillId="33" borderId="0"/>
    <xf numFmtId="0" fontId="56" fillId="34" borderId="0"/>
    <xf numFmtId="0" fontId="56" fillId="35" borderId="0"/>
    <xf numFmtId="0" fontId="56" fillId="36" borderId="0"/>
    <xf numFmtId="0" fontId="57" fillId="37" borderId="13"/>
    <xf numFmtId="0" fontId="58" fillId="38" borderId="0"/>
    <xf numFmtId="0" fontId="59" fillId="39" borderId="0"/>
    <xf numFmtId="0" fontId="66" fillId="27" borderId="12"/>
    <xf numFmtId="0" fontId="60" fillId="29" borderId="17"/>
    <xf numFmtId="0" fontId="61" fillId="0" borderId="0"/>
    <xf numFmtId="0" fontId="62" fillId="0" borderId="0"/>
    <xf numFmtId="0" fontId="63" fillId="0" borderId="0"/>
    <xf numFmtId="0" fontId="64" fillId="0" borderId="18"/>
    <xf numFmtId="0" fontId="55" fillId="0" borderId="19"/>
    <xf numFmtId="0" fontId="65" fillId="0" borderId="20"/>
  </cellStyleXfs>
  <cellXfs count="189">
    <xf numFmtId="0" fontId="0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0" fontId="3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4" fontId="4" fillId="2" borderId="0" applyAlignment="1" pivotButton="0" quotePrefix="0" xfId="0">
      <alignment horizontal="right"/>
    </xf>
    <xf numFmtId="1" fontId="3" fillId="2" borderId="0" applyAlignment="1" pivotButton="0" quotePrefix="0" xfId="0">
      <alignment horizontal="left"/>
    </xf>
    <xf numFmtId="0" fontId="5" fillId="0" borderId="0" applyAlignment="1" pivotButton="0" quotePrefix="0" xfId="1">
      <alignment horizontal="right"/>
    </xf>
    <xf numFmtId="4" fontId="6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0" applyAlignment="1" pivotButton="0" quotePrefix="0" xfId="2">
      <alignment vertical="center"/>
    </xf>
    <xf numFmtId="0" fontId="7" fillId="0" borderId="0" pivotButton="0" quotePrefix="0" xfId="2"/>
    <xf numFmtId="2" fontId="9" fillId="0" borderId="0" applyAlignment="1" pivotButton="0" quotePrefix="0" xfId="2">
      <alignment horizontal="left"/>
    </xf>
    <xf numFmtId="0" fontId="10" fillId="0" borderId="0" pivotButton="0" quotePrefix="0" xfId="1"/>
    <xf numFmtId="0" fontId="11" fillId="0" borderId="0" pivotButton="0" quotePrefix="0" xfId="1"/>
    <xf numFmtId="4" fontId="10" fillId="0" borderId="0" applyAlignment="1" pivotButton="0" quotePrefix="0" xfId="1">
      <alignment horizontal="right"/>
    </xf>
    <xf numFmtId="1" fontId="12" fillId="0" borderId="0" pivotButton="0" quotePrefix="0" xfId="1"/>
    <xf numFmtId="0" fontId="5" fillId="0" borderId="0" pivotButton="0" quotePrefix="0" xfId="1"/>
    <xf numFmtId="4" fontId="6" fillId="0" borderId="0" applyAlignment="1" pivotButton="0" quotePrefix="0" xfId="2">
      <alignment horizontal="left" vertical="center"/>
    </xf>
    <xf numFmtId="0" fontId="9" fillId="0" borderId="0" applyAlignment="1" pivotButton="0" quotePrefix="0" xfId="2">
      <alignment horizontal="left"/>
    </xf>
    <xf numFmtId="0" fontId="9" fillId="0" borderId="0" pivotButton="0" quotePrefix="0" xfId="2"/>
    <xf numFmtId="164" fontId="13" fillId="0" borderId="1" applyAlignment="1" pivotButton="0" quotePrefix="0" xfId="3">
      <alignment horizontal="left"/>
    </xf>
    <xf numFmtId="0" fontId="13" fillId="0" borderId="2" applyAlignment="1" pivotButton="0" quotePrefix="0" xfId="3">
      <alignment horizontal="left"/>
    </xf>
    <xf numFmtId="0" fontId="14" fillId="0" borderId="2" applyAlignment="1" pivotButton="0" quotePrefix="0" xfId="3">
      <alignment horizontal="left"/>
    </xf>
    <xf numFmtId="0" fontId="15" fillId="0" borderId="2" applyAlignment="1" pivotButton="0" quotePrefix="0" xfId="3">
      <alignment horizontal="left"/>
    </xf>
    <xf numFmtId="0" fontId="16" fillId="0" borderId="2" applyAlignment="1" pivotButton="0" quotePrefix="0" xfId="3">
      <alignment horizontal="left" wrapText="1" readingOrder="1"/>
    </xf>
    <xf numFmtId="0" fontId="15" fillId="0" borderId="2" applyAlignment="1" pivotButton="0" quotePrefix="0" xfId="3">
      <alignment horizontal="left" wrapText="1"/>
    </xf>
    <xf numFmtId="0" fontId="17" fillId="0" borderId="2" applyAlignment="1" pivotButton="0" quotePrefix="0" xfId="3">
      <alignment horizontal="left" wrapText="1"/>
    </xf>
    <xf numFmtId="0" fontId="17" fillId="0" borderId="2" applyAlignment="1" pivotButton="0" quotePrefix="0" xfId="3">
      <alignment horizontal="left"/>
    </xf>
    <xf numFmtId="17" fontId="18" fillId="0" borderId="2" applyAlignment="1" pivotButton="0" quotePrefix="0" xfId="3">
      <alignment horizontal="left"/>
    </xf>
    <xf numFmtId="0" fontId="19" fillId="0" borderId="2" applyAlignment="1" pivotButton="0" quotePrefix="0" xfId="3">
      <alignment horizontal="left"/>
    </xf>
    <xf numFmtId="49" fontId="20" fillId="0" borderId="3" applyAlignment="1" pivotButton="0" quotePrefix="0" xfId="3">
      <alignment horizontal="left"/>
    </xf>
    <xf numFmtId="4" fontId="0" fillId="0" borderId="0" applyAlignment="1" pivotButton="0" quotePrefix="0" xfId="0">
      <alignment horizontal="right"/>
    </xf>
    <xf numFmtId="1" fontId="12" fillId="0" borderId="0" pivotButton="0" quotePrefix="0" xfId="0"/>
    <xf numFmtId="164" fontId="13" fillId="0" borderId="4" applyAlignment="1" pivotButton="0" quotePrefix="0" xfId="3">
      <alignment horizontal="left"/>
    </xf>
    <xf numFmtId="0" fontId="13" fillId="0" borderId="0" applyAlignment="1" pivotButton="0" quotePrefix="0" xfId="3">
      <alignment horizontal="left"/>
    </xf>
    <xf numFmtId="0" fontId="14" fillId="0" borderId="0" applyAlignment="1" pivotButton="0" quotePrefix="0" xfId="3">
      <alignment horizontal="left"/>
    </xf>
    <xf numFmtId="0" fontId="14" fillId="0" borderId="5" applyAlignment="1" pivotButton="0" quotePrefix="0" xfId="3">
      <alignment horizontal="left"/>
    </xf>
    <xf numFmtId="164" fontId="13" fillId="0" borderId="6" applyAlignment="1" pivotButton="0" quotePrefix="0" xfId="3">
      <alignment horizontal="left"/>
    </xf>
    <xf numFmtId="0" fontId="11" fillId="0" borderId="7" applyAlignment="1" pivotButton="0" quotePrefix="0" xfId="3">
      <alignment horizontal="left"/>
    </xf>
    <xf numFmtId="0" fontId="14" fillId="0" borderId="7" applyAlignment="1" pivotButton="0" quotePrefix="0" xfId="3">
      <alignment horizontal="left"/>
    </xf>
    <xf numFmtId="0" fontId="14" fillId="0" borderId="8" applyAlignment="1" pivotButton="0" quotePrefix="0" xfId="3">
      <alignment horizontal="left"/>
    </xf>
    <xf numFmtId="0" fontId="4" fillId="0" borderId="0" pivotButton="0" quotePrefix="0" xfId="0"/>
    <xf numFmtId="0" fontId="22" fillId="0" borderId="0" pivotButton="0" quotePrefix="0" xfId="0"/>
    <xf numFmtId="0" fontId="24" fillId="0" borderId="0" pivotButton="0" quotePrefix="0" xfId="0"/>
    <xf numFmtId="0" fontId="24" fillId="0" borderId="0" applyAlignment="1" pivotButton="0" quotePrefix="0" xfId="0">
      <alignment horizontal="left"/>
    </xf>
    <xf numFmtId="0" fontId="25" fillId="0" borderId="0" applyAlignment="1" pivotButton="0" quotePrefix="0" xfId="0">
      <alignment horizontal="right"/>
    </xf>
    <xf numFmtId="4" fontId="26" fillId="0" borderId="0" pivotButton="0" quotePrefix="0" xfId="0"/>
    <xf numFmtId="0" fontId="13" fillId="0" borderId="0" applyAlignment="1" pivotButton="0" quotePrefix="0" xfId="0">
      <alignment horizontal="left" vertical="center"/>
    </xf>
    <xf numFmtId="2" fontId="24" fillId="0" borderId="0" applyAlignment="1" pivotButton="0" quotePrefix="0" xfId="0">
      <alignment horizontal="left"/>
    </xf>
    <xf numFmtId="0" fontId="27" fillId="0" borderId="0" pivotButton="0" quotePrefix="0" xfId="0"/>
    <xf numFmtId="49" fontId="27" fillId="0" borderId="0" applyAlignment="1" pivotButton="0" quotePrefix="0" xfId="0">
      <alignment horizontal="left"/>
    </xf>
    <xf numFmtId="1" fontId="24" fillId="0" borderId="0" pivotButton="0" quotePrefix="0" xfId="0"/>
    <xf numFmtId="4" fontId="6" fillId="0" borderId="0" applyAlignment="1" pivotButton="0" quotePrefix="0" xfId="0">
      <alignment horizontal="left" vertical="center"/>
    </xf>
    <xf numFmtId="0" fontId="28" fillId="0" borderId="0" pivotButton="0" quotePrefix="0" xfId="9"/>
    <xf numFmtId="0" fontId="29" fillId="5" borderId="0" applyAlignment="1" pivotButton="0" quotePrefix="0" xfId="10">
      <alignment horizontal="center" vertical="center"/>
    </xf>
    <xf numFmtId="1" fontId="29" fillId="5" borderId="0" applyAlignment="1" pivotButton="0" quotePrefix="0" xfId="10">
      <alignment horizontal="right" vertical="center"/>
    </xf>
    <xf numFmtId="1" fontId="29" fillId="5" borderId="0" applyAlignment="1" pivotButton="0" quotePrefix="0" xfId="10">
      <alignment horizontal="center" vertical="center"/>
    </xf>
    <xf numFmtId="2" fontId="29" fillId="5" borderId="0" applyAlignment="1" pivotButton="0" quotePrefix="0" xfId="10">
      <alignment vertical="center"/>
    </xf>
    <xf numFmtId="49" fontId="24" fillId="0" borderId="0" pivotButton="0" quotePrefix="1" xfId="0"/>
    <xf numFmtId="17" fontId="27" fillId="0" borderId="0" applyAlignment="1" pivotButton="0" quotePrefix="1" xfId="0">
      <alignment horizontal="left"/>
    </xf>
    <xf numFmtId="0" fontId="2" fillId="0" borderId="0" applyAlignment="1" pivotButton="0" quotePrefix="0" xfId="0">
      <alignment horizontal="center" vertical="center"/>
    </xf>
    <xf numFmtId="0" fontId="30" fillId="6" borderId="9" applyAlignment="1" pivotButton="0" quotePrefix="0" xfId="0">
      <alignment horizontal="center" vertical="center" wrapText="1"/>
    </xf>
    <xf numFmtId="0" fontId="30" fillId="7" borderId="9" applyAlignment="1" pivotButton="0" quotePrefix="0" xfId="0">
      <alignment horizontal="center" vertical="center" wrapText="1"/>
    </xf>
    <xf numFmtId="1" fontId="30" fillId="6" borderId="9" applyAlignment="1" pivotButton="0" quotePrefix="0" xfId="0">
      <alignment horizontal="center" vertical="center" wrapText="1"/>
    </xf>
    <xf numFmtId="0" fontId="31" fillId="0" borderId="0" pivotButton="0" quotePrefix="0" xfId="14"/>
    <xf numFmtId="0" fontId="66" fillId="0" borderId="0" pivotButton="0" quotePrefix="0" xfId="15"/>
    <xf numFmtId="4" fontId="26" fillId="0" borderId="0" pivotButton="0" quotePrefix="0" xfId="15"/>
    <xf numFmtId="0" fontId="24" fillId="0" borderId="0" pivotButton="0" quotePrefix="0" xfId="15"/>
    <xf numFmtId="0" fontId="13" fillId="0" borderId="0" applyAlignment="1" pivotButton="0" quotePrefix="0" xfId="15">
      <alignment vertical="center"/>
    </xf>
    <xf numFmtId="2" fontId="24" fillId="0" borderId="0" applyAlignment="1" pivotButton="0" quotePrefix="0" xfId="15">
      <alignment horizontal="left"/>
    </xf>
    <xf numFmtId="0" fontId="24" fillId="0" borderId="0" applyAlignment="1" pivotButton="0" quotePrefix="0" xfId="15">
      <alignment horizontal="left"/>
    </xf>
    <xf numFmtId="0" fontId="32" fillId="0" borderId="0" pivotButton="0" quotePrefix="0" xfId="15"/>
    <xf numFmtId="4" fontId="6" fillId="0" borderId="0" applyAlignment="1" pivotButton="0" quotePrefix="0" xfId="15">
      <alignment horizontal="left" vertical="center"/>
    </xf>
    <xf numFmtId="0" fontId="9" fillId="0" borderId="0" pivotButton="0" quotePrefix="0" xfId="14"/>
    <xf numFmtId="17" fontId="24" fillId="0" borderId="0" pivotButton="0" quotePrefix="1" xfId="15"/>
    <xf numFmtId="17" fontId="32" fillId="0" borderId="0" pivotButton="0" quotePrefix="1" xfId="15"/>
    <xf numFmtId="0" fontId="2" fillId="0" borderId="0" pivotButton="0" quotePrefix="0" xfId="15"/>
    <xf numFmtId="0" fontId="33" fillId="8" borderId="11" applyAlignment="1" pivotButton="0" quotePrefix="0" xfId="15">
      <alignment horizontal="center" wrapText="1"/>
    </xf>
    <xf numFmtId="0" fontId="33" fillId="8" borderId="11" applyAlignment="1" pivotButton="0" quotePrefix="0" xfId="14">
      <alignment horizontal="left" wrapText="1"/>
    </xf>
    <xf numFmtId="0" fontId="33" fillId="8" borderId="11" applyAlignment="1" pivotButton="0" quotePrefix="0" xfId="14">
      <alignment horizontal="center" wrapText="1"/>
    </xf>
    <xf numFmtId="0" fontId="33" fillId="8" borderId="0" applyAlignment="1" pivotButton="0" quotePrefix="0" xfId="14">
      <alignment horizontal="left" wrapText="1"/>
    </xf>
    <xf numFmtId="0" fontId="0" fillId="0" borderId="0" applyAlignment="1" pivotButton="0" quotePrefix="0" xfId="0">
      <alignment horizontal="left"/>
    </xf>
    <xf numFmtId="0" fontId="30" fillId="6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left"/>
    </xf>
    <xf numFmtId="0" fontId="34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3" fillId="2" borderId="0" applyAlignment="1" pivotButton="0" quotePrefix="0" xfId="0">
      <alignment wrapText="1"/>
    </xf>
    <xf numFmtId="0" fontId="3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wrapText="1"/>
    </xf>
    <xf numFmtId="0" fontId="30" fillId="7" borderId="11" applyAlignment="1" pivotButton="0" quotePrefix="0" xfId="0">
      <alignment horizontal="center" vertical="center" wrapText="1"/>
    </xf>
    <xf numFmtId="1" fontId="30" fillId="6" borderId="11" applyAlignment="1" pivotButton="0" quotePrefix="0" xfId="0">
      <alignment horizontal="center" vertical="center" wrapText="1"/>
    </xf>
    <xf numFmtId="2" fontId="30" fillId="6" borderId="11" applyAlignment="1" pivotButton="0" quotePrefix="0" xfId="0">
      <alignment horizontal="center" vertical="center" wrapText="1"/>
    </xf>
    <xf numFmtId="0" fontId="67" fillId="0" borderId="0" pivotButton="0" quotePrefix="0" xfId="0"/>
    <xf numFmtId="0" fontId="30" fillId="6" borderId="11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8" fillId="0" borderId="0" applyAlignment="1" pivotButton="0" quotePrefix="0" xfId="0">
      <alignment horizontal="left"/>
    </xf>
    <xf numFmtId="14" fontId="68" fillId="0" borderId="0" applyAlignment="1" pivotButton="0" quotePrefix="0" xfId="0">
      <alignment horizontal="left"/>
    </xf>
    <xf numFmtId="1" fontId="68" fillId="0" borderId="0" applyAlignment="1" pivotButton="0" quotePrefix="0" xfId="0">
      <alignment horizontal="left"/>
    </xf>
    <xf numFmtId="0" fontId="67" fillId="0" borderId="0" applyAlignment="1" pivotButton="0" quotePrefix="0" xfId="0">
      <alignment horizontal="left"/>
    </xf>
    <xf numFmtId="0" fontId="67" fillId="4" borderId="0" applyAlignment="1" pivotButton="0" quotePrefix="0" xfId="0">
      <alignment horizontal="left"/>
    </xf>
    <xf numFmtId="14" fontId="67" fillId="0" borderId="0" applyAlignment="1" pivotButton="0" quotePrefix="0" xfId="0">
      <alignment horizontal="left"/>
    </xf>
    <xf numFmtId="165" fontId="24" fillId="0" borderId="0" pivotButton="0" quotePrefix="0" xfId="0"/>
    <xf numFmtId="165" fontId="27" fillId="0" borderId="0" applyAlignment="1" pivotButton="0" quotePrefix="0" xfId="0">
      <alignment horizontal="right" indent="1"/>
    </xf>
    <xf numFmtId="165" fontId="0" fillId="0" borderId="0" pivotButton="0" quotePrefix="0" xfId="0"/>
    <xf numFmtId="165" fontId="72" fillId="6" borderId="11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right"/>
    </xf>
    <xf numFmtId="0" fontId="73" fillId="0" borderId="0" applyAlignment="1" pivotButton="0" quotePrefix="0" xfId="0">
      <alignment horizontal="left" wrapText="1"/>
    </xf>
    <xf numFmtId="0" fontId="74" fillId="6" borderId="11" applyAlignment="1" pivotButton="0" quotePrefix="0" xfId="0">
      <alignment horizontal="center" vertical="center" wrapText="1"/>
    </xf>
    <xf numFmtId="0" fontId="75" fillId="0" borderId="0" pivotButton="0" quotePrefix="0" xfId="0"/>
    <xf numFmtId="0" fontId="35" fillId="0" borderId="10" applyAlignment="1" pivotButton="0" quotePrefix="0" xfId="12">
      <alignment horizontal="left"/>
    </xf>
    <xf numFmtId="0" fontId="71" fillId="0" borderId="0" applyAlignment="1" pivotButton="0" quotePrefix="0" xfId="0">
      <alignment horizontal="left"/>
    </xf>
    <xf numFmtId="0" fontId="70" fillId="0" borderId="0" applyAlignment="1" pivotButton="0" quotePrefix="0" xfId="8">
      <alignment horizontal="left"/>
    </xf>
    <xf numFmtId="2" fontId="24" fillId="0" borderId="0" pivotButton="0" quotePrefix="0" xfId="0"/>
    <xf numFmtId="2" fontId="24" fillId="0" borderId="0" pivotButton="0" quotePrefix="0" xfId="16"/>
    <xf numFmtId="2" fontId="33" fillId="8" borderId="11" applyAlignment="1" pivotButton="0" quotePrefix="0" xfId="16">
      <alignment horizontal="left" wrapText="1"/>
    </xf>
    <xf numFmtId="2" fontId="0" fillId="0" borderId="0" pivotButton="0" quotePrefix="0" xfId="0"/>
    <xf numFmtId="0" fontId="67" fillId="0" borderId="9" applyAlignment="1" pivotButton="0" quotePrefix="0" xfId="0">
      <alignment horizontal="left"/>
    </xf>
    <xf numFmtId="0" fontId="76" fillId="0" borderId="0" pivotButton="0" quotePrefix="0" xfId="0"/>
    <xf numFmtId="1" fontId="3" fillId="0" borderId="0" applyAlignment="1" pivotButton="0" quotePrefix="0" xfId="0">
      <alignment horizontal="left"/>
    </xf>
    <xf numFmtId="0" fontId="21" fillId="3" borderId="11" applyAlignment="1" pivotButton="0" quotePrefix="0" xfId="4">
      <alignment horizontal="left" wrapText="1"/>
    </xf>
    <xf numFmtId="0" fontId="21" fillId="3" borderId="11" applyAlignment="1" pivotButton="0" quotePrefix="0" xfId="4">
      <alignment horizontal="left"/>
    </xf>
    <xf numFmtId="4" fontId="21" fillId="3" borderId="11" applyAlignment="1" pivotButton="0" quotePrefix="0" xfId="4">
      <alignment horizontal="left" wrapText="1"/>
    </xf>
    <xf numFmtId="1" fontId="21" fillId="3" borderId="11" applyAlignment="1" pivotButton="0" quotePrefix="0" xfId="4">
      <alignment horizontal="center" wrapText="1"/>
    </xf>
    <xf numFmtId="0" fontId="21" fillId="3" borderId="11" applyAlignment="1" pivotButton="0" quotePrefix="0" xfId="0">
      <alignment horizontal="left" vertical="center" wrapText="1"/>
    </xf>
    <xf numFmtId="0" fontId="71" fillId="0" borderId="9" applyAlignment="1" pivotButton="0" quotePrefix="0" xfId="0">
      <alignment horizontal="left"/>
    </xf>
    <xf numFmtId="14" fontId="68" fillId="0" borderId="9" applyAlignment="1" pivotButton="0" quotePrefix="0" xfId="0">
      <alignment horizontal="left"/>
    </xf>
    <xf numFmtId="0" fontId="68" fillId="0" borderId="9" applyAlignment="1" pivotButton="0" quotePrefix="0" xfId="0">
      <alignment horizontal="left"/>
    </xf>
    <xf numFmtId="0" fontId="35" fillId="0" borderId="9" applyAlignment="1" pivotButton="0" quotePrefix="0" xfId="12">
      <alignment horizontal="left"/>
    </xf>
    <xf numFmtId="1" fontId="68" fillId="0" borderId="9" applyAlignment="1" pivotButton="0" quotePrefix="0" xfId="0">
      <alignment horizontal="left"/>
    </xf>
    <xf numFmtId="0" fontId="70" fillId="0" borderId="9" applyAlignment="1" pivotButton="0" quotePrefix="0" xfId="8">
      <alignment horizontal="left"/>
    </xf>
    <xf numFmtId="0" fontId="23" fillId="0" borderId="9" applyAlignment="1" pivotButton="0" quotePrefix="0" xfId="8">
      <alignment horizontal="left"/>
    </xf>
    <xf numFmtId="166" fontId="67" fillId="0" borderId="0" applyAlignment="1" pivotButton="0" quotePrefix="0" xfId="0">
      <alignment horizontal="left"/>
    </xf>
    <xf numFmtId="167" fontId="68" fillId="0" borderId="9" applyAlignment="1" pivotButton="0" quotePrefix="0" xfId="0">
      <alignment horizontal="left"/>
    </xf>
    <xf numFmtId="165" fontId="68" fillId="0" borderId="0" applyAlignment="1" pivotButton="0" quotePrefix="0" xfId="0">
      <alignment horizontal="left"/>
    </xf>
    <xf numFmtId="165" fontId="30" fillId="6" borderId="9" applyAlignment="1" pivotButton="0" quotePrefix="0" xfId="0">
      <alignment horizontal="center" vertical="center" wrapText="1"/>
    </xf>
    <xf numFmtId="167" fontId="68" fillId="0" borderId="0" applyAlignment="1" pivotButton="0" quotePrefix="0" xfId="0">
      <alignment horizontal="left"/>
    </xf>
    <xf numFmtId="0" fontId="78" fillId="0" borderId="0" applyAlignment="1" pivotButton="0" quotePrefix="0" xfId="0">
      <alignment vertical="center"/>
    </xf>
    <xf numFmtId="0" fontId="79" fillId="0" borderId="0" pivotButton="0" quotePrefix="0" xfId="0"/>
    <xf numFmtId="0" fontId="80" fillId="0" borderId="21" applyAlignment="1" pivotButton="0" quotePrefix="0" xfId="0">
      <alignment vertical="center"/>
    </xf>
    <xf numFmtId="17" fontId="81" fillId="0" borderId="0" applyAlignment="1" pivotButton="0" quotePrefix="1" xfId="0">
      <alignment horizontal="left"/>
    </xf>
    <xf numFmtId="0" fontId="82" fillId="0" borderId="0" pivotButton="0" quotePrefix="1" xfId="0"/>
    <xf numFmtId="0" fontId="83" fillId="8" borderId="11" applyAlignment="1" pivotButton="0" quotePrefix="0" xfId="0">
      <alignment horizontal="center" wrapText="1"/>
    </xf>
    <xf numFmtId="0" fontId="83" fillId="8" borderId="11" applyAlignment="1" pivotButton="0" quotePrefix="0" xfId="0">
      <alignment wrapText="1"/>
    </xf>
    <xf numFmtId="0" fontId="83" fillId="8" borderId="11" applyAlignment="1" pivotButton="0" quotePrefix="0" xfId="0">
      <alignment horizontal="center" vertical="center" wrapText="1"/>
    </xf>
    <xf numFmtId="0" fontId="83" fillId="8" borderId="22" applyAlignment="1" pivotButton="0" quotePrefix="0" xfId="0">
      <alignment wrapText="1"/>
    </xf>
    <xf numFmtId="0" fontId="83" fillId="8" borderId="22" applyAlignment="1" pivotButton="0" quotePrefix="0" xfId="0">
      <alignment horizontal="center" wrapText="1"/>
    </xf>
    <xf numFmtId="0" fontId="82" fillId="0" borderId="0" pivotButton="0" quotePrefix="0" xfId="0"/>
    <xf numFmtId="0" fontId="27" fillId="0" borderId="0" applyAlignment="1" pivotButton="0" quotePrefix="0" xfId="11">
      <alignment horizontal="right"/>
    </xf>
    <xf numFmtId="168" fontId="27" fillId="40" borderId="9" applyAlignment="1" pivotButton="0" quotePrefix="0" xfId="11">
      <alignment horizontal="left"/>
    </xf>
    <xf numFmtId="0" fontId="27" fillId="40" borderId="23" applyAlignment="1" pivotButton="0" quotePrefix="0" xfId="11">
      <alignment horizontal="center" vertical="center"/>
    </xf>
    <xf numFmtId="0" fontId="27" fillId="40" borderId="9" pivotButton="0" quotePrefix="0" xfId="11"/>
    <xf numFmtId="0" fontId="84" fillId="0" borderId="9" applyAlignment="1" pivotButton="0" quotePrefix="0" xfId="11">
      <alignment horizontal="left" vertical="center"/>
    </xf>
    <xf numFmtId="0" fontId="84" fillId="40" borderId="9" applyAlignment="1" pivotButton="0" quotePrefix="0" xfId="11">
      <alignment horizontal="left"/>
    </xf>
    <xf numFmtId="0" fontId="27" fillId="40" borderId="9" applyAlignment="1" pivotButton="0" quotePrefix="0" xfId="11">
      <alignment horizontal="left" vertical="center"/>
    </xf>
    <xf numFmtId="0" fontId="27" fillId="40" borderId="9" applyAlignment="1" pivotButton="0" quotePrefix="0" xfId="11">
      <alignment horizontal="left"/>
    </xf>
    <xf numFmtId="14" fontId="27" fillId="40" borderId="9" applyAlignment="1" pivotButton="0" quotePrefix="0" xfId="11">
      <alignment horizontal="left"/>
    </xf>
    <xf numFmtId="1" fontId="27" fillId="40" borderId="9" pivotButton="0" quotePrefix="0" xfId="11"/>
    <xf numFmtId="49" fontId="1" fillId="4" borderId="9" applyAlignment="1" pivotButton="0" quotePrefix="0" xfId="0">
      <alignment horizontal="center"/>
    </xf>
    <xf numFmtId="2" fontId="27" fillId="40" borderId="9" applyAlignment="1" pivotButton="0" quotePrefix="0" xfId="11">
      <alignment horizontal="center"/>
    </xf>
    <xf numFmtId="0" fontId="85" fillId="0" borderId="0" pivotButton="0" quotePrefix="0" xfId="0"/>
    <xf numFmtId="0" fontId="77" fillId="0" borderId="9" applyAlignment="1" pivotButton="0" quotePrefix="0" xfId="0">
      <alignment horizontal="left"/>
    </xf>
    <xf numFmtId="0" fontId="67" fillId="0" borderId="9" pivotButton="0" quotePrefix="0" xfId="0"/>
    <xf numFmtId="0" fontId="27" fillId="40" borderId="0" applyAlignment="1" pivotButton="0" quotePrefix="0" xfId="11">
      <alignment horizontal="left"/>
    </xf>
    <xf numFmtId="0" fontId="71" fillId="0" borderId="0" pivotButton="0" quotePrefix="0" xfId="0"/>
    <xf numFmtId="14" fontId="68" fillId="0" borderId="0" pivotButton="0" quotePrefix="0" xfId="0"/>
    <xf numFmtId="0" fontId="68" fillId="0" borderId="0" pivotButton="0" quotePrefix="0" xfId="0"/>
    <xf numFmtId="0" fontId="70" fillId="0" borderId="0" pivotButton="0" quotePrefix="0" xfId="8"/>
    <xf numFmtId="1" fontId="68" fillId="0" borderId="0" pivotButton="0" quotePrefix="0" xfId="0"/>
    <xf numFmtId="1" fontId="70" fillId="0" borderId="0" applyAlignment="1" pivotButton="0" quotePrefix="0" xfId="8">
      <alignment horizontal="left"/>
    </xf>
    <xf numFmtId="14" fontId="68" fillId="0" borderId="9" applyAlignment="1" pivotButton="0" quotePrefix="0" xfId="5">
      <alignment horizontal="left"/>
    </xf>
    <xf numFmtId="0" fontId="68" fillId="0" borderId="9" applyAlignment="1" pivotButton="0" quotePrefix="0" xfId="5">
      <alignment horizontal="left"/>
    </xf>
    <xf numFmtId="1" fontId="68" fillId="0" borderId="9" applyAlignment="1" pivotButton="0" quotePrefix="0" xfId="7">
      <alignment horizontal="left"/>
    </xf>
    <xf numFmtId="0" fontId="68" fillId="0" borderId="9" applyAlignment="1" pivotButton="0" quotePrefix="0" xfId="7">
      <alignment horizontal="left"/>
    </xf>
    <xf numFmtId="0" fontId="35" fillId="0" borderId="9" applyAlignment="1" pivotButton="0" quotePrefix="0" xfId="0">
      <alignment horizontal="left"/>
    </xf>
    <xf numFmtId="14" fontId="0" fillId="0" borderId="0" pivotButton="0" quotePrefix="0" xfId="0"/>
    <xf numFmtId="0" fontId="68" fillId="0" borderId="22" applyAlignment="1" pivotButton="0" quotePrefix="0" xfId="0">
      <alignment horizontal="left"/>
    </xf>
    <xf numFmtId="1" fontId="67" fillId="0" borderId="0" applyAlignment="1" pivotButton="0" quotePrefix="0" xfId="0">
      <alignment horizontal="left"/>
    </xf>
    <xf numFmtId="0" fontId="70" fillId="0" borderId="0" applyAlignment="1" pivotButton="0" quotePrefix="0" xfId="8">
      <alignment horizontal="left"/>
    </xf>
    <xf numFmtId="14" fontId="67" fillId="0" borderId="9" applyAlignment="1" pivotButton="0" quotePrefix="0" xfId="0">
      <alignment horizontal="left"/>
    </xf>
    <xf numFmtId="1" fontId="67" fillId="0" borderId="9" applyAlignment="1" pivotButton="0" quotePrefix="0" xfId="0">
      <alignment horizontal="left"/>
    </xf>
    <xf numFmtId="0" fontId="70" fillId="0" borderId="9" applyAlignment="1" pivotButton="0" quotePrefix="0" xfId="8">
      <alignment horizontal="left"/>
    </xf>
    <xf numFmtId="167" fontId="68" fillId="0" borderId="0" applyAlignment="1" pivotButton="0" quotePrefix="0" xfId="0">
      <alignment horizontal="left"/>
    </xf>
    <xf numFmtId="167" fontId="68" fillId="0" borderId="9" applyAlignment="1" pivotButton="0" quotePrefix="0" xfId="0">
      <alignment horizontal="left"/>
    </xf>
    <xf numFmtId="173" fontId="0" fillId="0" borderId="0" pivotButton="0" quotePrefix="0" xfId="0"/>
    <xf numFmtId="168" fontId="27" fillId="40" borderId="9" applyAlignment="1" pivotButton="0" quotePrefix="0" xfId="11">
      <alignment horizontal="left"/>
    </xf>
  </cellXfs>
  <cellStyles count="1127">
    <cellStyle name="Normal" xfId="0" builtinId="0"/>
    <cellStyle name="Normal 18 2" xfId="1"/>
    <cellStyle name="Normal 38 4 7 7" xfId="2"/>
    <cellStyle name="Normal 104 8" xfId="3"/>
    <cellStyle name="Normal 34 5 8 4 2 5" xfId="4"/>
    <cellStyle name="Normal 34 5 8 2 2" xfId="5"/>
    <cellStyle name="Millares 39 2" xfId="6"/>
    <cellStyle name="Millares 10 15 9" xfId="7"/>
    <cellStyle name="Hipervínculo" xfId="8" builtinId="8"/>
    <cellStyle name="Normal 34 5 8 5" xfId="9"/>
    <cellStyle name="Normal 4 2 2" xfId="10"/>
    <cellStyle name="Normal 27" xfId="11"/>
    <cellStyle name="Normal 34 5 8 5 2 2" xfId="12"/>
    <cellStyle name="Hipervínculo 6" xfId="13"/>
    <cellStyle name="Normal 10 2" xfId="14"/>
    <cellStyle name="Normal 34 5 8 4 2" xfId="15"/>
    <cellStyle name="Millares 10 19 37 2 5" xfId="16"/>
    <cellStyle name="Normal 104 5" xfId="17"/>
    <cellStyle name="Millares 10 19 37" xfId="18"/>
    <cellStyle name="20% - Énfasis1 2" xfId="19"/>
    <cellStyle name="20% - Énfasis1 2 2" xfId="20"/>
    <cellStyle name="20% - Énfasis1 2 2 2" xfId="21"/>
    <cellStyle name="20% - Énfasis1 2 2 2 2" xfId="22"/>
    <cellStyle name="20% - Énfasis1 2 2 2 2 2" xfId="23"/>
    <cellStyle name="20% - Énfasis1 2 2 2 3" xfId="24"/>
    <cellStyle name="20% - Énfasis1 2 2 3" xfId="25"/>
    <cellStyle name="20% - Énfasis1 2 2 3 2" xfId="26"/>
    <cellStyle name="20% - Énfasis1 2 2 4" xfId="27"/>
    <cellStyle name="20% - Énfasis1 2 3" xfId="28"/>
    <cellStyle name="20% - Énfasis1 2 3 2" xfId="29"/>
    <cellStyle name="20% - Énfasis1 2 3 2 2" xfId="30"/>
    <cellStyle name="20% - Énfasis1 2 3 3" xfId="31"/>
    <cellStyle name="20% - Énfasis1 2 4" xfId="32"/>
    <cellStyle name="20% - Énfasis1 2 4 2" xfId="33"/>
    <cellStyle name="20% - Énfasis1 2 5" xfId="34"/>
    <cellStyle name="20% - Énfasis1 3" xfId="35"/>
    <cellStyle name="20% - Énfasis1 3 2" xfId="36"/>
    <cellStyle name="20% - Énfasis1 3 2 2" xfId="37"/>
    <cellStyle name="20% - Énfasis1 3 2 2 2" xfId="38"/>
    <cellStyle name="20% - Énfasis1 3 2 3" xfId="39"/>
    <cellStyle name="20% - Énfasis1 3 3" xfId="40"/>
    <cellStyle name="20% - Énfasis1 3 3 2" xfId="41"/>
    <cellStyle name="20% - Énfasis1 3 4" xfId="42"/>
    <cellStyle name="20% - Énfasis1 4" xfId="43"/>
    <cellStyle name="20% - Énfasis1 4 2" xfId="44"/>
    <cellStyle name="20% - Énfasis1 4 2 2" xfId="45"/>
    <cellStyle name="20% - Énfasis1 4 3" xfId="46"/>
    <cellStyle name="20% - Énfasis1 5" xfId="47"/>
    <cellStyle name="20% - Énfasis1 5 2" xfId="48"/>
    <cellStyle name="20% - Énfasis1 6" xfId="49"/>
    <cellStyle name="20% - Énfasis2 2" xfId="50"/>
    <cellStyle name="20% - Énfasis2 2 2" xfId="51"/>
    <cellStyle name="20% - Énfasis2 2 2 2" xfId="52"/>
    <cellStyle name="20% - Énfasis2 2 2 2 2" xfId="53"/>
    <cellStyle name="20% - Énfasis2 2 2 2 2 2" xfId="54"/>
    <cellStyle name="20% - Énfasis2 2 2 2 3" xfId="55"/>
    <cellStyle name="20% - Énfasis2 2 2 3" xfId="56"/>
    <cellStyle name="20% - Énfasis2 2 2 3 2" xfId="57"/>
    <cellStyle name="20% - Énfasis2 2 2 4" xfId="58"/>
    <cellStyle name="20% - Énfasis2 2 3" xfId="59"/>
    <cellStyle name="20% - Énfasis2 2 3 2" xfId="60"/>
    <cellStyle name="20% - Énfasis2 2 3 2 2" xfId="61"/>
    <cellStyle name="20% - Énfasis2 2 3 3" xfId="62"/>
    <cellStyle name="20% - Énfasis2 2 4" xfId="63"/>
    <cellStyle name="20% - Énfasis2 2 4 2" xfId="64"/>
    <cellStyle name="20% - Énfasis2 2 5" xfId="65"/>
    <cellStyle name="20% - Énfasis2 3" xfId="66"/>
    <cellStyle name="20% - Énfasis2 3 2" xfId="67"/>
    <cellStyle name="20% - Énfasis2 3 2 2" xfId="68"/>
    <cellStyle name="20% - Énfasis2 3 2 2 2" xfId="69"/>
    <cellStyle name="20% - Énfasis2 3 2 3" xfId="70"/>
    <cellStyle name="20% - Énfasis2 3 3" xfId="71"/>
    <cellStyle name="20% - Énfasis2 3 3 2" xfId="72"/>
    <cellStyle name="20% - Énfasis2 3 4" xfId="73"/>
    <cellStyle name="20% - Énfasis2 4" xfId="74"/>
    <cellStyle name="20% - Énfasis2 4 2" xfId="75"/>
    <cellStyle name="20% - Énfasis2 4 2 2" xfId="76"/>
    <cellStyle name="20% - Énfasis2 4 3" xfId="77"/>
    <cellStyle name="20% - Énfasis2 5" xfId="78"/>
    <cellStyle name="20% - Énfasis2 5 2" xfId="79"/>
    <cellStyle name="20% - Énfasis2 6" xfId="80"/>
    <cellStyle name="20% - Énfasis3 2" xfId="81"/>
    <cellStyle name="20% - Énfasis3 2 2" xfId="82"/>
    <cellStyle name="20% - Énfasis3 2 2 2" xfId="83"/>
    <cellStyle name="20% - Énfasis3 2 2 2 2" xfId="84"/>
    <cellStyle name="20% - Énfasis3 2 2 2 2 2" xfId="85"/>
    <cellStyle name="20% - Énfasis3 2 2 2 3" xfId="86"/>
    <cellStyle name="20% - Énfasis3 2 2 3" xfId="87"/>
    <cellStyle name="20% - Énfasis3 2 2 3 2" xfId="88"/>
    <cellStyle name="20% - Énfasis3 2 2 4" xfId="89"/>
    <cellStyle name="20% - Énfasis3 2 3" xfId="90"/>
    <cellStyle name="20% - Énfasis3 2 3 2" xfId="91"/>
    <cellStyle name="20% - Énfasis3 2 3 2 2" xfId="92"/>
    <cellStyle name="20% - Énfasis3 2 3 3" xfId="93"/>
    <cellStyle name="20% - Énfasis3 2 4" xfId="94"/>
    <cellStyle name="20% - Énfasis3 2 4 2" xfId="95"/>
    <cellStyle name="20% - Énfasis3 2 5" xfId="96"/>
    <cellStyle name="20% - Énfasis3 3" xfId="97"/>
    <cellStyle name="20% - Énfasis3 3 2" xfId="98"/>
    <cellStyle name="20% - Énfasis3 3 2 2" xfId="99"/>
    <cellStyle name="20% - Énfasis3 3 2 2 2" xfId="100"/>
    <cellStyle name="20% - Énfasis3 3 2 3" xfId="101"/>
    <cellStyle name="20% - Énfasis3 3 3" xfId="102"/>
    <cellStyle name="20% - Énfasis3 3 3 2" xfId="103"/>
    <cellStyle name="20% - Énfasis3 3 4" xfId="104"/>
    <cellStyle name="20% - Énfasis3 4" xfId="105"/>
    <cellStyle name="20% - Énfasis3 4 2" xfId="106"/>
    <cellStyle name="20% - Énfasis3 4 2 2" xfId="107"/>
    <cellStyle name="20% - Énfasis3 4 3" xfId="108"/>
    <cellStyle name="20% - Énfasis3 5" xfId="109"/>
    <cellStyle name="20% - Énfasis3 5 2" xfId="110"/>
    <cellStyle name="20% - Énfasis3 6" xfId="111"/>
    <cellStyle name="20% - Énfasis4 2" xfId="112"/>
    <cellStyle name="20% - Énfasis4 2 2" xfId="113"/>
    <cellStyle name="20% - Énfasis4 2 2 2" xfId="114"/>
    <cellStyle name="20% - Énfasis4 2 2 2 2" xfId="115"/>
    <cellStyle name="20% - Énfasis4 2 2 2 2 2" xfId="116"/>
    <cellStyle name="20% - Énfasis4 2 2 2 3" xfId="117"/>
    <cellStyle name="20% - Énfasis4 2 2 3" xfId="118"/>
    <cellStyle name="20% - Énfasis4 2 2 3 2" xfId="119"/>
    <cellStyle name="20% - Énfasis4 2 2 4" xfId="120"/>
    <cellStyle name="20% - Énfasis4 2 3" xfId="121"/>
    <cellStyle name="20% - Énfasis4 2 3 2" xfId="122"/>
    <cellStyle name="20% - Énfasis4 2 3 2 2" xfId="123"/>
    <cellStyle name="20% - Énfasis4 2 3 3" xfId="124"/>
    <cellStyle name="20% - Énfasis4 2 4" xfId="125"/>
    <cellStyle name="20% - Énfasis4 2 4 2" xfId="126"/>
    <cellStyle name="20% - Énfasis4 2 5" xfId="127"/>
    <cellStyle name="20% - Énfasis4 3" xfId="128"/>
    <cellStyle name="20% - Énfasis4 3 2" xfId="129"/>
    <cellStyle name="20% - Énfasis4 3 2 2" xfId="130"/>
    <cellStyle name="20% - Énfasis4 3 2 2 2" xfId="131"/>
    <cellStyle name="20% - Énfasis4 3 2 3" xfId="132"/>
    <cellStyle name="20% - Énfasis4 3 3" xfId="133"/>
    <cellStyle name="20% - Énfasis4 3 3 2" xfId="134"/>
    <cellStyle name="20% - Énfasis4 3 4" xfId="135"/>
    <cellStyle name="20% - Énfasis4 4" xfId="136"/>
    <cellStyle name="20% - Énfasis4 4 2" xfId="137"/>
    <cellStyle name="20% - Énfasis4 4 2 2" xfId="138"/>
    <cellStyle name="20% - Énfasis4 4 3" xfId="139"/>
    <cellStyle name="20% - Énfasis4 5" xfId="140"/>
    <cellStyle name="20% - Énfasis4 5 2" xfId="141"/>
    <cellStyle name="20% - Énfasis4 6" xfId="142"/>
    <cellStyle name="20% - Énfasis5 2" xfId="143"/>
    <cellStyle name="20% - Énfasis5 2 2" xfId="144"/>
    <cellStyle name="20% - Énfasis5 2 2 2" xfId="145"/>
    <cellStyle name="20% - Énfasis5 2 2 2 2" xfId="146"/>
    <cellStyle name="20% - Énfasis5 2 2 2 2 2" xfId="147"/>
    <cellStyle name="20% - Énfasis5 2 2 2 3" xfId="148"/>
    <cellStyle name="20% - Énfasis5 2 2 3" xfId="149"/>
    <cellStyle name="20% - Énfasis5 2 2 3 2" xfId="150"/>
    <cellStyle name="20% - Énfasis5 2 2 4" xfId="151"/>
    <cellStyle name="20% - Énfasis5 2 3" xfId="152"/>
    <cellStyle name="20% - Énfasis5 2 3 2" xfId="153"/>
    <cellStyle name="20% - Énfasis5 2 3 2 2" xfId="154"/>
    <cellStyle name="20% - Énfasis5 2 3 3" xfId="155"/>
    <cellStyle name="20% - Énfasis5 2 4" xfId="156"/>
    <cellStyle name="20% - Énfasis5 2 4 2" xfId="157"/>
    <cellStyle name="20% - Énfasis5 2 5" xfId="158"/>
    <cellStyle name="20% - Énfasis5 3" xfId="159"/>
    <cellStyle name="20% - Énfasis5 3 2" xfId="160"/>
    <cellStyle name="20% - Énfasis5 3 2 2" xfId="161"/>
    <cellStyle name="20% - Énfasis5 3 2 2 2" xfId="162"/>
    <cellStyle name="20% - Énfasis5 3 2 3" xfId="163"/>
    <cellStyle name="20% - Énfasis5 3 3" xfId="164"/>
    <cellStyle name="20% - Énfasis5 3 3 2" xfId="165"/>
    <cellStyle name="20% - Énfasis5 3 4" xfId="166"/>
    <cellStyle name="20% - Énfasis5 4" xfId="167"/>
    <cellStyle name="20% - Énfasis5 4 2" xfId="168"/>
    <cellStyle name="20% - Énfasis5 4 2 2" xfId="169"/>
    <cellStyle name="20% - Énfasis5 4 3" xfId="170"/>
    <cellStyle name="20% - Énfasis5 5" xfId="171"/>
    <cellStyle name="20% - Énfasis5 5 2" xfId="172"/>
    <cellStyle name="20% - Énfasis5 6" xfId="173"/>
    <cellStyle name="20% - Énfasis6 2" xfId="174"/>
    <cellStyle name="20% - Énfasis6 2 2" xfId="175"/>
    <cellStyle name="20% - Énfasis6 2 2 2" xfId="176"/>
    <cellStyle name="20% - Énfasis6 2 2 2 2" xfId="177"/>
    <cellStyle name="20% - Énfasis6 2 2 2 2 2" xfId="178"/>
    <cellStyle name="20% - Énfasis6 2 2 2 3" xfId="179"/>
    <cellStyle name="20% - Énfasis6 2 2 3" xfId="180"/>
    <cellStyle name="20% - Énfasis6 2 2 3 2" xfId="181"/>
    <cellStyle name="20% - Énfasis6 2 2 4" xfId="182"/>
    <cellStyle name="20% - Énfasis6 2 3" xfId="183"/>
    <cellStyle name="20% - Énfasis6 2 3 2" xfId="184"/>
    <cellStyle name="20% - Énfasis6 2 3 2 2" xfId="185"/>
    <cellStyle name="20% - Énfasis6 2 3 3" xfId="186"/>
    <cellStyle name="20% - Énfasis6 2 4" xfId="187"/>
    <cellStyle name="20% - Énfasis6 2 4 2" xfId="188"/>
    <cellStyle name="20% - Énfasis6 2 5" xfId="189"/>
    <cellStyle name="20% - Énfasis6 3" xfId="190"/>
    <cellStyle name="20% - Énfasis6 3 2" xfId="191"/>
    <cellStyle name="20% - Énfasis6 3 2 2" xfId="192"/>
    <cellStyle name="20% - Énfasis6 3 2 2 2" xfId="193"/>
    <cellStyle name="20% - Énfasis6 3 2 3" xfId="194"/>
    <cellStyle name="20% - Énfasis6 3 3" xfId="195"/>
    <cellStyle name="20% - Énfasis6 3 3 2" xfId="196"/>
    <cellStyle name="20% - Énfasis6 3 4" xfId="197"/>
    <cellStyle name="20% - Énfasis6 4" xfId="198"/>
    <cellStyle name="20% - Énfasis6 4 2" xfId="199"/>
    <cellStyle name="20% - Énfasis6 4 2 2" xfId="200"/>
    <cellStyle name="20% - Énfasis6 4 3" xfId="201"/>
    <cellStyle name="20% - Énfasis6 5" xfId="202"/>
    <cellStyle name="20% - Énfasis6 5 2" xfId="203"/>
    <cellStyle name="20% - Énfasis6 6" xfId="204"/>
    <cellStyle name="40% - Énfasis1 2" xfId="205"/>
    <cellStyle name="40% - Énfasis1 2 2" xfId="206"/>
    <cellStyle name="40% - Énfasis1 2 2 2" xfId="207"/>
    <cellStyle name="40% - Énfasis1 2 2 2 2" xfId="208"/>
    <cellStyle name="40% - Énfasis1 2 2 2 2 2" xfId="209"/>
    <cellStyle name="40% - Énfasis1 2 2 2 3" xfId="210"/>
    <cellStyle name="40% - Énfasis1 2 2 3" xfId="211"/>
    <cellStyle name="40% - Énfasis1 2 2 3 2" xfId="212"/>
    <cellStyle name="40% - Énfasis1 2 2 4" xfId="213"/>
    <cellStyle name="40% - Énfasis1 2 3" xfId="214"/>
    <cellStyle name="40% - Énfasis1 2 3 2" xfId="215"/>
    <cellStyle name="40% - Énfasis1 2 3 2 2" xfId="216"/>
    <cellStyle name="40% - Énfasis1 2 3 3" xfId="217"/>
    <cellStyle name="40% - Énfasis1 2 4" xfId="218"/>
    <cellStyle name="40% - Énfasis1 2 4 2" xfId="219"/>
    <cellStyle name="40% - Énfasis1 2 5" xfId="220"/>
    <cellStyle name="40% - Énfasis1 3" xfId="221"/>
    <cellStyle name="40% - Énfasis1 3 2" xfId="222"/>
    <cellStyle name="40% - Énfasis1 3 2 2" xfId="223"/>
    <cellStyle name="40% - Énfasis1 3 2 2 2" xfId="224"/>
    <cellStyle name="40% - Énfasis1 3 2 3" xfId="225"/>
    <cellStyle name="40% - Énfasis1 3 3" xfId="226"/>
    <cellStyle name="40% - Énfasis1 3 3 2" xfId="227"/>
    <cellStyle name="40% - Énfasis1 3 4" xfId="228"/>
    <cellStyle name="40% - Énfasis1 4" xfId="229"/>
    <cellStyle name="40% - Énfasis1 4 2" xfId="230"/>
    <cellStyle name="40% - Énfasis1 4 2 2" xfId="231"/>
    <cellStyle name="40% - Énfasis1 4 3" xfId="232"/>
    <cellStyle name="40% - Énfasis1 5" xfId="233"/>
    <cellStyle name="40% - Énfasis1 5 2" xfId="234"/>
    <cellStyle name="40% - Énfasis1 6" xfId="235"/>
    <cellStyle name="40% - Énfasis2 2" xfId="236"/>
    <cellStyle name="40% - Énfasis2 2 2" xfId="237"/>
    <cellStyle name="40% - Énfasis2 2 2 2" xfId="238"/>
    <cellStyle name="40% - Énfasis2 2 2 2 2" xfId="239"/>
    <cellStyle name="40% - Énfasis2 2 2 2 2 2" xfId="240"/>
    <cellStyle name="40% - Énfasis2 2 2 2 3" xfId="241"/>
    <cellStyle name="40% - Énfasis2 2 2 3" xfId="242"/>
    <cellStyle name="40% - Énfasis2 2 2 3 2" xfId="243"/>
    <cellStyle name="40% - Énfasis2 2 2 4" xfId="244"/>
    <cellStyle name="40% - Énfasis2 2 3" xfId="245"/>
    <cellStyle name="40% - Énfasis2 2 3 2" xfId="246"/>
    <cellStyle name="40% - Énfasis2 2 3 2 2" xfId="247"/>
    <cellStyle name="40% - Énfasis2 2 3 3" xfId="248"/>
    <cellStyle name="40% - Énfasis2 2 4" xfId="249"/>
    <cellStyle name="40% - Énfasis2 2 4 2" xfId="250"/>
    <cellStyle name="40% - Énfasis2 2 5" xfId="251"/>
    <cellStyle name="40% - Énfasis2 3" xfId="252"/>
    <cellStyle name="40% - Énfasis2 3 2" xfId="253"/>
    <cellStyle name="40% - Énfasis2 3 2 2" xfId="254"/>
    <cellStyle name="40% - Énfasis2 3 2 2 2" xfId="255"/>
    <cellStyle name="40% - Énfasis2 3 2 3" xfId="256"/>
    <cellStyle name="40% - Énfasis2 3 3" xfId="257"/>
    <cellStyle name="40% - Énfasis2 3 3 2" xfId="258"/>
    <cellStyle name="40% - Énfasis2 3 4" xfId="259"/>
    <cellStyle name="40% - Énfasis2 4" xfId="260"/>
    <cellStyle name="40% - Énfasis2 4 2" xfId="261"/>
    <cellStyle name="40% - Énfasis2 4 2 2" xfId="262"/>
    <cellStyle name="40% - Énfasis2 4 3" xfId="263"/>
    <cellStyle name="40% - Énfasis2 5" xfId="264"/>
    <cellStyle name="40% - Énfasis2 5 2" xfId="265"/>
    <cellStyle name="40% - Énfasis2 6" xfId="266"/>
    <cellStyle name="40% - Énfasis3 2" xfId="267"/>
    <cellStyle name="40% - Énfasis3 2 2" xfId="268"/>
    <cellStyle name="40% - Énfasis3 2 2 2" xfId="269"/>
    <cellStyle name="40% - Énfasis3 2 2 2 2" xfId="270"/>
    <cellStyle name="40% - Énfasis3 2 2 2 2 2" xfId="271"/>
    <cellStyle name="40% - Énfasis3 2 2 2 3" xfId="272"/>
    <cellStyle name="40% - Énfasis3 2 2 3" xfId="273"/>
    <cellStyle name="40% - Énfasis3 2 2 3 2" xfId="274"/>
    <cellStyle name="40% - Énfasis3 2 2 4" xfId="275"/>
    <cellStyle name="40% - Énfasis3 2 3" xfId="276"/>
    <cellStyle name="40% - Énfasis3 2 3 2" xfId="277"/>
    <cellStyle name="40% - Énfasis3 2 3 2 2" xfId="278"/>
    <cellStyle name="40% - Énfasis3 2 3 3" xfId="279"/>
    <cellStyle name="40% - Énfasis3 2 4" xfId="280"/>
    <cellStyle name="40% - Énfasis3 2 4 2" xfId="281"/>
    <cellStyle name="40% - Énfasis3 2 5" xfId="282"/>
    <cellStyle name="40% - Énfasis3 3" xfId="283"/>
    <cellStyle name="40% - Énfasis3 3 2" xfId="284"/>
    <cellStyle name="40% - Énfasis3 3 2 2" xfId="285"/>
    <cellStyle name="40% - Énfasis3 3 2 2 2" xfId="286"/>
    <cellStyle name="40% - Énfasis3 3 2 3" xfId="287"/>
    <cellStyle name="40% - Énfasis3 3 3" xfId="288"/>
    <cellStyle name="40% - Énfasis3 3 3 2" xfId="289"/>
    <cellStyle name="40% - Énfasis3 3 4" xfId="290"/>
    <cellStyle name="40% - Énfasis3 4" xfId="291"/>
    <cellStyle name="40% - Énfasis3 4 2" xfId="292"/>
    <cellStyle name="40% - Énfasis3 4 2 2" xfId="293"/>
    <cellStyle name="40% - Énfasis3 4 3" xfId="294"/>
    <cellStyle name="40% - Énfasis3 5" xfId="295"/>
    <cellStyle name="40% - Énfasis3 5 2" xfId="296"/>
    <cellStyle name="40% - Énfasis3 6" xfId="297"/>
    <cellStyle name="40% - Énfasis4 2" xfId="298"/>
    <cellStyle name="40% - Énfasis4 2 2" xfId="299"/>
    <cellStyle name="40% - Énfasis4 2 2 2" xfId="300"/>
    <cellStyle name="40% - Énfasis4 2 2 2 2" xfId="301"/>
    <cellStyle name="40% - Énfasis4 2 2 2 2 2" xfId="302"/>
    <cellStyle name="40% - Énfasis4 2 2 2 3" xfId="303"/>
    <cellStyle name="40% - Énfasis4 2 2 3" xfId="304"/>
    <cellStyle name="40% - Énfasis4 2 2 3 2" xfId="305"/>
    <cellStyle name="40% - Énfasis4 2 2 4" xfId="306"/>
    <cellStyle name="40% - Énfasis4 2 3" xfId="307"/>
    <cellStyle name="40% - Énfasis4 2 3 2" xfId="308"/>
    <cellStyle name="40% - Énfasis4 2 3 2 2" xfId="309"/>
    <cellStyle name="40% - Énfasis4 2 3 3" xfId="310"/>
    <cellStyle name="40% - Énfasis4 2 4" xfId="311"/>
    <cellStyle name="40% - Énfasis4 2 4 2" xfId="312"/>
    <cellStyle name="40% - Énfasis4 2 5" xfId="313"/>
    <cellStyle name="40% - Énfasis4 3" xfId="314"/>
    <cellStyle name="40% - Énfasis4 3 2" xfId="315"/>
    <cellStyle name="40% - Énfasis4 3 2 2" xfId="316"/>
    <cellStyle name="40% - Énfasis4 3 2 2 2" xfId="317"/>
    <cellStyle name="40% - Énfasis4 3 2 3" xfId="318"/>
    <cellStyle name="40% - Énfasis4 3 3" xfId="319"/>
    <cellStyle name="40% - Énfasis4 3 3 2" xfId="320"/>
    <cellStyle name="40% - Énfasis4 3 4" xfId="321"/>
    <cellStyle name="40% - Énfasis4 4" xfId="322"/>
    <cellStyle name="40% - Énfasis4 4 2" xfId="323"/>
    <cellStyle name="40% - Énfasis4 4 2 2" xfId="324"/>
    <cellStyle name="40% - Énfasis4 4 3" xfId="325"/>
    <cellStyle name="40% - Énfasis4 5" xfId="326"/>
    <cellStyle name="40% - Énfasis4 5 2" xfId="327"/>
    <cellStyle name="40% - Énfasis4 6" xfId="328"/>
    <cellStyle name="40% - Énfasis5 2" xfId="329"/>
    <cellStyle name="40% - Énfasis5 2 2" xfId="330"/>
    <cellStyle name="40% - Énfasis5 2 2 2" xfId="331"/>
    <cellStyle name="40% - Énfasis5 2 2 2 2" xfId="332"/>
    <cellStyle name="40% - Énfasis5 2 2 2 2 2" xfId="333"/>
    <cellStyle name="40% - Énfasis5 2 2 2 3" xfId="334"/>
    <cellStyle name="40% - Énfasis5 2 2 3" xfId="335"/>
    <cellStyle name="40% - Énfasis5 2 2 3 2" xfId="336"/>
    <cellStyle name="40% - Énfasis5 2 2 4" xfId="337"/>
    <cellStyle name="40% - Énfasis5 2 3" xfId="338"/>
    <cellStyle name="40% - Énfasis5 2 3 2" xfId="339"/>
    <cellStyle name="40% - Énfasis5 2 3 2 2" xfId="340"/>
    <cellStyle name="40% - Énfasis5 2 3 3" xfId="341"/>
    <cellStyle name="40% - Énfasis5 2 4" xfId="342"/>
    <cellStyle name="40% - Énfasis5 2 4 2" xfId="343"/>
    <cellStyle name="40% - Énfasis5 2 5" xfId="344"/>
    <cellStyle name="40% - Énfasis5 3" xfId="345"/>
    <cellStyle name="40% - Énfasis5 3 2" xfId="346"/>
    <cellStyle name="40% - Énfasis5 3 2 2" xfId="347"/>
    <cellStyle name="40% - Énfasis5 3 2 2 2" xfId="348"/>
    <cellStyle name="40% - Énfasis5 3 2 3" xfId="349"/>
    <cellStyle name="40% - Énfasis5 3 3" xfId="350"/>
    <cellStyle name="40% - Énfasis5 3 3 2" xfId="351"/>
    <cellStyle name="40% - Énfasis5 3 4" xfId="352"/>
    <cellStyle name="40% - Énfasis5 4" xfId="353"/>
    <cellStyle name="40% - Énfasis5 4 2" xfId="354"/>
    <cellStyle name="40% - Énfasis5 4 2 2" xfId="355"/>
    <cellStyle name="40% - Énfasis5 4 3" xfId="356"/>
    <cellStyle name="40% - Énfasis5 5" xfId="357"/>
    <cellStyle name="40% - Énfasis5 5 2" xfId="358"/>
    <cellStyle name="40% - Énfasis5 6" xfId="359"/>
    <cellStyle name="40% - Énfasis6 2" xfId="360"/>
    <cellStyle name="40% - Énfasis6 2 2" xfId="361"/>
    <cellStyle name="40% - Énfasis6 2 2 2" xfId="362"/>
    <cellStyle name="40% - Énfasis6 2 2 2 2" xfId="363"/>
    <cellStyle name="40% - Énfasis6 2 2 2 2 2" xfId="364"/>
    <cellStyle name="40% - Énfasis6 2 2 2 3" xfId="365"/>
    <cellStyle name="40% - Énfasis6 2 2 3" xfId="366"/>
    <cellStyle name="40% - Énfasis6 2 2 3 2" xfId="367"/>
    <cellStyle name="40% - Énfasis6 2 2 4" xfId="368"/>
    <cellStyle name="40% - Énfasis6 2 3" xfId="369"/>
    <cellStyle name="40% - Énfasis6 2 3 2" xfId="370"/>
    <cellStyle name="40% - Énfasis6 2 3 2 2" xfId="371"/>
    <cellStyle name="40% - Énfasis6 2 3 3" xfId="372"/>
    <cellStyle name="40% - Énfasis6 2 4" xfId="373"/>
    <cellStyle name="40% - Énfasis6 2 4 2" xfId="374"/>
    <cellStyle name="40% - Énfasis6 2 5" xfId="375"/>
    <cellStyle name="40% - Énfasis6 3" xfId="376"/>
    <cellStyle name="40% - Énfasis6 3 2" xfId="377"/>
    <cellStyle name="40% - Énfasis6 3 2 2" xfId="378"/>
    <cellStyle name="40% - Énfasis6 3 2 2 2" xfId="379"/>
    <cellStyle name="40% - Énfasis6 3 2 3" xfId="380"/>
    <cellStyle name="40% - Énfasis6 3 3" xfId="381"/>
    <cellStyle name="40% - Énfasis6 3 3 2" xfId="382"/>
    <cellStyle name="40% - Énfasis6 3 4" xfId="383"/>
    <cellStyle name="40% - Énfasis6 4" xfId="384"/>
    <cellStyle name="40% - Énfasis6 4 2" xfId="385"/>
    <cellStyle name="40% - Énfasis6 4 2 2" xfId="386"/>
    <cellStyle name="40% - Énfasis6 4 3" xfId="387"/>
    <cellStyle name="40% - Énfasis6 5" xfId="388"/>
    <cellStyle name="40% - Énfasis6 5 2" xfId="389"/>
    <cellStyle name="40% - Énfasis6 6" xfId="390"/>
    <cellStyle name="60% - Énfasis1 2" xfId="391"/>
    <cellStyle name="60% - Énfasis1 2 2" xfId="392"/>
    <cellStyle name="60% - Énfasis1 2 2 2" xfId="393"/>
    <cellStyle name="60% - Énfasis1 2 2 2 2" xfId="394"/>
    <cellStyle name="60% - Énfasis1 2 2 2 2 2" xfId="395"/>
    <cellStyle name="60% - Énfasis1 2 2 2 3" xfId="396"/>
    <cellStyle name="60% - Énfasis1 2 2 3" xfId="397"/>
    <cellStyle name="60% - Énfasis1 2 2 3 2" xfId="398"/>
    <cellStyle name="60% - Énfasis1 2 2 4" xfId="399"/>
    <cellStyle name="60% - Énfasis1 2 3" xfId="400"/>
    <cellStyle name="60% - Énfasis1 2 3 2" xfId="401"/>
    <cellStyle name="60% - Énfasis1 2 3 2 2" xfId="402"/>
    <cellStyle name="60% - Énfasis1 2 3 3" xfId="403"/>
    <cellStyle name="60% - Énfasis1 2 4" xfId="404"/>
    <cellStyle name="60% - Énfasis1 2 4 2" xfId="405"/>
    <cellStyle name="60% - Énfasis1 2 5" xfId="406"/>
    <cellStyle name="60% - Énfasis1 3" xfId="407"/>
    <cellStyle name="60% - Énfasis1 3 2" xfId="408"/>
    <cellStyle name="60% - Énfasis1 3 2 2" xfId="409"/>
    <cellStyle name="60% - Énfasis1 3 2 2 2" xfId="410"/>
    <cellStyle name="60% - Énfasis1 3 2 3" xfId="411"/>
    <cellStyle name="60% - Énfasis1 3 3" xfId="412"/>
    <cellStyle name="60% - Énfasis1 3 3 2" xfId="413"/>
    <cellStyle name="60% - Énfasis1 3 4" xfId="414"/>
    <cellStyle name="60% - Énfasis1 4" xfId="415"/>
    <cellStyle name="60% - Énfasis1 4 2" xfId="416"/>
    <cellStyle name="60% - Énfasis1 4 2 2" xfId="417"/>
    <cellStyle name="60% - Énfasis1 4 3" xfId="418"/>
    <cellStyle name="60% - Énfasis1 5" xfId="419"/>
    <cellStyle name="60% - Énfasis1 5 2" xfId="420"/>
    <cellStyle name="60% - Énfasis1 6" xfId="421"/>
    <cellStyle name="60% - Énfasis2 2" xfId="422"/>
    <cellStyle name="60% - Énfasis2 2 2" xfId="423"/>
    <cellStyle name="60% - Énfasis2 2 2 2" xfId="424"/>
    <cellStyle name="60% - Énfasis2 2 2 2 2" xfId="425"/>
    <cellStyle name="60% - Énfasis2 2 2 2 2 2" xfId="426"/>
    <cellStyle name="60% - Énfasis2 2 2 2 3" xfId="427"/>
    <cellStyle name="60% - Énfasis2 2 2 3" xfId="428"/>
    <cellStyle name="60% - Énfasis2 2 2 3 2" xfId="429"/>
    <cellStyle name="60% - Énfasis2 2 2 4" xfId="430"/>
    <cellStyle name="60% - Énfasis2 2 3" xfId="431"/>
    <cellStyle name="60% - Énfasis2 2 3 2" xfId="432"/>
    <cellStyle name="60% - Énfasis2 2 3 2 2" xfId="433"/>
    <cellStyle name="60% - Énfasis2 2 3 3" xfId="434"/>
    <cellStyle name="60% - Énfasis2 2 4" xfId="435"/>
    <cellStyle name="60% - Énfasis2 2 4 2" xfId="436"/>
    <cellStyle name="60% - Énfasis2 2 5" xfId="437"/>
    <cellStyle name="60% - Énfasis2 3" xfId="438"/>
    <cellStyle name="60% - Énfasis2 3 2" xfId="439"/>
    <cellStyle name="60% - Énfasis2 3 2 2" xfId="440"/>
    <cellStyle name="60% - Énfasis2 3 2 2 2" xfId="441"/>
    <cellStyle name="60% - Énfasis2 3 2 3" xfId="442"/>
    <cellStyle name="60% - Énfasis2 3 3" xfId="443"/>
    <cellStyle name="60% - Énfasis2 3 3 2" xfId="444"/>
    <cellStyle name="60% - Énfasis2 3 4" xfId="445"/>
    <cellStyle name="60% - Énfasis2 4" xfId="446"/>
    <cellStyle name="60% - Énfasis2 4 2" xfId="447"/>
    <cellStyle name="60% - Énfasis2 4 2 2" xfId="448"/>
    <cellStyle name="60% - Énfasis2 4 3" xfId="449"/>
    <cellStyle name="60% - Énfasis2 5" xfId="450"/>
    <cellStyle name="60% - Énfasis2 5 2" xfId="451"/>
    <cellStyle name="60% - Énfasis2 6" xfId="452"/>
    <cellStyle name="60% - Énfasis3 2" xfId="453"/>
    <cellStyle name="60% - Énfasis3 2 2" xfId="454"/>
    <cellStyle name="60% - Énfasis3 2 2 2" xfId="455"/>
    <cellStyle name="60% - Énfasis3 2 2 2 2" xfId="456"/>
    <cellStyle name="60% - Énfasis3 2 2 2 2 2" xfId="457"/>
    <cellStyle name="60% - Énfasis3 2 2 2 3" xfId="458"/>
    <cellStyle name="60% - Énfasis3 2 2 3" xfId="459"/>
    <cellStyle name="60% - Énfasis3 2 2 3 2" xfId="460"/>
    <cellStyle name="60% - Énfasis3 2 2 4" xfId="461"/>
    <cellStyle name="60% - Énfasis3 2 3" xfId="462"/>
    <cellStyle name="60% - Énfasis3 2 3 2" xfId="463"/>
    <cellStyle name="60% - Énfasis3 2 3 2 2" xfId="464"/>
    <cellStyle name="60% - Énfasis3 2 3 3" xfId="465"/>
    <cellStyle name="60% - Énfasis3 2 4" xfId="466"/>
    <cellStyle name="60% - Énfasis3 2 4 2" xfId="467"/>
    <cellStyle name="60% - Énfasis3 2 5" xfId="468"/>
    <cellStyle name="60% - Énfasis3 3" xfId="469"/>
    <cellStyle name="60% - Énfasis3 3 2" xfId="470"/>
    <cellStyle name="60% - Énfasis3 3 2 2" xfId="471"/>
    <cellStyle name="60% - Énfasis3 3 2 2 2" xfId="472"/>
    <cellStyle name="60% - Énfasis3 3 2 3" xfId="473"/>
    <cellStyle name="60% - Énfasis3 3 3" xfId="474"/>
    <cellStyle name="60% - Énfasis3 3 3 2" xfId="475"/>
    <cellStyle name="60% - Énfasis3 3 4" xfId="476"/>
    <cellStyle name="60% - Énfasis3 4" xfId="477"/>
    <cellStyle name="60% - Énfasis3 4 2" xfId="478"/>
    <cellStyle name="60% - Énfasis3 4 2 2" xfId="479"/>
    <cellStyle name="60% - Énfasis3 4 3" xfId="480"/>
    <cellStyle name="60% - Énfasis3 5" xfId="481"/>
    <cellStyle name="60% - Énfasis3 5 2" xfId="482"/>
    <cellStyle name="60% - Énfasis3 6" xfId="483"/>
    <cellStyle name="60% - Énfasis4 2" xfId="484"/>
    <cellStyle name="60% - Énfasis4 2 2" xfId="485"/>
    <cellStyle name="60% - Énfasis4 2 2 2" xfId="486"/>
    <cellStyle name="60% - Énfasis4 2 2 2 2" xfId="487"/>
    <cellStyle name="60% - Énfasis4 2 2 2 2 2" xfId="488"/>
    <cellStyle name="60% - Énfasis4 2 2 2 3" xfId="489"/>
    <cellStyle name="60% - Énfasis4 2 2 3" xfId="490"/>
    <cellStyle name="60% - Énfasis4 2 2 3 2" xfId="491"/>
    <cellStyle name="60% - Énfasis4 2 2 4" xfId="492"/>
    <cellStyle name="60% - Énfasis4 2 3" xfId="493"/>
    <cellStyle name="60% - Énfasis4 2 3 2" xfId="494"/>
    <cellStyle name="60% - Énfasis4 2 3 2 2" xfId="495"/>
    <cellStyle name="60% - Énfasis4 2 3 3" xfId="496"/>
    <cellStyle name="60% - Énfasis4 2 4" xfId="497"/>
    <cellStyle name="60% - Énfasis4 2 4 2" xfId="498"/>
    <cellStyle name="60% - Énfasis4 2 5" xfId="499"/>
    <cellStyle name="60% - Énfasis4 3" xfId="500"/>
    <cellStyle name="60% - Énfasis4 3 2" xfId="501"/>
    <cellStyle name="60% - Énfasis4 3 2 2" xfId="502"/>
    <cellStyle name="60% - Énfasis4 3 2 2 2" xfId="503"/>
    <cellStyle name="60% - Énfasis4 3 2 3" xfId="504"/>
    <cellStyle name="60% - Énfasis4 3 3" xfId="505"/>
    <cellStyle name="60% - Énfasis4 3 3 2" xfId="506"/>
    <cellStyle name="60% - Énfasis4 3 4" xfId="507"/>
    <cellStyle name="60% - Énfasis4 4" xfId="508"/>
    <cellStyle name="60% - Énfasis4 4 2" xfId="509"/>
    <cellStyle name="60% - Énfasis4 4 2 2" xfId="510"/>
    <cellStyle name="60% - Énfasis4 4 3" xfId="511"/>
    <cellStyle name="60% - Énfasis4 5" xfId="512"/>
    <cellStyle name="60% - Énfasis4 5 2" xfId="513"/>
    <cellStyle name="60% - Énfasis4 6" xfId="514"/>
    <cellStyle name="60% - Énfasis5 2" xfId="515"/>
    <cellStyle name="60% - Énfasis5 2 2" xfId="516"/>
    <cellStyle name="60% - Énfasis5 2 2 2" xfId="517"/>
    <cellStyle name="60% - Énfasis5 2 2 2 2" xfId="518"/>
    <cellStyle name="60% - Énfasis5 2 2 2 2 2" xfId="519"/>
    <cellStyle name="60% - Énfasis5 2 2 2 3" xfId="520"/>
    <cellStyle name="60% - Énfasis5 2 2 3" xfId="521"/>
    <cellStyle name="60% - Énfasis5 2 2 3 2" xfId="522"/>
    <cellStyle name="60% - Énfasis5 2 2 4" xfId="523"/>
    <cellStyle name="60% - Énfasis5 2 3" xfId="524"/>
    <cellStyle name="60% - Énfasis5 2 3 2" xfId="525"/>
    <cellStyle name="60% - Énfasis5 2 3 2 2" xfId="526"/>
    <cellStyle name="60% - Énfasis5 2 3 3" xfId="527"/>
    <cellStyle name="60% - Énfasis5 2 4" xfId="528"/>
    <cellStyle name="60% - Énfasis5 2 4 2" xfId="529"/>
    <cellStyle name="60% - Énfasis5 2 5" xfId="530"/>
    <cellStyle name="60% - Énfasis5 3" xfId="531"/>
    <cellStyle name="60% - Énfasis5 3 2" xfId="532"/>
    <cellStyle name="60% - Énfasis5 3 2 2" xfId="533"/>
    <cellStyle name="60% - Énfasis5 3 2 2 2" xfId="534"/>
    <cellStyle name="60% - Énfasis5 3 2 3" xfId="535"/>
    <cellStyle name="60% - Énfasis5 3 3" xfId="536"/>
    <cellStyle name="60% - Énfasis5 3 3 2" xfId="537"/>
    <cellStyle name="60% - Énfasis5 3 4" xfId="538"/>
    <cellStyle name="60% - Énfasis5 4" xfId="539"/>
    <cellStyle name="60% - Énfasis5 4 2" xfId="540"/>
    <cellStyle name="60% - Énfasis5 4 2 2" xfId="541"/>
    <cellStyle name="60% - Énfasis5 4 3" xfId="542"/>
    <cellStyle name="60% - Énfasis5 5" xfId="543"/>
    <cellStyle name="60% - Énfasis5 5 2" xfId="544"/>
    <cellStyle name="60% - Énfasis5 6" xfId="545"/>
    <cellStyle name="60% - Énfasis6 2" xfId="546"/>
    <cellStyle name="60% - Énfasis6 2 2" xfId="547"/>
    <cellStyle name="60% - Énfasis6 2 2 2" xfId="548"/>
    <cellStyle name="60% - Énfasis6 2 2 2 2" xfId="549"/>
    <cellStyle name="60% - Énfasis6 2 2 2 2 2" xfId="550"/>
    <cellStyle name="60% - Énfasis6 2 2 2 3" xfId="551"/>
    <cellStyle name="60% - Énfasis6 2 2 3" xfId="552"/>
    <cellStyle name="60% - Énfasis6 2 2 3 2" xfId="553"/>
    <cellStyle name="60% - Énfasis6 2 2 4" xfId="554"/>
    <cellStyle name="60% - Énfasis6 2 3" xfId="555"/>
    <cellStyle name="60% - Énfasis6 2 3 2" xfId="556"/>
    <cellStyle name="60% - Énfasis6 2 3 2 2" xfId="557"/>
    <cellStyle name="60% - Énfasis6 2 3 3" xfId="558"/>
    <cellStyle name="60% - Énfasis6 2 4" xfId="559"/>
    <cellStyle name="60% - Énfasis6 2 4 2" xfId="560"/>
    <cellStyle name="60% - Énfasis6 2 5" xfId="561"/>
    <cellStyle name="60% - Énfasis6 3" xfId="562"/>
    <cellStyle name="60% - Énfasis6 3 2" xfId="563"/>
    <cellStyle name="60% - Énfasis6 3 2 2" xfId="564"/>
    <cellStyle name="60% - Énfasis6 3 2 2 2" xfId="565"/>
    <cellStyle name="60% - Énfasis6 3 2 3" xfId="566"/>
    <cellStyle name="60% - Énfasis6 3 3" xfId="567"/>
    <cellStyle name="60% - Énfasis6 3 3 2" xfId="568"/>
    <cellStyle name="60% - Énfasis6 3 4" xfId="569"/>
    <cellStyle name="60% - Énfasis6 4" xfId="570"/>
    <cellStyle name="60% - Énfasis6 4 2" xfId="571"/>
    <cellStyle name="60% - Énfasis6 4 2 2" xfId="572"/>
    <cellStyle name="60% - Énfasis6 4 3" xfId="573"/>
    <cellStyle name="60% - Énfasis6 5" xfId="574"/>
    <cellStyle name="60% - Énfasis6 5 2" xfId="575"/>
    <cellStyle name="60% - Énfasis6 6" xfId="576"/>
    <cellStyle name="Hipervínculo 2" xfId="577"/>
    <cellStyle name="Hipervínculo 2 2" xfId="578"/>
    <cellStyle name="Hipervínculo 2 5" xfId="579"/>
    <cellStyle name="Hipervínculo 3" xfId="580"/>
    <cellStyle name="Hipervínculo 4" xfId="581"/>
    <cellStyle name="Hipervínculo 4 2" xfId="582"/>
    <cellStyle name="Hipervínculo 5" xfId="583"/>
    <cellStyle name="Millares 10 15 9 9 2" xfId="584"/>
    <cellStyle name="Millares 10 19 37 12" xfId="585"/>
    <cellStyle name="Millares 2" xfId="586"/>
    <cellStyle name="Millares 2 10" xfId="587"/>
    <cellStyle name="Millares 2 10 2" xfId="588"/>
    <cellStyle name="Millares 2 10 2 2" xfId="589"/>
    <cellStyle name="Millares 2 10 2 2 2" xfId="590"/>
    <cellStyle name="Millares 2 10 2 3" xfId="591"/>
    <cellStyle name="Millares 2 10 3" xfId="592"/>
    <cellStyle name="Millares 2 10 3 2" xfId="593"/>
    <cellStyle name="Millares 2 10 4" xfId="594"/>
    <cellStyle name="Millares 2 11" xfId="595"/>
    <cellStyle name="Millares 2 11 2" xfId="596"/>
    <cellStyle name="Millares 2 11 2 2" xfId="597"/>
    <cellStyle name="Millares 2 11 3" xfId="598"/>
    <cellStyle name="Millares 2 12" xfId="599"/>
    <cellStyle name="Millares 2 12 2" xfId="600"/>
    <cellStyle name="Millares 2 13" xfId="601"/>
    <cellStyle name="Millares 2 2" xfId="602"/>
    <cellStyle name="Millares 2 2 2" xfId="603"/>
    <cellStyle name="Millares 2 2 2 2" xfId="604"/>
    <cellStyle name="Millares 2 2 2 2 2" xfId="605"/>
    <cellStyle name="Millares 2 2 2 3" xfId="606"/>
    <cellStyle name="Millares 2 2 2 4" xfId="607"/>
    <cellStyle name="Millares 2 2 3" xfId="608"/>
    <cellStyle name="Millares 2 2 3 2" xfId="609"/>
    <cellStyle name="Millares 2 2 4" xfId="610"/>
    <cellStyle name="Millares 2 2 5" xfId="611"/>
    <cellStyle name="Millares 2 2 6" xfId="612"/>
    <cellStyle name="Millares 2 3" xfId="613"/>
    <cellStyle name="Millares 2 3 2" xfId="614"/>
    <cellStyle name="Millares 2 3 3" xfId="615"/>
    <cellStyle name="Millares 2 4" xfId="616"/>
    <cellStyle name="Millares 2 5" xfId="617"/>
    <cellStyle name="Millares 2 6" xfId="618"/>
    <cellStyle name="Millares 2 7" xfId="619"/>
    <cellStyle name="Millares 2 7 2" xfId="620"/>
    <cellStyle name="Millares 2 7 2 2" xfId="621"/>
    <cellStyle name="Millares 2 7 2 2 2" xfId="622"/>
    <cellStyle name="Millares 2 7 2 2 2 2" xfId="623"/>
    <cellStyle name="Millares 2 7 2 2 2 2 2" xfId="624"/>
    <cellStyle name="Millares 2 7 2 2 2 3" xfId="625"/>
    <cellStyle name="Millares 2 7 2 2 3" xfId="626"/>
    <cellStyle name="Millares 2 7 2 2 3 2" xfId="627"/>
    <cellStyle name="Millares 2 7 2 2 4" xfId="628"/>
    <cellStyle name="Millares 2 7 2 3" xfId="629"/>
    <cellStyle name="Millares 2 7 2 3 2" xfId="630"/>
    <cellStyle name="Millares 2 7 2 3 2 2" xfId="631"/>
    <cellStyle name="Millares 2 7 2 3 3" xfId="632"/>
    <cellStyle name="Millares 2 7 2 4" xfId="633"/>
    <cellStyle name="Millares 2 7 2 4 2" xfId="634"/>
    <cellStyle name="Millares 2 7 2 5" xfId="635"/>
    <cellStyle name="Millares 2 7 3" xfId="636"/>
    <cellStyle name="Millares 2 7 3 2" xfId="637"/>
    <cellStyle name="Millares 2 7 3 2 2" xfId="638"/>
    <cellStyle name="Millares 2 7 3 2 2 2" xfId="639"/>
    <cellStyle name="Millares 2 7 3 2 3" xfId="640"/>
    <cellStyle name="Millares 2 7 3 3" xfId="641"/>
    <cellStyle name="Millares 2 7 3 3 2" xfId="642"/>
    <cellStyle name="Millares 2 7 3 4" xfId="643"/>
    <cellStyle name="Millares 2 7 4" xfId="644"/>
    <cellStyle name="Millares 2 7 4 2" xfId="645"/>
    <cellStyle name="Millares 2 7 4 2 2" xfId="646"/>
    <cellStyle name="Millares 2 7 4 3" xfId="647"/>
    <cellStyle name="Millares 2 7 5" xfId="648"/>
    <cellStyle name="Millares 2 7 5 2" xfId="649"/>
    <cellStyle name="Millares 2 7 6" xfId="650"/>
    <cellStyle name="Millares 2 8" xfId="651"/>
    <cellStyle name="Millares 2 9" xfId="652"/>
    <cellStyle name="Millares 2 9 2" xfId="653"/>
    <cellStyle name="Millares 2 9 2 2" xfId="654"/>
    <cellStyle name="Millares 2 9 2 2 2" xfId="655"/>
    <cellStyle name="Millares 2 9 2 2 2 2" xfId="656"/>
    <cellStyle name="Millares 2 9 2 2 3" xfId="657"/>
    <cellStyle name="Millares 2 9 2 3" xfId="658"/>
    <cellStyle name="Millares 2 9 2 3 2" xfId="659"/>
    <cellStyle name="Millares 2 9 2 4" xfId="660"/>
    <cellStyle name="Millares 2 9 3" xfId="661"/>
    <cellStyle name="Millares 2 9 3 2" xfId="662"/>
    <cellStyle name="Millares 2 9 3 2 2" xfId="663"/>
    <cellStyle name="Millares 2 9 3 3" xfId="664"/>
    <cellStyle name="Millares 2 9 4" xfId="665"/>
    <cellStyle name="Millares 2 9 4 2" xfId="666"/>
    <cellStyle name="Millares 2 9 5" xfId="667"/>
    <cellStyle name="Millares 3" xfId="668"/>
    <cellStyle name="Millares 3 10" xfId="669"/>
    <cellStyle name="Millares 3 10 2" xfId="670"/>
    <cellStyle name="Millares 3 11" xfId="671"/>
    <cellStyle name="Millares 3 2" xfId="672"/>
    <cellStyle name="Millares 3 2 2" xfId="673"/>
    <cellStyle name="Millares 3 2 2 2" xfId="674"/>
    <cellStyle name="Millares 3 2 2 3" xfId="675"/>
    <cellStyle name="Millares 3 2 3" xfId="676"/>
    <cellStyle name="Millares 3 2 4" xfId="677"/>
    <cellStyle name="Millares 3 2 5" xfId="678"/>
    <cellStyle name="Millares 3 3" xfId="679"/>
    <cellStyle name="Millares 3 3 2" xfId="680"/>
    <cellStyle name="Millares 3 3 3" xfId="681"/>
    <cellStyle name="Millares 3 4" xfId="682"/>
    <cellStyle name="Millares 3 5" xfId="683"/>
    <cellStyle name="Millares 3 6" xfId="684"/>
    <cellStyle name="Millares 3 7" xfId="685"/>
    <cellStyle name="Millares 3 7 2" xfId="686"/>
    <cellStyle name="Millares 3 7 2 2" xfId="687"/>
    <cellStyle name="Millares 3 7 2 2 2" xfId="688"/>
    <cellStyle name="Millares 3 7 2 2 2 2" xfId="689"/>
    <cellStyle name="Millares 3 7 2 2 3" xfId="690"/>
    <cellStyle name="Millares 3 7 2 3" xfId="691"/>
    <cellStyle name="Millares 3 7 2 3 2" xfId="692"/>
    <cellStyle name="Millares 3 7 2 4" xfId="693"/>
    <cellStyle name="Millares 3 7 3" xfId="694"/>
    <cellStyle name="Millares 3 7 3 2" xfId="695"/>
    <cellStyle name="Millares 3 7 3 2 2" xfId="696"/>
    <cellStyle name="Millares 3 7 3 3" xfId="697"/>
    <cellStyle name="Millares 3 7 4" xfId="698"/>
    <cellStyle name="Millares 3 7 4 2" xfId="699"/>
    <cellStyle name="Millares 3 7 5" xfId="700"/>
    <cellStyle name="Millares 3 8" xfId="701"/>
    <cellStyle name="Millares 3 8 2" xfId="702"/>
    <cellStyle name="Millares 3 8 2 2" xfId="703"/>
    <cellStyle name="Millares 3 8 2 2 2" xfId="704"/>
    <cellStyle name="Millares 3 8 2 3" xfId="705"/>
    <cellStyle name="Millares 3 8 3" xfId="706"/>
    <cellStyle name="Millares 3 8 3 2" xfId="707"/>
    <cellStyle name="Millares 3 8 4" xfId="708"/>
    <cellStyle name="Millares 3 9" xfId="709"/>
    <cellStyle name="Millares 3 9 2" xfId="710"/>
    <cellStyle name="Millares 3 9 2 2" xfId="711"/>
    <cellStyle name="Millares 3 9 3" xfId="712"/>
    <cellStyle name="Millares 39" xfId="713"/>
    <cellStyle name="Millares 4" xfId="714"/>
    <cellStyle name="Millares 4 2" xfId="715"/>
    <cellStyle name="Millares 4 2 2" xfId="716"/>
    <cellStyle name="Millares 4 2 2 2" xfId="717"/>
    <cellStyle name="Millares 4 2 2 2 2" xfId="718"/>
    <cellStyle name="Millares 4 2 2 2 2 2" xfId="719"/>
    <cellStyle name="Millares 4 2 2 2 3" xfId="720"/>
    <cellStyle name="Millares 4 2 2 3" xfId="721"/>
    <cellStyle name="Millares 4 2 2 3 2" xfId="722"/>
    <cellStyle name="Millares 4 2 2 4" xfId="723"/>
    <cellStyle name="Millares 4 2 3" xfId="724"/>
    <cellStyle name="Millares 4 2 3 2" xfId="725"/>
    <cellStyle name="Millares 4 2 3 2 2" xfId="726"/>
    <cellStyle name="Millares 4 2 3 3" xfId="727"/>
    <cellStyle name="Millares 4 2 4" xfId="728"/>
    <cellStyle name="Millares 4 2 4 2" xfId="729"/>
    <cellStyle name="Millares 4 2 5" xfId="730"/>
    <cellStyle name="Millares 4 3" xfId="731"/>
    <cellStyle name="Millares 4 3 2" xfId="732"/>
    <cellStyle name="Millares 4 3 2 2" xfId="733"/>
    <cellStyle name="Millares 4 3 2 2 2" xfId="734"/>
    <cellStyle name="Millares 4 3 2 3" xfId="735"/>
    <cellStyle name="Millares 4 3 3" xfId="736"/>
    <cellStyle name="Millares 4 3 3 2" xfId="737"/>
    <cellStyle name="Millares 4 3 4" xfId="738"/>
    <cellStyle name="Millares 4 4" xfId="739"/>
    <cellStyle name="Millares 4 4 2" xfId="740"/>
    <cellStyle name="Millares 4 4 2 2" xfId="741"/>
    <cellStyle name="Millares 4 4 3" xfId="742"/>
    <cellStyle name="Millares 4 5" xfId="743"/>
    <cellStyle name="Millares 4 5 2" xfId="744"/>
    <cellStyle name="Millares 4 6" xfId="745"/>
    <cellStyle name="Millares 5" xfId="746"/>
    <cellStyle name="Millares 5 2" xfId="747"/>
    <cellStyle name="Millares 5 3" xfId="748"/>
    <cellStyle name="Millares 6" xfId="749"/>
    <cellStyle name="Millares 6 2" xfId="750"/>
    <cellStyle name="Moneda 2" xfId="751"/>
    <cellStyle name="Moneda 2 2" xfId="752"/>
    <cellStyle name="Moneda 2 2 2" xfId="753"/>
    <cellStyle name="Moneda 2 3" xfId="754"/>
    <cellStyle name="Moneda 2 4" xfId="755"/>
    <cellStyle name="Moneda 3" xfId="756"/>
    <cellStyle name="Moneda 3 2" xfId="757"/>
    <cellStyle name="Moneda 4" xfId="758"/>
    <cellStyle name="Normal 10" xfId="759"/>
    <cellStyle name="Normal 104" xfId="760"/>
    <cellStyle name="Normal 11" xfId="761"/>
    <cellStyle name="Normal 13" xfId="762"/>
    <cellStyle name="Normal 14" xfId="763"/>
    <cellStyle name="Normal 15" xfId="764"/>
    <cellStyle name="Normal 18" xfId="765"/>
    <cellStyle name="Normal 18 2 2" xfId="766"/>
    <cellStyle name="Normal 2" xfId="767"/>
    <cellStyle name="Normal 2 10" xfId="768"/>
    <cellStyle name="Normal 2 10 2" xfId="769"/>
    <cellStyle name="Normal 2 10 2 2" xfId="770"/>
    <cellStyle name="Normal 2 10 2 2 2" xfId="771"/>
    <cellStyle name="Normal 2 10 2 2 2 2" xfId="772"/>
    <cellStyle name="Normal 2 10 2 2 3" xfId="773"/>
    <cellStyle name="Normal 2 10 2 3" xfId="774"/>
    <cellStyle name="Normal 2 10 2 3 2" xfId="775"/>
    <cellStyle name="Normal 2 10 2 4" xfId="776"/>
    <cellStyle name="Normal 2 10 3" xfId="777"/>
    <cellStyle name="Normal 2 10 3 2" xfId="778"/>
    <cellStyle name="Normal 2 10 3 2 2" xfId="779"/>
    <cellStyle name="Normal 2 10 3 3" xfId="780"/>
    <cellStyle name="Normal 2 10 4" xfId="781"/>
    <cellStyle name="Normal 2 10 4 2" xfId="782"/>
    <cellStyle name="Normal 2 10 5" xfId="783"/>
    <cellStyle name="Normal 2 11" xfId="784"/>
    <cellStyle name="Normal 2 11 2" xfId="785"/>
    <cellStyle name="Normal 2 11 2 2" xfId="786"/>
    <cellStyle name="Normal 2 11 2 2 2" xfId="787"/>
    <cellStyle name="Normal 2 11 2 3" xfId="788"/>
    <cellStyle name="Normal 2 11 3" xfId="789"/>
    <cellStyle name="Normal 2 11 3 2" xfId="790"/>
    <cellStyle name="Normal 2 11 4" xfId="791"/>
    <cellStyle name="Normal 2 12" xfId="792"/>
    <cellStyle name="Normal 2 12 2" xfId="793"/>
    <cellStyle name="Normal 2 12 2 2" xfId="794"/>
    <cellStyle name="Normal 2 12 3" xfId="795"/>
    <cellStyle name="Normal 2 13" xfId="796"/>
    <cellStyle name="Normal 2 13 2" xfId="797"/>
    <cellStyle name="Normal 2 14" xfId="798"/>
    <cellStyle name="Normal 2 2" xfId="799"/>
    <cellStyle name="Normal 2 2 2" xfId="800"/>
    <cellStyle name="Normal 2 2 2 2" xfId="801"/>
    <cellStyle name="Normal 2 2 2 2 2" xfId="802"/>
    <cellStyle name="Normal 2 2 3" xfId="803"/>
    <cellStyle name="Normal 2 2 3 2" xfId="804"/>
    <cellStyle name="Normal 2 2 3 2 2" xfId="805"/>
    <cellStyle name="Normal 2 2 3 2 2 2" xfId="806"/>
    <cellStyle name="Normal 2 2 3 2 2 2 2" xfId="807"/>
    <cellStyle name="Normal 2 2 3 2 2 3" xfId="808"/>
    <cellStyle name="Normal 2 2 3 2 3" xfId="809"/>
    <cellStyle name="Normal 2 2 3 2 3 2" xfId="810"/>
    <cellStyle name="Normal 2 2 3 2 4" xfId="811"/>
    <cellStyle name="Normal 2 2 3 3" xfId="812"/>
    <cellStyle name="Normal 2 2 3 3 2" xfId="813"/>
    <cellStyle name="Normal 2 2 3 3 2 2" xfId="814"/>
    <cellStyle name="Normal 2 2 3 3 3" xfId="815"/>
    <cellStyle name="Normal 2 2 3 4" xfId="816"/>
    <cellStyle name="Normal 2 2 3 4 2" xfId="817"/>
    <cellStyle name="Normal 2 2 3 5" xfId="818"/>
    <cellStyle name="Normal 2 2 4" xfId="819"/>
    <cellStyle name="Normal 2 2 4 2" xfId="820"/>
    <cellStyle name="Normal 2 2 4 2 2" xfId="821"/>
    <cellStyle name="Normal 2 2 4 2 2 2" xfId="822"/>
    <cellStyle name="Normal 2 2 4 2 3" xfId="823"/>
    <cellStyle name="Normal 2 2 4 3" xfId="824"/>
    <cellStyle name="Normal 2 2 4 3 2" xfId="825"/>
    <cellStyle name="Normal 2 2 4 4" xfId="826"/>
    <cellStyle name="Normal 2 2 5" xfId="827"/>
    <cellStyle name="Normal 2 2 5 2" xfId="828"/>
    <cellStyle name="Normal 2 2 5 2 2" xfId="829"/>
    <cellStyle name="Normal 2 2 5 3" xfId="830"/>
    <cellStyle name="Normal 2 2 5 4" xfId="831"/>
    <cellStyle name="Normal 2 2 6" xfId="832"/>
    <cellStyle name="Normal 2 2 6 2" xfId="833"/>
    <cellStyle name="Normal 2 2 7" xfId="834"/>
    <cellStyle name="Normal 2 3" xfId="835"/>
    <cellStyle name="Normal 2 3 10 7" xfId="836"/>
    <cellStyle name="Normal 2 3 2" xfId="837"/>
    <cellStyle name="Normal 2 3 2 2" xfId="838"/>
    <cellStyle name="Normal 2 3 2 2 2" xfId="839"/>
    <cellStyle name="Normal 2 3 2 2 2 2" xfId="840"/>
    <cellStyle name="Normal 2 3 2 2 2 2 2" xfId="841"/>
    <cellStyle name="Normal 2 3 2 2 2 2 2 2" xfId="842"/>
    <cellStyle name="Normal 2 3 2 2 2 2 3" xfId="843"/>
    <cellStyle name="Normal 2 3 2 2 2 3" xfId="844"/>
    <cellStyle name="Normal 2 3 2 2 2 3 2" xfId="845"/>
    <cellStyle name="Normal 2 3 2 2 2 4" xfId="846"/>
    <cellStyle name="Normal 2 3 2 2 3" xfId="847"/>
    <cellStyle name="Normal 2 3 2 2 3 2" xfId="848"/>
    <cellStyle name="Normal 2 3 2 2 3 2 2" xfId="849"/>
    <cellStyle name="Normal 2 3 2 2 3 3" xfId="850"/>
    <cellStyle name="Normal 2 3 2 2 4" xfId="851"/>
    <cellStyle name="Normal 2 3 2 2 4 2" xfId="852"/>
    <cellStyle name="Normal 2 3 2 2 5" xfId="853"/>
    <cellStyle name="Normal 2 3 2 3" xfId="854"/>
    <cellStyle name="Normal 2 3 2 3 2" xfId="855"/>
    <cellStyle name="Normal 2 3 2 3 2 2" xfId="856"/>
    <cellStyle name="Normal 2 3 2 3 2 2 2" xfId="857"/>
    <cellStyle name="Normal 2 3 2 3 2 3" xfId="858"/>
    <cellStyle name="Normal 2 3 2 3 3" xfId="859"/>
    <cellStyle name="Normal 2 3 2 3 3 2" xfId="860"/>
    <cellStyle name="Normal 2 3 2 3 4" xfId="861"/>
    <cellStyle name="Normal 2 3 2 4" xfId="862"/>
    <cellStyle name="Normal 2 3 2 4 2" xfId="863"/>
    <cellStyle name="Normal 2 3 2 4 2 2" xfId="864"/>
    <cellStyle name="Normal 2 3 2 4 3" xfId="865"/>
    <cellStyle name="Normal 2 3 2 5" xfId="866"/>
    <cellStyle name="Normal 2 3 2 5 2" xfId="867"/>
    <cellStyle name="Normal 2 3 2 6" xfId="868"/>
    <cellStyle name="Normal 2 4" xfId="869"/>
    <cellStyle name="Normal 2 5" xfId="870"/>
    <cellStyle name="Normal 2 6" xfId="871"/>
    <cellStyle name="Normal 2 7" xfId="872"/>
    <cellStyle name="Normal 2 7 2" xfId="873"/>
    <cellStyle name="Normal 2 7 2 2" xfId="874"/>
    <cellStyle name="Normal 2 7 2 2 2" xfId="875"/>
    <cellStyle name="Normal 2 7 2 2 2 2" xfId="876"/>
    <cellStyle name="Normal 2 7 2 2 2 2 2" xfId="877"/>
    <cellStyle name="Normal 2 7 2 2 2 3" xfId="878"/>
    <cellStyle name="Normal 2 7 2 2 3" xfId="879"/>
    <cellStyle name="Normal 2 7 2 2 3 2" xfId="880"/>
    <cellStyle name="Normal 2 7 2 2 4" xfId="881"/>
    <cellStyle name="Normal 2 7 2 3" xfId="882"/>
    <cellStyle name="Normal 2 7 2 3 2" xfId="883"/>
    <cellStyle name="Normal 2 7 2 3 2 2" xfId="884"/>
    <cellStyle name="Normal 2 7 2 3 3" xfId="885"/>
    <cellStyle name="Normal 2 7 2 4" xfId="886"/>
    <cellStyle name="Normal 2 7 2 4 2" xfId="887"/>
    <cellStyle name="Normal 2 7 2 5" xfId="888"/>
    <cellStyle name="Normal 2 7 3" xfId="889"/>
    <cellStyle name="Normal 2 7 3 2" xfId="890"/>
    <cellStyle name="Normal 2 7 3 2 2" xfId="891"/>
    <cellStyle name="Normal 2 7 3 2 2 2" xfId="892"/>
    <cellStyle name="Normal 2 7 3 2 3" xfId="893"/>
    <cellStyle name="Normal 2 7 3 3" xfId="894"/>
    <cellStyle name="Normal 2 7 3 3 2" xfId="895"/>
    <cellStyle name="Normal 2 7 3 4" xfId="896"/>
    <cellStyle name="Normal 2 7 4" xfId="897"/>
    <cellStyle name="Normal 2 7 4 2" xfId="898"/>
    <cellStyle name="Normal 2 7 4 2 2" xfId="899"/>
    <cellStyle name="Normal 2 7 4 3" xfId="900"/>
    <cellStyle name="Normal 2 7 5" xfId="901"/>
    <cellStyle name="Normal 2 7 5 2" xfId="902"/>
    <cellStyle name="Normal 2 7 6" xfId="903"/>
    <cellStyle name="Normal 2 8" xfId="904"/>
    <cellStyle name="Normal 2 8 2" xfId="905"/>
    <cellStyle name="Normal 2 8 2 2" xfId="906"/>
    <cellStyle name="Normal 2 8 2 2 2" xfId="907"/>
    <cellStyle name="Normal 2 8 2 2 2 2" xfId="908"/>
    <cellStyle name="Normal 2 8 2 2 2 2 2" xfId="909"/>
    <cellStyle name="Normal 2 8 2 2 2 3" xfId="910"/>
    <cellStyle name="Normal 2 8 2 2 3" xfId="911"/>
    <cellStyle name="Normal 2 8 2 2 3 2" xfId="912"/>
    <cellStyle name="Normal 2 8 2 2 4" xfId="913"/>
    <cellStyle name="Normal 2 8 2 3" xfId="914"/>
    <cellStyle name="Normal 2 8 2 3 2" xfId="915"/>
    <cellStyle name="Normal 2 8 2 3 2 2" xfId="916"/>
    <cellStyle name="Normal 2 8 2 3 3" xfId="917"/>
    <cellStyle name="Normal 2 8 2 4" xfId="918"/>
    <cellStyle name="Normal 2 8 2 4 2" xfId="919"/>
    <cellStyle name="Normal 2 8 2 5" xfId="920"/>
    <cellStyle name="Normal 2 8 3" xfId="921"/>
    <cellStyle name="Normal 2 8 3 2" xfId="922"/>
    <cellStyle name="Normal 2 8 3 2 2" xfId="923"/>
    <cellStyle name="Normal 2 8 3 2 2 2" xfId="924"/>
    <cellStyle name="Normal 2 8 3 2 3" xfId="925"/>
    <cellStyle name="Normal 2 8 3 3" xfId="926"/>
    <cellStyle name="Normal 2 8 3 3 2" xfId="927"/>
    <cellStyle name="Normal 2 8 3 4" xfId="928"/>
    <cellStyle name="Normal 2 8 4" xfId="929"/>
    <cellStyle name="Normal 2 8 4 2" xfId="930"/>
    <cellStyle name="Normal 2 8 4 2 2" xfId="931"/>
    <cellStyle name="Normal 2 8 4 3" xfId="932"/>
    <cellStyle name="Normal 2 8 5" xfId="933"/>
    <cellStyle name="Normal 2 8 5 2" xfId="934"/>
    <cellStyle name="Normal 2 8 6" xfId="935"/>
    <cellStyle name="Normal 2 9" xfId="936"/>
    <cellStyle name="Normal 2 9 2" xfId="937"/>
    <cellStyle name="Normal 2 9 2 2" xfId="938"/>
    <cellStyle name="Normal 2 9 2 2 2" xfId="939"/>
    <cellStyle name="Normal 2 9 2 2 2 2" xfId="940"/>
    <cellStyle name="Normal 2 9 2 2 2 2 2" xfId="941"/>
    <cellStyle name="Normal 2 9 2 2 2 3" xfId="942"/>
    <cellStyle name="Normal 2 9 2 2 3" xfId="943"/>
    <cellStyle name="Normal 2 9 2 2 3 2" xfId="944"/>
    <cellStyle name="Normal 2 9 2 2 4" xfId="945"/>
    <cellStyle name="Normal 2 9 2 3" xfId="946"/>
    <cellStyle name="Normal 2 9 2 3 2" xfId="947"/>
    <cellStyle name="Normal 2 9 2 3 2 2" xfId="948"/>
    <cellStyle name="Normal 2 9 2 3 3" xfId="949"/>
    <cellStyle name="Normal 2 9 2 4" xfId="950"/>
    <cellStyle name="Normal 2 9 2 4 2" xfId="951"/>
    <cellStyle name="Normal 2 9 2 5" xfId="952"/>
    <cellStyle name="Normal 2 9 3" xfId="953"/>
    <cellStyle name="Normal 2 9 3 2" xfId="954"/>
    <cellStyle name="Normal 2 9 3 2 2" xfId="955"/>
    <cellStyle name="Normal 2 9 3 2 2 2" xfId="956"/>
    <cellStyle name="Normal 2 9 3 2 3" xfId="957"/>
    <cellStyle name="Normal 2 9 3 3" xfId="958"/>
    <cellStyle name="Normal 2 9 3 3 2" xfId="959"/>
    <cellStyle name="Normal 2 9 3 4" xfId="960"/>
    <cellStyle name="Normal 2 9 4" xfId="961"/>
    <cellStyle name="Normal 2 9 4 2" xfId="962"/>
    <cellStyle name="Normal 2 9 4 2 2" xfId="963"/>
    <cellStyle name="Normal 2 9 4 3" xfId="964"/>
    <cellStyle name="Normal 2 9 5" xfId="965"/>
    <cellStyle name="Normal 2 9 5 2" xfId="966"/>
    <cellStyle name="Normal 2 9 6" xfId="967"/>
    <cellStyle name="Normal 3" xfId="968"/>
    <cellStyle name="Normal 3 2" xfId="969"/>
    <cellStyle name="Normal 30" xfId="970"/>
    <cellStyle name="Normal 34 5 8" xfId="971"/>
    <cellStyle name="Normal 34 5 8 2" xfId="972"/>
    <cellStyle name="Normal 34 5 8 2 2 2" xfId="973"/>
    <cellStyle name="Normal 34 5 8 2 2 2 2" xfId="974"/>
    <cellStyle name="Normal 34 5 8 2 2 2 2 2" xfId="975"/>
    <cellStyle name="Normal 34 5 8 2 2 2 3" xfId="976"/>
    <cellStyle name="Normal 34 5 8 2 2 3" xfId="977"/>
    <cellStyle name="Normal 34 5 8 2 2 3 2" xfId="978"/>
    <cellStyle name="Normal 34 5 8 2 2 4" xfId="979"/>
    <cellStyle name="Normal 34 5 8 2 3" xfId="980"/>
    <cellStyle name="Normal 34 5 8 2 3 2" xfId="981"/>
    <cellStyle name="Normal 34 5 8 2 3 2 2" xfId="982"/>
    <cellStyle name="Normal 34 5 8 2 3 3" xfId="983"/>
    <cellStyle name="Normal 34 5 8 2 4" xfId="984"/>
    <cellStyle name="Normal 34 5 8 2 4 2" xfId="985"/>
    <cellStyle name="Normal 34 5 8 2 5" xfId="986"/>
    <cellStyle name="Normal 34 5 8 3" xfId="987"/>
    <cellStyle name="Normal 34 5 8 3 2" xfId="988"/>
    <cellStyle name="Normal 34 5 8 3 2 2" xfId="989"/>
    <cellStyle name="Normal 34 5 8 3 2 2 2" xfId="990"/>
    <cellStyle name="Normal 34 5 8 3 2 3" xfId="991"/>
    <cellStyle name="Normal 34 5 8 3 3" xfId="992"/>
    <cellStyle name="Normal 34 5 8 3 3 2" xfId="993"/>
    <cellStyle name="Normal 34 5 8 3 4" xfId="994"/>
    <cellStyle name="Normal 34 5 8 4" xfId="995"/>
    <cellStyle name="Normal 34 5 8 4 2 2" xfId="996"/>
    <cellStyle name="Normal 34 5 8 4 3" xfId="997"/>
    <cellStyle name="Normal 34 5 8 5 2" xfId="998"/>
    <cellStyle name="Normal 34 5 8 5 3" xfId="999"/>
    <cellStyle name="Normal 34 5 8 6" xfId="1000"/>
    <cellStyle name="Normal 38 16" xfId="1001"/>
    <cellStyle name="Normal 38 16 2" xfId="1002"/>
    <cellStyle name="Normal 38 4 4" xfId="1003"/>
    <cellStyle name="Normal 38 4 7" xfId="1004"/>
    <cellStyle name="Normal 4" xfId="1005"/>
    <cellStyle name="Normal 4 2" xfId="1006"/>
    <cellStyle name="Normal 4 2 2 2" xfId="1007"/>
    <cellStyle name="Normal 4 3" xfId="1008"/>
    <cellStyle name="Normal 4 3 2" xfId="1009"/>
    <cellStyle name="Normal 4 4" xfId="1010"/>
    <cellStyle name="Normal 4 5" xfId="1011"/>
    <cellStyle name="Normal 5" xfId="1012"/>
    <cellStyle name="Normal 5 2" xfId="1013"/>
    <cellStyle name="Normal 5 2 2" xfId="1014"/>
    <cellStyle name="Normal 5 2 2 2" xfId="1015"/>
    <cellStyle name="Normal 5 2 2 2 2" xfId="1016"/>
    <cellStyle name="Normal 5 2 2 2 2 2" xfId="1017"/>
    <cellStyle name="Normal 5 2 2 2 3" xfId="1018"/>
    <cellStyle name="Normal 5 2 2 3" xfId="1019"/>
    <cellStyle name="Normal 5 2 2 3 2" xfId="1020"/>
    <cellStyle name="Normal 5 2 2 4" xfId="1021"/>
    <cellStyle name="Normal 5 2 3" xfId="1022"/>
    <cellStyle name="Normal 5 2 3 2" xfId="1023"/>
    <cellStyle name="Normal 5 2 3 2 2" xfId="1024"/>
    <cellStyle name="Normal 5 2 3 3" xfId="1025"/>
    <cellStyle name="Normal 5 2 4" xfId="1026"/>
    <cellStyle name="Normal 5 2 4 2" xfId="1027"/>
    <cellStyle name="Normal 5 2 5" xfId="1028"/>
    <cellStyle name="Normal 5 3" xfId="1029"/>
    <cellStyle name="Normal 5 3 2" xfId="1030"/>
    <cellStyle name="Normal 5 3 2 2" xfId="1031"/>
    <cellStyle name="Normal 5 3 2 2 2" xfId="1032"/>
    <cellStyle name="Normal 5 3 2 3" xfId="1033"/>
    <cellStyle name="Normal 5 3 3" xfId="1034"/>
    <cellStyle name="Normal 5 3 3 2" xfId="1035"/>
    <cellStyle name="Normal 5 3 4" xfId="1036"/>
    <cellStyle name="Normal 5 4" xfId="1037"/>
    <cellStyle name="Normal 5 4 2" xfId="1038"/>
    <cellStyle name="Normal 5 4 2 2" xfId="1039"/>
    <cellStyle name="Normal 5 4 3" xfId="1040"/>
    <cellStyle name="Normal 5 5" xfId="1041"/>
    <cellStyle name="Normal 5 5 2" xfId="1042"/>
    <cellStyle name="Normal 5 6" xfId="1043"/>
    <cellStyle name="Normal 6" xfId="1044"/>
    <cellStyle name="Normal 7" xfId="1045"/>
    <cellStyle name="Normal 7 2" xfId="1046"/>
    <cellStyle name="Normal 8" xfId="1047"/>
    <cellStyle name="Normal 8 2" xfId="1048"/>
    <cellStyle name="Normal 8 3" xfId="1049"/>
    <cellStyle name="Normal 9" xfId="1050"/>
    <cellStyle name="Notas 2" xfId="1051"/>
    <cellStyle name="Notas 2 2" xfId="1052"/>
    <cellStyle name="Notas 2 2 2" xfId="1053"/>
    <cellStyle name="Notas 2 2 2 2" xfId="1054"/>
    <cellStyle name="Notas 2 2 2 2 2" xfId="1055"/>
    <cellStyle name="Notas 2 2 2 2 2 2" xfId="1056"/>
    <cellStyle name="Notas 2 2 2 2 3" xfId="1057"/>
    <cellStyle name="Notas 2 2 2 3" xfId="1058"/>
    <cellStyle name="Notas 2 2 2 3 2" xfId="1059"/>
    <cellStyle name="Notas 2 2 2 4" xfId="1060"/>
    <cellStyle name="Notas 2 2 3" xfId="1061"/>
    <cellStyle name="Notas 2 2 3 2" xfId="1062"/>
    <cellStyle name="Notas 2 2 3 2 2" xfId="1063"/>
    <cellStyle name="Notas 2 2 3 3" xfId="1064"/>
    <cellStyle name="Notas 2 2 4" xfId="1065"/>
    <cellStyle name="Notas 2 2 4 2" xfId="1066"/>
    <cellStyle name="Notas 2 2 5" xfId="1067"/>
    <cellStyle name="Notas 2 3" xfId="1068"/>
    <cellStyle name="Notas 2 3 2" xfId="1069"/>
    <cellStyle name="Notas 2 3 2 2" xfId="1070"/>
    <cellStyle name="Notas 2 3 2 2 2" xfId="1071"/>
    <cellStyle name="Notas 2 3 2 3" xfId="1072"/>
    <cellStyle name="Notas 2 3 3" xfId="1073"/>
    <cellStyle name="Notas 2 3 3 2" xfId="1074"/>
    <cellStyle name="Notas 2 3 4" xfId="1075"/>
    <cellStyle name="Notas 2 4" xfId="1076"/>
    <cellStyle name="Notas 2 4 2" xfId="1077"/>
    <cellStyle name="Notas 2 4 2 2" xfId="1078"/>
    <cellStyle name="Notas 2 4 3" xfId="1079"/>
    <cellStyle name="Notas 2 5" xfId="1080"/>
    <cellStyle name="Notas 2 5 2" xfId="1081"/>
    <cellStyle name="Notas 2 6" xfId="1082"/>
    <cellStyle name="Обычный 2" xfId="1083"/>
    <cellStyle name="Обычный 2 2 2" xfId="1084"/>
    <cellStyle name="Обычный_12_06" xfId="1085"/>
    <cellStyle name="20% - Énfasis1" xfId="1086" builtinId="30"/>
    <cellStyle name="20% - Énfasis2" xfId="1087" builtinId="34"/>
    <cellStyle name="20% - Énfasis3" xfId="1088" builtinId="38"/>
    <cellStyle name="20% - Énfasis4" xfId="1089" builtinId="42"/>
    <cellStyle name="20% - Énfasis5" xfId="1090" builtinId="46"/>
    <cellStyle name="20% - Énfasis6" xfId="1091" builtinId="50"/>
    <cellStyle name="40% - Énfasis1" xfId="1092" builtinId="31"/>
    <cellStyle name="40% - Énfasis2" xfId="1093" builtinId="35"/>
    <cellStyle name="40% - Énfasis3" xfId="1094" builtinId="39"/>
    <cellStyle name="40% - Énfasis4" xfId="1095" builtinId="43"/>
    <cellStyle name="40% - Énfasis5" xfId="1096" builtinId="47"/>
    <cellStyle name="40% - Énfasis6" xfId="1097" builtinId="51"/>
    <cellStyle name="60% - Énfasis1" xfId="1098" builtinId="32"/>
    <cellStyle name="60% - Énfasis2" xfId="1099" builtinId="36"/>
    <cellStyle name="60% - Énfasis3" xfId="1100" builtinId="40"/>
    <cellStyle name="60% - Énfasis4" xfId="1101" builtinId="44"/>
    <cellStyle name="60% - Énfasis5" xfId="1102" builtinId="48"/>
    <cellStyle name="60% - Énfasis6" xfId="1103" builtinId="52"/>
    <cellStyle name="Bueno" xfId="1104" builtinId="26"/>
    <cellStyle name="Cálculo" xfId="1105" builtinId="22"/>
    <cellStyle name="Celda de comprobación" xfId="1106" builtinId="23"/>
    <cellStyle name="Celda vinculada" xfId="1107" builtinId="24"/>
    <cellStyle name="Encabezado 1" xfId="1108" builtinId="16"/>
    <cellStyle name="Encabezado 4" xfId="1109" builtinId="19"/>
    <cellStyle name="Énfasis1" xfId="1110" builtinId="29"/>
    <cellStyle name="Énfasis2" xfId="1111" builtinId="33"/>
    <cellStyle name="Énfasis3" xfId="1112" builtinId="37"/>
    <cellStyle name="Énfasis4" xfId="1113" builtinId="41"/>
    <cellStyle name="Énfasis5" xfId="1114" builtinId="45"/>
    <cellStyle name="Énfasis6" xfId="1115" builtinId="49"/>
    <cellStyle name="Entrada" xfId="1116" builtinId="20"/>
    <cellStyle name="Incorrecto" xfId="1117" builtinId="27"/>
    <cellStyle name="Neutral" xfId="1118" builtinId="28"/>
    <cellStyle name="Notas" xfId="1119" builtinId="10"/>
    <cellStyle name="Salida" xfId="1120" builtinId="21"/>
    <cellStyle name="Texto de advertencia" xfId="1121" builtinId="11"/>
    <cellStyle name="Texto explicativo" xfId="1122" builtinId="53"/>
    <cellStyle name="Título" xfId="1123" builtinId="15"/>
    <cellStyle name="Título 2" xfId="1124" builtinId="17"/>
    <cellStyle name="Título 3" xfId="1125" builtinId="18"/>
    <cellStyle name="Total" xfId="1126" builtinId="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mnarcisa@hotmail.com" TargetMode="External" Id="rId1" /><Relationship Type="http://schemas.openxmlformats.org/officeDocument/2006/relationships/hyperlink" Target="mailto:m.e.vidal@hotmail.com" TargetMode="External" Id="rId2" /><Relationship Type="http://schemas.openxmlformats.org/officeDocument/2006/relationships/hyperlink" Target="mailto:csalome2013@gmail.com" TargetMode="External" Id="rId3" /><Relationship Type="http://schemas.openxmlformats.org/officeDocument/2006/relationships/hyperlink" Target="mailto:isa.pw92@gmail.com" TargetMode="External" Id="rId4" /><Relationship Type="http://schemas.openxmlformats.org/officeDocument/2006/relationships/hyperlink" Target="mailto:fvazquesred@hotmail.com" TargetMode="External" Id="rId5" /><Relationship Type="http://schemas.openxmlformats.org/officeDocument/2006/relationships/hyperlink" Target="mailto:izunigac@uazuay.edu.ec" TargetMode="External" Id="rId6" /><Relationship Type="http://schemas.openxmlformats.org/officeDocument/2006/relationships/hyperlink" Target="mailto:fvazquesred@hotmail.com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mailto:janetbustos38@hotmail.com" TargetMode="External" Id="rId1" /><Relationship Type="http://schemas.openxmlformats.org/officeDocument/2006/relationships/hyperlink" Target="mailto:janetbustos38@hotmail.com" TargetMode="External" Id="rId2" /><Relationship Type="http://schemas.openxmlformats.org/officeDocument/2006/relationships/hyperlink" Target="mailto:janetbustos38@hotmail.com" TargetMode="External" Id="rId3" /><Relationship Type="http://schemas.openxmlformats.org/officeDocument/2006/relationships/hyperlink" Target="mailto:yooisorellana18@gail.com" TargetMode="External" Id="rId4" /><Relationship Type="http://schemas.openxmlformats.org/officeDocument/2006/relationships/hyperlink" Target="mailto:yooisorellana18@gail.com" TargetMode="External" Id="rId5" /><Relationship Type="http://schemas.openxmlformats.org/officeDocument/2006/relationships/hyperlink" Target="mailto:ginoespinoza1a@gmail.com" TargetMode="External" Id="rId6" /><Relationship Type="http://schemas.openxmlformats.org/officeDocument/2006/relationships/hyperlink" Target="mailto:ginoespinoza1a@gmail.com" TargetMode="External" Id="rId7" /><Relationship Type="http://schemas.openxmlformats.org/officeDocument/2006/relationships/hyperlink" Target="mailto:ginoespinoza1a@gmail.com" TargetMode="External" Id="rId8" /><Relationship Type="http://schemas.openxmlformats.org/officeDocument/2006/relationships/hyperlink" Target="mailto:ginoespinoza1a@gmail.com" TargetMode="External" Id="rId9" /><Relationship Type="http://schemas.openxmlformats.org/officeDocument/2006/relationships/hyperlink" Target="mailto:marfer763@hotmail.com" TargetMode="External" Id="rId10" /><Relationship Type="http://schemas.openxmlformats.org/officeDocument/2006/relationships/hyperlink" Target="mailto:marfer763@hotmail.com" TargetMode="External" Id="rId11" /><Relationship Type="http://schemas.openxmlformats.org/officeDocument/2006/relationships/hyperlink" Target="mailto:marfer763@hotmail.com" TargetMode="External" Id="rId12" /><Relationship Type="http://schemas.openxmlformats.org/officeDocument/2006/relationships/hyperlink" Target="mailto:laveroparedes@lafabril.com.ec" TargetMode="External" Id="rId13" /><Relationship Type="http://schemas.openxmlformats.org/officeDocument/2006/relationships/hyperlink" Target="mailto:laveroparedes@lafabril.com.ec" TargetMode="External" Id="rId14" /><Relationship Type="http://schemas.openxmlformats.org/officeDocument/2006/relationships/hyperlink" Target="mailto:ceciliabogaard@gmail.com" TargetMode="External" Id="rId15" /><Relationship Type="http://schemas.openxmlformats.org/officeDocument/2006/relationships/hyperlink" Target="mailto:ceciliabogaard@gmail.com" TargetMode="External" Id="rId16" /><Relationship Type="http://schemas.openxmlformats.org/officeDocument/2006/relationships/hyperlink" Target="mailto:fmunozgn@hotmail.com" TargetMode="External" Id="rId17" /><Relationship Type="http://schemas.openxmlformats.org/officeDocument/2006/relationships/hyperlink" Target="mailto:fmunozgn@hotmail.com" TargetMode="External" Id="rId18" /><Relationship Type="http://schemas.openxmlformats.org/officeDocument/2006/relationships/hyperlink" Target="mailto:fmunozgn@hotmail.com" TargetMode="External" Id="rId19" /><Relationship Type="http://schemas.openxmlformats.org/officeDocument/2006/relationships/hyperlink" Target="mailto:fmunozgn@hotmail.com" TargetMode="External" Id="rId20" /><Relationship Type="http://schemas.openxmlformats.org/officeDocument/2006/relationships/hyperlink" Target="mailto:fmunozgn@hotmail.com" TargetMode="External" Id="rId21" /><Relationship Type="http://schemas.openxmlformats.org/officeDocument/2006/relationships/hyperlink" Target="mailto:freddychicacue@hotmail.com" TargetMode="External" Id="rId22" /><Relationship Type="http://schemas.openxmlformats.org/officeDocument/2006/relationships/hyperlink" Target="mailto:freddychicacue@hotmail.com" TargetMode="External" Id="rId23" /><Relationship Type="http://schemas.openxmlformats.org/officeDocument/2006/relationships/hyperlink" Target="mailto:jcaceres69@live.com" TargetMode="External" Id="rId24" /><Relationship Type="http://schemas.openxmlformats.org/officeDocument/2006/relationships/hyperlink" Target="mailto:jcaceres69@live.com" TargetMode="External" Id="rId25" /><Relationship Type="http://schemas.openxmlformats.org/officeDocument/2006/relationships/hyperlink" Target="mailto:gparedescoello@gmail.com" TargetMode="External" Id="rId26" /><Relationship Type="http://schemas.openxmlformats.org/officeDocument/2006/relationships/hyperlink" Target="mailto:gparedescoello@gmail.com" TargetMode="External" Id="rId27" /><Relationship Type="http://schemas.openxmlformats.org/officeDocument/2006/relationships/hyperlink" Target="mailto:gparedescoello@gmail.com" TargetMode="External" Id="rId28" /><Relationship Type="http://schemas.openxmlformats.org/officeDocument/2006/relationships/hyperlink" Target="mailto:gparedescoello@gmail.com" TargetMode="External" Id="rId29" /><Relationship Type="http://schemas.openxmlformats.org/officeDocument/2006/relationships/hyperlink" Target="mailto:gparedescoello@gmail.com" TargetMode="External" Id="rId30" /><Relationship Type="http://schemas.openxmlformats.org/officeDocument/2006/relationships/hyperlink" Target="mailto:gparedescoello@gmail.com" TargetMode="External" Id="rId31" /><Relationship Type="http://schemas.openxmlformats.org/officeDocument/2006/relationships/hyperlink" Target="mailto:gparedescoello@gmail.com" TargetMode="External" Id="rId32" /><Relationship Type="http://schemas.openxmlformats.org/officeDocument/2006/relationships/hyperlink" Target="mailto:gparedescoello@gmail.com" TargetMode="External" Id="rId33" /><Relationship Type="http://schemas.openxmlformats.org/officeDocument/2006/relationships/hyperlink" Target="mailto:gparedescoello@gmail.com" TargetMode="External" Id="rId34" /><Relationship Type="http://schemas.openxmlformats.org/officeDocument/2006/relationships/hyperlink" Target="mailto:corderojenny7@hotmail.com" TargetMode="External" Id="rId35" /><Relationship Type="http://schemas.openxmlformats.org/officeDocument/2006/relationships/hyperlink" Target="mailto:corderojenny7@hotmail.com" TargetMode="External" Id="rId36" /><Relationship Type="http://schemas.openxmlformats.org/officeDocument/2006/relationships/hyperlink" Target="mailto:corderojenny7@hotmail.com" TargetMode="External" Id="rId37" /><Relationship Type="http://schemas.openxmlformats.org/officeDocument/2006/relationships/hyperlink" Target="mailto:vidal.dp@gmail.com" TargetMode="External" Id="rId38" /><Relationship Type="http://schemas.openxmlformats.org/officeDocument/2006/relationships/hyperlink" Target="mailto:vidal.dp@gmail.com" TargetMode="External" Id="rId39" /><Relationship Type="http://schemas.openxmlformats.org/officeDocument/2006/relationships/hyperlink" Target="mailto:vidal.dp@gmail.com" TargetMode="External" Id="rId40" /><Relationship Type="http://schemas.openxmlformats.org/officeDocument/2006/relationships/hyperlink" Target="mailto:vidal.dp@gmail.com" TargetMode="External" Id="rId41" /><Relationship Type="http://schemas.openxmlformats.org/officeDocument/2006/relationships/hyperlink" Target="mailto:vidal.dp@gmail.com" TargetMode="External" Id="rId42" /><Relationship Type="http://schemas.openxmlformats.org/officeDocument/2006/relationships/hyperlink" Target="mailto:patricioq@yahoo.es" TargetMode="External" Id="rId43" /><Relationship Type="http://schemas.openxmlformats.org/officeDocument/2006/relationships/hyperlink" Target="mailto:patricioq@yahoo.es" TargetMode="External" Id="rId44" /><Relationship Type="http://schemas.openxmlformats.org/officeDocument/2006/relationships/hyperlink" Target="http://andradetl2yahoo.com/" TargetMode="External" Id="rId45" /><Relationship Type="http://schemas.openxmlformats.org/officeDocument/2006/relationships/hyperlink" Target="http://andradetl2yahoo.com/" TargetMode="External" Id="rId46" /><Relationship Type="http://schemas.openxmlformats.org/officeDocument/2006/relationships/hyperlink" Target="mailto:stefano-lb2011@hotmail.com" TargetMode="External" Id="rId47" /><Relationship Type="http://schemas.openxmlformats.org/officeDocument/2006/relationships/hyperlink" Target="mailto:stefano-lb2011@hotmail.com" TargetMode="External" Id="rId48" /><Relationship Type="http://schemas.openxmlformats.org/officeDocument/2006/relationships/hyperlink" Target="mailto:stefano-lb2011@hotmail.com" TargetMode="External" Id="rId49" /><Relationship Type="http://schemas.openxmlformats.org/officeDocument/2006/relationships/hyperlink" Target="mailto:stefano-lb2011@hotmail.com" TargetMode="External" Id="rId50" /><Relationship Type="http://schemas.openxmlformats.org/officeDocument/2006/relationships/hyperlink" Target="mailto:andreitamp89@gmail.com" TargetMode="External" Id="rId51" /><Relationship Type="http://schemas.openxmlformats.org/officeDocument/2006/relationships/hyperlink" Target="mailto:andreitamp89@gmail.com" TargetMode="External" Id="rId52" /><Relationship Type="http://schemas.openxmlformats.org/officeDocument/2006/relationships/hyperlink" Target="mailto:saidamev1956@gmail.com" TargetMode="External" Id="rId53" /><Relationship Type="http://schemas.openxmlformats.org/officeDocument/2006/relationships/hyperlink" Target="mailto:saidamev1956@gmail.com" TargetMode="External" Id="rId54" /><Relationship Type="http://schemas.openxmlformats.org/officeDocument/2006/relationships/hyperlink" Target="mailto:saidamev1956@gmail.com" TargetMode="External" Id="rId55" /><Relationship Type="http://schemas.openxmlformats.org/officeDocument/2006/relationships/hyperlink" Target="mailto:saidamev1956@gmail.com" TargetMode="External" Id="rId56" /><Relationship Type="http://schemas.openxmlformats.org/officeDocument/2006/relationships/hyperlink" Target="mailto:saidamev1956@gmail.com" TargetMode="External" Id="rId57" /><Relationship Type="http://schemas.openxmlformats.org/officeDocument/2006/relationships/hyperlink" Target="mailto:saidamev1956@gmail.com" TargetMode="External" Id="rId58" /><Relationship Type="http://schemas.openxmlformats.org/officeDocument/2006/relationships/hyperlink" Target="mailto:saidamev1956@gmail.com" TargetMode="External" Id="rId59" /><Relationship Type="http://schemas.openxmlformats.org/officeDocument/2006/relationships/hyperlink" Target="mailto:ac_estudio@outlook.es" TargetMode="External" Id="rId60" /><Relationship Type="http://schemas.openxmlformats.org/officeDocument/2006/relationships/hyperlink" Target="mailto:ac_estudio@outlook.es" TargetMode="External" Id="rId61" /><Relationship Type="http://schemas.openxmlformats.org/officeDocument/2006/relationships/hyperlink" Target="mailto:ac_estudio@outlook.es" TargetMode="External" Id="rId62" /><Relationship Type="http://schemas.openxmlformats.org/officeDocument/2006/relationships/hyperlink" Target="mailto:lorecazorla77@gmail.com" TargetMode="External" Id="rId63" /><Relationship Type="http://schemas.openxmlformats.org/officeDocument/2006/relationships/hyperlink" Target="mailto:lorecazorla77@gmail.com" TargetMode="External" Id="rId64" /><Relationship Type="http://schemas.openxmlformats.org/officeDocument/2006/relationships/hyperlink" Target="mailto:lorecazorla77@gmail.com" TargetMode="External" Id="rId65" /><Relationship Type="http://schemas.openxmlformats.org/officeDocument/2006/relationships/hyperlink" Target="mailto:lorecazorla77@gmail.com" TargetMode="External" Id="rId66" /><Relationship Type="http://schemas.openxmlformats.org/officeDocument/2006/relationships/hyperlink" Target="mailto:lorecazorla77@gmail.com" TargetMode="External" Id="rId67" /><Relationship Type="http://schemas.openxmlformats.org/officeDocument/2006/relationships/hyperlink" Target="mailto:svazquez1402@hotmail.com" TargetMode="External" Id="rId68" /><Relationship Type="http://schemas.openxmlformats.org/officeDocument/2006/relationships/hyperlink" Target="mailto:svazquez1402@hotmail.com" TargetMode="External" Id="rId69" /><Relationship Type="http://schemas.openxmlformats.org/officeDocument/2006/relationships/hyperlink" Target="mailto:svazquez1402@hotmail.com" TargetMode="External" Id="rId70" /><Relationship Type="http://schemas.openxmlformats.org/officeDocument/2006/relationships/hyperlink" Target="mailto:marthypz@yahoo.com" TargetMode="External" Id="rId71" /><Relationship Type="http://schemas.openxmlformats.org/officeDocument/2006/relationships/hyperlink" Target="mailto:marthypz@yahoo.com" TargetMode="External" Id="rId72" /><Relationship Type="http://schemas.openxmlformats.org/officeDocument/2006/relationships/hyperlink" Target="mailto:marthypz@yahoo.com" TargetMode="External" Id="rId73" /><Relationship Type="http://schemas.openxmlformats.org/officeDocument/2006/relationships/hyperlink" Target="mailto:sacmicas@gmail.com" TargetMode="External" Id="rId74" /><Relationship Type="http://schemas.openxmlformats.org/officeDocument/2006/relationships/hyperlink" Target="mailto:sacmicas@gmail.com" TargetMode="External" Id="rId75" /><Relationship Type="http://schemas.openxmlformats.org/officeDocument/2006/relationships/hyperlink" Target="mailto:sacmicas@gmail.com" TargetMode="External" Id="rId76" /><Relationship Type="http://schemas.openxmlformats.org/officeDocument/2006/relationships/hyperlink" Target="mailto:sacmicas@gmail.com" TargetMode="External" Id="rId77" /><Relationship Type="http://schemas.openxmlformats.org/officeDocument/2006/relationships/hyperlink" Target="mailto:janeth.moralesa@gmail.com" TargetMode="External" Id="rId78" /><Relationship Type="http://schemas.openxmlformats.org/officeDocument/2006/relationships/hyperlink" Target="mailto:janeth.moralesa@gmail.com" TargetMode="External" Id="rId79" /><Relationship Type="http://schemas.openxmlformats.org/officeDocument/2006/relationships/hyperlink" Target="mailto:janeth.moralesa@gmail.com" TargetMode="External" Id="rId80" /><Relationship Type="http://schemas.openxmlformats.org/officeDocument/2006/relationships/hyperlink" Target="mailto:philip14594@gmail.com" TargetMode="External" Id="rId81" /><Relationship Type="http://schemas.openxmlformats.org/officeDocument/2006/relationships/hyperlink" Target="mailto:philip14594@gmail.com" TargetMode="External" Id="rId82" /><Relationship Type="http://schemas.openxmlformats.org/officeDocument/2006/relationships/hyperlink" Target="mailto:philip14594@gmail.com" TargetMode="External" Id="rId83" /><Relationship Type="http://schemas.openxmlformats.org/officeDocument/2006/relationships/hyperlink" Target="mailto:philip14594@gmail.com" TargetMode="External" Id="rId84" /><Relationship Type="http://schemas.openxmlformats.org/officeDocument/2006/relationships/hyperlink" Target="mailto:lorenaquille27@gmail.com" TargetMode="External" Id="rId85" /><Relationship Type="http://schemas.openxmlformats.org/officeDocument/2006/relationships/hyperlink" Target="mailto:lorenaquille27@gmail.com" TargetMode="External" Id="rId86" /><Relationship Type="http://schemas.openxmlformats.org/officeDocument/2006/relationships/hyperlink" Target="mailto:juanreynov94@gmail.com" TargetMode="External" Id="rId87" /><Relationship Type="http://schemas.openxmlformats.org/officeDocument/2006/relationships/hyperlink" Target="mailto:juanreynov94@gmail.com" TargetMode="External" Id="rId88" /><Relationship Type="http://schemas.openxmlformats.org/officeDocument/2006/relationships/hyperlink" Target="mailto:pichyreinoso@hotmail.com" TargetMode="External" Id="rId89" /><Relationship Type="http://schemas.openxmlformats.org/officeDocument/2006/relationships/hyperlink" Target="mailto:pichyreinoso@hotmail.com" TargetMode="External" Id="rId90" /><Relationship Type="http://schemas.openxmlformats.org/officeDocument/2006/relationships/hyperlink" Target="mailto:pichyreinoso@hotmail.com" TargetMode="External" Id="rId91" /><Relationship Type="http://schemas.openxmlformats.org/officeDocument/2006/relationships/hyperlink" Target="mailto:deysicahe@hotmail.com" TargetMode="External" Id="rId92" /><Relationship Type="http://schemas.openxmlformats.org/officeDocument/2006/relationships/hyperlink" Target="mailto:deysicahe@hotmail.com" TargetMode="External" Id="rId93" /><Relationship Type="http://schemas.openxmlformats.org/officeDocument/2006/relationships/hyperlink" Target="mailto:s.lara.quinteros@gmail.com" TargetMode="External" Id="rId94" /><Relationship Type="http://schemas.openxmlformats.org/officeDocument/2006/relationships/hyperlink" Target="mailto:s.lara.quinteros@gmail.com" TargetMode="External" Id="rId95" /><Relationship Type="http://schemas.openxmlformats.org/officeDocument/2006/relationships/hyperlink" Target="mailto:janelita_28@hotmail.com" TargetMode="External" Id="rId96" /><Relationship Type="http://schemas.openxmlformats.org/officeDocument/2006/relationships/hyperlink" Target="mailto:janelita_28@hotmail.com" TargetMode="External" Id="rId97" /><Relationship Type="http://schemas.openxmlformats.org/officeDocument/2006/relationships/hyperlink" Target="mailto:anaisgonzalezc@hotmail.com" TargetMode="External" Id="rId98" /><Relationship Type="http://schemas.openxmlformats.org/officeDocument/2006/relationships/hyperlink" Target="mailto:anaisgonzalezc@hotmail.com" TargetMode="External" Id="rId99" /><Relationship Type="http://schemas.openxmlformats.org/officeDocument/2006/relationships/hyperlink" Target="mailto:anaisgonzalezc@hotmail.com" TargetMode="External" Id="rId100" /><Relationship Type="http://schemas.openxmlformats.org/officeDocument/2006/relationships/hyperlink" Target="mailto:anaisgonzalezc@hotmail.com" TargetMode="External" Id="rId101" /><Relationship Type="http://schemas.openxmlformats.org/officeDocument/2006/relationships/hyperlink" Target="mailto:sebastianrojasagu@gmail.com" TargetMode="External" Id="rId102" /><Relationship Type="http://schemas.openxmlformats.org/officeDocument/2006/relationships/hyperlink" Target="mailto:sebastianrojasagu@gmail.com" TargetMode="External" Id="rId103" /><Relationship Type="http://schemas.openxmlformats.org/officeDocument/2006/relationships/hyperlink" Target="mailto:davidtwo993@gmail.com" TargetMode="External" Id="rId104" /><Relationship Type="http://schemas.openxmlformats.org/officeDocument/2006/relationships/hyperlink" Target="mailto:davidtwo993@gmail.com" TargetMode="External" Id="rId105" /><Relationship Type="http://schemas.openxmlformats.org/officeDocument/2006/relationships/hyperlink" Target="mailto:danielazhagui1020@gmail.com" TargetMode="External" Id="rId106" /><Relationship Type="http://schemas.openxmlformats.org/officeDocument/2006/relationships/hyperlink" Target="mailto:danielazhagui1020@gmail.com" TargetMode="External" Id="rId107" /><Relationship Type="http://schemas.openxmlformats.org/officeDocument/2006/relationships/hyperlink" Target="mailto:danielazhagui1020@gmail.com" TargetMode="External" Id="rId108" /><Relationship Type="http://schemas.openxmlformats.org/officeDocument/2006/relationships/hyperlink" Target="mailto:comprasinghu@gmail.com" TargetMode="External" Id="rId109" /><Relationship Type="http://schemas.openxmlformats.org/officeDocument/2006/relationships/hyperlink" Target="mailto:comprasinghu@gmail.com" TargetMode="External" Id="rId110" /><Relationship Type="http://schemas.openxmlformats.org/officeDocument/2006/relationships/hyperlink" Target="mailto:comprasinghu@gmail.com" TargetMode="External" Id="rId111" /><Relationship Type="http://schemas.openxmlformats.org/officeDocument/2006/relationships/hyperlink" Target="mailto:comprasinghu@gmail.com" TargetMode="External" Id="rId112" /><Relationship Type="http://schemas.openxmlformats.org/officeDocument/2006/relationships/hyperlink" Target="mailto:gabrielamolinam@hotmail.com" TargetMode="External" Id="rId113" /><Relationship Type="http://schemas.openxmlformats.org/officeDocument/2006/relationships/hyperlink" Target="mailto:gabrielamolinam@hotmail.com" TargetMode="External" Id="rId114" /><Relationship Type="http://schemas.openxmlformats.org/officeDocument/2006/relationships/hyperlink" Target="mailto:gabrielamolinam@hotmail.com" TargetMode="External" Id="rId115" /><Relationship Type="http://schemas.openxmlformats.org/officeDocument/2006/relationships/hyperlink" Target="mailto:juanjosemaloa@gmail.com" TargetMode="External" Id="rId116" /><Relationship Type="http://schemas.openxmlformats.org/officeDocument/2006/relationships/hyperlink" Target="mailto:juanjosemaloa@gmail.com" TargetMode="External" Id="rId117" /><Relationship Type="http://schemas.openxmlformats.org/officeDocument/2006/relationships/hyperlink" Target="mailto:juanjosemaloa@gmail.com" TargetMode="External" Id="rId118" /><Relationship Type="http://schemas.openxmlformats.org/officeDocument/2006/relationships/hyperlink" Target="mailto:catinautas@gmail.com" TargetMode="External" Id="rId119" /><Relationship Type="http://schemas.openxmlformats.org/officeDocument/2006/relationships/hyperlink" Target="mailto:catinautas@gmail.com" TargetMode="External" Id="rId120" /></Relationships>
</file>

<file path=xl/worksheets/_rels/sheet3.xml.rels><Relationships xmlns="http://schemas.openxmlformats.org/package/2006/relationships"><Relationship Type="http://schemas.openxmlformats.org/officeDocument/2006/relationships/hyperlink" Target="mailto:mayurigiorgio@gmail.com" TargetMode="External" Id="rId1" /><Relationship Type="http://schemas.openxmlformats.org/officeDocument/2006/relationships/hyperlink" Target="mailto:gabigu-87@hotmail.com" TargetMode="External" Id="rId2" /><Relationship Type="http://schemas.openxmlformats.org/officeDocument/2006/relationships/hyperlink" Target="mailto:esegarra61@yahoo.com" TargetMode="External" Id="rId3" /><Relationship Type="http://schemas.openxmlformats.org/officeDocument/2006/relationships/hyperlink" Target="mailto:josesolisp@gmail.com" TargetMode="External" Id="rId4" /><Relationship Type="http://schemas.openxmlformats.org/officeDocument/2006/relationships/hyperlink" Target="mailto:timothysanderss@hotmail.com" TargetMode="External" Id="rId5" /></Relationships>
</file>

<file path=xl/worksheets/_rels/sheet6.xml.rels><Relationships xmlns="http://schemas.openxmlformats.org/package/2006/relationships"><Relationship Type="http://schemas.openxmlformats.org/officeDocument/2006/relationships/hyperlink" Target="mailto:cespada37@gmail.com" TargetMode="External" Id="rId1" /><Relationship Type="http://schemas.openxmlformats.org/officeDocument/2006/relationships/hyperlink" Target="mailto:nverdugog@cedfi.edu.ec" TargetMode="External" Id="rId2" /><Relationship Type="http://schemas.openxmlformats.org/officeDocument/2006/relationships/hyperlink" Target="mailto:victor_l69@hotmail.com" TargetMode="External" Id="rId3" /><Relationship Type="http://schemas.openxmlformats.org/officeDocument/2006/relationships/hyperlink" Target="mailto:kristalarias260188@gmail.com" TargetMode="External" Id="rId4" /><Relationship Type="http://schemas.openxmlformats.org/officeDocument/2006/relationships/hyperlink" Target="mailto:ycoronel@graiman.com" TargetMode="External" Id="rId5" /><Relationship Type="http://schemas.openxmlformats.org/officeDocument/2006/relationships/hyperlink" Target="mailto:jmau70977@gmail.com" TargetMode="External" Id="rId6" /><Relationship Type="http://schemas.openxmlformats.org/officeDocument/2006/relationships/hyperlink" Target="mailto:mjberj2003@gmail.com" TargetMode="External" Id="rId7" /><Relationship Type="http://schemas.openxmlformats.org/officeDocument/2006/relationships/hyperlink" Target="mailto:raquel.heredia_g@yahoo.com" TargetMode="External" Id="rId8" /><Relationship Type="http://schemas.openxmlformats.org/officeDocument/2006/relationships/hyperlink" Target="mailto:emilvallejo@hotmail.com" TargetMode="External" Id="rId9" /><Relationship Type="http://schemas.openxmlformats.org/officeDocument/2006/relationships/hyperlink" Target="mailto:rhlojano23@hotmail.com" TargetMode="External" Id="rId10" /><Relationship Type="http://schemas.openxmlformats.org/officeDocument/2006/relationships/hyperlink" Target="mailto:liliana.guzman.ec4@gmail.com" TargetMode="External" Id="rId11" /><Relationship Type="http://schemas.openxmlformats.org/officeDocument/2006/relationships/hyperlink" Target="mailto:j.vintimillaq@gmail.com" TargetMode="External" Id="rId12" /><Relationship Type="http://schemas.openxmlformats.org/officeDocument/2006/relationships/hyperlink" Target="mailto:alguaman@yahoo.com" TargetMode="External" Id="rId13" /><Relationship Type="http://schemas.openxmlformats.org/officeDocument/2006/relationships/hyperlink" Target="mailto:andrea.lojat@gmail.com" TargetMode="External" Id="rId14" /><Relationship Type="http://schemas.openxmlformats.org/officeDocument/2006/relationships/hyperlink" Target="mailto:ma.veronicagalvis@gmail.com" TargetMode="External" Id="rId15" /><Relationship Type="http://schemas.openxmlformats.org/officeDocument/2006/relationships/hyperlink" Target="mailto:rosyastudilloc@gmail.com" TargetMode="External" Id="rId16" /><Relationship Type="http://schemas.openxmlformats.org/officeDocument/2006/relationships/hyperlink" Target="mailto:tjachojo@gmail.com" TargetMode="External" Id="rId17" /><Relationship Type="http://schemas.openxmlformats.org/officeDocument/2006/relationships/hyperlink" Target="mailto:fstpegasus@hotmail.com" TargetMode="External" Id="rId18" /><Relationship Type="http://schemas.openxmlformats.org/officeDocument/2006/relationships/hyperlink" Target="mailto:alexingapizarro@hotmail.com" TargetMode="External" Id="rId19" /><Relationship Type="http://schemas.openxmlformats.org/officeDocument/2006/relationships/hyperlink" Target="mailto:dcrespo@hormipisos.com" TargetMode="External" Id="rId20" /><Relationship Type="http://schemas.openxmlformats.org/officeDocument/2006/relationships/hyperlink" Target="mailto:tatitram@gmail.com" TargetMode="External" Id="rId21" /><Relationship Type="http://schemas.openxmlformats.org/officeDocument/2006/relationships/hyperlink" Target="mailto:rugulomarin394@gmail.com" TargetMode="External" Id="rId22" /><Relationship Type="http://schemas.openxmlformats.org/officeDocument/2006/relationships/hyperlink" Target="mailto:meinplatz2002@gmail.com" TargetMode="External" Id="rId23" /><Relationship Type="http://schemas.openxmlformats.org/officeDocument/2006/relationships/hyperlink" Target="mailto:gerente@eimeparts.com" TargetMode="External" Id="rId24" /><Relationship Type="http://schemas.openxmlformats.org/officeDocument/2006/relationships/hyperlink" Target="mailto:dzunigar@gmail.com" TargetMode="External" Id="rId25" /><Relationship Type="http://schemas.openxmlformats.org/officeDocument/2006/relationships/hyperlink" Target="mailto:tiinasoe@live.com" TargetMode="External" Id="rId26" /><Relationship Type="http://schemas.openxmlformats.org/officeDocument/2006/relationships/hyperlink" Target="mailto:vjadan2020@gmail.com" TargetMode="External" Id="rId27" /><Relationship Type="http://schemas.openxmlformats.org/officeDocument/2006/relationships/hyperlink" Target="mailto:esegarra61@yahoo.com" TargetMode="External" Id="rId28" /><Relationship Type="http://schemas.openxmlformats.org/officeDocument/2006/relationships/hyperlink" Target="mailto:jackycarmen@hotmail.com" TargetMode="External" Id="rId29" /><Relationship Type="http://schemas.openxmlformats.org/officeDocument/2006/relationships/hyperlink" Target="mailto:orellanaconstructora@gmail.com" TargetMode="External" Id="rId30" /><Relationship Type="http://schemas.openxmlformats.org/officeDocument/2006/relationships/hyperlink" Target="mailto:samper78@hotmail.com" TargetMode="External" Id="rId31" /><Relationship Type="http://schemas.openxmlformats.org/officeDocument/2006/relationships/hyperlink" Target="mailto:samper78@hotmail.com" TargetMode="External" Id="rId32" /><Relationship Type="http://schemas.openxmlformats.org/officeDocument/2006/relationships/hyperlink" Target="mailto:jhoannaparraw@hotmail.com" TargetMode="External" Id="rId33" /><Relationship Type="http://schemas.openxmlformats.org/officeDocument/2006/relationships/hyperlink" Target="mailto:kevinfarid14@gmail.com" TargetMode="External" Id="rId34" /></Relationships>
</file>

<file path=xl/worksheets/_rels/sheet7.xml.rels><Relationships xmlns="http://schemas.openxmlformats.org/package/2006/relationships"><Relationship Type="http://schemas.openxmlformats.org/officeDocument/2006/relationships/hyperlink" Target="mailto:josesolisp@gmail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B26"/>
  <sheetViews>
    <sheetView topLeftCell="B5" zoomScale="120" zoomScaleNormal="120" workbookViewId="0">
      <selection activeCell="L27" sqref="L27"/>
    </sheetView>
  </sheetViews>
  <sheetFormatPr baseColWidth="10" defaultRowHeight="15"/>
  <cols>
    <col width="6.1640625" customWidth="1" min="1" max="1"/>
    <col width="16.1640625" customWidth="1" min="2" max="2"/>
    <col width="13.1640625" customWidth="1" min="3" max="3"/>
    <col width="8" customWidth="1" min="4" max="4"/>
    <col width="15" customWidth="1" min="5" max="5"/>
    <col width="30.1640625" customWidth="1" min="6" max="6"/>
    <col width="12.33203125" customWidth="1" min="7" max="7"/>
    <col width="29" customWidth="1" min="8" max="8"/>
    <col width="17.33203125" customWidth="1" min="9" max="9"/>
    <col width="9.1640625" customWidth="1" min="10" max="10"/>
    <col width="14.33203125" customWidth="1" min="11" max="11"/>
    <col width="33.83203125" customWidth="1" min="12" max="12"/>
    <col width="32.6640625" customWidth="1" min="13" max="13"/>
    <col width="14.5" customWidth="1" min="14" max="14"/>
    <col width="22" customWidth="1" style="2" min="15" max="15"/>
    <col width="29.6640625" customWidth="1" min="16" max="16"/>
    <col width="19.33203125" customWidth="1" min="17" max="17"/>
    <col width="26.1640625" customWidth="1" min="19" max="19"/>
    <col width="21.6640625" customWidth="1" min="20" max="20"/>
  </cols>
  <sheetData>
    <row r="2" ht="17" customHeight="1">
      <c r="B2" s="3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n"/>
      <c r="O2" s="6" t="n"/>
      <c r="P2" s="3" t="n"/>
      <c r="Q2" s="3" t="n"/>
      <c r="R2" s="3" t="n"/>
    </row>
    <row r="3" ht="18" customHeight="1">
      <c r="B3" s="7" t="n"/>
      <c r="C3" s="8" t="inlineStr">
        <is>
          <t xml:space="preserve">TEKA ECUADOR S.A. </t>
        </is>
      </c>
      <c r="D3" s="9" t="n"/>
      <c r="E3" s="10" t="n"/>
      <c r="F3" s="11" t="n"/>
      <c r="G3" s="12" t="n"/>
      <c r="H3" s="13" t="n"/>
      <c r="I3" s="13" t="n"/>
      <c r="J3" s="13" t="n"/>
      <c r="K3" s="13" t="n"/>
      <c r="L3" s="13" t="n"/>
      <c r="M3" s="14" t="n"/>
      <c r="N3" s="15" t="n"/>
      <c r="O3" s="16" t="n"/>
      <c r="P3" s="17" t="n"/>
      <c r="Q3" s="17" t="n"/>
      <c r="R3" s="17" t="n"/>
      <c r="S3" s="17" t="n"/>
    </row>
    <row r="4" ht="18" customHeight="1">
      <c r="B4" s="7" t="n"/>
      <c r="C4" s="18" t="inlineStr">
        <is>
          <t>Registro Único de Contribuyente: 1791883144001</t>
        </is>
      </c>
      <c r="D4" s="19" t="n"/>
      <c r="E4" s="20" t="n"/>
      <c r="F4" s="20" t="n"/>
      <c r="G4" s="12" t="n"/>
      <c r="H4" s="13" t="n"/>
      <c r="I4" s="13" t="n"/>
      <c r="J4" s="13" t="n"/>
      <c r="K4" s="13" t="n"/>
      <c r="L4" s="13" t="n"/>
      <c r="M4" s="14" t="n"/>
      <c r="N4" s="15" t="n"/>
      <c r="O4" s="16" t="n"/>
      <c r="P4" s="17" t="n"/>
      <c r="Q4" s="17" t="n"/>
      <c r="R4" s="17" t="n"/>
      <c r="S4" s="17" t="n"/>
    </row>
    <row r="5" ht="24" customHeight="1">
      <c r="B5" s="21" t="inlineStr">
        <is>
          <t>De Cristian Capelo</t>
        </is>
      </c>
      <c r="C5" s="22" t="n"/>
      <c r="D5" s="23" t="n"/>
      <c r="E5" s="24" t="inlineStr">
        <is>
          <t xml:space="preserve">                  TRABAJOS EN GARANTÍAS</t>
        </is>
      </c>
      <c r="F5" s="25" t="n"/>
      <c r="G5" s="26" t="n"/>
      <c r="H5" s="27" t="n"/>
      <c r="I5" s="28" t="n"/>
      <c r="J5" s="29" t="n"/>
      <c r="K5" s="29" t="n"/>
      <c r="L5" s="30" t="n"/>
      <c r="M5" s="31" t="inlineStr">
        <is>
          <t>MAYO 2026</t>
        </is>
      </c>
      <c r="N5" s="32" t="n"/>
      <c r="O5" s="33" t="n"/>
    </row>
    <row r="6" ht="17" customHeight="1">
      <c r="B6" s="34" t="inlineStr">
        <is>
          <t>Para Ing. Fernández</t>
        </is>
      </c>
      <c r="C6" s="35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7" t="n"/>
      <c r="N6" s="32" t="n"/>
      <c r="O6" s="33" t="n"/>
    </row>
    <row r="7" ht="18" customHeight="1">
      <c r="B7" s="38" t="inlineStr">
        <is>
          <t>AL 19 DE MAYO</t>
        </is>
      </c>
      <c r="C7" s="39" t="n"/>
      <c r="D7" s="40" t="n"/>
      <c r="E7" s="40" t="n"/>
      <c r="F7" s="40" t="n"/>
      <c r="G7" s="40" t="n"/>
      <c r="H7" s="40" t="inlineStr">
        <is>
          <t>ESTA SE LLENA POR DEFECTO</t>
        </is>
      </c>
      <c r="I7" s="40" t="n"/>
      <c r="J7" s="40" t="n"/>
      <c r="K7" s="40" t="n"/>
      <c r="L7" s="40" t="n"/>
      <c r="M7" s="41" t="n"/>
      <c r="N7" s="32" t="n"/>
      <c r="O7" s="33" t="n"/>
    </row>
    <row r="8" ht="36" customHeight="1">
      <c r="A8" s="42" t="n"/>
      <c r="B8" s="123" t="inlineStr">
        <is>
          <t>Fecha de Compra</t>
        </is>
      </c>
      <c r="C8" s="123" t="inlineStr">
        <is>
          <t>Fecha de Intervención</t>
        </is>
      </c>
      <c r="D8" s="123" t="inlineStr">
        <is>
          <t>Cantidad</t>
        </is>
      </c>
      <c r="E8" s="123" t="inlineStr">
        <is>
          <t>Código del repuesto</t>
        </is>
      </c>
      <c r="F8" s="123" t="inlineStr">
        <is>
          <t>Descripción del Repuesto</t>
        </is>
      </c>
      <c r="G8" s="123" t="inlineStr">
        <is>
          <t xml:space="preserve">Codigo del Producto </t>
        </is>
      </c>
      <c r="H8" s="123" t="inlineStr">
        <is>
          <t>Descripción del Producto</t>
        </is>
      </c>
      <c r="I8" s="123" t="inlineStr">
        <is>
          <t>Serie</t>
        </is>
      </c>
      <c r="J8" s="123" t="inlineStr">
        <is>
          <t>Garantía</t>
        </is>
      </c>
      <c r="K8" s="123" t="inlineStr">
        <is>
          <t xml:space="preserve">Técnico </t>
        </is>
      </c>
      <c r="L8" s="123" t="inlineStr">
        <is>
          <t>Cliente</t>
        </is>
      </c>
      <c r="M8" s="124" t="inlineStr">
        <is>
          <t>Observación</t>
        </is>
      </c>
      <c r="N8" s="125" t="inlineStr">
        <is>
          <t xml:space="preserve">valor a pagar </t>
        </is>
      </c>
      <c r="O8" s="126" t="inlineStr">
        <is>
          <t>Cédula</t>
        </is>
      </c>
      <c r="P8" s="123" t="inlineStr">
        <is>
          <t>Correo</t>
        </is>
      </c>
      <c r="Q8" s="123" t="inlineStr">
        <is>
          <t>telefono del cliente</t>
        </is>
      </c>
      <c r="R8" s="127" t="inlineStr">
        <is>
          <t xml:space="preserve">VIÁTICO </t>
        </is>
      </c>
      <c r="S8" s="127" t="inlineStr">
        <is>
          <t>FACTURA NUMERO</t>
        </is>
      </c>
      <c r="T8" s="43" t="n"/>
      <c r="U8" s="42" t="n"/>
      <c r="V8" s="42" t="n"/>
      <c r="W8" s="42" t="n"/>
      <c r="X8" s="42" t="n"/>
      <c r="Y8" s="42" t="n"/>
      <c r="Z8" s="42" t="n"/>
      <c r="AA8" s="42" t="n"/>
      <c r="AB8" s="42" t="n"/>
    </row>
    <row r="9" ht="19" customFormat="1" customHeight="1" s="102">
      <c r="A9" s="128" t="n">
        <v>1</v>
      </c>
      <c r="B9" s="129" t="n">
        <v>45815</v>
      </c>
      <c r="C9" s="129" t="n">
        <v>46133</v>
      </c>
      <c r="D9" s="130" t="n">
        <v>1</v>
      </c>
      <c r="E9" s="130" t="inlineStr">
        <is>
          <t>S/R</t>
        </is>
      </c>
      <c r="F9" s="120" t="inlineStr">
        <is>
          <t>S/R</t>
        </is>
      </c>
      <c r="G9" s="130" t="n">
        <v>112570211</v>
      </c>
      <c r="H9" s="131">
        <f>VLOOKUP(G9,PROD,2,FALSE)</f>
        <v/>
      </c>
      <c r="I9" s="130" t="inlineStr">
        <is>
          <t>ZP246K00171</t>
        </is>
      </c>
      <c r="J9" s="130" t="inlineStr">
        <is>
          <t>SAP</t>
        </is>
      </c>
      <c r="K9" s="129" t="inlineStr">
        <is>
          <t>CAPELO</t>
        </is>
      </c>
      <c r="L9" s="130" t="inlineStr">
        <is>
          <t>ZOILA MARIN</t>
        </is>
      </c>
      <c r="M9" s="130" t="inlineStr">
        <is>
          <t>AJUSTE TERMOPAR</t>
        </is>
      </c>
      <c r="N9" s="130" t="n">
        <v>12.5</v>
      </c>
      <c r="O9" s="132" t="n">
        <v>1400241434</v>
      </c>
      <c r="P9" s="134" t="inlineStr">
        <is>
          <t>mnarcisa@hotmail.com</t>
        </is>
      </c>
      <c r="Q9" s="130" t="inlineStr">
        <is>
          <t>+593 99 228 6333</t>
        </is>
      </c>
      <c r="R9" s="120" t="n"/>
      <c r="S9" s="130" t="inlineStr">
        <is>
          <t>001 500 000074082</t>
        </is>
      </c>
      <c r="T9" s="99" t="n"/>
      <c r="U9" s="181" t="n"/>
    </row>
    <row r="10" ht="19" customFormat="1" customHeight="1" s="102">
      <c r="A10" s="128" t="n">
        <v>2</v>
      </c>
      <c r="B10" s="129" t="n">
        <v>45686</v>
      </c>
      <c r="C10" s="129" t="n">
        <v>46136</v>
      </c>
      <c r="D10" s="130" t="n">
        <v>1</v>
      </c>
      <c r="E10" s="130" t="n">
        <v>40197255</v>
      </c>
      <c r="F10" s="120" t="inlineStr">
        <is>
          <t>CAMBIO</t>
        </is>
      </c>
      <c r="G10" s="130" t="n">
        <v>40197255</v>
      </c>
      <c r="H10" s="131">
        <f>VLOOKUP(G10,PROD,2,FALSE)</f>
        <v/>
      </c>
      <c r="I10" s="130" t="inlineStr">
        <is>
          <t>240428AF739</t>
        </is>
      </c>
      <c r="J10" s="130" t="inlineStr">
        <is>
          <t>SAP</t>
        </is>
      </c>
      <c r="K10" s="129" t="inlineStr">
        <is>
          <t>CAPELO</t>
        </is>
      </c>
      <c r="L10" s="130" t="inlineStr">
        <is>
          <t>CARMEN TORAL</t>
        </is>
      </c>
      <c r="M10" s="130" t="inlineStr">
        <is>
          <t xml:space="preserve">CAMBIO </t>
        </is>
      </c>
      <c r="N10" s="130" t="n">
        <v>12.5</v>
      </c>
      <c r="O10" s="132" t="n">
        <v>1029950557001</v>
      </c>
      <c r="P10" s="184" t="inlineStr">
        <is>
          <t>cat80@outlook.com</t>
        </is>
      </c>
      <c r="Q10" s="130" t="inlineStr">
        <is>
          <t>+1 (786) 468-1041</t>
        </is>
      </c>
      <c r="R10" s="120" t="n"/>
      <c r="S10" s="130" t="inlineStr">
        <is>
          <t>040 103 000011651</t>
        </is>
      </c>
      <c r="T10" s="99" t="n"/>
      <c r="U10" s="181" t="n"/>
    </row>
    <row r="11" ht="19" customFormat="1" customHeight="1" s="102">
      <c r="A11" s="128" t="n"/>
      <c r="B11" s="129" t="n">
        <v>44945</v>
      </c>
      <c r="C11" s="129" t="n">
        <v>46168</v>
      </c>
      <c r="D11" s="130" t="n">
        <v>1</v>
      </c>
      <c r="E11" s="130" t="n">
        <v>81257643</v>
      </c>
      <c r="F11" s="120" t="inlineStr">
        <is>
          <t>TERMOPAR 800</t>
        </is>
      </c>
      <c r="G11" s="130" t="n">
        <v>112570068</v>
      </c>
      <c r="H11" s="131">
        <f>VLOOKUP(G11,PROD,2,FALSE)</f>
        <v/>
      </c>
      <c r="I11" s="130" t="inlineStr">
        <is>
          <t>ZP22AE00107</t>
        </is>
      </c>
      <c r="J11" s="130" t="inlineStr">
        <is>
          <t>SAP</t>
        </is>
      </c>
      <c r="K11" s="129" t="inlineStr">
        <is>
          <t>CAPELO</t>
        </is>
      </c>
      <c r="L11" s="130" t="inlineStr">
        <is>
          <t>MARIA ELISA VIDAL</t>
        </is>
      </c>
      <c r="M11" s="130" t="inlineStr">
        <is>
          <t xml:space="preserve">CAMBIO TERMOPAR </t>
        </is>
      </c>
      <c r="N11" s="130" t="n">
        <v>12.5</v>
      </c>
      <c r="O11" s="132" t="n">
        <v>100000967</v>
      </c>
      <c r="P11" s="134" t="inlineStr">
        <is>
          <t>m.e.vidal@hotmail.com</t>
        </is>
      </c>
      <c r="Q11" s="130" t="n">
        <v>998089495</v>
      </c>
      <c r="R11" s="120" t="n"/>
      <c r="S11" s="130" t="inlineStr">
        <is>
          <t>002 101 000079248</t>
        </is>
      </c>
      <c r="T11" s="99" t="n"/>
      <c r="U11" s="181" t="n"/>
    </row>
    <row r="12" ht="19" customFormat="1" customHeight="1" s="102">
      <c r="A12" s="128" t="n">
        <v>3</v>
      </c>
      <c r="B12" s="173" t="n">
        <v>45109</v>
      </c>
      <c r="C12" s="173" t="n">
        <v>46142</v>
      </c>
      <c r="D12" s="174" t="n">
        <v>1</v>
      </c>
      <c r="E12" s="174" t="inlineStr">
        <is>
          <t>81498017/81498016</t>
        </is>
      </c>
      <c r="F12" s="120" t="inlineStr">
        <is>
          <t>PLACA ELECTRONICA/CONJUNTO MOTOR</t>
        </is>
      </c>
      <c r="G12" s="130" t="n">
        <v>112930023</v>
      </c>
      <c r="H12" s="131">
        <f>VLOOKUP(G12,PROD,2,FALSE)</f>
        <v/>
      </c>
      <c r="I12" s="174" t="inlineStr">
        <is>
          <t>ZP246C60194</t>
        </is>
      </c>
      <c r="J12" s="130" t="inlineStr">
        <is>
          <t>SAP</t>
        </is>
      </c>
      <c r="K12" s="129" t="inlineStr">
        <is>
          <t>CAPELO</t>
        </is>
      </c>
      <c r="L12" s="174" t="inlineStr">
        <is>
          <t>DALIA ZUÑIGA</t>
        </is>
      </c>
      <c r="M12" s="130" t="inlineStr">
        <is>
          <t>NO RESPONDEN MANDOS</t>
        </is>
      </c>
      <c r="N12" s="130" t="n">
        <v>15</v>
      </c>
      <c r="O12" s="175" t="n">
        <v>102287547</v>
      </c>
      <c r="P12" s="184" t="inlineStr">
        <is>
          <t>daliazuniga7@gmail.com</t>
        </is>
      </c>
      <c r="Q12" s="130" t="inlineStr">
        <is>
          <t>+593 99 516 7519</t>
        </is>
      </c>
      <c r="R12" s="120" t="n"/>
      <c r="S12" s="130" t="inlineStr">
        <is>
          <t>007 006 000120853</t>
        </is>
      </c>
    </row>
    <row r="13" ht="19" customFormat="1" customHeight="1" s="102">
      <c r="A13" s="128" t="n"/>
      <c r="B13" s="173" t="n">
        <v>45842</v>
      </c>
      <c r="C13" s="173" t="n">
        <v>46144</v>
      </c>
      <c r="D13" s="174" t="n">
        <v>1</v>
      </c>
      <c r="E13" s="174" t="n">
        <v>81214164</v>
      </c>
      <c r="F13" s="120" t="inlineStr">
        <is>
          <t>TERMOPAR AUX</t>
        </is>
      </c>
      <c r="G13" s="130" t="n">
        <v>112580027</v>
      </c>
      <c r="H13" s="131">
        <f>VLOOKUP(G13,PROD,2,FALSE)</f>
        <v/>
      </c>
      <c r="I13" s="174" t="n"/>
      <c r="J13" s="130" t="inlineStr">
        <is>
          <t>SAP</t>
        </is>
      </c>
      <c r="K13" s="129" t="inlineStr">
        <is>
          <t>CAPELO</t>
        </is>
      </c>
      <c r="L13" s="174" t="inlineStr">
        <is>
          <t>JAKELINE SILVA</t>
        </is>
      </c>
      <c r="M13" s="130" t="inlineStr">
        <is>
          <t>NO FUNCIONA TERMOPAR</t>
        </is>
      </c>
      <c r="N13" s="130" t="n">
        <v>12.5</v>
      </c>
      <c r="O13" s="175" t="n">
        <v>1706833702</v>
      </c>
      <c r="P13" s="134" t="inlineStr">
        <is>
          <t>csalome2013@gmail.com</t>
        </is>
      </c>
      <c r="Q13" s="130" t="n">
        <v>98850726</v>
      </c>
      <c r="R13" s="120" t="n"/>
      <c r="S13" s="130" t="inlineStr">
        <is>
          <t>043 902 000055207</t>
        </is>
      </c>
    </row>
    <row r="14" ht="19" customFormat="1" customHeight="1" s="102">
      <c r="A14" s="128" t="n">
        <v>4</v>
      </c>
      <c r="B14" s="173" t="n">
        <v>45366</v>
      </c>
      <c r="C14" s="173" t="n">
        <v>46146</v>
      </c>
      <c r="D14" s="174" t="n">
        <v>1</v>
      </c>
      <c r="E14" s="174" t="n">
        <v>81219016</v>
      </c>
      <c r="F14" s="120" t="inlineStr">
        <is>
          <t>GENERADOR DE ENCENDIDO</t>
        </is>
      </c>
      <c r="G14" s="174" t="n">
        <v>112580027</v>
      </c>
      <c r="H14" s="131">
        <f>VLOOKUP(G14,PROD,2,FALSE)</f>
        <v/>
      </c>
      <c r="I14" s="174" t="inlineStr">
        <is>
          <t>ZP23BE00533</t>
        </is>
      </c>
      <c r="J14" s="130" t="inlineStr">
        <is>
          <t>SAP</t>
        </is>
      </c>
      <c r="K14" s="129" t="inlineStr">
        <is>
          <t>CAPELO</t>
        </is>
      </c>
      <c r="L14" s="174" t="inlineStr">
        <is>
          <t>CRISTIAN VIVERO CONDO</t>
        </is>
      </c>
      <c r="M14" s="130" t="inlineStr">
        <is>
          <t>CAMBIO GENERADOR ENCENDICO</t>
        </is>
      </c>
      <c r="N14" s="176" t="n">
        <v>12.5</v>
      </c>
      <c r="O14" s="132" t="n">
        <v>105273411</v>
      </c>
      <c r="P14" s="184" t="inlineStr">
        <is>
          <t>chriftdaniel86@hotmail.com</t>
        </is>
      </c>
      <c r="Q14" s="130" t="n">
        <v>986536895</v>
      </c>
      <c r="R14" s="120" t="n"/>
      <c r="S14" s="130" t="inlineStr">
        <is>
          <t>001 500 000061100</t>
        </is>
      </c>
    </row>
    <row r="15" ht="19" customFormat="1" customHeight="1" s="102">
      <c r="A15" s="128" t="n">
        <v>5</v>
      </c>
      <c r="B15" s="182" t="n">
        <v>44961</v>
      </c>
      <c r="C15" s="182" t="n">
        <v>46149</v>
      </c>
      <c r="D15" s="130" t="n">
        <v>1</v>
      </c>
      <c r="E15" s="120" t="n">
        <v>81227144</v>
      </c>
      <c r="F15" s="120" t="inlineStr">
        <is>
          <t>GRIFO 32 EGW</t>
        </is>
      </c>
      <c r="G15" s="120" t="n">
        <v>112580027</v>
      </c>
      <c r="H15" s="177">
        <f>VLOOKUP(G15,PROD,2,FALSE)</f>
        <v/>
      </c>
      <c r="I15" s="120" t="inlineStr">
        <is>
          <t>ZP229600026</t>
        </is>
      </c>
      <c r="J15" s="130" t="inlineStr">
        <is>
          <t>SAP</t>
        </is>
      </c>
      <c r="K15" s="129" t="inlineStr">
        <is>
          <t>CAPELO</t>
        </is>
      </c>
      <c r="L15" s="130" t="inlineStr">
        <is>
          <t>ISABEL PENAHERRERA</t>
        </is>
      </c>
      <c r="M15" s="130" t="inlineStr">
        <is>
          <t>QUEMADOR DE GAS NO ENCIENDE</t>
        </is>
      </c>
      <c r="N15" s="120" t="n">
        <v>12.5</v>
      </c>
      <c r="O15" s="183" t="n">
        <v>104984406</v>
      </c>
      <c r="P15" s="184" t="inlineStr">
        <is>
          <t>isa.pw92@gmail.com</t>
        </is>
      </c>
      <c r="Q15" s="130" t="inlineStr">
        <is>
          <t>0984998241</t>
        </is>
      </c>
      <c r="R15" s="120" t="n"/>
      <c r="S15" s="130" t="inlineStr">
        <is>
          <t>001 500 000049549</t>
        </is>
      </c>
    </row>
    <row r="16" ht="19" customFormat="1" customHeight="1" s="102">
      <c r="A16" s="128" t="n">
        <v>6</v>
      </c>
      <c r="B16" s="182" t="n">
        <v>45353</v>
      </c>
      <c r="C16" s="182" t="n">
        <v>46153</v>
      </c>
      <c r="D16" s="130" t="n">
        <v>1</v>
      </c>
      <c r="E16" s="120" t="n">
        <v>81214139</v>
      </c>
      <c r="F16" s="120" t="inlineStr">
        <is>
          <t>CATENARIA EFX</t>
        </is>
      </c>
      <c r="G16" s="120" t="n">
        <v>112570126</v>
      </c>
      <c r="H16" s="177">
        <f>VLOOKUP(G16,PROD,2,FALSE)</f>
        <v/>
      </c>
      <c r="I16" s="120" t="inlineStr">
        <is>
          <t>ZP23C700661</t>
        </is>
      </c>
      <c r="J16" s="130" t="inlineStr">
        <is>
          <t>SAP</t>
        </is>
      </c>
      <c r="K16" s="129" t="inlineStr">
        <is>
          <t>CAPELO</t>
        </is>
      </c>
      <c r="L16" s="130" t="inlineStr">
        <is>
          <t>FERNANDO VAZQUES</t>
        </is>
      </c>
      <c r="M16" s="130" t="inlineStr">
        <is>
          <t>COCINA NO ENCIENDE QUEMADOR</t>
        </is>
      </c>
      <c r="N16" s="120" t="n">
        <v>12.5</v>
      </c>
      <c r="O16" s="183" t="n">
        <v>102298866</v>
      </c>
      <c r="P16" s="184" t="inlineStr">
        <is>
          <t>fvazquesred@hotmail.com</t>
        </is>
      </c>
      <c r="Q16" s="130" t="inlineStr">
        <is>
          <t>0993096851</t>
        </is>
      </c>
      <c r="R16" s="120" t="n"/>
      <c r="S16" s="130" t="inlineStr">
        <is>
          <t>001 500 000080717</t>
        </is>
      </c>
    </row>
    <row r="17" ht="19" customFormat="1" customHeight="1" s="102">
      <c r="A17" s="128" t="n">
        <v>7</v>
      </c>
      <c r="B17" s="104" t="n">
        <v>45627</v>
      </c>
      <c r="C17" s="104" t="n">
        <v>46155</v>
      </c>
      <c r="D17" s="179" t="n">
        <v>1</v>
      </c>
      <c r="E17" s="102" t="n">
        <v>112500047</v>
      </c>
      <c r="F17" s="102" t="inlineStr">
        <is>
          <t xml:space="preserve">CAMBIO </t>
        </is>
      </c>
      <c r="G17" s="179" t="n">
        <v>112500047</v>
      </c>
      <c r="H17" s="177">
        <f>VLOOKUP(G17,PROD,2,FALSE)</f>
        <v/>
      </c>
      <c r="I17" s="102" t="inlineStr">
        <is>
          <t>ZP24AP00573</t>
        </is>
      </c>
      <c r="J17" s="130" t="inlineStr">
        <is>
          <t>SAP</t>
        </is>
      </c>
      <c r="K17" s="129" t="inlineStr">
        <is>
          <t>CAPELO</t>
        </is>
      </c>
      <c r="L17" s="179" t="inlineStr">
        <is>
          <t>XIMENA ZUNIGA</t>
        </is>
      </c>
      <c r="M17" s="102" t="inlineStr">
        <is>
          <t>CAMBIO EQUIPO</t>
        </is>
      </c>
      <c r="N17" s="102" t="n">
        <v>12.5</v>
      </c>
      <c r="O17" s="180" t="n">
        <v>102311651001</v>
      </c>
      <c r="P17" s="181" t="inlineStr">
        <is>
          <t>izunigac@uazuay.edu.ec</t>
        </is>
      </c>
      <c r="Q17" s="179" t="inlineStr">
        <is>
          <t>0995961394</t>
        </is>
      </c>
      <c r="S17" s="179" t="inlineStr">
        <is>
          <t>040 107 000001532</t>
        </is>
      </c>
    </row>
    <row r="18" ht="19" customFormat="1" customHeight="1" s="102">
      <c r="A18" s="128" t="n">
        <v>8</v>
      </c>
      <c r="B18" s="182" t="n">
        <v>45353</v>
      </c>
      <c r="C18" s="182" t="n">
        <v>46159</v>
      </c>
      <c r="D18" s="130" t="n">
        <v>1</v>
      </c>
      <c r="E18" s="120" t="n">
        <v>83340626</v>
      </c>
      <c r="F18" s="120" t="inlineStr">
        <is>
          <t>RELOJ TC HLB 8510</t>
        </is>
      </c>
      <c r="G18" s="120" t="n">
        <v>111000050</v>
      </c>
      <c r="H18" s="177">
        <f>VLOOKUP(G18,PROD,2,FALSE)</f>
        <v/>
      </c>
      <c r="I18" s="120" t="inlineStr">
        <is>
          <t>TZ2271124051</t>
        </is>
      </c>
      <c r="J18" s="130" t="inlineStr">
        <is>
          <t>SAP</t>
        </is>
      </c>
      <c r="K18" s="129" t="inlineStr">
        <is>
          <t>CAPELO</t>
        </is>
      </c>
      <c r="L18" s="130" t="inlineStr">
        <is>
          <t>FERNANDO VAZQUES</t>
        </is>
      </c>
      <c r="M18" s="130" t="inlineStr">
        <is>
          <t>NO ENCIENDEN DIGITOS</t>
        </is>
      </c>
      <c r="N18" s="120" t="n">
        <v>15</v>
      </c>
      <c r="O18" s="183" t="n">
        <v>102298866</v>
      </c>
      <c r="P18" s="184" t="inlineStr">
        <is>
          <t>fvazquesred@hotmail.com</t>
        </is>
      </c>
      <c r="Q18" s="130" t="inlineStr">
        <is>
          <t>0993096851</t>
        </is>
      </c>
      <c r="R18" s="120" t="n"/>
      <c r="S18" s="130" t="inlineStr">
        <is>
          <t>001 500 000080717</t>
        </is>
      </c>
    </row>
    <row r="19">
      <c r="B19" s="178" t="n"/>
      <c r="N19">
        <f>SUM(N9:N18)</f>
        <v/>
      </c>
    </row>
    <row r="20"/>
    <row r="21"/>
    <row r="22" ht="16" customHeight="1">
      <c r="F22" t="n">
        <v>7</v>
      </c>
      <c r="G22" s="1" t="inlineStr">
        <is>
          <t xml:space="preserve">COCINAS </t>
        </is>
      </c>
      <c r="H22" s="1" t="n">
        <v>12.5</v>
      </c>
      <c r="I22" s="1">
        <f>F22*H22</f>
        <v/>
      </c>
    </row>
    <row r="23" ht="24" customFormat="1" customHeight="1" s="1">
      <c r="F23" t="n">
        <v>1</v>
      </c>
      <c r="G23" s="1" t="inlineStr">
        <is>
          <t xml:space="preserve">CAMPANA </t>
        </is>
      </c>
      <c r="H23" s="1" t="n">
        <v>15</v>
      </c>
      <c r="I23" s="1">
        <f>F23*H23</f>
        <v/>
      </c>
    </row>
    <row r="24" ht="19" customFormat="1" customHeight="1" s="102">
      <c r="F24" t="n">
        <v>1</v>
      </c>
      <c r="G24" s="1" t="inlineStr">
        <is>
          <t>HORNO</t>
        </is>
      </c>
      <c r="H24" s="1" t="n">
        <v>15</v>
      </c>
      <c r="I24" s="1">
        <f>F24*H24</f>
        <v/>
      </c>
    </row>
    <row r="25" ht="19" customFormat="1" customHeight="1" s="102">
      <c r="F25" t="n">
        <v>1</v>
      </c>
      <c r="G25" s="1" t="inlineStr">
        <is>
          <t>TRITURADOR</t>
        </is>
      </c>
      <c r="H25" s="1" t="n">
        <v>12.5</v>
      </c>
      <c r="I25" s="1">
        <f>F25*H25</f>
        <v/>
      </c>
    </row>
    <row r="26" ht="19" customFormat="1" customHeight="1" s="102">
      <c r="F26">
        <f>SUM(F22:F25)</f>
        <v/>
      </c>
      <c r="I26" s="1">
        <f>SUM(I22:I25)</f>
        <v/>
      </c>
    </row>
  </sheetData>
  <hyperlinks>
    <hyperlink xmlns:r="http://schemas.openxmlformats.org/officeDocument/2006/relationships" ref="P9" r:id="rId1"/>
    <hyperlink xmlns:r="http://schemas.openxmlformats.org/officeDocument/2006/relationships" ref="P11" r:id="rId2"/>
    <hyperlink xmlns:r="http://schemas.openxmlformats.org/officeDocument/2006/relationships" ref="P13" r:id="rId3"/>
    <hyperlink xmlns:r="http://schemas.openxmlformats.org/officeDocument/2006/relationships" ref="P15" r:id="rId4"/>
    <hyperlink xmlns:r="http://schemas.openxmlformats.org/officeDocument/2006/relationships" ref="P16" r:id="rId5"/>
    <hyperlink xmlns:r="http://schemas.openxmlformats.org/officeDocument/2006/relationships" ref="P17" r:id="rId6"/>
    <hyperlink xmlns:r="http://schemas.openxmlformats.org/officeDocument/2006/relationships" ref="P18" r:id="rId7"/>
  </hyperlink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U133"/>
  <sheetViews>
    <sheetView tabSelected="1" topLeftCell="B63" zoomScale="140" zoomScaleNormal="140" workbookViewId="0">
      <selection activeCell="O129" sqref="O129"/>
    </sheetView>
  </sheetViews>
  <sheetFormatPr baseColWidth="10" defaultRowHeight="15"/>
  <cols>
    <col width="5.5" customWidth="1" min="1" max="1"/>
    <col width="13.6640625" customWidth="1" min="2" max="2"/>
    <col width="22.6640625" customWidth="1" min="3" max="3"/>
    <col width="22" customWidth="1" min="4" max="4"/>
    <col width="17.1640625" customWidth="1" min="5" max="5"/>
    <col width="60.5" customWidth="1" min="6" max="6"/>
    <col width="22.83203125" customWidth="1" min="7" max="7"/>
    <col width="7.6640625" customWidth="1" min="8" max="8"/>
    <col width="14.1640625" customWidth="1" min="9" max="9"/>
    <col width="15.33203125" customWidth="1" min="10" max="10"/>
    <col width="13.83203125" customWidth="1" min="11" max="11"/>
    <col width="37.83203125" customWidth="1" min="12" max="12"/>
    <col width="39.83203125" customWidth="1" min="13" max="13"/>
    <col width="21.5" customWidth="1" min="14" max="14"/>
    <col width="12.1640625" customWidth="1" style="107" min="15" max="15"/>
    <col width="16" customWidth="1" min="16" max="16"/>
    <col width="7.6640625" customWidth="1" min="18" max="18"/>
    <col width="22.83203125" customWidth="1" min="19" max="19"/>
    <col width="22.1640625" customWidth="1" style="2" min="20" max="20"/>
    <col width="35.5" customWidth="1" min="21" max="21"/>
  </cols>
  <sheetData>
    <row r="2" ht="18" customHeight="1"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44" t="n"/>
      <c r="M2" s="44" t="n"/>
      <c r="N2" s="44" t="n"/>
      <c r="O2" s="105" t="n"/>
      <c r="P2" s="44" t="n"/>
      <c r="Q2" s="44" t="n"/>
      <c r="R2" s="44" t="n"/>
      <c r="S2" s="44" t="n"/>
    </row>
    <row r="3" ht="18" customHeight="1">
      <c r="A3" s="46" t="n"/>
      <c r="C3" s="47" t="inlineStr">
        <is>
          <t xml:space="preserve">TEKA ECUADOR S.A. </t>
        </is>
      </c>
      <c r="D3" s="44" t="n"/>
      <c r="E3" s="48" t="n"/>
      <c r="F3" s="44" t="n"/>
      <c r="G3" s="49" t="n"/>
      <c r="H3" s="45" t="n"/>
      <c r="I3" s="50" t="n"/>
      <c r="J3" s="51" t="n"/>
      <c r="K3" s="45" t="n"/>
      <c r="L3" s="52" t="n"/>
      <c r="M3" s="52" t="n"/>
      <c r="N3" s="45" t="n"/>
      <c r="O3" s="106" t="n"/>
      <c r="P3" s="44" t="n"/>
      <c r="Q3" s="44" t="n"/>
      <c r="R3" s="44" t="n"/>
      <c r="S3" s="44" t="n"/>
    </row>
    <row r="4" ht="18" customHeight="1">
      <c r="A4" s="46" t="n"/>
      <c r="C4" s="53" t="inlineStr">
        <is>
          <t>Registro Único de Contribuyente: 1791883144001</t>
        </is>
      </c>
      <c r="D4" s="44" t="n"/>
      <c r="E4" s="45" t="n"/>
      <c r="F4" s="44" t="n"/>
      <c r="G4" s="54" t="n"/>
      <c r="H4" s="55" t="n"/>
      <c r="I4" s="56" t="n"/>
      <c r="J4" s="57" t="inlineStr">
        <is>
          <t xml:space="preserve">PROMOCION </t>
        </is>
      </c>
      <c r="K4" s="55" t="n"/>
      <c r="L4" s="58" t="n"/>
      <c r="M4" s="59" t="n"/>
      <c r="N4" s="45" t="inlineStr">
        <is>
          <t>CAPELO MAYO 2026</t>
        </is>
      </c>
      <c r="O4" s="106" t="n"/>
      <c r="P4" s="60" t="n"/>
      <c r="Q4" s="44" t="n"/>
      <c r="R4" s="44" t="n"/>
      <c r="S4" s="44" t="n"/>
    </row>
    <row r="5" ht="51" customFormat="1" customHeight="1" s="1">
      <c r="A5" s="61" t="n"/>
      <c r="B5" s="62" t="inlineStr">
        <is>
          <t xml:space="preserve">FECHA DE COMPRA </t>
        </is>
      </c>
      <c r="C5" s="62" t="inlineStr">
        <is>
          <t xml:space="preserve">LUGAR DE COMRPA </t>
        </is>
      </c>
      <c r="D5" s="62" t="inlineStr">
        <is>
          <t>NUMERO DE FACTURA DE COMPRA</t>
        </is>
      </c>
      <c r="E5" s="62" t="inlineStr">
        <is>
          <t xml:space="preserve">CODIGO DEL PRODUCTO </t>
        </is>
      </c>
      <c r="F5" s="63" t="inlineStr">
        <is>
          <t xml:space="preserve">DESCRIPCION DE PRODUCTO </t>
        </is>
      </c>
      <c r="G5" s="62" t="inlineStr">
        <is>
          <t xml:space="preserve">SERIE DEL EQUIPO </t>
        </is>
      </c>
      <c r="H5" s="62" t="inlineStr">
        <is>
          <t>GARANTIA DEL EQUIPO</t>
        </is>
      </c>
      <c r="I5" s="62" t="inlineStr">
        <is>
          <t xml:space="preserve">TECNICO </t>
        </is>
      </c>
      <c r="J5" s="62" t="inlineStr">
        <is>
          <t xml:space="preserve">CIUDAD </t>
        </is>
      </c>
      <c r="K5" s="62" t="inlineStr">
        <is>
          <t xml:space="preserve">FECHA DE INSTALACION </t>
        </is>
      </c>
      <c r="L5" s="64" t="inlineStr">
        <is>
          <t>NOMBRE DEL CLIENTE</t>
        </is>
      </c>
      <c r="M5" s="64" t="inlineStr">
        <is>
          <t xml:space="preserve">DIRECCION INSTALACION </t>
        </is>
      </c>
      <c r="N5" s="62" t="inlineStr">
        <is>
          <t>CELULAR DEL CLIENTE</t>
        </is>
      </c>
      <c r="O5" s="138" t="inlineStr">
        <is>
          <t>PRECIO</t>
        </is>
      </c>
      <c r="P5" s="62" t="inlineStr">
        <is>
          <t xml:space="preserve">COMO LLEGO LA INFORMACION </t>
        </is>
      </c>
      <c r="Q5" s="62" t="inlineStr">
        <is>
          <t>TÉCNICO QUE ATENDIÓ</t>
        </is>
      </c>
      <c r="R5" s="62" t="inlineStr">
        <is>
          <t xml:space="preserve">VIÁTICO </t>
        </is>
      </c>
      <c r="S5" s="62" t="inlineStr">
        <is>
          <t>FACTURA NUMERO</t>
        </is>
      </c>
      <c r="T5" s="64" t="inlineStr">
        <is>
          <t>CEDULA O RUC</t>
        </is>
      </c>
      <c r="U5" s="62" t="inlineStr">
        <is>
          <t xml:space="preserve">CORREO DEL CLIENTE </t>
        </is>
      </c>
    </row>
    <row r="6" ht="19" customFormat="1" customHeight="1" s="102">
      <c r="A6" s="114" t="n">
        <v>1</v>
      </c>
      <c r="B6" s="100" t="n">
        <v>46085</v>
      </c>
      <c r="C6" s="99" t="inlineStr">
        <is>
          <t>COMERCIAL SOLIS</t>
        </is>
      </c>
      <c r="D6" s="99" t="inlineStr">
        <is>
          <t>001 500 000063142</t>
        </is>
      </c>
      <c r="E6" s="99" t="n">
        <v>112520025</v>
      </c>
      <c r="F6" s="113">
        <f>VLOOKUP(E6,PROD,2,FALSE)</f>
        <v/>
      </c>
      <c r="G6" s="99" t="inlineStr">
        <is>
          <t>ZP257100512</t>
        </is>
      </c>
      <c r="H6" s="99" t="inlineStr">
        <is>
          <t>SAP</t>
        </is>
      </c>
      <c r="I6" s="99" t="inlineStr">
        <is>
          <t>CAPELO</t>
        </is>
      </c>
      <c r="J6" s="99" t="inlineStr">
        <is>
          <t>CUENCA</t>
        </is>
      </c>
      <c r="K6" s="100" t="n">
        <v>46132</v>
      </c>
      <c r="L6" s="99" t="inlineStr">
        <is>
          <t>JHANET BUSTOS</t>
        </is>
      </c>
      <c r="M6" s="99" t="inlineStr">
        <is>
          <t>EDIFICIO VAZCO DEP 2C</t>
        </is>
      </c>
      <c r="N6" s="99" t="n">
        <v>997796800</v>
      </c>
      <c r="O6" s="137" t="n">
        <v>15</v>
      </c>
      <c r="P6" s="99" t="inlineStr">
        <is>
          <t>CLIENTE FINAL</t>
        </is>
      </c>
      <c r="Q6" s="99" t="inlineStr">
        <is>
          <t>CAPELO</t>
        </is>
      </c>
      <c r="S6" s="99" t="inlineStr">
        <is>
          <t>001 500 000063142</t>
        </is>
      </c>
      <c r="T6" s="101" t="n">
        <v>908864036001</v>
      </c>
      <c r="U6" s="181" t="inlineStr">
        <is>
          <t>janetbustos38@hotmail.com</t>
        </is>
      </c>
    </row>
    <row r="7" ht="19" customFormat="1" customHeight="1" s="102">
      <c r="A7" s="114" t="n">
        <v>2</v>
      </c>
      <c r="B7" s="100" t="n">
        <v>46085</v>
      </c>
      <c r="C7" s="99" t="inlineStr">
        <is>
          <t>COMERCIAL SOLIS</t>
        </is>
      </c>
      <c r="D7" s="99" t="inlineStr">
        <is>
          <t>001 500 000063142</t>
        </is>
      </c>
      <c r="E7" s="99" t="n">
        <v>113120010</v>
      </c>
      <c r="F7" s="113">
        <f>VLOOKUP(E7,PROD,2,FALSE)</f>
        <v/>
      </c>
      <c r="G7" s="99" t="inlineStr">
        <is>
          <t>TP25AL08783</t>
        </is>
      </c>
      <c r="H7" s="99" t="inlineStr">
        <is>
          <t>SAP</t>
        </is>
      </c>
      <c r="I7" s="99" t="inlineStr">
        <is>
          <t>CAPELO</t>
        </is>
      </c>
      <c r="J7" s="99" t="inlineStr">
        <is>
          <t>CUENCA</t>
        </is>
      </c>
      <c r="K7" s="100" t="n">
        <v>46132</v>
      </c>
      <c r="L7" s="99" t="inlineStr">
        <is>
          <t>JHANET BUSTOS</t>
        </is>
      </c>
      <c r="M7" s="99" t="inlineStr">
        <is>
          <t>EDIFICIO VAZCO DEP 2C</t>
        </is>
      </c>
      <c r="N7" s="99" t="n">
        <v>997796800</v>
      </c>
      <c r="O7" s="137" t="n">
        <v>15</v>
      </c>
      <c r="P7" s="99" t="inlineStr">
        <is>
          <t>CLIENTE FINAL</t>
        </is>
      </c>
      <c r="Q7" s="99" t="inlineStr">
        <is>
          <t>CAPELO</t>
        </is>
      </c>
      <c r="S7" s="99" t="inlineStr">
        <is>
          <t>001 500 000063142</t>
        </is>
      </c>
      <c r="T7" s="101" t="n">
        <v>908864036001</v>
      </c>
      <c r="U7" s="181" t="inlineStr">
        <is>
          <t>janetbustos38@hotmail.com</t>
        </is>
      </c>
    </row>
    <row r="8" ht="19" customFormat="1" customHeight="1" s="102">
      <c r="A8" s="114" t="n">
        <v>3</v>
      </c>
      <c r="B8" s="100" t="n">
        <v>46085</v>
      </c>
      <c r="C8" s="99" t="inlineStr">
        <is>
          <t>COMERCIAL SOLIS</t>
        </is>
      </c>
      <c r="D8" s="99" t="inlineStr">
        <is>
          <t>001 500 000063142</t>
        </is>
      </c>
      <c r="E8" s="99" t="n">
        <v>40782128</v>
      </c>
      <c r="F8" s="113">
        <f>VLOOKUP(E8,PROD,2,FALSE)</f>
        <v/>
      </c>
      <c r="G8" s="99" t="inlineStr">
        <is>
          <t>MD25AL08783</t>
        </is>
      </c>
      <c r="H8" s="99" t="inlineStr">
        <is>
          <t>SAP</t>
        </is>
      </c>
      <c r="I8" s="99" t="inlineStr">
        <is>
          <t>CAPELO</t>
        </is>
      </c>
      <c r="J8" s="99" t="inlineStr">
        <is>
          <t>CUENCA</t>
        </is>
      </c>
      <c r="K8" s="100" t="n">
        <v>46132</v>
      </c>
      <c r="L8" s="99" t="inlineStr">
        <is>
          <t>JHANET BUSTOS</t>
        </is>
      </c>
      <c r="M8" s="99" t="inlineStr">
        <is>
          <t>EDIFICIO VAZCO DEP 2C</t>
        </is>
      </c>
      <c r="N8" s="99" t="n">
        <v>997796800</v>
      </c>
      <c r="O8" s="137" t="n">
        <v>15</v>
      </c>
      <c r="P8" s="99" t="inlineStr">
        <is>
          <t>CLIENTE FINAL</t>
        </is>
      </c>
      <c r="Q8" s="99" t="inlineStr">
        <is>
          <t>CAPELO</t>
        </is>
      </c>
      <c r="S8" s="99" t="inlineStr">
        <is>
          <t>001 500 000063142</t>
        </is>
      </c>
      <c r="T8" s="101" t="n">
        <v>908864036001</v>
      </c>
      <c r="U8" s="181" t="inlineStr">
        <is>
          <t>janetbustos38@hotmail.com</t>
        </is>
      </c>
    </row>
    <row r="9" ht="19" customFormat="1" customHeight="1" s="102">
      <c r="A9" s="114" t="n">
        <v>4</v>
      </c>
      <c r="B9" s="100" t="n">
        <v>45909</v>
      </c>
      <c r="C9" s="99" t="inlineStr">
        <is>
          <t>COMO HOGAR</t>
        </is>
      </c>
      <c r="D9" s="99" t="inlineStr">
        <is>
          <t>040 104 000013375</t>
        </is>
      </c>
      <c r="E9" s="99" t="n">
        <v>40467305</v>
      </c>
      <c r="F9" s="113">
        <f>VLOOKUP(E9,PROD,2,FALSE)</f>
        <v/>
      </c>
      <c r="G9" s="99" t="inlineStr">
        <is>
          <t>TP2A5T00803</t>
        </is>
      </c>
      <c r="H9" s="99" t="inlineStr">
        <is>
          <t>SAP</t>
        </is>
      </c>
      <c r="I9" s="99" t="inlineStr">
        <is>
          <t>CAPELO</t>
        </is>
      </c>
      <c r="J9" s="99" t="inlineStr">
        <is>
          <t>CUENCA</t>
        </is>
      </c>
      <c r="K9" s="100" t="n">
        <v>46133</v>
      </c>
      <c r="L9" s="99" t="inlineStr">
        <is>
          <t>ESTHER ORELLANA</t>
        </is>
      </c>
      <c r="M9" s="99" t="inlineStr">
        <is>
          <t>CONDOMINIO RYO D 407</t>
        </is>
      </c>
      <c r="N9" s="99" t="inlineStr">
        <is>
          <t>+593 99 866 0919</t>
        </is>
      </c>
      <c r="O9" s="137" t="n">
        <v>20</v>
      </c>
      <c r="P9" s="99" t="inlineStr">
        <is>
          <t>CLIENTE FINAL</t>
        </is>
      </c>
      <c r="Q9" s="99" t="inlineStr">
        <is>
          <t>CAPELO</t>
        </is>
      </c>
      <c r="S9" s="99" t="inlineStr">
        <is>
          <t>040 104 000013375</t>
        </is>
      </c>
      <c r="T9" s="101" t="n">
        <v>104260997001</v>
      </c>
      <c r="U9" s="181" t="inlineStr">
        <is>
          <t>yooisorellana18@gail.com</t>
        </is>
      </c>
    </row>
    <row r="10" ht="19" customFormat="1" customHeight="1" s="102">
      <c r="A10" s="114" t="n">
        <v>5</v>
      </c>
      <c r="B10" s="100" t="n">
        <v>45909</v>
      </c>
      <c r="C10" s="99" t="inlineStr">
        <is>
          <t>COMO HOGAR</t>
        </is>
      </c>
      <c r="D10" s="99" t="inlineStr">
        <is>
          <t>040 104 000013375</t>
        </is>
      </c>
      <c r="E10" s="99" t="n">
        <v>112510035</v>
      </c>
      <c r="F10" s="113">
        <f>VLOOKUP(E10,PROD,2,FALSE)</f>
        <v/>
      </c>
      <c r="G10" s="99" t="inlineStr">
        <is>
          <t>ZP242900887</t>
        </is>
      </c>
      <c r="H10" s="99" t="inlineStr">
        <is>
          <t>SAP</t>
        </is>
      </c>
      <c r="I10" s="99" t="inlineStr">
        <is>
          <t>CAPELO</t>
        </is>
      </c>
      <c r="J10" s="99" t="inlineStr">
        <is>
          <t>CUENCA</t>
        </is>
      </c>
      <c r="K10" s="100" t="n">
        <v>46133</v>
      </c>
      <c r="L10" s="99" t="inlineStr">
        <is>
          <t>ESTHER ORELLANA</t>
        </is>
      </c>
      <c r="M10" s="99" t="inlineStr">
        <is>
          <t>CONDOMINIO RYO D 407</t>
        </is>
      </c>
      <c r="N10" s="99" t="inlineStr">
        <is>
          <t>+593 99 866 0919</t>
        </is>
      </c>
      <c r="O10" s="137" t="n">
        <v>20</v>
      </c>
      <c r="P10" s="99" t="inlineStr">
        <is>
          <t>CLIENTE FINAL</t>
        </is>
      </c>
      <c r="Q10" s="99" t="inlineStr">
        <is>
          <t>CAPELO</t>
        </is>
      </c>
      <c r="S10" s="99" t="inlineStr">
        <is>
          <t>040 104 000013375</t>
        </is>
      </c>
      <c r="T10" s="101" t="n">
        <v>104260997001</v>
      </c>
      <c r="U10" s="181" t="inlineStr">
        <is>
          <t>yooisorellana18@gail.com</t>
        </is>
      </c>
    </row>
    <row r="11" ht="19" customFormat="1" customHeight="1" s="102">
      <c r="A11" s="114" t="n">
        <v>6</v>
      </c>
      <c r="B11" s="100" t="n">
        <v>45976</v>
      </c>
      <c r="C11" s="99" t="inlineStr">
        <is>
          <t>COMERCIAL SOLIS</t>
        </is>
      </c>
      <c r="D11" s="99" t="inlineStr">
        <is>
          <t>001 500 00078810</t>
        </is>
      </c>
      <c r="E11" s="99" t="n">
        <v>112970010</v>
      </c>
      <c r="F11" s="113">
        <f>VLOOKUP(E11,PROD,2,FALSE)</f>
        <v/>
      </c>
      <c r="G11" s="99" t="inlineStr">
        <is>
          <t>TP257M01163</t>
        </is>
      </c>
      <c r="H11" s="99" t="inlineStr">
        <is>
          <t>SAP</t>
        </is>
      </c>
      <c r="I11" s="99" t="inlineStr">
        <is>
          <t>CAPELO</t>
        </is>
      </c>
      <c r="J11" s="99" t="inlineStr">
        <is>
          <t>CUENCA</t>
        </is>
      </c>
      <c r="K11" s="100" t="n">
        <v>46133</v>
      </c>
      <c r="L11" s="99" t="inlineStr">
        <is>
          <t>GINO ESPINOZA</t>
        </is>
      </c>
      <c r="M11" s="99" t="inlineStr">
        <is>
          <t>PASEO DE LOS CANARIS</t>
        </is>
      </c>
      <c r="N11" s="99" t="inlineStr">
        <is>
          <t>+593 99 916 1575</t>
        </is>
      </c>
      <c r="O11" s="137" t="n">
        <v>15</v>
      </c>
      <c r="P11" s="99" t="inlineStr">
        <is>
          <t>CLIENTE FINAL</t>
        </is>
      </c>
      <c r="Q11" s="99" t="inlineStr">
        <is>
          <t>CAPELO</t>
        </is>
      </c>
      <c r="S11" s="99" t="inlineStr">
        <is>
          <t>001 500 00078810</t>
        </is>
      </c>
      <c r="T11" s="101" t="n">
        <v>104783410001</v>
      </c>
      <c r="U11" s="181" t="inlineStr">
        <is>
          <t>ginoespinoza1a@gmail.com</t>
        </is>
      </c>
    </row>
    <row r="12" ht="19" customFormat="1" customHeight="1" s="102">
      <c r="A12" s="114" t="n">
        <v>7</v>
      </c>
      <c r="B12" s="100" t="n">
        <v>45976</v>
      </c>
      <c r="C12" s="99" t="inlineStr">
        <is>
          <t>COMERCIAL SOLIS</t>
        </is>
      </c>
      <c r="D12" s="99" t="inlineStr">
        <is>
          <t>001 500 00078810</t>
        </is>
      </c>
      <c r="E12" s="99" t="n">
        <v>40782127</v>
      </c>
      <c r="F12" s="113">
        <f>VLOOKUP(E12,PROD,2,FALSE)</f>
        <v/>
      </c>
      <c r="G12" s="99" t="inlineStr">
        <is>
          <t>MD255L08070</t>
        </is>
      </c>
      <c r="H12" s="99" t="inlineStr">
        <is>
          <t>SAP</t>
        </is>
      </c>
      <c r="I12" s="99" t="inlineStr">
        <is>
          <t>CAPELO</t>
        </is>
      </c>
      <c r="J12" s="99" t="inlineStr">
        <is>
          <t>CUENCA</t>
        </is>
      </c>
      <c r="K12" s="100" t="n">
        <v>46133</v>
      </c>
      <c r="L12" s="99" t="inlineStr">
        <is>
          <t>GINO ESPINOZA</t>
        </is>
      </c>
      <c r="M12" s="99" t="inlineStr">
        <is>
          <t>PASEO DE LOS CANARIS</t>
        </is>
      </c>
      <c r="N12" s="99" t="inlineStr">
        <is>
          <t>+593 99 916 1575</t>
        </is>
      </c>
      <c r="O12" s="137" t="n">
        <v>15</v>
      </c>
      <c r="P12" s="99" t="inlineStr">
        <is>
          <t>CLIENTE FINAL</t>
        </is>
      </c>
      <c r="Q12" s="99" t="inlineStr">
        <is>
          <t>CAPELO</t>
        </is>
      </c>
      <c r="S12" s="99" t="inlineStr">
        <is>
          <t>001 500 00078810</t>
        </is>
      </c>
      <c r="T12" s="101" t="n">
        <v>104783410001</v>
      </c>
      <c r="U12" s="181" t="inlineStr">
        <is>
          <t>ginoespinoza1a@gmail.com</t>
        </is>
      </c>
    </row>
    <row r="13" ht="19" customFormat="1" customHeight="1" s="102">
      <c r="A13" s="114" t="n">
        <v>8</v>
      </c>
      <c r="B13" s="100" t="n">
        <v>45976</v>
      </c>
      <c r="C13" s="99" t="inlineStr">
        <is>
          <t>COMERCIAL SOLIS</t>
        </is>
      </c>
      <c r="D13" s="99" t="inlineStr">
        <is>
          <t>001 500 00078810</t>
        </is>
      </c>
      <c r="E13" s="99" t="n">
        <v>112570128</v>
      </c>
      <c r="F13" s="113">
        <f>VLOOKUP(E13,PROD,2,FALSE)</f>
        <v/>
      </c>
      <c r="G13" s="99" t="inlineStr">
        <is>
          <t>ZP255500717</t>
        </is>
      </c>
      <c r="H13" s="99" t="inlineStr">
        <is>
          <t>SAP</t>
        </is>
      </c>
      <c r="I13" s="99" t="inlineStr">
        <is>
          <t>CAPELO</t>
        </is>
      </c>
      <c r="J13" s="99" t="inlineStr">
        <is>
          <t>CUENCA</t>
        </is>
      </c>
      <c r="K13" s="100" t="n">
        <v>46133</v>
      </c>
      <c r="L13" s="99" t="inlineStr">
        <is>
          <t>GINO ESPINOZA</t>
        </is>
      </c>
      <c r="M13" s="99" t="inlineStr">
        <is>
          <t>PASEO DE LOS CANARIS</t>
        </is>
      </c>
      <c r="N13" s="99" t="inlineStr">
        <is>
          <t>+593 99 916 1575</t>
        </is>
      </c>
      <c r="O13" s="137" t="n">
        <v>15</v>
      </c>
      <c r="P13" s="99" t="inlineStr">
        <is>
          <t>CLIENTE FINAL</t>
        </is>
      </c>
      <c r="Q13" s="99" t="inlineStr">
        <is>
          <t>CAPELO</t>
        </is>
      </c>
      <c r="S13" s="99" t="inlineStr">
        <is>
          <t>001 500 00078810</t>
        </is>
      </c>
      <c r="T13" s="101" t="n">
        <v>104783410001</v>
      </c>
      <c r="U13" s="181" t="inlineStr">
        <is>
          <t>ginoespinoza1a@gmail.com</t>
        </is>
      </c>
    </row>
    <row r="14" ht="19" customFormat="1" customHeight="1" s="102">
      <c r="A14" s="114" t="n">
        <v>9</v>
      </c>
      <c r="B14" s="100" t="n">
        <v>45976</v>
      </c>
      <c r="C14" s="99" t="inlineStr">
        <is>
          <t>COMERCIAL SOLIS</t>
        </is>
      </c>
      <c r="D14" s="99" t="inlineStr">
        <is>
          <t>001 500 00078810</t>
        </is>
      </c>
      <c r="E14" s="99" t="n">
        <v>111000051</v>
      </c>
      <c r="F14" s="113">
        <f>VLOOKUP(E14,PROD,2,FALSE)</f>
        <v/>
      </c>
      <c r="G14" s="99" t="inlineStr">
        <is>
          <t>TZ256404904</t>
        </is>
      </c>
      <c r="H14" s="99" t="inlineStr">
        <is>
          <t>SAP</t>
        </is>
      </c>
      <c r="I14" s="99" t="inlineStr">
        <is>
          <t>CAPELO</t>
        </is>
      </c>
      <c r="J14" s="99" t="inlineStr">
        <is>
          <t>CUENCA</t>
        </is>
      </c>
      <c r="K14" s="100" t="n">
        <v>46133</v>
      </c>
      <c r="L14" s="99" t="inlineStr">
        <is>
          <t>GINO ESPINOZA</t>
        </is>
      </c>
      <c r="M14" s="99" t="inlineStr">
        <is>
          <t>PASEO DE LOS CANARIS</t>
        </is>
      </c>
      <c r="N14" s="99" t="inlineStr">
        <is>
          <t>+593 99 916 1575</t>
        </is>
      </c>
      <c r="O14" s="137" t="n">
        <v>15</v>
      </c>
      <c r="P14" s="99" t="inlineStr">
        <is>
          <t>CLIENTE FINAL</t>
        </is>
      </c>
      <c r="Q14" s="99" t="inlineStr">
        <is>
          <t>CAPELO</t>
        </is>
      </c>
      <c r="S14" s="99" t="inlineStr">
        <is>
          <t>001 500 00078810</t>
        </is>
      </c>
      <c r="T14" s="101" t="n">
        <v>104783410001</v>
      </c>
      <c r="U14" s="181" t="inlineStr">
        <is>
          <t>ginoespinoza1a@gmail.com</t>
        </is>
      </c>
    </row>
    <row r="15" ht="19" customFormat="1" customHeight="1" s="102">
      <c r="A15" s="114" t="n">
        <v>10</v>
      </c>
      <c r="B15" s="100" t="n">
        <v>46128</v>
      </c>
      <c r="C15" s="99" t="inlineStr">
        <is>
          <t>COMERCIAL SOLIS</t>
        </is>
      </c>
      <c r="D15" s="99" t="inlineStr">
        <is>
          <t>001 500 000001143</t>
        </is>
      </c>
      <c r="E15" s="99" t="n">
        <v>111010095</v>
      </c>
      <c r="F15" s="113">
        <f>VLOOKUP(E15,PROD,2,FALSE)</f>
        <v/>
      </c>
      <c r="G15" s="99" t="inlineStr">
        <is>
          <t>TZ259202162</t>
        </is>
      </c>
      <c r="H15" s="99" t="inlineStr">
        <is>
          <t>SAP</t>
        </is>
      </c>
      <c r="I15" s="99" t="inlineStr">
        <is>
          <t>CAPELO</t>
        </is>
      </c>
      <c r="J15" s="99" t="inlineStr">
        <is>
          <t>CUENCA</t>
        </is>
      </c>
      <c r="K15" s="100" t="n">
        <v>46133</v>
      </c>
      <c r="L15" s="99" t="inlineStr">
        <is>
          <t>MARIA FERNANDA MOGROVEJO</t>
        </is>
      </c>
      <c r="M15" s="99" t="inlineStr">
        <is>
          <t>PASEO DE LOS CANARIS 4 122</t>
        </is>
      </c>
      <c r="N15" s="99" t="inlineStr">
        <is>
          <t>+593 99 962 5850</t>
        </is>
      </c>
      <c r="O15" s="137" t="n">
        <v>15</v>
      </c>
      <c r="P15" s="99" t="inlineStr">
        <is>
          <t>CLIENTE FINAL</t>
        </is>
      </c>
      <c r="Q15" s="99" t="inlineStr">
        <is>
          <t>CAPELO</t>
        </is>
      </c>
      <c r="S15" s="99" t="inlineStr">
        <is>
          <t>001 500 000001143</t>
        </is>
      </c>
      <c r="T15" s="101" t="n">
        <v>301258117</v>
      </c>
      <c r="U15" s="181" t="inlineStr">
        <is>
          <t>marfer763@hotmail.com</t>
        </is>
      </c>
    </row>
    <row r="16" ht="19" customFormat="1" customHeight="1" s="102">
      <c r="A16" s="114" t="n">
        <v>11</v>
      </c>
      <c r="B16" s="100" t="n">
        <v>46128</v>
      </c>
      <c r="C16" s="99" t="inlineStr">
        <is>
          <t>COMERCIAL SOLIS</t>
        </is>
      </c>
      <c r="D16" s="99" t="inlineStr">
        <is>
          <t>001 500 000001143</t>
        </is>
      </c>
      <c r="E16" s="99" t="n">
        <v>40461507</v>
      </c>
      <c r="F16" s="113">
        <f>VLOOKUP(E16,PROD,2,FALSE)</f>
        <v/>
      </c>
      <c r="G16" s="99" t="inlineStr">
        <is>
          <t>TP256H04650</t>
        </is>
      </c>
      <c r="H16" s="99" t="inlineStr">
        <is>
          <t>SAP</t>
        </is>
      </c>
      <c r="I16" s="99" t="inlineStr">
        <is>
          <t>CAPELO</t>
        </is>
      </c>
      <c r="J16" s="99" t="inlineStr">
        <is>
          <t>CUENCA</t>
        </is>
      </c>
      <c r="K16" s="100" t="n">
        <v>46133</v>
      </c>
      <c r="L16" s="99" t="inlineStr">
        <is>
          <t>MARIA FERNANDA MOGROVEJO</t>
        </is>
      </c>
      <c r="M16" s="99" t="inlineStr">
        <is>
          <t>PASEO DE LOS CANARIS 4 122</t>
        </is>
      </c>
      <c r="N16" s="99" t="inlineStr">
        <is>
          <t>+593 99 962 5850</t>
        </is>
      </c>
      <c r="O16" s="137" t="n">
        <v>15</v>
      </c>
      <c r="P16" s="99" t="inlineStr">
        <is>
          <t>CLIENTE FINAL</t>
        </is>
      </c>
      <c r="Q16" s="99" t="inlineStr">
        <is>
          <t>CAPELO</t>
        </is>
      </c>
      <c r="S16" s="99" t="inlineStr">
        <is>
          <t>001 500 000001143</t>
        </is>
      </c>
      <c r="T16" s="101" t="n">
        <v>301258117</v>
      </c>
      <c r="U16" s="181" t="inlineStr">
        <is>
          <t>marfer763@hotmail.com</t>
        </is>
      </c>
    </row>
    <row r="17" ht="19" customFormat="1" customHeight="1" s="102">
      <c r="A17" s="114" t="n">
        <v>12</v>
      </c>
      <c r="B17" s="100" t="n">
        <v>46128</v>
      </c>
      <c r="C17" s="99" t="inlineStr">
        <is>
          <t>COMERCIAL SOLIS</t>
        </is>
      </c>
      <c r="D17" s="99" t="inlineStr">
        <is>
          <t>001 500 000001143</t>
        </is>
      </c>
      <c r="E17" s="99" t="n">
        <v>112520025</v>
      </c>
      <c r="F17" s="113">
        <f>VLOOKUP(E17,PROD,2,FALSE)</f>
        <v/>
      </c>
      <c r="G17" s="99" t="inlineStr">
        <is>
          <t>ZP259500577</t>
        </is>
      </c>
      <c r="H17" s="99" t="inlineStr">
        <is>
          <t>SAP</t>
        </is>
      </c>
      <c r="I17" s="99" t="inlineStr">
        <is>
          <t>CAPELO</t>
        </is>
      </c>
      <c r="J17" s="99" t="inlineStr">
        <is>
          <t>CUENCA</t>
        </is>
      </c>
      <c r="K17" s="100" t="n">
        <v>46133</v>
      </c>
      <c r="L17" s="99" t="inlineStr">
        <is>
          <t>MARIA FERNANDA MOGROVEJO</t>
        </is>
      </c>
      <c r="M17" s="99" t="inlineStr">
        <is>
          <t>PASEO DE LOS CANARIS 4 122</t>
        </is>
      </c>
      <c r="N17" s="99" t="inlineStr">
        <is>
          <t>+593 99 962 5850</t>
        </is>
      </c>
      <c r="O17" s="137" t="n">
        <v>15</v>
      </c>
      <c r="P17" s="99" t="inlineStr">
        <is>
          <t>CLIENTE FINAL</t>
        </is>
      </c>
      <c r="Q17" s="99" t="inlineStr">
        <is>
          <t>CAPELO</t>
        </is>
      </c>
      <c r="S17" s="99" t="inlineStr">
        <is>
          <t>001 500 000001143</t>
        </is>
      </c>
      <c r="T17" s="101" t="n">
        <v>301258117</v>
      </c>
      <c r="U17" s="181" t="inlineStr">
        <is>
          <t>marfer763@hotmail.com</t>
        </is>
      </c>
    </row>
    <row r="18" ht="19" customFormat="1" customHeight="1" s="102">
      <c r="A18" s="114" t="n">
        <v>13</v>
      </c>
      <c r="B18" s="100" t="n">
        <v>46112</v>
      </c>
      <c r="C18" s="99" t="inlineStr">
        <is>
          <t>MERCARD</t>
        </is>
      </c>
      <c r="D18" s="99" t="inlineStr">
        <is>
          <t>001 001 000002198</t>
        </is>
      </c>
      <c r="E18" s="99" t="n">
        <v>112580027</v>
      </c>
      <c r="F18" s="113">
        <f>VLOOKUP(E18,PROD,2,FALSE)</f>
        <v/>
      </c>
      <c r="G18" s="99" t="inlineStr">
        <is>
          <t>DE258N00119</t>
        </is>
      </c>
      <c r="H18" s="99" t="inlineStr">
        <is>
          <t>SAP</t>
        </is>
      </c>
      <c r="I18" s="99" t="inlineStr">
        <is>
          <t>CAPELO</t>
        </is>
      </c>
      <c r="J18" s="99" t="inlineStr">
        <is>
          <t>CUENCA</t>
        </is>
      </c>
      <c r="K18" s="100" t="n">
        <v>46134</v>
      </c>
      <c r="L18" s="99" t="inlineStr">
        <is>
          <t>VERONICA PAREDES</t>
        </is>
      </c>
      <c r="M18" s="99" t="inlineStr">
        <is>
          <t>EDIFICIO RYO 1 DEP 314 TERCER PISO</t>
        </is>
      </c>
      <c r="N18" s="99" t="n">
        <v>994185377</v>
      </c>
      <c r="O18" s="137" t="n">
        <v>20</v>
      </c>
      <c r="P18" s="99" t="inlineStr">
        <is>
          <t>CLIENTE FINAL</t>
        </is>
      </c>
      <c r="Q18" s="99" t="inlineStr">
        <is>
          <t>CAPELO</t>
        </is>
      </c>
      <c r="S18" s="99" t="inlineStr">
        <is>
          <t>001 001 000002198</t>
        </is>
      </c>
      <c r="T18" s="101" t="n">
        <v>103825931</v>
      </c>
      <c r="U18" s="181" t="inlineStr">
        <is>
          <t>laveroparedes@lafabril.com.ec</t>
        </is>
      </c>
    </row>
    <row r="19" ht="19" customFormat="1" customHeight="1" s="102">
      <c r="A19" s="114" t="n">
        <v>14</v>
      </c>
      <c r="B19" s="100" t="n">
        <v>46112</v>
      </c>
      <c r="C19" s="99" t="inlineStr">
        <is>
          <t>MERCARD</t>
        </is>
      </c>
      <c r="D19" s="99" t="inlineStr">
        <is>
          <t>001 001 000002198</t>
        </is>
      </c>
      <c r="E19" s="99" t="n">
        <v>113150009</v>
      </c>
      <c r="F19" s="113" t="inlineStr">
        <is>
          <t>CAMPANA STANDAR CLASSIC 80</t>
        </is>
      </c>
      <c r="G19" s="99" t="inlineStr">
        <is>
          <t>ZP259500309</t>
        </is>
      </c>
      <c r="H19" s="99" t="inlineStr">
        <is>
          <t>SAP</t>
        </is>
      </c>
      <c r="I19" s="99" t="inlineStr">
        <is>
          <t>CAPELO</t>
        </is>
      </c>
      <c r="J19" s="99" t="inlineStr">
        <is>
          <t>CUENCA</t>
        </is>
      </c>
      <c r="K19" s="100" t="n">
        <v>46134</v>
      </c>
      <c r="L19" s="99" t="inlineStr">
        <is>
          <t>VERONICA PAREDES</t>
        </is>
      </c>
      <c r="M19" s="99" t="inlineStr">
        <is>
          <t>EDIFICIO RYO 1 DEP 314 TERCER PISO</t>
        </is>
      </c>
      <c r="N19" s="99" t="n">
        <v>994185377</v>
      </c>
      <c r="O19" s="137" t="n">
        <v>20</v>
      </c>
      <c r="P19" s="99" t="inlineStr">
        <is>
          <t>CLIENTE FINAL</t>
        </is>
      </c>
      <c r="Q19" s="99" t="inlineStr">
        <is>
          <t>CAPELO</t>
        </is>
      </c>
      <c r="S19" s="99" t="inlineStr">
        <is>
          <t>001 001 000002198</t>
        </is>
      </c>
      <c r="T19" s="101" t="n">
        <v>103825931</v>
      </c>
      <c r="U19" s="181" t="inlineStr">
        <is>
          <t>laveroparedes@lafabril.com.ec</t>
        </is>
      </c>
    </row>
    <row r="20" ht="19" customFormat="1" customHeight="1" s="102">
      <c r="A20" s="114" t="n">
        <v>15</v>
      </c>
      <c r="B20" s="100" t="n">
        <v>46132</v>
      </c>
      <c r="C20" s="99" t="inlineStr">
        <is>
          <t>COMO HOGAR</t>
        </is>
      </c>
      <c r="D20" s="99" t="inlineStr">
        <is>
          <t>040N 104 000017460</t>
        </is>
      </c>
      <c r="E20" s="99" t="n">
        <v>40782128</v>
      </c>
      <c r="F20" s="113">
        <f>VLOOKUP(E20,PROD,2,FALSE)</f>
        <v/>
      </c>
      <c r="G20" s="99" t="inlineStr">
        <is>
          <t>MD25AL00306</t>
        </is>
      </c>
      <c r="H20" s="99" t="inlineStr">
        <is>
          <t>SAP</t>
        </is>
      </c>
      <c r="I20" s="99" t="inlineStr">
        <is>
          <t>CAPELO</t>
        </is>
      </c>
      <c r="J20" s="99" t="inlineStr">
        <is>
          <t>CUENCA</t>
        </is>
      </c>
      <c r="K20" s="100" t="n">
        <v>46134</v>
      </c>
      <c r="L20" s="99" t="inlineStr">
        <is>
          <t>CECILIA UYT DEN BOGAARD</t>
        </is>
      </c>
      <c r="M20" s="99" t="inlineStr">
        <is>
          <t>CALLE LARGA 10-17 Y PADRE AGUIRRE CASA NOGAL</t>
        </is>
      </c>
      <c r="N20" s="99" t="inlineStr">
        <is>
          <t>+593 99 066 8032</t>
        </is>
      </c>
      <c r="O20" s="137" t="n">
        <v>20</v>
      </c>
      <c r="P20" s="99" t="inlineStr">
        <is>
          <t>CLIENTE FINAL</t>
        </is>
      </c>
      <c r="Q20" s="99" t="inlineStr">
        <is>
          <t>CAPELO</t>
        </is>
      </c>
      <c r="S20" s="99" t="inlineStr">
        <is>
          <t>040N 104 000017460</t>
        </is>
      </c>
      <c r="T20" s="101" t="n">
        <v>150714772001</v>
      </c>
      <c r="U20" s="181" t="inlineStr">
        <is>
          <t>ceciliabogaard@gmail.com</t>
        </is>
      </c>
    </row>
    <row r="21" ht="19" customFormat="1" customHeight="1" s="102">
      <c r="A21" s="114" t="n">
        <v>16</v>
      </c>
      <c r="B21" s="100" t="n">
        <v>46132</v>
      </c>
      <c r="C21" s="99" t="inlineStr">
        <is>
          <t>COMO HOGAR</t>
        </is>
      </c>
      <c r="D21" s="99" t="inlineStr">
        <is>
          <t>040N 104 000017460</t>
        </is>
      </c>
      <c r="E21" s="99" t="n">
        <v>40782128</v>
      </c>
      <c r="F21" s="113">
        <f>VLOOKUP(E21,PROD,2,FALSE)</f>
        <v/>
      </c>
      <c r="G21" s="99" t="inlineStr">
        <is>
          <t>MD25AL00322</t>
        </is>
      </c>
      <c r="H21" s="99" t="inlineStr">
        <is>
          <t>SAP</t>
        </is>
      </c>
      <c r="I21" s="99" t="inlineStr">
        <is>
          <t>CAPELO</t>
        </is>
      </c>
      <c r="J21" s="99" t="inlineStr">
        <is>
          <t>CUENCA</t>
        </is>
      </c>
      <c r="K21" s="100" t="n">
        <v>46134</v>
      </c>
      <c r="L21" s="99" t="inlineStr">
        <is>
          <t>CECILIA UYT DEN BOGAARD</t>
        </is>
      </c>
      <c r="M21" s="99" t="inlineStr">
        <is>
          <t>CALLE LARGA 10-17 Y PADRE AGUIRRE CASA NOGAL</t>
        </is>
      </c>
      <c r="N21" s="99" t="inlineStr">
        <is>
          <t>+593 99 066 8032</t>
        </is>
      </c>
      <c r="O21" s="137" t="n">
        <v>20</v>
      </c>
      <c r="P21" s="99" t="inlineStr">
        <is>
          <t>CLIENTE FINAL</t>
        </is>
      </c>
      <c r="Q21" s="99" t="inlineStr">
        <is>
          <t>CAPELO</t>
        </is>
      </c>
      <c r="S21" s="99" t="inlineStr">
        <is>
          <t>040N 104 000017460</t>
        </is>
      </c>
      <c r="T21" s="101" t="n">
        <v>150714772001</v>
      </c>
      <c r="U21" s="181" t="inlineStr">
        <is>
          <t>ceciliabogaard@gmail.com</t>
        </is>
      </c>
    </row>
    <row r="22" ht="19" customFormat="1" customHeight="1" s="102">
      <c r="A22" s="114" t="n">
        <v>17</v>
      </c>
      <c r="B22" s="100" t="n">
        <v>46012</v>
      </c>
      <c r="C22" s="99" t="inlineStr">
        <is>
          <t>HOME VEGA</t>
        </is>
      </c>
      <c r="D22" s="99" t="inlineStr">
        <is>
          <t>003 000025551</t>
        </is>
      </c>
      <c r="E22" s="99" t="n">
        <v>112030008</v>
      </c>
      <c r="F22" s="113">
        <f>VLOOKUP(E22,PROD,2,FALSE)</f>
        <v/>
      </c>
      <c r="G22" s="99" t="inlineStr">
        <is>
          <t>TP259B05212</t>
        </is>
      </c>
      <c r="H22" s="99" t="inlineStr">
        <is>
          <t>SAP</t>
        </is>
      </c>
      <c r="I22" s="99" t="inlineStr">
        <is>
          <t>CAPELO</t>
        </is>
      </c>
      <c r="J22" s="99" t="inlineStr">
        <is>
          <t>CUENCA</t>
        </is>
      </c>
      <c r="K22" s="100" t="n">
        <v>46135</v>
      </c>
      <c r="L22" s="99" t="inlineStr">
        <is>
          <t>FREDDY MUÑOZ</t>
        </is>
      </c>
      <c r="M22" s="99" t="inlineStr">
        <is>
          <t>SAYAUSI VIA BUENOS AIRES</t>
        </is>
      </c>
      <c r="N22" s="99" t="inlineStr">
        <is>
          <t>+593 99 827 9103</t>
        </is>
      </c>
      <c r="O22" s="137" t="n">
        <v>15</v>
      </c>
      <c r="P22" s="99" t="inlineStr">
        <is>
          <t>CLIENTE FINAL</t>
        </is>
      </c>
      <c r="Q22" s="99" t="inlineStr">
        <is>
          <t>CAPELO</t>
        </is>
      </c>
      <c r="S22" s="99" t="inlineStr">
        <is>
          <t>003 000025551</t>
        </is>
      </c>
      <c r="T22" s="101" t="n">
        <v>102380383001</v>
      </c>
      <c r="U22" s="181" t="inlineStr">
        <is>
          <t>fmunozgn@hotmail.com</t>
        </is>
      </c>
    </row>
    <row r="23" ht="19" customFormat="1" customHeight="1" s="102">
      <c r="A23" s="114" t="n">
        <v>18</v>
      </c>
      <c r="B23" s="100" t="n">
        <v>46012</v>
      </c>
      <c r="C23" s="99" t="inlineStr">
        <is>
          <t>HOME VEGA</t>
        </is>
      </c>
      <c r="D23" s="99" t="inlineStr">
        <is>
          <t>003 000025551</t>
        </is>
      </c>
      <c r="E23" s="99" t="n">
        <v>40446702</v>
      </c>
      <c r="F23" s="113">
        <f>VLOOKUP(E23,PROD,2,FALSE)</f>
        <v/>
      </c>
      <c r="G23" s="99" t="inlineStr">
        <is>
          <t>TP255P119304</t>
        </is>
      </c>
      <c r="H23" s="99" t="inlineStr">
        <is>
          <t>SAP</t>
        </is>
      </c>
      <c r="I23" s="99" t="inlineStr">
        <is>
          <t>CAPELO</t>
        </is>
      </c>
      <c r="J23" s="99" t="inlineStr">
        <is>
          <t>CUENCA</t>
        </is>
      </c>
      <c r="K23" s="100" t="n">
        <v>46135</v>
      </c>
      <c r="L23" s="99" t="inlineStr">
        <is>
          <t>FREDDY MUÑOZ</t>
        </is>
      </c>
      <c r="M23" s="99" t="inlineStr">
        <is>
          <t>SAYAUSI VIA BUENOS AIRES</t>
        </is>
      </c>
      <c r="N23" s="99" t="inlineStr">
        <is>
          <t>+593 99 827 9103</t>
        </is>
      </c>
      <c r="O23" s="137" t="n">
        <v>15</v>
      </c>
      <c r="P23" s="99" t="inlineStr">
        <is>
          <t>CLIENTE FINAL</t>
        </is>
      </c>
      <c r="Q23" s="99" t="inlineStr">
        <is>
          <t>CAPELO</t>
        </is>
      </c>
      <c r="S23" s="99" t="inlineStr">
        <is>
          <t>003 000025551</t>
        </is>
      </c>
      <c r="T23" s="101" t="n">
        <v>102380383001</v>
      </c>
      <c r="U23" s="181" t="inlineStr">
        <is>
          <t>fmunozgn@hotmail.com</t>
        </is>
      </c>
    </row>
    <row r="24" ht="19" customFormat="1" customHeight="1" s="102">
      <c r="A24" s="114" t="n">
        <v>19</v>
      </c>
      <c r="B24" s="100" t="n">
        <v>46012</v>
      </c>
      <c r="C24" s="99" t="inlineStr">
        <is>
          <t>HOME VEGA</t>
        </is>
      </c>
      <c r="D24" s="99" t="inlineStr">
        <is>
          <t>003 000025551</t>
        </is>
      </c>
      <c r="E24" s="99" t="n">
        <v>112570128</v>
      </c>
      <c r="F24" s="113">
        <f>VLOOKUP(E24,PROD,2,FALSE)</f>
        <v/>
      </c>
      <c r="G24" s="99" t="inlineStr">
        <is>
          <t>ZP257E00358</t>
        </is>
      </c>
      <c r="H24" s="99" t="inlineStr">
        <is>
          <t>SAP</t>
        </is>
      </c>
      <c r="I24" s="99" t="inlineStr">
        <is>
          <t>CAPELO</t>
        </is>
      </c>
      <c r="J24" s="99" t="inlineStr">
        <is>
          <t>CUENCA</t>
        </is>
      </c>
      <c r="K24" s="100" t="n">
        <v>46135</v>
      </c>
      <c r="L24" s="99" t="inlineStr">
        <is>
          <t>FREDDY MUÑOZ</t>
        </is>
      </c>
      <c r="M24" s="99" t="inlineStr">
        <is>
          <t>SAYAUSI VIA BUENOS AIRES</t>
        </is>
      </c>
      <c r="N24" s="99" t="inlineStr">
        <is>
          <t>+593 99 827 9103</t>
        </is>
      </c>
      <c r="O24" s="137" t="n">
        <v>15</v>
      </c>
      <c r="P24" s="99" t="inlineStr">
        <is>
          <t>CLIENTE FINAL</t>
        </is>
      </c>
      <c r="Q24" s="99" t="inlineStr">
        <is>
          <t>CAPELO</t>
        </is>
      </c>
      <c r="S24" s="99" t="inlineStr">
        <is>
          <t>003 000025551</t>
        </is>
      </c>
      <c r="T24" s="101" t="n">
        <v>102380383001</v>
      </c>
      <c r="U24" s="181" t="inlineStr">
        <is>
          <t>fmunozgn@hotmail.com</t>
        </is>
      </c>
    </row>
    <row r="25" ht="19" customFormat="1" customHeight="1" s="102">
      <c r="A25" s="114" t="n">
        <v>20</v>
      </c>
      <c r="B25" s="100" t="n">
        <v>46012</v>
      </c>
      <c r="C25" s="99" t="inlineStr">
        <is>
          <t>HOME VEGA</t>
        </is>
      </c>
      <c r="D25" s="99" t="inlineStr">
        <is>
          <t>003 000025551</t>
        </is>
      </c>
      <c r="E25" s="99" t="n">
        <v>40782127</v>
      </c>
      <c r="F25" s="113">
        <f>VLOOKUP(E25,PROD,2,FALSE)</f>
        <v/>
      </c>
      <c r="G25" s="99" t="inlineStr">
        <is>
          <t>MD257L03112</t>
        </is>
      </c>
      <c r="H25" s="99" t="inlineStr">
        <is>
          <t>SAP</t>
        </is>
      </c>
      <c r="I25" s="99" t="inlineStr">
        <is>
          <t>CAPELO</t>
        </is>
      </c>
      <c r="J25" s="99" t="inlineStr">
        <is>
          <t>CUENCA</t>
        </is>
      </c>
      <c r="K25" s="100" t="n">
        <v>46135</v>
      </c>
      <c r="L25" s="99" t="inlineStr">
        <is>
          <t>FREDDY MUÑOZ</t>
        </is>
      </c>
      <c r="M25" s="99" t="inlineStr">
        <is>
          <t>SAYAUSI VIA BUENOS AIRES</t>
        </is>
      </c>
      <c r="N25" s="99" t="inlineStr">
        <is>
          <t>+593 99 827 9103</t>
        </is>
      </c>
      <c r="O25" s="137" t="n">
        <v>15</v>
      </c>
      <c r="P25" s="99" t="inlineStr">
        <is>
          <t>CLIENTE FINAL</t>
        </is>
      </c>
      <c r="Q25" s="99" t="inlineStr">
        <is>
          <t>CAPELO</t>
        </is>
      </c>
      <c r="S25" s="99" t="inlineStr">
        <is>
          <t>003 000025551</t>
        </is>
      </c>
      <c r="T25" s="101" t="n">
        <v>102380383001</v>
      </c>
      <c r="U25" s="181" t="inlineStr">
        <is>
          <t>fmunozgn@hotmail.com</t>
        </is>
      </c>
    </row>
    <row r="26" ht="19" customFormat="1" customHeight="1" s="102">
      <c r="A26" s="114" t="n">
        <v>21</v>
      </c>
      <c r="B26" s="100" t="n">
        <v>46012</v>
      </c>
      <c r="C26" s="99" t="inlineStr">
        <is>
          <t>HOME VEGA</t>
        </is>
      </c>
      <c r="D26" s="99" t="inlineStr">
        <is>
          <t>003 000025551</t>
        </is>
      </c>
      <c r="E26" s="99" t="n">
        <v>111000051</v>
      </c>
      <c r="F26" s="113">
        <f>VLOOKUP(E26,PROD,2,FALSE)</f>
        <v/>
      </c>
      <c r="G26" s="99" t="inlineStr">
        <is>
          <t>TZ259506184</t>
        </is>
      </c>
      <c r="H26" s="99" t="inlineStr">
        <is>
          <t>SAP</t>
        </is>
      </c>
      <c r="I26" s="99" t="inlineStr">
        <is>
          <t>CAPELO</t>
        </is>
      </c>
      <c r="J26" s="99" t="inlineStr">
        <is>
          <t>CUENCA</t>
        </is>
      </c>
      <c r="K26" s="100" t="n">
        <v>46135</v>
      </c>
      <c r="L26" s="99" t="inlineStr">
        <is>
          <t>FREDDY MUÑOZ</t>
        </is>
      </c>
      <c r="M26" s="99" t="inlineStr">
        <is>
          <t>SAYAUSI VIA BUENOS AIRES</t>
        </is>
      </c>
      <c r="N26" s="99" t="inlineStr">
        <is>
          <t>+593 99 827 9103</t>
        </is>
      </c>
      <c r="O26" s="137" t="n">
        <v>15</v>
      </c>
      <c r="P26" s="99" t="inlineStr">
        <is>
          <t>CLIENTE FINAL</t>
        </is>
      </c>
      <c r="Q26" s="99" t="inlineStr">
        <is>
          <t>CAPELO</t>
        </is>
      </c>
      <c r="S26" s="99" t="inlineStr">
        <is>
          <t>003 000025551</t>
        </is>
      </c>
      <c r="T26" s="101" t="n">
        <v>102380383001</v>
      </c>
      <c r="U26" s="181" t="inlineStr">
        <is>
          <t>fmunozgn@hotmail.com</t>
        </is>
      </c>
    </row>
    <row r="27" ht="19" customFormat="1" customHeight="1" s="102">
      <c r="A27" s="114" t="n">
        <v>22</v>
      </c>
      <c r="B27" s="100" t="n">
        <v>46131</v>
      </c>
      <c r="C27" s="99" t="inlineStr">
        <is>
          <t>COMERCIAL KYWI</t>
        </is>
      </c>
      <c r="D27" s="99" t="inlineStr">
        <is>
          <t>043 907 000042367</t>
        </is>
      </c>
      <c r="E27" s="99" t="n">
        <v>41560041</v>
      </c>
      <c r="F27" s="113">
        <f>VLOOKUP(E27,PROD,2,FALSE)</f>
        <v/>
      </c>
      <c r="G27" s="99" t="inlineStr">
        <is>
          <t>TZ254G09872</t>
        </is>
      </c>
      <c r="H27" s="99" t="inlineStr">
        <is>
          <t>SAP</t>
        </is>
      </c>
      <c r="I27" s="99" t="inlineStr">
        <is>
          <t>CAPELO</t>
        </is>
      </c>
      <c r="J27" s="99" t="inlineStr">
        <is>
          <t>CUENCA</t>
        </is>
      </c>
      <c r="K27" s="100" t="n">
        <v>46135</v>
      </c>
      <c r="L27" s="99" t="inlineStr">
        <is>
          <t>FREDY CHICA</t>
        </is>
      </c>
      <c r="M27" s="99" t="inlineStr">
        <is>
          <t>PLAZA DEL PARQUE</t>
        </is>
      </c>
      <c r="N27" s="99" t="inlineStr">
        <is>
          <t>+593 99 439 6132</t>
        </is>
      </c>
      <c r="O27" s="137" t="n">
        <v>20</v>
      </c>
      <c r="P27" s="99" t="inlineStr">
        <is>
          <t>CLIENTE FINAL</t>
        </is>
      </c>
      <c r="Q27" s="99" t="inlineStr">
        <is>
          <t>CAPELO</t>
        </is>
      </c>
      <c r="S27" s="99" t="inlineStr">
        <is>
          <t>043 907 000042367</t>
        </is>
      </c>
      <c r="T27" s="101" t="n">
        <v>104238100</v>
      </c>
      <c r="U27" s="181" t="inlineStr">
        <is>
          <t>freddychicacue@hotmail.com</t>
        </is>
      </c>
    </row>
    <row r="28" ht="19" customFormat="1" customHeight="1" s="102">
      <c r="A28" s="114" t="n">
        <v>23</v>
      </c>
      <c r="B28" s="100" t="n">
        <v>46131</v>
      </c>
      <c r="C28" s="99" t="inlineStr">
        <is>
          <t>COMERCIAL KYWI</t>
        </is>
      </c>
      <c r="D28" s="99" t="inlineStr">
        <is>
          <t>043 907 000042367</t>
        </is>
      </c>
      <c r="E28" s="99" t="n">
        <v>112520025</v>
      </c>
      <c r="F28" s="113">
        <f>VLOOKUP(E28,PROD,2,FALSE)</f>
        <v/>
      </c>
      <c r="G28" s="99" t="inlineStr">
        <is>
          <t>ZP25AU01090</t>
        </is>
      </c>
      <c r="H28" s="99" t="inlineStr">
        <is>
          <t>SAP</t>
        </is>
      </c>
      <c r="I28" s="99" t="inlineStr">
        <is>
          <t>CAPELO</t>
        </is>
      </c>
      <c r="J28" s="99" t="inlineStr">
        <is>
          <t>CUENCA</t>
        </is>
      </c>
      <c r="K28" s="100" t="n">
        <v>46135</v>
      </c>
      <c r="L28" s="99" t="inlineStr">
        <is>
          <t>FREDY CHICA</t>
        </is>
      </c>
      <c r="M28" s="99" t="inlineStr">
        <is>
          <t>PLAZA DEL PARQUE</t>
        </is>
      </c>
      <c r="N28" s="99" t="inlineStr">
        <is>
          <t>+593 99 439 6132</t>
        </is>
      </c>
      <c r="O28" s="137" t="n">
        <v>20</v>
      </c>
      <c r="P28" s="99" t="inlineStr">
        <is>
          <t>CLIENTE FINAL</t>
        </is>
      </c>
      <c r="Q28" s="99" t="inlineStr">
        <is>
          <t>CAPELO</t>
        </is>
      </c>
      <c r="S28" s="99" t="inlineStr">
        <is>
          <t>043 907 000042367</t>
        </is>
      </c>
      <c r="T28" s="101" t="n">
        <v>104238100</v>
      </c>
      <c r="U28" s="181" t="inlineStr">
        <is>
          <t>freddychicacue@hotmail.com</t>
        </is>
      </c>
    </row>
    <row r="29" ht="19" customFormat="1" customHeight="1" s="103">
      <c r="A29" s="114" t="n">
        <v>24</v>
      </c>
      <c r="B29" s="100" t="n">
        <v>46087</v>
      </c>
      <c r="C29" s="99" t="inlineStr">
        <is>
          <t>COMERCIAL SOLIS</t>
        </is>
      </c>
      <c r="D29" s="99" t="inlineStr">
        <is>
          <t>001 500 00083233</t>
        </is>
      </c>
      <c r="E29" s="99" t="n">
        <v>112580017</v>
      </c>
      <c r="F29" s="113">
        <f>VLOOKUP(E29,PROD,2,FALSE)</f>
        <v/>
      </c>
      <c r="G29" s="99" t="inlineStr">
        <is>
          <t>ZP257X00126</t>
        </is>
      </c>
      <c r="H29" s="99" t="inlineStr">
        <is>
          <t>SAP</t>
        </is>
      </c>
      <c r="I29" s="99" t="inlineStr">
        <is>
          <t>CAPELO</t>
        </is>
      </c>
      <c r="J29" s="99" t="inlineStr">
        <is>
          <t>CUENCA</t>
        </is>
      </c>
      <c r="K29" s="100" t="n">
        <v>46135</v>
      </c>
      <c r="L29" s="99" t="inlineStr">
        <is>
          <t>JOSE CACERES</t>
        </is>
      </c>
      <c r="M29" s="99" t="inlineStr">
        <is>
          <t>EDIFICIO RYO 1</t>
        </is>
      </c>
      <c r="N29" s="99" t="inlineStr">
        <is>
          <t>+593 97 875 8031</t>
        </is>
      </c>
      <c r="O29" s="137" t="n">
        <v>20</v>
      </c>
      <c r="P29" s="99" t="inlineStr">
        <is>
          <t>CLIENTE FINAL</t>
        </is>
      </c>
      <c r="Q29" s="99" t="inlineStr">
        <is>
          <t>CAPELO</t>
        </is>
      </c>
      <c r="R29" s="102" t="n"/>
      <c r="S29" s="99" t="inlineStr">
        <is>
          <t>001 500 00083233</t>
        </is>
      </c>
      <c r="T29" s="101" t="n">
        <v>102869278</v>
      </c>
      <c r="U29" s="181" t="inlineStr">
        <is>
          <t>jcaceres69@live.com</t>
        </is>
      </c>
    </row>
    <row r="30" ht="19" customFormat="1" customHeight="1" s="102">
      <c r="A30" s="114" t="n">
        <v>25</v>
      </c>
      <c r="B30" s="100" t="n">
        <v>46087</v>
      </c>
      <c r="C30" s="99" t="inlineStr">
        <is>
          <t>COMERCIAL SOLIS</t>
        </is>
      </c>
      <c r="D30" s="99" t="inlineStr">
        <is>
          <t>001 500 00083233</t>
        </is>
      </c>
      <c r="E30" s="99" t="n">
        <v>40467320</v>
      </c>
      <c r="F30" s="113">
        <f>VLOOKUP(E30,PROD,2,FALSE)</f>
        <v/>
      </c>
      <c r="G30" s="99" t="inlineStr">
        <is>
          <t>TP25A703820</t>
        </is>
      </c>
      <c r="H30" s="99" t="inlineStr">
        <is>
          <t>SAP</t>
        </is>
      </c>
      <c r="I30" s="99" t="inlineStr">
        <is>
          <t>CAPELO</t>
        </is>
      </c>
      <c r="J30" s="99" t="inlineStr">
        <is>
          <t>CUENCA</t>
        </is>
      </c>
      <c r="K30" s="100" t="n">
        <v>46135</v>
      </c>
      <c r="L30" s="99" t="inlineStr">
        <is>
          <t>JOSE CACERES</t>
        </is>
      </c>
      <c r="M30" s="99" t="inlineStr">
        <is>
          <t>EDIFICIO RYO 1</t>
        </is>
      </c>
      <c r="N30" s="99" t="inlineStr">
        <is>
          <t>+593 97 875 8031</t>
        </is>
      </c>
      <c r="O30" s="137" t="n">
        <v>20</v>
      </c>
      <c r="P30" s="99" t="inlineStr">
        <is>
          <t>CLIENTE FINAL</t>
        </is>
      </c>
      <c r="Q30" s="99" t="inlineStr">
        <is>
          <t>CAPELO</t>
        </is>
      </c>
      <c r="S30" s="99" t="inlineStr">
        <is>
          <t>001 500 00083233</t>
        </is>
      </c>
      <c r="T30" s="101" t="n">
        <v>102869278</v>
      </c>
      <c r="U30" s="181" t="inlineStr">
        <is>
          <t>jcaceres69@live.com</t>
        </is>
      </c>
    </row>
    <row r="31" ht="19" customFormat="1" customHeight="1" s="102">
      <c r="A31" s="114" t="n">
        <v>26</v>
      </c>
      <c r="B31" s="100" t="n">
        <v>45950</v>
      </c>
      <c r="C31" s="99" t="inlineStr">
        <is>
          <t>HOME VEGA</t>
        </is>
      </c>
      <c r="D31" s="99" t="inlineStr">
        <is>
          <t>006 000158865</t>
        </is>
      </c>
      <c r="E31" s="99" t="n">
        <v>112030008</v>
      </c>
      <c r="F31" s="113">
        <f>VLOOKUP(E31,PROD,2,FALSE)</f>
        <v/>
      </c>
      <c r="G31" s="99" t="inlineStr">
        <is>
          <t>TP259B05188</t>
        </is>
      </c>
      <c r="H31" s="99" t="inlineStr">
        <is>
          <t>SAP</t>
        </is>
      </c>
      <c r="I31" s="99" t="inlineStr">
        <is>
          <t>CAPELO</t>
        </is>
      </c>
      <c r="J31" s="99" t="inlineStr">
        <is>
          <t>CUENCA</t>
        </is>
      </c>
      <c r="K31" s="100" t="n">
        <v>46136</v>
      </c>
      <c r="L31" s="99" t="inlineStr">
        <is>
          <t>GABRIELA PAREDES</t>
        </is>
      </c>
      <c r="M31" s="99" t="inlineStr">
        <is>
          <t>EDIFICIO OTERO DEP 3A</t>
        </is>
      </c>
      <c r="N31" s="99" t="inlineStr">
        <is>
          <t>+593 99 561 1032</t>
        </is>
      </c>
      <c r="O31" s="137" t="n">
        <v>15</v>
      </c>
      <c r="P31" s="99" t="inlineStr">
        <is>
          <t>CLIENTE FINAL</t>
        </is>
      </c>
      <c r="Q31" s="99" t="inlineStr">
        <is>
          <t>CAPELO</t>
        </is>
      </c>
      <c r="S31" s="99" t="inlineStr">
        <is>
          <t>006 000158865</t>
        </is>
      </c>
      <c r="T31" s="101" t="n">
        <v>103245601</v>
      </c>
      <c r="U31" s="181" t="inlineStr">
        <is>
          <t>gparedescoello@gmail.com</t>
        </is>
      </c>
    </row>
    <row r="32" ht="19" customFormat="1" customHeight="1" s="102">
      <c r="A32" s="114" t="n">
        <v>27</v>
      </c>
      <c r="B32" s="100" t="n">
        <v>45950</v>
      </c>
      <c r="C32" s="99" t="inlineStr">
        <is>
          <t>HOME VEGA</t>
        </is>
      </c>
      <c r="D32" s="99" t="inlineStr">
        <is>
          <t>006 000158865</t>
        </is>
      </c>
      <c r="E32" s="99" t="n">
        <v>111000051</v>
      </c>
      <c r="F32" s="113">
        <f>VLOOKUP(E32,PROD,2,FALSE)</f>
        <v/>
      </c>
      <c r="G32" s="99" t="inlineStr">
        <is>
          <t>TZ258703250</t>
        </is>
      </c>
      <c r="H32" s="99" t="inlineStr">
        <is>
          <t>SAP</t>
        </is>
      </c>
      <c r="I32" s="99" t="inlineStr">
        <is>
          <t>CAPELO</t>
        </is>
      </c>
      <c r="J32" s="99" t="inlineStr">
        <is>
          <t>CUENCA</t>
        </is>
      </c>
      <c r="K32" s="100" t="n">
        <v>46136</v>
      </c>
      <c r="L32" s="99" t="inlineStr">
        <is>
          <t>GABRIELA PAREDES</t>
        </is>
      </c>
      <c r="M32" s="99" t="inlineStr">
        <is>
          <t>EDIFICIO OTERO DEP 3A</t>
        </is>
      </c>
      <c r="N32" s="99" t="inlineStr">
        <is>
          <t>+593 99 561 1032</t>
        </is>
      </c>
      <c r="O32" s="137" t="n">
        <v>15</v>
      </c>
      <c r="P32" s="99" t="inlineStr">
        <is>
          <t>CLIENTE FINAL</t>
        </is>
      </c>
      <c r="Q32" s="99" t="inlineStr">
        <is>
          <t>CAPELO</t>
        </is>
      </c>
      <c r="S32" s="99" t="inlineStr">
        <is>
          <t>006 000158865</t>
        </is>
      </c>
      <c r="T32" s="101" t="n">
        <v>103245601</v>
      </c>
      <c r="U32" s="181" t="inlineStr">
        <is>
          <t>gparedescoello@gmail.com</t>
        </is>
      </c>
    </row>
    <row r="33" ht="19" customFormat="1" customHeight="1" s="102">
      <c r="A33" s="114" t="n">
        <v>28</v>
      </c>
      <c r="B33" s="100" t="n">
        <v>45950</v>
      </c>
      <c r="C33" s="99" t="inlineStr">
        <is>
          <t>HOME VEGA</t>
        </is>
      </c>
      <c r="D33" s="99" t="inlineStr">
        <is>
          <t>006 000158865</t>
        </is>
      </c>
      <c r="E33" s="99" t="n">
        <v>112570073</v>
      </c>
      <c r="F33" s="113">
        <f>VLOOKUP(E33,PROD,2,FALSE)</f>
        <v/>
      </c>
      <c r="G33" s="99" t="inlineStr">
        <is>
          <t>ZP259300103</t>
        </is>
      </c>
      <c r="H33" s="99" t="inlineStr">
        <is>
          <t>SAP</t>
        </is>
      </c>
      <c r="I33" s="99" t="inlineStr">
        <is>
          <t>CAPELO</t>
        </is>
      </c>
      <c r="J33" s="99" t="inlineStr">
        <is>
          <t>CUENCA</t>
        </is>
      </c>
      <c r="K33" s="100" t="n">
        <v>46136</v>
      </c>
      <c r="L33" s="99" t="inlineStr">
        <is>
          <t>GABRIELA PAREDES</t>
        </is>
      </c>
      <c r="M33" s="99" t="inlineStr">
        <is>
          <t>EDIFICIO OTERO DEP 3A</t>
        </is>
      </c>
      <c r="N33" s="99" t="inlineStr">
        <is>
          <t>+593 99 561 1032</t>
        </is>
      </c>
      <c r="O33" s="137" t="n">
        <v>15</v>
      </c>
      <c r="P33" s="99" t="inlineStr">
        <is>
          <t>CLIENTE FINAL</t>
        </is>
      </c>
      <c r="Q33" s="99" t="inlineStr">
        <is>
          <t>CAPELO</t>
        </is>
      </c>
      <c r="S33" s="99" t="inlineStr">
        <is>
          <t>006 000158865</t>
        </is>
      </c>
      <c r="T33" s="101" t="n">
        <v>103245601</v>
      </c>
      <c r="U33" s="181" t="inlineStr">
        <is>
          <t>gparedescoello@gmail.com</t>
        </is>
      </c>
    </row>
    <row r="34" ht="19" customFormat="1" customHeight="1" s="102">
      <c r="A34" s="114" t="n">
        <v>29</v>
      </c>
      <c r="B34" s="100" t="n">
        <v>45950</v>
      </c>
      <c r="C34" s="99" t="inlineStr">
        <is>
          <t>HOME VEGA</t>
        </is>
      </c>
      <c r="D34" s="99" t="inlineStr">
        <is>
          <t>006 000158865</t>
        </is>
      </c>
      <c r="E34" s="99" t="n">
        <v>113430051</v>
      </c>
      <c r="F34" s="113">
        <f>VLOOKUP(E34,PROD,2,FALSE)</f>
        <v/>
      </c>
      <c r="G34" s="99" t="inlineStr">
        <is>
          <t>TKAZC5J32550</t>
        </is>
      </c>
      <c r="H34" s="99" t="inlineStr">
        <is>
          <t>SAP</t>
        </is>
      </c>
      <c r="I34" s="99" t="inlineStr">
        <is>
          <t>CAPELO</t>
        </is>
      </c>
      <c r="J34" s="99" t="inlineStr">
        <is>
          <t>CUENCA</t>
        </is>
      </c>
      <c r="K34" s="100" t="n">
        <v>46136</v>
      </c>
      <c r="L34" s="99" t="inlineStr">
        <is>
          <t>GABRIELA PAREDES</t>
        </is>
      </c>
      <c r="M34" s="99" t="inlineStr">
        <is>
          <t>EDIFICIO OTERO DEP 3A</t>
        </is>
      </c>
      <c r="N34" s="99" t="inlineStr">
        <is>
          <t>+593 99 561 1032</t>
        </is>
      </c>
      <c r="O34" s="137" t="n">
        <v>15</v>
      </c>
      <c r="P34" s="99" t="inlineStr">
        <is>
          <t>CLIENTE FINAL</t>
        </is>
      </c>
      <c r="Q34" s="99" t="inlineStr">
        <is>
          <t>CAPELO</t>
        </is>
      </c>
      <c r="S34" s="99" t="inlineStr">
        <is>
          <t>006 000158865</t>
        </is>
      </c>
      <c r="T34" s="101" t="n">
        <v>103245601</v>
      </c>
      <c r="U34" s="181" t="inlineStr">
        <is>
          <t>gparedescoello@gmail.com</t>
        </is>
      </c>
    </row>
    <row r="35" ht="19" customFormat="1" customHeight="1" s="102">
      <c r="A35" s="114" t="n">
        <v>30</v>
      </c>
      <c r="B35" s="100" t="n">
        <v>45950</v>
      </c>
      <c r="C35" s="99" t="inlineStr">
        <is>
          <t>HOME VEGA</t>
        </is>
      </c>
      <c r="D35" s="99" t="inlineStr">
        <is>
          <t>006 000158865</t>
        </is>
      </c>
      <c r="E35" s="99" t="n">
        <v>112030008</v>
      </c>
      <c r="F35" s="113">
        <f>VLOOKUP(E35,PROD,2,FALSE)</f>
        <v/>
      </c>
      <c r="G35" s="99" t="inlineStr">
        <is>
          <t>TP259B05188</t>
        </is>
      </c>
      <c r="H35" s="99" t="inlineStr">
        <is>
          <t>SAP</t>
        </is>
      </c>
      <c r="I35" s="99" t="inlineStr">
        <is>
          <t>CAPELO</t>
        </is>
      </c>
      <c r="J35" s="99" t="inlineStr">
        <is>
          <t>CUENCA</t>
        </is>
      </c>
      <c r="K35" s="100" t="n">
        <v>46136</v>
      </c>
      <c r="L35" s="99" t="inlineStr">
        <is>
          <t>GABRIELA PAREDES</t>
        </is>
      </c>
      <c r="M35" s="99" t="inlineStr">
        <is>
          <t>EDIFICIO OTERO DEP 3A</t>
        </is>
      </c>
      <c r="N35" s="99" t="inlineStr">
        <is>
          <t>+593 99 561 1032</t>
        </is>
      </c>
      <c r="O35" s="185" t="n">
        <v>15</v>
      </c>
      <c r="P35" s="99" t="inlineStr">
        <is>
          <t>CLIENTE FINAL</t>
        </is>
      </c>
      <c r="Q35" s="99" t="inlineStr">
        <is>
          <t>CAPELO</t>
        </is>
      </c>
      <c r="S35" s="99" t="inlineStr">
        <is>
          <t>006 000158865</t>
        </is>
      </c>
      <c r="T35" s="101" t="n">
        <v>103245601</v>
      </c>
      <c r="U35" s="181" t="inlineStr">
        <is>
          <t>gparedescoello@gmail.com</t>
        </is>
      </c>
    </row>
    <row r="36" ht="19" customFormat="1" customHeight="1" s="102">
      <c r="A36" s="114" t="n">
        <v>31</v>
      </c>
      <c r="B36" s="100" t="n">
        <v>45950</v>
      </c>
      <c r="C36" s="99" t="inlineStr">
        <is>
          <t>HOME VEGA</t>
        </is>
      </c>
      <c r="D36" s="99" t="inlineStr">
        <is>
          <t>006 000158865</t>
        </is>
      </c>
      <c r="E36" s="99" t="n">
        <v>111000051</v>
      </c>
      <c r="F36" s="113">
        <f>VLOOKUP(E36,PROD,2,FALSE)</f>
        <v/>
      </c>
      <c r="G36" s="99" t="inlineStr">
        <is>
          <t>TZ258703250</t>
        </is>
      </c>
      <c r="H36" s="99" t="inlineStr">
        <is>
          <t>SAP</t>
        </is>
      </c>
      <c r="I36" s="99" t="inlineStr">
        <is>
          <t>CAPELO</t>
        </is>
      </c>
      <c r="J36" s="99" t="inlineStr">
        <is>
          <t>CUENCA</t>
        </is>
      </c>
      <c r="K36" s="100" t="n">
        <v>46136</v>
      </c>
      <c r="L36" s="99" t="inlineStr">
        <is>
          <t>GABRIELA PAREDES</t>
        </is>
      </c>
      <c r="M36" s="99" t="inlineStr">
        <is>
          <t>EDIFICIO OTERO DEP 3A</t>
        </is>
      </c>
      <c r="N36" s="99" t="inlineStr">
        <is>
          <t>+593 99 561 1032</t>
        </is>
      </c>
      <c r="O36" s="185" t="n">
        <v>15</v>
      </c>
      <c r="P36" s="99" t="inlineStr">
        <is>
          <t>CLIENTE FINAL</t>
        </is>
      </c>
      <c r="Q36" s="99" t="inlineStr">
        <is>
          <t>CAPELO</t>
        </is>
      </c>
      <c r="S36" s="99" t="inlineStr">
        <is>
          <t>006 000158865</t>
        </is>
      </c>
      <c r="T36" s="101" t="n">
        <v>103245601</v>
      </c>
      <c r="U36" s="181" t="inlineStr">
        <is>
          <t>gparedescoello@gmail.com</t>
        </is>
      </c>
    </row>
    <row r="37" ht="19" customFormat="1" customHeight="1" s="102">
      <c r="A37" s="114" t="n">
        <v>32</v>
      </c>
      <c r="B37" s="100" t="n">
        <v>45950</v>
      </c>
      <c r="C37" s="99" t="inlineStr">
        <is>
          <t>HOME VEGA</t>
        </is>
      </c>
      <c r="D37" s="99" t="inlineStr">
        <is>
          <t>006 000158865</t>
        </is>
      </c>
      <c r="E37" s="99" t="n">
        <v>112570073</v>
      </c>
      <c r="F37" s="113">
        <f>VLOOKUP(E37,PROD,2,FALSE)</f>
        <v/>
      </c>
      <c r="G37" s="99" t="inlineStr">
        <is>
          <t>ZP259300103</t>
        </is>
      </c>
      <c r="H37" s="99" t="inlineStr">
        <is>
          <t>SAP</t>
        </is>
      </c>
      <c r="I37" s="99" t="inlineStr">
        <is>
          <t>CAPELO</t>
        </is>
      </c>
      <c r="J37" s="99" t="inlineStr">
        <is>
          <t>CUENCA</t>
        </is>
      </c>
      <c r="K37" s="100" t="n">
        <v>46136</v>
      </c>
      <c r="L37" s="99" t="inlineStr">
        <is>
          <t>GABRIELA PAREDES</t>
        </is>
      </c>
      <c r="M37" s="99" t="inlineStr">
        <is>
          <t>EDIFICIO OTERO DEP 3A</t>
        </is>
      </c>
      <c r="N37" s="99" t="inlineStr">
        <is>
          <t>+593 99 561 1032</t>
        </is>
      </c>
      <c r="O37" s="185" t="n">
        <v>15</v>
      </c>
      <c r="P37" s="99" t="inlineStr">
        <is>
          <t>CLIENTE FINAL</t>
        </is>
      </c>
      <c r="Q37" s="99" t="inlineStr">
        <is>
          <t>CAPELO</t>
        </is>
      </c>
      <c r="S37" s="99" t="inlineStr">
        <is>
          <t>006 000158865</t>
        </is>
      </c>
      <c r="T37" s="101" t="n">
        <v>103245601</v>
      </c>
      <c r="U37" s="181" t="inlineStr">
        <is>
          <t>gparedescoello@gmail.com</t>
        </is>
      </c>
    </row>
    <row r="38" ht="19" customFormat="1" customHeight="1" s="102">
      <c r="A38" s="114" t="n">
        <v>33</v>
      </c>
      <c r="B38" s="100" t="n">
        <v>45950</v>
      </c>
      <c r="C38" s="99" t="inlineStr">
        <is>
          <t>HOME VEGA</t>
        </is>
      </c>
      <c r="D38" s="99" t="inlineStr">
        <is>
          <t>006 000158865</t>
        </is>
      </c>
      <c r="E38" s="99" t="n">
        <v>40782127</v>
      </c>
      <c r="F38" s="113">
        <f>VLOOKUP(E38,PROD,2,FALSE)</f>
        <v/>
      </c>
      <c r="G38" s="99" t="inlineStr">
        <is>
          <t>MD259201300</t>
        </is>
      </c>
      <c r="H38" s="99" t="inlineStr">
        <is>
          <t>SAP</t>
        </is>
      </c>
      <c r="I38" s="99" t="inlineStr">
        <is>
          <t>CAPELO</t>
        </is>
      </c>
      <c r="J38" s="99" t="inlineStr">
        <is>
          <t>CUENCA</t>
        </is>
      </c>
      <c r="K38" s="100" t="n">
        <v>46136</v>
      </c>
      <c r="L38" s="99" t="inlineStr">
        <is>
          <t>GABRIELA PAREDES</t>
        </is>
      </c>
      <c r="M38" s="99" t="inlineStr">
        <is>
          <t>EDIFICIO OTERO DEP 3A</t>
        </is>
      </c>
      <c r="N38" s="99" t="inlineStr">
        <is>
          <t>+593 99 561 1032</t>
        </is>
      </c>
      <c r="O38" s="185" t="n">
        <v>15</v>
      </c>
      <c r="P38" s="99" t="inlineStr">
        <is>
          <t>CLIENTE FINAL</t>
        </is>
      </c>
      <c r="Q38" s="99" t="inlineStr">
        <is>
          <t>CAPELO</t>
        </is>
      </c>
      <c r="S38" s="99" t="inlineStr">
        <is>
          <t>006 000158865</t>
        </is>
      </c>
      <c r="T38" s="101" t="n">
        <v>103245601</v>
      </c>
      <c r="U38" s="181" t="inlineStr">
        <is>
          <t>gparedescoello@gmail.com</t>
        </is>
      </c>
    </row>
    <row r="39" ht="19" customFormat="1" customHeight="1" s="102">
      <c r="A39" s="114" t="n">
        <v>34</v>
      </c>
      <c r="B39" s="100" t="n">
        <v>45950</v>
      </c>
      <c r="C39" s="99" t="inlineStr">
        <is>
          <t>HOME VEGA</t>
        </is>
      </c>
      <c r="D39" s="99" t="inlineStr">
        <is>
          <t>006 000158865</t>
        </is>
      </c>
      <c r="E39" s="99" t="n">
        <v>113430051</v>
      </c>
      <c r="F39" s="113">
        <f>VLOOKUP(E39,PROD,2,FALSE)</f>
        <v/>
      </c>
      <c r="G39" s="99" t="inlineStr">
        <is>
          <t>TKAZC5J32550</t>
        </is>
      </c>
      <c r="H39" s="99" t="inlineStr">
        <is>
          <t>SAP</t>
        </is>
      </c>
      <c r="I39" s="99" t="inlineStr">
        <is>
          <t>CAPELO</t>
        </is>
      </c>
      <c r="J39" s="99" t="inlineStr">
        <is>
          <t>CUENCA</t>
        </is>
      </c>
      <c r="K39" s="100" t="n">
        <v>46136</v>
      </c>
      <c r="L39" s="99" t="inlineStr">
        <is>
          <t>GABRIELA PAREDES</t>
        </is>
      </c>
      <c r="M39" s="99" t="inlineStr">
        <is>
          <t>EDIFICIO OTERO DEP 3A</t>
        </is>
      </c>
      <c r="N39" s="99" t="inlineStr">
        <is>
          <t>+593 99 561 1032</t>
        </is>
      </c>
      <c r="O39" s="185" t="n">
        <v>15</v>
      </c>
      <c r="P39" s="99" t="inlineStr">
        <is>
          <t>CLIENTE FINAL</t>
        </is>
      </c>
      <c r="Q39" s="99" t="inlineStr">
        <is>
          <t>CAPELO</t>
        </is>
      </c>
      <c r="S39" s="99" t="inlineStr">
        <is>
          <t>006 000158865</t>
        </is>
      </c>
      <c r="T39" s="101" t="n">
        <v>103245601</v>
      </c>
      <c r="U39" s="181" t="inlineStr">
        <is>
          <t>gparedescoello@gmail.com</t>
        </is>
      </c>
    </row>
    <row r="40" ht="19" customFormat="1" customHeight="1" s="102">
      <c r="A40" s="114" t="n">
        <v>35</v>
      </c>
      <c r="B40" s="100" t="n">
        <v>46071</v>
      </c>
      <c r="C40" s="99" t="inlineStr">
        <is>
          <t>HOME VEGA</t>
        </is>
      </c>
      <c r="D40" s="99" t="inlineStr">
        <is>
          <t>006 002 000159412</t>
        </is>
      </c>
      <c r="E40" s="99" t="n">
        <v>111000051</v>
      </c>
      <c r="F40" s="113">
        <f>VLOOKUP(E40,PROD,2,FALSE)</f>
        <v/>
      </c>
      <c r="G40" s="99" t="inlineStr">
        <is>
          <t>TZ25B703159</t>
        </is>
      </c>
      <c r="H40" s="99" t="inlineStr">
        <is>
          <t>SAP</t>
        </is>
      </c>
      <c r="I40" s="99" t="inlineStr">
        <is>
          <t>CAPELO</t>
        </is>
      </c>
      <c r="J40" s="99" t="inlineStr">
        <is>
          <t>CUENCA</t>
        </is>
      </c>
      <c r="K40" s="100" t="n">
        <v>46139</v>
      </c>
      <c r="L40" s="99" t="inlineStr">
        <is>
          <t>JENNY CORDERO</t>
        </is>
      </c>
      <c r="M40" s="99" t="inlineStr">
        <is>
          <t>ORDOÑEZ LASSO</t>
        </is>
      </c>
      <c r="N40" s="99" t="inlineStr">
        <is>
          <t>+593 98 350 6072</t>
        </is>
      </c>
      <c r="O40" s="185" t="n">
        <v>15</v>
      </c>
      <c r="P40" s="99" t="inlineStr">
        <is>
          <t>CLIENTE FINAL</t>
        </is>
      </c>
      <c r="Q40" s="99" t="inlineStr">
        <is>
          <t>CAPELO</t>
        </is>
      </c>
      <c r="S40" s="99" t="inlineStr">
        <is>
          <t>006 002 000159412</t>
        </is>
      </c>
      <c r="T40" s="101" t="n">
        <v>301069944001</v>
      </c>
      <c r="U40" s="181" t="inlineStr">
        <is>
          <t>corderojenny7@hotmail.com</t>
        </is>
      </c>
    </row>
    <row r="41" ht="19" customFormat="1" customHeight="1" s="102">
      <c r="A41" s="114" t="n">
        <v>36</v>
      </c>
      <c r="B41" s="100" t="n">
        <v>46071</v>
      </c>
      <c r="C41" s="99" t="inlineStr">
        <is>
          <t>HOME VEGA</t>
        </is>
      </c>
      <c r="D41" s="99" t="inlineStr">
        <is>
          <t>006 002 000159412</t>
        </is>
      </c>
      <c r="E41" s="99" t="n">
        <v>112030008</v>
      </c>
      <c r="F41" s="113">
        <f>VLOOKUP(E41,PROD,2,FALSE)</f>
        <v/>
      </c>
      <c r="G41" s="99" t="inlineStr">
        <is>
          <t>TP259B05248</t>
        </is>
      </c>
      <c r="H41" s="99" t="inlineStr">
        <is>
          <t>SAP</t>
        </is>
      </c>
      <c r="I41" s="99" t="inlineStr">
        <is>
          <t>CAPELO</t>
        </is>
      </c>
      <c r="J41" s="99" t="inlineStr">
        <is>
          <t>CUENCA</t>
        </is>
      </c>
      <c r="K41" s="100" t="n">
        <v>46139</v>
      </c>
      <c r="L41" s="99" t="inlineStr">
        <is>
          <t>JENNY CORDERO</t>
        </is>
      </c>
      <c r="M41" s="99" t="inlineStr">
        <is>
          <t>ORDOÑEZ LASSO</t>
        </is>
      </c>
      <c r="N41" s="99" t="inlineStr">
        <is>
          <t>+593 98 350 6072</t>
        </is>
      </c>
      <c r="O41" s="185" t="n">
        <v>15</v>
      </c>
      <c r="P41" s="99" t="inlineStr">
        <is>
          <t>CLIENTE FINAL</t>
        </is>
      </c>
      <c r="Q41" s="99" t="inlineStr">
        <is>
          <t>CAPELO</t>
        </is>
      </c>
      <c r="S41" s="99" t="inlineStr">
        <is>
          <t>006 002 000159412</t>
        </is>
      </c>
      <c r="T41" s="101" t="n">
        <v>301069944001</v>
      </c>
      <c r="U41" s="181" t="inlineStr">
        <is>
          <t>corderojenny7@hotmail.com</t>
        </is>
      </c>
    </row>
    <row r="42" ht="19" customFormat="1" customHeight="1" s="102">
      <c r="A42" s="114" t="n">
        <v>37</v>
      </c>
      <c r="B42" s="100" t="n">
        <v>46071</v>
      </c>
      <c r="C42" s="99" t="inlineStr">
        <is>
          <t>HOME VEGA</t>
        </is>
      </c>
      <c r="D42" s="99" t="inlineStr">
        <is>
          <t>006 002 000159412</t>
        </is>
      </c>
      <c r="E42" s="99" t="n">
        <v>112570128</v>
      </c>
      <c r="F42" s="113">
        <f>VLOOKUP(E42,PROD,2,FALSE)</f>
        <v/>
      </c>
      <c r="G42" s="99" t="inlineStr">
        <is>
          <t>ZP25AQ00649</t>
        </is>
      </c>
      <c r="H42" s="99" t="inlineStr">
        <is>
          <t>SAP</t>
        </is>
      </c>
      <c r="I42" s="99" t="inlineStr">
        <is>
          <t>CAPELO</t>
        </is>
      </c>
      <c r="J42" s="99" t="inlineStr">
        <is>
          <t>CUENCA</t>
        </is>
      </c>
      <c r="K42" s="100" t="n">
        <v>46139</v>
      </c>
      <c r="L42" s="99" t="inlineStr">
        <is>
          <t>JENNY CORDERO</t>
        </is>
      </c>
      <c r="M42" s="99" t="inlineStr">
        <is>
          <t>ORDOÑEZ LASSO</t>
        </is>
      </c>
      <c r="N42" s="99" t="inlineStr">
        <is>
          <t>+593 98 350 6072</t>
        </is>
      </c>
      <c r="O42" s="185" t="n">
        <v>15</v>
      </c>
      <c r="P42" s="99" t="inlineStr">
        <is>
          <t>CLIENTE FINAL</t>
        </is>
      </c>
      <c r="Q42" s="99" t="inlineStr">
        <is>
          <t>CAPELO</t>
        </is>
      </c>
      <c r="S42" s="99" t="inlineStr">
        <is>
          <t>006 002 000159412</t>
        </is>
      </c>
      <c r="T42" s="101" t="n">
        <v>301069944001</v>
      </c>
      <c r="U42" s="181" t="inlineStr">
        <is>
          <t>corderojenny7@hotmail.com</t>
        </is>
      </c>
    </row>
    <row r="43" ht="19" customFormat="1" customHeight="1" s="102">
      <c r="A43" s="114" t="n">
        <v>38</v>
      </c>
      <c r="B43" s="100" t="n">
        <v>45883</v>
      </c>
      <c r="C43" s="99" t="inlineStr">
        <is>
          <t>BERMAT</t>
        </is>
      </c>
      <c r="D43" s="99" t="inlineStr">
        <is>
          <t>001 002 000418806</t>
        </is>
      </c>
      <c r="E43" s="99" t="n">
        <v>112030008</v>
      </c>
      <c r="F43" s="113">
        <f>VLOOKUP(E43,PROD,2,FALSE)</f>
        <v/>
      </c>
      <c r="G43" s="99" t="inlineStr">
        <is>
          <t>TP24B500784</t>
        </is>
      </c>
      <c r="H43" s="99" t="inlineStr">
        <is>
          <t>SAP</t>
        </is>
      </c>
      <c r="I43" s="99" t="inlineStr">
        <is>
          <t>CAPELO</t>
        </is>
      </c>
      <c r="J43" s="99" t="inlineStr">
        <is>
          <t>CUENCA</t>
        </is>
      </c>
      <c r="K43" s="100" t="n">
        <v>46139</v>
      </c>
      <c r="L43" s="99" t="inlineStr">
        <is>
          <t>ING DIANA VIDAL</t>
        </is>
      </c>
      <c r="M43" s="99" t="inlineStr">
        <is>
          <t>EDIFICIO VAZCO</t>
        </is>
      </c>
      <c r="N43" s="99" t="inlineStr">
        <is>
          <t>+593 99 763 2312</t>
        </is>
      </c>
      <c r="O43" s="185" t="n">
        <v>15</v>
      </c>
      <c r="P43" s="99" t="inlineStr">
        <is>
          <t>CLIENTE FINAL</t>
        </is>
      </c>
      <c r="Q43" s="99" t="inlineStr">
        <is>
          <t>CAPELO</t>
        </is>
      </c>
      <c r="S43" s="99" t="inlineStr">
        <is>
          <t>001 002 000417816</t>
        </is>
      </c>
      <c r="T43" s="101" t="n">
        <v>802584607001</v>
      </c>
      <c r="U43" s="181" t="inlineStr">
        <is>
          <t>vidal.dp@gmail.com</t>
        </is>
      </c>
    </row>
    <row r="44" ht="19" customFormat="1" customHeight="1" s="102">
      <c r="A44" s="114" t="n">
        <v>39</v>
      </c>
      <c r="B44" s="100" t="n">
        <v>45884</v>
      </c>
      <c r="C44" s="99" t="inlineStr">
        <is>
          <t>IMPORTADORA CASTRO</t>
        </is>
      </c>
      <c r="D44" s="99" t="inlineStr">
        <is>
          <t>009 020 000184133</t>
        </is>
      </c>
      <c r="E44" s="99" t="n">
        <v>111030002</v>
      </c>
      <c r="F44" s="113">
        <f>VLOOKUP(E44,PROD,2,FALSE)</f>
        <v/>
      </c>
      <c r="G44" s="99" t="inlineStr">
        <is>
          <t>TZ24QJ15128</t>
        </is>
      </c>
      <c r="H44" s="99" t="inlineStr">
        <is>
          <t>SAP</t>
        </is>
      </c>
      <c r="I44" s="99" t="inlineStr">
        <is>
          <t>CAPELO</t>
        </is>
      </c>
      <c r="J44" s="99" t="inlineStr">
        <is>
          <t>CUENCA</t>
        </is>
      </c>
      <c r="K44" s="100" t="n">
        <v>46139</v>
      </c>
      <c r="L44" s="99" t="inlineStr">
        <is>
          <t>ING DIANA VIDAL</t>
        </is>
      </c>
      <c r="M44" s="99" t="inlineStr">
        <is>
          <t>EDIFICIO VAZCO</t>
        </is>
      </c>
      <c r="N44" s="99" t="inlineStr">
        <is>
          <t>+593 99 763 2312</t>
        </is>
      </c>
      <c r="O44" s="185" t="n">
        <v>55</v>
      </c>
      <c r="P44" s="99" t="inlineStr">
        <is>
          <t>CLIENTE FINAL</t>
        </is>
      </c>
      <c r="Q44" s="99" t="inlineStr">
        <is>
          <t>CAPELO</t>
        </is>
      </c>
      <c r="S44" s="99" t="inlineStr">
        <is>
          <t>001 002 000417816</t>
        </is>
      </c>
      <c r="T44" s="101" t="n">
        <v>802584607001</v>
      </c>
      <c r="U44" s="181" t="inlineStr">
        <is>
          <t>vidal.dp@gmail.com</t>
        </is>
      </c>
    </row>
    <row r="45" ht="19" customFormat="1" customHeight="1" s="102">
      <c r="A45" s="114" t="n">
        <v>40</v>
      </c>
      <c r="B45" s="100" t="n">
        <v>45878</v>
      </c>
      <c r="C45" s="99" t="inlineStr">
        <is>
          <t>BERMAT</t>
        </is>
      </c>
      <c r="D45" s="99" t="inlineStr">
        <is>
          <t>001 002 000417816</t>
        </is>
      </c>
      <c r="E45" s="99" t="n">
        <v>112510036</v>
      </c>
      <c r="F45" s="113">
        <f>VLOOKUP(E45,PROD,2,FALSE)</f>
        <v/>
      </c>
      <c r="G45" s="99" t="inlineStr">
        <is>
          <t>ZP24CA00788</t>
        </is>
      </c>
      <c r="H45" s="99" t="inlineStr">
        <is>
          <t>SAP</t>
        </is>
      </c>
      <c r="I45" s="99" t="inlineStr">
        <is>
          <t>CAPELO</t>
        </is>
      </c>
      <c r="J45" s="99" t="inlineStr">
        <is>
          <t>CUENCA</t>
        </is>
      </c>
      <c r="K45" s="100" t="n">
        <v>46139</v>
      </c>
      <c r="L45" s="99" t="inlineStr">
        <is>
          <t>ING DIANA VIDAL</t>
        </is>
      </c>
      <c r="M45" s="99" t="inlineStr">
        <is>
          <t>EDIFICIO VAZCO</t>
        </is>
      </c>
      <c r="N45" s="99" t="inlineStr">
        <is>
          <t>+593 99 763 2312</t>
        </is>
      </c>
      <c r="O45" s="185" t="n">
        <v>15</v>
      </c>
      <c r="P45" s="99" t="inlineStr">
        <is>
          <t>CLIENTE FINAL</t>
        </is>
      </c>
      <c r="Q45" s="99" t="inlineStr">
        <is>
          <t>CAPELO</t>
        </is>
      </c>
      <c r="S45" s="99" t="inlineStr">
        <is>
          <t>001 002 000417816</t>
        </is>
      </c>
      <c r="T45" s="101" t="n">
        <v>802584607001</v>
      </c>
      <c r="U45" s="181" t="inlineStr">
        <is>
          <t>vidal.dp@gmail.com</t>
        </is>
      </c>
    </row>
    <row r="46" ht="19" customFormat="1" customHeight="1" s="102">
      <c r="A46" s="114" t="n">
        <v>41</v>
      </c>
      <c r="B46" s="100" t="n">
        <v>45878</v>
      </c>
      <c r="C46" s="99" t="inlineStr">
        <is>
          <t>BERMAT</t>
        </is>
      </c>
      <c r="D46" s="99" t="inlineStr">
        <is>
          <t>001 002 000417816</t>
        </is>
      </c>
      <c r="E46" s="99" t="n">
        <v>112570041</v>
      </c>
      <c r="F46" s="113">
        <f>VLOOKUP(E46,PROD,2,FALSE)</f>
        <v/>
      </c>
      <c r="G46" s="99" t="inlineStr">
        <is>
          <t>ZP254Q00387</t>
        </is>
      </c>
      <c r="H46" s="99" t="inlineStr">
        <is>
          <t>SAP</t>
        </is>
      </c>
      <c r="I46" s="99" t="inlineStr">
        <is>
          <t>CAPELO</t>
        </is>
      </c>
      <c r="J46" s="99" t="inlineStr">
        <is>
          <t>CUENCA</t>
        </is>
      </c>
      <c r="K46" s="100" t="n">
        <v>46139</v>
      </c>
      <c r="L46" s="99" t="inlineStr">
        <is>
          <t>ING DIANA VIDAL</t>
        </is>
      </c>
      <c r="M46" s="99" t="inlineStr">
        <is>
          <t>EDIFICIO VAZCO</t>
        </is>
      </c>
      <c r="N46" s="99" t="inlineStr">
        <is>
          <t>+593 99 763 2312</t>
        </is>
      </c>
      <c r="O46" s="185" t="n">
        <v>15</v>
      </c>
      <c r="P46" s="99" t="inlineStr">
        <is>
          <t>CLIENTE FINAL</t>
        </is>
      </c>
      <c r="Q46" s="99" t="inlineStr">
        <is>
          <t>CAPELO</t>
        </is>
      </c>
      <c r="S46" s="99" t="inlineStr">
        <is>
          <t>001 002 000417816</t>
        </is>
      </c>
      <c r="T46" s="101" t="n">
        <v>802584607001</v>
      </c>
      <c r="U46" s="181" t="inlineStr">
        <is>
          <t>vidal.dp@gmail.com</t>
        </is>
      </c>
    </row>
    <row r="47" ht="19" customFormat="1" customHeight="1" s="102">
      <c r="A47" s="114" t="n">
        <v>42</v>
      </c>
      <c r="B47" s="100" t="n">
        <v>45879</v>
      </c>
      <c r="C47" s="99" t="inlineStr">
        <is>
          <t>BERMAT</t>
        </is>
      </c>
      <c r="D47" s="99" t="inlineStr">
        <is>
          <t>001 002 000418038</t>
        </is>
      </c>
      <c r="E47" s="99" t="n">
        <v>112950021</v>
      </c>
      <c r="F47" s="113">
        <f>VLOOKUP(E47,PROD,2,FALSE)</f>
        <v/>
      </c>
      <c r="G47" s="99" t="inlineStr">
        <is>
          <t>EK247F00085</t>
        </is>
      </c>
      <c r="H47" s="99" t="inlineStr">
        <is>
          <t>SAP</t>
        </is>
      </c>
      <c r="I47" s="99" t="inlineStr">
        <is>
          <t>CAPELO</t>
        </is>
      </c>
      <c r="J47" s="99" t="inlineStr">
        <is>
          <t>CUENCA</t>
        </is>
      </c>
      <c r="K47" s="100" t="n">
        <v>46139</v>
      </c>
      <c r="L47" s="99" t="inlineStr">
        <is>
          <t>ING DIANA VIDAL</t>
        </is>
      </c>
      <c r="M47" s="99" t="inlineStr">
        <is>
          <t>EDIFICIO VAZCO</t>
        </is>
      </c>
      <c r="N47" s="99" t="inlineStr">
        <is>
          <t>+593 99 763 2312</t>
        </is>
      </c>
      <c r="O47" s="185" t="n">
        <v>15</v>
      </c>
      <c r="P47" s="99" t="inlineStr">
        <is>
          <t>CLIENTE FINAL</t>
        </is>
      </c>
      <c r="Q47" s="99" t="inlineStr">
        <is>
          <t>CAPELO</t>
        </is>
      </c>
      <c r="S47" s="99" t="inlineStr">
        <is>
          <t>001 002 000417816</t>
        </is>
      </c>
      <c r="T47" s="101" t="n">
        <v>802584607001</v>
      </c>
      <c r="U47" s="181" t="inlineStr">
        <is>
          <t>vidal.dp@gmail.com</t>
        </is>
      </c>
    </row>
    <row r="48" ht="19" customFormat="1" customHeight="1" s="102">
      <c r="A48" s="114" t="n">
        <v>43</v>
      </c>
      <c r="B48" s="100" t="n">
        <v>46132</v>
      </c>
      <c r="C48" s="99" t="inlineStr">
        <is>
          <t>COMERCIAL KYWI</t>
        </is>
      </c>
      <c r="D48" s="99" t="inlineStr">
        <is>
          <t>043 902 000085419</t>
        </is>
      </c>
      <c r="E48" s="99" t="n">
        <v>112580058</v>
      </c>
      <c r="F48" s="113">
        <f>VLOOKUP(E48,PROD,2,FALSE)</f>
        <v/>
      </c>
      <c r="G48" s="99" t="inlineStr">
        <is>
          <t>ZP259500147</t>
        </is>
      </c>
      <c r="H48" s="99" t="inlineStr">
        <is>
          <t>SAP</t>
        </is>
      </c>
      <c r="I48" s="99" t="inlineStr">
        <is>
          <t>CAPELO</t>
        </is>
      </c>
      <c r="J48" s="99" t="inlineStr">
        <is>
          <t>CUENCA</t>
        </is>
      </c>
      <c r="K48" s="100" t="n">
        <v>46139</v>
      </c>
      <c r="L48" s="99" t="inlineStr">
        <is>
          <t>PATRICIO QUITUISCA</t>
        </is>
      </c>
      <c r="M48" s="99" t="inlineStr">
        <is>
          <t>CDLA INGENIEROS ARAUCANA 220 Y TELEMACO</t>
        </is>
      </c>
      <c r="N48" s="99" t="inlineStr">
        <is>
          <t>‪+593 98 436 4898‬</t>
        </is>
      </c>
      <c r="O48" s="185" t="n">
        <v>20</v>
      </c>
      <c r="P48" s="99" t="inlineStr">
        <is>
          <t>CLIENTE FINAL</t>
        </is>
      </c>
      <c r="Q48" s="99" t="inlineStr">
        <is>
          <t>CAPELO</t>
        </is>
      </c>
      <c r="S48" s="99" t="inlineStr">
        <is>
          <t>043 902 000085419</t>
        </is>
      </c>
      <c r="T48" s="101" t="n">
        <v>103307054</v>
      </c>
      <c r="U48" s="181" t="inlineStr">
        <is>
          <t>patricioq@yahoo.es</t>
        </is>
      </c>
    </row>
    <row r="49" ht="19" customFormat="1" customHeight="1" s="102">
      <c r="A49" s="114" t="n">
        <v>44</v>
      </c>
      <c r="B49" s="100" t="n">
        <v>46132</v>
      </c>
      <c r="C49" s="99" t="inlineStr">
        <is>
          <t>COMERCIAL KYWI</t>
        </is>
      </c>
      <c r="D49" s="99" t="inlineStr">
        <is>
          <t>043 902 000085419</t>
        </is>
      </c>
      <c r="E49" s="99" t="n">
        <v>113120010</v>
      </c>
      <c r="F49" s="113">
        <f>VLOOKUP(E49,PROD,2,FALSE)</f>
        <v/>
      </c>
      <c r="G49" s="99" t="inlineStr">
        <is>
          <t>TP254105529</t>
        </is>
      </c>
      <c r="H49" s="99" t="inlineStr">
        <is>
          <t>SAP</t>
        </is>
      </c>
      <c r="I49" s="99" t="inlineStr">
        <is>
          <t>CAPELO</t>
        </is>
      </c>
      <c r="J49" s="99" t="inlineStr">
        <is>
          <t>CUENCA</t>
        </is>
      </c>
      <c r="K49" s="100" t="n">
        <v>46139</v>
      </c>
      <c r="L49" s="99" t="inlineStr">
        <is>
          <t>PATRICIO QUITUISCA</t>
        </is>
      </c>
      <c r="M49" s="99" t="inlineStr">
        <is>
          <t>CDLA INGENIEROS ARAUCANA 220 Y TELEMACO</t>
        </is>
      </c>
      <c r="N49" s="99" t="inlineStr">
        <is>
          <t>‪+593 98 436 4898‬</t>
        </is>
      </c>
      <c r="O49" s="185" t="n">
        <v>20</v>
      </c>
      <c r="P49" s="99" t="inlineStr">
        <is>
          <t>CLIENTE FINAL</t>
        </is>
      </c>
      <c r="Q49" s="99" t="inlineStr">
        <is>
          <t>CAPELO</t>
        </is>
      </c>
      <c r="S49" s="99" t="inlineStr">
        <is>
          <t>043 902 000085419</t>
        </is>
      </c>
      <c r="T49" s="101" t="n">
        <v>103307054</v>
      </c>
      <c r="U49" s="181" t="inlineStr">
        <is>
          <t>patricioq@yahoo.es</t>
        </is>
      </c>
    </row>
    <row r="50" ht="19" customFormat="1" customHeight="1" s="102">
      <c r="A50" s="114" t="n">
        <v>45</v>
      </c>
      <c r="B50" s="100" t="n">
        <v>45998</v>
      </c>
      <c r="C50" s="99" t="inlineStr">
        <is>
          <t>COMO HOGAR</t>
        </is>
      </c>
      <c r="D50" s="99" t="inlineStr">
        <is>
          <t>040 103 000017841</t>
        </is>
      </c>
      <c r="E50" s="99" t="n">
        <v>41560151</v>
      </c>
      <c r="F50" s="113">
        <f>VLOOKUP(E50,PROD,2,FALSE)</f>
        <v/>
      </c>
      <c r="G50" s="99" t="inlineStr">
        <is>
          <t>TZ236E16507</t>
        </is>
      </c>
      <c r="H50" s="99" t="inlineStr">
        <is>
          <t>SAP</t>
        </is>
      </c>
      <c r="I50" s="99" t="inlineStr">
        <is>
          <t>CAPELO</t>
        </is>
      </c>
      <c r="J50" s="99" t="inlineStr">
        <is>
          <t>CUENCA</t>
        </is>
      </c>
      <c r="K50" s="100" t="n">
        <v>46140</v>
      </c>
      <c r="L50" s="99" t="inlineStr">
        <is>
          <t>YOLANDA ANDRADE</t>
        </is>
      </c>
      <c r="M50" s="99" t="inlineStr">
        <is>
          <t>SECTOR DE 10 AGOSTO Y MIGUEL MORENO</t>
        </is>
      </c>
      <c r="N50" s="99" t="inlineStr">
        <is>
          <t>+593 99 798 1839</t>
        </is>
      </c>
      <c r="O50" s="185" t="n">
        <v>20</v>
      </c>
      <c r="P50" s="99" t="inlineStr">
        <is>
          <t>CLIENTE FINAL</t>
        </is>
      </c>
      <c r="Q50" s="99" t="inlineStr">
        <is>
          <t>CAPELO</t>
        </is>
      </c>
      <c r="S50" s="99" t="inlineStr">
        <is>
          <t>040 103 000017841</t>
        </is>
      </c>
      <c r="T50" s="101" t="n">
        <v>100816529</v>
      </c>
      <c r="U50" s="181" t="inlineStr">
        <is>
          <t>andradetl2yahoo.com</t>
        </is>
      </c>
    </row>
    <row r="51" ht="19" customFormat="1" customHeight="1" s="102">
      <c r="A51" s="114" t="n">
        <v>46</v>
      </c>
      <c r="B51" s="100" t="n">
        <v>45998</v>
      </c>
      <c r="C51" s="99" t="inlineStr">
        <is>
          <t>COMO HOGAR</t>
        </is>
      </c>
      <c r="D51" s="99" t="inlineStr">
        <is>
          <t>040 103 000017841</t>
        </is>
      </c>
      <c r="E51" s="99" t="n">
        <v>40584012</v>
      </c>
      <c r="F51" s="113">
        <f>VLOOKUP(E51,PROD,2,FALSE)</f>
        <v/>
      </c>
      <c r="G51" s="99" t="inlineStr">
        <is>
          <t>TP256406360</t>
        </is>
      </c>
      <c r="H51" s="99" t="inlineStr">
        <is>
          <t>SAP</t>
        </is>
      </c>
      <c r="I51" s="99" t="inlineStr">
        <is>
          <t>CAPELO</t>
        </is>
      </c>
      <c r="J51" s="99" t="inlineStr">
        <is>
          <t>CUENCA</t>
        </is>
      </c>
      <c r="K51" s="100" t="n">
        <v>46140</v>
      </c>
      <c r="L51" s="99" t="inlineStr">
        <is>
          <t>YOLANDA ANDRADE</t>
        </is>
      </c>
      <c r="M51" s="99" t="inlineStr">
        <is>
          <t>SECTOR DE 10 AGOSTO Y MIGUEL MORENO</t>
        </is>
      </c>
      <c r="N51" s="99" t="inlineStr">
        <is>
          <t>+593 99 798 1839</t>
        </is>
      </c>
      <c r="O51" s="185" t="n">
        <v>20</v>
      </c>
      <c r="P51" s="99" t="inlineStr">
        <is>
          <t>CLIENTE FINAL</t>
        </is>
      </c>
      <c r="Q51" s="99" t="inlineStr">
        <is>
          <t>CAPELO</t>
        </is>
      </c>
      <c r="S51" s="99" t="inlineStr">
        <is>
          <t>040 103 000017841</t>
        </is>
      </c>
      <c r="T51" s="101" t="n">
        <v>100816529</v>
      </c>
      <c r="U51" s="181" t="inlineStr">
        <is>
          <t>andradetl2yahoo.com</t>
        </is>
      </c>
    </row>
    <row r="52" ht="19" customFormat="1" customHeight="1" s="102">
      <c r="A52" s="114" t="n">
        <v>47</v>
      </c>
      <c r="B52" s="100" t="n">
        <v>46112</v>
      </c>
      <c r="C52" s="99" t="inlineStr">
        <is>
          <t>COMO HOGAR</t>
        </is>
      </c>
      <c r="D52" s="99" t="inlineStr">
        <is>
          <t>040 103 000020157</t>
        </is>
      </c>
      <c r="E52" s="99" t="n">
        <v>112520024</v>
      </c>
      <c r="F52" s="113">
        <f>VLOOKUP(E52,PROD,2,FALSE)</f>
        <v/>
      </c>
      <c r="G52" s="99" t="inlineStr">
        <is>
          <t>ZP251E00320</t>
        </is>
      </c>
      <c r="H52" s="99" t="inlineStr">
        <is>
          <t>SAP</t>
        </is>
      </c>
      <c r="I52" s="99" t="inlineStr">
        <is>
          <t>CAPELO</t>
        </is>
      </c>
      <c r="J52" s="99" t="inlineStr">
        <is>
          <t>CUENCA</t>
        </is>
      </c>
      <c r="K52" s="100" t="n">
        <v>46140</v>
      </c>
      <c r="L52" s="99" t="inlineStr">
        <is>
          <t>STEFANO LANDAZURI</t>
        </is>
      </c>
      <c r="M52" s="99" t="inlineStr">
        <is>
          <t>EDIFICIO OTERO</t>
        </is>
      </c>
      <c r="N52" s="99" t="inlineStr">
        <is>
          <t>+593 98 708 4118</t>
        </is>
      </c>
      <c r="O52" s="185" t="n">
        <v>15</v>
      </c>
      <c r="P52" s="99" t="inlineStr">
        <is>
          <t>CLIENTE FINAL</t>
        </is>
      </c>
      <c r="Q52" s="99" t="inlineStr">
        <is>
          <t>CAPELO</t>
        </is>
      </c>
      <c r="S52" s="99" t="inlineStr">
        <is>
          <t>040 103 000020157</t>
        </is>
      </c>
      <c r="T52" s="101" t="n">
        <v>1721233433</v>
      </c>
      <c r="U52" s="181" t="inlineStr">
        <is>
          <t>stefano-lb2011@hotmail.com</t>
        </is>
      </c>
    </row>
    <row r="53" ht="19" customFormat="1" customHeight="1" s="102">
      <c r="A53" s="114" t="n">
        <v>48</v>
      </c>
      <c r="B53" s="100" t="n">
        <v>46112</v>
      </c>
      <c r="C53" s="99" t="inlineStr">
        <is>
          <t>COMO HOGAR</t>
        </is>
      </c>
      <c r="D53" s="99" t="inlineStr">
        <is>
          <t>040 103 000020157</t>
        </is>
      </c>
      <c r="E53" s="99" t="n">
        <v>112060006</v>
      </c>
      <c r="F53" s="113" t="inlineStr">
        <is>
          <t>ML 8210</t>
        </is>
      </c>
      <c r="G53" s="99" t="inlineStr">
        <is>
          <t>TP259801887</t>
        </is>
      </c>
      <c r="H53" s="99" t="inlineStr">
        <is>
          <t>SAP</t>
        </is>
      </c>
      <c r="I53" s="99" t="inlineStr">
        <is>
          <t>CAPELO</t>
        </is>
      </c>
      <c r="J53" s="99" t="inlineStr">
        <is>
          <t>CUENCA</t>
        </is>
      </c>
      <c r="K53" s="100" t="n">
        <v>46140</v>
      </c>
      <c r="L53" s="99" t="inlineStr">
        <is>
          <t>STEFANO LANDAZURI</t>
        </is>
      </c>
      <c r="M53" s="99" t="inlineStr">
        <is>
          <t>EDIFICIO OTERO</t>
        </is>
      </c>
      <c r="N53" s="99" t="inlineStr">
        <is>
          <t>+593 98 708 4118</t>
        </is>
      </c>
      <c r="O53" s="185" t="n">
        <v>15</v>
      </c>
      <c r="P53" s="99" t="inlineStr">
        <is>
          <t>CLIENTE FINAL</t>
        </is>
      </c>
      <c r="Q53" s="99" t="inlineStr">
        <is>
          <t>CAPELO</t>
        </is>
      </c>
      <c r="S53" s="99" t="inlineStr">
        <is>
          <t>040 103 000020157</t>
        </is>
      </c>
      <c r="T53" s="101" t="n">
        <v>1721233433</v>
      </c>
      <c r="U53" s="181" t="inlineStr">
        <is>
          <t>stefano-lb2011@hotmail.com</t>
        </is>
      </c>
    </row>
    <row r="54" ht="19" customFormat="1" customHeight="1" s="102">
      <c r="A54" s="114" t="n">
        <v>49</v>
      </c>
      <c r="B54" s="100" t="n">
        <v>46112</v>
      </c>
      <c r="C54" s="99" t="inlineStr">
        <is>
          <t>COMO HOGAR</t>
        </is>
      </c>
      <c r="D54" s="99" t="inlineStr">
        <is>
          <t>040 103 000020157</t>
        </is>
      </c>
      <c r="E54" s="99" t="n">
        <v>40446712</v>
      </c>
      <c r="F54" s="113">
        <f>VLOOKUP(E54,PROD,2,FALSE)</f>
        <v/>
      </c>
      <c r="G54" s="99" t="inlineStr">
        <is>
          <t>TP25A701812</t>
        </is>
      </c>
      <c r="H54" s="99" t="inlineStr">
        <is>
          <t>SAP</t>
        </is>
      </c>
      <c r="I54" s="99" t="inlineStr">
        <is>
          <t>CAPELO</t>
        </is>
      </c>
      <c r="J54" s="99" t="inlineStr">
        <is>
          <t>CUENCA</t>
        </is>
      </c>
      <c r="K54" s="100" t="n">
        <v>46140</v>
      </c>
      <c r="L54" s="99" t="inlineStr">
        <is>
          <t>STEFANO LANDAZURI</t>
        </is>
      </c>
      <c r="M54" s="99" t="inlineStr">
        <is>
          <t>EDIFICIO OTERO</t>
        </is>
      </c>
      <c r="N54" s="99" t="inlineStr">
        <is>
          <t>+593 98 708 4118</t>
        </is>
      </c>
      <c r="O54" s="185" t="n">
        <v>15</v>
      </c>
      <c r="P54" s="99" t="inlineStr">
        <is>
          <t>CLIENTE FINAL</t>
        </is>
      </c>
      <c r="Q54" s="99" t="inlineStr">
        <is>
          <t>CAPELO</t>
        </is>
      </c>
      <c r="S54" s="99" t="inlineStr">
        <is>
          <t>040 103 000020157</t>
        </is>
      </c>
      <c r="T54" s="101" t="n">
        <v>1721233433</v>
      </c>
      <c r="U54" s="181" t="inlineStr">
        <is>
          <t>stefano-lb2011@hotmail.com</t>
        </is>
      </c>
    </row>
    <row r="55" ht="19" customFormat="1" customHeight="1" s="102">
      <c r="A55" s="114" t="n">
        <v>50</v>
      </c>
      <c r="B55" s="100" t="n">
        <v>46112</v>
      </c>
      <c r="C55" s="99" t="inlineStr">
        <is>
          <t>COMO HOGAR</t>
        </is>
      </c>
      <c r="D55" s="99" t="inlineStr">
        <is>
          <t>040 103 000020157</t>
        </is>
      </c>
      <c r="E55" s="99" t="n">
        <v>111010095</v>
      </c>
      <c r="F55" s="113">
        <f>VLOOKUP(E55,PROD,2,FALSE)</f>
        <v/>
      </c>
      <c r="G55" s="99" t="inlineStr">
        <is>
          <t>TZ251E00320</t>
        </is>
      </c>
      <c r="H55" s="99" t="inlineStr">
        <is>
          <t>SAP</t>
        </is>
      </c>
      <c r="I55" s="99" t="inlineStr">
        <is>
          <t>CAPELO</t>
        </is>
      </c>
      <c r="J55" s="99" t="inlineStr">
        <is>
          <t>CUENCA</t>
        </is>
      </c>
      <c r="K55" s="100" t="n">
        <v>46140</v>
      </c>
      <c r="L55" s="99" t="inlineStr">
        <is>
          <t>STEFANO LANDAZURI</t>
        </is>
      </c>
      <c r="M55" s="99" t="inlineStr">
        <is>
          <t>EDIFICIO OTERO</t>
        </is>
      </c>
      <c r="N55" s="99" t="inlineStr">
        <is>
          <t>+593 98 708 4118</t>
        </is>
      </c>
      <c r="O55" s="185" t="n">
        <v>15</v>
      </c>
      <c r="P55" s="99" t="inlineStr">
        <is>
          <t>CLIENTE FINAL</t>
        </is>
      </c>
      <c r="Q55" s="99" t="inlineStr">
        <is>
          <t>CAPELO</t>
        </is>
      </c>
      <c r="S55" s="99" t="inlineStr">
        <is>
          <t>040 103 000020157</t>
        </is>
      </c>
      <c r="T55" s="101" t="n">
        <v>1721233433</v>
      </c>
      <c r="U55" s="181" t="inlineStr">
        <is>
          <t>stefano-lb2011@hotmail.com</t>
        </is>
      </c>
    </row>
    <row r="56" ht="19" customFormat="1" customHeight="1" s="102">
      <c r="A56" s="114" t="n">
        <v>51</v>
      </c>
      <c r="B56" s="100" t="n">
        <v>46132</v>
      </c>
      <c r="C56" s="99" t="inlineStr">
        <is>
          <t>COMERCIAL SOLIS</t>
        </is>
      </c>
      <c r="D56" s="99" t="inlineStr">
        <is>
          <t>001 500 000084701</t>
        </is>
      </c>
      <c r="E56" s="99" t="n">
        <v>112580017</v>
      </c>
      <c r="F56" s="113">
        <f>VLOOKUP(E56,PROD,2,FALSE)</f>
        <v/>
      </c>
      <c r="G56" s="99" t="inlineStr">
        <is>
          <t>ZP259K00326</t>
        </is>
      </c>
      <c r="H56" s="99" t="inlineStr">
        <is>
          <t>SAP</t>
        </is>
      </c>
      <c r="I56" s="99" t="inlineStr">
        <is>
          <t>CAPELO</t>
        </is>
      </c>
      <c r="J56" s="99" t="inlineStr">
        <is>
          <t>CUENCA</t>
        </is>
      </c>
      <c r="K56" s="100" t="n">
        <v>46141</v>
      </c>
      <c r="L56" s="99" t="inlineStr">
        <is>
          <t>ANDREA MORENO</t>
        </is>
      </c>
      <c r="M56" s="99" t="inlineStr">
        <is>
          <t>EL CEBOLLAR</t>
        </is>
      </c>
      <c r="N56" s="99" t="inlineStr">
        <is>
          <t>+593 98 540 1303</t>
        </is>
      </c>
      <c r="O56" s="185" t="n">
        <v>15</v>
      </c>
      <c r="P56" s="99" t="inlineStr">
        <is>
          <t>CLIENTE FINAL</t>
        </is>
      </c>
      <c r="Q56" s="99" t="inlineStr">
        <is>
          <t>CAPELO</t>
        </is>
      </c>
      <c r="S56" s="99" t="inlineStr">
        <is>
          <t>001 500 000084701</t>
        </is>
      </c>
      <c r="T56" s="101" t="n">
        <v>705301273</v>
      </c>
      <c r="U56" s="181" t="inlineStr">
        <is>
          <t>andreitamp89@gmail.com</t>
        </is>
      </c>
    </row>
    <row r="57" ht="19" customFormat="1" customHeight="1" s="102">
      <c r="A57" s="114" t="n">
        <v>52</v>
      </c>
      <c r="B57" s="100" t="n">
        <v>46132</v>
      </c>
      <c r="C57" s="99" t="inlineStr">
        <is>
          <t>COMERCIAL SOLIS</t>
        </is>
      </c>
      <c r="D57" s="99" t="inlineStr">
        <is>
          <t>001 500 000084701</t>
        </is>
      </c>
      <c r="E57" s="99" t="n">
        <v>40461507</v>
      </c>
      <c r="F57" s="113">
        <f>VLOOKUP(E57,PROD,2,FALSE)</f>
        <v/>
      </c>
      <c r="G57" s="99" t="inlineStr">
        <is>
          <t>TP257M00654</t>
        </is>
      </c>
      <c r="H57" s="99" t="inlineStr">
        <is>
          <t>SAP</t>
        </is>
      </c>
      <c r="I57" s="99" t="inlineStr">
        <is>
          <t>CAPELO</t>
        </is>
      </c>
      <c r="J57" s="99" t="inlineStr">
        <is>
          <t>CUENCA</t>
        </is>
      </c>
      <c r="K57" s="100" t="n">
        <v>46141</v>
      </c>
      <c r="L57" s="99" t="inlineStr">
        <is>
          <t>ANDREA MORENO</t>
        </is>
      </c>
      <c r="M57" s="99" t="inlineStr">
        <is>
          <t>EL CEBOLLAR</t>
        </is>
      </c>
      <c r="N57" s="99" t="inlineStr">
        <is>
          <t>+593 98 540 1303</t>
        </is>
      </c>
      <c r="O57" s="185" t="n">
        <v>15</v>
      </c>
      <c r="P57" s="99" t="inlineStr">
        <is>
          <t>CLIENTE FINAL</t>
        </is>
      </c>
      <c r="Q57" s="99" t="inlineStr">
        <is>
          <t>CAPELO</t>
        </is>
      </c>
      <c r="S57" s="99" t="inlineStr">
        <is>
          <t>001 500 000084701</t>
        </is>
      </c>
      <c r="T57" s="101" t="n">
        <v>705301273</v>
      </c>
      <c r="U57" s="181" t="inlineStr">
        <is>
          <t>andreitamp89@gmail.com</t>
        </is>
      </c>
    </row>
    <row r="58" ht="19" customFormat="1" customHeight="1" s="102">
      <c r="A58" s="114" t="n">
        <v>53</v>
      </c>
      <c r="B58" s="100" t="n">
        <v>45818</v>
      </c>
      <c r="C58" s="99" t="inlineStr">
        <is>
          <t>COMERCIAL SOLIS</t>
        </is>
      </c>
      <c r="D58" s="99" t="inlineStr">
        <is>
          <t>001 502 000000312</t>
        </is>
      </c>
      <c r="E58" s="99" t="n">
        <v>112520025</v>
      </c>
      <c r="F58" s="113">
        <f>VLOOKUP(E58,PROD,2,FALSE)</f>
        <v/>
      </c>
      <c r="G58" s="99" t="inlineStr">
        <is>
          <t>ZP243000569</t>
        </is>
      </c>
      <c r="H58" s="99" t="inlineStr">
        <is>
          <t>SAP</t>
        </is>
      </c>
      <c r="I58" s="99" t="inlineStr">
        <is>
          <t>CAPELO</t>
        </is>
      </c>
      <c r="J58" s="99" t="inlineStr">
        <is>
          <t>CUENCA</t>
        </is>
      </c>
      <c r="K58" s="100" t="n">
        <v>46141</v>
      </c>
      <c r="L58" s="99" t="inlineStr">
        <is>
          <t>SAIDA ENCALADA/PAOLA PACHECO</t>
        </is>
      </c>
      <c r="M58" s="99" t="inlineStr">
        <is>
          <t>CHALLUABAMBA</t>
        </is>
      </c>
      <c r="N58" s="99" t="inlineStr">
        <is>
          <t>+593 98 722 7353</t>
        </is>
      </c>
      <c r="O58" s="185" t="n">
        <v>15</v>
      </c>
      <c r="P58" s="99" t="inlineStr">
        <is>
          <t>CLIENTE FINAL</t>
        </is>
      </c>
      <c r="Q58" s="99" t="inlineStr">
        <is>
          <t>CAPELO</t>
        </is>
      </c>
      <c r="S58" s="99" t="inlineStr">
        <is>
          <t>001 502 000000312</t>
        </is>
      </c>
      <c r="T58" s="101" t="n">
        <v>300528866</v>
      </c>
      <c r="U58" s="181" t="inlineStr">
        <is>
          <t>saidamev1956@gmail.com</t>
        </is>
      </c>
    </row>
    <row r="59" ht="19" customFormat="1" customHeight="1" s="102">
      <c r="A59" s="114" t="n">
        <v>54</v>
      </c>
      <c r="B59" s="100" t="n">
        <v>45818</v>
      </c>
      <c r="C59" s="99" t="inlineStr">
        <is>
          <t>COMERCIAL SOLIS</t>
        </is>
      </c>
      <c r="D59" s="99" t="inlineStr">
        <is>
          <t>001 502 000000312</t>
        </is>
      </c>
      <c r="E59" s="99" t="n">
        <v>112570016</v>
      </c>
      <c r="F59" s="113">
        <f>VLOOKUP(E59,PROD,2,FALSE)</f>
        <v/>
      </c>
      <c r="G59" s="99" t="inlineStr">
        <is>
          <t>ZP236C00041</t>
        </is>
      </c>
      <c r="H59" s="99" t="inlineStr">
        <is>
          <t>SAP</t>
        </is>
      </c>
      <c r="I59" s="99" t="inlineStr">
        <is>
          <t>CAPELO</t>
        </is>
      </c>
      <c r="J59" s="99" t="inlineStr">
        <is>
          <t>CUENCA</t>
        </is>
      </c>
      <c r="K59" s="100" t="n">
        <v>46141</v>
      </c>
      <c r="L59" s="99" t="inlineStr">
        <is>
          <t>SAIDA ENCALADA/PAOLA PACHECO</t>
        </is>
      </c>
      <c r="M59" s="99" t="inlineStr">
        <is>
          <t>CHALLUABAMBA</t>
        </is>
      </c>
      <c r="N59" s="99" t="inlineStr">
        <is>
          <t>+593 98 722 7353</t>
        </is>
      </c>
      <c r="O59" s="185" t="n">
        <v>15</v>
      </c>
      <c r="P59" s="99" t="inlineStr">
        <is>
          <t>CLIENTE FINAL</t>
        </is>
      </c>
      <c r="Q59" s="99" t="inlineStr">
        <is>
          <t>CAPELO</t>
        </is>
      </c>
      <c r="S59" s="99" t="inlineStr">
        <is>
          <t>001 502 000000312</t>
        </is>
      </c>
      <c r="T59" s="101" t="n">
        <v>300528866</v>
      </c>
      <c r="U59" s="181" t="inlineStr">
        <is>
          <t>saidamev1956@gmail.com</t>
        </is>
      </c>
    </row>
    <row r="60" ht="19" customFormat="1" customHeight="1" s="102">
      <c r="A60" s="114" t="n">
        <v>55</v>
      </c>
      <c r="B60" s="100" t="n">
        <v>45818</v>
      </c>
      <c r="C60" s="99" t="inlineStr">
        <is>
          <t>COMERCIAL SOLIS</t>
        </is>
      </c>
      <c r="D60" s="99" t="inlineStr">
        <is>
          <t>001 502 000000312</t>
        </is>
      </c>
      <c r="E60" s="99" t="n">
        <v>112030019</v>
      </c>
      <c r="F60" s="113">
        <f>VLOOKUP(E60,PROD,2,FALSE)</f>
        <v/>
      </c>
      <c r="G60" s="99" t="inlineStr">
        <is>
          <t>TP257G06534</t>
        </is>
      </c>
      <c r="H60" s="99" t="inlineStr">
        <is>
          <t>SAP</t>
        </is>
      </c>
      <c r="I60" s="99" t="inlineStr">
        <is>
          <t>CAPELO</t>
        </is>
      </c>
      <c r="J60" s="99" t="inlineStr">
        <is>
          <t>CUENCA</t>
        </is>
      </c>
      <c r="K60" s="100" t="n">
        <v>46141</v>
      </c>
      <c r="L60" s="99" t="inlineStr">
        <is>
          <t>SAIDA ENCALADA/PAOLA PACHECO</t>
        </is>
      </c>
      <c r="M60" s="99" t="inlineStr">
        <is>
          <t>CHALLUABAMBA</t>
        </is>
      </c>
      <c r="N60" s="99" t="inlineStr">
        <is>
          <t>+593 98 722 7353</t>
        </is>
      </c>
      <c r="O60" s="185" t="n">
        <v>15</v>
      </c>
      <c r="P60" s="99" t="inlineStr">
        <is>
          <t>CLIENTE FINAL</t>
        </is>
      </c>
      <c r="Q60" s="99" t="inlineStr">
        <is>
          <t>CAPELO</t>
        </is>
      </c>
      <c r="S60" s="99" t="inlineStr">
        <is>
          <t>001 502 000000312</t>
        </is>
      </c>
      <c r="T60" s="101" t="n">
        <v>300528866</v>
      </c>
      <c r="U60" s="181" t="inlineStr">
        <is>
          <t>saidamev1956@gmail.com</t>
        </is>
      </c>
    </row>
    <row r="61" ht="19" customFormat="1" customHeight="1" s="102">
      <c r="A61" s="114" t="n">
        <v>56</v>
      </c>
      <c r="B61" s="100" t="n">
        <v>45818</v>
      </c>
      <c r="C61" s="99" t="inlineStr">
        <is>
          <t>COMERCIAL SOLIS</t>
        </is>
      </c>
      <c r="D61" s="99" t="inlineStr">
        <is>
          <t>001 502 000000312</t>
        </is>
      </c>
      <c r="E61" s="99" t="n">
        <v>111000078</v>
      </c>
      <c r="F61" s="113">
        <f>VLOOKUP(E61,PROD,2,FALSE)</f>
        <v/>
      </c>
      <c r="G61" s="99" t="inlineStr">
        <is>
          <t>TZ243U00569</t>
        </is>
      </c>
      <c r="H61" s="99" t="inlineStr">
        <is>
          <t>SAP</t>
        </is>
      </c>
      <c r="I61" s="99" t="inlineStr">
        <is>
          <t>CAPELO</t>
        </is>
      </c>
      <c r="J61" s="99" t="inlineStr">
        <is>
          <t>CUENCA</t>
        </is>
      </c>
      <c r="K61" s="100" t="n">
        <v>46141</v>
      </c>
      <c r="L61" s="99" t="inlineStr">
        <is>
          <t>SAIDA ENCALADA/PAOLA PACHECO</t>
        </is>
      </c>
      <c r="M61" s="99" t="inlineStr">
        <is>
          <t>CHALLUABAMBA</t>
        </is>
      </c>
      <c r="N61" s="99" t="inlineStr">
        <is>
          <t>+593 98 722 7353</t>
        </is>
      </c>
      <c r="O61" s="185" t="n">
        <v>15</v>
      </c>
      <c r="P61" s="99" t="inlineStr">
        <is>
          <t>CLIENTE FINAL</t>
        </is>
      </c>
      <c r="Q61" s="99" t="inlineStr">
        <is>
          <t>CAPELO</t>
        </is>
      </c>
      <c r="S61" s="99" t="inlineStr">
        <is>
          <t>001 502 000000312</t>
        </is>
      </c>
      <c r="T61" s="101" t="n">
        <v>300528866</v>
      </c>
      <c r="U61" s="181" t="inlineStr">
        <is>
          <t>saidamev1956@gmail.com</t>
        </is>
      </c>
    </row>
    <row r="62" ht="19" customFormat="1" customHeight="1" s="102">
      <c r="A62" s="114" t="n">
        <v>57</v>
      </c>
      <c r="B62" s="100" t="n">
        <v>45818</v>
      </c>
      <c r="C62" s="99" t="inlineStr">
        <is>
          <t>COMERCIAL SOLIS</t>
        </is>
      </c>
      <c r="D62" s="99" t="inlineStr">
        <is>
          <t>001 502 000000312</t>
        </is>
      </c>
      <c r="E62" s="99" t="n">
        <v>113430051</v>
      </c>
      <c r="F62" s="113">
        <f>VLOOKUP(E62,PROD,2,FALSE)</f>
        <v/>
      </c>
      <c r="G62" s="99" t="inlineStr">
        <is>
          <t>TKAZC5B061001</t>
        </is>
      </c>
      <c r="H62" s="99" t="inlineStr">
        <is>
          <t>SAP</t>
        </is>
      </c>
      <c r="I62" s="99" t="inlineStr">
        <is>
          <t>CAPELO</t>
        </is>
      </c>
      <c r="J62" s="99" t="inlineStr">
        <is>
          <t>CUENCA</t>
        </is>
      </c>
      <c r="K62" s="100" t="n">
        <v>46141</v>
      </c>
      <c r="L62" s="99" t="inlineStr">
        <is>
          <t>SAIDA ENCALADA/PAOLA PACHECO</t>
        </is>
      </c>
      <c r="M62" s="99" t="inlineStr">
        <is>
          <t>CHALLUABAMBA</t>
        </is>
      </c>
      <c r="N62" s="99" t="inlineStr">
        <is>
          <t>+593 98 722 7353</t>
        </is>
      </c>
      <c r="O62" s="185" t="n">
        <v>15</v>
      </c>
      <c r="P62" s="99" t="inlineStr">
        <is>
          <t>CLIENTE FINAL</t>
        </is>
      </c>
      <c r="Q62" s="99" t="inlineStr">
        <is>
          <t>CAPELO</t>
        </is>
      </c>
      <c r="S62" s="99" t="inlineStr">
        <is>
          <t>001 502 000000312</t>
        </is>
      </c>
      <c r="T62" s="101" t="n">
        <v>300528866</v>
      </c>
      <c r="U62" s="181" t="inlineStr">
        <is>
          <t>saidamev1956@gmail.com</t>
        </is>
      </c>
    </row>
    <row r="63" ht="19" customFormat="1" customHeight="1" s="102">
      <c r="A63" s="114" t="n">
        <v>58</v>
      </c>
      <c r="B63" s="100" t="n">
        <v>45818</v>
      </c>
      <c r="C63" s="99" t="inlineStr">
        <is>
          <t>COMERCIAL SOLIS</t>
        </is>
      </c>
      <c r="D63" s="99" t="inlineStr">
        <is>
          <t>001 502 000000312</t>
        </is>
      </c>
      <c r="E63" s="99" t="n">
        <v>112520025</v>
      </c>
      <c r="F63" s="113">
        <f>VLOOKUP(E63,PROD,2,FALSE)</f>
        <v/>
      </c>
      <c r="G63" s="99" t="inlineStr">
        <is>
          <t>ZP252H00752</t>
        </is>
      </c>
      <c r="H63" s="99" t="inlineStr">
        <is>
          <t>SAP</t>
        </is>
      </c>
      <c r="I63" s="99" t="inlineStr">
        <is>
          <t>CAPELO</t>
        </is>
      </c>
      <c r="J63" s="99" t="inlineStr">
        <is>
          <t>CUENCA</t>
        </is>
      </c>
      <c r="K63" s="100" t="n">
        <v>46141</v>
      </c>
      <c r="L63" s="99" t="inlineStr">
        <is>
          <t>SAIDA ENCALADA/PAOLA PACHECO</t>
        </is>
      </c>
      <c r="M63" s="99" t="inlineStr">
        <is>
          <t>CHALLUABAMBA</t>
        </is>
      </c>
      <c r="N63" s="99" t="inlineStr">
        <is>
          <t>+593 98 722 7353</t>
        </is>
      </c>
      <c r="O63" s="185" t="n">
        <v>15</v>
      </c>
      <c r="P63" s="99" t="inlineStr">
        <is>
          <t>CLIENTE FINAL</t>
        </is>
      </c>
      <c r="Q63" s="99" t="inlineStr">
        <is>
          <t>CAPELO</t>
        </is>
      </c>
      <c r="S63" s="99" t="inlineStr">
        <is>
          <t>001 502 000000312</t>
        </is>
      </c>
      <c r="T63" s="101" t="n">
        <v>300528866</v>
      </c>
      <c r="U63" s="181" t="inlineStr">
        <is>
          <t>saidamev1956@gmail.com</t>
        </is>
      </c>
    </row>
    <row r="64" ht="19" customFormat="1" customHeight="1" s="102">
      <c r="A64" s="114" t="n">
        <v>59</v>
      </c>
      <c r="B64" s="100" t="n">
        <v>45818</v>
      </c>
      <c r="C64" s="99" t="inlineStr">
        <is>
          <t>COMERCIAL SOLIS</t>
        </is>
      </c>
      <c r="D64" s="99" t="inlineStr">
        <is>
          <t>001 502 000000312</t>
        </is>
      </c>
      <c r="E64" s="99" t="n">
        <v>112570016</v>
      </c>
      <c r="F64" s="113">
        <f>VLOOKUP(E64,PROD,2,FALSE)</f>
        <v/>
      </c>
      <c r="G64" s="99" t="inlineStr">
        <is>
          <t>ZP236C00040</t>
        </is>
      </c>
      <c r="H64" s="99" t="inlineStr">
        <is>
          <t>SAP</t>
        </is>
      </c>
      <c r="I64" s="99" t="inlineStr">
        <is>
          <t>CAPELO</t>
        </is>
      </c>
      <c r="J64" s="99" t="inlineStr">
        <is>
          <t>CUENCA</t>
        </is>
      </c>
      <c r="K64" s="100" t="n">
        <v>46141</v>
      </c>
      <c r="L64" s="99" t="inlineStr">
        <is>
          <t>SAIDA ENCALADA/PAOLA PACHECO</t>
        </is>
      </c>
      <c r="M64" s="99" t="inlineStr">
        <is>
          <t>CHALLUABAMBA</t>
        </is>
      </c>
      <c r="N64" s="99" t="inlineStr">
        <is>
          <t>+593 98 722 7353</t>
        </is>
      </c>
      <c r="O64" s="185" t="n">
        <v>15</v>
      </c>
      <c r="P64" s="99" t="inlineStr">
        <is>
          <t>CLIENTE FINAL</t>
        </is>
      </c>
      <c r="Q64" s="99" t="inlineStr">
        <is>
          <t>CAPELO</t>
        </is>
      </c>
      <c r="S64" s="99" t="inlineStr">
        <is>
          <t>001 502 000000312</t>
        </is>
      </c>
      <c r="T64" s="101" t="n">
        <v>300528866</v>
      </c>
      <c r="U64" s="181" t="inlineStr">
        <is>
          <t>saidamev1956@gmail.com</t>
        </is>
      </c>
    </row>
    <row r="65" ht="19" customFormat="1" customHeight="1" s="102">
      <c r="A65" s="114" t="n">
        <v>60</v>
      </c>
      <c r="B65" s="100" t="n">
        <v>46133</v>
      </c>
      <c r="C65" s="99" t="inlineStr">
        <is>
          <t>COMO HOGAR</t>
        </is>
      </c>
      <c r="D65" s="99" t="inlineStr">
        <is>
          <t>040 103 000020550</t>
        </is>
      </c>
      <c r="E65" s="99" t="n">
        <v>111000078</v>
      </c>
      <c r="F65" s="113">
        <f>VLOOKUP(E65,PROD,2,FALSE)</f>
        <v/>
      </c>
      <c r="G65" s="99" t="inlineStr">
        <is>
          <t>TZ256J19901</t>
        </is>
      </c>
      <c r="H65" s="99" t="inlineStr">
        <is>
          <t>SAP</t>
        </is>
      </c>
      <c r="I65" s="99" t="inlineStr">
        <is>
          <t>CAPELO</t>
        </is>
      </c>
      <c r="J65" s="99" t="inlineStr">
        <is>
          <t>CUENCA</t>
        </is>
      </c>
      <c r="K65" s="100" t="n">
        <v>46141</v>
      </c>
      <c r="L65" s="99" t="inlineStr">
        <is>
          <t>GABRIELA LEON</t>
        </is>
      </c>
      <c r="M65" s="99" t="inlineStr">
        <is>
          <t>EDIFICIO OTERO 8 PISO 8C</t>
        </is>
      </c>
      <c r="N65" s="99" t="inlineStr">
        <is>
          <t>+593 99 332 7456</t>
        </is>
      </c>
      <c r="O65" s="185" t="n">
        <v>15</v>
      </c>
      <c r="P65" s="99" t="inlineStr">
        <is>
          <t>CLIENTE FINAL</t>
        </is>
      </c>
      <c r="Q65" s="99" t="inlineStr">
        <is>
          <t>CAPELO</t>
        </is>
      </c>
      <c r="S65" s="99" t="inlineStr">
        <is>
          <t>040 103 000020550</t>
        </is>
      </c>
      <c r="T65" s="101" t="n">
        <v>104534391001</v>
      </c>
      <c r="U65" s="181" t="inlineStr">
        <is>
          <t>ac_estudio@outlook.es</t>
        </is>
      </c>
    </row>
    <row r="66" ht="19" customFormat="1" customHeight="1" s="102">
      <c r="A66" s="114" t="n">
        <v>61</v>
      </c>
      <c r="B66" s="100" t="n">
        <v>46133</v>
      </c>
      <c r="C66" s="99" t="inlineStr">
        <is>
          <t>COMO HOGAR</t>
        </is>
      </c>
      <c r="D66" s="99" t="inlineStr">
        <is>
          <t>040 103 000020550</t>
        </is>
      </c>
      <c r="E66" s="99" t="n">
        <v>40584012</v>
      </c>
      <c r="F66" s="113">
        <f>VLOOKUP(E66,PROD,2,FALSE)</f>
        <v/>
      </c>
      <c r="G66" s="99" t="inlineStr">
        <is>
          <t>TP256406359</t>
        </is>
      </c>
      <c r="H66" s="99" t="inlineStr">
        <is>
          <t>SAP</t>
        </is>
      </c>
      <c r="I66" s="99" t="inlineStr">
        <is>
          <t>CAPELO</t>
        </is>
      </c>
      <c r="J66" s="99" t="inlineStr">
        <is>
          <t>CUENCA</t>
        </is>
      </c>
      <c r="K66" s="100" t="n">
        <v>46141</v>
      </c>
      <c r="L66" s="99" t="inlineStr">
        <is>
          <t>GABRIELA LEON</t>
        </is>
      </c>
      <c r="M66" s="99" t="inlineStr">
        <is>
          <t>EDIFICIO OTERO 8 PISO 8C</t>
        </is>
      </c>
      <c r="N66" s="99" t="inlineStr">
        <is>
          <t>+593 99 332 7456</t>
        </is>
      </c>
      <c r="O66" s="185" t="n">
        <v>15</v>
      </c>
      <c r="P66" s="99" t="inlineStr">
        <is>
          <t>CLIENTE FINAL</t>
        </is>
      </c>
      <c r="Q66" s="99" t="inlineStr">
        <is>
          <t>CAPELO</t>
        </is>
      </c>
      <c r="S66" s="99" t="inlineStr">
        <is>
          <t>040 103 000020550</t>
        </is>
      </c>
      <c r="T66" s="101" t="n">
        <v>104534391001</v>
      </c>
      <c r="U66" s="181" t="inlineStr">
        <is>
          <t>ac_estudio@outlook.es</t>
        </is>
      </c>
    </row>
    <row r="67" ht="19" customFormat="1" customHeight="1" s="102">
      <c r="A67" s="114" t="n">
        <v>62</v>
      </c>
      <c r="B67" s="100" t="n">
        <v>46133</v>
      </c>
      <c r="C67" s="99" t="inlineStr">
        <is>
          <t>COMO HOGAR</t>
        </is>
      </c>
      <c r="D67" s="99" t="inlineStr">
        <is>
          <t>040 103 000020550</t>
        </is>
      </c>
      <c r="E67" s="99" t="n">
        <v>112580027</v>
      </c>
      <c r="F67" s="113">
        <f>VLOOKUP(E67,PROD,2,FALSE)</f>
        <v/>
      </c>
      <c r="G67" s="99" t="inlineStr">
        <is>
          <t>ZP2477500418</t>
        </is>
      </c>
      <c r="H67" s="99" t="inlineStr">
        <is>
          <t>SAP</t>
        </is>
      </c>
      <c r="I67" s="99" t="inlineStr">
        <is>
          <t>CAPELO</t>
        </is>
      </c>
      <c r="J67" s="99" t="inlineStr">
        <is>
          <t>CUENCA</t>
        </is>
      </c>
      <c r="K67" s="100" t="n">
        <v>46141</v>
      </c>
      <c r="L67" s="99" t="inlineStr">
        <is>
          <t>GABRIELA LEON</t>
        </is>
      </c>
      <c r="M67" s="99" t="inlineStr">
        <is>
          <t>EDIFICIO OTERO 8 PISO 8C</t>
        </is>
      </c>
      <c r="N67" s="99" t="inlineStr">
        <is>
          <t>+593 99 332 7456</t>
        </is>
      </c>
      <c r="O67" s="185" t="n">
        <v>15</v>
      </c>
      <c r="P67" s="99" t="inlineStr">
        <is>
          <t>CLIENTE FINAL</t>
        </is>
      </c>
      <c r="Q67" s="99" t="inlineStr">
        <is>
          <t>CAPELO</t>
        </is>
      </c>
      <c r="S67" s="99" t="inlineStr">
        <is>
          <t>040 103 000020550</t>
        </is>
      </c>
      <c r="T67" s="101" t="n">
        <v>104534391001</v>
      </c>
      <c r="U67" s="181" t="inlineStr">
        <is>
          <t>ac_estudio@outlook.es</t>
        </is>
      </c>
    </row>
    <row r="68" ht="19" customFormat="1" customHeight="1" s="102">
      <c r="A68" s="114" t="n">
        <v>63</v>
      </c>
      <c r="B68" s="100" t="n">
        <v>45978</v>
      </c>
      <c r="C68" s="99" t="inlineStr">
        <is>
          <t>COMERCIAL SOLIS</t>
        </is>
      </c>
      <c r="D68" s="99" t="inlineStr">
        <is>
          <t>001 502 000000592</t>
        </is>
      </c>
      <c r="E68" s="99" t="n">
        <v>111000051</v>
      </c>
      <c r="F68" s="113">
        <f>VLOOKUP(E68,PROD,2,FALSE)</f>
        <v/>
      </c>
      <c r="G68" s="99" t="inlineStr">
        <is>
          <t>TZ258129966</t>
        </is>
      </c>
      <c r="H68" s="99" t="inlineStr">
        <is>
          <t>SAP</t>
        </is>
      </c>
      <c r="I68" s="99" t="inlineStr">
        <is>
          <t>CAPELO</t>
        </is>
      </c>
      <c r="J68" s="99" t="inlineStr">
        <is>
          <t>CUENCA</t>
        </is>
      </c>
      <c r="K68" s="100" t="n">
        <v>46142</v>
      </c>
      <c r="L68" s="99" t="inlineStr">
        <is>
          <t>LORENA CAZORLA</t>
        </is>
      </c>
      <c r="M68" s="99" t="inlineStr">
        <is>
          <t>CHALLUABAMBA</t>
        </is>
      </c>
      <c r="N68" s="99" t="inlineStr">
        <is>
          <t>+593 96 749 2377</t>
        </is>
      </c>
      <c r="O68" s="185" t="n">
        <v>15</v>
      </c>
      <c r="P68" s="99" t="inlineStr">
        <is>
          <t>CLIENTE FINAL</t>
        </is>
      </c>
      <c r="Q68" s="99" t="inlineStr">
        <is>
          <t>CAPELO</t>
        </is>
      </c>
      <c r="S68" s="99" t="inlineStr">
        <is>
          <t>001 502 000000592</t>
        </is>
      </c>
      <c r="T68" s="101" t="n">
        <v>102138633</v>
      </c>
      <c r="U68" s="181" t="inlineStr">
        <is>
          <t>lorecazorla77@gmail.com</t>
        </is>
      </c>
    </row>
    <row r="69" ht="19" customFormat="1" customHeight="1" s="102">
      <c r="A69" s="114" t="n">
        <v>64</v>
      </c>
      <c r="B69" s="100" t="n">
        <v>45978</v>
      </c>
      <c r="C69" s="99" t="inlineStr">
        <is>
          <t>COMERCIAL SOLIS</t>
        </is>
      </c>
      <c r="D69" s="99" t="inlineStr">
        <is>
          <t>001 502 000000592</t>
        </is>
      </c>
      <c r="E69" s="99" t="n">
        <v>112060006</v>
      </c>
      <c r="F69" s="113" t="inlineStr">
        <is>
          <t>MICROONDAS ML 8210 BIS</t>
        </is>
      </c>
      <c r="G69" s="99" t="inlineStr">
        <is>
          <t>TP259801894</t>
        </is>
      </c>
      <c r="H69" s="99" t="inlineStr">
        <is>
          <t>SAP</t>
        </is>
      </c>
      <c r="I69" s="99" t="inlineStr">
        <is>
          <t>CAPELO</t>
        </is>
      </c>
      <c r="J69" s="99" t="inlineStr">
        <is>
          <t>CUENCA</t>
        </is>
      </c>
      <c r="K69" s="100" t="n">
        <v>46142</v>
      </c>
      <c r="L69" s="99" t="inlineStr">
        <is>
          <t>LORENA CAZORLA</t>
        </is>
      </c>
      <c r="M69" s="99" t="inlineStr">
        <is>
          <t>CHALLUABAMBA</t>
        </is>
      </c>
      <c r="N69" s="99" t="inlineStr">
        <is>
          <t>+593 96 749 2377</t>
        </is>
      </c>
      <c r="O69" s="185" t="n">
        <v>15</v>
      </c>
      <c r="P69" s="99" t="inlineStr">
        <is>
          <t>CLIENTE FINAL</t>
        </is>
      </c>
      <c r="Q69" s="99" t="inlineStr">
        <is>
          <t>CAPELO</t>
        </is>
      </c>
      <c r="S69" s="99" t="inlineStr">
        <is>
          <t>001 502 000000592</t>
        </is>
      </c>
      <c r="T69" s="101" t="n">
        <v>102138633</v>
      </c>
      <c r="U69" s="181" t="inlineStr">
        <is>
          <t>lorecazorla77@gmail.com</t>
        </is>
      </c>
    </row>
    <row r="70" ht="19" customFormat="1" customHeight="1" s="102">
      <c r="A70" s="114" t="n">
        <v>65</v>
      </c>
      <c r="B70" s="100" t="n">
        <v>45978</v>
      </c>
      <c r="C70" s="99" t="inlineStr">
        <is>
          <t>COMERCIAL SOLIS</t>
        </is>
      </c>
      <c r="D70" s="99" t="inlineStr">
        <is>
          <t>001 502 000000592</t>
        </is>
      </c>
      <c r="E70" s="99" t="n">
        <v>40782128</v>
      </c>
      <c r="F70" s="113">
        <f>VLOOKUP(E70,PROD,2,FALSE)</f>
        <v/>
      </c>
      <c r="G70" s="99" t="inlineStr">
        <is>
          <t>MD255LO7983</t>
        </is>
      </c>
      <c r="H70" s="99" t="inlineStr">
        <is>
          <t>SAP</t>
        </is>
      </c>
      <c r="I70" s="99" t="inlineStr">
        <is>
          <t>CAPELO</t>
        </is>
      </c>
      <c r="J70" s="99" t="inlineStr">
        <is>
          <t>CUENCA</t>
        </is>
      </c>
      <c r="K70" s="100" t="n">
        <v>46142</v>
      </c>
      <c r="L70" s="99" t="inlineStr">
        <is>
          <t>LORENA CAZORLA</t>
        </is>
      </c>
      <c r="M70" s="99" t="inlineStr">
        <is>
          <t>CHALLUABAMBA</t>
        </is>
      </c>
      <c r="N70" s="99" t="inlineStr">
        <is>
          <t>+593 96 749 2377</t>
        </is>
      </c>
      <c r="O70" s="185" t="n">
        <v>15</v>
      </c>
      <c r="P70" s="99" t="inlineStr">
        <is>
          <t>CLIENTE FINAL</t>
        </is>
      </c>
      <c r="Q70" s="99" t="inlineStr">
        <is>
          <t>CAPELO</t>
        </is>
      </c>
      <c r="S70" s="99" t="inlineStr">
        <is>
          <t>001 502 000000592</t>
        </is>
      </c>
      <c r="T70" s="101" t="n">
        <v>102138633</v>
      </c>
      <c r="U70" s="181" t="inlineStr">
        <is>
          <t>lorecazorla77@gmail.com</t>
        </is>
      </c>
    </row>
    <row r="71" ht="19" customFormat="1" customHeight="1" s="102">
      <c r="A71" s="114" t="n">
        <v>66</v>
      </c>
      <c r="B71" s="100" t="n">
        <v>45978</v>
      </c>
      <c r="C71" s="99" t="inlineStr">
        <is>
          <t>COMERCIAL SOLIS</t>
        </is>
      </c>
      <c r="D71" s="99" t="inlineStr">
        <is>
          <t>001 502 000000592</t>
        </is>
      </c>
      <c r="E71" s="99" t="n">
        <v>112570128</v>
      </c>
      <c r="F71" s="113">
        <f>VLOOKUP(E71,PROD,2,FALSE)</f>
        <v/>
      </c>
      <c r="G71" s="99" t="inlineStr">
        <is>
          <t>MD255LO7983</t>
        </is>
      </c>
      <c r="H71" s="99" t="inlineStr">
        <is>
          <t>SAP</t>
        </is>
      </c>
      <c r="I71" s="99" t="inlineStr">
        <is>
          <t>CAPELO</t>
        </is>
      </c>
      <c r="J71" s="99" t="inlineStr">
        <is>
          <t>CUENCA</t>
        </is>
      </c>
      <c r="K71" s="100" t="n">
        <v>46142</v>
      </c>
      <c r="L71" s="99" t="inlineStr">
        <is>
          <t>LORENA CAZORLA</t>
        </is>
      </c>
      <c r="M71" s="99" t="inlineStr">
        <is>
          <t>CHALLUABAMBA</t>
        </is>
      </c>
      <c r="N71" s="99" t="inlineStr">
        <is>
          <t>+593 96 749 2377</t>
        </is>
      </c>
      <c r="O71" s="185" t="n">
        <v>15</v>
      </c>
      <c r="P71" s="99" t="inlineStr">
        <is>
          <t>CLIENTE FINAL</t>
        </is>
      </c>
      <c r="Q71" s="99" t="inlineStr">
        <is>
          <t>CAPELO</t>
        </is>
      </c>
      <c r="S71" s="99" t="inlineStr">
        <is>
          <t>001 502 000000592</t>
        </is>
      </c>
      <c r="T71" s="101" t="n">
        <v>102138633</v>
      </c>
      <c r="U71" s="181" t="inlineStr">
        <is>
          <t>lorecazorla77@gmail.com</t>
        </is>
      </c>
    </row>
    <row r="72" ht="19" customFormat="1" customHeight="1" s="102">
      <c r="A72" s="114" t="n">
        <v>67</v>
      </c>
      <c r="B72" s="100" t="n">
        <v>45978</v>
      </c>
      <c r="C72" s="99" t="inlineStr">
        <is>
          <t>COMERCIAL SOLIS</t>
        </is>
      </c>
      <c r="D72" s="99" t="inlineStr">
        <is>
          <t>001 502 000000592</t>
        </is>
      </c>
      <c r="E72" s="99" t="n">
        <v>103620002</v>
      </c>
      <c r="F72" s="113" t="inlineStr">
        <is>
          <t>RVC 10008 VINERA</t>
        </is>
      </c>
      <c r="G72" s="99" t="inlineStr">
        <is>
          <t>YH257B00250</t>
        </is>
      </c>
      <c r="H72" s="99" t="inlineStr">
        <is>
          <t>SAP</t>
        </is>
      </c>
      <c r="I72" s="99" t="inlineStr">
        <is>
          <t>CAPELO</t>
        </is>
      </c>
      <c r="J72" s="99" t="inlineStr">
        <is>
          <t>CUENCA</t>
        </is>
      </c>
      <c r="K72" s="100" t="n">
        <v>46142</v>
      </c>
      <c r="L72" s="99" t="inlineStr">
        <is>
          <t>LORENA CAZORLA</t>
        </is>
      </c>
      <c r="M72" s="99" t="inlineStr">
        <is>
          <t>CHALLUABAMBA</t>
        </is>
      </c>
      <c r="N72" s="99" t="inlineStr">
        <is>
          <t>+593 96 749 2377</t>
        </is>
      </c>
      <c r="O72" s="185" t="n">
        <v>15</v>
      </c>
      <c r="P72" s="99" t="inlineStr">
        <is>
          <t>CLIENTE FINAL</t>
        </is>
      </c>
      <c r="Q72" s="99" t="inlineStr">
        <is>
          <t>CAPELO</t>
        </is>
      </c>
      <c r="S72" s="99" t="inlineStr">
        <is>
          <t>001 502 000000592</t>
        </is>
      </c>
      <c r="T72" s="101" t="n">
        <v>102138633</v>
      </c>
      <c r="U72" s="181" t="inlineStr">
        <is>
          <t>lorecazorla77@gmail.com</t>
        </is>
      </c>
    </row>
    <row r="73" ht="19" customFormat="1" customHeight="1" s="102">
      <c r="A73" s="114" t="n">
        <v>68</v>
      </c>
      <c r="B73" s="100" t="n">
        <v>46137</v>
      </c>
      <c r="C73" s="99" t="inlineStr">
        <is>
          <t>MERCARD</t>
        </is>
      </c>
      <c r="D73" s="99" t="inlineStr">
        <is>
          <t>001 001 000002300</t>
        </is>
      </c>
      <c r="E73" s="99" t="n">
        <v>112580017</v>
      </c>
      <c r="F73" s="113">
        <f>VLOOKUP(E73,PROD,2,FALSE)</f>
        <v/>
      </c>
      <c r="G73" s="99" t="inlineStr">
        <is>
          <t>ZP259300196</t>
        </is>
      </c>
      <c r="H73" s="99" t="inlineStr">
        <is>
          <t>SAP</t>
        </is>
      </c>
      <c r="I73" s="99" t="inlineStr">
        <is>
          <t>CAPELO</t>
        </is>
      </c>
      <c r="J73" s="99" t="inlineStr">
        <is>
          <t>CUENCA</t>
        </is>
      </c>
      <c r="K73" s="100" t="n">
        <v>46146</v>
      </c>
      <c r="L73" s="99" t="inlineStr">
        <is>
          <t>SILVIA VAZQUEZ</t>
        </is>
      </c>
      <c r="M73" s="99" t="inlineStr">
        <is>
          <t>PASEO 3 NOVIEMBRE EDF TERRAS</t>
        </is>
      </c>
      <c r="N73" s="99" t="inlineStr">
        <is>
          <t>+593 99 975 6665</t>
        </is>
      </c>
      <c r="O73" s="185" t="n">
        <v>15</v>
      </c>
      <c r="P73" s="99" t="inlineStr">
        <is>
          <t>CLIENTE FINAL</t>
        </is>
      </c>
      <c r="Q73" s="99" t="inlineStr">
        <is>
          <t>CAPELO</t>
        </is>
      </c>
      <c r="S73" s="99" t="inlineStr">
        <is>
          <t>001 001 000002300</t>
        </is>
      </c>
      <c r="T73" s="101" t="n">
        <v>101559011</v>
      </c>
      <c r="U73" s="181" t="inlineStr">
        <is>
          <t>svazquez1402@hotmail.com</t>
        </is>
      </c>
    </row>
    <row r="74" ht="19" customFormat="1" customHeight="1" s="102">
      <c r="A74" s="114" t="n">
        <v>69</v>
      </c>
      <c r="B74" s="100" t="n">
        <v>46137</v>
      </c>
      <c r="C74" s="99" t="inlineStr">
        <is>
          <t>MERCARD</t>
        </is>
      </c>
      <c r="D74" s="99" t="inlineStr">
        <is>
          <t>001 001 000002300</t>
        </is>
      </c>
      <c r="E74" s="99" t="n">
        <v>111020086</v>
      </c>
      <c r="F74" s="113">
        <f>VLOOKUP(E74,PROD,2,FALSE)</f>
        <v/>
      </c>
      <c r="G74" s="99" t="inlineStr">
        <is>
          <t>TZ256529018</t>
        </is>
      </c>
      <c r="H74" s="99" t="inlineStr">
        <is>
          <t>SAP</t>
        </is>
      </c>
      <c r="I74" s="99" t="inlineStr">
        <is>
          <t>CAPELO</t>
        </is>
      </c>
      <c r="J74" s="99" t="inlineStr">
        <is>
          <t>CUENCA</t>
        </is>
      </c>
      <c r="K74" s="100" t="n">
        <v>46146</v>
      </c>
      <c r="L74" s="99" t="inlineStr">
        <is>
          <t>SILVIA VAZQUEZ</t>
        </is>
      </c>
      <c r="M74" s="99" t="inlineStr">
        <is>
          <t>PASEO 3 NOVIEMBRE EDF TERRAS</t>
        </is>
      </c>
      <c r="N74" s="99" t="inlineStr">
        <is>
          <t>+593 99 975 6665</t>
        </is>
      </c>
      <c r="O74" s="185" t="n">
        <v>15</v>
      </c>
      <c r="P74" s="99" t="inlineStr">
        <is>
          <t>CLIENTE FINAL</t>
        </is>
      </c>
      <c r="Q74" s="99" t="inlineStr">
        <is>
          <t>CAPELO</t>
        </is>
      </c>
      <c r="S74" s="99" t="inlineStr">
        <is>
          <t>001 001 000002300</t>
        </is>
      </c>
      <c r="T74" s="101" t="n">
        <v>101559011</v>
      </c>
      <c r="U74" s="181" t="inlineStr">
        <is>
          <t>svazquez1402@hotmail.com</t>
        </is>
      </c>
    </row>
    <row r="75" ht="19" customFormat="1" customHeight="1" s="102">
      <c r="A75" s="114" t="n">
        <v>70</v>
      </c>
      <c r="B75" s="100" t="n">
        <v>46137</v>
      </c>
      <c r="C75" s="99" t="inlineStr">
        <is>
          <t>MERCARD</t>
        </is>
      </c>
      <c r="D75" s="99" t="inlineStr">
        <is>
          <t>001 001 000002300</t>
        </is>
      </c>
      <c r="E75" s="99" t="n">
        <v>40446702</v>
      </c>
      <c r="F75" s="113">
        <f>VLOOKUP(E75,PROD,2,FALSE)</f>
        <v/>
      </c>
      <c r="G75" s="99" t="inlineStr">
        <is>
          <t>TP257411094</t>
        </is>
      </c>
      <c r="H75" s="99" t="inlineStr">
        <is>
          <t>SAP</t>
        </is>
      </c>
      <c r="I75" s="99" t="inlineStr">
        <is>
          <t>CAPELO</t>
        </is>
      </c>
      <c r="J75" s="99" t="inlineStr">
        <is>
          <t>CUENCA</t>
        </is>
      </c>
      <c r="K75" s="100" t="n">
        <v>46146</v>
      </c>
      <c r="L75" s="99" t="inlineStr">
        <is>
          <t>SILVIA VAZQUEZ</t>
        </is>
      </c>
      <c r="M75" s="99" t="inlineStr">
        <is>
          <t>PASEO 3 NOVIEMBRE EDF TERRAS</t>
        </is>
      </c>
      <c r="N75" s="99" t="inlineStr">
        <is>
          <t>+593 99 975 6665</t>
        </is>
      </c>
      <c r="O75" s="185" t="n">
        <v>15</v>
      </c>
      <c r="P75" s="99" t="inlineStr">
        <is>
          <t>CLIENTE FINAL</t>
        </is>
      </c>
      <c r="Q75" s="99" t="inlineStr">
        <is>
          <t>CAPELO</t>
        </is>
      </c>
      <c r="S75" s="99" t="inlineStr">
        <is>
          <t>001 001 000002300</t>
        </is>
      </c>
      <c r="T75" s="101" t="n">
        <v>101559011</v>
      </c>
      <c r="U75" s="181" t="inlineStr">
        <is>
          <t>svazquez1402@hotmail.com</t>
        </is>
      </c>
    </row>
    <row r="76" ht="19" customFormat="1" customHeight="1" s="102">
      <c r="A76" s="114" t="n">
        <v>71</v>
      </c>
      <c r="B76" s="100" t="n">
        <v>46053</v>
      </c>
      <c r="C76" s="99" t="inlineStr">
        <is>
          <t>COMERCIAL SOLIS</t>
        </is>
      </c>
      <c r="D76" s="99" t="inlineStr">
        <is>
          <t>001 500 000082169</t>
        </is>
      </c>
      <c r="E76" s="99" t="n">
        <v>40590830</v>
      </c>
      <c r="F76" s="113">
        <f>VLOOKUP(E76,PROD,2,FALSE)</f>
        <v/>
      </c>
      <c r="G76" s="99" t="inlineStr">
        <is>
          <t>MW256F00246</t>
        </is>
      </c>
      <c r="H76" s="99" t="inlineStr">
        <is>
          <t>SAP</t>
        </is>
      </c>
      <c r="I76" s="99" t="inlineStr">
        <is>
          <t>CAPELO</t>
        </is>
      </c>
      <c r="J76" s="99" t="inlineStr">
        <is>
          <t>CUENCA</t>
        </is>
      </c>
      <c r="K76" s="100" t="n">
        <v>46147</v>
      </c>
      <c r="L76" s="99" t="inlineStr">
        <is>
          <t>MARTHA PINEDA</t>
        </is>
      </c>
      <c r="M76" s="99" t="inlineStr">
        <is>
          <t>RICAURTE</t>
        </is>
      </c>
      <c r="N76" s="99" t="inlineStr">
        <is>
          <t>+593 99 393 3727</t>
        </is>
      </c>
      <c r="O76" s="185" t="n">
        <v>15</v>
      </c>
      <c r="P76" s="99" t="inlineStr">
        <is>
          <t>CLIENTE FINAL</t>
        </is>
      </c>
      <c r="Q76" s="99" t="inlineStr">
        <is>
          <t>CAPELO</t>
        </is>
      </c>
      <c r="S76" s="99" t="inlineStr">
        <is>
          <t>001 500 000082169</t>
        </is>
      </c>
      <c r="T76" s="101" t="n">
        <v>102961356001</v>
      </c>
      <c r="U76" s="181" t="inlineStr">
        <is>
          <t>marthypz@yahoo.com</t>
        </is>
      </c>
    </row>
    <row r="77" ht="19" customFormat="1" customHeight="1" s="102">
      <c r="A77" s="114" t="n">
        <v>72</v>
      </c>
      <c r="B77" s="100" t="n">
        <v>46053</v>
      </c>
      <c r="C77" s="99" t="inlineStr">
        <is>
          <t>COMERCIAL SOLIS</t>
        </is>
      </c>
      <c r="D77" s="99" t="inlineStr">
        <is>
          <t>001 500 000082169</t>
        </is>
      </c>
      <c r="E77" s="99" t="n">
        <v>41560041</v>
      </c>
      <c r="F77" s="113">
        <f>VLOOKUP(E77,PROD,2,FALSE)</f>
        <v/>
      </c>
      <c r="G77" s="99" t="inlineStr">
        <is>
          <t>TZ257W28499</t>
        </is>
      </c>
      <c r="H77" s="99" t="inlineStr">
        <is>
          <t>SAP</t>
        </is>
      </c>
      <c r="I77" s="99" t="inlineStr">
        <is>
          <t>CAPELO</t>
        </is>
      </c>
      <c r="J77" s="99" t="inlineStr">
        <is>
          <t>CUENCA</t>
        </is>
      </c>
      <c r="K77" s="100" t="n">
        <v>46147</v>
      </c>
      <c r="L77" s="99" t="inlineStr">
        <is>
          <t>MARTHA PINEDA</t>
        </is>
      </c>
      <c r="M77" s="99" t="inlineStr">
        <is>
          <t>RICAURTE</t>
        </is>
      </c>
      <c r="N77" s="99" t="inlineStr">
        <is>
          <t>+593 99 393 3727</t>
        </is>
      </c>
      <c r="O77" s="185" t="n">
        <v>15</v>
      </c>
      <c r="P77" s="99" t="inlineStr">
        <is>
          <t>CLIENTE FINAL</t>
        </is>
      </c>
      <c r="Q77" s="99" t="inlineStr">
        <is>
          <t>CAPELO</t>
        </is>
      </c>
      <c r="S77" s="99" t="inlineStr">
        <is>
          <t>001 500 000082169</t>
        </is>
      </c>
      <c r="T77" s="101" t="n">
        <v>102961356001</v>
      </c>
      <c r="U77" s="181" t="inlineStr">
        <is>
          <t>marthypz@yahoo.com</t>
        </is>
      </c>
    </row>
    <row r="78" ht="19" customFormat="1" customHeight="1" s="102">
      <c r="A78" s="114" t="n">
        <v>73</v>
      </c>
      <c r="B78" s="100" t="n">
        <v>46053</v>
      </c>
      <c r="C78" s="99" t="inlineStr">
        <is>
          <t>COMERCIAL SOLIS</t>
        </is>
      </c>
      <c r="D78" s="99" t="inlineStr">
        <is>
          <t>001 500 000082169</t>
        </is>
      </c>
      <c r="E78" s="99" t="n">
        <v>112610069</v>
      </c>
      <c r="F78" s="113">
        <f>VLOOKUP(E78,PROD,2,FALSE)</f>
        <v/>
      </c>
      <c r="G78" s="99" t="inlineStr">
        <is>
          <t>ZP259200098</t>
        </is>
      </c>
      <c r="H78" s="99" t="inlineStr">
        <is>
          <t>SAP</t>
        </is>
      </c>
      <c r="I78" s="99" t="inlineStr">
        <is>
          <t>CAPELO</t>
        </is>
      </c>
      <c r="J78" s="99" t="inlineStr">
        <is>
          <t>CUENCA</t>
        </is>
      </c>
      <c r="K78" s="100" t="n">
        <v>46147</v>
      </c>
      <c r="L78" s="99" t="inlineStr">
        <is>
          <t>MARTHA PINEDA</t>
        </is>
      </c>
      <c r="M78" s="99" t="inlineStr">
        <is>
          <t>RICAURTE</t>
        </is>
      </c>
      <c r="N78" s="99" t="inlineStr">
        <is>
          <t>+593 99 393 3727</t>
        </is>
      </c>
      <c r="O78" s="185" t="n">
        <v>15</v>
      </c>
      <c r="P78" s="99" t="inlineStr">
        <is>
          <t>CLIENTE FINAL</t>
        </is>
      </c>
      <c r="Q78" s="99" t="inlineStr">
        <is>
          <t>CAPELO</t>
        </is>
      </c>
      <c r="S78" s="99" t="inlineStr">
        <is>
          <t>001 500 000082169</t>
        </is>
      </c>
      <c r="T78" s="101" t="n">
        <v>102961356001</v>
      </c>
      <c r="U78" s="181" t="inlineStr">
        <is>
          <t>marthypz@yahoo.com</t>
        </is>
      </c>
    </row>
    <row r="79" ht="19" customFormat="1" customHeight="1" s="102">
      <c r="A79" s="114" t="n">
        <v>74</v>
      </c>
      <c r="B79" s="100" t="n">
        <v>46142</v>
      </c>
      <c r="C79" s="99" t="inlineStr">
        <is>
          <t>COMERCIAL SOLIS</t>
        </is>
      </c>
      <c r="D79" s="99" t="inlineStr">
        <is>
          <t>001 502 000000946</t>
        </is>
      </c>
      <c r="E79" s="99" t="n">
        <v>112030019</v>
      </c>
      <c r="F79" s="113">
        <f>VLOOKUP(E79,PROD,2,FALSE)</f>
        <v/>
      </c>
      <c r="G79" s="99" t="inlineStr">
        <is>
          <t>TP257E00393</t>
        </is>
      </c>
      <c r="H79" s="99" t="inlineStr">
        <is>
          <t>SAP</t>
        </is>
      </c>
      <c r="I79" s="99" t="inlineStr">
        <is>
          <t>CAPELO</t>
        </is>
      </c>
      <c r="J79" s="99" t="inlineStr">
        <is>
          <t>CUENCA</t>
        </is>
      </c>
      <c r="K79" s="100" t="n">
        <v>46148</v>
      </c>
      <c r="L79" s="99" t="inlineStr">
        <is>
          <t>ANA GABRIELA PENAFIEL</t>
        </is>
      </c>
      <c r="M79" s="99" t="inlineStr">
        <is>
          <t>CONDOMINIO SANTA MARTHA AZOGUES</t>
        </is>
      </c>
      <c r="N79" s="99" t="inlineStr">
        <is>
          <t>+593 99 588 1329</t>
        </is>
      </c>
      <c r="O79" s="185" t="n">
        <v>15</v>
      </c>
      <c r="P79" s="99" t="inlineStr">
        <is>
          <t>CLIENTE FINAL</t>
        </is>
      </c>
      <c r="Q79" s="99" t="inlineStr">
        <is>
          <t>CAPELO</t>
        </is>
      </c>
      <c r="S79" s="99" t="inlineStr">
        <is>
          <t>001 502 000000946</t>
        </is>
      </c>
      <c r="T79" s="101" t="n">
        <v>301524617001</v>
      </c>
      <c r="U79" s="181" t="inlineStr">
        <is>
          <t>sacmicas@gmail.com</t>
        </is>
      </c>
    </row>
    <row r="80" ht="19" customFormat="1" customHeight="1" s="102">
      <c r="A80" s="114" t="n">
        <v>75</v>
      </c>
      <c r="B80" s="100" t="n">
        <v>46142</v>
      </c>
      <c r="C80" s="99" t="inlineStr">
        <is>
          <t>COMERCIAL SOLIS</t>
        </is>
      </c>
      <c r="D80" s="99" t="inlineStr">
        <is>
          <t>001 502 000000946</t>
        </is>
      </c>
      <c r="E80" s="99" t="n">
        <v>41596006</v>
      </c>
      <c r="F80" s="113">
        <f>VLOOKUP(E80,PROD,2,FALSE)</f>
        <v/>
      </c>
      <c r="G80" s="99" t="inlineStr">
        <is>
          <t>TZ25B323386</t>
        </is>
      </c>
      <c r="H80" s="99" t="inlineStr">
        <is>
          <t>SAP</t>
        </is>
      </c>
      <c r="I80" s="99" t="inlineStr">
        <is>
          <t>CAPELO</t>
        </is>
      </c>
      <c r="J80" s="99" t="inlineStr">
        <is>
          <t>CUENCA</t>
        </is>
      </c>
      <c r="K80" s="100" t="n">
        <v>46148</v>
      </c>
      <c r="L80" s="99" t="inlineStr">
        <is>
          <t>ANA GABRIELA PENAFIEL</t>
        </is>
      </c>
      <c r="M80" s="99" t="inlineStr">
        <is>
          <t>CONDOMINIO SANTA MARTHA AZOGUES</t>
        </is>
      </c>
      <c r="N80" s="99" t="inlineStr">
        <is>
          <t>+593 99 588 1329</t>
        </is>
      </c>
      <c r="O80" s="185" t="n">
        <v>15</v>
      </c>
      <c r="P80" s="99" t="inlineStr">
        <is>
          <t>CLIENTE FINAL</t>
        </is>
      </c>
      <c r="Q80" s="99" t="inlineStr">
        <is>
          <t>CAPELO</t>
        </is>
      </c>
      <c r="S80" s="99" t="inlineStr">
        <is>
          <t>001 502 000000946</t>
        </is>
      </c>
      <c r="T80" s="101" t="n">
        <v>301524617001</v>
      </c>
      <c r="U80" s="181" t="inlineStr">
        <is>
          <t>sacmicas@gmail.com</t>
        </is>
      </c>
    </row>
    <row r="81" ht="19" customFormat="1" customHeight="1" s="102">
      <c r="A81" s="114" t="n">
        <v>76</v>
      </c>
      <c r="B81" s="100" t="n">
        <v>46142</v>
      </c>
      <c r="C81" s="99" t="inlineStr">
        <is>
          <t>COMERCIAL SOLIS</t>
        </is>
      </c>
      <c r="D81" s="99" t="inlineStr">
        <is>
          <t>001 502 000000946</t>
        </is>
      </c>
      <c r="E81" s="99" t="n">
        <v>113120009</v>
      </c>
      <c r="F81" s="113">
        <f>VLOOKUP(E81,PROD,2,FALSE)</f>
        <v/>
      </c>
      <c r="G81" s="99" t="inlineStr">
        <is>
          <t>TP257E00393</t>
        </is>
      </c>
      <c r="H81" s="99" t="inlineStr">
        <is>
          <t>SAP</t>
        </is>
      </c>
      <c r="I81" s="99" t="inlineStr">
        <is>
          <t>CAPELO</t>
        </is>
      </c>
      <c r="J81" s="99" t="inlineStr">
        <is>
          <t>CUENCA</t>
        </is>
      </c>
      <c r="K81" s="100" t="n">
        <v>46148</v>
      </c>
      <c r="L81" s="99" t="inlineStr">
        <is>
          <t>ANA GABRIELA PENAFIEL</t>
        </is>
      </c>
      <c r="M81" s="99" t="inlineStr">
        <is>
          <t>CONDOMINIO SANTA MARTHA AZOGUES</t>
        </is>
      </c>
      <c r="N81" s="99" t="inlineStr">
        <is>
          <t>+593 99 588 1329</t>
        </is>
      </c>
      <c r="O81" s="185" t="n">
        <v>15</v>
      </c>
      <c r="P81" s="99" t="inlineStr">
        <is>
          <t>CLIENTE FINAL</t>
        </is>
      </c>
      <c r="Q81" s="99" t="inlineStr">
        <is>
          <t>CAPELO</t>
        </is>
      </c>
      <c r="S81" s="99" t="inlineStr">
        <is>
          <t>001 502 000000946</t>
        </is>
      </c>
      <c r="T81" s="101" t="n">
        <v>301524617001</v>
      </c>
      <c r="U81" s="181" t="inlineStr">
        <is>
          <t>sacmicas@gmail.com</t>
        </is>
      </c>
    </row>
    <row r="82" ht="19" customFormat="1" customHeight="1" s="102">
      <c r="A82" s="114" t="n">
        <v>77</v>
      </c>
      <c r="B82" s="100" t="n">
        <v>46142</v>
      </c>
      <c r="C82" s="99" t="inlineStr">
        <is>
          <t>COMERCIAL SOLIS</t>
        </is>
      </c>
      <c r="D82" s="99" t="inlineStr">
        <is>
          <t>001 502 000000946</t>
        </is>
      </c>
      <c r="E82" s="99" t="n">
        <v>112580027</v>
      </c>
      <c r="F82" s="113">
        <f>VLOOKUP(E82,PROD,2,FALSE)</f>
        <v/>
      </c>
      <c r="G82" s="99" t="inlineStr">
        <is>
          <t>ZP252500696</t>
        </is>
      </c>
      <c r="H82" s="99" t="inlineStr">
        <is>
          <t>SAP</t>
        </is>
      </c>
      <c r="I82" s="99" t="inlineStr">
        <is>
          <t>CAPELO</t>
        </is>
      </c>
      <c r="J82" s="99" t="inlineStr">
        <is>
          <t>CUENCA</t>
        </is>
      </c>
      <c r="K82" s="100" t="n">
        <v>46148</v>
      </c>
      <c r="L82" s="99" t="inlineStr">
        <is>
          <t>ANA GABRIELA PENAFIEL</t>
        </is>
      </c>
      <c r="M82" s="99" t="inlineStr">
        <is>
          <t>CONDOMINIO SANTA MARTHA AZOGUES</t>
        </is>
      </c>
      <c r="N82" s="99" t="inlineStr">
        <is>
          <t>+593 99 588 1329</t>
        </is>
      </c>
      <c r="O82" s="185" t="n">
        <v>15</v>
      </c>
      <c r="P82" s="99" t="inlineStr">
        <is>
          <t>CLIENTE FINAL</t>
        </is>
      </c>
      <c r="Q82" s="99" t="inlineStr">
        <is>
          <t>CAPELO</t>
        </is>
      </c>
      <c r="S82" s="99" t="inlineStr">
        <is>
          <t>001 502 000000946</t>
        </is>
      </c>
      <c r="T82" s="101" t="n">
        <v>301524617001</v>
      </c>
      <c r="U82" s="181" t="inlineStr">
        <is>
          <t>sacmicas@gmail.com</t>
        </is>
      </c>
    </row>
    <row r="83" ht="19" customFormat="1" customHeight="1" s="102">
      <c r="A83" s="114" t="n">
        <v>78</v>
      </c>
      <c r="B83" s="100" t="n">
        <v>46129</v>
      </c>
      <c r="C83" s="99" t="inlineStr">
        <is>
          <t>COMERCIAL SOLIS</t>
        </is>
      </c>
      <c r="D83" s="99" t="inlineStr">
        <is>
          <t>001 500 000084554</t>
        </is>
      </c>
      <c r="E83" s="99" t="n">
        <v>113120010</v>
      </c>
      <c r="F83" s="113">
        <f>VLOOKUP(E83,PROD,2,FALSE)</f>
        <v/>
      </c>
      <c r="G83" s="99" t="inlineStr">
        <is>
          <t>TP256509428</t>
        </is>
      </c>
      <c r="H83" s="99" t="inlineStr">
        <is>
          <t>SAP</t>
        </is>
      </c>
      <c r="I83" s="99" t="inlineStr">
        <is>
          <t>CAPELO</t>
        </is>
      </c>
      <c r="J83" s="99" t="inlineStr">
        <is>
          <t>CUENCA</t>
        </is>
      </c>
      <c r="K83" s="100" t="n">
        <v>46149</v>
      </c>
      <c r="L83" s="99" t="inlineStr">
        <is>
          <t>JAVIER CEDILLO</t>
        </is>
      </c>
      <c r="M83" s="99" t="inlineStr">
        <is>
          <t>SECTOR EMPRESA ELECTRICA</t>
        </is>
      </c>
      <c r="N83" s="99" t="inlineStr">
        <is>
          <t>+593 99 960 0068</t>
        </is>
      </c>
      <c r="O83" s="185" t="n">
        <v>15</v>
      </c>
      <c r="P83" s="99" t="inlineStr">
        <is>
          <t>CLIENTE FINAL</t>
        </is>
      </c>
      <c r="Q83" s="99" t="inlineStr">
        <is>
          <t>CAPELO</t>
        </is>
      </c>
      <c r="S83" s="99" t="inlineStr">
        <is>
          <t>001 500 000084554</t>
        </is>
      </c>
      <c r="T83" s="101" t="n">
        <v>704078674</v>
      </c>
      <c r="U83" s="181" t="inlineStr">
        <is>
          <t>janeth.moralesa@gmail.com</t>
        </is>
      </c>
    </row>
    <row r="84" ht="19" customFormat="1" customHeight="1" s="102">
      <c r="A84" s="114" t="n">
        <v>79</v>
      </c>
      <c r="B84" s="100" t="n">
        <v>46129</v>
      </c>
      <c r="C84" s="99" t="inlineStr">
        <is>
          <t>COMERCIAL SOLIS</t>
        </is>
      </c>
      <c r="D84" s="99" t="inlineStr">
        <is>
          <t>001 500 000084554</t>
        </is>
      </c>
      <c r="E84" s="99" t="n">
        <v>111000051</v>
      </c>
      <c r="F84" s="113">
        <f>VLOOKUP(E84,PROD,2,FALSE)</f>
        <v/>
      </c>
      <c r="G84" s="99" t="inlineStr">
        <is>
          <t>TZ262202389</t>
        </is>
      </c>
      <c r="H84" s="99" t="inlineStr">
        <is>
          <t>SAP</t>
        </is>
      </c>
      <c r="I84" s="99" t="inlineStr">
        <is>
          <t>CAPELO</t>
        </is>
      </c>
      <c r="J84" s="99" t="inlineStr">
        <is>
          <t>CUENCA</t>
        </is>
      </c>
      <c r="K84" s="100" t="n">
        <v>46149</v>
      </c>
      <c r="L84" s="99" t="inlineStr">
        <is>
          <t>JAVIER CEDILLO</t>
        </is>
      </c>
      <c r="M84" s="99" t="inlineStr">
        <is>
          <t>SECTOR EMPRESA ELECTRICA</t>
        </is>
      </c>
      <c r="N84" s="99" t="inlineStr">
        <is>
          <t>+593 99 960 0068</t>
        </is>
      </c>
      <c r="O84" s="185" t="n">
        <v>15</v>
      </c>
      <c r="P84" s="99" t="inlineStr">
        <is>
          <t>CLIENTE FINAL</t>
        </is>
      </c>
      <c r="Q84" s="99" t="inlineStr">
        <is>
          <t>CAPELO</t>
        </is>
      </c>
      <c r="S84" s="99" t="inlineStr">
        <is>
          <t>001 500 000084554</t>
        </is>
      </c>
      <c r="T84" s="101" t="n">
        <v>704078674</v>
      </c>
      <c r="U84" s="181" t="inlineStr">
        <is>
          <t>janeth.moralesa@gmail.com</t>
        </is>
      </c>
    </row>
    <row r="85" ht="19" customFormat="1" customHeight="1" s="102">
      <c r="A85" s="114" t="n">
        <v>80</v>
      </c>
      <c r="B85" s="100" t="n">
        <v>46129</v>
      </c>
      <c r="C85" s="99" t="inlineStr">
        <is>
          <t>COMERCIAL SOLIS</t>
        </is>
      </c>
      <c r="D85" s="99" t="inlineStr">
        <is>
          <t>001 500 000084554</t>
        </is>
      </c>
      <c r="E85" s="99" t="n">
        <v>112580058</v>
      </c>
      <c r="F85" s="113">
        <f>VLOOKUP(E85,PROD,2,FALSE)</f>
        <v/>
      </c>
      <c r="G85" s="99" t="inlineStr">
        <is>
          <t>ZP257701326</t>
        </is>
      </c>
      <c r="H85" s="99" t="inlineStr">
        <is>
          <t>SAP</t>
        </is>
      </c>
      <c r="I85" s="99" t="inlineStr">
        <is>
          <t>CAPELO</t>
        </is>
      </c>
      <c r="J85" s="99" t="inlineStr">
        <is>
          <t>CUENCA</t>
        </is>
      </c>
      <c r="K85" s="100" t="n">
        <v>46149</v>
      </c>
      <c r="L85" s="99" t="inlineStr">
        <is>
          <t>JAVIER CEDILLO</t>
        </is>
      </c>
      <c r="M85" s="99" t="inlineStr">
        <is>
          <t>SECTOR EMPRESA ELECTRICA</t>
        </is>
      </c>
      <c r="N85" s="99" t="inlineStr">
        <is>
          <t>+593 99 960 0068</t>
        </is>
      </c>
      <c r="O85" s="185" t="n">
        <v>15</v>
      </c>
      <c r="P85" s="99" t="inlineStr">
        <is>
          <t>CLIENTE FINAL</t>
        </is>
      </c>
      <c r="Q85" s="99" t="inlineStr">
        <is>
          <t>CAPELO</t>
        </is>
      </c>
      <c r="S85" s="99" t="inlineStr">
        <is>
          <t>001 500 000084554</t>
        </is>
      </c>
      <c r="T85" s="101" t="n">
        <v>704078674</v>
      </c>
      <c r="U85" s="181" t="inlineStr">
        <is>
          <t>janeth.moralesa@gmail.com</t>
        </is>
      </c>
    </row>
    <row r="86" ht="19" customFormat="1" customHeight="1" s="102">
      <c r="A86" s="114" t="n">
        <v>81</v>
      </c>
      <c r="B86" s="100" t="n">
        <v>46088</v>
      </c>
      <c r="C86" s="99" t="inlineStr">
        <is>
          <t>COMERCIAL SOLIS</t>
        </is>
      </c>
      <c r="D86" s="99" t="inlineStr">
        <is>
          <t>001 500 000083289</t>
        </is>
      </c>
      <c r="E86" s="99" t="n">
        <v>41595026</v>
      </c>
      <c r="F86" s="113">
        <f>VLOOKUP(E86,PROD,2,FALSE)</f>
        <v/>
      </c>
      <c r="G86" s="99" t="inlineStr">
        <is>
          <t>TZ17AR80317</t>
        </is>
      </c>
      <c r="H86" s="99" t="inlineStr">
        <is>
          <t>SAP</t>
        </is>
      </c>
      <c r="I86" s="99" t="inlineStr">
        <is>
          <t>CAPELO</t>
        </is>
      </c>
      <c r="J86" s="99" t="inlineStr">
        <is>
          <t>CUENCA</t>
        </is>
      </c>
      <c r="K86" s="100" t="n">
        <v>46149</v>
      </c>
      <c r="L86" s="99" t="inlineStr">
        <is>
          <t>ANDREA FEIJO</t>
        </is>
      </c>
      <c r="M86" s="99" t="inlineStr">
        <is>
          <t>RICAURTE</t>
        </is>
      </c>
      <c r="N86" s="99" t="inlineStr">
        <is>
          <t>+593 98 959 4937</t>
        </is>
      </c>
      <c r="O86" s="185" t="n">
        <v>15</v>
      </c>
      <c r="P86" s="99" t="inlineStr">
        <is>
          <t>CLIENTE FINAL</t>
        </is>
      </c>
      <c r="Q86" s="99" t="inlineStr">
        <is>
          <t>CAPELO</t>
        </is>
      </c>
      <c r="S86" s="99" t="inlineStr">
        <is>
          <t>001 500 000083289</t>
        </is>
      </c>
      <c r="T86" s="101" t="n">
        <v>105076699001</v>
      </c>
      <c r="U86" s="181" t="inlineStr">
        <is>
          <t>philip14594@gmail.com</t>
        </is>
      </c>
    </row>
    <row r="87" ht="19" customFormat="1" customHeight="1" s="102">
      <c r="A87" s="114" t="n">
        <v>82</v>
      </c>
      <c r="B87" s="100" t="n">
        <v>46088</v>
      </c>
      <c r="C87" s="99" t="inlineStr">
        <is>
          <t>COMERCIAL SOLIS</t>
        </is>
      </c>
      <c r="D87" s="99" t="inlineStr">
        <is>
          <t>001 500 000083289</t>
        </is>
      </c>
      <c r="E87" s="99" t="n">
        <v>112950019</v>
      </c>
      <c r="F87" s="113">
        <f>VLOOKUP(E87,PROD,2,FALSE)</f>
        <v/>
      </c>
      <c r="G87" s="99" t="inlineStr">
        <is>
          <t>EK256J00107</t>
        </is>
      </c>
      <c r="H87" s="99" t="inlineStr">
        <is>
          <t>SAP</t>
        </is>
      </c>
      <c r="I87" s="99" t="inlineStr">
        <is>
          <t>CAPELO</t>
        </is>
      </c>
      <c r="J87" s="99" t="inlineStr">
        <is>
          <t>CUENCA</t>
        </is>
      </c>
      <c r="K87" s="100" t="n">
        <v>46149</v>
      </c>
      <c r="L87" s="99" t="inlineStr">
        <is>
          <t>ANDREA FEIJO</t>
        </is>
      </c>
      <c r="M87" s="99" t="inlineStr">
        <is>
          <t>RICAURTE</t>
        </is>
      </c>
      <c r="N87" s="99" t="inlineStr">
        <is>
          <t>+593 98 959 4937</t>
        </is>
      </c>
      <c r="O87" s="185" t="n">
        <v>15</v>
      </c>
      <c r="P87" s="99" t="inlineStr">
        <is>
          <t>CLIENTE FINAL</t>
        </is>
      </c>
      <c r="Q87" s="99" t="inlineStr">
        <is>
          <t>CAPELO</t>
        </is>
      </c>
      <c r="S87" s="99" t="inlineStr">
        <is>
          <t>001 500 000083289</t>
        </is>
      </c>
      <c r="T87" s="101" t="n">
        <v>105076699001</v>
      </c>
      <c r="U87" s="181" t="inlineStr">
        <is>
          <t>philip14594@gmail.com</t>
        </is>
      </c>
    </row>
    <row r="88" ht="19" customFormat="1" customHeight="1" s="102">
      <c r="A88" s="114" t="n">
        <v>83</v>
      </c>
      <c r="B88" s="100" t="n">
        <v>46088</v>
      </c>
      <c r="C88" s="99" t="inlineStr">
        <is>
          <t>COMERCIAL SOLIS</t>
        </is>
      </c>
      <c r="D88" s="99" t="inlineStr">
        <is>
          <t>001 500 000083289</t>
        </is>
      </c>
      <c r="E88" s="99" t="n">
        <v>11206006</v>
      </c>
      <c r="F88" s="113" t="inlineStr">
        <is>
          <t>MICRONDAS 8610</t>
        </is>
      </c>
      <c r="G88" s="99" t="inlineStr">
        <is>
          <t>TP259801849</t>
        </is>
      </c>
      <c r="H88" s="99" t="inlineStr">
        <is>
          <t>SAP</t>
        </is>
      </c>
      <c r="I88" s="99" t="inlineStr">
        <is>
          <t>CAPELO</t>
        </is>
      </c>
      <c r="J88" s="99" t="inlineStr">
        <is>
          <t>CUENCA</t>
        </is>
      </c>
      <c r="K88" s="100" t="n">
        <v>46149</v>
      </c>
      <c r="L88" s="99" t="inlineStr">
        <is>
          <t>ANDREA FEIJO</t>
        </is>
      </c>
      <c r="M88" s="99" t="inlineStr">
        <is>
          <t>RICAURTE</t>
        </is>
      </c>
      <c r="N88" s="99" t="inlineStr">
        <is>
          <t>+593 98 959 4937</t>
        </is>
      </c>
      <c r="O88" s="185" t="n">
        <v>15</v>
      </c>
      <c r="P88" s="99" t="inlineStr">
        <is>
          <t>CLIENTE FINAL</t>
        </is>
      </c>
      <c r="Q88" s="99" t="inlineStr">
        <is>
          <t>CAPELO</t>
        </is>
      </c>
      <c r="S88" s="99" t="inlineStr">
        <is>
          <t>001 500 000083289</t>
        </is>
      </c>
      <c r="T88" s="101" t="n">
        <v>105076699001</v>
      </c>
      <c r="U88" s="181" t="inlineStr">
        <is>
          <t>philip14594@gmail.com</t>
        </is>
      </c>
    </row>
    <row r="89" ht="19" customFormat="1" customHeight="1" s="102">
      <c r="A89" s="114" t="n">
        <v>84</v>
      </c>
      <c r="B89" s="100" t="n">
        <v>46088</v>
      </c>
      <c r="C89" s="99" t="inlineStr">
        <is>
          <t>COMERCIAL SOLIS</t>
        </is>
      </c>
      <c r="D89" s="99" t="inlineStr">
        <is>
          <t>001 500 000083289</t>
        </is>
      </c>
      <c r="E89" s="99" t="n">
        <v>112510035</v>
      </c>
      <c r="F89" s="113">
        <f>VLOOKUP(E89,PROD,2,FALSE)</f>
        <v/>
      </c>
      <c r="G89" s="99" t="inlineStr">
        <is>
          <t>ZP258T00520</t>
        </is>
      </c>
      <c r="H89" s="99" t="inlineStr">
        <is>
          <t>SAP</t>
        </is>
      </c>
      <c r="I89" s="99" t="inlineStr">
        <is>
          <t>CAPELO</t>
        </is>
      </c>
      <c r="J89" s="99" t="inlineStr">
        <is>
          <t>CUENCA</t>
        </is>
      </c>
      <c r="K89" s="100" t="n">
        <v>46149</v>
      </c>
      <c r="L89" s="99" t="inlineStr">
        <is>
          <t>ANDREA FEIJO</t>
        </is>
      </c>
      <c r="M89" s="99" t="inlineStr">
        <is>
          <t>RICAURTE</t>
        </is>
      </c>
      <c r="N89" s="99" t="inlineStr">
        <is>
          <t>+593 98 959 4937</t>
        </is>
      </c>
      <c r="O89" s="185" t="n">
        <v>15</v>
      </c>
      <c r="P89" s="99" t="inlineStr">
        <is>
          <t>CLIENTE FINAL</t>
        </is>
      </c>
      <c r="Q89" s="99" t="inlineStr">
        <is>
          <t>CAPELO</t>
        </is>
      </c>
      <c r="S89" s="99" t="inlineStr">
        <is>
          <t>001 500 000083289</t>
        </is>
      </c>
      <c r="T89" s="101" t="n">
        <v>105076699001</v>
      </c>
      <c r="U89" s="181" t="inlineStr">
        <is>
          <t>philip14594@gmail.com</t>
        </is>
      </c>
    </row>
    <row r="90" ht="19" customFormat="1" customHeight="1" s="102">
      <c r="A90" s="114" t="n">
        <v>85</v>
      </c>
      <c r="B90" s="100" t="n">
        <v>45981</v>
      </c>
      <c r="C90" s="99" t="inlineStr">
        <is>
          <t>COMERCIAL KYWI</t>
        </is>
      </c>
      <c r="D90" s="99" t="inlineStr">
        <is>
          <t>043 905 000104670</t>
        </is>
      </c>
      <c r="E90" s="99" t="n">
        <v>112580058</v>
      </c>
      <c r="F90" s="113">
        <f>VLOOKUP(E90,PROD,2,FALSE)</f>
        <v/>
      </c>
      <c r="G90" s="99" t="inlineStr">
        <is>
          <t>ZP258100240</t>
        </is>
      </c>
      <c r="H90" s="99" t="inlineStr">
        <is>
          <t>SAP</t>
        </is>
      </c>
      <c r="I90" s="99" t="inlineStr">
        <is>
          <t>CAPELO</t>
        </is>
      </c>
      <c r="J90" s="99" t="inlineStr">
        <is>
          <t>CUENCA</t>
        </is>
      </c>
      <c r="K90" s="100" t="n">
        <v>46149</v>
      </c>
      <c r="L90" s="99" t="inlineStr">
        <is>
          <t>LORENA QUILLE</t>
        </is>
      </c>
      <c r="M90" s="99" t="inlineStr">
        <is>
          <t>VIA A ICTOCRUZ</t>
        </is>
      </c>
      <c r="N90" s="99" t="inlineStr">
        <is>
          <t>+593 99 430 7109</t>
        </is>
      </c>
      <c r="O90" s="185" t="n">
        <v>20</v>
      </c>
      <c r="P90" s="99" t="inlineStr">
        <is>
          <t>CLIENTE FINAL</t>
        </is>
      </c>
      <c r="Q90" s="99" t="inlineStr">
        <is>
          <t>CAPELO</t>
        </is>
      </c>
      <c r="S90" s="99" t="inlineStr">
        <is>
          <t>043 905 000104670</t>
        </is>
      </c>
      <c r="T90" s="101" t="n">
        <v>1044541554</v>
      </c>
      <c r="U90" s="181" t="inlineStr">
        <is>
          <t>lorenaquille27@gmail.com</t>
        </is>
      </c>
    </row>
    <row r="91" ht="19" customFormat="1" customHeight="1" s="102">
      <c r="A91" s="114" t="n">
        <v>86</v>
      </c>
      <c r="B91" s="100" t="n">
        <v>45981</v>
      </c>
      <c r="C91" s="99" t="inlineStr">
        <is>
          <t>COMERCIAL KYWI</t>
        </is>
      </c>
      <c r="D91" s="99" t="inlineStr">
        <is>
          <t>043 905 000104670</t>
        </is>
      </c>
      <c r="E91" s="99" t="n">
        <v>111010040</v>
      </c>
      <c r="F91" s="113">
        <f>VLOOKUP(E91,PROD,2,FALSE)</f>
        <v/>
      </c>
      <c r="G91" s="99" t="inlineStr">
        <is>
          <t>TZ259404293</t>
        </is>
      </c>
      <c r="H91" s="99" t="inlineStr">
        <is>
          <t>SAP</t>
        </is>
      </c>
      <c r="I91" s="99" t="inlineStr">
        <is>
          <t>CAPELO</t>
        </is>
      </c>
      <c r="J91" s="99" t="inlineStr">
        <is>
          <t>CUENCA</t>
        </is>
      </c>
      <c r="K91" s="100" t="n">
        <v>46149</v>
      </c>
      <c r="L91" s="99" t="inlineStr">
        <is>
          <t>LORENA QUILLE</t>
        </is>
      </c>
      <c r="M91" s="99" t="inlineStr">
        <is>
          <t>VIA A ICTOCRUZ</t>
        </is>
      </c>
      <c r="N91" s="99" t="inlineStr">
        <is>
          <t>+593 99 430 7109</t>
        </is>
      </c>
      <c r="O91" s="185" t="n">
        <v>20</v>
      </c>
      <c r="P91" s="99" t="inlineStr">
        <is>
          <t>CLIENTE FINAL</t>
        </is>
      </c>
      <c r="Q91" s="99" t="inlineStr">
        <is>
          <t>CAPELO</t>
        </is>
      </c>
      <c r="S91" s="99" t="inlineStr">
        <is>
          <t>043 905 000104670</t>
        </is>
      </c>
      <c r="T91" s="101" t="n">
        <v>1044541554</v>
      </c>
      <c r="U91" s="181" t="inlineStr">
        <is>
          <t>lorenaquille27@gmail.com</t>
        </is>
      </c>
    </row>
    <row r="92" ht="19" customFormat="1" customHeight="1" s="102">
      <c r="A92" s="114" t="n">
        <v>87</v>
      </c>
      <c r="B92" s="100" t="n">
        <v>46104</v>
      </c>
      <c r="C92" s="99" t="inlineStr">
        <is>
          <t>COMERCIAL SOLIS</t>
        </is>
      </c>
      <c r="D92" s="99" t="inlineStr">
        <is>
          <t>001 501 000008990</t>
        </is>
      </c>
      <c r="E92" s="99" t="n">
        <v>112580017</v>
      </c>
      <c r="F92" s="113">
        <f>VLOOKUP(E92,PROD,2,FALSE)</f>
        <v/>
      </c>
      <c r="G92" s="99" t="inlineStr">
        <is>
          <t>ZP257X00157</t>
        </is>
      </c>
      <c r="H92" s="99" t="inlineStr">
        <is>
          <t>SAP</t>
        </is>
      </c>
      <c r="I92" s="99" t="inlineStr">
        <is>
          <t>CAPELO</t>
        </is>
      </c>
      <c r="J92" s="99" t="inlineStr">
        <is>
          <t>CUENCA</t>
        </is>
      </c>
      <c r="K92" s="100" t="n">
        <v>46150</v>
      </c>
      <c r="L92" s="99" t="inlineStr">
        <is>
          <t>JUAN REINO VINTIMILLA</t>
        </is>
      </c>
      <c r="M92" s="99" t="inlineStr">
        <is>
          <t>ORDONEZ LASSO Y DE LA HIGUERA</t>
        </is>
      </c>
      <c r="N92" s="181" t="inlineStr">
        <is>
          <t>+593 99 480 8793</t>
        </is>
      </c>
      <c r="O92" s="185" t="n">
        <v>20</v>
      </c>
      <c r="P92" s="99" t="inlineStr">
        <is>
          <t>CLIENTE FINAL</t>
        </is>
      </c>
      <c r="Q92" s="99" t="inlineStr">
        <is>
          <t>CAPELO</t>
        </is>
      </c>
      <c r="S92" s="99" t="inlineStr">
        <is>
          <t>001 501 000008990</t>
        </is>
      </c>
      <c r="T92" s="101" t="n">
        <v>104963731001</v>
      </c>
      <c r="U92" s="181" t="inlineStr">
        <is>
          <t>juanreynov94@gmail.com</t>
        </is>
      </c>
    </row>
    <row r="93" ht="19" customFormat="1" customHeight="1" s="102">
      <c r="A93" s="114" t="n">
        <v>88</v>
      </c>
      <c r="B93" s="100" t="n">
        <v>46104</v>
      </c>
      <c r="C93" s="99" t="inlineStr">
        <is>
          <t>COMERCIAL SOLIS</t>
        </is>
      </c>
      <c r="D93" s="99" t="inlineStr">
        <is>
          <t>001 501 000008990</t>
        </is>
      </c>
      <c r="E93" s="99" t="n">
        <v>112580017</v>
      </c>
      <c r="F93" s="113">
        <f>VLOOKUP(E93,PROD,2,FALSE)</f>
        <v/>
      </c>
      <c r="G93" s="99" t="inlineStr">
        <is>
          <t>ZO249T00049</t>
        </is>
      </c>
      <c r="H93" s="99" t="inlineStr">
        <is>
          <t>SAP</t>
        </is>
      </c>
      <c r="I93" s="99" t="inlineStr">
        <is>
          <t>CAPELO</t>
        </is>
      </c>
      <c r="J93" s="99" t="inlineStr">
        <is>
          <t>CUENCA</t>
        </is>
      </c>
      <c r="K93" s="100" t="n">
        <v>46150</v>
      </c>
      <c r="L93" s="99" t="inlineStr">
        <is>
          <t>JUAN REINO VINTIMILLA</t>
        </is>
      </c>
      <c r="M93" s="99" t="inlineStr">
        <is>
          <t>ORDONEZ LASSO Y DE LA HIGUERA</t>
        </is>
      </c>
      <c r="N93" s="181" t="inlineStr">
        <is>
          <t>+593 99 480 8793</t>
        </is>
      </c>
      <c r="O93" s="185" t="n">
        <v>20</v>
      </c>
      <c r="P93" s="99" t="inlineStr">
        <is>
          <t>CLIENTE FINAL</t>
        </is>
      </c>
      <c r="Q93" s="99" t="inlineStr">
        <is>
          <t>CAPELO</t>
        </is>
      </c>
      <c r="S93" s="99" t="inlineStr">
        <is>
          <t>001 501 000008990</t>
        </is>
      </c>
      <c r="T93" s="101" t="n">
        <v>104963731001</v>
      </c>
      <c r="U93" s="181" t="inlineStr">
        <is>
          <t>juanreynov94@gmail.com</t>
        </is>
      </c>
    </row>
    <row r="94" ht="19" customFormat="1" customHeight="1" s="102">
      <c r="A94" s="114" t="n">
        <v>89</v>
      </c>
      <c r="B94" s="100" t="n">
        <v>46149</v>
      </c>
      <c r="C94" s="99" t="inlineStr">
        <is>
          <t>COMERCIAL SOLIS</t>
        </is>
      </c>
      <c r="D94" s="99" t="inlineStr">
        <is>
          <t>001 500 000085479</t>
        </is>
      </c>
      <c r="E94" s="99" t="n">
        <v>112570068</v>
      </c>
      <c r="F94" s="113">
        <f>VLOOKUP(E94,PROD,2,FALSE)</f>
        <v/>
      </c>
      <c r="G94" s="99" t="inlineStr">
        <is>
          <t>ZP257Q00550</t>
        </is>
      </c>
      <c r="H94" s="99" t="inlineStr">
        <is>
          <t>SAP</t>
        </is>
      </c>
      <c r="I94" s="99" t="inlineStr">
        <is>
          <t>CAPELO</t>
        </is>
      </c>
      <c r="J94" s="99" t="inlineStr">
        <is>
          <t>CUENCA</t>
        </is>
      </c>
      <c r="K94" s="100" t="n">
        <v>46150</v>
      </c>
      <c r="L94" s="99" t="inlineStr">
        <is>
          <t>PRISCILA REINOSO</t>
        </is>
      </c>
      <c r="M94" s="99" t="inlineStr">
        <is>
          <t>PUERTAS DEL SOL</t>
        </is>
      </c>
      <c r="N94" s="99" t="inlineStr">
        <is>
          <t>+593 98 432 0047</t>
        </is>
      </c>
      <c r="O94" s="185" t="n">
        <v>15</v>
      </c>
      <c r="P94" s="99" t="inlineStr">
        <is>
          <t>CLIENTE FINAL</t>
        </is>
      </c>
      <c r="Q94" s="99" t="inlineStr">
        <is>
          <t>CAPELO</t>
        </is>
      </c>
      <c r="S94" s="99" t="inlineStr">
        <is>
          <t>001 500 000085479</t>
        </is>
      </c>
      <c r="T94" s="101" t="n">
        <v>104644810001</v>
      </c>
      <c r="U94" s="181" t="inlineStr">
        <is>
          <t>pichyreinoso@hotmail.com</t>
        </is>
      </c>
    </row>
    <row r="95" ht="19" customFormat="1" customHeight="1" s="102">
      <c r="A95" s="114" t="n">
        <v>90</v>
      </c>
      <c r="B95" s="100" t="n">
        <v>46149</v>
      </c>
      <c r="C95" s="99" t="inlineStr">
        <is>
          <t>COMERCIAL SOLIS</t>
        </is>
      </c>
      <c r="D95" s="99" t="inlineStr">
        <is>
          <t>001 500 000085479</t>
        </is>
      </c>
      <c r="E95" s="99" t="n">
        <v>111000051</v>
      </c>
      <c r="F95" s="113">
        <f>VLOOKUP(E95,PROD,2,FALSE)</f>
        <v/>
      </c>
      <c r="G95" s="99" t="inlineStr">
        <is>
          <t>TZ256W29891</t>
        </is>
      </c>
      <c r="H95" s="99" t="inlineStr">
        <is>
          <t>SAP</t>
        </is>
      </c>
      <c r="I95" s="99" t="inlineStr">
        <is>
          <t>CAPELO</t>
        </is>
      </c>
      <c r="J95" s="99" t="inlineStr">
        <is>
          <t>CUENCA</t>
        </is>
      </c>
      <c r="K95" s="100" t="n">
        <v>46150</v>
      </c>
      <c r="L95" s="99" t="inlineStr">
        <is>
          <t>PRISCILA REINOSO</t>
        </is>
      </c>
      <c r="M95" s="99" t="inlineStr">
        <is>
          <t>PUERTAS DEL SOL</t>
        </is>
      </c>
      <c r="N95" s="99" t="inlineStr">
        <is>
          <t>+593 98 432 0047</t>
        </is>
      </c>
      <c r="O95" s="185" t="n">
        <v>15</v>
      </c>
      <c r="P95" s="99" t="inlineStr">
        <is>
          <t>CLIENTE FINAL</t>
        </is>
      </c>
      <c r="Q95" s="99" t="inlineStr">
        <is>
          <t>CAPELO</t>
        </is>
      </c>
      <c r="S95" s="99" t="inlineStr">
        <is>
          <t>001 500 000085479</t>
        </is>
      </c>
      <c r="T95" s="101" t="n">
        <v>104644810001</v>
      </c>
      <c r="U95" s="181" t="inlineStr">
        <is>
          <t>pichyreinoso@hotmail.com</t>
        </is>
      </c>
    </row>
    <row r="96" ht="19" customFormat="1" customHeight="1" s="102">
      <c r="A96" s="114" t="n">
        <v>91</v>
      </c>
      <c r="B96" s="100" t="n">
        <v>46149</v>
      </c>
      <c r="C96" s="99" t="inlineStr">
        <is>
          <t>COMERCIAL SOLIS</t>
        </is>
      </c>
      <c r="D96" s="99" t="inlineStr">
        <is>
          <t>001 500 000085479</t>
        </is>
      </c>
      <c r="E96" s="99" t="n">
        <v>112030019</v>
      </c>
      <c r="F96" s="113">
        <f>VLOOKUP(E96,PROD,2,FALSE)</f>
        <v/>
      </c>
      <c r="G96" s="99" t="inlineStr">
        <is>
          <t>TP257G06518</t>
        </is>
      </c>
      <c r="H96" s="99" t="inlineStr">
        <is>
          <t>SAP</t>
        </is>
      </c>
      <c r="I96" s="99" t="inlineStr">
        <is>
          <t>CAPELO</t>
        </is>
      </c>
      <c r="J96" s="99" t="inlineStr">
        <is>
          <t>CUENCA</t>
        </is>
      </c>
      <c r="K96" s="100" t="n">
        <v>46150</v>
      </c>
      <c r="L96" s="99" t="inlineStr">
        <is>
          <t>PRISCILA REINOSO</t>
        </is>
      </c>
      <c r="M96" s="99" t="inlineStr">
        <is>
          <t>PUERTAS DEL SOL</t>
        </is>
      </c>
      <c r="N96" s="99" t="inlineStr">
        <is>
          <t>+593 98 432 0047</t>
        </is>
      </c>
      <c r="O96" s="185" t="n">
        <v>15</v>
      </c>
      <c r="P96" s="99" t="inlineStr">
        <is>
          <t>CLIENTE FINAL</t>
        </is>
      </c>
      <c r="Q96" s="99" t="inlineStr">
        <is>
          <t>CAPELO</t>
        </is>
      </c>
      <c r="S96" s="99" t="inlineStr">
        <is>
          <t>001 500 000085479</t>
        </is>
      </c>
      <c r="T96" s="101" t="n">
        <v>104644810001</v>
      </c>
      <c r="U96" s="181" t="inlineStr">
        <is>
          <t>pichyreinoso@hotmail.com</t>
        </is>
      </c>
    </row>
    <row r="97" ht="19" customFormat="1" customHeight="1" s="102">
      <c r="A97" s="114" t="n">
        <v>92</v>
      </c>
      <c r="B97" s="100" t="n">
        <v>46140</v>
      </c>
      <c r="C97" s="99" t="inlineStr">
        <is>
          <t>HOME VEGA</t>
        </is>
      </c>
      <c r="D97" s="99" t="inlineStr">
        <is>
          <t>006 002 000159749</t>
        </is>
      </c>
      <c r="E97" s="99" t="n">
        <v>40297051</v>
      </c>
      <c r="F97" s="113">
        <f>VLOOKUP(E97,PROD,2,FALSE)</f>
        <v/>
      </c>
      <c r="G97" s="99" t="inlineStr">
        <is>
          <t>FS3R596666X</t>
        </is>
      </c>
      <c r="H97" s="99" t="inlineStr">
        <is>
          <t>SAP</t>
        </is>
      </c>
      <c r="I97" s="99" t="inlineStr">
        <is>
          <t>CAPELO</t>
        </is>
      </c>
      <c r="J97" s="99" t="inlineStr">
        <is>
          <t>CUENCA</t>
        </is>
      </c>
      <c r="K97" s="100" t="n">
        <v>46153</v>
      </c>
      <c r="L97" s="99" t="inlineStr">
        <is>
          <t>LOURDES CANTOS</t>
        </is>
      </c>
      <c r="M97" s="99" t="inlineStr">
        <is>
          <t>SECTOR UDA</t>
        </is>
      </c>
      <c r="N97" s="99" t="inlineStr">
        <is>
          <t>+593 95 871 7742</t>
        </is>
      </c>
      <c r="O97" s="185" t="n">
        <v>20</v>
      </c>
      <c r="P97" s="99" t="inlineStr">
        <is>
          <t>CLIENTE FINAL</t>
        </is>
      </c>
      <c r="Q97" s="99" t="inlineStr">
        <is>
          <t>CAPELO</t>
        </is>
      </c>
      <c r="S97" s="99" t="inlineStr">
        <is>
          <t>006 002 000159749</t>
        </is>
      </c>
      <c r="T97" s="101" t="n">
        <v>301318820</v>
      </c>
      <c r="U97" s="181" t="inlineStr">
        <is>
          <t>deysicahe@hotmail.com</t>
        </is>
      </c>
    </row>
    <row r="98" ht="19" customFormat="1" customHeight="1" s="102">
      <c r="A98" s="114" t="n">
        <v>93</v>
      </c>
      <c r="B98" s="100" t="n">
        <v>46140</v>
      </c>
      <c r="C98" s="99" t="inlineStr">
        <is>
          <t>HOME VEGA</t>
        </is>
      </c>
      <c r="D98" s="99" t="inlineStr">
        <is>
          <t>006 002 000159749</t>
        </is>
      </c>
      <c r="E98" s="99" t="n">
        <v>40484204</v>
      </c>
      <c r="F98" s="113">
        <f>VLOOKUP(E98,PROD,2,FALSE)</f>
        <v/>
      </c>
      <c r="G98" s="99" t="inlineStr">
        <is>
          <t>WH9E46ITC1</t>
        </is>
      </c>
      <c r="H98" s="99" t="inlineStr">
        <is>
          <t>SAP</t>
        </is>
      </c>
      <c r="I98" s="99" t="inlineStr">
        <is>
          <t>CAPELO</t>
        </is>
      </c>
      <c r="J98" s="99" t="inlineStr">
        <is>
          <t>CUENCA</t>
        </is>
      </c>
      <c r="K98" s="100" t="n">
        <v>46153</v>
      </c>
      <c r="L98" s="99" t="inlineStr">
        <is>
          <t>LOURDES CANTOS</t>
        </is>
      </c>
      <c r="M98" s="99" t="inlineStr">
        <is>
          <t>SECTOR UDA</t>
        </is>
      </c>
      <c r="N98" s="99" t="inlineStr">
        <is>
          <t>+593 95 871 7742</t>
        </is>
      </c>
      <c r="O98" s="185" t="n">
        <v>20</v>
      </c>
      <c r="P98" s="99" t="inlineStr">
        <is>
          <t>CLIENTE FINAL</t>
        </is>
      </c>
      <c r="Q98" s="99" t="inlineStr">
        <is>
          <t>CAPELO</t>
        </is>
      </c>
      <c r="S98" s="99" t="inlineStr">
        <is>
          <t>006 002 000159749</t>
        </is>
      </c>
      <c r="T98" s="101" t="n">
        <v>301318820</v>
      </c>
      <c r="U98" s="181" t="inlineStr">
        <is>
          <t>deysicahe@hotmail.com</t>
        </is>
      </c>
    </row>
    <row r="99" ht="19" customFormat="1" customHeight="1" s="102">
      <c r="A99" s="114" t="n">
        <v>94</v>
      </c>
      <c r="B99" s="100" t="n">
        <v>46124</v>
      </c>
      <c r="C99" s="99" t="inlineStr">
        <is>
          <t>COMERCIAL KYWI</t>
        </is>
      </c>
      <c r="D99" s="99" t="inlineStr">
        <is>
          <t>043 901 000056317</t>
        </is>
      </c>
      <c r="E99" s="99" t="n">
        <v>112950020</v>
      </c>
      <c r="F99" s="113">
        <f>VLOOKUP(E99,PROD,2,FALSE)</f>
        <v/>
      </c>
      <c r="G99" s="99" t="inlineStr">
        <is>
          <t>EK258700040</t>
        </is>
      </c>
      <c r="H99" s="99" t="inlineStr">
        <is>
          <t>SAP</t>
        </is>
      </c>
      <c r="I99" s="99" t="inlineStr">
        <is>
          <t>CAPELO</t>
        </is>
      </c>
      <c r="J99" s="99" t="inlineStr">
        <is>
          <t>CUENCA</t>
        </is>
      </c>
      <c r="K99" s="100" t="n">
        <v>46154</v>
      </c>
      <c r="L99" s="99" t="inlineStr">
        <is>
          <t>SEBASTIAN LARA</t>
        </is>
      </c>
      <c r="M99" s="99" t="inlineStr">
        <is>
          <t>PASEO DE LOS CANARIS</t>
        </is>
      </c>
      <c r="N99" s="99" t="inlineStr">
        <is>
          <t>+593 99 531 0094</t>
        </is>
      </c>
      <c r="O99" s="185" t="n">
        <v>20</v>
      </c>
      <c r="P99" s="99" t="inlineStr">
        <is>
          <t>CLIENTE FINAL</t>
        </is>
      </c>
      <c r="Q99" s="99" t="inlineStr">
        <is>
          <t>CAPELO</t>
        </is>
      </c>
      <c r="S99" s="99" t="inlineStr">
        <is>
          <t>043 901 000056317</t>
        </is>
      </c>
      <c r="T99" s="101" t="n">
        <v>105112353001</v>
      </c>
      <c r="U99" s="181" t="inlineStr">
        <is>
          <t>s.lara.quinteros@gmail.com</t>
        </is>
      </c>
    </row>
    <row r="100" ht="19" customFormat="1" customHeight="1" s="102">
      <c r="A100" s="114" t="n">
        <v>95</v>
      </c>
      <c r="B100" s="100" t="n">
        <v>46124</v>
      </c>
      <c r="C100" s="99" t="inlineStr">
        <is>
          <t>COMERCIAL KYWI</t>
        </is>
      </c>
      <c r="D100" s="99" t="inlineStr">
        <is>
          <t>043 901 000056317</t>
        </is>
      </c>
      <c r="E100" s="99" t="n">
        <v>112580027</v>
      </c>
      <c r="F100" s="113">
        <f>VLOOKUP(E100,PROD,2,FALSE)</f>
        <v/>
      </c>
      <c r="G100" s="99" t="inlineStr">
        <is>
          <t>ZP238U00497</t>
        </is>
      </c>
      <c r="H100" s="99" t="inlineStr">
        <is>
          <t>SAP</t>
        </is>
      </c>
      <c r="I100" s="99" t="inlineStr">
        <is>
          <t>CAPELO</t>
        </is>
      </c>
      <c r="J100" s="99" t="inlineStr">
        <is>
          <t>CUENCA</t>
        </is>
      </c>
      <c r="K100" s="100" t="n">
        <v>46154</v>
      </c>
      <c r="L100" s="99" t="inlineStr">
        <is>
          <t>SEBASTIAN LARA</t>
        </is>
      </c>
      <c r="M100" s="99" t="inlineStr">
        <is>
          <t>PASEO DE LOS CANARIS</t>
        </is>
      </c>
      <c r="N100" s="99" t="inlineStr">
        <is>
          <t>+593 99 531 0094</t>
        </is>
      </c>
      <c r="O100" s="185" t="n">
        <v>20</v>
      </c>
      <c r="P100" s="99" t="inlineStr">
        <is>
          <t>CLIENTE FINAL</t>
        </is>
      </c>
      <c r="Q100" s="99" t="inlineStr">
        <is>
          <t>CAPELO</t>
        </is>
      </c>
      <c r="S100" s="99" t="inlineStr">
        <is>
          <t>043 901 000056317</t>
        </is>
      </c>
      <c r="T100" s="101" t="n">
        <v>105112353001</v>
      </c>
      <c r="U100" s="181" t="inlineStr">
        <is>
          <t>s.lara.quinteros@gmail.com</t>
        </is>
      </c>
    </row>
    <row r="101" ht="19" customFormat="1" customHeight="1" s="102">
      <c r="A101" s="114" t="n">
        <v>96</v>
      </c>
      <c r="B101" s="100" t="n">
        <v>46031</v>
      </c>
      <c r="C101" s="99" t="inlineStr">
        <is>
          <t>COMERCIAL SOLIS</t>
        </is>
      </c>
      <c r="D101" s="99" t="inlineStr">
        <is>
          <t>001 500 000081401</t>
        </is>
      </c>
      <c r="E101" s="99" t="n">
        <v>112060006</v>
      </c>
      <c r="F101" s="113" t="inlineStr">
        <is>
          <t>MICROONDAS ML 8210 BIS</t>
        </is>
      </c>
      <c r="G101" s="99" t="inlineStr">
        <is>
          <t>TP259007998</t>
        </is>
      </c>
      <c r="H101" s="99" t="inlineStr">
        <is>
          <t>SAP</t>
        </is>
      </c>
      <c r="I101" s="99" t="inlineStr">
        <is>
          <t>CAPELO</t>
        </is>
      </c>
      <c r="J101" s="99" t="inlineStr">
        <is>
          <t>CUENCA</t>
        </is>
      </c>
      <c r="K101" s="100" t="n">
        <v>46154</v>
      </c>
      <c r="L101" s="99" t="inlineStr">
        <is>
          <t>ANTONIO ESCANDON</t>
        </is>
      </c>
      <c r="M101" s="99" t="inlineStr">
        <is>
          <t>SECTOR CEMENTERIO JUAN JOSE FLORES</t>
        </is>
      </c>
      <c r="N101" s="99" t="inlineStr">
        <is>
          <t>+593 98 434 0854</t>
        </is>
      </c>
      <c r="O101" s="185" t="n">
        <v>20</v>
      </c>
      <c r="P101" s="99" t="inlineStr">
        <is>
          <t>CLIENTE FINAL</t>
        </is>
      </c>
      <c r="Q101" s="99" t="inlineStr">
        <is>
          <t>CAPELO</t>
        </is>
      </c>
      <c r="S101" s="99" t="inlineStr">
        <is>
          <t>001 500 000081401</t>
        </is>
      </c>
      <c r="T101" s="101" t="n">
        <v>101810257</v>
      </c>
      <c r="U101" s="181" t="inlineStr">
        <is>
          <t>janelita_28@hotmail.com</t>
        </is>
      </c>
    </row>
    <row r="102" ht="19" customFormat="1" customHeight="1" s="102">
      <c r="A102" s="114" t="n">
        <v>97</v>
      </c>
      <c r="B102" s="100" t="n">
        <v>46031</v>
      </c>
      <c r="C102" s="99" t="inlineStr">
        <is>
          <t>COMERCIAL SOLIS</t>
        </is>
      </c>
      <c r="D102" s="99" t="inlineStr">
        <is>
          <t>001 500 000081401</t>
        </is>
      </c>
      <c r="E102" s="99" t="n">
        <v>111000051</v>
      </c>
      <c r="F102" s="113">
        <f>VLOOKUP(E102,PROD,2,FALSE)</f>
        <v/>
      </c>
      <c r="G102" s="99" t="inlineStr">
        <is>
          <t>TZ25AM13765</t>
        </is>
      </c>
      <c r="H102" s="99" t="inlineStr">
        <is>
          <t>SAP</t>
        </is>
      </c>
      <c r="I102" s="99" t="inlineStr">
        <is>
          <t>CAPELO</t>
        </is>
      </c>
      <c r="J102" s="99" t="inlineStr">
        <is>
          <t>CUENCA</t>
        </is>
      </c>
      <c r="K102" s="100" t="n">
        <v>46154</v>
      </c>
      <c r="L102" s="99" t="inlineStr">
        <is>
          <t>ANTONIO ESCANDON</t>
        </is>
      </c>
      <c r="M102" s="99" t="inlineStr">
        <is>
          <t>SECTOR CEMENTERIO JUAN JOSE FLORES</t>
        </is>
      </c>
      <c r="N102" s="99" t="inlineStr">
        <is>
          <t>+593 98 434 0854</t>
        </is>
      </c>
      <c r="O102" s="185" t="n">
        <v>20</v>
      </c>
      <c r="P102" s="99" t="inlineStr">
        <is>
          <t>CLIENTE FINAL</t>
        </is>
      </c>
      <c r="Q102" s="99" t="inlineStr">
        <is>
          <t>CAPELO</t>
        </is>
      </c>
      <c r="S102" s="99" t="inlineStr">
        <is>
          <t>001 500 000081401</t>
        </is>
      </c>
      <c r="T102" s="101" t="n">
        <v>101810257</v>
      </c>
      <c r="U102" s="181" t="inlineStr">
        <is>
          <t>janelita_28@hotmail.com</t>
        </is>
      </c>
    </row>
    <row r="103" ht="19" customFormat="1" customHeight="1" s="102">
      <c r="A103" s="114" t="n">
        <v>98</v>
      </c>
      <c r="B103" s="100" t="n">
        <v>45990</v>
      </c>
      <c r="C103" s="99" t="inlineStr">
        <is>
          <t>ALMACENES CHORDELEG</t>
        </is>
      </c>
      <c r="D103" s="99" t="inlineStr">
        <is>
          <t>001 001 000022857</t>
        </is>
      </c>
      <c r="E103" s="99" t="n">
        <v>112580058</v>
      </c>
      <c r="F103" s="113">
        <f>VLOOKUP(E103,PROD,2,FALSE)</f>
        <v/>
      </c>
      <c r="G103" s="99" t="inlineStr">
        <is>
          <t>ZP257701323</t>
        </is>
      </c>
      <c r="H103" s="99" t="inlineStr">
        <is>
          <t>SAP</t>
        </is>
      </c>
      <c r="I103" s="99" t="inlineStr">
        <is>
          <t>CAPELO</t>
        </is>
      </c>
      <c r="J103" s="99" t="inlineStr">
        <is>
          <t>CUENCA</t>
        </is>
      </c>
      <c r="K103" s="100" t="n">
        <v>46154</v>
      </c>
      <c r="L103" s="99" t="inlineStr">
        <is>
          <t>ANAIS GONZALES</t>
        </is>
      </c>
      <c r="M103" s="99" t="inlineStr">
        <is>
          <t>SAN JOAQUIN</t>
        </is>
      </c>
      <c r="N103" s="99" t="inlineStr">
        <is>
          <t>+593 98 493 8034</t>
        </is>
      </c>
      <c r="O103" s="185" t="n">
        <v>15</v>
      </c>
      <c r="P103" s="99" t="inlineStr">
        <is>
          <t>CLIENTE FINAL</t>
        </is>
      </c>
      <c r="Q103" s="99" t="inlineStr">
        <is>
          <t>CAPELO</t>
        </is>
      </c>
      <c r="S103" s="99" t="inlineStr">
        <is>
          <t>001 001 000022857</t>
        </is>
      </c>
      <c r="T103" s="101" t="n">
        <v>190411931001</v>
      </c>
      <c r="U103" s="181" t="inlineStr">
        <is>
          <t>anaisgonzalezc@hotmail.com</t>
        </is>
      </c>
    </row>
    <row r="104" ht="19" customFormat="1" customHeight="1" s="102">
      <c r="A104" s="114" t="n">
        <v>99</v>
      </c>
      <c r="B104" s="100" t="n">
        <v>45990</v>
      </c>
      <c r="C104" s="99" t="inlineStr">
        <is>
          <t>ALMACENES CHORDELEG</t>
        </is>
      </c>
      <c r="D104" s="99" t="inlineStr">
        <is>
          <t>001 001 000022857</t>
        </is>
      </c>
      <c r="E104" s="99" t="n">
        <v>111030002</v>
      </c>
      <c r="F104" s="113">
        <f>VLOOKUP(E104,PROD,2,FALSE)</f>
        <v/>
      </c>
      <c r="G104" s="99" t="inlineStr">
        <is>
          <t>TZ257H21561</t>
        </is>
      </c>
      <c r="H104" s="99" t="inlineStr">
        <is>
          <t>SAP</t>
        </is>
      </c>
      <c r="I104" s="99" t="inlineStr">
        <is>
          <t>CAPELO</t>
        </is>
      </c>
      <c r="J104" s="99" t="inlineStr">
        <is>
          <t>CUENCA</t>
        </is>
      </c>
      <c r="K104" s="100" t="n">
        <v>46154</v>
      </c>
      <c r="L104" s="99" t="inlineStr">
        <is>
          <t>ANAIS GONZALES</t>
        </is>
      </c>
      <c r="M104" s="99" t="inlineStr">
        <is>
          <t>SAN JOAQUIN</t>
        </is>
      </c>
      <c r="N104" s="99" t="inlineStr">
        <is>
          <t>+593 98 493 8034</t>
        </is>
      </c>
      <c r="O104" s="185" t="n">
        <v>15</v>
      </c>
      <c r="P104" s="99" t="inlineStr">
        <is>
          <t>CLIENTE FINAL</t>
        </is>
      </c>
      <c r="Q104" s="99" t="inlineStr">
        <is>
          <t>CAPELO</t>
        </is>
      </c>
      <c r="S104" s="99" t="inlineStr">
        <is>
          <t>001 001 000022857</t>
        </is>
      </c>
      <c r="T104" s="101" t="n">
        <v>190411931001</v>
      </c>
      <c r="U104" s="181" t="inlineStr">
        <is>
          <t>anaisgonzalezc@hotmail.com</t>
        </is>
      </c>
    </row>
    <row r="105" ht="19" customFormat="1" customHeight="1" s="102">
      <c r="A105" s="114" t="n">
        <v>100</v>
      </c>
      <c r="B105" s="100" t="n">
        <v>45990</v>
      </c>
      <c r="C105" s="99" t="inlineStr">
        <is>
          <t>ALMACENES CHORDELEG</t>
        </is>
      </c>
      <c r="D105" s="99" t="inlineStr">
        <is>
          <t>001 001 000022857</t>
        </is>
      </c>
      <c r="E105" s="99" t="n">
        <v>40782128</v>
      </c>
      <c r="F105" s="113">
        <f>VLOOKUP(E105,PROD,2,FALSE)</f>
        <v/>
      </c>
      <c r="G105" s="99" t="inlineStr">
        <is>
          <t>MD255L07958</t>
        </is>
      </c>
      <c r="H105" s="99" t="inlineStr">
        <is>
          <t>SAP</t>
        </is>
      </c>
      <c r="I105" s="99" t="inlineStr">
        <is>
          <t>CAPELO</t>
        </is>
      </c>
      <c r="J105" s="99" t="inlineStr">
        <is>
          <t>CUENCA</t>
        </is>
      </c>
      <c r="K105" s="100" t="n">
        <v>46154</v>
      </c>
      <c r="L105" s="99" t="inlineStr">
        <is>
          <t>ANAIS GONZALES</t>
        </is>
      </c>
      <c r="M105" s="99" t="inlineStr">
        <is>
          <t>SAN JOAQUIN</t>
        </is>
      </c>
      <c r="N105" s="99" t="inlineStr">
        <is>
          <t>+593 98 493 8034</t>
        </is>
      </c>
      <c r="O105" s="185" t="n">
        <v>15</v>
      </c>
      <c r="P105" s="99" t="inlineStr">
        <is>
          <t>CLIENTE FINAL</t>
        </is>
      </c>
      <c r="Q105" s="99" t="inlineStr">
        <is>
          <t>CAPELO</t>
        </is>
      </c>
      <c r="S105" s="99" t="inlineStr">
        <is>
          <t>001 001 000022857</t>
        </is>
      </c>
      <c r="T105" s="101" t="n">
        <v>190411931001</v>
      </c>
      <c r="U105" s="181" t="inlineStr">
        <is>
          <t>anaisgonzalezc@hotmail.com</t>
        </is>
      </c>
    </row>
    <row r="106" ht="19" customFormat="1" customHeight="1" s="102">
      <c r="A106" s="114" t="n">
        <v>101</v>
      </c>
      <c r="B106" s="100" t="n">
        <v>45990</v>
      </c>
      <c r="C106" s="99" t="inlineStr">
        <is>
          <t>ALMACENES CHORDELEG</t>
        </is>
      </c>
      <c r="D106" s="99" t="inlineStr">
        <is>
          <t>001 001 000022857</t>
        </is>
      </c>
      <c r="E106" s="99" t="n">
        <v>111630008</v>
      </c>
      <c r="F106" s="113">
        <f>VLOOKUP(E106,PROD,2,FALSE)</f>
        <v/>
      </c>
      <c r="G106" s="99" t="inlineStr">
        <is>
          <t>ZP2A061780008</t>
        </is>
      </c>
      <c r="H106" s="99" t="inlineStr">
        <is>
          <t>SAP</t>
        </is>
      </c>
      <c r="I106" s="99" t="inlineStr">
        <is>
          <t>CAPELO</t>
        </is>
      </c>
      <c r="J106" s="99" t="inlineStr">
        <is>
          <t>CUENCA</t>
        </is>
      </c>
      <c r="K106" s="100" t="n">
        <v>46154</v>
      </c>
      <c r="L106" s="99" t="inlineStr">
        <is>
          <t>ANAIS GONZALES</t>
        </is>
      </c>
      <c r="M106" s="99" t="inlineStr">
        <is>
          <t>SAN JOAQUIN</t>
        </is>
      </c>
      <c r="N106" s="99" t="inlineStr">
        <is>
          <t>+593 98 493 8034</t>
        </is>
      </c>
      <c r="O106" s="185" t="n">
        <v>15</v>
      </c>
      <c r="P106" s="99" t="inlineStr">
        <is>
          <t>CLIENTE FINAL</t>
        </is>
      </c>
      <c r="Q106" s="99" t="inlineStr">
        <is>
          <t>CAPELO</t>
        </is>
      </c>
      <c r="S106" s="99" t="inlineStr">
        <is>
          <t>001 001 000022857</t>
        </is>
      </c>
      <c r="T106" s="101" t="n">
        <v>190411931001</v>
      </c>
      <c r="U106" s="181" t="inlineStr">
        <is>
          <t>anaisgonzalezc@hotmail.com</t>
        </is>
      </c>
    </row>
    <row r="107" ht="19" customFormat="1" customHeight="1" s="102">
      <c r="A107" s="114" t="n">
        <v>102</v>
      </c>
      <c r="B107" s="100" t="n">
        <v>45966</v>
      </c>
      <c r="C107" s="99" t="inlineStr">
        <is>
          <t>COMO HOGAR</t>
        </is>
      </c>
      <c r="D107" s="99" t="inlineStr">
        <is>
          <t>040 104 000014483</t>
        </is>
      </c>
      <c r="E107" s="99" t="n">
        <v>112570123</v>
      </c>
      <c r="F107" s="113">
        <f>VLOOKUP(E107,PROD,2,FALSE)</f>
        <v/>
      </c>
      <c r="G107" s="99" t="inlineStr">
        <is>
          <t>ZP226Q0005</t>
        </is>
      </c>
      <c r="H107" s="99" t="inlineStr">
        <is>
          <t>SAP</t>
        </is>
      </c>
      <c r="I107" s="99" t="inlineStr">
        <is>
          <t>CAPELO</t>
        </is>
      </c>
      <c r="J107" s="99" t="inlineStr">
        <is>
          <t>CUENCA</t>
        </is>
      </c>
      <c r="K107" s="100" t="n">
        <v>46155</v>
      </c>
      <c r="L107" s="99" t="inlineStr">
        <is>
          <t>SEBASTIAN ROJAS</t>
        </is>
      </c>
      <c r="M107" s="99" t="inlineStr">
        <is>
          <t>AV SOLANO Y ALFONSO MORENO MORA</t>
        </is>
      </c>
      <c r="N107" s="99" t="inlineStr">
        <is>
          <t>+593 98 311 1598</t>
        </is>
      </c>
      <c r="O107" s="185" t="n">
        <v>20</v>
      </c>
      <c r="P107" s="99" t="inlineStr">
        <is>
          <t>CLIENTE FINAL</t>
        </is>
      </c>
      <c r="Q107" s="99" t="inlineStr">
        <is>
          <t>CAPELO</t>
        </is>
      </c>
      <c r="S107" s="99" t="inlineStr">
        <is>
          <t>040 104 000014483</t>
        </is>
      </c>
      <c r="T107" s="101" t="n">
        <v>152828133</v>
      </c>
      <c r="U107" s="181" t="inlineStr">
        <is>
          <t>sebastianrojasagu@gmail.com</t>
        </is>
      </c>
    </row>
    <row r="108" ht="19" customFormat="1" customHeight="1" s="102">
      <c r="A108" s="114" t="n">
        <v>103</v>
      </c>
      <c r="B108" s="100" t="n">
        <v>45966</v>
      </c>
      <c r="C108" s="99" t="inlineStr">
        <is>
          <t>COMO HOGAR</t>
        </is>
      </c>
      <c r="D108" s="99" t="inlineStr">
        <is>
          <t>040 104 000014483</t>
        </is>
      </c>
      <c r="E108" s="99" t="n">
        <v>40485141</v>
      </c>
      <c r="F108" s="113">
        <f>VLOOKUP(E108,PROD,2,FALSE)</f>
        <v/>
      </c>
      <c r="G108" s="99" t="inlineStr">
        <is>
          <t>PZ243500020</t>
        </is>
      </c>
      <c r="H108" s="99" t="inlineStr">
        <is>
          <t>SAP</t>
        </is>
      </c>
      <c r="I108" s="99" t="inlineStr">
        <is>
          <t>CAPELO</t>
        </is>
      </c>
      <c r="J108" s="99" t="inlineStr">
        <is>
          <t>CUENCA</t>
        </is>
      </c>
      <c r="K108" s="100" t="n">
        <v>46155</v>
      </c>
      <c r="L108" s="99" t="inlineStr">
        <is>
          <t>SEBASTIAN ROJAS</t>
        </is>
      </c>
      <c r="M108" s="99" t="inlineStr">
        <is>
          <t>AV SOLANO Y ALFONSO MORENO MORA</t>
        </is>
      </c>
      <c r="N108" s="99" t="inlineStr">
        <is>
          <t>+593 98 311 1598</t>
        </is>
      </c>
      <c r="O108" s="185" t="n">
        <v>30</v>
      </c>
      <c r="P108" s="99" t="inlineStr">
        <is>
          <t>CLIENTE FINAL</t>
        </is>
      </c>
      <c r="Q108" s="99" t="inlineStr">
        <is>
          <t>CAPELO</t>
        </is>
      </c>
      <c r="S108" s="99" t="inlineStr">
        <is>
          <t>040 104 000014483</t>
        </is>
      </c>
      <c r="T108" s="101" t="n">
        <v>152828133</v>
      </c>
      <c r="U108" s="181" t="inlineStr">
        <is>
          <t>sebastianrojasagu@gmail.com</t>
        </is>
      </c>
    </row>
    <row r="109" ht="19" customFormat="1" customHeight="1" s="102">
      <c r="A109" s="114" t="n">
        <v>104</v>
      </c>
      <c r="B109" s="100" t="n">
        <v>46035</v>
      </c>
      <c r="C109" s="99" t="inlineStr">
        <is>
          <t>LUNA PAZMIÑO</t>
        </is>
      </c>
      <c r="D109" s="99" t="inlineStr">
        <is>
          <t>002 201 00022854</t>
        </is>
      </c>
      <c r="E109" s="99" t="n">
        <v>112580027</v>
      </c>
      <c r="F109" s="113">
        <f>VLOOKUP(E109,PROD,2,FALSE)</f>
        <v/>
      </c>
      <c r="G109" s="99" t="inlineStr">
        <is>
          <t>ZP259500351</t>
        </is>
      </c>
      <c r="H109" s="99" t="inlineStr">
        <is>
          <t>SAP</t>
        </is>
      </c>
      <c r="I109" s="99" t="inlineStr">
        <is>
          <t>CAPELO</t>
        </is>
      </c>
      <c r="J109" s="99" t="inlineStr">
        <is>
          <t>CUENCA</t>
        </is>
      </c>
      <c r="K109" s="100" t="n">
        <v>46156</v>
      </c>
      <c r="L109" s="99" t="inlineStr">
        <is>
          <t>DAVID GUAMAN</t>
        </is>
      </c>
      <c r="M109" s="99" t="inlineStr">
        <is>
          <t>CANAR</t>
        </is>
      </c>
      <c r="N109" s="99" t="inlineStr">
        <is>
          <t>+593 99 574 0069</t>
        </is>
      </c>
      <c r="O109" s="185" t="n">
        <v>20</v>
      </c>
      <c r="P109" s="99" t="inlineStr">
        <is>
          <t>CLIENTE FINAL</t>
        </is>
      </c>
      <c r="Q109" s="99" t="inlineStr">
        <is>
          <t>CAPELO</t>
        </is>
      </c>
      <c r="S109" s="99" t="inlineStr">
        <is>
          <t>002 201 00022854</t>
        </is>
      </c>
      <c r="T109" s="101" t="n">
        <v>302429626001</v>
      </c>
      <c r="U109" s="181" t="inlineStr">
        <is>
          <t>davidtwo993@gmail.com</t>
        </is>
      </c>
    </row>
    <row r="110" ht="19" customFormat="1" customHeight="1" s="102">
      <c r="A110" s="114" t="n">
        <v>105</v>
      </c>
      <c r="B110" s="100" t="n">
        <v>46035</v>
      </c>
      <c r="C110" s="99" t="inlineStr">
        <is>
          <t>LUNA PAZMIÑO</t>
        </is>
      </c>
      <c r="D110" s="99" t="inlineStr">
        <is>
          <t>002 201 00022854</t>
        </is>
      </c>
      <c r="E110" s="99" t="n">
        <v>40467320</v>
      </c>
      <c r="F110" s="113">
        <f>VLOOKUP(E110,PROD,2,FALSE)</f>
        <v/>
      </c>
      <c r="G110" s="99" t="inlineStr">
        <is>
          <t>TP246C03250</t>
        </is>
      </c>
      <c r="H110" s="99" t="inlineStr">
        <is>
          <t>SAP</t>
        </is>
      </c>
      <c r="I110" s="99" t="inlineStr">
        <is>
          <t>CAPELO</t>
        </is>
      </c>
      <c r="J110" s="99" t="inlineStr">
        <is>
          <t>CUENCA</t>
        </is>
      </c>
      <c r="K110" s="100" t="n">
        <v>46156</v>
      </c>
      <c r="L110" s="99" t="inlineStr">
        <is>
          <t>DAVID GUAMAN</t>
        </is>
      </c>
      <c r="M110" s="99" t="inlineStr">
        <is>
          <t>CANAR</t>
        </is>
      </c>
      <c r="N110" s="99" t="inlineStr">
        <is>
          <t>+593 99 574 0069</t>
        </is>
      </c>
      <c r="O110" s="185" t="n">
        <v>20</v>
      </c>
      <c r="P110" s="99" t="inlineStr">
        <is>
          <t>CLIENTE FINAL</t>
        </is>
      </c>
      <c r="Q110" s="99" t="inlineStr">
        <is>
          <t>CAPELO</t>
        </is>
      </c>
      <c r="S110" s="99" t="inlineStr">
        <is>
          <t>002 201 00022854</t>
        </is>
      </c>
      <c r="T110" s="101" t="n">
        <v>302429626001</v>
      </c>
      <c r="U110" s="181" t="inlineStr">
        <is>
          <t>davidtwo993@gmail.com</t>
        </is>
      </c>
    </row>
    <row r="111" ht="19" customFormat="1" customHeight="1" s="102">
      <c r="A111" s="114" t="n">
        <v>3</v>
      </c>
      <c r="B111" s="100" t="n">
        <v>46095</v>
      </c>
      <c r="C111" s="99" t="inlineStr">
        <is>
          <t>COMERCIAL SOLIS</t>
        </is>
      </c>
      <c r="D111" s="99" t="inlineStr">
        <is>
          <t>001 502 000000816</t>
        </is>
      </c>
      <c r="E111" s="99" t="n">
        <v>113430051</v>
      </c>
      <c r="F111" s="113">
        <f>VLOOKUP(E111,PROD,2,FALSE)</f>
        <v/>
      </c>
      <c r="G111" s="99" t="inlineStr">
        <is>
          <t>TKAZC5K3136001</t>
        </is>
      </c>
      <c r="H111" s="99" t="inlineStr">
        <is>
          <t>SAP</t>
        </is>
      </c>
      <c r="I111" s="99" t="inlineStr">
        <is>
          <t>CAPELO</t>
        </is>
      </c>
      <c r="J111" s="99" t="inlineStr">
        <is>
          <t>CUENCA</t>
        </is>
      </c>
      <c r="K111" s="100" t="n">
        <v>46157</v>
      </c>
      <c r="L111" s="99" t="inlineStr">
        <is>
          <t>JUAN VELECELA</t>
        </is>
      </c>
      <c r="M111" s="99" t="inlineStr">
        <is>
          <t>PANAMERICANA SUR KM 1 1/2 NARANCAY</t>
        </is>
      </c>
      <c r="N111" s="99" t="inlineStr">
        <is>
          <t>+593 96 291 7666</t>
        </is>
      </c>
      <c r="O111" s="185" t="n">
        <v>15</v>
      </c>
      <c r="P111" s="99" t="inlineStr">
        <is>
          <t>CLIENTE FINAL</t>
        </is>
      </c>
      <c r="Q111" s="99" t="inlineStr">
        <is>
          <t>CAPELO</t>
        </is>
      </c>
      <c r="S111" s="99" t="inlineStr">
        <is>
          <t>001 502 000000816</t>
        </is>
      </c>
      <c r="T111" s="101" t="n">
        <v>106102759</v>
      </c>
      <c r="U111" s="181" t="inlineStr">
        <is>
          <t>danielazhagui1020@gmail.com</t>
        </is>
      </c>
    </row>
    <row r="112" ht="19" customFormat="1" customHeight="1" s="102">
      <c r="A112" s="114" t="n">
        <v>4</v>
      </c>
      <c r="B112" s="100" t="n">
        <v>46095</v>
      </c>
      <c r="C112" s="99" t="inlineStr">
        <is>
          <t>COMERCIAL SOLIS</t>
        </is>
      </c>
      <c r="D112" s="99" t="inlineStr">
        <is>
          <t>001 502 000000816</t>
        </is>
      </c>
      <c r="E112" s="99" t="n">
        <v>111000059</v>
      </c>
      <c r="F112" s="113">
        <f>VLOOKUP(E112,PROD,2,FALSE)</f>
        <v/>
      </c>
      <c r="G112" s="99" t="inlineStr">
        <is>
          <t>TZ25BC07029</t>
        </is>
      </c>
      <c r="H112" s="99" t="inlineStr">
        <is>
          <t>SAP</t>
        </is>
      </c>
      <c r="I112" s="99" t="inlineStr">
        <is>
          <t>CAPELO</t>
        </is>
      </c>
      <c r="J112" s="99" t="inlineStr">
        <is>
          <t>CUENCA</t>
        </is>
      </c>
      <c r="K112" s="100" t="n">
        <v>46157</v>
      </c>
      <c r="L112" s="99" t="inlineStr">
        <is>
          <t>JUAN VELECELA</t>
        </is>
      </c>
      <c r="M112" s="99" t="inlineStr">
        <is>
          <t>PANAMERICANA SUR KM 1 1/2 NARANCAY</t>
        </is>
      </c>
      <c r="N112" s="99" t="inlineStr">
        <is>
          <t>+593 96 291 7666</t>
        </is>
      </c>
      <c r="O112" s="185" t="n">
        <v>15</v>
      </c>
      <c r="P112" s="99" t="inlineStr">
        <is>
          <t>CLIENTE FINAL</t>
        </is>
      </c>
      <c r="Q112" s="99" t="inlineStr">
        <is>
          <t>CAPELO</t>
        </is>
      </c>
      <c r="S112" s="99" t="inlineStr">
        <is>
          <t>001 502 000000816</t>
        </is>
      </c>
      <c r="T112" s="101" t="n">
        <v>106102759</v>
      </c>
      <c r="U112" s="181" t="inlineStr">
        <is>
          <t>danielazhagui1020@gmail.com</t>
        </is>
      </c>
    </row>
    <row r="113" ht="19" customFormat="1" customHeight="1" s="102">
      <c r="A113" s="114" t="n">
        <v>5</v>
      </c>
      <c r="B113" s="100" t="n">
        <v>46095</v>
      </c>
      <c r="C113" s="99" t="inlineStr">
        <is>
          <t>COMERCIAL SOLIS</t>
        </is>
      </c>
      <c r="D113" s="99" t="inlineStr">
        <is>
          <t>001 502 000000816</t>
        </is>
      </c>
      <c r="E113" s="99" t="n">
        <v>112570238</v>
      </c>
      <c r="F113" s="113">
        <f>VLOOKUP(E113,PROD,2,FALSE)</f>
        <v/>
      </c>
      <c r="G113" s="99" t="inlineStr">
        <is>
          <t>ZP262A00001</t>
        </is>
      </c>
      <c r="H113" s="99" t="inlineStr">
        <is>
          <t>SAP</t>
        </is>
      </c>
      <c r="I113" s="99" t="inlineStr">
        <is>
          <t>CAPELO</t>
        </is>
      </c>
      <c r="J113" s="99" t="inlineStr">
        <is>
          <t>CUENCA</t>
        </is>
      </c>
      <c r="K113" s="100" t="n">
        <v>46157</v>
      </c>
      <c r="L113" s="99" t="inlineStr">
        <is>
          <t>JUAN VELECELA</t>
        </is>
      </c>
      <c r="M113" s="99" t="inlineStr">
        <is>
          <t>PANAMERICANA SUR KM 1 1/2 NARANCAY</t>
        </is>
      </c>
      <c r="N113" s="99" t="inlineStr">
        <is>
          <t>+593 96 291 7666</t>
        </is>
      </c>
      <c r="O113" s="185" t="n">
        <v>15</v>
      </c>
      <c r="P113" s="99" t="inlineStr">
        <is>
          <t>CLIENTE FINAL</t>
        </is>
      </c>
      <c r="Q113" s="99" t="inlineStr">
        <is>
          <t>CAPELO</t>
        </is>
      </c>
      <c r="S113" s="99" t="inlineStr">
        <is>
          <t>001 502 000000816</t>
        </is>
      </c>
      <c r="T113" s="101" t="n">
        <v>106102759</v>
      </c>
      <c r="U113" s="181" t="inlineStr">
        <is>
          <t>danielazhagui1020@gmail.com</t>
        </is>
      </c>
    </row>
    <row r="114" ht="19" customFormat="1" customHeight="1" s="102">
      <c r="A114" s="114" t="n">
        <v>8</v>
      </c>
      <c r="B114" s="100" t="n">
        <v>46081</v>
      </c>
      <c r="C114" s="99" t="inlineStr">
        <is>
          <t>COMERCIAL SOLIS</t>
        </is>
      </c>
      <c r="D114" s="99" t="inlineStr">
        <is>
          <t>001 500 000083020</t>
        </is>
      </c>
      <c r="E114" s="99" t="n">
        <v>111000051</v>
      </c>
      <c r="F114" s="113">
        <f>VLOOKUP(E114,PROD,2,FALSE)</f>
        <v/>
      </c>
      <c r="G114" s="99" t="inlineStr">
        <is>
          <t>TZ258130165</t>
        </is>
      </c>
      <c r="H114" s="99" t="inlineStr">
        <is>
          <t>SAP</t>
        </is>
      </c>
      <c r="I114" s="99" t="inlineStr">
        <is>
          <t>CAPELO</t>
        </is>
      </c>
      <c r="J114" s="99" t="inlineStr">
        <is>
          <t>CUENCA</t>
        </is>
      </c>
      <c r="K114" s="100" t="n">
        <v>46160</v>
      </c>
      <c r="L114" s="99" t="inlineStr">
        <is>
          <t>HERNAN URGILES</t>
        </is>
      </c>
      <c r="M114" s="99" t="inlineStr">
        <is>
          <t>AZOGUES</t>
        </is>
      </c>
      <c r="N114" s="99" t="inlineStr">
        <is>
          <t>+593 99 640 8127</t>
        </is>
      </c>
      <c r="O114" s="185" t="n">
        <v>15</v>
      </c>
      <c r="P114" s="99" t="inlineStr">
        <is>
          <t>CLIENTE FINAL</t>
        </is>
      </c>
      <c r="Q114" s="99" t="inlineStr">
        <is>
          <t>CAPELO</t>
        </is>
      </c>
      <c r="S114" s="99" t="inlineStr">
        <is>
          <t>001 500 000083020</t>
        </is>
      </c>
      <c r="T114" s="101" t="n">
        <v>301530580</v>
      </c>
      <c r="U114" s="181" t="inlineStr">
        <is>
          <t>comprasinghu@gmail.com</t>
        </is>
      </c>
    </row>
    <row r="115" ht="19" customFormat="1" customHeight="1" s="102">
      <c r="A115" s="114" t="n">
        <v>9</v>
      </c>
      <c r="B115" s="100" t="n">
        <v>46081</v>
      </c>
      <c r="C115" s="99" t="inlineStr">
        <is>
          <t>COMERCIAL SOLIS</t>
        </is>
      </c>
      <c r="D115" s="99" t="inlineStr">
        <is>
          <t>001 500 000083020</t>
        </is>
      </c>
      <c r="E115" s="99" t="n">
        <v>112950021</v>
      </c>
      <c r="F115" s="113">
        <f>VLOOKUP(E115,PROD,2,FALSE)</f>
        <v/>
      </c>
      <c r="G115" s="99" t="inlineStr">
        <is>
          <t>EK258800129</t>
        </is>
      </c>
      <c r="H115" s="99" t="inlineStr">
        <is>
          <t>SAP</t>
        </is>
      </c>
      <c r="I115" s="99" t="inlineStr">
        <is>
          <t>CAPELO</t>
        </is>
      </c>
      <c r="J115" s="99" t="inlineStr">
        <is>
          <t>CUENCA</t>
        </is>
      </c>
      <c r="K115" s="100" t="n">
        <v>46160</v>
      </c>
      <c r="L115" s="99" t="inlineStr">
        <is>
          <t>HERNAN URGILES</t>
        </is>
      </c>
      <c r="M115" s="99" t="inlineStr">
        <is>
          <t>AZOGUES</t>
        </is>
      </c>
      <c r="N115" s="99" t="inlineStr">
        <is>
          <t>+593 99 640 8127</t>
        </is>
      </c>
      <c r="O115" s="185" t="n">
        <v>15</v>
      </c>
      <c r="P115" s="99" t="inlineStr">
        <is>
          <t>CLIENTE FINAL</t>
        </is>
      </c>
      <c r="Q115" s="99" t="inlineStr">
        <is>
          <t>CAPELO</t>
        </is>
      </c>
      <c r="S115" s="99" t="inlineStr">
        <is>
          <t>001 500 000083020</t>
        </is>
      </c>
      <c r="T115" s="101" t="n">
        <v>301530580</v>
      </c>
      <c r="U115" s="181" t="inlineStr">
        <is>
          <t>comprasinghu@gmail.com</t>
        </is>
      </c>
    </row>
    <row r="116" ht="19" customFormat="1" customHeight="1" s="102">
      <c r="A116" s="114" t="n">
        <v>10</v>
      </c>
      <c r="B116" s="100" t="n">
        <v>46081</v>
      </c>
      <c r="C116" s="99" t="inlineStr">
        <is>
          <t>COMERCIAL SOLIS</t>
        </is>
      </c>
      <c r="D116" s="99" t="inlineStr">
        <is>
          <t>001 500 000083020</t>
        </is>
      </c>
      <c r="E116" s="99" t="n">
        <v>112950021</v>
      </c>
      <c r="F116" s="113">
        <f>VLOOKUP(E116,PROD,2,FALSE)</f>
        <v/>
      </c>
      <c r="G116" s="99" t="inlineStr">
        <is>
          <t>EK258800129</t>
        </is>
      </c>
      <c r="H116" s="99" t="inlineStr">
        <is>
          <t>SAP</t>
        </is>
      </c>
      <c r="I116" s="99" t="inlineStr">
        <is>
          <t>CAPELO</t>
        </is>
      </c>
      <c r="J116" s="99" t="inlineStr">
        <is>
          <t>CUENCA</t>
        </is>
      </c>
      <c r="K116" s="100" t="n">
        <v>46160</v>
      </c>
      <c r="L116" s="99" t="inlineStr">
        <is>
          <t>HERNAN URGILES</t>
        </is>
      </c>
      <c r="M116" s="99" t="inlineStr">
        <is>
          <t>AZOGUES</t>
        </is>
      </c>
      <c r="N116" s="99" t="inlineStr">
        <is>
          <t>+593 99 640 8127</t>
        </is>
      </c>
      <c r="O116" s="185" t="n">
        <v>15</v>
      </c>
      <c r="P116" s="99" t="inlineStr">
        <is>
          <t>CLIENTE FINAL</t>
        </is>
      </c>
      <c r="Q116" s="99" t="inlineStr">
        <is>
          <t>CAPELO</t>
        </is>
      </c>
      <c r="S116" s="99" t="inlineStr">
        <is>
          <t>001 500 000083020</t>
        </is>
      </c>
      <c r="T116" s="101" t="n">
        <v>301530580</v>
      </c>
      <c r="U116" s="181" t="inlineStr">
        <is>
          <t>comprasinghu@gmail.com</t>
        </is>
      </c>
    </row>
    <row r="117" ht="19" customFormat="1" customHeight="1" s="102">
      <c r="A117" s="114" t="n">
        <v>11</v>
      </c>
      <c r="B117" s="100" t="n">
        <v>46081</v>
      </c>
      <c r="C117" s="99" t="inlineStr">
        <is>
          <t>COMERCIAL SOLIS</t>
        </is>
      </c>
      <c r="D117" s="99" t="inlineStr">
        <is>
          <t>001 500 000083020</t>
        </is>
      </c>
      <c r="E117" s="99" t="n">
        <v>112950021</v>
      </c>
      <c r="F117" s="113">
        <f>VLOOKUP(E117,PROD,2,FALSE)</f>
        <v/>
      </c>
      <c r="G117" s="99" t="inlineStr">
        <is>
          <t>EK25800126</t>
        </is>
      </c>
      <c r="H117" s="99" t="inlineStr">
        <is>
          <t>SAP</t>
        </is>
      </c>
      <c r="I117" s="99" t="inlineStr">
        <is>
          <t>CAPELO</t>
        </is>
      </c>
      <c r="J117" s="99" t="inlineStr">
        <is>
          <t>CUENCA</t>
        </is>
      </c>
      <c r="K117" s="100" t="n">
        <v>46160</v>
      </c>
      <c r="L117" s="99" t="inlineStr">
        <is>
          <t>HERNAN URGILES</t>
        </is>
      </c>
      <c r="M117" s="99" t="inlineStr">
        <is>
          <t>AZOGUES</t>
        </is>
      </c>
      <c r="N117" s="99" t="inlineStr">
        <is>
          <t>+593 99 640 8127</t>
        </is>
      </c>
      <c r="O117" s="185" t="n">
        <v>15</v>
      </c>
      <c r="P117" s="99" t="inlineStr">
        <is>
          <t>CLIENTE FINAL</t>
        </is>
      </c>
      <c r="Q117" s="99" t="inlineStr">
        <is>
          <t>CAPELO</t>
        </is>
      </c>
      <c r="S117" s="99" t="inlineStr">
        <is>
          <t>001 500 000083020</t>
        </is>
      </c>
      <c r="T117" s="101" t="n">
        <v>301530580</v>
      </c>
      <c r="U117" s="181" t="inlineStr">
        <is>
          <t>comprasinghu@gmail.com</t>
        </is>
      </c>
    </row>
    <row r="118" ht="19" customFormat="1" customHeight="1" s="102">
      <c r="A118" s="114" t="n">
        <v>12</v>
      </c>
      <c r="B118" s="100" t="n">
        <v>45875</v>
      </c>
      <c r="C118" s="99" t="inlineStr">
        <is>
          <t>VTORIA HOGAR</t>
        </is>
      </c>
      <c r="D118" s="99" t="inlineStr">
        <is>
          <t>001 001 000001810</t>
        </is>
      </c>
      <c r="E118" s="99" t="n">
        <v>111000050</v>
      </c>
      <c r="F118" s="113">
        <f>VLOOKUP(E118,PROD,2,FALSE)</f>
        <v/>
      </c>
      <c r="G118" s="99" t="inlineStr">
        <is>
          <t>TZ249R18565</t>
        </is>
      </c>
      <c r="H118" s="99" t="inlineStr">
        <is>
          <t>SAP</t>
        </is>
      </c>
      <c r="I118" s="99" t="inlineStr">
        <is>
          <t>CAPELO</t>
        </is>
      </c>
      <c r="J118" s="99" t="inlineStr">
        <is>
          <t>CUENCA</t>
        </is>
      </c>
      <c r="K118" s="100" t="n">
        <v>46160</v>
      </c>
      <c r="L118" s="99" t="inlineStr">
        <is>
          <t>GUIDO SAMANIEGO</t>
        </is>
      </c>
      <c r="M118" s="99" t="inlineStr">
        <is>
          <t>PUERTAS DEL SOL</t>
        </is>
      </c>
      <c r="N118" s="99" t="inlineStr">
        <is>
          <t>+593 99 831 1145</t>
        </is>
      </c>
      <c r="O118" s="185" t="n">
        <v>15</v>
      </c>
      <c r="P118" s="99" t="inlineStr">
        <is>
          <t>CLIENTE FINAL</t>
        </is>
      </c>
      <c r="Q118" s="99" t="inlineStr">
        <is>
          <t>CAPELO</t>
        </is>
      </c>
      <c r="S118" s="99" t="inlineStr">
        <is>
          <t>001 001 000001810</t>
        </is>
      </c>
      <c r="T118" s="101" t="n">
        <v>104163126</v>
      </c>
      <c r="U118" s="181" t="inlineStr">
        <is>
          <t>gabrielamolinam@hotmail.com</t>
        </is>
      </c>
    </row>
    <row r="119" ht="19" customFormat="1" customHeight="1" s="102">
      <c r="A119" s="114" t="n">
        <v>13</v>
      </c>
      <c r="B119" s="100" t="n">
        <v>45875</v>
      </c>
      <c r="C119" s="99" t="inlineStr">
        <is>
          <t>VTORIA HOGAR</t>
        </is>
      </c>
      <c r="D119" s="99" t="inlineStr">
        <is>
          <t>001 001 000001810</t>
        </is>
      </c>
      <c r="E119" s="99" t="n">
        <v>112580058</v>
      </c>
      <c r="F119" s="113">
        <f>VLOOKUP(E119,PROD,2,FALSE)</f>
        <v/>
      </c>
      <c r="G119" s="99" t="inlineStr">
        <is>
          <t>ZP255900289</t>
        </is>
      </c>
      <c r="H119" s="99" t="inlineStr">
        <is>
          <t>SAP</t>
        </is>
      </c>
      <c r="I119" s="99" t="inlineStr">
        <is>
          <t>CAPELO</t>
        </is>
      </c>
      <c r="J119" s="99" t="inlineStr">
        <is>
          <t>CUENCA</t>
        </is>
      </c>
      <c r="K119" s="100" t="n">
        <v>46160</v>
      </c>
      <c r="L119" s="99" t="inlineStr">
        <is>
          <t>GUIDO SAMANIEGO</t>
        </is>
      </c>
      <c r="M119" s="99" t="inlineStr">
        <is>
          <t>PUERTAS DEL SOL</t>
        </is>
      </c>
      <c r="N119" s="99" t="inlineStr">
        <is>
          <t>+593 99 831 1145</t>
        </is>
      </c>
      <c r="O119" s="185" t="n">
        <v>15</v>
      </c>
      <c r="P119" s="99" t="inlineStr">
        <is>
          <t>CLIENTE FINAL</t>
        </is>
      </c>
      <c r="Q119" s="99" t="inlineStr">
        <is>
          <t>CAPELO</t>
        </is>
      </c>
      <c r="S119" s="99" t="inlineStr">
        <is>
          <t>001 001 000001810</t>
        </is>
      </c>
      <c r="T119" s="101" t="n">
        <v>104163126</v>
      </c>
      <c r="U119" s="181" t="inlineStr">
        <is>
          <t>gabrielamolinam@hotmail.com</t>
        </is>
      </c>
    </row>
    <row r="120" ht="19" customFormat="1" customHeight="1" s="102">
      <c r="A120" s="114" t="n">
        <v>14</v>
      </c>
      <c r="B120" s="100" t="n">
        <v>45875</v>
      </c>
      <c r="C120" s="99" t="inlineStr">
        <is>
          <t>VTORIA HOGAR</t>
        </is>
      </c>
      <c r="D120" s="99" t="inlineStr">
        <is>
          <t>001 001 000001810</t>
        </is>
      </c>
      <c r="E120" s="99" t="n">
        <v>40584202</v>
      </c>
      <c r="F120" s="113">
        <f>VLOOKUP(E120,PROD,2,FALSE)</f>
        <v/>
      </c>
      <c r="G120" s="99" t="inlineStr">
        <is>
          <t>TP24AR04015</t>
        </is>
      </c>
      <c r="H120" s="99" t="inlineStr">
        <is>
          <t>SAP</t>
        </is>
      </c>
      <c r="I120" s="99" t="inlineStr">
        <is>
          <t>CAPELO</t>
        </is>
      </c>
      <c r="J120" s="99" t="inlineStr">
        <is>
          <t>CUENCA</t>
        </is>
      </c>
      <c r="K120" s="100" t="n">
        <v>46160</v>
      </c>
      <c r="L120" s="99" t="inlineStr">
        <is>
          <t>GUIDO SAMANIEGO</t>
        </is>
      </c>
      <c r="M120" s="99" t="inlineStr">
        <is>
          <t>PUERTAS DEL SOL</t>
        </is>
      </c>
      <c r="N120" s="99" t="inlineStr">
        <is>
          <t>+593 99 831 1145</t>
        </is>
      </c>
      <c r="O120" s="185" t="n">
        <v>15</v>
      </c>
      <c r="P120" s="99" t="inlineStr">
        <is>
          <t>CLIENTE FINAL</t>
        </is>
      </c>
      <c r="Q120" s="99" t="inlineStr">
        <is>
          <t>CAPELO</t>
        </is>
      </c>
      <c r="S120" s="99" t="inlineStr">
        <is>
          <t>001 001 000001810</t>
        </is>
      </c>
      <c r="T120" s="101" t="n">
        <v>104163126</v>
      </c>
      <c r="U120" s="181" t="inlineStr">
        <is>
          <t>gabrielamolinam@hotmail.com</t>
        </is>
      </c>
    </row>
    <row r="121" ht="19" customFormat="1" customHeight="1" s="102">
      <c r="A121" s="114" t="n">
        <v>3</v>
      </c>
      <c r="B121" s="100" t="n">
        <v>46142</v>
      </c>
      <c r="C121" s="99" t="inlineStr">
        <is>
          <t>COMO HOGAR</t>
        </is>
      </c>
      <c r="D121" s="99" t="inlineStr">
        <is>
          <t>040 109 000012418</t>
        </is>
      </c>
      <c r="E121" s="99" t="n">
        <v>111000051</v>
      </c>
      <c r="F121" s="113">
        <f>VLOOKUP(E121,PROD,2,FALSE)</f>
        <v/>
      </c>
      <c r="G121" s="99" t="inlineStr">
        <is>
          <t>TZ252732441</t>
        </is>
      </c>
      <c r="H121" s="99" t="inlineStr">
        <is>
          <t>SAP</t>
        </is>
      </c>
      <c r="I121" s="99" t="inlineStr">
        <is>
          <t>CAPELO</t>
        </is>
      </c>
      <c r="J121" s="99" t="inlineStr">
        <is>
          <t>CUENCA</t>
        </is>
      </c>
      <c r="K121" s="100" t="n">
        <v>46161</v>
      </c>
      <c r="L121" s="99" t="inlineStr">
        <is>
          <t>JUAN JOSE MALO</t>
        </is>
      </c>
      <c r="M121" s="99" t="inlineStr">
        <is>
          <t>AV 27 FEBRERO EDIFICIO 27F</t>
        </is>
      </c>
      <c r="N121" s="99" t="inlineStr">
        <is>
          <t>+593 99 844 7205</t>
        </is>
      </c>
      <c r="O121" s="185" t="n">
        <v>15</v>
      </c>
      <c r="P121" s="99" t="inlineStr">
        <is>
          <t>CLIENTE FINAL</t>
        </is>
      </c>
      <c r="Q121" s="99" t="inlineStr">
        <is>
          <t>CAPELO</t>
        </is>
      </c>
      <c r="S121" s="99" t="inlineStr">
        <is>
          <t>040 109 000012418</t>
        </is>
      </c>
      <c r="T121" s="101" t="n">
        <v>105501423001</v>
      </c>
      <c r="U121" s="181" t="inlineStr">
        <is>
          <t>juanjosemaloa@gmail.com</t>
        </is>
      </c>
    </row>
    <row r="122" ht="19" customFormat="1" customHeight="1" s="102">
      <c r="A122" s="114" t="n">
        <v>4</v>
      </c>
      <c r="B122" s="100" t="n">
        <v>46142</v>
      </c>
      <c r="C122" s="99" t="inlineStr">
        <is>
          <t>COMO HOGAR</t>
        </is>
      </c>
      <c r="D122" s="99" t="inlineStr">
        <is>
          <t>040 109 000012418</t>
        </is>
      </c>
      <c r="E122" s="99" t="n">
        <v>112570068</v>
      </c>
      <c r="F122" s="113">
        <f>VLOOKUP(E122,PROD,2,FALSE)</f>
        <v/>
      </c>
      <c r="G122" s="99" t="inlineStr">
        <is>
          <t>ZP24AN00590</t>
        </is>
      </c>
      <c r="H122" s="99" t="inlineStr">
        <is>
          <t>SAP</t>
        </is>
      </c>
      <c r="I122" s="99" t="inlineStr">
        <is>
          <t>CAPELO</t>
        </is>
      </c>
      <c r="J122" s="99" t="inlineStr">
        <is>
          <t>CUENCA</t>
        </is>
      </c>
      <c r="K122" s="100" t="n">
        <v>46161</v>
      </c>
      <c r="L122" s="99" t="inlineStr">
        <is>
          <t>JUAN JOSE MALO</t>
        </is>
      </c>
      <c r="M122" s="99" t="inlineStr">
        <is>
          <t>AV 27 FEBRERO EDIFICIO 27F</t>
        </is>
      </c>
      <c r="N122" s="99" t="inlineStr">
        <is>
          <t>+593 99 844 7205</t>
        </is>
      </c>
      <c r="O122" s="185" t="n">
        <v>15</v>
      </c>
      <c r="P122" s="99" t="inlineStr">
        <is>
          <t>CLIENTE FINAL</t>
        </is>
      </c>
      <c r="Q122" s="99" t="inlineStr">
        <is>
          <t>CAPELO</t>
        </is>
      </c>
      <c r="S122" s="99" t="inlineStr">
        <is>
          <t>040 109 000012418</t>
        </is>
      </c>
      <c r="T122" s="101" t="n">
        <v>105501423001</v>
      </c>
      <c r="U122" s="181" t="inlineStr">
        <is>
          <t>juanjosemaloa@gmail.com</t>
        </is>
      </c>
    </row>
    <row r="123" ht="19" customFormat="1" customHeight="1" s="102">
      <c r="A123" s="114" t="n">
        <v>5</v>
      </c>
      <c r="B123" s="100" t="n">
        <v>46142</v>
      </c>
      <c r="C123" s="99" t="inlineStr">
        <is>
          <t>COMO HOGAR</t>
        </is>
      </c>
      <c r="D123" s="99" t="inlineStr">
        <is>
          <t>040 109 000012418</t>
        </is>
      </c>
      <c r="E123" s="99" t="n">
        <v>112910007</v>
      </c>
      <c r="F123" s="113">
        <f>VLOOKUP(E123,PROD,2,FALSE)</f>
        <v/>
      </c>
      <c r="G123" s="99" t="inlineStr">
        <is>
          <t>PX255U00020</t>
        </is>
      </c>
      <c r="H123" s="99" t="inlineStr">
        <is>
          <t>SAP</t>
        </is>
      </c>
      <c r="I123" s="99" t="inlineStr">
        <is>
          <t>CAPELO</t>
        </is>
      </c>
      <c r="J123" s="99" t="inlineStr">
        <is>
          <t>CUENCA</t>
        </is>
      </c>
      <c r="K123" s="100" t="n">
        <v>46161</v>
      </c>
      <c r="L123" s="99" t="inlineStr">
        <is>
          <t>JUAN JOSE MALO</t>
        </is>
      </c>
      <c r="M123" s="99" t="inlineStr">
        <is>
          <t>AV 27 FEBRERO EDIFICIO 27F</t>
        </is>
      </c>
      <c r="N123" s="99" t="inlineStr">
        <is>
          <t>+593 99 844 7205</t>
        </is>
      </c>
      <c r="O123" s="185" t="n">
        <v>30</v>
      </c>
      <c r="P123" s="99" t="inlineStr">
        <is>
          <t>CLIENTE FINAL</t>
        </is>
      </c>
      <c r="Q123" s="99" t="inlineStr">
        <is>
          <t>CAPELO</t>
        </is>
      </c>
      <c r="S123" s="99" t="inlineStr">
        <is>
          <t>040 109 000012418</t>
        </is>
      </c>
      <c r="T123" s="101" t="n">
        <v>105501423001</v>
      </c>
      <c r="U123" s="181" t="inlineStr">
        <is>
          <t>juanjosemaloa@gmail.com</t>
        </is>
      </c>
    </row>
    <row r="124" ht="19" customFormat="1" customHeight="1" s="102">
      <c r="A124" s="114" t="n">
        <v>6</v>
      </c>
      <c r="B124" s="100" t="n">
        <v>46157</v>
      </c>
      <c r="C124" s="99" t="inlineStr">
        <is>
          <t>COMERCIAL SOLIS</t>
        </is>
      </c>
      <c r="D124" s="99" t="inlineStr">
        <is>
          <t>001 500 000084026</t>
        </is>
      </c>
      <c r="E124" s="99" t="n">
        <v>40466111</v>
      </c>
      <c r="F124" s="113">
        <f>VLOOKUP(E124,PROD,2,FALSE)</f>
        <v/>
      </c>
      <c r="G124" s="99" t="inlineStr">
        <is>
          <t>TP25AD01350</t>
        </is>
      </c>
      <c r="H124" s="99" t="inlineStr">
        <is>
          <t>SAP</t>
        </is>
      </c>
      <c r="I124" s="99" t="inlineStr">
        <is>
          <t>CAPELO</t>
        </is>
      </c>
      <c r="J124" s="99" t="inlineStr">
        <is>
          <t>CUENCA</t>
        </is>
      </c>
      <c r="K124" s="100" t="n">
        <v>46161</v>
      </c>
      <c r="L124" s="99" t="inlineStr">
        <is>
          <t>FERNANDO QUIROGA</t>
        </is>
      </c>
      <c r="M124" s="99" t="inlineStr">
        <is>
          <t>VIA SAN MIGUEL RICAURTE</t>
        </is>
      </c>
      <c r="N124" s="99" t="inlineStr">
        <is>
          <t>+593 96 745 5610</t>
        </is>
      </c>
      <c r="O124" s="185" t="n">
        <v>20</v>
      </c>
      <c r="P124" s="99" t="inlineStr">
        <is>
          <t>CLIENTE FINAL</t>
        </is>
      </c>
      <c r="Q124" s="99" t="inlineStr">
        <is>
          <t>CAPELO</t>
        </is>
      </c>
      <c r="S124" s="99" t="inlineStr">
        <is>
          <t>001 500 000084026</t>
        </is>
      </c>
      <c r="T124" s="101" t="n">
        <v>103636924</v>
      </c>
      <c r="U124" s="181" t="inlineStr">
        <is>
          <t>catinautas@gmail.com</t>
        </is>
      </c>
    </row>
    <row r="125" ht="19" customFormat="1" customHeight="1" s="102">
      <c r="A125" s="114" t="n">
        <v>7</v>
      </c>
      <c r="B125" s="100" t="n">
        <v>46157</v>
      </c>
      <c r="C125" s="99" t="inlineStr">
        <is>
          <t>COMERCIAL SOLIS</t>
        </is>
      </c>
      <c r="D125" s="99" t="inlineStr">
        <is>
          <t>001 500 000084026</t>
        </is>
      </c>
      <c r="E125" s="99" t="n">
        <v>112580058</v>
      </c>
      <c r="F125" s="113">
        <f>VLOOKUP(E125,PROD,2,FALSE)</f>
        <v/>
      </c>
      <c r="G125" s="99" t="inlineStr">
        <is>
          <t>ZP257701327</t>
        </is>
      </c>
      <c r="H125" s="99" t="inlineStr">
        <is>
          <t>SAP</t>
        </is>
      </c>
      <c r="I125" s="99" t="inlineStr">
        <is>
          <t>CAPELO</t>
        </is>
      </c>
      <c r="J125" s="99" t="inlineStr">
        <is>
          <t>CUENCA</t>
        </is>
      </c>
      <c r="K125" s="100" t="n">
        <v>46161</v>
      </c>
      <c r="L125" s="99" t="inlineStr">
        <is>
          <t>FERNANDO QUIROGA</t>
        </is>
      </c>
      <c r="M125" s="99" t="inlineStr">
        <is>
          <t>VIA SAN MIGUEL RICAURTE</t>
        </is>
      </c>
      <c r="N125" s="99" t="inlineStr">
        <is>
          <t>+593 96 745 5610</t>
        </is>
      </c>
      <c r="O125" s="185" t="n">
        <v>20</v>
      </c>
      <c r="P125" s="99" t="inlineStr">
        <is>
          <t>CLIENTE FINAL</t>
        </is>
      </c>
      <c r="Q125" s="99" t="inlineStr">
        <is>
          <t>CAPELO</t>
        </is>
      </c>
      <c r="S125" s="99" t="inlineStr">
        <is>
          <t>001 500 000084026</t>
        </is>
      </c>
      <c r="T125" s="101" t="n">
        <v>103636924</v>
      </c>
      <c r="U125" s="181" t="inlineStr">
        <is>
          <t>catinautas@gmail.com</t>
        </is>
      </c>
    </row>
    <row r="126"/>
    <row r="127"/>
    <row r="128">
      <c r="O128" s="107">
        <f>SUM(O6:O127)</f>
        <v/>
      </c>
    </row>
    <row r="129" ht="19" customHeight="1">
      <c r="H129" s="94" t="n"/>
      <c r="I129" s="94" t="inlineStr">
        <is>
          <t xml:space="preserve">PROD </t>
        </is>
      </c>
      <c r="J129" s="94" t="n">
        <v>15</v>
      </c>
      <c r="K129" s="94">
        <f>H129*J129</f>
        <v/>
      </c>
    </row>
    <row r="130" ht="19" customHeight="1">
      <c r="H130" s="94" t="n"/>
      <c r="I130" s="94" t="inlineStr">
        <is>
          <t xml:space="preserve">PROD </t>
        </is>
      </c>
      <c r="J130" s="94" t="n">
        <v>20</v>
      </c>
      <c r="K130" s="94">
        <f>H130*J130</f>
        <v/>
      </c>
    </row>
    <row r="131" ht="19" customHeight="1">
      <c r="H131" s="94" t="n"/>
      <c r="I131" s="94" t="inlineStr">
        <is>
          <t>ISLA</t>
        </is>
      </c>
      <c r="J131" s="94" t="n">
        <v>30</v>
      </c>
      <c r="K131" s="94">
        <f>H131*J131</f>
        <v/>
      </c>
    </row>
    <row r="132"/>
    <row r="133" ht="19" customHeight="1">
      <c r="H133">
        <f>SUM(H129:H131)</f>
        <v/>
      </c>
      <c r="K133" s="121">
        <f>SUM(K129:K132)</f>
        <v/>
      </c>
    </row>
  </sheetData>
  <hyperlinks>
    <hyperlink xmlns:r="http://schemas.openxmlformats.org/officeDocument/2006/relationships" ref="U6" display="mailto:janetbustos38@hotmail.com" r:id="rId1"/>
    <hyperlink xmlns:r="http://schemas.openxmlformats.org/officeDocument/2006/relationships" ref="U7" display="mailto:janetbustos38@hotmail.com" r:id="rId2"/>
    <hyperlink xmlns:r="http://schemas.openxmlformats.org/officeDocument/2006/relationships" ref="U8" display="mailto:janetbustos38@hotmail.com" r:id="rId3"/>
    <hyperlink xmlns:r="http://schemas.openxmlformats.org/officeDocument/2006/relationships" ref="U9" display="mailto:yooisorellana18@gail.com" r:id="rId4"/>
    <hyperlink xmlns:r="http://schemas.openxmlformats.org/officeDocument/2006/relationships" ref="U10" display="mailto:yooisorellana18@gail.com" r:id="rId5"/>
    <hyperlink xmlns:r="http://schemas.openxmlformats.org/officeDocument/2006/relationships" ref="U11" display="mailto:ginoespinoza1a@gmail.com" r:id="rId6"/>
    <hyperlink xmlns:r="http://schemas.openxmlformats.org/officeDocument/2006/relationships" ref="U12" display="mailto:ginoespinoza1a@gmail.com" r:id="rId7"/>
    <hyperlink xmlns:r="http://schemas.openxmlformats.org/officeDocument/2006/relationships" ref="U13" display="mailto:ginoespinoza1a@gmail.com" r:id="rId8"/>
    <hyperlink xmlns:r="http://schemas.openxmlformats.org/officeDocument/2006/relationships" ref="U14" display="mailto:ginoespinoza1a@gmail.com" r:id="rId9"/>
    <hyperlink xmlns:r="http://schemas.openxmlformats.org/officeDocument/2006/relationships" ref="U15" display="mailto:marfer763@hotmail.com" r:id="rId10"/>
    <hyperlink xmlns:r="http://schemas.openxmlformats.org/officeDocument/2006/relationships" ref="U16" display="mailto:marfer763@hotmail.com" r:id="rId11"/>
    <hyperlink xmlns:r="http://schemas.openxmlformats.org/officeDocument/2006/relationships" ref="U17" display="mailto:marfer763@hotmail.com" r:id="rId12"/>
    <hyperlink xmlns:r="http://schemas.openxmlformats.org/officeDocument/2006/relationships" ref="U18" display="mailto:laveroparedes@lafabril.com.ec" r:id="rId13"/>
    <hyperlink xmlns:r="http://schemas.openxmlformats.org/officeDocument/2006/relationships" ref="U19" display="mailto:laveroparedes@lafabril.com.ec" r:id="rId14"/>
    <hyperlink xmlns:r="http://schemas.openxmlformats.org/officeDocument/2006/relationships" ref="U20" display="mailto:ceciliabogaard@gmail.com" r:id="rId15"/>
    <hyperlink xmlns:r="http://schemas.openxmlformats.org/officeDocument/2006/relationships" ref="U21" display="mailto:ceciliabogaard@gmail.com" r:id="rId16"/>
    <hyperlink xmlns:r="http://schemas.openxmlformats.org/officeDocument/2006/relationships" ref="U22" display="mailto:fmunozgn@hotmail.com" r:id="rId17"/>
    <hyperlink xmlns:r="http://schemas.openxmlformats.org/officeDocument/2006/relationships" ref="U23" display="mailto:fmunozgn@hotmail.com" r:id="rId18"/>
    <hyperlink xmlns:r="http://schemas.openxmlformats.org/officeDocument/2006/relationships" ref="U24" display="mailto:fmunozgn@hotmail.com" r:id="rId19"/>
    <hyperlink xmlns:r="http://schemas.openxmlformats.org/officeDocument/2006/relationships" ref="U25" display="mailto:fmunozgn@hotmail.com" r:id="rId20"/>
    <hyperlink xmlns:r="http://schemas.openxmlformats.org/officeDocument/2006/relationships" ref="U26" display="mailto:fmunozgn@hotmail.com" r:id="rId21"/>
    <hyperlink xmlns:r="http://schemas.openxmlformats.org/officeDocument/2006/relationships" ref="U27" display="mailto:freddychicacue@hotmail.com" r:id="rId22"/>
    <hyperlink xmlns:r="http://schemas.openxmlformats.org/officeDocument/2006/relationships" ref="U28" display="mailto:freddychicacue@hotmail.com" r:id="rId23"/>
    <hyperlink xmlns:r="http://schemas.openxmlformats.org/officeDocument/2006/relationships" ref="U29" display="mailto:jcaceres69@live.com" r:id="rId24"/>
    <hyperlink xmlns:r="http://schemas.openxmlformats.org/officeDocument/2006/relationships" ref="U30" display="mailto:jcaceres69@live.com" r:id="rId25"/>
    <hyperlink xmlns:r="http://schemas.openxmlformats.org/officeDocument/2006/relationships" ref="U31" display="mailto:gparedescoello@gmail.com" r:id="rId26"/>
    <hyperlink xmlns:r="http://schemas.openxmlformats.org/officeDocument/2006/relationships" ref="U32" display="mailto:gparedescoello@gmail.com" r:id="rId27"/>
    <hyperlink xmlns:r="http://schemas.openxmlformats.org/officeDocument/2006/relationships" ref="U33" display="mailto:gparedescoello@gmail.com" r:id="rId28"/>
    <hyperlink xmlns:r="http://schemas.openxmlformats.org/officeDocument/2006/relationships" ref="U34" display="mailto:gparedescoello@gmail.com" r:id="rId29"/>
    <hyperlink xmlns:r="http://schemas.openxmlformats.org/officeDocument/2006/relationships" ref="U35" display="mailto:gparedescoello@gmail.com" r:id="rId30"/>
    <hyperlink xmlns:r="http://schemas.openxmlformats.org/officeDocument/2006/relationships" ref="U36" display="mailto:gparedescoello@gmail.com" r:id="rId31"/>
    <hyperlink xmlns:r="http://schemas.openxmlformats.org/officeDocument/2006/relationships" ref="U37" display="mailto:gparedescoello@gmail.com" r:id="rId32"/>
    <hyperlink xmlns:r="http://schemas.openxmlformats.org/officeDocument/2006/relationships" ref="U38" display="mailto:gparedescoello@gmail.com" r:id="rId33"/>
    <hyperlink xmlns:r="http://schemas.openxmlformats.org/officeDocument/2006/relationships" ref="U39" display="mailto:gparedescoello@gmail.com" r:id="rId34"/>
    <hyperlink xmlns:r="http://schemas.openxmlformats.org/officeDocument/2006/relationships" ref="U40" display="mailto:corderojenny7@hotmail.com" r:id="rId35"/>
    <hyperlink xmlns:r="http://schemas.openxmlformats.org/officeDocument/2006/relationships" ref="U41" display="mailto:corderojenny7@hotmail.com" r:id="rId36"/>
    <hyperlink xmlns:r="http://schemas.openxmlformats.org/officeDocument/2006/relationships" ref="U42" display="mailto:corderojenny7@hotmail.com" r:id="rId37"/>
    <hyperlink xmlns:r="http://schemas.openxmlformats.org/officeDocument/2006/relationships" ref="U43" display="mailto:vidal.dp@gmail.com" r:id="rId38"/>
    <hyperlink xmlns:r="http://schemas.openxmlformats.org/officeDocument/2006/relationships" ref="U44" display="mailto:vidal.dp@gmail.com" r:id="rId39"/>
    <hyperlink xmlns:r="http://schemas.openxmlformats.org/officeDocument/2006/relationships" ref="U45" display="mailto:vidal.dp@gmail.com" r:id="rId40"/>
    <hyperlink xmlns:r="http://schemas.openxmlformats.org/officeDocument/2006/relationships" ref="U46" display="mailto:vidal.dp@gmail.com" r:id="rId41"/>
    <hyperlink xmlns:r="http://schemas.openxmlformats.org/officeDocument/2006/relationships" ref="U47" display="mailto:vidal.dp@gmail.com" r:id="rId42"/>
    <hyperlink xmlns:r="http://schemas.openxmlformats.org/officeDocument/2006/relationships" ref="U48" display="mailto:patricioq@yahoo.es" r:id="rId43"/>
    <hyperlink xmlns:r="http://schemas.openxmlformats.org/officeDocument/2006/relationships" ref="U49" display="mailto:patricioq@yahoo.es" r:id="rId44"/>
    <hyperlink xmlns:r="http://schemas.openxmlformats.org/officeDocument/2006/relationships" ref="U50" display="http://andradetl2yahoo.com/" r:id="rId45"/>
    <hyperlink xmlns:r="http://schemas.openxmlformats.org/officeDocument/2006/relationships" ref="U51" display="http://andradetl2yahoo.com/" r:id="rId46"/>
    <hyperlink xmlns:r="http://schemas.openxmlformats.org/officeDocument/2006/relationships" ref="U52" display="mailto:stefano-lb2011@hotmail.com" r:id="rId47"/>
    <hyperlink xmlns:r="http://schemas.openxmlformats.org/officeDocument/2006/relationships" ref="U53" display="mailto:stefano-lb2011@hotmail.com" r:id="rId48"/>
    <hyperlink xmlns:r="http://schemas.openxmlformats.org/officeDocument/2006/relationships" ref="U54" display="mailto:stefano-lb2011@hotmail.com" r:id="rId49"/>
    <hyperlink xmlns:r="http://schemas.openxmlformats.org/officeDocument/2006/relationships" ref="U55" display="mailto:stefano-lb2011@hotmail.com" r:id="rId50"/>
    <hyperlink xmlns:r="http://schemas.openxmlformats.org/officeDocument/2006/relationships" ref="U56" display="mailto:andreitamp89@gmail.com" r:id="rId51"/>
    <hyperlink xmlns:r="http://schemas.openxmlformats.org/officeDocument/2006/relationships" ref="U57" display="mailto:andreitamp89@gmail.com" r:id="rId52"/>
    <hyperlink xmlns:r="http://schemas.openxmlformats.org/officeDocument/2006/relationships" ref="U58" display="mailto:saidamev1956@gmail.com" r:id="rId53"/>
    <hyperlink xmlns:r="http://schemas.openxmlformats.org/officeDocument/2006/relationships" ref="U59" display="mailto:saidamev1956@gmail.com" r:id="rId54"/>
    <hyperlink xmlns:r="http://schemas.openxmlformats.org/officeDocument/2006/relationships" ref="U60" display="mailto:saidamev1956@gmail.com" r:id="rId55"/>
    <hyperlink xmlns:r="http://schemas.openxmlformats.org/officeDocument/2006/relationships" ref="U61" display="mailto:saidamev1956@gmail.com" r:id="rId56"/>
    <hyperlink xmlns:r="http://schemas.openxmlformats.org/officeDocument/2006/relationships" ref="U62" display="mailto:saidamev1956@gmail.com" r:id="rId57"/>
    <hyperlink xmlns:r="http://schemas.openxmlformats.org/officeDocument/2006/relationships" ref="U63" display="mailto:saidamev1956@gmail.com" r:id="rId58"/>
    <hyperlink xmlns:r="http://schemas.openxmlformats.org/officeDocument/2006/relationships" ref="U64" display="mailto:saidamev1956@gmail.com" r:id="rId59"/>
    <hyperlink xmlns:r="http://schemas.openxmlformats.org/officeDocument/2006/relationships" ref="U65" display="mailto:ac_estudio@outlook.es" r:id="rId60"/>
    <hyperlink xmlns:r="http://schemas.openxmlformats.org/officeDocument/2006/relationships" ref="U66" display="mailto:ac_estudio@outlook.es" r:id="rId61"/>
    <hyperlink xmlns:r="http://schemas.openxmlformats.org/officeDocument/2006/relationships" ref="U67" display="mailto:ac_estudio@outlook.es" r:id="rId62"/>
    <hyperlink xmlns:r="http://schemas.openxmlformats.org/officeDocument/2006/relationships" ref="U68" display="mailto:lorecazorla77@gmail.com" r:id="rId63"/>
    <hyperlink xmlns:r="http://schemas.openxmlformats.org/officeDocument/2006/relationships" ref="U69" display="mailto:lorecazorla77@gmail.com" r:id="rId64"/>
    <hyperlink xmlns:r="http://schemas.openxmlformats.org/officeDocument/2006/relationships" ref="U70" display="mailto:lorecazorla77@gmail.com" r:id="rId65"/>
    <hyperlink xmlns:r="http://schemas.openxmlformats.org/officeDocument/2006/relationships" ref="U71" display="mailto:lorecazorla77@gmail.com" r:id="rId66"/>
    <hyperlink xmlns:r="http://schemas.openxmlformats.org/officeDocument/2006/relationships" ref="U72" display="mailto:lorecazorla77@gmail.com" r:id="rId67"/>
    <hyperlink xmlns:r="http://schemas.openxmlformats.org/officeDocument/2006/relationships" ref="U73" display="mailto:svazquez1402@hotmail.com" r:id="rId68"/>
    <hyperlink xmlns:r="http://schemas.openxmlformats.org/officeDocument/2006/relationships" ref="U74" display="mailto:svazquez1402@hotmail.com" r:id="rId69"/>
    <hyperlink xmlns:r="http://schemas.openxmlformats.org/officeDocument/2006/relationships" ref="U75" display="mailto:svazquez1402@hotmail.com" r:id="rId70"/>
    <hyperlink xmlns:r="http://schemas.openxmlformats.org/officeDocument/2006/relationships" ref="U76" display="mailto:marthypz@yahoo.com" r:id="rId71"/>
    <hyperlink xmlns:r="http://schemas.openxmlformats.org/officeDocument/2006/relationships" ref="U77" display="mailto:marthypz@yahoo.com" r:id="rId72"/>
    <hyperlink xmlns:r="http://schemas.openxmlformats.org/officeDocument/2006/relationships" ref="U78" display="mailto:marthypz@yahoo.com" r:id="rId73"/>
    <hyperlink xmlns:r="http://schemas.openxmlformats.org/officeDocument/2006/relationships" ref="U79" display="mailto:sacmicas@gmail.com" r:id="rId74"/>
    <hyperlink xmlns:r="http://schemas.openxmlformats.org/officeDocument/2006/relationships" ref="U80" display="mailto:sacmicas@gmail.com" r:id="rId75"/>
    <hyperlink xmlns:r="http://schemas.openxmlformats.org/officeDocument/2006/relationships" ref="U81" display="mailto:sacmicas@gmail.com" r:id="rId76"/>
    <hyperlink xmlns:r="http://schemas.openxmlformats.org/officeDocument/2006/relationships" ref="U82" display="mailto:sacmicas@gmail.com" r:id="rId77"/>
    <hyperlink xmlns:r="http://schemas.openxmlformats.org/officeDocument/2006/relationships" ref="U83" display="mailto:janeth.moralesa@gmail.com" r:id="rId78"/>
    <hyperlink xmlns:r="http://schemas.openxmlformats.org/officeDocument/2006/relationships" ref="U84" display="mailto:janeth.moralesa@gmail.com" r:id="rId79"/>
    <hyperlink xmlns:r="http://schemas.openxmlformats.org/officeDocument/2006/relationships" ref="U85" display="mailto:janeth.moralesa@gmail.com" r:id="rId80"/>
    <hyperlink xmlns:r="http://schemas.openxmlformats.org/officeDocument/2006/relationships" ref="U86" display="mailto:philip14594@gmail.com" r:id="rId81"/>
    <hyperlink xmlns:r="http://schemas.openxmlformats.org/officeDocument/2006/relationships" ref="U87" display="mailto:philip14594@gmail.com" r:id="rId82"/>
    <hyperlink xmlns:r="http://schemas.openxmlformats.org/officeDocument/2006/relationships" ref="U88" display="mailto:philip14594@gmail.com" r:id="rId83"/>
    <hyperlink xmlns:r="http://schemas.openxmlformats.org/officeDocument/2006/relationships" ref="U89" display="mailto:philip14594@gmail.com" r:id="rId84"/>
    <hyperlink xmlns:r="http://schemas.openxmlformats.org/officeDocument/2006/relationships" ref="U90" display="mailto:lorenaquille27@gmail.com" r:id="rId85"/>
    <hyperlink xmlns:r="http://schemas.openxmlformats.org/officeDocument/2006/relationships" ref="U91" display="mailto:lorenaquille27@gmail.com" r:id="rId86"/>
    <hyperlink xmlns:r="http://schemas.openxmlformats.org/officeDocument/2006/relationships" ref="U92" display="mailto:juanreynov94@gmail.com" r:id="rId87"/>
    <hyperlink xmlns:r="http://schemas.openxmlformats.org/officeDocument/2006/relationships" ref="U93" display="mailto:juanreynov94@gmail.com" r:id="rId88"/>
    <hyperlink xmlns:r="http://schemas.openxmlformats.org/officeDocument/2006/relationships" ref="U94" display="mailto:pichyreinoso@hotmail.com" r:id="rId89"/>
    <hyperlink xmlns:r="http://schemas.openxmlformats.org/officeDocument/2006/relationships" ref="U95" display="mailto:pichyreinoso@hotmail.com" r:id="rId90"/>
    <hyperlink xmlns:r="http://schemas.openxmlformats.org/officeDocument/2006/relationships" ref="U96" display="mailto:pichyreinoso@hotmail.com" r:id="rId91"/>
    <hyperlink xmlns:r="http://schemas.openxmlformats.org/officeDocument/2006/relationships" ref="U97" display="mailto:deysicahe@hotmail.com" r:id="rId92"/>
    <hyperlink xmlns:r="http://schemas.openxmlformats.org/officeDocument/2006/relationships" ref="U98" display="mailto:deysicahe@hotmail.com" r:id="rId93"/>
    <hyperlink xmlns:r="http://schemas.openxmlformats.org/officeDocument/2006/relationships" ref="U99" display="mailto:s.lara.quinteros@gmail.com" r:id="rId94"/>
    <hyperlink xmlns:r="http://schemas.openxmlformats.org/officeDocument/2006/relationships" ref="U100" display="mailto:s.lara.quinteros@gmail.com" r:id="rId95"/>
    <hyperlink xmlns:r="http://schemas.openxmlformats.org/officeDocument/2006/relationships" ref="U101" display="mailto:janelita_28@hotmail.com" r:id="rId96"/>
    <hyperlink xmlns:r="http://schemas.openxmlformats.org/officeDocument/2006/relationships" ref="U102" display="mailto:janelita_28@hotmail.com" r:id="rId97"/>
    <hyperlink xmlns:r="http://schemas.openxmlformats.org/officeDocument/2006/relationships" ref="U103" display="mailto:anaisgonzalezc@hotmail.com" r:id="rId98"/>
    <hyperlink xmlns:r="http://schemas.openxmlformats.org/officeDocument/2006/relationships" ref="U104" display="mailto:anaisgonzalezc@hotmail.com" r:id="rId99"/>
    <hyperlink xmlns:r="http://schemas.openxmlformats.org/officeDocument/2006/relationships" ref="U105" display="mailto:anaisgonzalezc@hotmail.com" r:id="rId100"/>
    <hyperlink xmlns:r="http://schemas.openxmlformats.org/officeDocument/2006/relationships" ref="U106" display="mailto:anaisgonzalezc@hotmail.com" r:id="rId101"/>
    <hyperlink xmlns:r="http://schemas.openxmlformats.org/officeDocument/2006/relationships" ref="U107" display="mailto:sebastianrojasagu@gmail.com" r:id="rId102"/>
    <hyperlink xmlns:r="http://schemas.openxmlformats.org/officeDocument/2006/relationships" ref="U108" display="mailto:sebastianrojasagu@gmail.com" r:id="rId103"/>
    <hyperlink xmlns:r="http://schemas.openxmlformats.org/officeDocument/2006/relationships" ref="U109" display="mailto:davidtwo993@gmail.com" r:id="rId104"/>
    <hyperlink xmlns:r="http://schemas.openxmlformats.org/officeDocument/2006/relationships" ref="U110" display="mailto:davidtwo993@gmail.com" r:id="rId105"/>
    <hyperlink xmlns:r="http://schemas.openxmlformats.org/officeDocument/2006/relationships" ref="U111" display="mailto:danielazhagui1020@gmail.com" r:id="rId106"/>
    <hyperlink xmlns:r="http://schemas.openxmlformats.org/officeDocument/2006/relationships" ref="U112" display="mailto:danielazhagui1020@gmail.com" r:id="rId107"/>
    <hyperlink xmlns:r="http://schemas.openxmlformats.org/officeDocument/2006/relationships" ref="U113" display="mailto:danielazhagui1020@gmail.com" r:id="rId108"/>
    <hyperlink xmlns:r="http://schemas.openxmlformats.org/officeDocument/2006/relationships" ref="U114" display="mailto:comprasinghu@gmail.com" r:id="rId109"/>
    <hyperlink xmlns:r="http://schemas.openxmlformats.org/officeDocument/2006/relationships" ref="U115" display="mailto:comprasinghu@gmail.com" r:id="rId110"/>
    <hyperlink xmlns:r="http://schemas.openxmlformats.org/officeDocument/2006/relationships" ref="U116" display="mailto:comprasinghu@gmail.com" r:id="rId111"/>
    <hyperlink xmlns:r="http://schemas.openxmlformats.org/officeDocument/2006/relationships" ref="U117" display="mailto:comprasinghu@gmail.com" r:id="rId112"/>
    <hyperlink xmlns:r="http://schemas.openxmlformats.org/officeDocument/2006/relationships" ref="U118" display="mailto:gabrielamolinam@hotmail.com" r:id="rId113"/>
    <hyperlink xmlns:r="http://schemas.openxmlformats.org/officeDocument/2006/relationships" ref="U119" display="mailto:gabrielamolinam@hotmail.com" r:id="rId114"/>
    <hyperlink xmlns:r="http://schemas.openxmlformats.org/officeDocument/2006/relationships" ref="U120" display="mailto:gabrielamolinam@hotmail.com" r:id="rId115"/>
    <hyperlink xmlns:r="http://schemas.openxmlformats.org/officeDocument/2006/relationships" ref="U121" display="mailto:juanjosemaloa@gmail.com" r:id="rId116"/>
    <hyperlink xmlns:r="http://schemas.openxmlformats.org/officeDocument/2006/relationships" ref="U122" display="mailto:juanjosemaloa@gmail.com" r:id="rId117"/>
    <hyperlink xmlns:r="http://schemas.openxmlformats.org/officeDocument/2006/relationships" ref="U123" display="mailto:juanjosemaloa@gmail.com" r:id="rId118"/>
    <hyperlink xmlns:r="http://schemas.openxmlformats.org/officeDocument/2006/relationships" ref="U124" display="mailto:catinautas@gmail.com" r:id="rId119"/>
    <hyperlink xmlns:r="http://schemas.openxmlformats.org/officeDocument/2006/relationships" ref="U125" display="mailto:catinautas@gmail.com" r:id="rId12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19"/>
  <sheetViews>
    <sheetView topLeftCell="A3" zoomScale="120" zoomScaleNormal="120" workbookViewId="0">
      <selection activeCell="O34" sqref="O34"/>
    </sheetView>
  </sheetViews>
  <sheetFormatPr baseColWidth="10" defaultRowHeight="15"/>
  <cols>
    <col width="4.5" customWidth="1" min="1" max="1"/>
    <col width="11" customWidth="1" min="2" max="2"/>
    <col width="19" customWidth="1" min="3" max="3"/>
    <col width="20.1640625" customWidth="1" min="4" max="4"/>
    <col width="12.83203125" customWidth="1" min="5" max="5"/>
    <col width="38.1640625" customWidth="1" min="6" max="6"/>
    <col width="14.33203125" customWidth="1" min="7" max="7"/>
    <col width="9.6640625" customWidth="1" min="8" max="8"/>
    <col width="8.6640625" customWidth="1" min="9" max="9"/>
    <col width="9.5" customWidth="1" min="10" max="10"/>
    <col width="12" customWidth="1" min="11" max="11"/>
    <col width="23" customWidth="1" min="12" max="12"/>
    <col width="27.33203125" customWidth="1" min="13" max="13"/>
    <col width="17.1640625" customWidth="1" min="14" max="14"/>
    <col width="11.83203125" customWidth="1" style="119" min="15" max="15"/>
    <col width="20.1640625" customWidth="1" min="16" max="16"/>
    <col width="12.33203125" customWidth="1" min="17" max="17"/>
    <col width="6.1640625" customWidth="1" min="18" max="18"/>
    <col width="19.83203125" customWidth="1" min="19" max="19"/>
    <col width="18.5" customWidth="1" min="20" max="20"/>
    <col width="37.83203125" customWidth="1" min="21" max="21"/>
  </cols>
  <sheetData>
    <row r="2" ht="18" customHeight="1">
      <c r="C2" s="44" t="n"/>
      <c r="D2" s="44" t="n"/>
      <c r="E2" s="44" t="n"/>
      <c r="F2" s="44" t="n"/>
      <c r="G2" s="44" t="n"/>
      <c r="H2" s="44" t="n"/>
      <c r="I2" s="44" t="n"/>
      <c r="J2" s="44" t="n"/>
      <c r="K2" s="44" t="n"/>
      <c r="L2" s="44" t="n"/>
      <c r="M2" s="44" t="n"/>
      <c r="N2" s="44" t="n"/>
      <c r="O2" s="116" t="n"/>
      <c r="P2" s="44" t="n"/>
      <c r="Q2" s="44" t="n"/>
      <c r="R2" s="44" t="n"/>
      <c r="S2" s="44" t="n"/>
      <c r="T2" s="44" t="n"/>
    </row>
    <row r="3" ht="18" customHeight="1">
      <c r="A3" s="65" t="n"/>
      <c r="B3" s="66" t="n"/>
      <c r="C3" s="67" t="inlineStr">
        <is>
          <t xml:space="preserve">     TEKA ECUADOR S.A. </t>
        </is>
      </c>
      <c r="D3" s="68" t="n"/>
      <c r="E3" s="69" t="n"/>
      <c r="F3" s="68" t="n"/>
      <c r="G3" s="70" t="n"/>
      <c r="H3" s="68" t="n"/>
      <c r="I3" s="68" t="n"/>
      <c r="J3" s="68" t="n"/>
      <c r="K3" s="71" t="n"/>
      <c r="L3" s="71" t="n"/>
      <c r="M3" s="68" t="n"/>
      <c r="N3" s="68" t="n"/>
      <c r="O3" s="117" t="n"/>
      <c r="P3" s="68" t="n"/>
      <c r="Q3" s="68" t="n"/>
      <c r="R3" s="68" t="n"/>
      <c r="S3" s="68" t="n"/>
      <c r="T3" s="68" t="n"/>
      <c r="U3" s="72" t="n"/>
    </row>
    <row r="4" ht="16" customHeight="1">
      <c r="A4" s="65" t="n"/>
      <c r="B4" s="66" t="n"/>
      <c r="C4" s="73" t="inlineStr">
        <is>
          <t xml:space="preserve">    Registro Único de Contribuyente: 1791883144001</t>
        </is>
      </c>
      <c r="D4" s="68" t="n"/>
      <c r="E4" s="68" t="n"/>
      <c r="F4" s="68" t="n"/>
      <c r="G4" s="70" t="n"/>
      <c r="H4" s="68" t="n"/>
      <c r="I4" s="68" t="inlineStr">
        <is>
          <t>BBQ</t>
        </is>
      </c>
      <c r="J4" s="68" t="n"/>
      <c r="K4" s="71" t="n"/>
      <c r="L4" s="71" t="n"/>
      <c r="M4" s="68" t="inlineStr">
        <is>
          <t>CAPELO MAYO 2026</t>
        </is>
      </c>
      <c r="N4" s="68" t="n"/>
      <c r="O4" s="117" t="n"/>
      <c r="P4" s="68" t="n"/>
      <c r="Q4" s="74" t="n"/>
      <c r="R4" s="68" t="n"/>
      <c r="S4" s="68" t="n"/>
      <c r="T4" s="75" t="n"/>
      <c r="U4" s="76" t="n">
        <v>46054</v>
      </c>
    </row>
    <row r="5" ht="53" customFormat="1" customHeight="1" s="1">
      <c r="A5" s="77" t="n"/>
      <c r="B5" s="78" t="inlineStr">
        <is>
          <t xml:space="preserve">FECHA DE COMPRA </t>
        </is>
      </c>
      <c r="C5" s="78" t="inlineStr">
        <is>
          <t xml:space="preserve">LUGAR DE COMRPA </t>
        </is>
      </c>
      <c r="D5" s="78" t="inlineStr">
        <is>
          <t>NUMERO DE FACTURA DE COMPRA</t>
        </is>
      </c>
      <c r="E5" s="78" t="inlineStr">
        <is>
          <t xml:space="preserve">CODIGO DEL PRODUCTO </t>
        </is>
      </c>
      <c r="F5" s="78" t="inlineStr">
        <is>
          <t xml:space="preserve">DESCRIPCION DE PRODUCTO </t>
        </is>
      </c>
      <c r="G5" s="78" t="inlineStr">
        <is>
          <t xml:space="preserve">SERIE DEL EQUIPO </t>
        </is>
      </c>
      <c r="H5" s="78" t="inlineStr">
        <is>
          <t>GARANTIA DEL EQUIPO</t>
        </is>
      </c>
      <c r="I5" s="78" t="inlineStr">
        <is>
          <t xml:space="preserve">TECNICO </t>
        </is>
      </c>
      <c r="J5" s="78" t="inlineStr">
        <is>
          <t xml:space="preserve">CIUDAD </t>
        </is>
      </c>
      <c r="K5" s="79" t="inlineStr">
        <is>
          <t xml:space="preserve">FECHA INSTALACION </t>
        </is>
      </c>
      <c r="L5" s="79" t="inlineStr">
        <is>
          <t>NOMBRE DEL CLIENTE</t>
        </is>
      </c>
      <c r="M5" s="79" t="inlineStr">
        <is>
          <t xml:space="preserve">DIRECCION INSTALACION </t>
        </is>
      </c>
      <c r="N5" s="79" t="inlineStr">
        <is>
          <t>CELULAR DEL CLIENTE</t>
        </is>
      </c>
      <c r="O5" s="118" t="inlineStr">
        <is>
          <t>PRECIO</t>
        </is>
      </c>
      <c r="P5" s="79" t="inlineStr">
        <is>
          <t xml:space="preserve">COMO LLEGO INFORMACION </t>
        </is>
      </c>
      <c r="Q5" s="79" t="inlineStr">
        <is>
          <t>TECNICO QUE ATENDIO</t>
        </is>
      </c>
      <c r="R5" s="80" t="inlineStr">
        <is>
          <t>VIATICOS</t>
        </is>
      </c>
      <c r="S5" s="80" t="inlineStr">
        <is>
          <t>FACTURA NUMERO</t>
        </is>
      </c>
      <c r="T5" s="81" t="inlineStr">
        <is>
          <t>CEDULA O RUC</t>
        </is>
      </c>
      <c r="U5" s="79" t="inlineStr">
        <is>
          <t>CORREO DEL CLIENTE</t>
        </is>
      </c>
    </row>
    <row r="6" ht="19" customFormat="1" customHeight="1" s="102">
      <c r="A6" s="128" t="n">
        <v>1</v>
      </c>
      <c r="B6" s="129" t="n">
        <v>46130</v>
      </c>
      <c r="C6" s="130" t="inlineStr">
        <is>
          <t>COMERCIAL KYWI</t>
        </is>
      </c>
      <c r="D6" s="130" t="inlineStr">
        <is>
          <t>043 906 000062800</t>
        </is>
      </c>
      <c r="E6" s="130" t="n">
        <v>111570002</v>
      </c>
      <c r="F6" s="131">
        <f>VLOOKUP(E6,PROD,2,FALSE)</f>
        <v/>
      </c>
      <c r="G6" s="130" t="inlineStr">
        <is>
          <t>CO256E00888</t>
        </is>
      </c>
      <c r="H6" s="130" t="inlineStr">
        <is>
          <t>SAP</t>
        </is>
      </c>
      <c r="I6" s="130" t="inlineStr">
        <is>
          <t>CAPELO</t>
        </is>
      </c>
      <c r="J6" s="130" t="inlineStr">
        <is>
          <t>CUENCA</t>
        </is>
      </c>
      <c r="K6" s="129" t="n">
        <v>46136</v>
      </c>
      <c r="L6" s="130" t="inlineStr">
        <is>
          <t>GEORGIO MAYURI</t>
        </is>
      </c>
      <c r="M6" s="130" t="inlineStr">
        <is>
          <t>AV SOLANO 11 67 TORRE 2 AP 4C</t>
        </is>
      </c>
      <c r="N6" s="130" t="inlineStr">
        <is>
          <t>+593 98 665 6659</t>
        </is>
      </c>
      <c r="O6" s="186" t="n">
        <v>29</v>
      </c>
      <c r="P6" s="130" t="inlineStr">
        <is>
          <t>CLIENTE FINAL</t>
        </is>
      </c>
      <c r="Q6" s="130" t="inlineStr">
        <is>
          <t>CAPELO</t>
        </is>
      </c>
      <c r="R6" s="120" t="n"/>
      <c r="S6" s="130" t="inlineStr">
        <is>
          <t>043 906 000062800</t>
        </is>
      </c>
      <c r="T6" s="130" t="n">
        <v>120589265</v>
      </c>
      <c r="U6" s="184" t="inlineStr">
        <is>
          <t>mayurigiorgio@gmail.com</t>
        </is>
      </c>
    </row>
    <row r="7" ht="19" customFormat="1" customHeight="1" s="102">
      <c r="A7" s="128" t="n">
        <v>2</v>
      </c>
      <c r="B7" s="129" t="n">
        <v>46130</v>
      </c>
      <c r="C7" s="130" t="inlineStr">
        <is>
          <t>COMERCIAL SOLIS</t>
        </is>
      </c>
      <c r="D7" s="130" t="inlineStr">
        <is>
          <t>001 501 000000831</t>
        </is>
      </c>
      <c r="E7" s="130" t="n">
        <v>111570002</v>
      </c>
      <c r="F7" s="131">
        <f>VLOOKUP(E7,PROD,2,FALSE)</f>
        <v/>
      </c>
      <c r="G7" s="130" t="inlineStr">
        <is>
          <t>CO256E00599</t>
        </is>
      </c>
      <c r="H7" s="130" t="inlineStr">
        <is>
          <t>SAP</t>
        </is>
      </c>
      <c r="I7" s="130" t="inlineStr">
        <is>
          <t>CAPELO</t>
        </is>
      </c>
      <c r="J7" s="130" t="inlineStr">
        <is>
          <t>CUENCA</t>
        </is>
      </c>
      <c r="K7" s="129" t="n">
        <v>46139</v>
      </c>
      <c r="L7" s="130" t="inlineStr">
        <is>
          <t>GABRIELA GOMEZ</t>
        </is>
      </c>
      <c r="M7" s="130" t="inlineStr">
        <is>
          <t>SECTOR CIRCO SOCIAL</t>
        </is>
      </c>
      <c r="N7" s="130" t="inlineStr">
        <is>
          <t>+593 98 732 6532</t>
        </is>
      </c>
      <c r="O7" s="186" t="n">
        <v>29</v>
      </c>
      <c r="P7" s="130" t="inlineStr">
        <is>
          <t>CLIENTE FINAL</t>
        </is>
      </c>
      <c r="Q7" s="130" t="inlineStr">
        <is>
          <t>CAPELO</t>
        </is>
      </c>
      <c r="R7" s="120" t="n"/>
      <c r="S7" s="130" t="inlineStr">
        <is>
          <t>001 501 000000831</t>
        </is>
      </c>
      <c r="T7" s="130" t="n">
        <v>103920872</v>
      </c>
      <c r="U7" s="184" t="inlineStr">
        <is>
          <t>gabigu-87@hotmail.com</t>
        </is>
      </c>
    </row>
    <row r="8" ht="19" customFormat="1" customHeight="1" s="102">
      <c r="A8" s="128" t="n">
        <v>3</v>
      </c>
      <c r="B8" s="129" t="n">
        <v>46141</v>
      </c>
      <c r="C8" s="130" t="inlineStr">
        <is>
          <t>OTRO</t>
        </is>
      </c>
      <c r="D8" s="130" t="inlineStr">
        <is>
          <t>043 902 000086768</t>
        </is>
      </c>
      <c r="E8" s="130" t="n">
        <v>111570003</v>
      </c>
      <c r="F8" s="131">
        <f>VLOOKUP(E8,PROD,2,FALSE)</f>
        <v/>
      </c>
      <c r="G8" s="130" t="inlineStr">
        <is>
          <t>CO256E00299</t>
        </is>
      </c>
      <c r="H8" s="130" t="inlineStr">
        <is>
          <t>SAP</t>
        </is>
      </c>
      <c r="I8" s="130" t="inlineStr">
        <is>
          <t>CAPELO</t>
        </is>
      </c>
      <c r="J8" s="130" t="inlineStr">
        <is>
          <t>CUENCA</t>
        </is>
      </c>
      <c r="K8" s="129" t="n">
        <v>46146</v>
      </c>
      <c r="L8" s="130" t="inlineStr">
        <is>
          <t>EDWIN SEGARRA</t>
        </is>
      </c>
      <c r="M8" s="130" t="inlineStr">
        <is>
          <t>CAMINO AL TEJAR</t>
        </is>
      </c>
      <c r="N8" s="130" t="inlineStr">
        <is>
          <t>+593 96 831 4764</t>
        </is>
      </c>
      <c r="O8" s="186" t="n">
        <v>29</v>
      </c>
      <c r="P8" s="130" t="inlineStr">
        <is>
          <t>CLIENTE FINAL</t>
        </is>
      </c>
      <c r="Q8" s="130" t="inlineStr">
        <is>
          <t>CAPELO</t>
        </is>
      </c>
      <c r="R8" s="120" t="n"/>
      <c r="S8" s="130" t="inlineStr">
        <is>
          <t>043 902 000086768</t>
        </is>
      </c>
      <c r="T8" s="130" t="n">
        <v>101598472</v>
      </c>
      <c r="U8" s="184" t="inlineStr">
        <is>
          <t>esegarra61@yahoo.com</t>
        </is>
      </c>
    </row>
    <row r="9" ht="19" customFormat="1" customHeight="1" s="102">
      <c r="A9" s="128" t="n">
        <v>4</v>
      </c>
      <c r="B9" s="129" t="n">
        <v>46113</v>
      </c>
      <c r="C9" s="130" t="inlineStr">
        <is>
          <t>TEKA DIRECTO</t>
        </is>
      </c>
      <c r="D9" s="130" t="inlineStr">
        <is>
          <t>SAP</t>
        </is>
      </c>
      <c r="E9" s="130" t="n">
        <v>111570002</v>
      </c>
      <c r="F9" s="131">
        <f>VLOOKUP(E9,PROD,2,FALSE)</f>
        <v/>
      </c>
      <c r="G9" s="130" t="inlineStr">
        <is>
          <t>CO256E00680</t>
        </is>
      </c>
      <c r="H9" s="130" t="inlineStr">
        <is>
          <t>SAP</t>
        </is>
      </c>
      <c r="I9" s="130" t="inlineStr">
        <is>
          <t>CAPELO</t>
        </is>
      </c>
      <c r="J9" s="130" t="inlineStr">
        <is>
          <t>CUENCA</t>
        </is>
      </c>
      <c r="K9" s="129" t="n">
        <v>46148</v>
      </c>
      <c r="L9" s="130" t="inlineStr">
        <is>
          <t>COMERCIAL SOLIS</t>
        </is>
      </c>
      <c r="M9" s="130" t="inlineStr">
        <is>
          <t>LAMAR "</t>
        </is>
      </c>
      <c r="N9" s="130" t="n">
        <v>998464542</v>
      </c>
      <c r="O9" s="186" t="n">
        <v>29</v>
      </c>
      <c r="P9" s="130" t="inlineStr">
        <is>
          <t>CLIENTE FINAL</t>
        </is>
      </c>
      <c r="Q9" s="130" t="inlineStr">
        <is>
          <t>CAPELO</t>
        </is>
      </c>
      <c r="R9" s="120" t="n"/>
      <c r="S9" s="130" t="inlineStr">
        <is>
          <t>SAP</t>
        </is>
      </c>
      <c r="T9" s="130" t="n">
        <v>965521232</v>
      </c>
      <c r="U9" s="184" t="inlineStr">
        <is>
          <t>josesolisp@gmail.com</t>
        </is>
      </c>
    </row>
    <row r="10" ht="19" customFormat="1" customHeight="1" s="102">
      <c r="A10" s="128" t="n">
        <v>7</v>
      </c>
      <c r="B10" s="129" t="n">
        <v>46144</v>
      </c>
      <c r="C10" s="130" t="inlineStr">
        <is>
          <t>COMERCIAL KYWI</t>
        </is>
      </c>
      <c r="D10" s="130" t="inlineStr">
        <is>
          <t>043 902 000087587</t>
        </is>
      </c>
      <c r="E10" s="130" t="n">
        <v>111570003</v>
      </c>
      <c r="F10" s="131">
        <f>VLOOKUP(E10,PROD,2,FALSE)</f>
        <v/>
      </c>
      <c r="G10" s="130" t="inlineStr">
        <is>
          <t>CO256E00247</t>
        </is>
      </c>
      <c r="H10" s="130" t="inlineStr">
        <is>
          <t>SAP</t>
        </is>
      </c>
      <c r="I10" s="130" t="inlineStr">
        <is>
          <t>CAPELO</t>
        </is>
      </c>
      <c r="J10" s="130" t="inlineStr">
        <is>
          <t>CUENCA</t>
        </is>
      </c>
      <c r="K10" s="129" t="n">
        <v>46150</v>
      </c>
      <c r="L10" s="130" t="inlineStr">
        <is>
          <t>TIMOTHY SANDERS</t>
        </is>
      </c>
      <c r="M10" s="130" t="inlineStr">
        <is>
          <t>LUIS MORENO MORA Y ROBERTO CRESPO</t>
        </is>
      </c>
      <c r="N10" s="130" t="inlineStr">
        <is>
          <t>+593 99 381 7422</t>
        </is>
      </c>
      <c r="O10" s="186" t="n">
        <v>29</v>
      </c>
      <c r="P10" s="130" t="inlineStr">
        <is>
          <t>CLIENTE FINAL</t>
        </is>
      </c>
      <c r="Q10" s="130" t="inlineStr">
        <is>
          <t>CAPELO</t>
        </is>
      </c>
      <c r="R10" s="120" t="n"/>
      <c r="S10" s="130" t="inlineStr">
        <is>
          <t>043 902 000087587</t>
        </is>
      </c>
      <c r="T10" s="130" t="n">
        <v>965521537</v>
      </c>
      <c r="U10" s="184" t="inlineStr">
        <is>
          <t>timothysanderss@hotmail.com</t>
        </is>
      </c>
    </row>
    <row r="11" ht="19" customFormat="1" customHeight="1" s="102">
      <c r="A11" s="128" t="n"/>
      <c r="B11" s="129" t="n"/>
      <c r="C11" s="130" t="n"/>
      <c r="D11" s="130" t="n"/>
      <c r="E11" s="130" t="n"/>
      <c r="F11" s="131" t="n"/>
      <c r="G11" s="130" t="n"/>
      <c r="H11" s="130" t="n"/>
      <c r="I11" s="130" t="n"/>
      <c r="J11" s="130" t="n"/>
      <c r="K11" s="129" t="n"/>
      <c r="L11" s="130" t="n"/>
      <c r="M11" s="130" t="n"/>
      <c r="N11" s="130" t="n"/>
      <c r="O11" s="186" t="n"/>
      <c r="P11" s="130" t="n"/>
      <c r="Q11" s="130" t="n"/>
      <c r="R11" s="120" t="n"/>
      <c r="S11" s="130" t="n"/>
      <c r="T11" s="132" t="n"/>
      <c r="U11" s="184" t="n"/>
    </row>
    <row r="12" ht="19" customFormat="1" customHeight="1" s="102">
      <c r="A12" s="128" t="n"/>
      <c r="B12" s="129" t="n"/>
      <c r="C12" s="130" t="n"/>
      <c r="D12" s="130" t="n"/>
      <c r="E12" s="130" t="n"/>
      <c r="F12" s="131" t="n"/>
      <c r="G12" s="130" t="n"/>
      <c r="H12" s="130" t="n"/>
      <c r="I12" s="130" t="n"/>
      <c r="J12" s="130" t="n"/>
      <c r="K12" s="129" t="n"/>
      <c r="L12" s="130" t="n"/>
      <c r="M12" s="130" t="n"/>
      <c r="N12" s="130" t="n"/>
      <c r="O12" s="186" t="n"/>
      <c r="P12" s="130" t="n"/>
      <c r="Q12" s="130" t="n"/>
      <c r="R12" s="120" t="n"/>
      <c r="S12" s="130" t="n"/>
      <c r="T12" s="130" t="n"/>
      <c r="U12" s="184" t="n"/>
    </row>
    <row r="13" ht="19" customFormat="1" customHeight="1" s="102">
      <c r="A13" s="128" t="n"/>
      <c r="B13" s="129" t="n"/>
      <c r="C13" s="130" t="n"/>
      <c r="D13" s="130" t="n"/>
      <c r="E13" s="130" t="n"/>
      <c r="F13" s="131" t="n"/>
      <c r="G13" s="130" t="n"/>
      <c r="H13" s="130" t="n"/>
      <c r="I13" s="130" t="n"/>
      <c r="J13" s="130" t="n"/>
      <c r="K13" s="129" t="n"/>
      <c r="L13" s="130" t="n"/>
      <c r="M13" s="130" t="n"/>
      <c r="N13" s="130" t="n"/>
      <c r="O13" s="186" t="n"/>
      <c r="P13" s="130" t="n"/>
      <c r="Q13" s="130" t="n"/>
      <c r="R13" s="120" t="n"/>
      <c r="S13" s="130" t="n"/>
      <c r="T13" s="130" t="n"/>
      <c r="U13" s="184" t="n"/>
    </row>
    <row r="14" ht="19" customFormat="1" customHeight="1" s="102">
      <c r="A14" s="128" t="n"/>
      <c r="B14" s="129" t="n"/>
      <c r="C14" s="130" t="n"/>
      <c r="D14" s="130" t="n"/>
      <c r="E14" s="130" t="n"/>
      <c r="F14" s="131" t="n"/>
      <c r="G14" s="130" t="n"/>
      <c r="H14" s="130" t="n"/>
      <c r="I14" s="130" t="n"/>
      <c r="J14" s="130" t="n"/>
      <c r="K14" s="129" t="n"/>
      <c r="L14" s="130" t="n"/>
      <c r="M14" s="130" t="n"/>
      <c r="N14" s="130" t="n"/>
      <c r="O14" s="186" t="n"/>
      <c r="P14" s="130" t="n"/>
      <c r="Q14" s="130" t="n"/>
      <c r="R14" s="120" t="n"/>
      <c r="S14" s="130" t="n"/>
      <c r="T14" s="130" t="n"/>
      <c r="U14" s="184" t="n"/>
    </row>
    <row r="15" ht="19" customFormat="1" customHeight="1" s="102">
      <c r="A15" s="128" t="n"/>
      <c r="B15" s="129" t="n"/>
      <c r="C15" s="130" t="n"/>
      <c r="D15" s="130" t="n"/>
      <c r="E15" s="130" t="n"/>
      <c r="F15" s="131" t="n"/>
      <c r="G15" s="130" t="n"/>
      <c r="H15" s="130" t="n"/>
      <c r="I15" s="130" t="n"/>
      <c r="J15" s="130" t="n"/>
      <c r="K15" s="129" t="n"/>
      <c r="L15" s="130" t="n"/>
      <c r="M15" s="130" t="n"/>
      <c r="N15" s="130" t="n"/>
      <c r="O15" s="186" t="n"/>
      <c r="P15" s="130" t="n"/>
      <c r="Q15" s="130" t="n"/>
      <c r="R15" s="120" t="n"/>
      <c r="S15" s="130" t="n"/>
      <c r="T15" s="130" t="n"/>
      <c r="U15" s="184" t="n"/>
    </row>
    <row r="16" ht="19" customFormat="1" customHeight="1" s="102">
      <c r="A16" s="128" t="n"/>
      <c r="B16" s="129" t="n"/>
      <c r="C16" s="130" t="n"/>
      <c r="D16" s="130" t="n"/>
      <c r="E16" s="130" t="n"/>
      <c r="F16" s="131" t="n"/>
      <c r="G16" s="130" t="n"/>
      <c r="H16" s="130" t="n"/>
      <c r="I16" s="130" t="n"/>
      <c r="J16" s="130" t="n"/>
      <c r="K16" s="129" t="n"/>
      <c r="L16" s="130" t="n"/>
      <c r="M16" s="130" t="n"/>
      <c r="N16" s="130" t="n"/>
      <c r="O16" s="186" t="n"/>
      <c r="P16" s="130" t="n"/>
      <c r="Q16" s="130" t="n"/>
      <c r="R16" s="120" t="n"/>
      <c r="S16" s="130" t="n"/>
      <c r="T16" s="130" t="n"/>
      <c r="U16" s="184" t="n"/>
    </row>
    <row r="17" ht="19" customFormat="1" customHeight="1" s="102">
      <c r="A17" s="128" t="n"/>
      <c r="B17" s="129" t="n"/>
      <c r="C17" s="130" t="n"/>
      <c r="D17" s="130" t="n"/>
      <c r="E17" s="130" t="n"/>
      <c r="F17" s="131" t="n"/>
      <c r="G17" s="130" t="n"/>
      <c r="H17" s="130" t="n"/>
      <c r="I17" s="130" t="n"/>
      <c r="J17" s="130" t="n"/>
      <c r="K17" s="129" t="n"/>
      <c r="L17" s="130" t="n"/>
      <c r="M17" s="130" t="n"/>
      <c r="N17" s="130" t="n"/>
      <c r="O17" s="186" t="n"/>
      <c r="P17" s="130" t="n"/>
      <c r="Q17" s="130" t="n"/>
      <c r="R17" s="120" t="n"/>
      <c r="S17" s="130" t="n"/>
      <c r="T17" s="130" t="n"/>
      <c r="U17" s="184" t="n"/>
    </row>
    <row r="18">
      <c r="O18" s="119">
        <f>SUM(O6:O17)</f>
        <v/>
      </c>
    </row>
    <row r="19" ht="19" customHeight="1">
      <c r="E19" s="109" t="n"/>
      <c r="F19" t="inlineStr">
        <is>
          <t>BBQ</t>
        </is>
      </c>
      <c r="G19" t="n">
        <v>29</v>
      </c>
      <c r="I19">
        <f>E19*G19</f>
        <v/>
      </c>
    </row>
  </sheetData>
  <hyperlinks>
    <hyperlink xmlns:r="http://schemas.openxmlformats.org/officeDocument/2006/relationships" ref="U6" display="mailto:mayurigiorgio@gmail.com" r:id="rId1"/>
    <hyperlink xmlns:r="http://schemas.openxmlformats.org/officeDocument/2006/relationships" ref="U7" display="mailto:gabigu-87@hotmail.com" r:id="rId2"/>
    <hyperlink xmlns:r="http://schemas.openxmlformats.org/officeDocument/2006/relationships" ref="U8" display="mailto:esegarra61@yahoo.com" r:id="rId3"/>
    <hyperlink xmlns:r="http://schemas.openxmlformats.org/officeDocument/2006/relationships" ref="U9" display="mailto:josesolisp@gmail.com" r:id="rId4"/>
    <hyperlink xmlns:r="http://schemas.openxmlformats.org/officeDocument/2006/relationships" ref="U10" display="mailto:timothysanderss@hotmail.com" r:id="rId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filterMode="1">
    <tabColor theme="6" tint="-0.249977111117893"/>
    <outlinePr summaryBelow="1" summaryRight="1"/>
    <pageSetUpPr/>
  </sheetPr>
  <dimension ref="A1:B907"/>
  <sheetViews>
    <sheetView workbookViewId="0">
      <selection activeCell="A643" sqref="A1:B907"/>
    </sheetView>
  </sheetViews>
  <sheetFormatPr baseColWidth="10" defaultRowHeight="15"/>
  <cols>
    <col width="81.5" bestFit="1" customWidth="1" min="2" max="2"/>
  </cols>
  <sheetData>
    <row r="1">
      <c r="A1" t="inlineStr">
        <is>
          <t>Cód. Artículo</t>
        </is>
      </c>
      <c r="B1" t="inlineStr">
        <is>
          <t>Producto</t>
        </is>
      </c>
    </row>
    <row r="2" hidden="1">
      <c r="A2" t="inlineStr">
        <is>
          <t>Almacén</t>
        </is>
      </c>
      <c r="B2" t="inlineStr">
        <is>
          <t>Alm1</t>
        </is>
      </c>
    </row>
    <row r="3" hidden="1">
      <c r="A3" t="n">
        <v>915061</v>
      </c>
      <c r="B3" t="inlineStr">
        <is>
          <t>ASP.AXIAL BLIND 100 110V-60HZ</t>
        </is>
      </c>
    </row>
    <row r="4" hidden="1">
      <c r="A4" t="n">
        <v>981061</v>
      </c>
      <c r="B4" t="inlineStr">
        <is>
          <t>ASP.AXIAL SLIM 100 110V-60HZ</t>
        </is>
      </c>
    </row>
    <row r="5" hidden="1">
      <c r="A5" t="n">
        <v>982061</v>
      </c>
      <c r="B5" t="inlineStr">
        <is>
          <t>ASP.AXIAL SLIM 120 110V-60HZ</t>
        </is>
      </c>
    </row>
    <row r="6" hidden="1">
      <c r="A6" t="n">
        <v>1010061</v>
      </c>
      <c r="B6" t="inlineStr">
        <is>
          <t>ASP.AXIAL ELEGANCE 100 110V-60HZ</t>
        </is>
      </c>
    </row>
    <row r="7" hidden="1">
      <c r="A7" t="n">
        <v>1070061</v>
      </c>
      <c r="B7" t="inlineStr">
        <is>
          <t>ASP.AXIAL SERENITY 100 110V-60HZ</t>
        </is>
      </c>
    </row>
    <row r="8" hidden="1">
      <c r="A8" t="n">
        <v>1080061</v>
      </c>
      <c r="B8" t="inlineStr">
        <is>
          <t>ASP.AXIAL SERENITY 120 110V-60HZ</t>
        </is>
      </c>
    </row>
    <row r="9" hidden="1">
      <c r="A9" t="n">
        <v>8731112</v>
      </c>
      <c r="B9" t="inlineStr">
        <is>
          <t>FREGADERO DM (33.22) 1C</t>
        </is>
      </c>
    </row>
    <row r="10" hidden="1">
      <c r="A10" t="n">
        <v>10101003</v>
      </c>
      <c r="B10" t="inlineStr">
        <is>
          <t>45.50 1C FREGADERO</t>
        </is>
      </c>
    </row>
    <row r="11" hidden="1">
      <c r="A11" t="n">
        <v>10101102</v>
      </c>
      <c r="B11" t="inlineStr">
        <is>
          <t>100.50 1C 1E DER FREGADERO</t>
        </is>
      </c>
    </row>
    <row r="12" hidden="1">
      <c r="A12" t="n">
        <v>10101103</v>
      </c>
      <c r="B12" t="inlineStr">
        <is>
          <t>100.50 1C 1E IZQ FREGADERO</t>
        </is>
      </c>
    </row>
    <row r="13" hidden="1">
      <c r="A13" t="n">
        <v>10103001</v>
      </c>
      <c r="B13" t="inlineStr">
        <is>
          <t>465.440 1C FREGADERO</t>
        </is>
      </c>
    </row>
    <row r="14" hidden="1">
      <c r="A14" t="n">
        <v>10104078</v>
      </c>
      <c r="B14" t="inlineStr">
        <is>
          <t>1235.510 2C 1E REV FREGADERO</t>
        </is>
      </c>
    </row>
    <row r="15" hidden="1">
      <c r="A15" t="n">
        <v>10104309</v>
      </c>
      <c r="B15" t="inlineStr">
        <is>
          <t>950.510 1C 1E DER FREGADERO</t>
        </is>
      </c>
    </row>
    <row r="16" hidden="1">
      <c r="A16" t="n">
        <v>10104310</v>
      </c>
      <c r="B16" t="inlineStr">
        <is>
          <t>950.510 1C 1E IZQ FREGADERO</t>
        </is>
      </c>
    </row>
    <row r="17" hidden="1">
      <c r="A17" t="n">
        <v>10105252</v>
      </c>
      <c r="B17" t="inlineStr">
        <is>
          <t>3322 2C FREGADERO</t>
        </is>
      </c>
    </row>
    <row r="18" hidden="1">
      <c r="A18" t="n">
        <v>10107004</v>
      </c>
      <c r="B18" t="inlineStr">
        <is>
          <t>STYLO 1C FREGADERO</t>
        </is>
      </c>
    </row>
    <row r="19" hidden="1">
      <c r="A19" t="n">
        <v>10107015</v>
      </c>
      <c r="B19" t="inlineStr">
        <is>
          <t>STYLO 1C 1E REV FREGADERO</t>
        </is>
      </c>
    </row>
    <row r="20" hidden="1">
      <c r="A20" t="n">
        <v>10107017</v>
      </c>
      <c r="B20" t="inlineStr">
        <is>
          <t>STYLO 1C 1E REV 31/2 W/OVF</t>
        </is>
      </c>
    </row>
    <row r="21" hidden="1">
      <c r="A21" t="n">
        <v>10108009</v>
      </c>
      <c r="B21" t="inlineStr">
        <is>
          <t>REDONDO (ERC) FREGADERO</t>
        </is>
      </c>
    </row>
    <row r="22" hidden="1">
      <c r="A22" t="n">
        <v>10108035</v>
      </c>
      <c r="B22" t="inlineStr">
        <is>
          <t>FREG. REDONDO (ERC) ABIERTO REBOSADERO</t>
        </is>
      </c>
    </row>
    <row r="23" hidden="1">
      <c r="A23" t="n">
        <v>10110004</v>
      </c>
      <c r="B23" t="inlineStr">
        <is>
          <t>DR 80 2C FREGADERO</t>
        </is>
      </c>
    </row>
    <row r="24" hidden="1">
      <c r="A24" t="n">
        <v>10111005</v>
      </c>
      <c r="B24" t="inlineStr">
        <is>
          <t>CENTROVAL FREGADERO</t>
        </is>
      </c>
    </row>
    <row r="25" hidden="1">
      <c r="A25" t="n">
        <v>10118002</v>
      </c>
      <c r="B25" t="inlineStr">
        <is>
          <t>CLASSIC ANGULAR FREGADERO</t>
        </is>
      </c>
    </row>
    <row r="26" hidden="1">
      <c r="A26" t="n">
        <v>10118004</v>
      </c>
      <c r="B26" t="inlineStr">
        <is>
          <t>CLASSIC ANGULAR FREGADERO (10118002)</t>
        </is>
      </c>
    </row>
    <row r="27" hidden="1">
      <c r="A27" t="n">
        <v>10118005</v>
      </c>
      <c r="B27" t="inlineStr">
        <is>
          <t>FREG. CLASSIC ANGULAR ABIERTO REBOSADERO</t>
        </is>
      </c>
    </row>
    <row r="28" hidden="1">
      <c r="A28" t="n">
        <v>10119007</v>
      </c>
      <c r="B28" t="inlineStr">
        <is>
          <t>CLASSIC 2C 1E FREGADERO</t>
        </is>
      </c>
    </row>
    <row r="29" hidden="1">
      <c r="A29" t="n">
        <v>10119011</v>
      </c>
      <c r="B29" t="inlineStr">
        <is>
          <t>CLASSIC 1C 1E FREGADERO</t>
        </is>
      </c>
    </row>
    <row r="30" hidden="1">
      <c r="A30" t="n">
        <v>10119013</v>
      </c>
      <c r="B30" t="inlineStr">
        <is>
          <t>FREG. CLASSIC 1C 1E ABIERTO REBOSADERO</t>
        </is>
      </c>
    </row>
    <row r="31" hidden="1">
      <c r="A31" t="n">
        <v>10119021</v>
      </c>
      <c r="B31" t="inlineStr">
        <is>
          <t>CLASSIC 2C 86 FREGADERO (11119010)</t>
        </is>
      </c>
    </row>
    <row r="32" hidden="1">
      <c r="A32" t="n">
        <v>10119038</v>
      </c>
      <c r="B32" t="inlineStr">
        <is>
          <t>CLASSIC 1½C 1E FREGADERO</t>
        </is>
      </c>
    </row>
    <row r="33" hidden="1">
      <c r="A33" t="n">
        <v>10119080</v>
      </c>
      <c r="B33" t="inlineStr">
        <is>
          <t>SINK CLASSIC 2½B REV 3½ W/WO/OVF SPS (CON REBOSADERO) FREGADERO</t>
        </is>
      </c>
    </row>
    <row r="34" hidden="1">
      <c r="A34" t="n">
        <v>10119081</v>
      </c>
      <c r="B34" t="inlineStr">
        <is>
          <t>CLASSIC 2½C 1E FREGADERO</t>
        </is>
      </c>
    </row>
    <row r="35" hidden="1">
      <c r="A35" t="n">
        <v>10120025</v>
      </c>
      <c r="B35" t="inlineStr">
        <is>
          <t>UNIVERSO 1C 1E REV FREGADERO (10120040)</t>
        </is>
      </c>
    </row>
    <row r="36" hidden="1">
      <c r="A36" t="n">
        <v>10120028</v>
      </c>
      <c r="B36" t="inlineStr">
        <is>
          <t>UNIVERSO 2C 1E REV FREGADERO</t>
        </is>
      </c>
    </row>
    <row r="37" hidden="1">
      <c r="A37" t="n">
        <v>10120098</v>
      </c>
      <c r="B37" t="inlineStr">
        <is>
          <t>UNIVERSO 2C 1E FREGADERO</t>
        </is>
      </c>
    </row>
    <row r="38" hidden="1">
      <c r="A38" t="n">
        <v>10120117</v>
      </c>
      <c r="B38" t="inlineStr">
        <is>
          <t>TEKAWAY FREG. UNIVERSO 1C 1E REV + GRIFO ML913</t>
        </is>
      </c>
    </row>
    <row r="39" hidden="1">
      <c r="A39" t="n">
        <v>10124066</v>
      </c>
      <c r="B39" t="inlineStr">
        <is>
          <t>TEKAWAY FREG. BASICO REVERSIBLE</t>
        </is>
      </c>
    </row>
    <row r="40" hidden="1">
      <c r="A40" t="n">
        <v>10125003</v>
      </c>
      <c r="B40" t="inlineStr">
        <is>
          <t>BE 28.40 FREGADERO</t>
        </is>
      </c>
    </row>
    <row r="41" hidden="1">
      <c r="A41" t="n">
        <v>10125004</v>
      </c>
      <c r="B41" t="inlineStr">
        <is>
          <t>BE 34.37 FREGADERO</t>
        </is>
      </c>
    </row>
    <row r="42" hidden="1">
      <c r="A42" t="n">
        <v>10125006</v>
      </c>
      <c r="B42" t="inlineStr">
        <is>
          <t>BE REDONDO FREGADERO</t>
        </is>
      </c>
    </row>
    <row r="43" hidden="1">
      <c r="A43" t="n">
        <v>10125019</v>
      </c>
      <c r="B43" t="inlineStr">
        <is>
          <t>BE 40.40 FREGADERO</t>
        </is>
      </c>
    </row>
    <row r="44" hidden="1">
      <c r="A44" t="n">
        <v>10125041</v>
      </c>
      <c r="B44" t="inlineStr">
        <is>
          <t>TU 34.18-R FREGADERO</t>
        </is>
      </c>
    </row>
    <row r="45" hidden="1">
      <c r="A45" t="n">
        <v>10125042</v>
      </c>
      <c r="B45" t="inlineStr">
        <is>
          <t>TU 34.18-R FREGADERO (10125041)</t>
        </is>
      </c>
    </row>
    <row r="46" hidden="1">
      <c r="A46" t="n">
        <v>10125047</v>
      </c>
      <c r="B46" t="inlineStr">
        <is>
          <t>TU 33.18-R FREGADERO</t>
        </is>
      </c>
    </row>
    <row r="47" hidden="1">
      <c r="A47" t="n">
        <v>10125048</v>
      </c>
      <c r="B47" t="inlineStr">
        <is>
          <t>TU 33.18-R FREGADERO (10125047)</t>
        </is>
      </c>
    </row>
    <row r="48" hidden="1">
      <c r="A48" t="n">
        <v>10125073</v>
      </c>
      <c r="B48" t="inlineStr">
        <is>
          <t>BE 2C D 800 D FREGADERO</t>
        </is>
      </c>
    </row>
    <row r="49" hidden="1">
      <c r="A49" t="n">
        <v>10125077</v>
      </c>
      <c r="B49" t="inlineStr">
        <is>
          <t>BE 42.46 D FREGADERO</t>
        </is>
      </c>
    </row>
    <row r="50" hidden="1">
      <c r="A50" t="n">
        <v>10125085</v>
      </c>
      <c r="B50" t="inlineStr">
        <is>
          <t>TU 37.20 D CEST S/REB FREGADERO</t>
        </is>
      </c>
    </row>
    <row r="51" hidden="1">
      <c r="A51" t="n">
        <v>10125114</v>
      </c>
      <c r="B51" t="inlineStr">
        <is>
          <t>TU 31.19-10 CEST S/REB FREGADERO</t>
        </is>
      </c>
    </row>
    <row r="52" hidden="1">
      <c r="A52" t="n">
        <v>10125121</v>
      </c>
      <c r="B52" t="inlineStr">
        <is>
          <t>BE 74.43-20 1C FREGADERO</t>
        </is>
      </c>
    </row>
    <row r="53" hidden="1">
      <c r="A53" t="n">
        <v>10125122</v>
      </c>
      <c r="B53" t="inlineStr">
        <is>
          <t>BE 50.40.20 PLUS FREGADERO</t>
        </is>
      </c>
    </row>
    <row r="54" hidden="1">
      <c r="A54" t="n">
        <v>10125124</v>
      </c>
      <c r="B54" t="inlineStr">
        <is>
          <t>FREGADERO BE LINEA R15 40.40 3 1/2 C/REB</t>
        </is>
      </c>
    </row>
    <row r="55" hidden="1">
      <c r="A55" t="n">
        <v>10125134</v>
      </c>
      <c r="B55" t="inlineStr">
        <is>
          <t>FREGADERO BE LINEA R15 50.40 3 1/2 C/REB</t>
        </is>
      </c>
    </row>
    <row r="56" hidden="1">
      <c r="A56" t="n">
        <v>10125148</v>
      </c>
      <c r="B56" t="inlineStr">
        <is>
          <t>BE LINEA R15 71.40 3½ C/REB</t>
        </is>
      </c>
    </row>
    <row r="57" hidden="1">
      <c r="A57" t="n">
        <v>10125155</v>
      </c>
      <c r="B57" t="inlineStr">
        <is>
          <t>TU 30.18-E FREGADERO</t>
        </is>
      </c>
    </row>
    <row r="58" hidden="1">
      <c r="A58" t="n">
        <v>10125166</v>
      </c>
      <c r="B58" t="inlineStr">
        <is>
          <t>BE LINEA R15 2C 740 FREGADERO</t>
        </is>
      </c>
    </row>
    <row r="59" hidden="1">
      <c r="A59" t="n">
        <v>10131004</v>
      </c>
      <c r="B59" t="inlineStr">
        <is>
          <t>STENA 45-B 1C 1E REV FREGADERO</t>
        </is>
      </c>
    </row>
    <row r="60" hidden="1">
      <c r="A60" t="n">
        <v>10131009</v>
      </c>
      <c r="B60" t="inlineStr">
        <is>
          <t>STENA 60-B 1E 1½C REV FREGADERO</t>
        </is>
      </c>
    </row>
    <row r="61" hidden="1">
      <c r="A61" t="n">
        <v>10131033</v>
      </c>
      <c r="B61" t="inlineStr">
        <is>
          <t>STENA 2C 1E REV FREGADERO</t>
        </is>
      </c>
    </row>
    <row r="62" hidden="1">
      <c r="A62" t="n">
        <v>10133010</v>
      </c>
      <c r="B62" t="inlineStr">
        <is>
          <t>F. TEKAWAY DEVA 45 I-CN 1C 1E CEST S/R ML913</t>
        </is>
      </c>
    </row>
    <row r="63" hidden="1">
      <c r="A63" t="n">
        <v>10133011</v>
      </c>
      <c r="B63" t="inlineStr">
        <is>
          <t>DEVA 45 I-CL 1C 1E REV + VALVULAS FREGADERO</t>
        </is>
      </c>
    </row>
    <row r="64" hidden="1">
      <c r="A64" t="n">
        <v>10135012</v>
      </c>
      <c r="B64" t="inlineStr">
        <is>
          <t>80.50 1C 1E D CEST S/REB -  FREG</t>
        </is>
      </c>
    </row>
    <row r="65" hidden="1">
      <c r="A65" t="n">
        <v>10135013</v>
      </c>
      <c r="B65" t="inlineStr">
        <is>
          <t>80.50 1C 1E I CEST S/REB -  FREG</t>
        </is>
      </c>
    </row>
    <row r="66" hidden="1">
      <c r="A66" t="n">
        <v>10135014</v>
      </c>
      <c r="B66" t="inlineStr">
        <is>
          <t>90.50 1C 1E DER FREGADERO + VALVULA CESTILLA</t>
        </is>
      </c>
    </row>
    <row r="67" hidden="1">
      <c r="A67" t="n">
        <v>10135015</v>
      </c>
      <c r="B67" t="inlineStr">
        <is>
          <t>90.50 1C 1E IZQ FREGADERO + VALVULA CESTILLA</t>
        </is>
      </c>
    </row>
    <row r="68" hidden="1">
      <c r="A68" t="n">
        <v>10135016</v>
      </c>
      <c r="B68" t="inlineStr">
        <is>
          <t>120.50 2C 1E DER FREGADERO + VALVULA CESTILLA</t>
        </is>
      </c>
    </row>
    <row r="69" hidden="1">
      <c r="A69" t="n">
        <v>10135017</v>
      </c>
      <c r="B69" t="inlineStr">
        <is>
          <t>120.50 2C 1E IZQ FREGADERO + VALVULA CESTILLA</t>
        </is>
      </c>
    </row>
    <row r="70" hidden="1">
      <c r="A70" t="n">
        <v>10135018</v>
      </c>
      <c r="B70" t="inlineStr">
        <is>
          <t>100.50 BASICO 1½C 1E DER CEST S/REB - FREGADERO</t>
        </is>
      </c>
    </row>
    <row r="71" hidden="1">
      <c r="A71" t="n">
        <v>10135019</v>
      </c>
      <c r="B71" t="inlineStr">
        <is>
          <t>100.50 BASICO 1½C 1E IZQ CEST S/REB - FREGADERO</t>
        </is>
      </c>
    </row>
    <row r="72" hidden="1">
      <c r="A72" t="n">
        <v>10136001</v>
      </c>
      <c r="B72" t="inlineStr">
        <is>
          <t>FREG. DENA 45-CN 1C 1E REV VN C/REB (BA) PAL/CAR</t>
        </is>
      </c>
    </row>
    <row r="73" hidden="1">
      <c r="A73" t="n">
        <v>10138002</v>
      </c>
      <c r="B73" t="inlineStr">
        <is>
          <t>FREGADERO TOP LINEA R15 34.40 3 1/2 C/REB</t>
        </is>
      </c>
    </row>
    <row r="74" hidden="1">
      <c r="A74" t="n">
        <v>10138003</v>
      </c>
      <c r="B74" t="inlineStr">
        <is>
          <t>FREGADERO TOP LINEA R15 40.40 3 1/2 C/REB</t>
        </is>
      </c>
    </row>
    <row r="75" hidden="1">
      <c r="A75" t="n">
        <v>10138005</v>
      </c>
      <c r="B75" t="inlineStr">
        <is>
          <t>FREGADERO TOP LINEA R15 50.40 3 1/2 C/REB</t>
        </is>
      </c>
    </row>
    <row r="76" hidden="1">
      <c r="A76" t="n">
        <v>10138006</v>
      </c>
      <c r="B76" t="inlineStr">
        <is>
          <t>FREGADERO TOP LINEA R15 71.40 3 1/2 C/REB</t>
        </is>
      </c>
    </row>
    <row r="77" hidden="1">
      <c r="A77" t="n">
        <v>10138011</v>
      </c>
      <c r="B77" t="inlineStr">
        <is>
          <t>FREGADERO TOP LINEA R15 2C 740 3 1/2 C/REB</t>
        </is>
      </c>
    </row>
    <row r="78" hidden="1">
      <c r="A78" t="n">
        <v>10181650</v>
      </c>
      <c r="B78" t="inlineStr">
        <is>
          <t>120.50 2C 1E DER FREGADERO</t>
        </is>
      </c>
    </row>
    <row r="79" hidden="1">
      <c r="A79" t="n">
        <v>10181651</v>
      </c>
      <c r="B79" t="inlineStr">
        <is>
          <t>120.50 2C 1E IZQ FREGADERO</t>
        </is>
      </c>
    </row>
    <row r="80" hidden="1">
      <c r="A80" t="n">
        <v>10181711</v>
      </c>
      <c r="B80" t="inlineStr">
        <is>
          <t>180.50 2C 2E FREGADERO</t>
        </is>
      </c>
    </row>
    <row r="81" hidden="1">
      <c r="A81" t="n">
        <v>10184550</v>
      </c>
      <c r="B81" t="inlineStr">
        <is>
          <t>1235.510 2C 1E DER FREGADERO</t>
        </is>
      </c>
    </row>
    <row r="82" hidden="1">
      <c r="A82" t="n">
        <v>10184551</v>
      </c>
      <c r="B82" t="inlineStr">
        <is>
          <t>1235.510 2C 1E IZQ FREGADERO</t>
        </is>
      </c>
    </row>
    <row r="83" hidden="1">
      <c r="A83" t="n">
        <v>10184812</v>
      </c>
      <c r="B83" t="inlineStr">
        <is>
          <t>1600.510 2C 2E FREGADERO</t>
        </is>
      </c>
    </row>
    <row r="84" hidden="1">
      <c r="A84" t="n">
        <v>1019700</v>
      </c>
      <c r="B84" t="inlineStr">
        <is>
          <t>MC 10 PLUS DUCHA CUERPO GRIFO</t>
        </is>
      </c>
    </row>
    <row r="85" hidden="1">
      <c r="A85" t="n">
        <v>10204016</v>
      </c>
      <c r="B85" t="inlineStr">
        <is>
          <t>VT CM COCINA VITRO</t>
        </is>
      </c>
    </row>
    <row r="86" hidden="1">
      <c r="A86" t="n">
        <v>10204086</v>
      </c>
      <c r="B86" t="inlineStr">
        <is>
          <t>TT 620 VITRO TOUCH CONTROL</t>
        </is>
      </c>
    </row>
    <row r="87" hidden="1">
      <c r="A87" t="n">
        <v>10204103</v>
      </c>
      <c r="B87" t="inlineStr">
        <is>
          <t>COCINA TT 620 VITRO</t>
        </is>
      </c>
    </row>
    <row r="88" hidden="1">
      <c r="A88" t="n">
        <v>10204686</v>
      </c>
      <c r="B88" t="inlineStr">
        <is>
          <t>COCINA TT620 INOX /VITRO TOUCH CONTROL</t>
        </is>
      </c>
    </row>
    <row r="89" hidden="1">
      <c r="A89" t="n">
        <v>10205013</v>
      </c>
      <c r="B89" t="inlineStr">
        <is>
          <t>CG LUX 70 4G AI AL</t>
        </is>
      </c>
    </row>
    <row r="90" hidden="1">
      <c r="A90" t="n">
        <v>10205014</v>
      </c>
      <c r="B90" t="inlineStr">
        <is>
          <t>CG LUX 70 5G AI AL</t>
        </is>
      </c>
    </row>
    <row r="91" hidden="1">
      <c r="A91" t="n">
        <v>10205018</v>
      </c>
      <c r="B91" t="inlineStr">
        <is>
          <t>CG LUX 70 5G AI AL TR</t>
        </is>
      </c>
    </row>
    <row r="92" hidden="1">
      <c r="A92" t="n">
        <v>10205047</v>
      </c>
      <c r="B92" t="inlineStr">
        <is>
          <t>CG LUX 60 4G AI</t>
        </is>
      </c>
    </row>
    <row r="93" hidden="1">
      <c r="A93" t="n">
        <v>10205048</v>
      </c>
      <c r="B93" t="inlineStr">
        <is>
          <t>CG LUX 70 4G AI</t>
        </is>
      </c>
    </row>
    <row r="94" hidden="1">
      <c r="A94" t="n">
        <v>10205049</v>
      </c>
      <c r="B94" t="inlineStr">
        <is>
          <t>CG LUX 70 5G AI</t>
        </is>
      </c>
    </row>
    <row r="95" hidden="1">
      <c r="A95" t="n">
        <v>10205050</v>
      </c>
      <c r="B95" t="inlineStr">
        <is>
          <t>CG LUX 70 5G AI TR</t>
        </is>
      </c>
    </row>
    <row r="96" hidden="1">
      <c r="A96" t="n">
        <v>10206007</v>
      </c>
      <c r="B96" t="inlineStr">
        <is>
          <t>E/60 4P COCINA ELEC INOX</t>
        </is>
      </c>
    </row>
    <row r="97" hidden="1">
      <c r="A97" t="n">
        <v>10206062</v>
      </c>
      <c r="B97" t="inlineStr">
        <is>
          <t>E/60 4G AI COCINA INOX - DESCATALOGADA</t>
        </is>
      </c>
    </row>
    <row r="98" hidden="1">
      <c r="A98" t="n">
        <v>10206064</v>
      </c>
      <c r="B98" t="inlineStr">
        <is>
          <t>ES/60 4G AI - DESCATALOGADA</t>
        </is>
      </c>
    </row>
    <row r="99" hidden="1">
      <c r="A99" t="n">
        <v>10208009</v>
      </c>
      <c r="B99" t="inlineStr">
        <is>
          <t>VM/30 2P COCINA ELEC MOD</t>
        </is>
      </c>
    </row>
    <row r="100" hidden="1">
      <c r="A100" t="n">
        <v>10208036</v>
      </c>
      <c r="B100" t="inlineStr">
        <is>
          <t>IR 641 COCINA INDUCCION (10210072-IRS 641)</t>
        </is>
      </c>
    </row>
    <row r="101" hidden="1">
      <c r="A101" t="n">
        <v>10208093</v>
      </c>
      <c r="B101" t="inlineStr">
        <is>
          <t>IR 321 COCINA MOD INDUCCION</t>
        </is>
      </c>
    </row>
    <row r="102" hidden="1">
      <c r="A102" t="n">
        <v>10209025</v>
      </c>
      <c r="B102" t="inlineStr">
        <is>
          <t>EM/30 2G AI COCINA MOD 110 V/60</t>
        </is>
      </c>
    </row>
    <row r="103" hidden="1">
      <c r="A103" t="n">
        <v>10209029</v>
      </c>
      <c r="B103" t="inlineStr">
        <is>
          <t>EM/30 2P COCINA ELEC MODULAR</t>
        </is>
      </c>
    </row>
    <row r="104" hidden="1">
      <c r="A104" t="n">
        <v>10209055</v>
      </c>
      <c r="B104" t="inlineStr">
        <is>
          <t>EM/60 4G AI AL TR COCINA INOX</t>
        </is>
      </c>
    </row>
    <row r="105" hidden="1">
      <c r="A105" t="n">
        <v>10210002</v>
      </c>
      <c r="B105" t="inlineStr">
        <is>
          <t>TR 951 COCINA VITRO TOUCH CONTROL</t>
        </is>
      </c>
    </row>
    <row r="106" hidden="1">
      <c r="A106" t="n">
        <v>10210005</v>
      </c>
      <c r="B106" t="inlineStr">
        <is>
          <t>TR 841 COCINA VITRO TOUCH CONTROL (40206220)</t>
        </is>
      </c>
    </row>
    <row r="107" hidden="1">
      <c r="A107" t="n">
        <v>10210009</v>
      </c>
      <c r="B107" t="inlineStr">
        <is>
          <t>IRS 843 COCINA INDUCCION + J.9 PZ OLLAS NC:10210148</t>
        </is>
      </c>
    </row>
    <row r="108" hidden="1">
      <c r="A108" t="n">
        <v>10210011</v>
      </c>
      <c r="B108" t="inlineStr">
        <is>
          <t>COCINA INDUCCION IQS 633</t>
        </is>
      </c>
    </row>
    <row r="109" hidden="1">
      <c r="A109" t="n">
        <v>10210020</v>
      </c>
      <c r="B109" t="inlineStr">
        <is>
          <t>IQS 643 COCINA INDUCCION + J.9PZ OLLAS</t>
        </is>
      </c>
    </row>
    <row r="110" hidden="1">
      <c r="A110" t="n">
        <v>10210022</v>
      </c>
      <c r="B110" t="inlineStr">
        <is>
          <t>IB 64 COCINA INDUCCION</t>
        </is>
      </c>
    </row>
    <row r="111" hidden="1">
      <c r="A111" t="n">
        <v>10210028</v>
      </c>
      <c r="B111" t="inlineStr">
        <is>
          <t>UNIVERSO 2C 1E REV FREGADERO (10120028)</t>
        </is>
      </c>
    </row>
    <row r="112" hidden="1">
      <c r="A112" t="n">
        <v>10210029</v>
      </c>
      <c r="B112" t="inlineStr">
        <is>
          <t>IRS 943 COCINA INDUCCION + J.9 PZ OLLAS NC:10210149</t>
        </is>
      </c>
    </row>
    <row r="113" hidden="1">
      <c r="A113" t="n">
        <v>10210042</v>
      </c>
      <c r="B113" t="inlineStr">
        <is>
          <t>IRF 641 COCINA INDUCCION (NC:10210150)</t>
        </is>
      </c>
    </row>
    <row r="114" hidden="1">
      <c r="A114" t="n">
        <v>10210065</v>
      </c>
      <c r="B114" t="inlineStr">
        <is>
          <t>IR 6030 COCINA INDUCCION (NC:10210145)</t>
        </is>
      </c>
    </row>
    <row r="115" hidden="1">
      <c r="A115" t="n">
        <v>10210068</v>
      </c>
      <c r="B115" t="inlineStr">
        <is>
          <t>IB 6040 COCINA INDUCCION (NC: 10210151)</t>
        </is>
      </c>
    </row>
    <row r="116" hidden="1">
      <c r="A116" t="n">
        <v>10210071</v>
      </c>
      <c r="B116" t="inlineStr">
        <is>
          <t>IRS 631 COCINA INDUCCION</t>
        </is>
      </c>
    </row>
    <row r="117" hidden="1">
      <c r="A117" t="n">
        <v>10210072</v>
      </c>
      <c r="B117" t="inlineStr">
        <is>
          <t>IRS 641 COCINA INDUCCION (10208036) (NC: 10210147)</t>
        </is>
      </c>
    </row>
    <row r="118" hidden="1">
      <c r="A118" t="n">
        <v>10210084</v>
      </c>
      <c r="B118" t="inlineStr">
        <is>
          <t>IRF 631 COCINA INDUCCION</t>
        </is>
      </c>
    </row>
    <row r="119" hidden="1">
      <c r="A119" t="n">
        <v>10210085</v>
      </c>
      <c r="B119" t="inlineStr">
        <is>
          <t>IRF 644 COCINA INDUCCION (NC: 10210146)</t>
        </is>
      </c>
    </row>
    <row r="120" hidden="1">
      <c r="A120" t="n">
        <v>10210088</v>
      </c>
      <c r="B120" t="inlineStr">
        <is>
          <t>MIR 6030 COCINA INDUCCION (40205450M) NC:10210065</t>
        </is>
      </c>
    </row>
    <row r="121" hidden="1">
      <c r="A121" t="n">
        <v>10210109</v>
      </c>
      <c r="B121" t="inlineStr">
        <is>
          <t>IRS 953 COCINA INDUCCION + JGO. DE OLLAS (NC:10210152)</t>
        </is>
      </c>
    </row>
    <row r="122" hidden="1">
      <c r="A122" t="n">
        <v>10210145</v>
      </c>
      <c r="B122" t="inlineStr">
        <is>
          <t>IR 6030 COCINA INDUCCION (10210065)</t>
        </is>
      </c>
    </row>
    <row r="123" hidden="1">
      <c r="A123" t="n">
        <v>10210146</v>
      </c>
      <c r="B123" t="inlineStr">
        <is>
          <t>IRF 644 COCINA INDUCCION (10210085)</t>
        </is>
      </c>
    </row>
    <row r="124" hidden="1">
      <c r="A124" t="n">
        <v>10210147</v>
      </c>
      <c r="B124" t="inlineStr">
        <is>
          <t>IRS 641 COCINA INDUCCION (10210072)</t>
        </is>
      </c>
    </row>
    <row r="125" hidden="1">
      <c r="A125" t="n">
        <v>10210148</v>
      </c>
      <c r="B125" t="inlineStr">
        <is>
          <t>IRS 843 COCINA INDUCCION (10210009)</t>
        </is>
      </c>
    </row>
    <row r="126" hidden="1">
      <c r="A126" t="n">
        <v>10210149</v>
      </c>
      <c r="B126" t="inlineStr">
        <is>
          <t>IRS 943 COCINA INDUCCION (10210029)</t>
        </is>
      </c>
    </row>
    <row r="127" hidden="1">
      <c r="A127" t="n">
        <v>10210150</v>
      </c>
      <c r="B127" t="inlineStr">
        <is>
          <t>IRF 641 COCINA INDUCCION (10210042)</t>
        </is>
      </c>
    </row>
    <row r="128" hidden="1">
      <c r="A128" t="n">
        <v>10210151</v>
      </c>
      <c r="B128" t="inlineStr">
        <is>
          <t>IB 6040 COCINA INDUCCION (10210068)</t>
        </is>
      </c>
    </row>
    <row r="129" hidden="1">
      <c r="A129" t="n">
        <v>10210152</v>
      </c>
      <c r="B129" t="inlineStr">
        <is>
          <t>IRS 953 COCINA INDUCCION</t>
        </is>
      </c>
    </row>
    <row r="130" hidden="1">
      <c r="A130" t="n">
        <v>10210160</v>
      </c>
      <c r="B130" t="inlineStr">
        <is>
          <t>IB 6415 COCINA INDUCCION</t>
        </is>
      </c>
    </row>
    <row r="131" hidden="1">
      <c r="A131" t="n">
        <v>10210163</v>
      </c>
      <c r="B131" t="inlineStr">
        <is>
          <t>IR 9530 COCINA INDUCCION</t>
        </is>
      </c>
    </row>
    <row r="132" hidden="1">
      <c r="A132" t="n">
        <v>10210171</v>
      </c>
      <c r="B132" t="inlineStr">
        <is>
          <t>IR 3200 COCINA MOD INDUCCION</t>
        </is>
      </c>
    </row>
    <row r="133" hidden="1">
      <c r="A133" t="n">
        <v>10210174</v>
      </c>
      <c r="B133" t="inlineStr">
        <is>
          <t>IR 6320 COCINA INDUCCION</t>
        </is>
      </c>
    </row>
    <row r="134" hidden="1">
      <c r="A134" t="n">
        <v>10210176</v>
      </c>
      <c r="B134" t="inlineStr">
        <is>
          <t>IZ 6420 COCINA INDUCCION</t>
        </is>
      </c>
    </row>
    <row r="135" hidden="1">
      <c r="A135" t="n">
        <v>10210205</v>
      </c>
      <c r="B135" t="inlineStr">
        <is>
          <t>IZ 6420 WHITE</t>
        </is>
      </c>
    </row>
    <row r="136" hidden="1">
      <c r="A136" t="n">
        <v>10307001</v>
      </c>
      <c r="B136" t="inlineStr">
        <is>
          <t>COMPACT LUX 1000.520 1C 2I - CRISTAL DERECHO</t>
        </is>
      </c>
    </row>
    <row r="137" hidden="1">
      <c r="A137" t="n">
        <v>10307002</v>
      </c>
      <c r="B137" t="inlineStr">
        <is>
          <t>COMPACT LUX 1000.520 1C 2I - CRISTAL IZQ</t>
        </is>
      </c>
    </row>
    <row r="138" hidden="1">
      <c r="A138" t="n">
        <v>111000001</v>
      </c>
      <c r="B138" t="inlineStr">
        <is>
          <t>HLB 840 INOX HORNO ELEC</t>
        </is>
      </c>
    </row>
    <row r="139" hidden="1">
      <c r="A139" t="n">
        <v>111000030</v>
      </c>
      <c r="B139" t="inlineStr">
        <is>
          <t>STEAKMASTER - HORNO ELEC</t>
        </is>
      </c>
    </row>
    <row r="140" hidden="1">
      <c r="A140" t="n">
        <v>111000050</v>
      </c>
      <c r="B140" t="inlineStr">
        <is>
          <t>HLB 8510 P "MAESTRO PIZZA"</t>
        </is>
      </c>
    </row>
    <row r="141" hidden="1">
      <c r="A141" t="n">
        <v>111000051</v>
      </c>
      <c r="B141" t="inlineStr">
        <is>
          <t>HLB 8416 "AIR FRY" - HORNO ELEC</t>
        </is>
      </c>
    </row>
    <row r="142" hidden="1">
      <c r="A142" t="n">
        <v>111000059</v>
      </c>
      <c r="B142" t="inlineStr">
        <is>
          <t>HLB 85-G1 P BM Maestro Pizza</t>
        </is>
      </c>
    </row>
    <row r="143" hidden="1">
      <c r="A143" t="n">
        <v>111000078</v>
      </c>
      <c r="B143" t="inlineStr">
        <is>
          <t>HLB 8400 FBK HORNO ELEC</t>
        </is>
      </c>
    </row>
    <row r="144" hidden="1">
      <c r="A144" t="n">
        <v>111000099</v>
      </c>
      <c r="B144" t="inlineStr">
        <is>
          <t>HLB 84-VGOGH  220-240/50-60 E10 EC - HORNO ELEC</t>
        </is>
      </c>
    </row>
    <row r="145" hidden="1">
      <c r="A145" t="n">
        <v>111010028</v>
      </c>
      <c r="B145" t="inlineStr">
        <is>
          <t>HSB 646 "AIRFRY" - HORNO ELEC</t>
        </is>
      </c>
    </row>
    <row r="146" hidden="1">
      <c r="A146" t="n">
        <v>111010040</v>
      </c>
      <c r="B146" t="inlineStr">
        <is>
          <t>HSB 610 NEGRO HORNO ELEC</t>
        </is>
      </c>
    </row>
    <row r="147" hidden="1">
      <c r="A147" t="n">
        <v>111010041</v>
      </c>
      <c r="B147" t="inlineStr">
        <is>
          <t>HSB 630 NEGRO HORNO ELEC</t>
        </is>
      </c>
    </row>
    <row r="148" hidden="1">
      <c r="A148" t="n">
        <v>111010093</v>
      </c>
      <c r="B148" t="inlineStr">
        <is>
          <t>HSB 6150 SS HORNO ELEC</t>
        </is>
      </c>
    </row>
    <row r="149" hidden="1">
      <c r="A149" t="n">
        <v>111010095</v>
      </c>
      <c r="B149" t="inlineStr">
        <is>
          <t>HSB 6150 FBK HORNO ELEC</t>
        </is>
      </c>
    </row>
    <row r="150" hidden="1">
      <c r="A150" t="n">
        <v>111010100</v>
      </c>
      <c r="B150" t="inlineStr">
        <is>
          <t>HSB 6456 SS HORNO ELEC</t>
        </is>
      </c>
    </row>
    <row r="151" hidden="1">
      <c r="A151" t="n">
        <v>111020071</v>
      </c>
      <c r="B151" t="inlineStr">
        <is>
          <t>HBB 510 BK 220-240  50/60 HORNO ELEC</t>
        </is>
      </c>
    </row>
    <row r="152" hidden="1">
      <c r="A152" t="n">
        <v>111020081</v>
      </c>
      <c r="B152" t="inlineStr">
        <is>
          <t>HBB 5350 SS INOX HORNO ELEC</t>
        </is>
      </c>
    </row>
    <row r="153" hidden="1">
      <c r="A153" t="n">
        <v>111020086</v>
      </c>
      <c r="B153" t="inlineStr">
        <is>
          <t>HBB 5350 FBK HORNO ELEC</t>
        </is>
      </c>
    </row>
    <row r="154" hidden="1">
      <c r="A154" t="n">
        <v>111030002</v>
      </c>
      <c r="B154" t="inlineStr">
        <is>
          <t>HLB 760 G SS HORNO A GAS</t>
        </is>
      </c>
    </row>
    <row r="155" hidden="1">
      <c r="A155" t="n">
        <v>111040003</v>
      </c>
      <c r="B155" t="inlineStr">
        <is>
          <t>HSB 750 G SS HORNO A GAS</t>
        </is>
      </c>
    </row>
    <row r="156" hidden="1">
      <c r="A156" t="n">
        <v>111040006</v>
      </c>
      <c r="B156" t="inlineStr">
        <is>
          <t>HSB 750 G SS HORNO A GAS</t>
        </is>
      </c>
    </row>
    <row r="157" hidden="1">
      <c r="A157" t="n">
        <v>111040015</v>
      </c>
      <c r="B157" t="inlineStr">
        <is>
          <t>HSB 7500 G SS HORNO A GAS</t>
        </is>
      </c>
    </row>
    <row r="158" hidden="1">
      <c r="A158" t="n">
        <v>11107010</v>
      </c>
      <c r="B158" t="inlineStr">
        <is>
          <t>STYLO 1C 1E DER FREGADERO</t>
        </is>
      </c>
    </row>
    <row r="159" hidden="1">
      <c r="A159" t="n">
        <v>11107011</v>
      </c>
      <c r="B159" t="inlineStr">
        <is>
          <t>STYLO 1C 1E IZQ FREGADERO</t>
        </is>
      </c>
    </row>
    <row r="160" hidden="1">
      <c r="A160" t="n">
        <v>11107029</v>
      </c>
      <c r="B160" t="inlineStr">
        <is>
          <t>STYLO 2C FREGADERO</t>
        </is>
      </c>
    </row>
    <row r="161" hidden="1">
      <c r="A161" t="n">
        <v>11107076</v>
      </c>
      <c r="B161" t="inlineStr">
        <is>
          <t>TEKAWAY FREG. STYLO 2C  S/REB + GRIFO IN 995</t>
        </is>
      </c>
    </row>
    <row r="162" hidden="1">
      <c r="A162" t="n">
        <v>11110004</v>
      </c>
      <c r="B162" t="inlineStr">
        <is>
          <t>DR 80 2C FREGADERO</t>
        </is>
      </c>
    </row>
    <row r="163" hidden="1">
      <c r="A163" t="n">
        <v>111160032</v>
      </c>
      <c r="B163" t="inlineStr">
        <is>
          <t>MLC 8440 - MICROONDAS</t>
        </is>
      </c>
    </row>
    <row r="164" hidden="1">
      <c r="A164" t="n">
        <v>11119007</v>
      </c>
      <c r="B164" t="inlineStr">
        <is>
          <t>CLASSIC 2C 1E DERECHO FREGADERO (10119007)</t>
        </is>
      </c>
    </row>
    <row r="165" hidden="1">
      <c r="A165" t="n">
        <v>11119010</v>
      </c>
      <c r="B165" t="inlineStr">
        <is>
          <t>CLASSIC 2C FREGADERO</t>
        </is>
      </c>
    </row>
    <row r="166" hidden="1">
      <c r="A166" t="n">
        <v>11119086</v>
      </c>
      <c r="B166" t="inlineStr">
        <is>
          <t>CLASSIC 2½C  FREGADERO</t>
        </is>
      </c>
    </row>
    <row r="167" hidden="1">
      <c r="A167" t="n">
        <v>111200005</v>
      </c>
      <c r="B167" t="inlineStr">
        <is>
          <t>HLB 8550 SC BK HORNO A VAPOR</t>
        </is>
      </c>
    </row>
    <row r="168" hidden="1">
      <c r="A168" t="n">
        <v>11120027</v>
      </c>
      <c r="B168" t="inlineStr">
        <is>
          <t>UNIVERSO 2C FREGADERO</t>
        </is>
      </c>
    </row>
    <row r="169" hidden="1">
      <c r="A169" t="n">
        <v>11120029</v>
      </c>
      <c r="B169" t="inlineStr">
        <is>
          <t>UNIVERSO 2C 1E REV FREGADERO (PAL/CAR)</t>
        </is>
      </c>
    </row>
    <row r="170" hidden="1">
      <c r="A170" t="n">
        <v>11120037</v>
      </c>
      <c r="B170" t="inlineStr">
        <is>
          <t>UNIVERSO 86 1C 1E D GT C/REB FREGADERO</t>
        </is>
      </c>
    </row>
    <row r="171" hidden="1">
      <c r="A171" t="n">
        <v>11120086</v>
      </c>
      <c r="B171" t="inlineStr">
        <is>
          <t>UNIVERSO 2C FREGADERO (11120027)</t>
        </is>
      </c>
    </row>
    <row r="172" hidden="1">
      <c r="A172" t="n">
        <v>11120102</v>
      </c>
      <c r="B172" t="inlineStr">
        <is>
          <t>UNIVERSO 86 1C 1E I GT C/REB FREGADERO</t>
        </is>
      </c>
    </row>
    <row r="173" hidden="1">
      <c r="A173" t="n">
        <v>11120110</v>
      </c>
      <c r="B173" t="inlineStr">
        <is>
          <t>TEKAWAY FREG. UNIVERSO 1C 1E DER + GRIFO IN 995</t>
        </is>
      </c>
    </row>
    <row r="174" hidden="1">
      <c r="A174" t="n">
        <v>11120111</v>
      </c>
      <c r="B174" t="inlineStr">
        <is>
          <t>TEKAWAY FREG. UNIVERSO 1C 1E IZQ + GRIFO IN 995</t>
        </is>
      </c>
    </row>
    <row r="175" hidden="1">
      <c r="A175" t="n">
        <v>11120112</v>
      </c>
      <c r="B175" t="inlineStr">
        <is>
          <t>TEKAWAY FREG. UNIVERSO 2C 1E DER + GRIFO IN 995</t>
        </is>
      </c>
    </row>
    <row r="176" hidden="1">
      <c r="A176" t="inlineStr">
        <is>
          <t>11120112S</t>
        </is>
      </c>
      <c r="B176" t="inlineStr">
        <is>
          <t>FREG. UNIVERSO 2C 1E DERECHO TKW</t>
        </is>
      </c>
    </row>
    <row r="177" hidden="1">
      <c r="A177" t="n">
        <v>11120113</v>
      </c>
      <c r="B177" t="inlineStr">
        <is>
          <t>TEKAWAY FREG. UNIVERSO 2C 1E IZQ + GRIFO IN 995</t>
        </is>
      </c>
    </row>
    <row r="178" hidden="1">
      <c r="A178" t="n">
        <v>11120114</v>
      </c>
      <c r="B178" t="inlineStr">
        <is>
          <t>TEKAWAY FREG. UNIVERSO 2C PERF. S/ESC. + GRIFO IN 995</t>
        </is>
      </c>
    </row>
    <row r="179" hidden="1">
      <c r="A179" t="n">
        <v>11120115</v>
      </c>
      <c r="B179" t="inlineStr">
        <is>
          <t>TEKAWAY FREG. UNIVERSO (600.510) 1C + GRIFO IN 995</t>
        </is>
      </c>
    </row>
    <row r="180" hidden="1">
      <c r="A180" t="n">
        <v>11124030</v>
      </c>
      <c r="B180" t="inlineStr">
        <is>
          <t>TEKAWAY FREG. BASICO 1C 1E DER + GRIFO ML</t>
        </is>
      </c>
    </row>
    <row r="181" hidden="1">
      <c r="A181" t="inlineStr">
        <is>
          <t>11124030S</t>
        </is>
      </c>
      <c r="B181" t="inlineStr">
        <is>
          <t>FREG. BASICO 1C 1E DER EMPOTRAR TKW</t>
        </is>
      </c>
    </row>
    <row r="182" hidden="1">
      <c r="A182" t="n">
        <v>11124031</v>
      </c>
      <c r="B182" t="inlineStr">
        <is>
          <t>TEKAWAY FREG. BASICO 1C 1E IZQ + GRIFO ML</t>
        </is>
      </c>
    </row>
    <row r="183" hidden="1">
      <c r="A183" t="inlineStr">
        <is>
          <t>11124031S</t>
        </is>
      </c>
      <c r="B183" t="inlineStr">
        <is>
          <t>FREG. BASICO 1C 1E IZQ EMPOTRAR TKW</t>
        </is>
      </c>
    </row>
    <row r="184" hidden="1">
      <c r="A184" t="n">
        <v>11124032</v>
      </c>
      <c r="B184" t="inlineStr">
        <is>
          <t>TEKAWAY FREG. BASICO 2C 1E DER + GRIFO ML</t>
        </is>
      </c>
    </row>
    <row r="185" hidden="1">
      <c r="A185" t="n">
        <v>11124033</v>
      </c>
      <c r="B185" t="inlineStr">
        <is>
          <t>TEKAWAY FREG. BASICO 2C 1E IZQ + GRIFO ML</t>
        </is>
      </c>
    </row>
    <row r="186" hidden="1">
      <c r="A186" t="n">
        <v>11124042</v>
      </c>
      <c r="B186" t="inlineStr">
        <is>
          <t>FREG. BASICO 79 1C 1E I 1Ø GT C/REB (BA) PAL</t>
        </is>
      </c>
    </row>
    <row r="187" hidden="1">
      <c r="A187" t="n">
        <v>11124043</v>
      </c>
      <c r="B187" t="inlineStr">
        <is>
          <t>FREG. BASICO 86 1C 1E D 1Ø GT C/REB (BA) PAL</t>
        </is>
      </c>
    </row>
    <row r="188" hidden="1">
      <c r="A188" t="n">
        <v>11124044</v>
      </c>
      <c r="B188" t="inlineStr">
        <is>
          <t>FREG. BASICO 86 1C 1E I 1Ø GT C/REB (BA) PAL</t>
        </is>
      </c>
    </row>
    <row r="189" hidden="1">
      <c r="A189" t="n">
        <v>11127003</v>
      </c>
      <c r="B189" t="inlineStr">
        <is>
          <t>BAHIA 1C BASIC FREGADERO</t>
        </is>
      </c>
    </row>
    <row r="190" hidden="1">
      <c r="A190" t="n">
        <v>11133013</v>
      </c>
      <c r="B190" t="inlineStr">
        <is>
          <t>TEKAWAY DEVA 45 I-CN 1C 1E D 1 CEST S/R ML913</t>
        </is>
      </c>
    </row>
    <row r="191" hidden="1">
      <c r="A191" t="n">
        <v>11133014</v>
      </c>
      <c r="B191" t="inlineStr">
        <is>
          <t>TEKAWAY DEVA 45 I-CN 1C 1E I 1 CEST S/R ML913</t>
        </is>
      </c>
    </row>
    <row r="192" hidden="1">
      <c r="A192" t="n">
        <v>11138013</v>
      </c>
      <c r="B192" t="inlineStr">
        <is>
          <t>FORLINEA R15 40.40 FREGADERO</t>
        </is>
      </c>
    </row>
    <row r="193" hidden="1">
      <c r="A193" t="n">
        <v>11138014</v>
      </c>
      <c r="B193" t="inlineStr">
        <is>
          <t>FORLINEA R15 50.40 FREGADERO</t>
        </is>
      </c>
    </row>
    <row r="194" hidden="1">
      <c r="A194" t="n">
        <v>11138015</v>
      </c>
      <c r="B194" t="inlineStr">
        <is>
          <t>FORLINEA R15 2C 740 FREGADERO</t>
        </is>
      </c>
    </row>
    <row r="195" hidden="1">
      <c r="A195" t="n">
        <v>111490006</v>
      </c>
      <c r="B195" t="inlineStr">
        <is>
          <t>KIT EMPOTRABLE PARA COMPACTOS 80CM</t>
        </is>
      </c>
    </row>
    <row r="196" hidden="1">
      <c r="A196" t="n">
        <v>111570002</v>
      </c>
      <c r="B196" t="inlineStr">
        <is>
          <t>COCINA GOURMET BBQ 3100 G BK-SS</t>
        </is>
      </c>
    </row>
    <row r="197" hidden="1">
      <c r="A197" t="n">
        <v>111570003</v>
      </c>
      <c r="B197" t="inlineStr">
        <is>
          <t>COCINA GOURMET BBQ 4100 G SS</t>
        </is>
      </c>
    </row>
    <row r="198" hidden="1">
      <c r="A198" t="n">
        <v>111580000</v>
      </c>
      <c r="B198" t="inlineStr">
        <is>
          <t>COCINA A GAS FSGG 8660 S RX 127V 60HZ LPG</t>
        </is>
      </c>
    </row>
    <row r="199" hidden="1">
      <c r="A199" t="n">
        <v>111630008</v>
      </c>
      <c r="B199" t="inlineStr">
        <is>
          <t>CAFETERA INTEGRACION CLC 85-G1 GM BM MX</t>
        </is>
      </c>
    </row>
    <row r="200" hidden="1">
      <c r="A200" t="n">
        <v>111630014</v>
      </c>
      <c r="B200" t="inlineStr">
        <is>
          <t>CAFETERA CLC 855 GM BK</t>
        </is>
      </c>
    </row>
    <row r="201" hidden="1">
      <c r="A201" t="n">
        <v>111910000</v>
      </c>
      <c r="B201" t="inlineStr">
        <is>
          <t>MLH 845 SS - MICROONDAS</t>
        </is>
      </c>
    </row>
    <row r="202" hidden="1">
      <c r="A202" t="n">
        <v>112030008</v>
      </c>
      <c r="B202" t="inlineStr">
        <is>
          <t>ML 8220 BIS - MICROONDAS</t>
        </is>
      </c>
    </row>
    <row r="203" hidden="1">
      <c r="A203" t="n">
        <v>112030009</v>
      </c>
      <c r="B203" t="inlineStr">
        <is>
          <t>ML 82-G1 BIS L BM - MICROONDAS</t>
        </is>
      </c>
    </row>
    <row r="204" hidden="1">
      <c r="A204" t="n">
        <v>112030010</v>
      </c>
      <c r="B204" t="inlineStr">
        <is>
          <t>ML 82-G1 BIS L BM - MICROONDAS 220V/60HZ</t>
        </is>
      </c>
    </row>
    <row r="205" hidden="1">
      <c r="A205" t="n">
        <v>112030019</v>
      </c>
      <c r="B205" t="inlineStr">
        <is>
          <t>ML 8220 BIS FBK- MICROONDAS</t>
        </is>
      </c>
    </row>
    <row r="206" hidden="1">
      <c r="A206" t="n">
        <v>112030023</v>
      </c>
      <c r="B206" t="inlineStr">
        <is>
          <t>ML 82-VGOGH  BIS L- MICROONDAS 220V/60HZ</t>
        </is>
      </c>
    </row>
    <row r="207" hidden="1">
      <c r="A207" t="n">
        <v>112070010</v>
      </c>
      <c r="B207" t="inlineStr">
        <is>
          <t>MS 6200 BIS SS 220/60 SA E08 MICROONDAS</t>
        </is>
      </c>
    </row>
    <row r="208" hidden="1">
      <c r="A208" t="n">
        <v>112500011</v>
      </c>
      <c r="B208" t="inlineStr">
        <is>
          <t>IR 9530 COCINA INDUCCION</t>
        </is>
      </c>
    </row>
    <row r="209" hidden="1">
      <c r="A209" t="n">
        <v>112500046</v>
      </c>
      <c r="B209" t="inlineStr">
        <is>
          <t>IZF 88700 MST COCINA INDUCCION</t>
        </is>
      </c>
    </row>
    <row r="210" hidden="1">
      <c r="A210" t="n">
        <v>112500047</v>
      </c>
      <c r="B210" t="inlineStr">
        <is>
          <t>IZF 99700 MST COCINA INDUCCION</t>
        </is>
      </c>
    </row>
    <row r="211" hidden="1">
      <c r="A211" t="n">
        <v>112500048</v>
      </c>
      <c r="B211" t="inlineStr">
        <is>
          <t>IZS 97630 MST COCINA INDUCCION</t>
        </is>
      </c>
    </row>
    <row r="212" hidden="1">
      <c r="A212" t="n">
        <v>112500049</v>
      </c>
      <c r="B212" t="inlineStr">
        <is>
          <t>IZS 86630 MST COCINA INDUCCION</t>
        </is>
      </c>
    </row>
    <row r="213" hidden="1">
      <c r="A213" t="n">
        <v>112500052</v>
      </c>
      <c r="B213" t="inlineStr">
        <is>
          <t>AFF 87600 MST BK COCINA INDUCCION</t>
        </is>
      </c>
    </row>
    <row r="214" hidden="1">
      <c r="A214" t="n">
        <v>112500053</v>
      </c>
      <c r="B214" t="inlineStr">
        <is>
          <t>AFC 87628 HOOD IN HOB COC. INDUCCION / CAMPANA</t>
        </is>
      </c>
    </row>
    <row r="215" hidden="1">
      <c r="A215" t="n">
        <v>112510001</v>
      </c>
      <c r="B215" t="inlineStr">
        <is>
          <t>IZC 32300 DMS COCINA MODULAR INDUCCION</t>
        </is>
      </c>
    </row>
    <row r="216" hidden="1">
      <c r="A216" t="n">
        <v>112510035</v>
      </c>
      <c r="B216" t="inlineStr">
        <is>
          <t>IZF 64440 MSP BK COCINA INDUCCION</t>
        </is>
      </c>
    </row>
    <row r="217" hidden="1">
      <c r="A217" t="n">
        <v>112510036</v>
      </c>
      <c r="B217" t="inlineStr">
        <is>
          <t>IZC 32310 MSP BK COCINA MODULAR INDUCCION</t>
        </is>
      </c>
    </row>
    <row r="218" hidden="1">
      <c r="A218" t="n">
        <v>112520010</v>
      </c>
      <c r="B218" t="inlineStr">
        <is>
          <t>IB 6415 COCINA INDUCCION</t>
        </is>
      </c>
    </row>
    <row r="219" hidden="1">
      <c r="A219" t="n">
        <v>112520024</v>
      </c>
      <c r="B219" t="inlineStr">
        <is>
          <t>IBC 64000 TTC COCINA INDUCCION</t>
        </is>
      </c>
    </row>
    <row r="220" hidden="1">
      <c r="A220" t="n">
        <v>112520025</v>
      </c>
      <c r="B220" t="inlineStr">
        <is>
          <t>IZC 64010 MSS COCINA INDUCCION</t>
        </is>
      </c>
    </row>
    <row r="221" hidden="1">
      <c r="A221" t="n">
        <v>112570005</v>
      </c>
      <c r="B221" t="inlineStr">
        <is>
          <t>GZC 31330 XBB COCINA MODULAR GAS</t>
        </is>
      </c>
    </row>
    <row r="222" hidden="1">
      <c r="A222" t="n">
        <v>112570016</v>
      </c>
      <c r="B222" t="inlineStr">
        <is>
          <t>GZC 32300 XBB CRISTAL COCINA GAS</t>
        </is>
      </c>
    </row>
    <row r="223" hidden="1">
      <c r="A223" t="n">
        <v>112570041</v>
      </c>
      <c r="B223" t="inlineStr">
        <is>
          <t>GZC 64320 XBB CRISTAL COCINA GAS</t>
        </is>
      </c>
    </row>
    <row r="224" hidden="1">
      <c r="A224" t="n">
        <v>112570068</v>
      </c>
      <c r="B224" t="inlineStr">
        <is>
          <t>GZC 95320 XBB CRISTAL COCINA GAS</t>
        </is>
      </c>
    </row>
    <row r="225" hidden="1">
      <c r="A225" t="n">
        <v>112570073</v>
      </c>
      <c r="B225" t="inlineStr">
        <is>
          <t>GZC 96310 XBB CRISTAL COCINA GAS</t>
        </is>
      </c>
    </row>
    <row r="226" hidden="1">
      <c r="A226" t="n">
        <v>112570093</v>
      </c>
      <c r="B226" t="inlineStr">
        <is>
          <t>GZC 75330 XBB CRISTAL COCINA GAS</t>
        </is>
      </c>
    </row>
    <row r="227" hidden="1">
      <c r="A227" t="n">
        <v>112570123</v>
      </c>
      <c r="B227" t="inlineStr">
        <is>
          <t>JZC 63312 ABB BK (LAT) COCINA MIXTA GAS - INDUCCION (40213012)</t>
        </is>
      </c>
    </row>
    <row r="228" hidden="1">
      <c r="A228" t="n">
        <v>112570124</v>
      </c>
      <c r="B228" t="inlineStr">
        <is>
          <t>JZC 64322 ABB BK (LAT) COCINA MIXTA GAS - INDUCCION</t>
        </is>
      </c>
    </row>
    <row r="229" hidden="1">
      <c r="A229" t="n">
        <v>112570125</v>
      </c>
      <c r="B229" t="inlineStr">
        <is>
          <t>JZC 95314 ABB BK (LAT) COCINA MIXTA GAS - INDUCCION (40213032)</t>
        </is>
      </c>
    </row>
    <row r="230" hidden="1">
      <c r="A230" t="n">
        <v>112570126</v>
      </c>
      <c r="B230" t="inlineStr">
        <is>
          <t>JZC 96324 ABB BK (LAT) COCINA MIXTA GAS - INDUCCION (40213042)</t>
        </is>
      </c>
    </row>
    <row r="231" hidden="1">
      <c r="A231" t="n">
        <v>112570127</v>
      </c>
      <c r="B231" t="inlineStr">
        <is>
          <t>JZC 96342 ABB BK (LAT) COCINA MIXTA GAS - INDUCCION</t>
        </is>
      </c>
    </row>
    <row r="232" hidden="1">
      <c r="A232" t="n">
        <v>112570128</v>
      </c>
      <c r="B232" t="inlineStr">
        <is>
          <t>JZC 96342 BBB BK (LAT) COCINA MIXTA GAS - INDUCCION</t>
        </is>
      </c>
    </row>
    <row r="233" hidden="1">
      <c r="A233" t="n">
        <v>112570209</v>
      </c>
      <c r="B233" t="inlineStr">
        <is>
          <t>GBC 64-G1 GBA BM COCINA GAS</t>
        </is>
      </c>
    </row>
    <row r="234" hidden="1">
      <c r="A234" t="n">
        <v>112570211</v>
      </c>
      <c r="B234" t="inlineStr">
        <is>
          <t>GBC 75-G1 GBA BM COCINA GAS</t>
        </is>
      </c>
    </row>
    <row r="235" hidden="1">
      <c r="A235" t="n">
        <v>112570238</v>
      </c>
      <c r="B235" t="inlineStr">
        <is>
          <t>GBC 95-G1 GBA BM COCINA GAS</t>
        </is>
      </c>
    </row>
    <row r="236" hidden="1">
      <c r="A236" t="n">
        <v>112570242</v>
      </c>
      <c r="B236" t="inlineStr">
        <is>
          <t>GBC 64 V-GOGH VA BV COCINA GAS</t>
        </is>
      </c>
    </row>
    <row r="237" hidden="1">
      <c r="A237" t="n">
        <v>112570244</v>
      </c>
      <c r="B237" t="inlineStr">
        <is>
          <t>GBC 75 V-GOGH VA BV COCINA GAS</t>
        </is>
      </c>
    </row>
    <row r="238" hidden="1">
      <c r="A238" t="n">
        <v>112570246</v>
      </c>
      <c r="B238" t="inlineStr">
        <is>
          <t>GBC 95 V-GOGH VA BV COCINA GAS</t>
        </is>
      </c>
    </row>
    <row r="239" hidden="1">
      <c r="A239" t="n">
        <v>112580017</v>
      </c>
      <c r="B239" t="inlineStr">
        <is>
          <t>GBC 64000 KBB CRISTAL COCINA GAS</t>
        </is>
      </c>
    </row>
    <row r="240" hidden="1">
      <c r="A240" t="n">
        <v>112580027</v>
      </c>
      <c r="B240" t="inlineStr">
        <is>
          <t>GBC 75030 KBB CRISTAL COCINA GAS</t>
        </is>
      </c>
    </row>
    <row r="241" hidden="1">
      <c r="A241" t="n">
        <v>112580058</v>
      </c>
      <c r="B241" t="inlineStr">
        <is>
          <t>GBC 95030 KBB BK COCINA GAS</t>
        </is>
      </c>
    </row>
    <row r="242" hidden="1">
      <c r="A242" t="n">
        <v>112600000</v>
      </c>
      <c r="B242" t="inlineStr">
        <is>
          <t>EX 90.1 5G AI DR CI COCINA INOX</t>
        </is>
      </c>
    </row>
    <row r="243" hidden="1">
      <c r="A243" t="n">
        <v>112600001</v>
      </c>
      <c r="B243" t="inlineStr">
        <is>
          <t>EX 60.1 4G AI CI COCINA INOX</t>
        </is>
      </c>
    </row>
    <row r="244" hidden="1">
      <c r="A244" t="n">
        <v>112610067</v>
      </c>
      <c r="B244" t="inlineStr">
        <is>
          <t>GSC 96320 XBA IX (LAT) COCINA INOX</t>
        </is>
      </c>
    </row>
    <row r="245" hidden="1">
      <c r="A245" t="n">
        <v>112610068</v>
      </c>
      <c r="B245" t="inlineStr">
        <is>
          <t>GSC 95330 XBA IX (LAT) COCINA INOX</t>
        </is>
      </c>
    </row>
    <row r="246" hidden="1">
      <c r="A246" t="n">
        <v>112610069</v>
      </c>
      <c r="B246" t="inlineStr">
        <is>
          <t>GSC 75330 XBA IX (LAT) COCINA INOX</t>
        </is>
      </c>
    </row>
    <row r="247" hidden="1">
      <c r="A247" t="n">
        <v>112610070</v>
      </c>
      <c r="B247" t="inlineStr">
        <is>
          <t>GSC 75320 XBA IX (LAT) COCINA INOX</t>
        </is>
      </c>
    </row>
    <row r="248" hidden="1">
      <c r="A248" t="n">
        <v>112610071</v>
      </c>
      <c r="B248" t="inlineStr">
        <is>
          <t>GSC 64320 XBA IX (LAT) COCINA INOX</t>
        </is>
      </c>
    </row>
    <row r="249" hidden="1">
      <c r="A249" t="n">
        <v>112620016</v>
      </c>
      <c r="B249" t="inlineStr">
        <is>
          <t>HLX 640 KIB1E IX (LAT)</t>
        </is>
      </c>
    </row>
    <row r="250" hidden="1">
      <c r="A250" t="n">
        <v>112660000</v>
      </c>
      <c r="B250" t="inlineStr">
        <is>
          <t>YZC 32600 XFL (TEPPAN YAKI)</t>
        </is>
      </c>
    </row>
    <row r="251" hidden="1">
      <c r="A251" t="n">
        <v>112730000</v>
      </c>
      <c r="B251" t="inlineStr">
        <is>
          <t>AFF 87601 HOOD IN HOB</t>
        </is>
      </c>
    </row>
    <row r="252" hidden="1">
      <c r="A252" t="n">
        <v>112890000</v>
      </c>
      <c r="B252" t="inlineStr">
        <is>
          <t>PLANCHA GRILL - HOT PLATE</t>
        </is>
      </c>
    </row>
    <row r="253" hidden="1">
      <c r="A253" t="n">
        <v>112910007</v>
      </c>
      <c r="B253" t="inlineStr">
        <is>
          <t>CC 480 BK ISLA INOX CAMPANA</t>
        </is>
      </c>
    </row>
    <row r="254" hidden="1">
      <c r="A254" t="n">
        <v>112930022</v>
      </c>
      <c r="B254" t="inlineStr">
        <is>
          <t>DVF 67670 TBL BK CAMPANA (110V-60HZ) C/KIT</t>
        </is>
      </c>
    </row>
    <row r="255" hidden="1">
      <c r="A255" t="n">
        <v>112930023</v>
      </c>
      <c r="B255" t="inlineStr">
        <is>
          <t>DVF 97670 TBL BK CAMPANA (110V-60HZ) C/KIT</t>
        </is>
      </c>
    </row>
    <row r="256" hidden="1">
      <c r="A256" t="n">
        <v>112930045</v>
      </c>
      <c r="B256" t="inlineStr">
        <is>
          <t>DLV 98660 TRL BK CAMPANA (110V-60HZ) C/KIT</t>
        </is>
      </c>
    </row>
    <row r="257" hidden="1">
      <c r="A257" t="n">
        <v>112930047</v>
      </c>
      <c r="B257" t="inlineStr">
        <is>
          <t>DVT 98660 TRL BK</t>
        </is>
      </c>
    </row>
    <row r="258" hidden="1">
      <c r="A258" t="n">
        <v>112930048</v>
      </c>
      <c r="B258" t="inlineStr">
        <is>
          <t>DVT 88660 TRL BK</t>
        </is>
      </c>
    </row>
    <row r="259" hidden="1">
      <c r="A259" t="n">
        <v>112930049</v>
      </c>
      <c r="B259" t="inlineStr">
        <is>
          <t>DVT 68660 TRL BK</t>
        </is>
      </c>
    </row>
    <row r="260" hidden="1">
      <c r="A260" t="n">
        <v>112930063</v>
      </c>
      <c r="B260" t="inlineStr">
        <is>
          <t>DVI 88-G1 EOS BM CAMPANA (110V-60HZ)</t>
        </is>
      </c>
    </row>
    <row r="261" hidden="1">
      <c r="A261" t="n">
        <v>112930068</v>
      </c>
      <c r="B261" t="inlineStr">
        <is>
          <t>DVI 98-G1 EOS BM (110-60Hz) w/kit</t>
        </is>
      </c>
    </row>
    <row r="262" hidden="1">
      <c r="A262" t="n">
        <v>112930076</v>
      </c>
      <c r="B262" t="inlineStr">
        <is>
          <t>DVT-VG 98660 TCS BK</t>
        </is>
      </c>
    </row>
    <row r="263" hidden="1">
      <c r="A263" t="n">
        <v>112950019</v>
      </c>
      <c r="B263" t="inlineStr">
        <is>
          <t>DVN 64030 TCL BK CAMPANA (110V-60HZ) C/KIT</t>
        </is>
      </c>
    </row>
    <row r="264" hidden="1">
      <c r="A264" t="n">
        <v>112950020</v>
      </c>
      <c r="B264" t="inlineStr">
        <is>
          <t>DVN 74030 TCL BK CAMPANA (110V-60HZ) C/KIT</t>
        </is>
      </c>
    </row>
    <row r="265" hidden="1">
      <c r="A265" t="n">
        <v>112950021</v>
      </c>
      <c r="B265" t="inlineStr">
        <is>
          <t>DVN 94030 TCL BK CAMPANA (110V-60HZ) C/KIT</t>
        </is>
      </c>
    </row>
    <row r="266" hidden="1">
      <c r="A266" t="n">
        <v>112960004</v>
      </c>
      <c r="B266" t="inlineStr">
        <is>
          <t>DPL 980 CAMPANA (110V-60HZ) C/KIT</t>
        </is>
      </c>
    </row>
    <row r="267" hidden="1">
      <c r="A267" t="n">
        <v>112970010</v>
      </c>
      <c r="B267" t="inlineStr">
        <is>
          <t>DSH 986 FBK CAMPANA</t>
        </is>
      </c>
    </row>
    <row r="268" hidden="1">
      <c r="A268" t="n">
        <v>113100004</v>
      </c>
      <c r="B268" t="inlineStr">
        <is>
          <t>CAMPANA DHT 97670 ROS WH</t>
        </is>
      </c>
    </row>
    <row r="269" hidden="1">
      <c r="A269" t="n">
        <v>113120009</v>
      </c>
      <c r="B269" t="inlineStr">
        <is>
          <t>GFI 67350 ECS IX 110/60 CAMPANA</t>
        </is>
      </c>
    </row>
    <row r="270" hidden="1">
      <c r="A270" t="n">
        <v>113120010</v>
      </c>
      <c r="B270" t="inlineStr">
        <is>
          <t>GFI 97350 ECS IX 110/60 CAMPANA</t>
        </is>
      </c>
    </row>
    <row r="271" hidden="1">
      <c r="A271" t="n">
        <v>113290025</v>
      </c>
      <c r="B271" t="inlineStr">
        <is>
          <t>Kit de recirculación RFC 60210 O1B</t>
        </is>
      </c>
    </row>
    <row r="272" hidden="1">
      <c r="A272" t="n">
        <v>113290044</v>
      </c>
      <c r="B272" t="inlineStr">
        <is>
          <t>FILTRO REGENERATIVO REGENERATIVE RECIRCULATION KIT W/O TUBECOVER RFH 12120 FOC</t>
        </is>
      </c>
    </row>
    <row r="273" hidden="1">
      <c r="A273" t="n">
        <v>113430016</v>
      </c>
      <c r="B273" t="inlineStr">
        <is>
          <t>RFD 77820 GBK FRENCH DOOR BK REFRIGERADORA</t>
        </is>
      </c>
    </row>
    <row r="274" hidden="1">
      <c r="A274" t="n">
        <v>113430018</v>
      </c>
      <c r="B274" t="inlineStr">
        <is>
          <t>RLF 74920 SS SBS REFRIGERADORA</t>
        </is>
      </c>
    </row>
    <row r="275" hidden="1">
      <c r="A275" t="n">
        <v>113430051</v>
      </c>
      <c r="B275" t="inlineStr">
        <is>
          <t>RMF 77960 GBK MX REFRIGERADORA</t>
        </is>
      </c>
    </row>
    <row r="276" hidden="1">
      <c r="A276" t="n">
        <v>113430073</v>
      </c>
      <c r="B276" t="inlineStr">
        <is>
          <t>RMF 77960 DSS MX REFRIGERADORA DARK INOX</t>
        </is>
      </c>
    </row>
    <row r="277" hidden="1">
      <c r="A277" t="n">
        <v>113600014</v>
      </c>
      <c r="B277" t="inlineStr">
        <is>
          <t>RVF 20110 VINERA</t>
        </is>
      </c>
    </row>
    <row r="278" hidden="1">
      <c r="A278" t="n">
        <v>113600015</v>
      </c>
      <c r="B278" t="inlineStr">
        <is>
          <t>RVU 20046 GBK VINERA</t>
        </is>
      </c>
    </row>
    <row r="279" hidden="1">
      <c r="A279" t="n">
        <v>113600016</v>
      </c>
      <c r="B279" t="inlineStr">
        <is>
          <t>RVI 10024 VINERA</t>
        </is>
      </c>
    </row>
    <row r="280" hidden="1">
      <c r="A280" t="n">
        <v>113600017</v>
      </c>
      <c r="B280" t="inlineStr">
        <is>
          <t>RVI 30097 GBK VINERA</t>
        </is>
      </c>
    </row>
    <row r="281" hidden="1">
      <c r="A281" t="n">
        <v>113610005</v>
      </c>
      <c r="B281" t="inlineStr">
        <is>
          <t>RVF 10032 VINERA</t>
        </is>
      </c>
    </row>
    <row r="282" hidden="1">
      <c r="A282" t="n">
        <v>113620002</v>
      </c>
      <c r="B282" t="inlineStr">
        <is>
          <t>RVC 10008 GBK VINERA</t>
        </is>
      </c>
    </row>
    <row r="283" hidden="1">
      <c r="A283" t="n">
        <v>114270004</v>
      </c>
      <c r="B283" t="inlineStr">
        <is>
          <t>LAVAVAJILLAS DFI 46950 120 60 WH DECO</t>
        </is>
      </c>
    </row>
    <row r="284" hidden="1">
      <c r="A284" t="n">
        <v>114270008</v>
      </c>
      <c r="B284" t="inlineStr">
        <is>
          <t>LAVAVAJILLAS DFI 46900 120 60 WH</t>
        </is>
      </c>
    </row>
    <row r="285" hidden="1">
      <c r="A285" t="n">
        <v>114300004</v>
      </c>
      <c r="B285" t="inlineStr">
        <is>
          <t>LAVAVAJILLAS DFS 74850 120 60 SS</t>
        </is>
      </c>
    </row>
    <row r="286" hidden="1">
      <c r="A286" t="n">
        <v>115000004</v>
      </c>
      <c r="B286" t="inlineStr">
        <is>
          <t>BE LINEA RS15 71.40 FREGADERO</t>
        </is>
      </c>
    </row>
    <row r="287" hidden="1">
      <c r="A287" t="n">
        <v>115000005</v>
      </c>
      <c r="B287" t="inlineStr">
        <is>
          <t>BE LINEA RS15 50.40 FREGADERO</t>
        </is>
      </c>
    </row>
    <row r="288" hidden="1">
      <c r="A288" t="n">
        <v>115000007</v>
      </c>
      <c r="B288" t="inlineStr">
        <is>
          <t>BE LINEA RS15 40.40 FREGADERO</t>
        </is>
      </c>
    </row>
    <row r="289" hidden="1">
      <c r="A289" t="n">
        <v>115000008</v>
      </c>
      <c r="B289" t="inlineStr">
        <is>
          <t>BE LINEA RS15 34.40 - FREGADERO</t>
        </is>
      </c>
    </row>
    <row r="290" hidden="1">
      <c r="A290" t="n">
        <v>115000018</v>
      </c>
      <c r="B290" t="inlineStr">
        <is>
          <t>FORLINEA RS15 50.40 1Ø 3½ W/OVF - FREGADERO</t>
        </is>
      </c>
    </row>
    <row r="291" hidden="1">
      <c r="A291" t="n">
        <v>115000020</v>
      </c>
      <c r="B291" t="inlineStr">
        <is>
          <t>FORLINEA RS15 40.40 1Ø 3½ W/OVF - FREGADERO</t>
        </is>
      </c>
    </row>
    <row r="292" hidden="1">
      <c r="A292" t="n">
        <v>115000022</v>
      </c>
      <c r="B292" t="inlineStr">
        <is>
          <t>ZENIT RS15 1B 3Ø AUTO WST PRO +SD+CB+CL</t>
        </is>
      </c>
    </row>
    <row r="293" hidden="1">
      <c r="A293" t="n">
        <v>115000025</v>
      </c>
      <c r="B293" t="inlineStr">
        <is>
          <t>FREG. FLEXLINEA RS15 50.40 COPPER</t>
        </is>
      </c>
    </row>
    <row r="294" hidden="1">
      <c r="A294" t="n">
        <v>115000046</v>
      </c>
      <c r="B294" t="inlineStr">
        <is>
          <t>FREG. FLEXLINEA RS15 50.40 M-XT 1C 3½ SQ C/REB SF PURE CLEAN</t>
        </is>
      </c>
    </row>
    <row r="295" hidden="1">
      <c r="A295" t="n">
        <v>115000047</v>
      </c>
      <c r="B295" t="inlineStr">
        <is>
          <t>FREGADERO-METALLIC EDITION FLEXLINEA RS15 50.40+ICC 915 BRASS</t>
        </is>
      </c>
    </row>
    <row r="296" hidden="1">
      <c r="A296" t="n">
        <v>115000048</v>
      </c>
      <c r="B296" t="inlineStr">
        <is>
          <t>FREGADERO-METALLIC EDITION FLEXLINEA RS15 50.40+ICC 915 TITANIUM</t>
        </is>
      </c>
    </row>
    <row r="297" hidden="1">
      <c r="A297" t="n">
        <v>115000052</v>
      </c>
      <c r="B297" t="inlineStr">
        <is>
          <t>FORLINEA RS15 71.40 2Ø 3½ AUTO WASTE W/OVF</t>
        </is>
      </c>
    </row>
    <row r="298" hidden="1">
      <c r="A298" t="n">
        <v>115000054</v>
      </c>
      <c r="B298" t="inlineStr">
        <is>
          <t>FLEXLINEA RS15 PURE CLEAN 71.40 M-XT 1B 3½</t>
        </is>
      </c>
    </row>
    <row r="299" hidden="1">
      <c r="A299" t="n">
        <v>115000055</v>
      </c>
      <c r="B299" t="inlineStr">
        <is>
          <t>AMERICAN PRO 60 M-XP 1B 3½ SQ W/OVF SP FREGADERO</t>
        </is>
      </c>
    </row>
    <row r="300" hidden="1">
      <c r="A300" t="n">
        <v>115000056</v>
      </c>
      <c r="B300" t="inlineStr">
        <is>
          <t>AMERICAN PRO 80 M-XP 1B 3½ SQ W/OVF SP FREGADERO</t>
        </is>
      </c>
    </row>
    <row r="301" hidden="1">
      <c r="A301" t="n">
        <v>115000057</v>
      </c>
      <c r="B301" t="inlineStr">
        <is>
          <t>BROOKLYN 50 1C FREGADERO</t>
        </is>
      </c>
    </row>
    <row r="302" hidden="1">
      <c r="A302" t="n">
        <v>115000075</v>
      </c>
      <c r="B302" t="inlineStr">
        <is>
          <t>FREGADERO DIAMOND RS15 1B BLACK</t>
        </is>
      </c>
    </row>
    <row r="303" hidden="1">
      <c r="A303" t="n">
        <v>115000081</v>
      </c>
      <c r="B303" t="inlineStr">
        <is>
          <t>FORLINE RS15 40.40 1Ø 3½ W/OVF SP - FREGADERO</t>
        </is>
      </c>
    </row>
    <row r="304" hidden="1">
      <c r="A304" t="n">
        <v>115000082</v>
      </c>
      <c r="B304" t="inlineStr">
        <is>
          <t>FORLINE RS15 50.40 1Ø 3½ W/OVF SP - FREGADERO</t>
        </is>
      </c>
    </row>
    <row r="305" hidden="1">
      <c r="A305" t="n">
        <v>115000083</v>
      </c>
      <c r="B305" t="inlineStr">
        <is>
          <t>FORLINE RS15 71.40 1Ø 3½ W/OVF SP +CB+CL - FREGADERO</t>
        </is>
      </c>
    </row>
    <row r="306" hidden="1">
      <c r="A306" t="n">
        <v>115000088</v>
      </c>
      <c r="B306" t="inlineStr">
        <is>
          <t>TOPLINE RS15 50.40 FBK 3½ W/OVF SP - FREGADERO</t>
        </is>
      </c>
    </row>
    <row r="307" hidden="1">
      <c r="A307" t="n">
        <v>115010029</v>
      </c>
      <c r="B307" t="inlineStr">
        <is>
          <t>BE 34.40 3½ W/OVF FREGADERO</t>
        </is>
      </c>
    </row>
    <row r="308" hidden="1">
      <c r="A308" t="n">
        <v>115010031</v>
      </c>
      <c r="B308" t="inlineStr">
        <is>
          <t>BE 50.40.16 MAX 3½ W/OVF FREGADERO</t>
        </is>
      </c>
    </row>
    <row r="309" hidden="1">
      <c r="A309" t="n">
        <v>115010046</v>
      </c>
      <c r="B309" t="inlineStr">
        <is>
          <t>TEKAWAY BET 50.40 PLUS 3½ W/OVF SP UNI-9310-XP</t>
        </is>
      </c>
    </row>
    <row r="310" hidden="1">
      <c r="A310" t="n">
        <v>115020012</v>
      </c>
      <c r="B310" t="inlineStr">
        <is>
          <t>FREG. STARBRIGHT 45 E-XN 1C GT C/REB</t>
        </is>
      </c>
    </row>
    <row r="311" hidden="1">
      <c r="A311" t="n">
        <v>115020025</v>
      </c>
      <c r="B311" t="inlineStr">
        <is>
          <t>TEKAWAY STYLO 1B 1Ø 3½ W/OVF SP UNI-9310-XP</t>
        </is>
      </c>
    </row>
    <row r="312" hidden="1">
      <c r="A312" t="n">
        <v>115030007</v>
      </c>
      <c r="B312" t="inlineStr">
        <is>
          <t>BE LINEA RS15 2C 740 FREGADERO</t>
        </is>
      </c>
    </row>
    <row r="313" hidden="1">
      <c r="A313" t="n">
        <v>115030012</v>
      </c>
      <c r="B313" t="inlineStr">
        <is>
          <t>FORLINEA RS15 2B 740 1Ø 3½ W/OVF FREGADERO</t>
        </is>
      </c>
    </row>
    <row r="314" hidden="1">
      <c r="A314" t="n">
        <v>115030016</v>
      </c>
      <c r="B314" t="inlineStr">
        <is>
          <t>ZENIT RS15 2B 86 3Ø AUTO WST PRO +SD+CB+CL FREGADERO</t>
        </is>
      </c>
    </row>
    <row r="315" hidden="1">
      <c r="A315" t="n">
        <v>115030017</v>
      </c>
      <c r="B315" t="inlineStr">
        <is>
          <t>FREGADERO DIAMOND RS15 2C 86 AUTO</t>
        </is>
      </c>
    </row>
    <row r="316" hidden="1">
      <c r="A316" t="n">
        <v>115030024</v>
      </c>
      <c r="B316" t="inlineStr">
        <is>
          <t>BROOKLYN 90 2C REV FREGADERO</t>
        </is>
      </c>
    </row>
    <row r="317" hidden="1">
      <c r="A317" t="n">
        <v>115030026</v>
      </c>
      <c r="B317" t="inlineStr">
        <is>
          <t>FREG. FLEXLINEA RS15 860 2B M-XT  PURE CLEAN</t>
        </is>
      </c>
    </row>
    <row r="318" hidden="1">
      <c r="A318" t="n">
        <v>115040008</v>
      </c>
      <c r="B318" t="inlineStr">
        <is>
          <t>FREG. UNIVERSE 80 T-XP 2C 1Ø 3½ C/S/REB SF INCLUYE SIFON</t>
        </is>
      </c>
    </row>
    <row r="319" hidden="1">
      <c r="A319" t="n">
        <v>115050000</v>
      </c>
      <c r="B319" t="inlineStr">
        <is>
          <t>TEKAWAY FREG. DR-80 2C  S/REB + GRIFO IN 915</t>
        </is>
      </c>
    </row>
    <row r="320" hidden="1">
      <c r="A320" t="n">
        <v>115050005</v>
      </c>
      <c r="B320" t="inlineStr">
        <is>
          <t>800.440 2B SW WO/OVF (BA) PAL/CAR FREGADERO</t>
        </is>
      </c>
    </row>
    <row r="321" hidden="1">
      <c r="A321" t="n">
        <v>115050014</v>
      </c>
      <c r="B321" t="inlineStr">
        <is>
          <t>TEKAWAY STARBRIGHT 80 E-XP 2B 1Ø 3½ W/OVF UNI-9310-XP</t>
        </is>
      </c>
    </row>
    <row r="322" hidden="1">
      <c r="A322" t="n">
        <v>115100011</v>
      </c>
      <c r="B322" t="inlineStr">
        <is>
          <t>DIAMOND RS15 1C 1E REV FREGADERO CRISTAL</t>
        </is>
      </c>
    </row>
    <row r="323" hidden="1">
      <c r="A323" t="n">
        <v>115100013</v>
      </c>
      <c r="B323" t="inlineStr">
        <is>
          <t>ZENIT R15 1C 1E D 86 3Ø V.AUTM.+JB+TB FREGADERO</t>
        </is>
      </c>
    </row>
    <row r="324" hidden="1">
      <c r="A324" t="n">
        <v>115100014</v>
      </c>
      <c r="B324" t="inlineStr">
        <is>
          <t>ZENIT R15 1C 1E I 86 3Ø V.AUTM.+JB+TB FREGADERO</t>
        </is>
      </c>
    </row>
    <row r="325" hidden="1">
      <c r="A325" t="n">
        <v>115100015</v>
      </c>
      <c r="B325" t="inlineStr">
        <is>
          <t>ZENIT R15 1C 1E D 78 2Ø V.AUTM. FREGADERO</t>
        </is>
      </c>
    </row>
    <row r="326" hidden="1">
      <c r="A326" t="n">
        <v>115100016</v>
      </c>
      <c r="B326" t="inlineStr">
        <is>
          <t>ZENIT R15 1C 1E I 78 2Ø V.AUTM. FREGADERO</t>
        </is>
      </c>
    </row>
    <row r="327" hidden="1">
      <c r="A327" t="n">
        <v>115100023</v>
      </c>
      <c r="B327" t="inlineStr">
        <is>
          <t>BROOKLYN 60 1C 1E PLUS REV FREGADERO</t>
        </is>
      </c>
    </row>
    <row r="328" hidden="1">
      <c r="A328" t="n">
        <v>115110011</v>
      </c>
      <c r="B328" t="inlineStr">
        <is>
          <t>UNIVERSE 45 1B 1D REV 3½ W/OVF SP INCLUYE SIFON FREGADERO</t>
        </is>
      </c>
    </row>
    <row r="329" hidden="1">
      <c r="A329" t="n">
        <v>115110017</v>
      </c>
      <c r="B329" t="inlineStr">
        <is>
          <t>UNIVERSE 50 MAX 1B 1D REV 3½ W/OVF SP INCLUYE SIFON FREGADERO</t>
        </is>
      </c>
    </row>
    <row r="330" hidden="1">
      <c r="A330" t="n">
        <v>115110031</v>
      </c>
      <c r="B330" t="inlineStr">
        <is>
          <t>TEKAWAY UNIVERSE 45 T-XP 1B 1D REV + IN995</t>
        </is>
      </c>
    </row>
    <row r="331" hidden="1">
      <c r="A331" t="n">
        <v>115110040</v>
      </c>
      <c r="B331" t="inlineStr">
        <is>
          <t>FREGADERO GALAXY 800 T-XP 1B 1D R 0Ø BW W/OVF</t>
        </is>
      </c>
    </row>
    <row r="332" hidden="1">
      <c r="A332" t="n">
        <v>115110041</v>
      </c>
      <c r="B332" t="inlineStr">
        <is>
          <t>FREGADERO GALAXY 800 T-XP 1B 1D L 0Ø BW W/OVF</t>
        </is>
      </c>
    </row>
    <row r="333" hidden="1">
      <c r="A333" t="n">
        <v>115110050</v>
      </c>
      <c r="B333" t="inlineStr">
        <is>
          <t>FREGADERO GALAXY 950 T-XP 1B 1D R 0Ø BW</t>
        </is>
      </c>
    </row>
    <row r="334" hidden="1">
      <c r="A334" t="n">
        <v>115110051</v>
      </c>
      <c r="B334" t="inlineStr">
        <is>
          <t>FREGADERO GALAXY 950 T-XP 1B 1D L 0Ø BW</t>
        </is>
      </c>
    </row>
    <row r="335" hidden="1">
      <c r="A335" t="n">
        <v>115120002</v>
      </c>
      <c r="B335" t="inlineStr">
        <is>
          <t>UNIVERSO MAX 79 1C 1E REV FREGADERO</t>
        </is>
      </c>
    </row>
    <row r="336" hidden="1">
      <c r="A336" t="n">
        <v>115120021</v>
      </c>
      <c r="B336" t="inlineStr">
        <is>
          <t>800.440 1C 1E SW WO/OVF REV PAL/CAR FREGADERO</t>
        </is>
      </c>
    </row>
    <row r="337" hidden="1">
      <c r="A337" t="n">
        <v>115120040</v>
      </c>
      <c r="B337" t="inlineStr">
        <is>
          <t>TEKAWAY STARBRIGHT 45 1B 1D REV + IN915</t>
        </is>
      </c>
    </row>
    <row r="338" hidden="1">
      <c r="A338" t="n">
        <v>115120050</v>
      </c>
      <c r="B338" t="inlineStr">
        <is>
          <t>800.500 C20 1B 1D R 0Ø SW W/OVF PAL</t>
        </is>
      </c>
    </row>
    <row r="339" hidden="1">
      <c r="A339" t="n">
        <v>115120051</v>
      </c>
      <c r="B339" t="inlineStr">
        <is>
          <t>800.500 C20 1B 1D L 0Ø SW W/OVF PAL</t>
        </is>
      </c>
    </row>
    <row r="340" hidden="1">
      <c r="A340" t="n">
        <v>115120052</v>
      </c>
      <c r="B340" t="inlineStr">
        <is>
          <t>1000.500 C20 1B 1D R 0Ø SW W/OVF PAL</t>
        </is>
      </c>
    </row>
    <row r="341" hidden="1">
      <c r="A341" t="n">
        <v>115120053</v>
      </c>
      <c r="B341" t="inlineStr">
        <is>
          <t>1000.500 C20 1B 1D L 0Ø SW W/OVF PAL</t>
        </is>
      </c>
    </row>
    <row r="342" hidden="1">
      <c r="A342" t="n">
        <v>115120073</v>
      </c>
      <c r="B342" t="inlineStr">
        <is>
          <t>TEKAWAY STARBRIGHT 45 E-XP 1B 1D REV 2Ø AUTO WST UNI-9310-XP</t>
        </is>
      </c>
    </row>
    <row r="343" hidden="1">
      <c r="A343" t="n">
        <v>115120074</v>
      </c>
      <c r="B343" t="inlineStr">
        <is>
          <t>TEKAWAY DEVA 45 I-CN 1B 1D 2Ø (BA) REV AUTO WST UNI-9310-XP</t>
        </is>
      </c>
    </row>
    <row r="344" hidden="1">
      <c r="A344" t="n">
        <v>115130004</v>
      </c>
      <c r="B344" t="inlineStr">
        <is>
          <t>ZENIT R15 1 1/2C 1E I 2Ø V.AUTM. FREGADERO</t>
        </is>
      </c>
    </row>
    <row r="345" hidden="1">
      <c r="A345" t="n">
        <v>115130007</v>
      </c>
      <c r="B345" t="inlineStr">
        <is>
          <t>ZENIT R15 1 1/2C 1E D 2Ø V.AUTM. FREGADERO</t>
        </is>
      </c>
    </row>
    <row r="346" hidden="1">
      <c r="A346" t="n">
        <v>115160004</v>
      </c>
      <c r="B346" t="inlineStr">
        <is>
          <t>ZENIT RS15 2B 1D R 3Ø V.AUTO+JB+TB+CL FREGADERO</t>
        </is>
      </c>
    </row>
    <row r="347" hidden="1">
      <c r="A347" t="n">
        <v>115160006</v>
      </c>
      <c r="B347" t="inlineStr">
        <is>
          <t>FREG ZENIT RS15 2C 1E I</t>
        </is>
      </c>
    </row>
    <row r="348" hidden="1">
      <c r="A348" t="n">
        <v>115160007</v>
      </c>
      <c r="B348" t="inlineStr">
        <is>
          <t>DIAMOND RS15 2C 1E REV FREGADERO CRISTAL</t>
        </is>
      </c>
    </row>
    <row r="349" hidden="1">
      <c r="A349" t="n">
        <v>115160010</v>
      </c>
      <c r="B349" t="inlineStr">
        <is>
          <t>BROOKLYN 80 2C 1E REV FREGADERO</t>
        </is>
      </c>
    </row>
    <row r="350" hidden="1">
      <c r="A350" t="n">
        <v>115170001</v>
      </c>
      <c r="B350" t="inlineStr">
        <is>
          <t>FREG. UNIVERSE 80 T-XP 2C 1E REV 3½ C/S/REB SF</t>
        </is>
      </c>
    </row>
    <row r="351" hidden="1">
      <c r="A351" t="n">
        <v>115170007</v>
      </c>
      <c r="B351" t="inlineStr">
        <is>
          <t>TEKAWAY UNIVERSE 80 T-XP 2B 1D REV + IN915</t>
        </is>
      </c>
    </row>
    <row r="352" hidden="1">
      <c r="A352" t="n">
        <v>115180006</v>
      </c>
      <c r="B352" t="inlineStr">
        <is>
          <t>TEKAWAY STARBRIGHT 80 2B 1D REV + IN915</t>
        </is>
      </c>
    </row>
    <row r="353" hidden="1">
      <c r="A353" t="n">
        <v>115180012</v>
      </c>
      <c r="B353" t="inlineStr">
        <is>
          <t>TEKAWAY STARBRIGHT 80 E-XP 2B 1D REV 2Ø AUTO WST UNI-9310-XP</t>
        </is>
      </c>
    </row>
    <row r="354" hidden="1">
      <c r="A354" t="n">
        <v>115230015</v>
      </c>
      <c r="B354" t="inlineStr">
        <is>
          <t>FREGADERO SQUARE 72.40 TG 3½ W/OVF SP BLACK</t>
        </is>
      </c>
    </row>
    <row r="355" hidden="1">
      <c r="A355" t="n">
        <v>115230020</v>
      </c>
      <c r="B355" t="inlineStr">
        <is>
          <t>FREGADERO SQUARE 50.40 TG 3½ W/OVF SP BLACK</t>
        </is>
      </c>
    </row>
    <row r="356" hidden="1">
      <c r="A356" t="n">
        <v>115230051</v>
      </c>
      <c r="B356" t="inlineStr">
        <is>
          <t>FREGADERO RADEA R10 50-40 M-TG (NEGRO)</t>
        </is>
      </c>
    </row>
    <row r="357" hidden="1">
      <c r="A357" t="n">
        <v>115230054</v>
      </c>
      <c r="B357" t="inlineStr">
        <is>
          <t>FREGADERO RADEA R10 70.40 M-TG</t>
        </is>
      </c>
    </row>
    <row r="358" hidden="1">
      <c r="A358" t="n">
        <v>115230057</v>
      </c>
      <c r="B358" t="inlineStr">
        <is>
          <t>NOVA 80 WS-TG 1B AUTO BLACK +CL+CB</t>
        </is>
      </c>
    </row>
    <row r="359" hidden="1">
      <c r="A359" t="n">
        <v>115260001</v>
      </c>
      <c r="B359" t="inlineStr">
        <is>
          <t>FREGADERO STONE 90 B-TG 2B 3½ W/OVF SP CARBON</t>
        </is>
      </c>
    </row>
    <row r="360" hidden="1">
      <c r="A360" t="n">
        <v>115260024</v>
      </c>
      <c r="B360" t="inlineStr">
        <is>
          <t>FREGADERO SQUARE 2B 760 TG 3½ W/OVF SP BLACK</t>
        </is>
      </c>
    </row>
    <row r="361" hidden="1">
      <c r="A361" t="n">
        <v>115260038</v>
      </c>
      <c r="B361" t="inlineStr">
        <is>
          <t>FREGADERO RADEA R10 2B 750 M-TG (NEGRO)</t>
        </is>
      </c>
    </row>
    <row r="362" hidden="1">
      <c r="A362" t="n">
        <v>115330015</v>
      </c>
      <c r="B362" t="inlineStr">
        <is>
          <t>FREGADERO STONE 50 B-TG 1B 1D 3½ W/OVF SP CARBON</t>
        </is>
      </c>
    </row>
    <row r="363" hidden="1">
      <c r="A363" t="n">
        <v>115360001</v>
      </c>
      <c r="B363" t="inlineStr">
        <is>
          <t>FREGADERO STONE 60 B-TG 1½B 1D 3½ W/OVF SP CARBON</t>
        </is>
      </c>
    </row>
    <row r="364" hidden="1">
      <c r="A364" t="n">
        <v>115360008</v>
      </c>
      <c r="B364" t="inlineStr">
        <is>
          <t>FREGADERO STONE 60 B-TG 1½C 1E  CARBON VÁLV. AUTOM. ACC</t>
        </is>
      </c>
    </row>
    <row r="365" hidden="1">
      <c r="A365" t="n">
        <v>115400002</v>
      </c>
      <c r="B365" t="inlineStr">
        <is>
          <t>FREGADERO STONE 80 B-TG 2B 1D 3½ W/OVF SP CARBON</t>
        </is>
      </c>
    </row>
    <row r="366" hidden="1">
      <c r="A366" t="n">
        <v>115890038</v>
      </c>
      <c r="B366" t="inlineStr">
        <is>
          <t>VALVULA CUSTOMIZATION SET PERFECTFLOW PVD BRASS</t>
        </is>
      </c>
    </row>
    <row r="367" hidden="1">
      <c r="A367" t="n">
        <v>115890039</v>
      </c>
      <c r="B367" t="inlineStr">
        <is>
          <t>VALVULA CUSTOMIZATION SET PERFECTFLOW PVD TITANIUM</t>
        </is>
      </c>
    </row>
    <row r="368" hidden="1">
      <c r="A368" t="n">
        <v>115890040</v>
      </c>
      <c r="B368" t="inlineStr">
        <is>
          <t>VALVULA CUSTOMIZATION SET PERFECTFLOW PVD COPPER</t>
        </is>
      </c>
    </row>
    <row r="369" hidden="1">
      <c r="A369" t="n">
        <v>115890043</v>
      </c>
      <c r="B369" t="inlineStr">
        <is>
          <t>TRITURADOR TRS 520</t>
        </is>
      </c>
    </row>
    <row r="370" hidden="1">
      <c r="A370" t="n">
        <v>116020020</v>
      </c>
      <c r="B370" t="inlineStr">
        <is>
          <t>OVAL 938 BLACK PULL OUT - GRIFO COCINA</t>
        </is>
      </c>
    </row>
    <row r="371" hidden="1">
      <c r="A371" t="n">
        <v>116030003</v>
      </c>
      <c r="B371" t="inlineStr">
        <is>
          <t>GRIFO IN 915 MN FREGADERO ECO - GRIFO COCINA</t>
        </is>
      </c>
    </row>
    <row r="372" hidden="1">
      <c r="A372" t="n">
        <v>12127001</v>
      </c>
      <c r="B372" t="inlineStr">
        <is>
          <t>BAHIA 1C PLUS  V. AUTO+JB+TB+CL (12127002) FREGADERO</t>
        </is>
      </c>
    </row>
    <row r="373" hidden="1">
      <c r="A373" t="n">
        <v>12127002</v>
      </c>
      <c r="B373" t="inlineStr">
        <is>
          <t>BAHIA 1C PLUS (jabonera+colador) FREGADERO</t>
        </is>
      </c>
    </row>
    <row r="374" hidden="1">
      <c r="A374" t="n">
        <v>12128009</v>
      </c>
      <c r="B374" t="inlineStr">
        <is>
          <t>PREMIUM 1C 1E REV 2O V.AUTOM+TABLA FREGADERO</t>
        </is>
      </c>
    </row>
    <row r="375" hidden="1">
      <c r="A375" t="n">
        <v>12128010</v>
      </c>
      <c r="B375" t="inlineStr">
        <is>
          <t>PREMIUM 1½C 1E,  V.AUTOM+TABLA FREGADERO</t>
        </is>
      </c>
    </row>
    <row r="376" hidden="1">
      <c r="A376" t="n">
        <v>12128011</v>
      </c>
      <c r="B376" t="inlineStr">
        <is>
          <t>PREMIUM 2C 1E REV 20 V.AUTOM+TABLA FREGADERO</t>
        </is>
      </c>
    </row>
    <row r="377" hidden="1">
      <c r="A377" t="n">
        <v>12128016</v>
      </c>
      <c r="B377" t="inlineStr">
        <is>
          <t>PREMIUM MAX 1C 20V FREGADERO</t>
        </is>
      </c>
    </row>
    <row r="378" hidden="1">
      <c r="A378" t="n">
        <v>12129008</v>
      </c>
      <c r="B378" t="inlineStr">
        <is>
          <t>LUX 1C 1E REV FREGADERO</t>
        </is>
      </c>
    </row>
    <row r="379" hidden="1">
      <c r="A379" t="n">
        <v>12129016</v>
      </c>
      <c r="B379" t="inlineStr">
        <is>
          <t>FREG. EXPRESSION LUX 2C 86 2Ø V.AUTO FREGADERO</t>
        </is>
      </c>
    </row>
    <row r="380" hidden="1">
      <c r="A380" t="n">
        <v>12139013</v>
      </c>
      <c r="B380" t="inlineStr">
        <is>
          <t>ZENIT R15 1C 1E I 78  2Ø V.AUTM. FREGADERO</t>
        </is>
      </c>
    </row>
    <row r="381" hidden="1">
      <c r="A381" t="n">
        <v>13139001</v>
      </c>
      <c r="B381" t="inlineStr">
        <is>
          <t>ZENIT R15 1C V.AUTM.+JB+TB+CL FREGADERO</t>
        </is>
      </c>
    </row>
    <row r="382" hidden="1">
      <c r="A382" t="n">
        <v>13139002</v>
      </c>
      <c r="B382" t="inlineStr">
        <is>
          <t>ZENIT R15 1C 1E D 78 3Ø V.AUTM.+JB+TB FREGADERO</t>
        </is>
      </c>
    </row>
    <row r="383" hidden="1">
      <c r="A383" t="n">
        <v>13139003</v>
      </c>
      <c r="B383" t="inlineStr">
        <is>
          <t>ZENIT R15 1C 1E I 78  3Ø V.AUTM.+JB+TB FREGADERO</t>
        </is>
      </c>
    </row>
    <row r="384" hidden="1">
      <c r="A384" t="n">
        <v>13139004</v>
      </c>
      <c r="B384" t="inlineStr">
        <is>
          <t>ZENIT R15 1C 1E DER V.AUTM.+JB+TB+CL FREGADERO</t>
        </is>
      </c>
    </row>
    <row r="385" hidden="1">
      <c r="A385" t="n">
        <v>13139005</v>
      </c>
      <c r="B385" t="inlineStr">
        <is>
          <t>ZENIT R15 1C 1E IZQ V.AUTM.+JB+TB+CL FREGADERO</t>
        </is>
      </c>
    </row>
    <row r="386" hidden="1">
      <c r="A386" t="n">
        <v>13139006</v>
      </c>
      <c r="B386" t="inlineStr">
        <is>
          <t>ZENIT R15 2C 86 V.AUTM.+JB+TB+CL FREGADERO</t>
        </is>
      </c>
    </row>
    <row r="387" hidden="1">
      <c r="A387" t="n">
        <v>13139007</v>
      </c>
      <c r="B387" t="inlineStr">
        <is>
          <t>ZENIT R15 1½C 1E DER V.AUTM.+JB+TB+CL FREGADERO</t>
        </is>
      </c>
    </row>
    <row r="388" hidden="1">
      <c r="A388" t="n">
        <v>13139008</v>
      </c>
      <c r="B388" t="inlineStr">
        <is>
          <t>ZENIT R15 1½C 1E IZQ V.AUTM.+JB+TB+CL FREGADERO</t>
        </is>
      </c>
    </row>
    <row r="389" hidden="1">
      <c r="A389" t="n">
        <v>13139009</v>
      </c>
      <c r="B389" t="inlineStr">
        <is>
          <t>ZENIT R15 2C 1E DER V.AUTM.+JB+TB+CL FREGADERO</t>
        </is>
      </c>
    </row>
    <row r="390" hidden="1">
      <c r="A390" t="n">
        <v>13139010</v>
      </c>
      <c r="B390" t="inlineStr">
        <is>
          <t>ZENIT R15 2C 1E IZQ V.AUTM.+JB+TB+CL FREGADERO</t>
        </is>
      </c>
    </row>
    <row r="391" hidden="1">
      <c r="A391" t="n">
        <v>1764</v>
      </c>
      <c r="B391" t="inlineStr">
        <is>
          <t>PLANCHA GRILL - HOT PLATE</t>
        </is>
      </c>
    </row>
    <row r="392" hidden="1">
      <c r="A392" t="n">
        <v>18151202</v>
      </c>
      <c r="B392" t="inlineStr">
        <is>
          <t>MG CROMO GRIFO</t>
        </is>
      </c>
    </row>
    <row r="393" hidden="1">
      <c r="A393" t="n">
        <v>1815202</v>
      </c>
      <c r="B393" t="inlineStr">
        <is>
          <t>MG CROMO FREG TUBULAR - GRIFO</t>
        </is>
      </c>
    </row>
    <row r="394" hidden="1">
      <c r="A394" t="inlineStr">
        <is>
          <t>18160TE10</t>
        </is>
      </c>
      <c r="B394" t="inlineStr">
        <is>
          <t>MY 1 CROMO EXTRAIBLE - GRIFO COCINA (18161002)</t>
        </is>
      </c>
    </row>
    <row r="395" hidden="1">
      <c r="A395" t="inlineStr">
        <is>
          <t>18160TE10-H</t>
        </is>
      </c>
      <c r="B395" t="inlineStr">
        <is>
          <t>MY 1 CROMO EXTRAIBLE - GRIFO COCINA (18161002)</t>
        </is>
      </c>
    </row>
    <row r="396" hidden="1">
      <c r="A396" t="n">
        <v>18161002</v>
      </c>
      <c r="B396" t="inlineStr">
        <is>
          <t>MY 1 CROMO EXTRAIBLE - GRIFO COCINA</t>
        </is>
      </c>
    </row>
    <row r="397" hidden="1">
      <c r="A397" t="n">
        <v>181740210</v>
      </c>
      <c r="B397" t="inlineStr">
        <is>
          <t>GRIFO MY 174 - GRIFO COCINA</t>
        </is>
      </c>
    </row>
    <row r="398" hidden="1">
      <c r="A398" t="n">
        <v>182010210</v>
      </c>
      <c r="B398" t="inlineStr">
        <is>
          <t>GRIFO OS 201 - GRIFO COCINA</t>
        </is>
      </c>
    </row>
    <row r="399" hidden="1">
      <c r="A399" t="n">
        <v>182020200</v>
      </c>
      <c r="B399" t="inlineStr">
        <is>
          <t>MY 202 EXTRAIBLE GRIFO</t>
        </is>
      </c>
    </row>
    <row r="400" hidden="1">
      <c r="A400" t="n">
        <v>182020210</v>
      </c>
      <c r="B400" t="inlineStr">
        <is>
          <t>MY 202 EXTRAIBLE - GRIFO COCINA</t>
        </is>
      </c>
    </row>
    <row r="401" hidden="1">
      <c r="A401" t="inlineStr">
        <is>
          <t>18202TE10</t>
        </is>
      </c>
      <c r="B401" t="inlineStr">
        <is>
          <t>MY 202 EXTRAIBLE - GRIFO COCINA</t>
        </is>
      </c>
    </row>
    <row r="402" hidden="1">
      <c r="A402" t="inlineStr">
        <is>
          <t>23938TE10</t>
        </is>
      </c>
      <c r="B402" t="inlineStr">
        <is>
          <t>ARK 938 EXTRAIBLE - GRIFO COCINA</t>
        </is>
      </c>
    </row>
    <row r="403" hidden="1">
      <c r="A403" t="inlineStr">
        <is>
          <t>23938TE10-H</t>
        </is>
      </c>
      <c r="B403" t="inlineStr">
        <is>
          <t>ARK 938 EXTRAIBLE - GRIFO COCINA</t>
        </is>
      </c>
    </row>
    <row r="404" hidden="1">
      <c r="A404" t="inlineStr">
        <is>
          <t>23998TE10</t>
        </is>
      </c>
      <c r="B404" t="inlineStr">
        <is>
          <t>ARK 998 - GRIFO COCINA</t>
        </is>
      </c>
    </row>
    <row r="405" hidden="1">
      <c r="A405" t="inlineStr">
        <is>
          <t>23998TE10-H</t>
        </is>
      </c>
      <c r="B405" t="inlineStr">
        <is>
          <t>ARK 998 - GRIFO COCINA</t>
        </is>
      </c>
    </row>
    <row r="406" hidden="1">
      <c r="A406" t="n">
        <v>239991200</v>
      </c>
      <c r="B406" t="inlineStr">
        <is>
          <t>ARK 999 EXTRAIBLE - GRIFO COCINA</t>
        </is>
      </c>
    </row>
    <row r="407" hidden="1">
      <c r="A407" t="inlineStr">
        <is>
          <t>23999TE10</t>
        </is>
      </c>
      <c r="B407" t="inlineStr">
        <is>
          <t>ARK 999 EXTRAIBLE - GRIFO COCINA</t>
        </is>
      </c>
    </row>
    <row r="408" hidden="1">
      <c r="A408" t="inlineStr">
        <is>
          <t>23999TE10-H</t>
        </is>
      </c>
      <c r="B408" t="inlineStr">
        <is>
          <t>ARK 999 EXTRAIBLE - GRIFO COCINA</t>
        </is>
      </c>
    </row>
    <row r="409" hidden="1">
      <c r="A409" t="n">
        <v>241020200</v>
      </c>
      <c r="B409" t="inlineStr">
        <is>
          <t>VITA GRIFO BAÑO-DUCHA MURAL</t>
        </is>
      </c>
    </row>
    <row r="410" hidden="1">
      <c r="A410" t="n">
        <v>242320200</v>
      </c>
      <c r="B410" t="inlineStr">
        <is>
          <t>VITA GRIFO DUCHA MURAL</t>
        </is>
      </c>
    </row>
    <row r="411" hidden="1">
      <c r="A411" t="inlineStr">
        <is>
          <t>24241TE00</t>
        </is>
      </c>
      <c r="B411" t="inlineStr">
        <is>
          <t>VITA DUCHA MONOMANDO EMPOTRABLE</t>
        </is>
      </c>
    </row>
    <row r="412" hidden="1">
      <c r="A412" t="n">
        <v>243860210</v>
      </c>
      <c r="B412" t="inlineStr">
        <is>
          <t>VITA GRIFO LAVABO</t>
        </is>
      </c>
    </row>
    <row r="413" hidden="1">
      <c r="A413" t="inlineStr">
        <is>
          <t>24386TE10</t>
        </is>
      </c>
      <c r="B413" t="inlineStr">
        <is>
          <t>VITA GRIFO CASCADA - LAVABO</t>
        </is>
      </c>
    </row>
    <row r="414" hidden="1">
      <c r="A414" t="n">
        <v>244610200</v>
      </c>
      <c r="B414" t="inlineStr">
        <is>
          <t>VITA GRIFO Y MANETA MURAL</t>
        </is>
      </c>
    </row>
    <row r="415" hidden="1">
      <c r="A415" t="n">
        <v>246260210</v>
      </c>
      <c r="B415" t="inlineStr">
        <is>
          <t>VITA GRIFO BIDÉ</t>
        </is>
      </c>
    </row>
    <row r="416" hidden="1">
      <c r="A416" t="n">
        <v>249150210</v>
      </c>
      <c r="B416" t="inlineStr">
        <is>
          <t>VITA - GRIFO COCINA</t>
        </is>
      </c>
    </row>
    <row r="417" hidden="1">
      <c r="A417" t="inlineStr">
        <is>
          <t>24915TE10</t>
        </is>
      </c>
      <c r="B417" t="inlineStr">
        <is>
          <t>VITA - GRIFO COCINA</t>
        </is>
      </c>
    </row>
    <row r="418" hidden="1">
      <c r="A418" t="inlineStr">
        <is>
          <t>24915TE10-H</t>
        </is>
      </c>
      <c r="B418" t="inlineStr">
        <is>
          <t>VITA - GRIFO COCINA</t>
        </is>
      </c>
    </row>
    <row r="419" hidden="1">
      <c r="A419" t="n">
        <v>30207021</v>
      </c>
      <c r="B419" t="inlineStr">
        <is>
          <t>WOK INDUCCION EWI 457.1 M</t>
        </is>
      </c>
    </row>
    <row r="420" hidden="1">
      <c r="A420" t="n">
        <v>30207200</v>
      </c>
      <c r="B420" t="inlineStr">
        <is>
          <t>WOK VITRO A GAS</t>
        </is>
      </c>
    </row>
    <row r="421" hidden="1">
      <c r="A421" t="n">
        <v>3065161</v>
      </c>
      <c r="B421" t="inlineStr">
        <is>
          <t>PASTILLAS FINISH POWERBALL ALL IN 1 (13 UNIDS.)</t>
        </is>
      </c>
    </row>
    <row r="422" hidden="1">
      <c r="A422" t="n">
        <v>31501020</v>
      </c>
      <c r="B422" t="inlineStr">
        <is>
          <t>HORNO ELECTR EB 6800</t>
        </is>
      </c>
    </row>
    <row r="423" hidden="1">
      <c r="A423" t="n">
        <v>31901079</v>
      </c>
      <c r="B423" t="inlineStr">
        <is>
          <t>SOPORTE</t>
        </is>
      </c>
    </row>
    <row r="424" hidden="1">
      <c r="A424" t="n">
        <v>31901099</v>
      </c>
      <c r="B424" t="inlineStr">
        <is>
          <t>TIRADOR 60</t>
        </is>
      </c>
    </row>
    <row r="425" hidden="1">
      <c r="A425" t="n">
        <v>31901103</v>
      </c>
      <c r="B425" t="inlineStr">
        <is>
          <t>TIRADOR 90 CM</t>
        </is>
      </c>
    </row>
    <row r="426" hidden="1">
      <c r="A426" t="n">
        <v>31901176</v>
      </c>
      <c r="B426" t="inlineStr">
        <is>
          <t>SARTEN WOK</t>
        </is>
      </c>
    </row>
    <row r="427" hidden="1">
      <c r="A427" t="n">
        <v>339150210</v>
      </c>
      <c r="B427" t="inlineStr">
        <is>
          <t>IC 915 - GRIFO COCINA</t>
        </is>
      </c>
    </row>
    <row r="428" hidden="1">
      <c r="A428" t="inlineStr">
        <is>
          <t>33915TE10</t>
        </is>
      </c>
      <c r="B428" t="inlineStr">
        <is>
          <t>IC 915 - GRIFO COCINA</t>
        </is>
      </c>
    </row>
    <row r="429" hidden="1">
      <c r="A429" t="inlineStr">
        <is>
          <t>33915TE10-H</t>
        </is>
      </c>
      <c r="B429" t="inlineStr">
        <is>
          <t>IC 915 - GRIFO COCINA</t>
        </is>
      </c>
    </row>
    <row r="430" hidden="1">
      <c r="A430" t="inlineStr">
        <is>
          <t>33915TE1N</t>
        </is>
      </c>
      <c r="B430" t="inlineStr">
        <is>
          <t>IC 915 - GRIFO COCINA NEGRO</t>
        </is>
      </c>
    </row>
    <row r="431" hidden="1">
      <c r="A431" t="inlineStr">
        <is>
          <t>33915TE1N-H</t>
        </is>
      </c>
      <c r="B431" t="inlineStr">
        <is>
          <t>IC 915 - GRIFO COCINA NEGRO</t>
        </is>
      </c>
    </row>
    <row r="432" hidden="1">
      <c r="A432" t="inlineStr">
        <is>
          <t>33915TE1W</t>
        </is>
      </c>
      <c r="B432" t="inlineStr">
        <is>
          <t>IC 915 - GRIFO COCINA BLANCO</t>
        </is>
      </c>
    </row>
    <row r="433" hidden="1">
      <c r="A433" t="n">
        <v>35911502</v>
      </c>
      <c r="B433" t="inlineStr">
        <is>
          <t>ELAN CROMO MONOMANDO - GRIFO COCINA</t>
        </is>
      </c>
    </row>
    <row r="434" hidden="1">
      <c r="A434" t="inlineStr">
        <is>
          <t>35915TE10</t>
        </is>
      </c>
      <c r="B434" t="inlineStr">
        <is>
          <t>ELAN CROMO MONOMANDO - GRIFO COCINA</t>
        </is>
      </c>
    </row>
    <row r="435" hidden="1">
      <c r="A435" t="inlineStr">
        <is>
          <t>35915TE10-H</t>
        </is>
      </c>
      <c r="B435" t="inlineStr">
        <is>
          <t>ELAN CROMO MONOMANDO - GRIFO COCINA</t>
        </is>
      </c>
    </row>
    <row r="436" hidden="1">
      <c r="A436" t="n">
        <v>35931802</v>
      </c>
      <c r="B436" t="inlineStr">
        <is>
          <t>MW CROMO EXTRAIBLE - GRIFO COCINA</t>
        </is>
      </c>
    </row>
    <row r="437" hidden="1">
      <c r="A437" t="inlineStr">
        <is>
          <t>35931809NS</t>
        </is>
      </c>
      <c r="B437" t="inlineStr">
        <is>
          <t>MW INOX EXTRAIBLE GRIFO</t>
        </is>
      </c>
    </row>
    <row r="438" hidden="1">
      <c r="A438" t="inlineStr">
        <is>
          <t>35938TE10</t>
        </is>
      </c>
      <c r="B438" t="inlineStr">
        <is>
          <t>MW CROMO - GRIFO COCINA</t>
        </is>
      </c>
    </row>
    <row r="439" hidden="1">
      <c r="A439" t="inlineStr">
        <is>
          <t>35938TE10-H</t>
        </is>
      </c>
      <c r="B439" t="inlineStr">
        <is>
          <t>MW CROMO - GRIFO COCINA</t>
        </is>
      </c>
    </row>
    <row r="440" hidden="1">
      <c r="A440" t="n">
        <v>35971802</v>
      </c>
      <c r="B440" t="inlineStr">
        <is>
          <t>MX CROMO EXTRAIBLE GRIFO</t>
        </is>
      </c>
    </row>
    <row r="441" hidden="1">
      <c r="A441" t="inlineStr">
        <is>
          <t>35971802NS</t>
        </is>
      </c>
      <c r="B441" t="inlineStr">
        <is>
          <t>MX INOX EXTRAIBLE GRIFO</t>
        </is>
      </c>
    </row>
    <row r="442" hidden="1">
      <c r="A442" t="inlineStr">
        <is>
          <t>37042IM</t>
        </is>
      </c>
      <c r="B442" t="inlineStr">
        <is>
          <t>LASER - GRIFO</t>
        </is>
      </c>
    </row>
    <row r="443" hidden="1">
      <c r="A443" t="n">
        <v>38911502</v>
      </c>
      <c r="B443" t="inlineStr">
        <is>
          <t>MZ CROMO MONOMANDO - GRIFO COCINA</t>
        </is>
      </c>
    </row>
    <row r="444" hidden="1">
      <c r="A444" t="inlineStr">
        <is>
          <t>38911502-H</t>
        </is>
      </c>
      <c r="B444" t="inlineStr">
        <is>
          <t>MZ 915 CROMO MONOMANDO - GRIFO COCINA</t>
        </is>
      </c>
    </row>
    <row r="445" hidden="1">
      <c r="A445" t="inlineStr">
        <is>
          <t>38911502NS</t>
        </is>
      </c>
      <c r="B445" t="inlineStr">
        <is>
          <t>MZ INOX MONOMANDO - GRIFO COCINA</t>
        </is>
      </c>
    </row>
    <row r="446" hidden="1">
      <c r="A446" t="n">
        <v>389140200</v>
      </c>
      <c r="B446" t="inlineStr">
        <is>
          <t>GRIFO MZ 914 - GRIFO COCINA</t>
        </is>
      </c>
    </row>
    <row r="447" hidden="1">
      <c r="A447" t="n">
        <v>38931702</v>
      </c>
      <c r="B447" t="inlineStr">
        <is>
          <t>PRO COMPACT EXTRAIBLE MONOM - GRIFO COCINA</t>
        </is>
      </c>
    </row>
    <row r="448" hidden="1">
      <c r="A448" t="inlineStr">
        <is>
          <t>38934TE10</t>
        </is>
      </c>
      <c r="B448" t="inlineStr">
        <is>
          <t>MQ FLEXIBLE - GRIFO COCINA</t>
        </is>
      </c>
    </row>
    <row r="449" hidden="1">
      <c r="A449" t="n">
        <v>389982700</v>
      </c>
      <c r="B449" t="inlineStr">
        <is>
          <t>MZX EXT - GRIFO COCINA</t>
        </is>
      </c>
    </row>
    <row r="450" hidden="1">
      <c r="A450" t="n">
        <v>40101067</v>
      </c>
      <c r="B450" t="inlineStr">
        <is>
          <t>80.50 1C 1E DER FREGADERO (NC:40136567)</t>
        </is>
      </c>
    </row>
    <row r="451" hidden="1">
      <c r="A451" t="n">
        <v>40101068</v>
      </c>
      <c r="B451" t="inlineStr">
        <is>
          <t>80.50 1C 1E IZQ FREGADERO (NC:40136566)</t>
        </is>
      </c>
    </row>
    <row r="452" hidden="1">
      <c r="A452" t="n">
        <v>40101102</v>
      </c>
      <c r="B452" t="inlineStr">
        <is>
          <t>100.50 1C 1E DER FREGADERO (NC:40136616)</t>
        </is>
      </c>
    </row>
    <row r="453" hidden="1">
      <c r="A453" t="n">
        <v>40101103</v>
      </c>
      <c r="B453" t="inlineStr">
        <is>
          <t>100.50 1C 1E IZQ FREGADERO (NC:40136614)</t>
        </is>
      </c>
    </row>
    <row r="454" hidden="1">
      <c r="A454" t="n">
        <v>40104010</v>
      </c>
      <c r="B454" t="inlineStr">
        <is>
          <t>800.510 1C 1E DER FREGADERO</t>
        </is>
      </c>
    </row>
    <row r="455" hidden="1">
      <c r="A455" t="n">
        <v>40104011</v>
      </c>
      <c r="B455" t="inlineStr">
        <is>
          <t>800.510 1C 1E IZQ FREGADERO</t>
        </is>
      </c>
    </row>
    <row r="456" hidden="1">
      <c r="A456" t="n">
        <v>40125212</v>
      </c>
      <c r="B456" t="inlineStr">
        <is>
          <t>BE LINEA 40.40 FREGADERO (NC: 40125240)</t>
        </is>
      </c>
    </row>
    <row r="457" hidden="1">
      <c r="A457" t="n">
        <v>40125220</v>
      </c>
      <c r="B457" t="inlineStr">
        <is>
          <t>BE LINEA 72.40 FREGADERO</t>
        </is>
      </c>
    </row>
    <row r="458" hidden="1">
      <c r="A458" t="n">
        <v>40125230</v>
      </c>
      <c r="B458" t="inlineStr">
        <is>
          <t>BE LINEA 55.40 FREGADERO</t>
        </is>
      </c>
    </row>
    <row r="459" hidden="1">
      <c r="A459" t="n">
        <v>40125240</v>
      </c>
      <c r="B459" t="inlineStr">
        <is>
          <t>BE LINEA 40.40 FREGADERO (40125212)</t>
        </is>
      </c>
    </row>
    <row r="460" hidden="1">
      <c r="A460" t="n">
        <v>40125250</v>
      </c>
      <c r="B460" t="inlineStr">
        <is>
          <t>BE LINEA 34.40 FREGADERO</t>
        </is>
      </c>
    </row>
    <row r="461" hidden="1">
      <c r="A461" t="n">
        <v>40125520</v>
      </c>
      <c r="B461" t="inlineStr">
        <is>
          <t>BE LINEA R10 72.40 FREGADERO</t>
        </is>
      </c>
    </row>
    <row r="462" hidden="1">
      <c r="A462" t="n">
        <v>40134000</v>
      </c>
      <c r="B462" t="inlineStr">
        <is>
          <t>1515 1C FREGADERO</t>
        </is>
      </c>
    </row>
    <row r="463" hidden="1">
      <c r="A463" t="n">
        <v>40134003</v>
      </c>
      <c r="B463" t="inlineStr">
        <is>
          <t>ESQUINERO FREGADERO</t>
        </is>
      </c>
    </row>
    <row r="464" hidden="1">
      <c r="A464" t="n">
        <v>40134004</v>
      </c>
      <c r="B464" t="inlineStr">
        <is>
          <t>BATEA FREGADERO</t>
        </is>
      </c>
    </row>
    <row r="465" hidden="1">
      <c r="A465" t="n">
        <v>40136000</v>
      </c>
      <c r="B465" t="inlineStr">
        <is>
          <t>508.533 (20.21) 1C FREGADERO</t>
        </is>
      </c>
    </row>
    <row r="466" hidden="1">
      <c r="A466" t="n">
        <v>40136001</v>
      </c>
      <c r="B466" t="inlineStr">
        <is>
          <t>635.560 (25.22) 1C FREGADERO</t>
        </is>
      </c>
    </row>
    <row r="467" hidden="1">
      <c r="A467" t="n">
        <v>40136006</v>
      </c>
      <c r="B467" t="inlineStr">
        <is>
          <t>950.510 1C 1E DER. FREGADERO</t>
        </is>
      </c>
    </row>
    <row r="468" hidden="1">
      <c r="A468" t="n">
        <v>40136007</v>
      </c>
      <c r="B468" t="inlineStr">
        <is>
          <t>950.510 1C 1E IZQ. FREGADERO</t>
        </is>
      </c>
    </row>
    <row r="469" hidden="1">
      <c r="A469" t="n">
        <v>40136040</v>
      </c>
      <c r="B469" t="inlineStr">
        <is>
          <t>DM (33.22) 1C FREGADERO</t>
        </is>
      </c>
    </row>
    <row r="470" hidden="1">
      <c r="A470" t="n">
        <v>40136566</v>
      </c>
      <c r="B470" t="inlineStr">
        <is>
          <t>80.50 1C 1E IZQ FREGADERO (40101068)</t>
        </is>
      </c>
    </row>
    <row r="471" hidden="1">
      <c r="A471" t="n">
        <v>40136567</v>
      </c>
      <c r="B471" t="inlineStr">
        <is>
          <t>80.50 1C 1E DER FREGADERO (40101067)</t>
        </is>
      </c>
    </row>
    <row r="472" hidden="1">
      <c r="A472" t="n">
        <v>40136614</v>
      </c>
      <c r="B472" t="inlineStr">
        <is>
          <t>100.50 1C 1E IZQ FREGADERO (40101103)</t>
        </is>
      </c>
    </row>
    <row r="473" hidden="1">
      <c r="A473" t="n">
        <v>40136616</v>
      </c>
      <c r="B473" t="inlineStr">
        <is>
          <t>100.50 1C 1E DER FREGADERO (40101102)</t>
        </is>
      </c>
    </row>
    <row r="474" hidden="1">
      <c r="A474" t="n">
        <v>40136920</v>
      </c>
      <c r="B474" t="inlineStr">
        <is>
          <t>TEKAWAY FREG. 800.510 1C 1E DER + GRIFO ML</t>
        </is>
      </c>
    </row>
    <row r="475" hidden="1">
      <c r="A475" t="n">
        <v>40136921</v>
      </c>
      <c r="B475" t="inlineStr">
        <is>
          <t>TEKAWAY FREG. 800.510 1C 1E IZQ + GRIFO ML</t>
        </is>
      </c>
    </row>
    <row r="476" hidden="1">
      <c r="A476" t="n">
        <v>40138010</v>
      </c>
      <c r="B476" t="inlineStr">
        <is>
          <t>CUADRO 1 1/2C 1E FREGADERO</t>
        </is>
      </c>
    </row>
    <row r="477" hidden="1">
      <c r="A477" t="n">
        <v>40140908</v>
      </c>
      <c r="B477" t="inlineStr">
        <is>
          <t>FREGADERO LUGO 45 B-TG 1C 1E CARBON POP UP</t>
        </is>
      </c>
    </row>
    <row r="478" hidden="1">
      <c r="A478" t="n">
        <v>40140909</v>
      </c>
      <c r="B478" t="inlineStr">
        <is>
          <t>FREGADERO LUGO 45 B-TG 1C 1E BLANCO POP UP</t>
        </is>
      </c>
    </row>
    <row r="479" hidden="1">
      <c r="A479" t="n">
        <v>40140950</v>
      </c>
      <c r="B479" t="inlineStr">
        <is>
          <t>FREGADERO LUGO 80 B-TG 1 1/2C 1E CARBON POP UP</t>
        </is>
      </c>
    </row>
    <row r="480" hidden="1">
      <c r="A480" t="n">
        <v>40140951</v>
      </c>
      <c r="B480" t="inlineStr">
        <is>
          <t>FREGADERO LUGO 80 B-TG 1 1/2C 1E WHITE POP UP</t>
        </is>
      </c>
    </row>
    <row r="481" hidden="1">
      <c r="A481" t="n">
        <v>40140960</v>
      </c>
      <c r="B481" t="inlineStr">
        <is>
          <t>FREGADERO LUGO 90 B-TG 2C CARBON POP UP</t>
        </is>
      </c>
    </row>
    <row r="482" hidden="1">
      <c r="A482" t="n">
        <v>40140961</v>
      </c>
      <c r="B482" t="inlineStr">
        <is>
          <t>FREGADERO LUGO 90 B-TG 2C WHITE POP UP</t>
        </is>
      </c>
    </row>
    <row r="483" hidden="1">
      <c r="A483" t="n">
        <v>40141122</v>
      </c>
      <c r="B483" t="inlineStr">
        <is>
          <t>FREGADERO UNIVERSO 60 GT WHITE</t>
        </is>
      </c>
    </row>
    <row r="484" hidden="1">
      <c r="A484" t="n">
        <v>40141312</v>
      </c>
      <c r="B484" t="inlineStr">
        <is>
          <t>FREGADERO UNIVERSO 2C 1E GT VOLCANO BLACK METAL</t>
        </is>
      </c>
    </row>
    <row r="485" hidden="1">
      <c r="A485" t="n">
        <v>40141313</v>
      </c>
      <c r="B485" t="inlineStr">
        <is>
          <t>FREGADERO UNIVERSO 80 GT 2C 1E V. AUTO WHITE</t>
        </is>
      </c>
    </row>
    <row r="486" hidden="1">
      <c r="A486" t="n">
        <v>40143072</v>
      </c>
      <c r="B486" t="inlineStr">
        <is>
          <t>FREGADERO AURA 45 B-TG SCHWARZMETAL POP UP + GLASS CHOP</t>
        </is>
      </c>
    </row>
    <row r="487" hidden="1">
      <c r="A487" t="n">
        <v>40143831</v>
      </c>
      <c r="B487" t="inlineStr">
        <is>
          <t>FREGADERO RADEA 500.400 1C TG NEGRO METALIZADO</t>
        </is>
      </c>
    </row>
    <row r="488" hidden="1">
      <c r="A488" t="n">
        <v>40143832</v>
      </c>
      <c r="B488" t="inlineStr">
        <is>
          <t>FREGADERO RADEA 500.400 1C TG BLANCO</t>
        </is>
      </c>
    </row>
    <row r="489" hidden="1">
      <c r="A489" t="n">
        <v>40143833</v>
      </c>
      <c r="B489" t="inlineStr">
        <is>
          <t>FREGADERO RADEA 500.400 1C TG CARBON</t>
        </is>
      </c>
    </row>
    <row r="490" hidden="1">
      <c r="A490" t="n">
        <v>40150000</v>
      </c>
      <c r="B490" t="inlineStr">
        <is>
          <t>BAHIA 1C INOX FREGADERO</t>
        </is>
      </c>
    </row>
    <row r="491" hidden="1">
      <c r="A491" t="n">
        <v>40180510</v>
      </c>
      <c r="B491" t="inlineStr">
        <is>
          <t>FRAME 1C 1E IZQ FREGADERO</t>
        </is>
      </c>
    </row>
    <row r="492" hidden="1">
      <c r="A492" t="n">
        <v>40180511</v>
      </c>
      <c r="B492" t="inlineStr">
        <is>
          <t>FRAME 1C 1E DER FREGADERO</t>
        </is>
      </c>
    </row>
    <row r="493" hidden="1">
      <c r="A493" t="n">
        <v>40180530</v>
      </c>
      <c r="B493" t="inlineStr">
        <is>
          <t>FRAME 1½C ½E PLUS IZQ FREGADERO</t>
        </is>
      </c>
    </row>
    <row r="494" hidden="1">
      <c r="A494" t="n">
        <v>40180531</v>
      </c>
      <c r="B494" t="inlineStr">
        <is>
          <t>FRAME 1½C ½E PLUS DER FREGADERO</t>
        </is>
      </c>
    </row>
    <row r="495" hidden="1">
      <c r="A495" t="n">
        <v>40180610</v>
      </c>
      <c r="B495" t="inlineStr">
        <is>
          <t>FRAME 1C 1E IZQ FREGADERO</t>
        </is>
      </c>
    </row>
    <row r="496" hidden="1">
      <c r="A496" t="n">
        <v>40180631</v>
      </c>
      <c r="B496" t="inlineStr">
        <is>
          <t>FRAME 1½C ½E PLUS DER FREGADERO</t>
        </is>
      </c>
    </row>
    <row r="497" hidden="1">
      <c r="A497" t="n">
        <v>40197155</v>
      </c>
      <c r="B497" t="inlineStr">
        <is>
          <t>TR 510.1 TRITURADOR</t>
        </is>
      </c>
    </row>
    <row r="498" hidden="1">
      <c r="A498" t="n">
        <v>40197255</v>
      </c>
      <c r="B498" t="inlineStr">
        <is>
          <t>TR 710.1 TRITURADOR</t>
        </is>
      </c>
    </row>
    <row r="499" hidden="1">
      <c r="A499" t="n">
        <v>40199037</v>
      </c>
      <c r="B499" t="inlineStr">
        <is>
          <t>CESTA CUADRADA</t>
        </is>
      </c>
    </row>
    <row r="500" hidden="1">
      <c r="A500" t="n">
        <v>40199039</v>
      </c>
      <c r="B500" t="inlineStr">
        <is>
          <t>CESTA REDONDA</t>
        </is>
      </c>
    </row>
    <row r="501" hidden="1">
      <c r="A501" t="n">
        <v>40199061</v>
      </c>
      <c r="B501" t="inlineStr">
        <is>
          <t>CESTA UNIVERSO</t>
        </is>
      </c>
    </row>
    <row r="502" hidden="1">
      <c r="A502" t="n">
        <v>40199230</v>
      </c>
      <c r="B502" t="inlineStr">
        <is>
          <t>KIT TABLA DE MADERA+COLADOR INOX CUBETA 34.4</t>
        </is>
      </c>
    </row>
    <row r="503" hidden="1">
      <c r="A503" t="n">
        <v>40199242</v>
      </c>
      <c r="B503" t="inlineStr">
        <is>
          <t>TABLA DE CORTE BAMBU</t>
        </is>
      </c>
    </row>
    <row r="504" hidden="1">
      <c r="A504" t="n">
        <v>40199270</v>
      </c>
      <c r="B504" t="inlineStr">
        <is>
          <t>SET DE COCCION FREGADEROS ZENIT R15</t>
        </is>
      </c>
    </row>
    <row r="505" hidden="1">
      <c r="A505" t="n">
        <v>40199321</v>
      </c>
      <c r="B505" t="inlineStr">
        <is>
          <t>DISPENSADOR DE JABON CUADRADO</t>
        </is>
      </c>
    </row>
    <row r="506" hidden="1">
      <c r="A506" t="n">
        <v>40199330</v>
      </c>
      <c r="B506" t="inlineStr">
        <is>
          <t>DISPENSADOR DE JABON CROMO (NC:40199310)</t>
        </is>
      </c>
    </row>
    <row r="507" hidden="1">
      <c r="A507" t="n">
        <v>40204301</v>
      </c>
      <c r="B507" t="inlineStr">
        <is>
          <t>VT TC 2P COCINA MOD VITRO TOUCH CONTROL</t>
        </is>
      </c>
    </row>
    <row r="508" hidden="1">
      <c r="A508" t="n">
        <v>40204311</v>
      </c>
      <c r="B508" t="inlineStr">
        <is>
          <t>VT TC 1G COCINA MOD VITRO TOUCH CONTROL</t>
        </is>
      </c>
    </row>
    <row r="509" hidden="1">
      <c r="A509" t="n">
        <v>40204391</v>
      </c>
      <c r="B509" t="inlineStr">
        <is>
          <t>KIT UNION MODULOS EM/30, VM/30, EM/60</t>
        </is>
      </c>
    </row>
    <row r="510" hidden="1">
      <c r="A510" t="n">
        <v>40205450</v>
      </c>
      <c r="B510" t="inlineStr">
        <is>
          <t>IR 950 COCINA INDUCCION + J.9 PZ OLLAS</t>
        </is>
      </c>
    </row>
    <row r="511" hidden="1">
      <c r="A511" t="inlineStr">
        <is>
          <t>40205450M</t>
        </is>
      </c>
      <c r="B511" t="inlineStr">
        <is>
          <t>MIR 6030 COCINA INDUCCION</t>
        </is>
      </c>
    </row>
    <row r="512" hidden="1">
      <c r="A512" t="n">
        <v>40205610</v>
      </c>
      <c r="B512" t="inlineStr">
        <is>
          <t>IR 95 DX COCINA INDUCCION</t>
        </is>
      </c>
    </row>
    <row r="513" hidden="1">
      <c r="A513" t="n">
        <v>40206004</v>
      </c>
      <c r="B513" t="inlineStr">
        <is>
          <t>TR 940 AB COCINA VITRO</t>
        </is>
      </c>
    </row>
    <row r="514" hidden="1">
      <c r="A514" t="n">
        <v>40206040</v>
      </c>
      <c r="B514" t="inlineStr">
        <is>
          <t>TR 950 COCINA VITRO</t>
        </is>
      </c>
    </row>
    <row r="515" hidden="1">
      <c r="A515" t="n">
        <v>40206060</v>
      </c>
      <c r="B515" t="inlineStr">
        <is>
          <t>VR TC 95 COCINA VITRO TOUCH CONTROL</t>
        </is>
      </c>
    </row>
    <row r="516" hidden="1">
      <c r="A516" t="n">
        <v>40206220</v>
      </c>
      <c r="B516" t="inlineStr">
        <is>
          <t>TR 840 VITRO TOUCH CONTROL (10210005)</t>
        </is>
      </c>
    </row>
    <row r="517" hidden="1">
      <c r="A517" t="n">
        <v>40207110</v>
      </c>
      <c r="B517" t="inlineStr">
        <is>
          <t>E/60.3 4G AI COCINA INOX (10206062)</t>
        </is>
      </c>
    </row>
    <row r="518" hidden="1">
      <c r="A518" t="n">
        <v>40211352</v>
      </c>
      <c r="B518" t="inlineStr">
        <is>
          <t>EFX 60.1 4G AI AL DR CI COCINA INOX (40214311)</t>
        </is>
      </c>
    </row>
    <row r="519" hidden="1">
      <c r="A519" t="n">
        <v>40211501</v>
      </c>
      <c r="B519" t="inlineStr">
        <is>
          <t>EFX 70.1 5G AI AL DR CI COCINA INOX</t>
        </is>
      </c>
    </row>
    <row r="520" hidden="1">
      <c r="A520" t="n">
        <v>40211632</v>
      </c>
      <c r="B520" t="inlineStr">
        <is>
          <t>EFX 90.1 5G AI AL DR COCINA INOX (40214805)</t>
        </is>
      </c>
    </row>
    <row r="521" hidden="1">
      <c r="A521" t="n">
        <v>40211660</v>
      </c>
      <c r="B521" t="inlineStr">
        <is>
          <t>EFX 90.1 6G AI AL DR CI COCINA INOX</t>
        </is>
      </c>
    </row>
    <row r="522" hidden="1">
      <c r="A522" t="n">
        <v>40212002</v>
      </c>
      <c r="B522" t="inlineStr">
        <is>
          <t>EX 60.1 4G AI AL CI COCINA INOX</t>
        </is>
      </c>
    </row>
    <row r="523" hidden="1">
      <c r="A523" t="n">
        <v>40212014</v>
      </c>
      <c r="B523" t="inlineStr">
        <is>
          <t>EX 60.1 4G AI DR CI COCINA INOX</t>
        </is>
      </c>
    </row>
    <row r="524" hidden="1">
      <c r="A524" t="n">
        <v>40212044</v>
      </c>
      <c r="B524" t="inlineStr">
        <is>
          <t>EX 70.1 5G AI DR CI COCINA INOX</t>
        </is>
      </c>
    </row>
    <row r="525" hidden="1">
      <c r="A525" t="n">
        <v>40212062</v>
      </c>
      <c r="B525" t="inlineStr">
        <is>
          <t>EX 90.1 5G AI AL DR CI COCINA INOX</t>
        </is>
      </c>
    </row>
    <row r="526" hidden="1">
      <c r="A526" t="n">
        <v>40212070</v>
      </c>
      <c r="B526" t="inlineStr">
        <is>
          <t>EX 90.1 5G AI DR LEFT CI COCINA INOX</t>
        </is>
      </c>
    </row>
    <row r="527" hidden="1">
      <c r="A527" t="n">
        <v>40212602</v>
      </c>
      <c r="B527" t="inlineStr">
        <is>
          <t>EX 90.1 6G AI DR CI COCINA INOX</t>
        </is>
      </c>
    </row>
    <row r="528" hidden="1">
      <c r="A528" t="n">
        <v>40213012</v>
      </c>
      <c r="B528" t="inlineStr">
        <is>
          <t>IG 620 1G AI AL DR COCINA MIXTA GAS - INDUCCION (NC:112570123)</t>
        </is>
      </c>
    </row>
    <row r="529" hidden="1">
      <c r="A529" t="n">
        <v>40213022</v>
      </c>
      <c r="B529" t="inlineStr">
        <is>
          <t>IG 620 2G AI AL COCINA MIXTA GAS - INDUCCION (NC:112570124)</t>
        </is>
      </c>
    </row>
    <row r="530" hidden="1">
      <c r="A530" t="n">
        <v>40213032</v>
      </c>
      <c r="B530" t="inlineStr">
        <is>
          <t>IG 940 1G AI AL DR CI COCINA MIXTA GAS - INDUCCION (NC:112570125)</t>
        </is>
      </c>
    </row>
    <row r="531" hidden="1">
      <c r="A531" t="n">
        <v>40213042</v>
      </c>
      <c r="B531" t="inlineStr">
        <is>
          <t>IG 940 2G AI AL COCINA MIXTA GAS - INDUCCION (NC:112570126)</t>
        </is>
      </c>
    </row>
    <row r="532" hidden="1">
      <c r="A532" t="n">
        <v>40214311</v>
      </c>
      <c r="B532" t="inlineStr">
        <is>
          <t>EFX 60 4G AI AL DR CI COCINA INOX (NC: 40211352)</t>
        </is>
      </c>
    </row>
    <row r="533" hidden="1">
      <c r="A533" t="n">
        <v>40214608</v>
      </c>
      <c r="B533" t="inlineStr">
        <is>
          <t>EFX 70 5G AI AL DR CI COCINA INOX</t>
        </is>
      </c>
    </row>
    <row r="534" hidden="1">
      <c r="A534" t="n">
        <v>40214805</v>
      </c>
      <c r="B534" t="inlineStr">
        <is>
          <t>EFX 90 5G AI AL DR COCINA INOX (NC:40211632)</t>
        </is>
      </c>
    </row>
    <row r="535" hidden="1">
      <c r="A535" t="n">
        <v>40214914</v>
      </c>
      <c r="B535" t="inlineStr">
        <is>
          <t>EFX 90 4G 1H AI AL DR COCINA INOX</t>
        </is>
      </c>
    </row>
    <row r="536" hidden="1">
      <c r="A536" t="n">
        <v>40214980</v>
      </c>
      <c r="B536" t="inlineStr">
        <is>
          <t>EFX 90 6G AI AL DR CI COCINA INOX</t>
        </is>
      </c>
    </row>
    <row r="537" hidden="1">
      <c r="A537" t="n">
        <v>40215123</v>
      </c>
      <c r="B537" t="inlineStr">
        <is>
          <t>CGW LUX 70 4G AI AL CI</t>
        </is>
      </c>
    </row>
    <row r="538" hidden="1">
      <c r="A538" t="n">
        <v>40215302</v>
      </c>
      <c r="B538" t="inlineStr">
        <is>
          <t>CGW LUX 90 5G AI AL DR CI (NC:112570068)</t>
        </is>
      </c>
    </row>
    <row r="539" hidden="1">
      <c r="A539" t="n">
        <v>40215503</v>
      </c>
      <c r="B539" t="inlineStr">
        <is>
          <t>CGW LUX 70 5G AI AL CI - COCINA GAS</t>
        </is>
      </c>
    </row>
    <row r="540" hidden="1">
      <c r="A540" t="n">
        <v>40215704</v>
      </c>
      <c r="B540" t="inlineStr">
        <is>
          <t>CGW LUX 70 5G AI AL TR CI (NC: 112570093)</t>
        </is>
      </c>
    </row>
    <row r="541" hidden="1">
      <c r="A541" t="n">
        <v>40215961</v>
      </c>
      <c r="B541" t="inlineStr">
        <is>
          <t>CGW LUX 30.1 1G AI AL DR CI CRISTAL C</t>
        </is>
      </c>
    </row>
    <row r="542" hidden="1">
      <c r="A542" t="n">
        <v>40215981</v>
      </c>
      <c r="B542" t="inlineStr">
        <is>
          <t>CGW LUX 30.1 2G AI AL CI</t>
        </is>
      </c>
    </row>
    <row r="543" hidden="1">
      <c r="A543" t="n">
        <v>40216110</v>
      </c>
      <c r="B543" t="inlineStr">
        <is>
          <t>CGW LUX 60 4G AI AL CI (NC:112570041)</t>
        </is>
      </c>
    </row>
    <row r="544" hidden="1">
      <c r="A544" t="n">
        <v>40217321</v>
      </c>
      <c r="B544" t="inlineStr">
        <is>
          <t>CGW LUX 90 TC 5G AI AL DR CI</t>
        </is>
      </c>
    </row>
    <row r="545" hidden="1">
      <c r="A545" t="n">
        <v>40218050</v>
      </c>
      <c r="B545" t="inlineStr">
        <is>
          <t>EW 60 4G AI AL COCINA INOX</t>
        </is>
      </c>
    </row>
    <row r="546" hidden="1">
      <c r="A546" t="n">
        <v>40218080</v>
      </c>
      <c r="B546" t="inlineStr">
        <is>
          <t>EW60 4G AI AL CI BUT COCINA INOX</t>
        </is>
      </c>
    </row>
    <row r="547" hidden="1">
      <c r="A547" t="n">
        <v>40219050</v>
      </c>
      <c r="B547" t="inlineStr">
        <is>
          <t>EW 90 5G AI AL TR COCINA INOX</t>
        </is>
      </c>
    </row>
    <row r="548" hidden="1">
      <c r="A548" t="n">
        <v>40220030</v>
      </c>
      <c r="B548" t="inlineStr">
        <is>
          <t>E/70 5G AI TR COCINA INOX</t>
        </is>
      </c>
    </row>
    <row r="549" hidden="1">
      <c r="A549" t="n">
        <v>40220036</v>
      </c>
      <c r="B549" t="inlineStr">
        <is>
          <t>E/70 5G AI TR INOX COCINA</t>
        </is>
      </c>
    </row>
    <row r="550" hidden="1">
      <c r="A550" t="n">
        <v>40220523</v>
      </c>
      <c r="B550" t="inlineStr">
        <is>
          <t>EF/60 4G AI COCINA INOX</t>
        </is>
      </c>
    </row>
    <row r="551" hidden="1">
      <c r="A551" t="n">
        <v>40221027</v>
      </c>
      <c r="B551" t="inlineStr">
        <is>
          <t>EF/90 5G AI TR COCINA INOX</t>
        </is>
      </c>
    </row>
    <row r="552" hidden="1">
      <c r="A552" t="n">
        <v>40221029</v>
      </c>
      <c r="B552" t="inlineStr">
        <is>
          <t>EF/90 5G AI PC COCINA INOX</t>
        </is>
      </c>
    </row>
    <row r="553" hidden="1">
      <c r="A553" t="n">
        <v>40222500</v>
      </c>
      <c r="B553" t="inlineStr">
        <is>
          <t>EX/60 4G AI COCINA INOX</t>
        </is>
      </c>
    </row>
    <row r="554" hidden="1">
      <c r="A554" t="n">
        <v>40223500</v>
      </c>
      <c r="B554" t="inlineStr">
        <is>
          <t>EX/70 5G AI TR COCINA INOX</t>
        </is>
      </c>
    </row>
    <row r="555" hidden="1">
      <c r="A555" t="n">
        <v>40223520</v>
      </c>
      <c r="B555" t="inlineStr">
        <is>
          <t>EX/70 5G AI FUND COCINA INOX</t>
        </is>
      </c>
    </row>
    <row r="556" hidden="1">
      <c r="A556" t="n">
        <v>40224500</v>
      </c>
      <c r="B556" t="inlineStr">
        <is>
          <t>EX/90 5G AI TR COCINA INOX</t>
        </is>
      </c>
    </row>
    <row r="557" hidden="1">
      <c r="A557" t="n">
        <v>40224502</v>
      </c>
      <c r="B557" t="inlineStr">
        <is>
          <t>EX/90 5G AI PC FUND COCINA INOX</t>
        </is>
      </c>
    </row>
    <row r="558" hidden="1">
      <c r="A558" t="n">
        <v>40226545</v>
      </c>
      <c r="B558" t="inlineStr">
        <is>
          <t>CZ TOUCH 90 5G AI AL TR COCINA CRIS</t>
        </is>
      </c>
    </row>
    <row r="559" hidden="1">
      <c r="A559" t="n">
        <v>40228115</v>
      </c>
      <c r="B559" t="inlineStr">
        <is>
          <t>COCINA VT.2 2G AI AL CI BUT</t>
        </is>
      </c>
    </row>
    <row r="560" hidden="1">
      <c r="A560" t="n">
        <v>40239042</v>
      </c>
      <c r="B560" t="inlineStr">
        <is>
          <t>TB 6415 COCINA VITRO TOUCH CONTROL</t>
        </is>
      </c>
    </row>
    <row r="561" hidden="1">
      <c r="A561" t="n">
        <v>40249000</v>
      </c>
      <c r="B561" t="inlineStr">
        <is>
          <t>TEPPAN YAKI TPI 380</t>
        </is>
      </c>
    </row>
    <row r="562" hidden="1">
      <c r="A562" t="n">
        <v>40260600</v>
      </c>
      <c r="B562" t="inlineStr">
        <is>
          <t>EP 60 4G AI CI COCINA INOX</t>
        </is>
      </c>
    </row>
    <row r="563" hidden="1">
      <c r="A563" t="n">
        <v>40297051</v>
      </c>
      <c r="B563" t="inlineStr">
        <is>
          <t>COCINA A GAS FS3RS966GGX</t>
        </is>
      </c>
    </row>
    <row r="564" hidden="1">
      <c r="A564" t="n">
        <v>40297052</v>
      </c>
      <c r="B564" t="inlineStr">
        <is>
          <t>COCINA A GAS FS3RL966GGX</t>
        </is>
      </c>
    </row>
    <row r="565" hidden="1">
      <c r="A565" t="n">
        <v>40297252</v>
      </c>
      <c r="B565" t="inlineStr">
        <is>
          <t>COCINA A GAS FS3RL966GGX</t>
        </is>
      </c>
    </row>
    <row r="566" hidden="1">
      <c r="A566" t="n">
        <v>40297294</v>
      </c>
      <c r="B566" t="inlineStr">
        <is>
          <t>FS29615IE COC. INDUC./H. ELCT. 90x 60</t>
        </is>
      </c>
    </row>
    <row r="567" hidden="1">
      <c r="A567" t="n">
        <v>40297295</v>
      </c>
      <c r="B567" t="inlineStr">
        <is>
          <t>FS6614IE COC. IND./H. ELECT. 60X60 + J.9 PZ OLLAS</t>
        </is>
      </c>
    </row>
    <row r="568" hidden="1">
      <c r="A568" t="n">
        <v>40297298</v>
      </c>
      <c r="B568" t="inlineStr">
        <is>
          <t>COCINA A GAS FS 2R 965G X</t>
        </is>
      </c>
    </row>
    <row r="569" hidden="1">
      <c r="A569" t="n">
        <v>40402025</v>
      </c>
      <c r="B569" t="inlineStr">
        <is>
          <t>TUB 60 BLANCA</t>
        </is>
      </c>
    </row>
    <row r="570" hidden="1">
      <c r="A570" t="n">
        <v>40402027</v>
      </c>
      <c r="B570" t="inlineStr">
        <is>
          <t>TUB 60  NEGRA</t>
        </is>
      </c>
    </row>
    <row r="571" hidden="1">
      <c r="A571" t="n">
        <v>40402028</v>
      </c>
      <c r="B571" t="inlineStr">
        <is>
          <t>TUB 60 INOX CAMPANA (110V-60HZ) C/KIT</t>
        </is>
      </c>
    </row>
    <row r="572" hidden="1">
      <c r="A572" t="n">
        <v>40437021</v>
      </c>
      <c r="B572" t="inlineStr">
        <is>
          <t>DSS 980 INOX CAMPANA (110V-60HZ) C/KIT</t>
        </is>
      </c>
    </row>
    <row r="573" hidden="1">
      <c r="A573" t="n">
        <v>40437220</v>
      </c>
      <c r="B573" t="inlineStr">
        <is>
          <t>DLV 980 QUADRO CAMPANA (110V-60HZ) C/KIT</t>
        </is>
      </c>
    </row>
    <row r="574" hidden="1">
      <c r="A574" t="n">
        <v>40446702</v>
      </c>
      <c r="B574" t="inlineStr">
        <is>
          <t>GFH 55 INOX CAMPANA (110V-60HZ) C/KIT</t>
        </is>
      </c>
    </row>
    <row r="575" hidden="1">
      <c r="A575" t="n">
        <v>40446712</v>
      </c>
      <c r="B575" t="inlineStr">
        <is>
          <t>GFH 73 INOX CAMPANA (110V-60HZ) C/KIT</t>
        </is>
      </c>
    </row>
    <row r="576" hidden="1">
      <c r="A576" t="inlineStr">
        <is>
          <t>40446712E</t>
        </is>
      </c>
      <c r="B576" t="inlineStr">
        <is>
          <t>GFH 73 INOX CAMPANA (110V-60HZ) C/KIT</t>
        </is>
      </c>
    </row>
    <row r="577" hidden="1">
      <c r="A577" t="n">
        <v>40455007</v>
      </c>
      <c r="B577" t="inlineStr">
        <is>
          <t>NC 90 CRISTAL AHUMADO</t>
        </is>
      </c>
    </row>
    <row r="578" hidden="1">
      <c r="A578" t="n">
        <v>40455212</v>
      </c>
      <c r="B578" t="inlineStr">
        <is>
          <t>NC 2 90 CRISTAL AHUMADO (NC:40455335)</t>
        </is>
      </c>
    </row>
    <row r="579" hidden="1">
      <c r="A579" t="n">
        <v>40455334</v>
      </c>
      <c r="B579" t="inlineStr">
        <is>
          <t>NC 980 CRISTAL CAMPANA (110V-60HZ) C/KIT</t>
        </is>
      </c>
    </row>
    <row r="580" hidden="1">
      <c r="A580" t="n">
        <v>40455335</v>
      </c>
      <c r="B580" t="inlineStr">
        <is>
          <t>NC 980 FUME 110V/KIT NC:40455334</t>
        </is>
      </c>
    </row>
    <row r="581" hidden="1">
      <c r="A581" t="n">
        <v>40460174</v>
      </c>
      <c r="B581" t="inlineStr">
        <is>
          <t>DB 70 INOX CAMPANA</t>
        </is>
      </c>
    </row>
    <row r="582" hidden="1">
      <c r="A582" t="n">
        <v>40460410</v>
      </c>
      <c r="B582" t="inlineStr">
        <is>
          <t>DBB 60 INOX CAMPANA (110V-60HZ) C/KIT</t>
        </is>
      </c>
    </row>
    <row r="583" hidden="1">
      <c r="A583" t="n">
        <v>40460430</v>
      </c>
      <c r="B583" t="inlineStr">
        <is>
          <t>DBB 70 INOX CAMPANA (110V-60HZ) C/KIT</t>
        </is>
      </c>
    </row>
    <row r="584" hidden="1">
      <c r="A584" t="n">
        <v>40460450</v>
      </c>
      <c r="B584" t="inlineStr">
        <is>
          <t>DBB 90 INOX CAMPANA (110V-60HZ) C/KIT</t>
        </is>
      </c>
    </row>
    <row r="585" hidden="1">
      <c r="A585" t="n">
        <v>40461505</v>
      </c>
      <c r="B585" t="inlineStr">
        <is>
          <t>C 610 INOXIDABLE</t>
        </is>
      </c>
    </row>
    <row r="586" hidden="1">
      <c r="A586" t="n">
        <v>40461506</v>
      </c>
      <c r="B586" t="inlineStr">
        <is>
          <t>C 610 BLANCA CAMPANA (110V-60HZ) C/KIT</t>
        </is>
      </c>
    </row>
    <row r="587" hidden="1">
      <c r="A587" t="n">
        <v>40461507</v>
      </c>
      <c r="B587" t="inlineStr">
        <is>
          <t>C 610 NEGRA CAMPANA (110V-60HZ) C/KIT</t>
        </is>
      </c>
    </row>
    <row r="588" hidden="1">
      <c r="A588" t="n">
        <v>40461543</v>
      </c>
      <c r="B588" t="inlineStr">
        <is>
          <t>C 6310 INOX CAMPANA (110V-60HZ) C/KIT</t>
        </is>
      </c>
    </row>
    <row r="589" hidden="1">
      <c r="A589" t="n">
        <v>40466109</v>
      </c>
      <c r="B589" t="inlineStr">
        <is>
          <t>C 910 INOX CAMPANA (110V-60HZ) C/KIT</t>
        </is>
      </c>
    </row>
    <row r="590" hidden="1">
      <c r="A590" t="n">
        <v>40466110</v>
      </c>
      <c r="B590" t="inlineStr">
        <is>
          <t>C 910 BLANCA CAMPANA (110V-60HZ) C/KIT</t>
        </is>
      </c>
    </row>
    <row r="591" hidden="1">
      <c r="A591" t="n">
        <v>40466111</v>
      </c>
      <c r="B591" t="inlineStr">
        <is>
          <t>C 910 NEGRA CAMPANA (110V-60HZ) C/KIT</t>
        </is>
      </c>
    </row>
    <row r="592" hidden="1">
      <c r="A592" t="n">
        <v>40466241</v>
      </c>
      <c r="B592" t="inlineStr">
        <is>
          <t>C 9310 INOX CAMPANA (110V-60HZ) C/KIT</t>
        </is>
      </c>
    </row>
    <row r="593" hidden="1">
      <c r="A593" t="n">
        <v>40466260</v>
      </c>
      <c r="B593" t="inlineStr">
        <is>
          <t>C-9613 PRO INOX CAMPANA</t>
        </is>
      </c>
    </row>
    <row r="594" hidden="1">
      <c r="A594" t="n">
        <v>40467303</v>
      </c>
      <c r="B594" t="inlineStr">
        <is>
          <t>C 710 INOX CAMPANA (110V-60HZ) C/KIT</t>
        </is>
      </c>
    </row>
    <row r="595" hidden="1">
      <c r="A595" t="n">
        <v>40467304</v>
      </c>
      <c r="B595" t="inlineStr">
        <is>
          <t>C 710 BLANCA CAMPANA (110V-60HZ) C/KIT</t>
        </is>
      </c>
    </row>
    <row r="596" hidden="1">
      <c r="A596" t="n">
        <v>40467305</v>
      </c>
      <c r="B596" t="inlineStr">
        <is>
          <t>C 710 NEGRA CAMPANA (110V-60HZ) C/KIT</t>
        </is>
      </c>
    </row>
    <row r="597" hidden="1">
      <c r="A597" t="n">
        <v>40467320</v>
      </c>
      <c r="B597" t="inlineStr">
        <is>
          <t>C 7310 INOX CAMPANA (110V-60HZ) C/KIT</t>
        </is>
      </c>
    </row>
    <row r="598" hidden="1">
      <c r="A598" t="n">
        <v>40468106</v>
      </c>
      <c r="B598" t="inlineStr">
        <is>
          <t>ND ALADA ISLA CUERPO - DESCONTINUADO</t>
        </is>
      </c>
    </row>
    <row r="599" hidden="1">
      <c r="A599" t="n">
        <v>40468108</v>
      </c>
      <c r="B599" t="inlineStr">
        <is>
          <t>CUERPO ND ALADA INOXIDABLE</t>
        </is>
      </c>
    </row>
    <row r="600" hidden="1">
      <c r="A600" t="n">
        <v>40468114</v>
      </c>
      <c r="B600" t="inlineStr">
        <is>
          <t>ALADA ND 90 CRISTAL AHUMADO COMPLEMENTO</t>
        </is>
      </c>
    </row>
    <row r="601" hidden="1">
      <c r="A601" t="n">
        <v>40468118</v>
      </c>
      <c r="B601" t="inlineStr">
        <is>
          <t>ALADA ISLA CRISTAL AHUMADO COMPLEMENTO - DESCONTINUADO</t>
        </is>
      </c>
    </row>
    <row r="602" hidden="1">
      <c r="A602" t="n">
        <v>40468122</v>
      </c>
      <c r="B602" t="inlineStr">
        <is>
          <t>ALADA ND 90 INOXIDABLE COMPLEMENTO</t>
        </is>
      </c>
    </row>
    <row r="603" hidden="1">
      <c r="A603" t="n">
        <v>40474239</v>
      </c>
      <c r="B603" t="inlineStr">
        <is>
          <t>TL1 62 INOX</t>
        </is>
      </c>
    </row>
    <row r="604" hidden="1">
      <c r="A604" t="n">
        <v>40474253</v>
      </c>
      <c r="B604" t="inlineStr">
        <is>
          <t>CAMPANA TL 6310 INOX 110V/60Hz</t>
        </is>
      </c>
    </row>
    <row r="605" hidden="1">
      <c r="A605" t="n">
        <v>40476141</v>
      </c>
      <c r="B605" t="inlineStr">
        <is>
          <t>DM 70 INOXIDABLE</t>
        </is>
      </c>
    </row>
    <row r="606" hidden="1">
      <c r="A606" t="n">
        <v>40476142</v>
      </c>
      <c r="B606" t="inlineStr">
        <is>
          <t>DM 90 INOXIDABLE - CAMPANA</t>
        </is>
      </c>
    </row>
    <row r="607" hidden="1">
      <c r="A607" t="n">
        <v>40478003</v>
      </c>
      <c r="B607" t="inlineStr">
        <is>
          <t>DX 90 INOX CUERPO</t>
        </is>
      </c>
    </row>
    <row r="608" hidden="1">
      <c r="A608" t="n">
        <v>40478010</v>
      </c>
      <c r="B608" t="inlineStr">
        <is>
          <t>DX 90 CRISTAL AHUMADO COMPLEMENTO</t>
        </is>
      </c>
    </row>
    <row r="609" hidden="1">
      <c r="A609" t="n">
        <v>40478503</v>
      </c>
      <c r="B609" t="inlineStr">
        <is>
          <t>DX ISLA - CAMPANA (CUERPO)</t>
        </is>
      </c>
    </row>
    <row r="610" hidden="1">
      <c r="A610" t="n">
        <v>40478510</v>
      </c>
      <c r="B610" t="inlineStr">
        <is>
          <t>COMPLEMENTO CAMPANA ALA DX ISLA (CRISTAL)</t>
        </is>
      </c>
    </row>
    <row r="611" hidden="1">
      <c r="A611" t="n">
        <v>40480301</v>
      </c>
      <c r="B611" t="inlineStr">
        <is>
          <t>CC 40 ISLA INOX CAMPANA NC:40480321</t>
        </is>
      </c>
    </row>
    <row r="612" hidden="1">
      <c r="A612" t="n">
        <v>40480321</v>
      </c>
      <c r="B612" t="inlineStr">
        <is>
          <t>CC 480 ISLA INOX CAMPANA (40480301)</t>
        </is>
      </c>
    </row>
    <row r="613" hidden="1">
      <c r="A613" t="n">
        <v>40482002</v>
      </c>
      <c r="B613" t="inlineStr">
        <is>
          <t>DF 90 CRISTAL - CAMPANA</t>
        </is>
      </c>
    </row>
    <row r="614" hidden="1">
      <c r="A614" t="n">
        <v>40482601</v>
      </c>
      <c r="B614" t="inlineStr">
        <is>
          <t>DU 90 CRISTAL CAMPANA</t>
        </is>
      </c>
    </row>
    <row r="615" hidden="1">
      <c r="A615" t="n">
        <v>40482620</v>
      </c>
      <c r="B615" t="inlineStr">
        <is>
          <t>DU 980 CRISTAL CAMPANA (110V-60HZ) C/KIT</t>
        </is>
      </c>
    </row>
    <row r="616" hidden="1">
      <c r="A616" t="n">
        <v>40483054</v>
      </c>
      <c r="B616" t="inlineStr">
        <is>
          <t>DP E 90 INOX CAMPANA</t>
        </is>
      </c>
    </row>
    <row r="617" hidden="1">
      <c r="A617" t="n">
        <v>40483101</v>
      </c>
      <c r="B617" t="inlineStr">
        <is>
          <t>DPL 90 CAMPANA</t>
        </is>
      </c>
    </row>
    <row r="618" hidden="1">
      <c r="A618" t="n">
        <v>40483141</v>
      </c>
      <c r="B618" t="inlineStr">
        <is>
          <t>DPL 980  T CAMPANA (NC:112960004)</t>
        </is>
      </c>
    </row>
    <row r="619" hidden="1">
      <c r="A619" t="n">
        <v>40483182</v>
      </c>
      <c r="B619" t="inlineStr">
        <is>
          <t>CUERPO DPL ISLA 1180</t>
        </is>
      </c>
    </row>
    <row r="620" hidden="1">
      <c r="A620" t="n">
        <v>40483183</v>
      </c>
      <c r="B620" t="inlineStr">
        <is>
          <t>ESTRUCTURA DPL ISLA 1180</t>
        </is>
      </c>
    </row>
    <row r="621" hidden="1">
      <c r="A621" t="n">
        <v>40483201</v>
      </c>
      <c r="B621" t="inlineStr">
        <is>
          <t>DVL 90 CRISTAL CAMPANA</t>
        </is>
      </c>
    </row>
    <row r="622" hidden="1">
      <c r="A622" t="n">
        <v>40483424</v>
      </c>
      <c r="B622" t="inlineStr">
        <is>
          <t>DVE 90 CRISTAL CAMPANA</t>
        </is>
      </c>
    </row>
    <row r="623" hidden="1">
      <c r="A623" t="n">
        <v>40483612</v>
      </c>
      <c r="B623" t="inlineStr">
        <is>
          <t>DV 80 CRISTAL AHUMADO CAMPANA</t>
        </is>
      </c>
    </row>
    <row r="624" hidden="1">
      <c r="A624" t="n">
        <v>40484121</v>
      </c>
      <c r="B624" t="inlineStr">
        <is>
          <t>DH2 70 INOX CAMPANA (NC:40484174)</t>
        </is>
      </c>
    </row>
    <row r="625" hidden="1">
      <c r="A625" t="n">
        <v>40484122</v>
      </c>
      <c r="B625" t="inlineStr">
        <is>
          <t>DH2 90 INOX CAMPANA (NC: 40484175)</t>
        </is>
      </c>
    </row>
    <row r="626" hidden="1">
      <c r="A626" t="n">
        <v>40484174</v>
      </c>
      <c r="B626" t="inlineStr">
        <is>
          <t>DH 780 INOX CAMPANA (40484121)</t>
        </is>
      </c>
    </row>
    <row r="627" hidden="1">
      <c r="A627" t="n">
        <v>40484175</v>
      </c>
      <c r="B627" t="inlineStr">
        <is>
          <t>DH 980 INOX CAMPANA (40484122)</t>
        </is>
      </c>
    </row>
    <row r="628" hidden="1">
      <c r="A628" t="n">
        <v>40484203</v>
      </c>
      <c r="B628" t="inlineStr">
        <is>
          <t>DSH 785 INOX CAMPANA (110V-60HZ) C/KIT</t>
        </is>
      </c>
    </row>
    <row r="629" hidden="1">
      <c r="A629" t="n">
        <v>40484204</v>
      </c>
      <c r="B629" t="inlineStr">
        <is>
          <t>DSH 985 INOX CAMPANA (110V-60HZ) C/KIT</t>
        </is>
      </c>
    </row>
    <row r="630" hidden="1">
      <c r="A630" t="n">
        <v>40484615</v>
      </c>
      <c r="B630" t="inlineStr">
        <is>
          <t>DH2 ISLA CAMPANA</t>
        </is>
      </c>
    </row>
    <row r="631" hidden="1">
      <c r="A631" t="n">
        <v>40484680</v>
      </c>
      <c r="B631" t="inlineStr">
        <is>
          <t>ESTRUCTURA DH 2 ISLA 1280 INOX CAMPANA</t>
        </is>
      </c>
    </row>
    <row r="632" hidden="1">
      <c r="A632" t="n">
        <v>40484681</v>
      </c>
      <c r="B632" t="inlineStr">
        <is>
          <t>CUERPO DH 2 ISLA 1280 INOX CAMPANA</t>
        </is>
      </c>
    </row>
    <row r="633" hidden="1">
      <c r="A633" t="n">
        <v>40484807</v>
      </c>
      <c r="B633" t="inlineStr">
        <is>
          <t>DH 120 ISLA INOX CAMPANA  - DESCONTINUADO</t>
        </is>
      </c>
    </row>
    <row r="634" hidden="1">
      <c r="A634" t="n">
        <v>40485125</v>
      </c>
      <c r="B634" t="inlineStr">
        <is>
          <t>DG2 ISLA CAMPANA - DESCONTINUADO</t>
        </is>
      </c>
    </row>
    <row r="635" hidden="1">
      <c r="A635" t="n">
        <v>40485126</v>
      </c>
      <c r="B635" t="inlineStr">
        <is>
          <t>DG2 ISLA ESTRUCTURA - DESCONTINUADO</t>
        </is>
      </c>
    </row>
    <row r="636" hidden="1">
      <c r="A636" t="n">
        <v>40485134</v>
      </c>
      <c r="B636" t="inlineStr">
        <is>
          <t>DG3 90 ISLA 110 V C/KIT CAMPANA NC:40485141</t>
        </is>
      </c>
    </row>
    <row r="637" hidden="1">
      <c r="A637" t="n">
        <v>40485141</v>
      </c>
      <c r="B637" t="inlineStr">
        <is>
          <t>DG3 ISLA 980 110 V/KIT CAMPANA (40485134)</t>
        </is>
      </c>
    </row>
    <row r="638" hidden="1">
      <c r="A638" t="n">
        <v>40485311</v>
      </c>
      <c r="B638" t="inlineStr">
        <is>
          <t>DG3 70 CRISTAL CAMPANA (NC: 40485357)</t>
        </is>
      </c>
    </row>
    <row r="639" hidden="1">
      <c r="A639" t="n">
        <v>40485312</v>
      </c>
      <c r="B639" t="inlineStr">
        <is>
          <t>DG3 90 CRISTAL CAMPANA (NC:40485358)</t>
        </is>
      </c>
    </row>
    <row r="640" hidden="1">
      <c r="A640" t="n">
        <v>40485357</v>
      </c>
      <c r="B640" t="inlineStr">
        <is>
          <t>DG 780 CRISTAL CAMPANA (110V-60HZ) C/KIT</t>
        </is>
      </c>
    </row>
    <row r="641" hidden="1">
      <c r="A641" t="n">
        <v>40485358</v>
      </c>
      <c r="B641" t="inlineStr">
        <is>
          <t>DG 980 CRISTAL CAMPANA (110V-60HZ) C/KIT</t>
        </is>
      </c>
    </row>
    <row r="642" hidden="1">
      <c r="A642" t="n">
        <v>40487192</v>
      </c>
      <c r="B642" t="inlineStr">
        <is>
          <t>DLH 982 T INOX CAMPANA (110V-60HZ) C/KIT</t>
        </is>
      </c>
    </row>
    <row r="643">
      <c r="A643" t="n">
        <v>40543209</v>
      </c>
      <c r="B643" t="inlineStr">
        <is>
          <t>FG 924 INOXIDABLE</t>
        </is>
      </c>
    </row>
    <row r="644" hidden="1">
      <c r="A644" t="n">
        <v>40578553</v>
      </c>
      <c r="B644" t="inlineStr">
        <is>
          <t>TMW 20.2 BIS</t>
        </is>
      </c>
    </row>
    <row r="645" hidden="1">
      <c r="A645" t="n">
        <v>40582211</v>
      </c>
      <c r="B645" t="inlineStr">
        <is>
          <t>MW E 22 EGL</t>
        </is>
      </c>
    </row>
    <row r="646" hidden="1">
      <c r="A646" t="n">
        <v>40582233</v>
      </c>
      <c r="B646" t="inlineStr">
        <is>
          <t>MWS 22 EGL - MICROONDAS (NC: 40582241)</t>
        </is>
      </c>
    </row>
    <row r="647" hidden="1">
      <c r="A647" t="n">
        <v>40582241</v>
      </c>
      <c r="B647" t="inlineStr">
        <is>
          <t>MWS 22 EGL - MICROONDAS (40582233)</t>
        </is>
      </c>
    </row>
    <row r="648" hidden="1">
      <c r="A648" t="n">
        <v>40582303</v>
      </c>
      <c r="B648" t="inlineStr">
        <is>
          <t>MWL 22 EGL - MICROONDAS (NC: 40582314)</t>
        </is>
      </c>
    </row>
    <row r="649" hidden="1">
      <c r="A649" t="n">
        <v>40582314</v>
      </c>
      <c r="B649" t="inlineStr">
        <is>
          <t>MWL 22 EGL - MICROONDAS (40582303)</t>
        </is>
      </c>
    </row>
    <row r="650" hidden="1">
      <c r="A650" t="n">
        <v>40583402</v>
      </c>
      <c r="B650" t="inlineStr">
        <is>
          <t>MWL 20 BIS - MICROONDAS</t>
        </is>
      </c>
    </row>
    <row r="651" hidden="1">
      <c r="A651" t="n">
        <v>40583809</v>
      </c>
      <c r="B651" t="inlineStr">
        <is>
          <t>MWS 20 BIS EBON (NC: 40583810)</t>
        </is>
      </c>
    </row>
    <row r="652" hidden="1">
      <c r="A652" t="n">
        <v>40583810</v>
      </c>
      <c r="B652" t="inlineStr">
        <is>
          <t>MWS 20 BIS EBON - MICROONDAS (40583809)</t>
        </is>
      </c>
    </row>
    <row r="653" hidden="1">
      <c r="A653" t="n">
        <v>40584012</v>
      </c>
      <c r="B653" t="inlineStr">
        <is>
          <t>MS 620 BIS - MICROONDAS</t>
        </is>
      </c>
    </row>
    <row r="654" hidden="1">
      <c r="A654" t="n">
        <v>40584105</v>
      </c>
      <c r="B654" t="inlineStr">
        <is>
          <t>MS 622 BIS - MICROONDAS</t>
        </is>
      </c>
    </row>
    <row r="655" hidden="1">
      <c r="A655" t="n">
        <v>40584202</v>
      </c>
      <c r="B655" t="inlineStr">
        <is>
          <t>ML 820 BIS - MICROONDAS</t>
        </is>
      </c>
    </row>
    <row r="656" hidden="1">
      <c r="A656" t="n">
        <v>40584305</v>
      </c>
      <c r="B656" t="inlineStr">
        <is>
          <t>ML 822 BIS - MICROONDAS (112030008)</t>
        </is>
      </c>
    </row>
    <row r="657" hidden="1">
      <c r="A657" t="n">
        <v>40584306</v>
      </c>
      <c r="B657" t="inlineStr">
        <is>
          <t>ML 822 BIS - MICROONDAS BLANCO</t>
        </is>
      </c>
    </row>
    <row r="658" hidden="1">
      <c r="A658" t="n">
        <v>40584401</v>
      </c>
      <c r="B658" t="inlineStr">
        <is>
          <t>MLC 844 - MICROONDAS</t>
        </is>
      </c>
    </row>
    <row r="659" hidden="1">
      <c r="A659" t="n">
        <v>40586010</v>
      </c>
      <c r="B659" t="inlineStr">
        <is>
          <t>COMPACTO MW 32 BIS</t>
        </is>
      </c>
    </row>
    <row r="660" hidden="1">
      <c r="A660" t="n">
        <v>40586101</v>
      </c>
      <c r="B660" t="inlineStr">
        <is>
          <t>COMPACTO MWL 32 BIS (NC: 40586104)</t>
        </is>
      </c>
    </row>
    <row r="661" hidden="1">
      <c r="A661" t="n">
        <v>40586104</v>
      </c>
      <c r="B661" t="inlineStr">
        <is>
          <t>COMPACTO MWL 32 BIS (40586101)</t>
        </is>
      </c>
    </row>
    <row r="662" hidden="1">
      <c r="A662" t="n">
        <v>40586510</v>
      </c>
      <c r="B662" t="inlineStr">
        <is>
          <t>COMPACTO MW 32 BIT</t>
        </is>
      </c>
    </row>
    <row r="663" hidden="1">
      <c r="A663" t="n">
        <v>40587602</v>
      </c>
      <c r="B663" t="inlineStr">
        <is>
          <t>HLC 844 - MICROONDAS COMBI</t>
        </is>
      </c>
    </row>
    <row r="664" hidden="1">
      <c r="A664" t="n">
        <v>40589001</v>
      </c>
      <c r="B664" t="inlineStr">
        <is>
          <t>HKL 970 SC VAPOR (NC: 40589005)</t>
        </is>
      </c>
    </row>
    <row r="665" hidden="1">
      <c r="A665" t="n">
        <v>40589005</v>
      </c>
      <c r="B665" t="inlineStr">
        <is>
          <t>HKL 970 SC HORNO VAPOR (40589001)</t>
        </is>
      </c>
    </row>
    <row r="666" hidden="1">
      <c r="A666" t="n">
        <v>40589020</v>
      </c>
      <c r="B666" t="inlineStr">
        <is>
          <t>HLC 847 SC HORNO VAPOR COMBI</t>
        </is>
      </c>
    </row>
    <row r="667" hidden="1">
      <c r="A667" t="n">
        <v>40589021</v>
      </c>
      <c r="B667" t="inlineStr">
        <is>
          <t>HORNO A VAPOR COMBI HLC 847 SC 220V/60HZ</t>
        </is>
      </c>
    </row>
    <row r="668" hidden="1">
      <c r="A668" t="n">
        <v>40589511</v>
      </c>
      <c r="B668" t="inlineStr">
        <is>
          <t>CAFETERA INTEGRACION CML 45 INOX</t>
        </is>
      </c>
    </row>
    <row r="669" hidden="1">
      <c r="A669" t="n">
        <v>40589900</v>
      </c>
      <c r="B669" t="inlineStr">
        <is>
          <t>CALIENTAPLATOS CPEL-15</t>
        </is>
      </c>
    </row>
    <row r="670" hidden="1">
      <c r="A670" t="n">
        <v>40589920</v>
      </c>
      <c r="B670" t="inlineStr">
        <is>
          <t>CALIENTAPLATOS CP15 GS IX</t>
        </is>
      </c>
    </row>
    <row r="671" hidden="1">
      <c r="A671" t="n">
        <v>40590830</v>
      </c>
      <c r="B671" t="inlineStr">
        <is>
          <t>MWG 11X - MICROONDAS</t>
        </is>
      </c>
    </row>
    <row r="672" hidden="1">
      <c r="A672" t="n">
        <v>40590835</v>
      </c>
      <c r="B672" t="inlineStr">
        <is>
          <t>MWG 14X - MICROONDAS</t>
        </is>
      </c>
    </row>
    <row r="673" hidden="1">
      <c r="A673" t="n">
        <v>40599050</v>
      </c>
      <c r="B673" t="inlineStr">
        <is>
          <t>KIT EMPOTRABLE PARA COMPACTOS</t>
        </is>
      </c>
    </row>
    <row r="674" hidden="1">
      <c r="A674" t="n">
        <v>40672012</v>
      </c>
      <c r="B674" t="inlineStr">
        <is>
          <t>NFL 340 REFRIGERADORA</t>
        </is>
      </c>
    </row>
    <row r="675" hidden="1">
      <c r="A675" t="n">
        <v>40682102</v>
      </c>
      <c r="B675" t="inlineStr">
        <is>
          <t>RV 51C VINERA</t>
        </is>
      </c>
    </row>
    <row r="676" hidden="1">
      <c r="A676" t="n">
        <v>40716160</v>
      </c>
      <c r="B676" t="inlineStr">
        <is>
          <t>LAVAVAJILLAS DW 80 60 S INOX</t>
        </is>
      </c>
    </row>
    <row r="677" hidden="1">
      <c r="A677" t="n">
        <v>40716165</v>
      </c>
      <c r="B677" t="inlineStr">
        <is>
          <t>DW8 60 S INOX LAVAVAJILLAS</t>
        </is>
      </c>
    </row>
    <row r="678" hidden="1">
      <c r="A678" t="n">
        <v>40716906</v>
      </c>
      <c r="B678" t="inlineStr">
        <is>
          <t>DW8 60 S LAVAVAJILLAS (PUERTA INOX)</t>
        </is>
      </c>
    </row>
    <row r="679" hidden="1">
      <c r="A679" t="n">
        <v>40722007</v>
      </c>
      <c r="B679" t="inlineStr">
        <is>
          <t>DW8 80 FI M INOX LAVAVAJILLAS</t>
        </is>
      </c>
    </row>
    <row r="680" hidden="1">
      <c r="A680" t="n">
        <v>40782127</v>
      </c>
      <c r="B680" t="inlineStr">
        <is>
          <t>DW8 57 FIM PANELABLE LAVAVAJILLAS</t>
        </is>
      </c>
    </row>
    <row r="681" hidden="1">
      <c r="A681" t="n">
        <v>40782128</v>
      </c>
      <c r="B681" t="inlineStr">
        <is>
          <t>DW8 57 FIM-D LAVAVAJILLAS</t>
        </is>
      </c>
    </row>
    <row r="682" hidden="1">
      <c r="A682" t="n">
        <v>40782510</v>
      </c>
      <c r="B682" t="inlineStr">
        <is>
          <t>LP8 850 M LAVAVAJILLAS</t>
        </is>
      </c>
    </row>
    <row r="683" hidden="1">
      <c r="A683" t="n">
        <v>40876090</v>
      </c>
      <c r="B683" t="inlineStr">
        <is>
          <t>EMBELLECEDOR LAVADORA-SECADORA</t>
        </is>
      </c>
    </row>
    <row r="684" hidden="1">
      <c r="A684" t="n">
        <v>40911302</v>
      </c>
      <c r="B684" t="inlineStr">
        <is>
          <t>GRIFO MS1 CROMO - GRIFO COCINA</t>
        </is>
      </c>
    </row>
    <row r="685" hidden="1">
      <c r="A685" t="n">
        <v>40931802</v>
      </c>
      <c r="B685" t="inlineStr">
        <is>
          <t>MT EXTRAIBLE - GRIFO COCINA</t>
        </is>
      </c>
    </row>
    <row r="686" hidden="1">
      <c r="A686" t="n">
        <v>40971802</v>
      </c>
      <c r="B686" t="inlineStr">
        <is>
          <t>MS CROMO EXTRAIBLE - GRIFO COCINA</t>
        </is>
      </c>
    </row>
    <row r="687" hidden="1">
      <c r="A687" t="n">
        <v>4097845</v>
      </c>
      <c r="B687" t="inlineStr">
        <is>
          <t>GRIFO AQUATA EOB CHROME - GRIFO COCINA</t>
        </is>
      </c>
    </row>
    <row r="688" hidden="1">
      <c r="A688" t="n">
        <v>41009001</v>
      </c>
      <c r="B688" t="inlineStr">
        <is>
          <t>MONOMANDO EXT ME CROMO</t>
        </is>
      </c>
    </row>
    <row r="689" hidden="1">
      <c r="A689" t="n">
        <v>41013002</v>
      </c>
      <c r="B689" t="inlineStr">
        <is>
          <t>MP CROMO MONOMANDO (96911402)</t>
        </is>
      </c>
    </row>
    <row r="690" hidden="1">
      <c r="A690" t="n">
        <v>41016102</v>
      </c>
      <c r="B690" t="inlineStr">
        <is>
          <t>ML CROMO MONOMANDO (MT- 81911362)</t>
        </is>
      </c>
    </row>
    <row r="691" hidden="1">
      <c r="A691" t="n">
        <v>41020101</v>
      </c>
      <c r="B691" t="inlineStr">
        <is>
          <t>MC 10 PLUS CAÑO LARGO (979115IK)</t>
        </is>
      </c>
    </row>
    <row r="692" hidden="1">
      <c r="A692" t="n">
        <v>41022030</v>
      </c>
      <c r="B692" t="inlineStr">
        <is>
          <t>MX CROMO MONOM EXTR</t>
        </is>
      </c>
    </row>
    <row r="693" hidden="1">
      <c r="A693" t="n">
        <v>41028100</v>
      </c>
      <c r="B693" t="inlineStr">
        <is>
          <t>MG CROMO MONOMANDO(18151202)</t>
        </is>
      </c>
    </row>
    <row r="694" hidden="1">
      <c r="A694" t="n">
        <v>41070000</v>
      </c>
      <c r="B694" t="inlineStr">
        <is>
          <t>MONOMANDO JOY CROMO</t>
        </is>
      </c>
    </row>
    <row r="695" hidden="1">
      <c r="A695" t="n">
        <v>41508110</v>
      </c>
      <c r="B695" t="inlineStr">
        <is>
          <t>HS 535 INOX HORNO ELEC (NC: 41508410)</t>
        </is>
      </c>
    </row>
    <row r="696" hidden="1">
      <c r="A696" t="n">
        <v>41508111</v>
      </c>
      <c r="B696" t="inlineStr">
        <is>
          <t>HS 510 BLANCO HORNO ELEC</t>
        </is>
      </c>
    </row>
    <row r="697" hidden="1">
      <c r="A697" t="n">
        <v>41508410</v>
      </c>
      <c r="B697" t="inlineStr">
        <is>
          <t>HS 535 INOX HORNO ELEC (41508110)</t>
        </is>
      </c>
    </row>
    <row r="698" hidden="1">
      <c r="A698" t="n">
        <v>41509010</v>
      </c>
      <c r="B698" t="inlineStr">
        <is>
          <t>HE-535 INOX - HORNO ELEC</t>
        </is>
      </c>
    </row>
    <row r="699" hidden="1">
      <c r="A699" t="n">
        <v>41509011</v>
      </c>
      <c r="B699" t="inlineStr">
        <is>
          <t>HE 510 BLANCO - HORNO ELEC</t>
        </is>
      </c>
    </row>
    <row r="700" hidden="1">
      <c r="A700" t="n">
        <v>41519010</v>
      </c>
      <c r="B700" t="inlineStr">
        <is>
          <t>HE 635 INOX - HORNO ELEC</t>
        </is>
      </c>
    </row>
    <row r="701" hidden="1">
      <c r="A701" t="n">
        <v>41521110</v>
      </c>
      <c r="B701" t="inlineStr">
        <is>
          <t>HS 635 INOX HORNO ELEC (NC: 41521810)</t>
        </is>
      </c>
    </row>
    <row r="702" hidden="1">
      <c r="A702" t="n">
        <v>41521810</v>
      </c>
      <c r="B702" t="inlineStr">
        <is>
          <t>HS 635 INOX HORNO ELEC (41521110)</t>
        </is>
      </c>
    </row>
    <row r="703" hidden="1">
      <c r="A703" t="n">
        <v>41522410</v>
      </c>
      <c r="B703" t="inlineStr">
        <is>
          <t>HS 735 INOX HORNO ELEC (NC: 41523110)</t>
        </is>
      </c>
    </row>
    <row r="704" hidden="1">
      <c r="A704" t="n">
        <v>41523010</v>
      </c>
      <c r="B704" t="inlineStr">
        <is>
          <t>HE 735 INOX - HORNO ELEC</t>
        </is>
      </c>
    </row>
    <row r="705" hidden="1">
      <c r="A705" t="n">
        <v>41523110</v>
      </c>
      <c r="B705" t="inlineStr">
        <is>
          <t>HS 735 INOX HORNO ELEC (41522410)</t>
        </is>
      </c>
    </row>
    <row r="706" hidden="1">
      <c r="A706" t="n">
        <v>41550210</v>
      </c>
      <c r="B706" t="inlineStr">
        <is>
          <t>HA 820 INOX - HORNO ELEC</t>
        </is>
      </c>
    </row>
    <row r="707" hidden="1">
      <c r="A707" t="n">
        <v>41551210</v>
      </c>
      <c r="B707" t="inlineStr">
        <is>
          <t>HA 830 INOX - HORNO ELEC</t>
        </is>
      </c>
    </row>
    <row r="708" hidden="1">
      <c r="A708" t="n">
        <v>41552810</v>
      </c>
      <c r="B708" t="inlineStr">
        <is>
          <t>HL 840 INOX - HORNO ELEC (NC: 41553410)</t>
        </is>
      </c>
    </row>
    <row r="709" hidden="1">
      <c r="A709" t="n">
        <v>41553410</v>
      </c>
      <c r="B709" t="inlineStr">
        <is>
          <t>HL 840 INOX - HORNO ELEC (41552810)</t>
        </is>
      </c>
    </row>
    <row r="710" hidden="1">
      <c r="A710" t="n">
        <v>41558710</v>
      </c>
      <c r="B710" t="inlineStr">
        <is>
          <t>HL 890 INOX HORNO ELEC (NC: 41588410)</t>
        </is>
      </c>
    </row>
    <row r="711" hidden="1">
      <c r="A711" t="n">
        <v>41560034</v>
      </c>
      <c r="B711" t="inlineStr">
        <is>
          <t>HBB 510 BLANCO HORNO ELEC</t>
        </is>
      </c>
    </row>
    <row r="712" hidden="1">
      <c r="A712" t="n">
        <v>41560041</v>
      </c>
      <c r="B712" t="inlineStr">
        <is>
          <t>HBB 535 INOX HORNO ELEC</t>
        </is>
      </c>
    </row>
    <row r="713" hidden="1">
      <c r="A713" t="n">
        <v>41560061</v>
      </c>
      <c r="B713" t="inlineStr">
        <is>
          <t>HLB 830 INOX HORNO ELEC</t>
        </is>
      </c>
    </row>
    <row r="714" hidden="1">
      <c r="A714" t="n">
        <v>41560074</v>
      </c>
      <c r="B714" t="inlineStr">
        <is>
          <t>HLB 840 INOX HORNO ELEC</t>
        </is>
      </c>
    </row>
    <row r="715" hidden="1">
      <c r="A715" t="n">
        <v>41560079</v>
      </c>
      <c r="B715" t="inlineStr">
        <is>
          <t>HLB 840 BLANCO HORNO ELEC</t>
        </is>
      </c>
    </row>
    <row r="716" hidden="1">
      <c r="A716" t="n">
        <v>41560096</v>
      </c>
      <c r="B716" t="inlineStr">
        <is>
          <t>HLB 860 INOX HORNO ELEC</t>
        </is>
      </c>
    </row>
    <row r="717" hidden="1">
      <c r="A717" t="n">
        <v>41560124</v>
      </c>
      <c r="B717" t="inlineStr">
        <is>
          <t>HSB 615 INOX HORNO ELEC</t>
        </is>
      </c>
    </row>
    <row r="718" hidden="1">
      <c r="A718" t="n">
        <v>41560142</v>
      </c>
      <c r="B718" t="inlineStr">
        <is>
          <t>HSB 635 INOX HORNO ELEC (41521810)</t>
        </is>
      </c>
    </row>
    <row r="719" hidden="1">
      <c r="A719" t="n">
        <v>41560151</v>
      </c>
      <c r="B719" t="inlineStr">
        <is>
          <t>HSB 645 INOX HORNO ELEC (41523110)</t>
        </is>
      </c>
    </row>
    <row r="720" hidden="1">
      <c r="A720" t="n">
        <v>41560166</v>
      </c>
      <c r="B720" t="inlineStr">
        <is>
          <t>IOVEN HORNO ELEC.</t>
        </is>
      </c>
    </row>
    <row r="721" hidden="1">
      <c r="A721" t="n">
        <v>41566023</v>
      </c>
      <c r="B721" t="inlineStr">
        <is>
          <t>HLB 860 P INOX HORNO ELEC</t>
        </is>
      </c>
    </row>
    <row r="722" hidden="1">
      <c r="A722" t="n">
        <v>41575310</v>
      </c>
      <c r="B722" t="inlineStr">
        <is>
          <t>HL 830 INOX - HORNO ELEC (NC: 41575510)</t>
        </is>
      </c>
    </row>
    <row r="723" hidden="1">
      <c r="A723" t="n">
        <v>41575510</v>
      </c>
      <c r="B723" t="inlineStr">
        <is>
          <t>HL 830 INOX - HORNO ELEC (41575310)</t>
        </is>
      </c>
    </row>
    <row r="724" hidden="1">
      <c r="A724" t="n">
        <v>41579810</v>
      </c>
      <c r="B724" t="inlineStr">
        <is>
          <t>HL 870 INOX - HORNO ELEC NC:41580110</t>
        </is>
      </c>
    </row>
    <row r="725" hidden="1">
      <c r="A725" t="n">
        <v>41580010</v>
      </c>
      <c r="B725" t="inlineStr">
        <is>
          <t>HA 860 INOX - HORNO ELEC</t>
        </is>
      </c>
    </row>
    <row r="726" hidden="1">
      <c r="A726" t="n">
        <v>41580110</v>
      </c>
      <c r="B726" t="inlineStr">
        <is>
          <t>HL 870 INOX - HORNO ELEC (41579810)</t>
        </is>
      </c>
    </row>
    <row r="727" hidden="1">
      <c r="A727" t="n">
        <v>41588410</v>
      </c>
      <c r="B727" t="inlineStr">
        <is>
          <t>HL 890 INOX HORNO ELEC (41558710)</t>
        </is>
      </c>
    </row>
    <row r="728" hidden="1">
      <c r="A728" t="n">
        <v>41592100</v>
      </c>
      <c r="B728" t="inlineStr">
        <is>
          <t>HA 935 INOX - HORNO ELEC</t>
        </is>
      </c>
    </row>
    <row r="729" hidden="1">
      <c r="A729" t="n">
        <v>41592210</v>
      </c>
      <c r="B729" t="inlineStr">
        <is>
          <t>HL 940 INOX - HORNO ELEC NC:41592216</t>
        </is>
      </c>
    </row>
    <row r="730" hidden="1">
      <c r="A730" t="n">
        <v>41592216</v>
      </c>
      <c r="B730" t="inlineStr">
        <is>
          <t>HL 940 INOX - HORNO ELEC (41592210)</t>
        </is>
      </c>
    </row>
    <row r="731" hidden="1">
      <c r="A731" t="n">
        <v>41592227</v>
      </c>
      <c r="B731" t="inlineStr">
        <is>
          <t>HLF 940 INOX HORNO ELEC</t>
        </is>
      </c>
    </row>
    <row r="732" hidden="1">
      <c r="A732" t="n">
        <v>41592300</v>
      </c>
      <c r="B732" t="inlineStr">
        <is>
          <t>HML 840 INOX - HORNO ELEC</t>
        </is>
      </c>
    </row>
    <row r="733" hidden="1">
      <c r="A733" t="n">
        <v>41592306</v>
      </c>
      <c r="B733" t="inlineStr">
        <is>
          <t>HLF 840 INOX HORNO ELEC</t>
        </is>
      </c>
    </row>
    <row r="734" hidden="1">
      <c r="A734" t="n">
        <v>41593001</v>
      </c>
      <c r="B734" t="inlineStr">
        <is>
          <t>DHA 888 I DOBLE - HORNO ELEC</t>
        </is>
      </c>
    </row>
    <row r="735" hidden="1">
      <c r="A735" t="n">
        <v>41593003</v>
      </c>
      <c r="B735" t="inlineStr">
        <is>
          <t>DHA 888 - HORNO DOBLE ELEC</t>
        </is>
      </c>
    </row>
    <row r="736" hidden="1">
      <c r="A736" t="n">
        <v>41593007</v>
      </c>
      <c r="B736" t="inlineStr">
        <is>
          <t>HDL 888 I - HORNO ELEC (NC:41593010)</t>
        </is>
      </c>
    </row>
    <row r="737" hidden="1">
      <c r="A737" t="n">
        <v>41593010</v>
      </c>
      <c r="B737" t="inlineStr">
        <is>
          <t>HDL 888 I - HORNO ELEC (41593007)</t>
        </is>
      </c>
    </row>
    <row r="738" hidden="1">
      <c r="A738" t="n">
        <v>41593015</v>
      </c>
      <c r="B738" t="inlineStr">
        <is>
          <t>HLD 890 HORNO ELEC</t>
        </is>
      </c>
    </row>
    <row r="739" hidden="1">
      <c r="A739" t="n">
        <v>41595020</v>
      </c>
      <c r="B739" t="inlineStr">
        <is>
          <t>ADVAND COMBO 45.15 INOX (NC: 41595022)</t>
        </is>
      </c>
    </row>
    <row r="740" hidden="1">
      <c r="A740" t="n">
        <v>41595022</v>
      </c>
      <c r="B740" t="inlineStr">
        <is>
          <t>ADVAND COMBO 45.15 ELEC (41595020)</t>
        </is>
      </c>
    </row>
    <row r="741" hidden="1">
      <c r="A741" t="n">
        <v>41595026</v>
      </c>
      <c r="B741" t="inlineStr">
        <is>
          <t>HLD 45.15 HORNO ELEC</t>
        </is>
      </c>
    </row>
    <row r="742" hidden="1">
      <c r="A742" t="n">
        <v>41596001</v>
      </c>
      <c r="B742" t="inlineStr">
        <is>
          <t>HORNO HGL 824 I 127 50/60 LPG</t>
        </is>
      </c>
    </row>
    <row r="743" hidden="1">
      <c r="A743" t="n">
        <v>41596006</v>
      </c>
      <c r="B743" t="inlineStr">
        <is>
          <t>HLF 824 G SS HORNO A GAS</t>
        </is>
      </c>
    </row>
    <row r="744" hidden="1">
      <c r="A744" t="n">
        <v>41596121</v>
      </c>
      <c r="B744" t="inlineStr">
        <is>
          <t>HLF 924 G SS HORNO A GAS</t>
        </is>
      </c>
    </row>
    <row r="745" hidden="1">
      <c r="A745" t="n">
        <v>41597410</v>
      </c>
      <c r="B745" t="inlineStr">
        <is>
          <t>HORNO HGS 750 I 127 50/60 LPG</t>
        </is>
      </c>
    </row>
    <row r="746" hidden="1">
      <c r="A746" t="n">
        <v>41597411</v>
      </c>
      <c r="B746" t="inlineStr">
        <is>
          <t>HORNO HGS 750 R 127 50/60 LPG</t>
        </is>
      </c>
    </row>
    <row r="747">
      <c r="A747" t="n">
        <v>41597501</v>
      </c>
      <c r="B747" t="inlineStr">
        <is>
          <t>FGA 820 HORNO GAS</t>
        </is>
      </c>
    </row>
    <row r="748" hidden="1">
      <c r="A748" t="n">
        <v>41598021</v>
      </c>
      <c r="B748" t="inlineStr">
        <is>
          <t>CAFETERA CM 45 INOX</t>
        </is>
      </c>
    </row>
    <row r="749" hidden="1">
      <c r="A749" t="n">
        <v>41598031</v>
      </c>
      <c r="B749" t="inlineStr">
        <is>
          <t>CAFETERA INTEGRACION CLC 855 GM INOX</t>
        </is>
      </c>
    </row>
    <row r="750" hidden="1">
      <c r="A750" t="n">
        <v>41599005</v>
      </c>
      <c r="B750" t="inlineStr">
        <is>
          <t>PIEDRA VOLCANICA COMBO</t>
        </is>
      </c>
    </row>
    <row r="751" hidden="1">
      <c r="A751" t="n">
        <v>41599012</v>
      </c>
      <c r="B751" t="inlineStr">
        <is>
          <t>KIT MULTICOOK TEKA</t>
        </is>
      </c>
    </row>
    <row r="752" hidden="1">
      <c r="A752" t="n">
        <v>461220200</v>
      </c>
      <c r="B752" t="inlineStr">
        <is>
          <t>MT PLUS GRIFO BAÑO-DUCHA MURAL</t>
        </is>
      </c>
    </row>
    <row r="753" hidden="1">
      <c r="A753" t="n">
        <v>462320200</v>
      </c>
      <c r="B753" t="inlineStr">
        <is>
          <t>MT PLUS GRIFO DUCHA MURAL</t>
        </is>
      </c>
    </row>
    <row r="754" hidden="1">
      <c r="A754" t="inlineStr">
        <is>
          <t>46241TE00</t>
        </is>
      </c>
      <c r="B754" t="inlineStr">
        <is>
          <t>MT PLUS DUCHA MONOMANDO EMPOTRABLE</t>
        </is>
      </c>
    </row>
    <row r="755" hidden="1">
      <c r="A755" t="n">
        <v>463420200</v>
      </c>
      <c r="B755" t="inlineStr">
        <is>
          <t>MT PLUS GRIFO LAVABO CON DESAGUE</t>
        </is>
      </c>
    </row>
    <row r="756" hidden="1">
      <c r="A756" t="n">
        <v>463460210</v>
      </c>
      <c r="B756" t="inlineStr">
        <is>
          <t>MT PLUS GRIFO LAVABO</t>
        </is>
      </c>
    </row>
    <row r="757" hidden="1">
      <c r="A757" t="n">
        <v>469780210</v>
      </c>
      <c r="B757" t="inlineStr">
        <is>
          <t>GRIFO MTP 978  - GRIFO COCINA</t>
        </is>
      </c>
    </row>
    <row r="758" hidden="1">
      <c r="A758" t="n">
        <v>49002040</v>
      </c>
      <c r="B758" t="inlineStr">
        <is>
          <t>SET BATERIA INDUCCION (9 P)</t>
        </is>
      </c>
    </row>
    <row r="759" hidden="1">
      <c r="A759" t="n">
        <v>49004840</v>
      </c>
      <c r="B759" t="inlineStr">
        <is>
          <t>SET BATERIA INDUCCION (9 P)</t>
        </is>
      </c>
    </row>
    <row r="760" hidden="1">
      <c r="A760" t="inlineStr">
        <is>
          <t>49004840a</t>
        </is>
      </c>
      <c r="B760" t="inlineStr">
        <is>
          <t>SET BATERIA INDUCCION (9 P) kit</t>
        </is>
      </c>
    </row>
    <row r="761" hidden="1">
      <c r="A761" t="inlineStr">
        <is>
          <t>49004840E</t>
        </is>
      </c>
      <c r="B761" t="inlineStr">
        <is>
          <t>SET BATERIA INDUCCION (9 P) Exterior</t>
        </is>
      </c>
    </row>
    <row r="762" hidden="1">
      <c r="A762" t="n">
        <v>49004848</v>
      </c>
      <c r="B762" t="inlineStr">
        <is>
          <t>OLLA PROFESIONAL 25.4 L GRANDHOTEL 32CM</t>
        </is>
      </c>
    </row>
    <row r="763" hidden="1">
      <c r="A763" t="n">
        <v>49004850</v>
      </c>
      <c r="B763" t="inlineStr">
        <is>
          <t>OLLA PRESION OPEN CONTROL 8L 24cm</t>
        </is>
      </c>
    </row>
    <row r="764" hidden="1">
      <c r="A764" t="inlineStr">
        <is>
          <t>49004850a</t>
        </is>
      </c>
      <c r="B764" t="inlineStr">
        <is>
          <t>OLLA PRESION OPEN CONTROL 8L 24cm Kit</t>
        </is>
      </c>
    </row>
    <row r="765" hidden="1">
      <c r="A765" t="n">
        <v>49004852</v>
      </c>
      <c r="B765" t="inlineStr">
        <is>
          <t>OLLA PRESION OPEN CONTROL 4,5L 22cm</t>
        </is>
      </c>
    </row>
    <row r="766" hidden="1">
      <c r="A766" t="n">
        <v>49004853</v>
      </c>
      <c r="B766" t="inlineStr">
        <is>
          <t>OLLA PRESION OPEN CONTROL 6L 22cm</t>
        </is>
      </c>
    </row>
    <row r="767" hidden="1">
      <c r="A767" t="n">
        <v>49004860</v>
      </c>
      <c r="B767" t="inlineStr">
        <is>
          <t>SARTEN CONICA ANTIADHERENTE 20cm</t>
        </is>
      </c>
    </row>
    <row r="768" hidden="1">
      <c r="A768" t="n">
        <v>49004861</v>
      </c>
      <c r="B768" t="inlineStr">
        <is>
          <t>SARTEN CONICA ANTIADHERENTE 22cm</t>
        </is>
      </c>
    </row>
    <row r="769" hidden="1">
      <c r="A769" t="n">
        <v>49004862</v>
      </c>
      <c r="B769" t="inlineStr">
        <is>
          <t>SARTEN CONICA ANTIADHERENTE 24cm</t>
        </is>
      </c>
    </row>
    <row r="770" hidden="1">
      <c r="A770" t="n">
        <v>49004863</v>
      </c>
      <c r="B770" t="inlineStr">
        <is>
          <t>SARTEN CONICA ANTIADHERENTE 26cm</t>
        </is>
      </c>
    </row>
    <row r="771" hidden="1">
      <c r="A771" t="n">
        <v>49004864</v>
      </c>
      <c r="B771" t="inlineStr">
        <is>
          <t>SARTEN CONICA ANTIADHERENTE 28cm</t>
        </is>
      </c>
    </row>
    <row r="772" hidden="1">
      <c r="A772" t="n">
        <v>49004865</v>
      </c>
      <c r="B772" t="inlineStr">
        <is>
          <t>SARTEN CONICA 20cm</t>
        </is>
      </c>
    </row>
    <row r="773" hidden="1">
      <c r="A773" t="n">
        <v>49004866</v>
      </c>
      <c r="B773" t="inlineStr">
        <is>
          <t>SARTEN CONICA 22cm</t>
        </is>
      </c>
    </row>
    <row r="774" hidden="1">
      <c r="A774" t="n">
        <v>49004867</v>
      </c>
      <c r="B774" t="inlineStr">
        <is>
          <t>SARTEN CONICA 24cm</t>
        </is>
      </c>
    </row>
    <row r="775" hidden="1">
      <c r="A775" t="n">
        <v>49004868</v>
      </c>
      <c r="B775" t="inlineStr">
        <is>
          <t>SARTEN CONICA 26cm</t>
        </is>
      </c>
    </row>
    <row r="776" hidden="1">
      <c r="A776" t="n">
        <v>49004869</v>
      </c>
      <c r="B776" t="inlineStr">
        <is>
          <t>SARTEN CONICA 28cm</t>
        </is>
      </c>
    </row>
    <row r="777" hidden="1">
      <c r="A777" t="n">
        <v>49004870</v>
      </c>
      <c r="B777" t="inlineStr">
        <is>
          <t>GRILL CUADRADO ANTIADHERENTE 27x27cm</t>
        </is>
      </c>
    </row>
    <row r="778" hidden="1">
      <c r="A778" t="inlineStr">
        <is>
          <t>50342020Z</t>
        </is>
      </c>
      <c r="B778" t="inlineStr">
        <is>
          <t>AURA MOONLITE AZUL</t>
        </is>
      </c>
    </row>
    <row r="779" hidden="1">
      <c r="A779" t="n">
        <v>503420218</v>
      </c>
      <c r="B779" t="inlineStr">
        <is>
          <t>AURA MOONLITE VERDE</t>
        </is>
      </c>
    </row>
    <row r="780" hidden="1">
      <c r="A780" t="inlineStr">
        <is>
          <t>50342021R</t>
        </is>
      </c>
      <c r="B780" t="inlineStr">
        <is>
          <t>AURA MOONLITE ROJO</t>
        </is>
      </c>
    </row>
    <row r="781" hidden="1">
      <c r="A781" t="inlineStr">
        <is>
          <t>50342021Z</t>
        </is>
      </c>
      <c r="B781" t="inlineStr">
        <is>
          <t>AURA MOONLITE AZUL</t>
        </is>
      </c>
    </row>
    <row r="782" hidden="1">
      <c r="A782" t="n">
        <v>509150210</v>
      </c>
      <c r="B782" t="inlineStr">
        <is>
          <t>FRAME - GRIFO COCINA</t>
        </is>
      </c>
    </row>
    <row r="783" hidden="1">
      <c r="A783" t="inlineStr">
        <is>
          <t>50915TE10</t>
        </is>
      </c>
      <c r="B783" t="inlineStr">
        <is>
          <t>FRAME - GRIFO COCINA</t>
        </is>
      </c>
    </row>
    <row r="784" hidden="1">
      <c r="A784" t="inlineStr">
        <is>
          <t>50915TE10-H</t>
        </is>
      </c>
      <c r="B784" t="inlineStr">
        <is>
          <t>FRAME - GRIFO COCINA</t>
        </is>
      </c>
    </row>
    <row r="785" hidden="1">
      <c r="A785" t="n">
        <v>5310212</v>
      </c>
      <c r="B785" t="inlineStr">
        <is>
          <t>INCA GRIFO BAÑO-DUCHA MURAL</t>
        </is>
      </c>
    </row>
    <row r="786" hidden="1">
      <c r="A786" t="n">
        <v>5317112</v>
      </c>
      <c r="B786" t="inlineStr">
        <is>
          <t>INCA GRIFO BAÑO-DUCHA EMPOTRAR</t>
        </is>
      </c>
    </row>
    <row r="787" hidden="1">
      <c r="A787" t="n">
        <v>5323212</v>
      </c>
      <c r="B787" t="inlineStr">
        <is>
          <t>INCA GRIFO DUCHA MURAL</t>
        </is>
      </c>
    </row>
    <row r="788" hidden="1">
      <c r="A788" t="n">
        <v>5324112</v>
      </c>
      <c r="B788" t="inlineStr">
        <is>
          <t>INCA GRIFO DUCHA EMPOTRAR</t>
        </is>
      </c>
    </row>
    <row r="789" hidden="1">
      <c r="A789" t="n">
        <v>53341612</v>
      </c>
      <c r="B789" t="inlineStr">
        <is>
          <t>INCA GRIFO LAVABO</t>
        </is>
      </c>
    </row>
    <row r="790" hidden="1">
      <c r="A790" t="n">
        <v>539121210</v>
      </c>
      <c r="B790" t="inlineStr">
        <is>
          <t>IN 912 - GRIFO COCINA</t>
        </is>
      </c>
    </row>
    <row r="791" hidden="1">
      <c r="A791" t="n">
        <v>539156200</v>
      </c>
      <c r="B791" t="inlineStr">
        <is>
          <t>IN 915 - GRIFO COCINA DIY</t>
        </is>
      </c>
    </row>
    <row r="792" hidden="1">
      <c r="A792" t="inlineStr">
        <is>
          <t>53915620N</t>
        </is>
      </c>
      <c r="B792" t="inlineStr">
        <is>
          <t>IN 915 FULL BLACK - GRIFO COCINA</t>
        </is>
      </c>
    </row>
    <row r="793" hidden="1">
      <c r="A793" t="n">
        <v>539391200</v>
      </c>
      <c r="B793" t="inlineStr">
        <is>
          <t>IN 939 - GRIFO COCINA DIY</t>
        </is>
      </c>
    </row>
    <row r="794" hidden="1">
      <c r="A794" t="n">
        <v>53991512</v>
      </c>
      <c r="B794" t="inlineStr">
        <is>
          <t>IN 995 - GRIFO COCINA</t>
        </is>
      </c>
    </row>
    <row r="795" hidden="1">
      <c r="A795" t="n">
        <v>539940200</v>
      </c>
      <c r="B795" t="inlineStr">
        <is>
          <t>IN 994 - GRIFO COCINA</t>
        </is>
      </c>
    </row>
    <row r="796" hidden="1">
      <c r="A796" t="inlineStr">
        <is>
          <t>53995TE1FA</t>
        </is>
      </c>
      <c r="B796" t="inlineStr">
        <is>
          <t>INCA FASHION NARANJA - GRIFO COCINA</t>
        </is>
      </c>
    </row>
    <row r="797" hidden="1">
      <c r="A797" t="inlineStr">
        <is>
          <t>53995TE1FB</t>
        </is>
      </c>
      <c r="B797" t="inlineStr">
        <is>
          <t>INCA FASHION AZUL - GRIFO COCINA</t>
        </is>
      </c>
    </row>
    <row r="798" hidden="1">
      <c r="A798" t="inlineStr">
        <is>
          <t>53995TE1FM</t>
        </is>
      </c>
      <c r="B798" t="inlineStr">
        <is>
          <t>INCA FASHION GRIS - GRIFO COCINA</t>
        </is>
      </c>
    </row>
    <row r="799" hidden="1">
      <c r="A799" t="inlineStr">
        <is>
          <t>53995TE1FM-H</t>
        </is>
      </c>
      <c r="B799" t="inlineStr">
        <is>
          <t>INCA FASHION GRIS - GRIFO COCINA</t>
        </is>
      </c>
    </row>
    <row r="800" hidden="1">
      <c r="A800" t="inlineStr">
        <is>
          <t>53995TE1FN</t>
        </is>
      </c>
      <c r="B800" t="inlineStr">
        <is>
          <t>INCA FASHION NEGRO - GRIFO COCINA</t>
        </is>
      </c>
    </row>
    <row r="801" hidden="1">
      <c r="A801" t="inlineStr">
        <is>
          <t>53995TE1FN-H</t>
        </is>
      </c>
      <c r="B801" t="inlineStr">
        <is>
          <t>INCA FASHION NEGRO - GRIFO COCINA</t>
        </is>
      </c>
    </row>
    <row r="802" hidden="1">
      <c r="A802" t="inlineStr">
        <is>
          <t>53995TE1FP</t>
        </is>
      </c>
      <c r="B802" t="inlineStr">
        <is>
          <t>INCA FASHION ROSA - GRIFO COCINA</t>
        </is>
      </c>
    </row>
    <row r="803" hidden="1">
      <c r="A803" t="inlineStr">
        <is>
          <t>53995TE1FW</t>
        </is>
      </c>
      <c r="B803" t="inlineStr">
        <is>
          <t>INCA FASHION BLANCO - GRIFO COCINA</t>
        </is>
      </c>
    </row>
    <row r="804" hidden="1">
      <c r="A804" t="inlineStr">
        <is>
          <t>53995TE1FY</t>
        </is>
      </c>
      <c r="B804" t="inlineStr">
        <is>
          <t>INCA FASHION AMARILLO - GRIFO COCINA</t>
        </is>
      </c>
    </row>
    <row r="805" hidden="1">
      <c r="A805" t="n">
        <v>551220200</v>
      </c>
      <c r="B805" t="inlineStr">
        <is>
          <t>ALAIOR GRIFO BAÑO-DUCHA MURAL</t>
        </is>
      </c>
    </row>
    <row r="806" hidden="1">
      <c r="A806" t="n">
        <v>552320200</v>
      </c>
      <c r="B806" t="inlineStr">
        <is>
          <t>ALAIOR GRIFO DUCHA MURAL</t>
        </is>
      </c>
    </row>
    <row r="807" hidden="1">
      <c r="A807" t="inlineStr">
        <is>
          <t>55241TE00</t>
        </is>
      </c>
      <c r="B807" t="inlineStr">
        <is>
          <t>ALAIOR DUCHA MONOMANDO EMPOTRABLE</t>
        </is>
      </c>
    </row>
    <row r="808" hidden="1">
      <c r="A808" t="n">
        <v>553460210</v>
      </c>
      <c r="B808" t="inlineStr">
        <is>
          <t>ALAIOR GRIFO LAVABO</t>
        </is>
      </c>
    </row>
    <row r="809" hidden="1">
      <c r="A809" t="n">
        <v>553660210</v>
      </c>
      <c r="B809" t="inlineStr">
        <is>
          <t>ALAIOR GRIFO LAVABO ALTO</t>
        </is>
      </c>
    </row>
    <row r="810" hidden="1">
      <c r="A810" t="n">
        <v>559950210</v>
      </c>
      <c r="B810" t="inlineStr">
        <is>
          <t>SP 995 - GRIFO COCINA</t>
        </is>
      </c>
    </row>
    <row r="811" hidden="1">
      <c r="A811" t="n">
        <v>60703046</v>
      </c>
      <c r="B811" t="inlineStr">
        <is>
          <t>CONJ.INDUC.Ø180 OVAL TKG2LcN1/N2=300/300 Ls=420mm</t>
        </is>
      </c>
    </row>
    <row r="812" hidden="1">
      <c r="A812" t="n">
        <v>60803165</v>
      </c>
      <c r="B812" t="inlineStr">
        <is>
          <t>CONJUNTO TOUCH CONTROL AKO ARTEMIS II SLIDER 3i C/T</t>
        </is>
      </c>
    </row>
    <row r="813" hidden="1">
      <c r="A813" t="n">
        <v>60803172</v>
      </c>
      <c r="B813" t="inlineStr">
        <is>
          <t>CONJUNTO TOUCH CONTROL AKO G0 4i C/T</t>
        </is>
      </c>
    </row>
    <row r="814" hidden="1">
      <c r="A814" t="n">
        <v>61001000</v>
      </c>
      <c r="B814" t="inlineStr">
        <is>
          <t>VALVULA TEKA C/REBOSADER  CLASICO</t>
        </is>
      </c>
    </row>
    <row r="815" hidden="1">
      <c r="A815" t="n">
        <v>61001034</v>
      </c>
      <c r="B815" t="inlineStr">
        <is>
          <t>VALVULA CESTILLA.C -REB INOX</t>
        </is>
      </c>
    </row>
    <row r="816" hidden="1">
      <c r="A816" t="n">
        <v>61001076</v>
      </c>
      <c r="B816" t="inlineStr">
        <is>
          <t>CONJUNTO SIFON 2½C B (2 CODOS+1ALARG+2T)</t>
        </is>
      </c>
    </row>
    <row r="817" hidden="1">
      <c r="A817" t="n">
        <v>61001097</v>
      </c>
      <c r="B817" t="inlineStr">
        <is>
          <t>CONJUNTO SIFON 1C</t>
        </is>
      </c>
    </row>
    <row r="818" hidden="1">
      <c r="A818" t="n">
        <v>61001104</v>
      </c>
      <c r="B818" t="inlineStr">
        <is>
          <t>CONJUNTO SIFON 2C</t>
        </is>
      </c>
    </row>
    <row r="819" hidden="1">
      <c r="A819" t="n">
        <v>61001108</v>
      </c>
      <c r="B819" t="inlineStr">
        <is>
          <t>VALVULA CEST.INOX 18.10 C/R TK2003 L=230</t>
        </is>
      </c>
    </row>
    <row r="820" hidden="1">
      <c r="A820" t="n">
        <v>61001109</v>
      </c>
      <c r="B820" t="inlineStr">
        <is>
          <t>VALVULA CESTILLA AMARILLA</t>
        </is>
      </c>
    </row>
    <row r="821" hidden="1">
      <c r="A821" t="n">
        <v>61001113</v>
      </c>
      <c r="B821" t="inlineStr">
        <is>
          <t>CONJUNTO VALVULA CESTILLA 1C C/REB SIFON</t>
        </is>
      </c>
    </row>
    <row r="822" hidden="1">
      <c r="A822" t="n">
        <v>61001189</v>
      </c>
      <c r="B822" t="inlineStr">
        <is>
          <t>CONJUNTO VALVULA AUTOMATICA 2C S/R</t>
        </is>
      </c>
    </row>
    <row r="823" hidden="1">
      <c r="A823" t="n">
        <v>61001190</v>
      </c>
      <c r="B823" t="inlineStr">
        <is>
          <t>CONJ. VALVULA AUTOMATICA 1 1/2 C/S/R SIFON MANDO</t>
        </is>
      </c>
    </row>
    <row r="824" hidden="1">
      <c r="A824" t="n">
        <v>61001192</v>
      </c>
      <c r="B824" t="inlineStr">
        <is>
          <t>CONJ.VALVULA AUTOMAT. 1C C/R SF M.METAL(LCABLE=70)</t>
        </is>
      </c>
    </row>
    <row r="825" hidden="1">
      <c r="A825" t="n">
        <v>61001199</v>
      </c>
      <c r="B825" t="inlineStr">
        <is>
          <t>CONUNTO VALVULA CESTILLA CON REB STENA</t>
        </is>
      </c>
    </row>
    <row r="826" hidden="1">
      <c r="A826" t="n">
        <v>61001229</v>
      </c>
      <c r="B826" t="inlineStr">
        <is>
          <t>CONJ. VALVULA 1½" C/REB (REF.02179)</t>
        </is>
      </c>
    </row>
    <row r="827" hidden="1">
      <c r="A827" t="n">
        <v>61001230</v>
      </c>
      <c r="B827" t="inlineStr">
        <is>
          <t>VALVULA CESTILLA BLANCA*99191012</t>
        </is>
      </c>
    </row>
    <row r="828" hidden="1">
      <c r="A828" t="n">
        <v>61001232</v>
      </c>
      <c r="B828" t="inlineStr">
        <is>
          <t>VALV. CESTILLA T de F</t>
        </is>
      </c>
    </row>
    <row r="829" hidden="1">
      <c r="A829" t="n">
        <v>61001269</v>
      </c>
      <c r="B829" t="inlineStr">
        <is>
          <t>VALVULA CESTILLA AUTO 1C C/REB RECTANGULAR</t>
        </is>
      </c>
    </row>
    <row r="830" hidden="1">
      <c r="A830" t="n">
        <v>61001272</v>
      </c>
      <c r="B830" t="inlineStr">
        <is>
          <t>VALVULA CESTILLA C/REB RECTANGULAR</t>
        </is>
      </c>
    </row>
    <row r="831" hidden="1">
      <c r="A831" t="n">
        <v>61001276</v>
      </c>
      <c r="B831" t="inlineStr">
        <is>
          <t>VALVULA CESTILLA AUTO 61001269</t>
        </is>
      </c>
    </row>
    <row r="832" hidden="1">
      <c r="A832" t="n">
        <v>61001300</v>
      </c>
      <c r="B832" t="inlineStr">
        <is>
          <t>VALVULA TEKA 1½" C/REBOSADERO RED (61001320)</t>
        </is>
      </c>
    </row>
    <row r="833" hidden="1">
      <c r="A833" t="n">
        <v>61001301</v>
      </c>
      <c r="B833" t="inlineStr">
        <is>
          <t>VALVULA 1½" S/REBOSADERO INOX</t>
        </is>
      </c>
    </row>
    <row r="834" hidden="1">
      <c r="A834" t="n">
        <v>61001302</v>
      </c>
      <c r="B834" t="inlineStr">
        <is>
          <t>VALVULA CESTILLA C/REBOSADERO INOX</t>
        </is>
      </c>
    </row>
    <row r="835" hidden="1">
      <c r="A835" t="n">
        <v>61001303</v>
      </c>
      <c r="B835" t="inlineStr">
        <is>
          <t>VALVULA CESTILLA</t>
        </is>
      </c>
    </row>
    <row r="836" hidden="1">
      <c r="A836" t="n">
        <v>61001305</v>
      </c>
      <c r="B836" t="inlineStr">
        <is>
          <t>CONJUNTO VALVULAS CESTILLA C/S/REB INOX</t>
        </is>
      </c>
    </row>
    <row r="837" hidden="1">
      <c r="A837" t="n">
        <v>61001320</v>
      </c>
      <c r="B837" t="inlineStr">
        <is>
          <t>VALVULA TEKA  C/REBOSADERO RED (NC: 61001300)</t>
        </is>
      </c>
    </row>
    <row r="838" hidden="1">
      <c r="A838" t="n">
        <v>61801232</v>
      </c>
      <c r="B838" t="inlineStr">
        <is>
          <t>FILTRO CARBON TUB 60/C 761/C901/GF1/CNL1</t>
        </is>
      </c>
    </row>
    <row r="839" hidden="1">
      <c r="A839" t="n">
        <v>61801236</v>
      </c>
      <c r="B839" t="inlineStr">
        <is>
          <t>FILTRO CARBON ACTIVO CIRCULAR S2001</t>
        </is>
      </c>
    </row>
    <row r="840" hidden="1">
      <c r="A840" t="n">
        <v>61801239</v>
      </c>
      <c r="B840" t="inlineStr">
        <is>
          <t>FILTRO CAMPANA CONVENCIONAL C2R</t>
        </is>
      </c>
    </row>
    <row r="841" hidden="1">
      <c r="A841" t="n">
        <v>61867050</v>
      </c>
      <c r="B841" t="inlineStr">
        <is>
          <t>CAJA EMBALAJE C-700</t>
        </is>
      </c>
    </row>
    <row r="842" hidden="1">
      <c r="A842" t="n">
        <v>622410200</v>
      </c>
      <c r="B842" t="inlineStr">
        <is>
          <t>MM. FORMENTERA DUCHA EMPOTRABLE</t>
        </is>
      </c>
    </row>
    <row r="843" hidden="1">
      <c r="A843" t="inlineStr">
        <is>
          <t>62241TE00</t>
        </is>
      </c>
      <c r="B843" t="inlineStr">
        <is>
          <t>FORMENTERA DUCHA EMPOTR TK</t>
        </is>
      </c>
    </row>
    <row r="844" hidden="1">
      <c r="A844" t="inlineStr">
        <is>
          <t>62241TE10</t>
        </is>
      </c>
      <c r="B844" t="inlineStr">
        <is>
          <t>FORMENTERA DUHA EMPOTRAR - Grifo Baño</t>
        </is>
      </c>
    </row>
    <row r="845" hidden="1">
      <c r="A845" t="inlineStr">
        <is>
          <t>62346TE10</t>
        </is>
      </c>
      <c r="B845" t="inlineStr">
        <is>
          <t>FORMENTERA GRIFO LAVABO - Grifo Baño</t>
        </is>
      </c>
    </row>
    <row r="846" hidden="1">
      <c r="A846" t="inlineStr">
        <is>
          <t>62386TE10</t>
        </is>
      </c>
      <c r="B846" t="inlineStr">
        <is>
          <t>FORMENTERA GRIFO LAVABO CASCADA - Grifo Baño</t>
        </is>
      </c>
    </row>
    <row r="847" hidden="1">
      <c r="A847" t="inlineStr">
        <is>
          <t>62626TE10</t>
        </is>
      </c>
      <c r="B847" t="inlineStr">
        <is>
          <t>FORMENTERA GRIFO BIDET - Grifo Baño</t>
        </is>
      </c>
    </row>
    <row r="848" hidden="1">
      <c r="A848" t="n">
        <v>629150210</v>
      </c>
      <c r="B848" t="inlineStr">
        <is>
          <t>FO 915 - GRIFO COCINA</t>
        </is>
      </c>
    </row>
    <row r="849" hidden="1">
      <c r="A849" t="inlineStr">
        <is>
          <t>62915TE10</t>
        </is>
      </c>
      <c r="B849" t="inlineStr">
        <is>
          <t>FO 915 - GRIFO COCINA</t>
        </is>
      </c>
    </row>
    <row r="850" hidden="1">
      <c r="A850" t="inlineStr">
        <is>
          <t>62915TE10-H</t>
        </is>
      </c>
      <c r="B850" t="inlineStr">
        <is>
          <t>FO 915 - GRIFO COCINA</t>
        </is>
      </c>
    </row>
    <row r="851" hidden="1">
      <c r="A851" t="inlineStr">
        <is>
          <t>62915TE1N</t>
        </is>
      </c>
      <c r="B851" t="inlineStr">
        <is>
          <t>FO 915 - GRIFO COCINA NEGRO</t>
        </is>
      </c>
    </row>
    <row r="852" hidden="1">
      <c r="A852" t="inlineStr">
        <is>
          <t>62915TE1N-H</t>
        </is>
      </c>
      <c r="B852" t="inlineStr">
        <is>
          <t>FO 915 - GRIFO COCINA NEGRO</t>
        </is>
      </c>
    </row>
    <row r="853" hidden="1">
      <c r="A853" t="inlineStr">
        <is>
          <t>62915TE1W</t>
        </is>
      </c>
      <c r="B853" t="inlineStr">
        <is>
          <t>FO 915 - GRIFO COCINA BLANCO</t>
        </is>
      </c>
    </row>
    <row r="854" hidden="1">
      <c r="A854" t="inlineStr">
        <is>
          <t>629990200-H</t>
        </is>
      </c>
      <c r="B854" t="inlineStr">
        <is>
          <t>FO 999 - GRIFO COCINA</t>
        </is>
      </c>
    </row>
    <row r="855" hidden="1">
      <c r="A855" t="n">
        <v>749140200</v>
      </c>
      <c r="B855" t="inlineStr">
        <is>
          <t>INX 914 MONOMANDO (749140210)</t>
        </is>
      </c>
    </row>
    <row r="856" hidden="1">
      <c r="A856" t="n">
        <v>749140210</v>
      </c>
      <c r="B856" t="inlineStr">
        <is>
          <t>INX 914 (749140200) - GRIFO COCINA</t>
        </is>
      </c>
    </row>
    <row r="857" hidden="1">
      <c r="A857" t="n">
        <v>749150200</v>
      </c>
      <c r="B857" t="inlineStr">
        <is>
          <t>INX 915 - GRIFO COCINA</t>
        </is>
      </c>
    </row>
    <row r="858" hidden="1">
      <c r="A858" t="n">
        <v>749390210</v>
      </c>
      <c r="B858" t="inlineStr">
        <is>
          <t>INX 939 EXTRAIBLE - GRIFO COCINA</t>
        </is>
      </c>
    </row>
    <row r="859" hidden="1">
      <c r="A859" t="n">
        <v>749830210</v>
      </c>
      <c r="B859" t="inlineStr">
        <is>
          <t>INX 983 - GRIFO COCINA</t>
        </is>
      </c>
    </row>
    <row r="860" hidden="1">
      <c r="A860" t="n">
        <v>780130200</v>
      </c>
      <c r="B860" t="inlineStr">
        <is>
          <t>MM. EMPOTRADO 3 VIAS</t>
        </is>
      </c>
    </row>
    <row r="861" hidden="1">
      <c r="A861" t="n">
        <v>7900150</v>
      </c>
      <c r="B861" t="inlineStr">
        <is>
          <t>BALTIC (SOLO BARRA)</t>
        </is>
      </c>
    </row>
    <row r="862" hidden="1">
      <c r="A862" t="n">
        <v>790027200</v>
      </c>
      <c r="B862" t="inlineStr">
        <is>
          <t>UNIVERSE PRO</t>
        </is>
      </c>
    </row>
    <row r="863" hidden="1">
      <c r="A863" t="n">
        <v>7900550</v>
      </c>
      <c r="B863" t="inlineStr">
        <is>
          <t>DUCHA FLEXIBLE AUXILIAR</t>
        </is>
      </c>
    </row>
    <row r="864" hidden="1">
      <c r="A864" t="n">
        <v>7900602</v>
      </c>
      <c r="B864" t="inlineStr">
        <is>
          <t>ROCIADOR LATON ICE 200 MM</t>
        </is>
      </c>
    </row>
    <row r="865" hidden="1">
      <c r="A865" t="n">
        <v>7900603</v>
      </c>
      <c r="B865" t="inlineStr">
        <is>
          <t>ROCIADOR LATON 1820 200 MM</t>
        </is>
      </c>
    </row>
    <row r="866" hidden="1">
      <c r="A866" t="n">
        <v>7900605</v>
      </c>
      <c r="B866" t="inlineStr">
        <is>
          <t>ROCIADOR ASTRO</t>
        </is>
      </c>
    </row>
    <row r="867" hidden="1">
      <c r="A867" t="n">
        <v>7900650</v>
      </c>
      <c r="B867" t="inlineStr">
        <is>
          <t>ROCIADOR SPIN</t>
        </is>
      </c>
    </row>
    <row r="868" hidden="1">
      <c r="A868" t="n">
        <v>7900651</v>
      </c>
      <c r="B868" t="inlineStr">
        <is>
          <t>ROCIADOR OCEAN</t>
        </is>
      </c>
    </row>
    <row r="869" hidden="1">
      <c r="A869" t="n">
        <v>7900654</v>
      </c>
      <c r="B869" t="inlineStr">
        <is>
          <t>ROCIADOR  DISK</t>
        </is>
      </c>
    </row>
    <row r="870" hidden="1">
      <c r="A870" t="n">
        <v>790066300</v>
      </c>
      <c r="B870" t="inlineStr">
        <is>
          <t>ICE  L ROCIADOR</t>
        </is>
      </c>
    </row>
    <row r="871" hidden="1">
      <c r="A871" t="n">
        <v>790066700</v>
      </c>
      <c r="B871" t="inlineStr">
        <is>
          <t>ROCIADOR 300 INOX</t>
        </is>
      </c>
    </row>
    <row r="872" hidden="1">
      <c r="A872" t="n">
        <v>790066800</v>
      </c>
      <c r="B872" t="inlineStr">
        <is>
          <t>ROCIADOR 400 INOX</t>
        </is>
      </c>
    </row>
    <row r="873" hidden="1">
      <c r="A873" t="n">
        <v>790067000</v>
      </c>
      <c r="B873" t="inlineStr">
        <is>
          <t>ROCIADOR 300x300mm INOX</t>
        </is>
      </c>
    </row>
    <row r="874" hidden="1">
      <c r="A874" t="n">
        <v>790067100</v>
      </c>
      <c r="B874" t="inlineStr">
        <is>
          <t>ROCIADOR 400x400mm INOX</t>
        </is>
      </c>
    </row>
    <row r="875" hidden="1">
      <c r="A875" t="n">
        <v>790067300</v>
      </c>
      <c r="B875" t="inlineStr">
        <is>
          <t>ROCIADOR DE PARED 520X270X35</t>
        </is>
      </c>
    </row>
    <row r="876" hidden="1">
      <c r="A876" t="n">
        <v>7900750</v>
      </c>
      <c r="B876" t="inlineStr">
        <is>
          <t>BARRA DE DUCHA 200 mm</t>
        </is>
      </c>
    </row>
    <row r="877" hidden="1">
      <c r="A877" t="n">
        <v>7900751</v>
      </c>
      <c r="B877" t="inlineStr">
        <is>
          <t>BARRA DE DUCHA 300 mm</t>
        </is>
      </c>
    </row>
    <row r="878" hidden="1">
      <c r="A878" t="n">
        <v>7900752</v>
      </c>
      <c r="B878" t="inlineStr">
        <is>
          <t>BARRA DE DUCHA 400 mm</t>
        </is>
      </c>
    </row>
    <row r="879" hidden="1">
      <c r="A879" t="n">
        <v>7901050</v>
      </c>
      <c r="B879" t="inlineStr">
        <is>
          <t>TOMA DE AGUA</t>
        </is>
      </c>
    </row>
    <row r="880" hidden="1">
      <c r="A880" t="n">
        <v>81216061</v>
      </c>
      <c r="B880" t="inlineStr">
        <is>
          <t>PARRILLA FUNDICION 1G WOK CGW LUX 70 5G</t>
        </is>
      </c>
    </row>
    <row r="881" hidden="1">
      <c r="A881" t="n">
        <v>81216067</v>
      </c>
      <c r="B881" t="inlineStr">
        <is>
          <t>CISTAL CGW LUX 70 5G AI AL TR*</t>
        </is>
      </c>
    </row>
    <row r="882" hidden="1">
      <c r="A882" t="n">
        <v>81476061</v>
      </c>
      <c r="B882" t="inlineStr">
        <is>
          <t>BOTON PULSADOR</t>
        </is>
      </c>
    </row>
    <row r="883">
      <c r="A883" t="n">
        <v>81543107</v>
      </c>
      <c r="B883" t="inlineStr">
        <is>
          <t>JUNTA PUERTA FG 924</t>
        </is>
      </c>
    </row>
    <row r="884" hidden="1">
      <c r="A884" t="n">
        <v>81543286</v>
      </c>
      <c r="B884" t="inlineStr">
        <is>
          <t>CHAPA ENCENDIDO</t>
        </is>
      </c>
    </row>
    <row r="885" hidden="1">
      <c r="A885" t="n">
        <v>81712071</v>
      </c>
      <c r="B885" t="inlineStr">
        <is>
          <t>ASPERSOR SUERIOR LP7-770</t>
        </is>
      </c>
    </row>
    <row r="886" hidden="1">
      <c r="A886" t="n">
        <v>81911362</v>
      </c>
      <c r="B886" t="inlineStr">
        <is>
          <t>ML CROMO - GRIFO COCINA</t>
        </is>
      </c>
    </row>
    <row r="887" hidden="1">
      <c r="A887" t="n">
        <v>81911462</v>
      </c>
      <c r="B887" t="inlineStr">
        <is>
          <t>MN - GRIFO COCINA</t>
        </is>
      </c>
    </row>
    <row r="888" hidden="1">
      <c r="A888" t="n">
        <v>8917102</v>
      </c>
      <c r="B888" t="inlineStr">
        <is>
          <t>MA BAÑO-DUCHA</t>
        </is>
      </c>
    </row>
    <row r="889" hidden="1">
      <c r="A889" t="n">
        <v>8924102</v>
      </c>
      <c r="B889" t="inlineStr">
        <is>
          <t>MA DUCHA</t>
        </is>
      </c>
    </row>
    <row r="890" hidden="1">
      <c r="A890" t="n">
        <v>89341602</v>
      </c>
      <c r="B890" t="inlineStr">
        <is>
          <t>MA LAVABO</t>
        </is>
      </c>
    </row>
    <row r="891" hidden="1">
      <c r="A891" t="n">
        <v>904131</v>
      </c>
      <c r="B891" t="inlineStr">
        <is>
          <t>PASTILLAS FINISH POWERBALL ALL IN 1 (13 UNIDS.)</t>
        </is>
      </c>
    </row>
    <row r="892" hidden="1">
      <c r="A892" t="n">
        <v>915111130</v>
      </c>
      <c r="B892" t="inlineStr">
        <is>
          <t>FREGADERO ELIGO ELX78SXF-M</t>
        </is>
      </c>
    </row>
    <row r="893" hidden="1">
      <c r="A893" t="n">
        <v>915411215</v>
      </c>
      <c r="B893" t="inlineStr">
        <is>
          <t>FREGADERO ELIGO ELX 114 SXLF-DW DER</t>
        </is>
      </c>
    </row>
    <row r="894" hidden="1">
      <c r="A894" t="n">
        <v>915411415</v>
      </c>
      <c r="B894" t="inlineStr">
        <is>
          <t>FREGADERO ELIGO ELX 114 SXRF-DW IZQ</t>
        </is>
      </c>
    </row>
    <row r="895" hidden="1">
      <c r="A895" t="n">
        <v>94228053</v>
      </c>
      <c r="B895" t="inlineStr">
        <is>
          <t>INDUCTOR 260/210mm EGO GV (75.96475.078) IR 950</t>
        </is>
      </c>
    </row>
    <row r="896" hidden="1">
      <c r="A896" t="n">
        <v>96911402</v>
      </c>
      <c r="B896" t="inlineStr">
        <is>
          <t>MP CROMO - GRIFO COCINA</t>
        </is>
      </c>
    </row>
    <row r="897" hidden="1">
      <c r="A897" t="n">
        <v>9717002</v>
      </c>
      <c r="B897" t="inlineStr">
        <is>
          <t>MC 10 PLUS GRIFO BAÑO-DUCHA EMPOTRAR</t>
        </is>
      </c>
    </row>
    <row r="898" hidden="1">
      <c r="A898" t="n">
        <v>9724002</v>
      </c>
      <c r="B898" t="inlineStr">
        <is>
          <t>MC 10 PLUS GRIFO DUCHA EMPOTRAR</t>
        </is>
      </c>
    </row>
    <row r="899" hidden="1">
      <c r="A899" t="n">
        <v>97341602</v>
      </c>
      <c r="B899" t="inlineStr">
        <is>
          <t>MC 10 PLUS GRIFO LAVABO</t>
        </is>
      </c>
    </row>
    <row r="900" hidden="1">
      <c r="A900" t="inlineStr">
        <is>
          <t>979115IK</t>
        </is>
      </c>
      <c r="B900" t="inlineStr">
        <is>
          <t>MC 10 PLUS CAÑO LARGO GRIFO COCINA</t>
        </is>
      </c>
    </row>
    <row r="901" hidden="1">
      <c r="A901" t="inlineStr">
        <is>
          <t>97915TE10</t>
        </is>
      </c>
      <c r="B901" t="inlineStr">
        <is>
          <t>MC 10 PLUS CAÑO LARGO GRIFO COCINA</t>
        </is>
      </c>
    </row>
    <row r="902" hidden="1">
      <c r="A902" t="inlineStr">
        <is>
          <t>97915TE10-H</t>
        </is>
      </c>
      <c r="B902" t="inlineStr">
        <is>
          <t>MC 10 PLUS CAÑO LARGO - GRIFO COCINA</t>
        </is>
      </c>
    </row>
    <row r="903" hidden="1">
      <c r="A903" t="n">
        <v>97931802</v>
      </c>
      <c r="B903" t="inlineStr">
        <is>
          <t>MC 10 PLUS CAÑO ALTO CROMO GRIFO COCINA EXT</t>
        </is>
      </c>
    </row>
    <row r="904" hidden="1">
      <c r="A904" t="inlineStr">
        <is>
          <t>979718IK</t>
        </is>
      </c>
      <c r="B904" t="inlineStr">
        <is>
          <t>MC 10 PLUS CAÑO BAJO CROMO EXTRAIBLE</t>
        </is>
      </c>
    </row>
    <row r="905" hidden="1">
      <c r="A905" t="n">
        <v>99191003</v>
      </c>
      <c r="B905" t="inlineStr">
        <is>
          <t>VALVULA CESTI. C/REBS. SINTETIKA 99 BL.</t>
        </is>
      </c>
    </row>
    <row r="906" hidden="1">
      <c r="A906" t="n">
        <v>99191012</v>
      </c>
      <c r="B906" t="inlineStr">
        <is>
          <t>VALVULA CESTI. S/REBOS.SINTETIKA61001230</t>
        </is>
      </c>
    </row>
    <row r="907" hidden="1">
      <c r="A907" t="inlineStr">
        <is>
          <t>R1217400</t>
        </is>
      </c>
      <c r="B907" t="inlineStr">
        <is>
          <t>MINIMALISTIC CAÑO BAÑERA</t>
        </is>
      </c>
    </row>
  </sheetData>
  <autoFilter ref="A1:B907">
    <filterColumn colId="1" hiddenButton="0" showButton="1">
      <filters>
        <filter val="FG 924 INOXIDABLE"/>
        <filter val="FGA 820 HORNO GAS"/>
        <filter val="JUNTA PUERTA FG 92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T176"/>
  <sheetViews>
    <sheetView zoomScaleNormal="100" workbookViewId="0">
      <selection activeCell="D47" sqref="D47"/>
    </sheetView>
  </sheetViews>
  <sheetFormatPr baseColWidth="10" defaultRowHeight="15"/>
  <cols>
    <col width="4.5" customWidth="1" min="1" max="1"/>
    <col width="18.5" customWidth="1" min="2" max="2"/>
    <col width="26" customWidth="1" style="82" min="3" max="3"/>
    <col width="47.5" customWidth="1" style="82" min="4" max="4"/>
    <col width="20.1640625" customWidth="1" style="97" min="5" max="5"/>
    <col width="31.83203125" customWidth="1" min="6" max="6"/>
    <col width="15.5" customWidth="1" style="97" min="7" max="7"/>
    <col width="47" customWidth="1" min="8" max="8"/>
    <col width="24.33203125" customWidth="1" min="9" max="9"/>
    <col width="20.6640625" customWidth="1" min="10" max="10"/>
    <col width="13.5" customWidth="1" min="11" max="11"/>
    <col width="12.83203125" customWidth="1" min="12" max="12"/>
    <col width="9.6640625" customWidth="1" min="13" max="13"/>
    <col width="8.6640625" customWidth="1" min="14" max="14"/>
    <col width="19" customWidth="1" min="15" max="15"/>
    <col width="3.5" customWidth="1" min="16" max="16"/>
    <col width="14" customWidth="1" min="17" max="17"/>
    <col width="26.1640625" customWidth="1" style="112" min="18" max="18"/>
    <col width="16.5" customWidth="1" style="2" min="19" max="19"/>
    <col width="47.6640625" customWidth="1" min="20" max="20"/>
  </cols>
  <sheetData>
    <row r="3">
      <c r="B3" s="84" t="inlineStr">
        <is>
          <t>TEKA ECUADOR S.A.</t>
        </is>
      </c>
      <c r="C3" s="85" t="n"/>
      <c r="D3" s="85" t="n"/>
      <c r="E3" s="96" t="n"/>
      <c r="F3" s="86" t="n"/>
      <c r="G3" s="98" t="n"/>
      <c r="H3" s="86" t="n"/>
      <c r="I3" s="86" t="n"/>
      <c r="J3" s="87" t="n"/>
      <c r="K3" s="88" t="n"/>
      <c r="L3" s="87" t="n"/>
      <c r="M3" s="89" t="n"/>
      <c r="N3" s="87" t="n"/>
      <c r="O3" s="87" t="n"/>
      <c r="P3" s="87" t="n"/>
      <c r="Q3" s="87" t="n"/>
      <c r="R3" s="110" t="n"/>
      <c r="S3" s="122" t="n"/>
      <c r="T3" s="90" t="n"/>
    </row>
    <row r="4">
      <c r="B4" s="84" t="inlineStr">
        <is>
          <t>Técnico:  Cristian Capelo</t>
        </is>
      </c>
      <c r="C4" s="85" t="n"/>
      <c r="D4" s="85" t="n"/>
      <c r="E4" s="96" t="n"/>
      <c r="F4" s="86" t="n"/>
      <c r="G4" s="98" t="n"/>
      <c r="H4" s="86" t="n"/>
      <c r="I4" s="86" t="n"/>
      <c r="J4" s="87" t="n"/>
      <c r="K4" s="88" t="n"/>
      <c r="L4" s="87" t="n"/>
      <c r="M4" s="89" t="n"/>
      <c r="N4" s="87" t="n"/>
      <c r="O4" s="87" t="n"/>
      <c r="P4" s="87" t="n"/>
      <c r="Q4" s="87" t="n"/>
      <c r="R4" s="110" t="n"/>
      <c r="S4" s="122" t="n"/>
      <c r="T4" s="90" t="n"/>
    </row>
    <row r="5">
      <c r="B5" s="84" t="inlineStr">
        <is>
          <t>Clientes Visitados al 19 de ABRIL 2026</t>
        </is>
      </c>
      <c r="C5" s="85" t="n"/>
      <c r="D5" s="85" t="n"/>
      <c r="E5" s="96" t="n"/>
      <c r="F5" s="86" t="n"/>
      <c r="G5" s="98" t="n"/>
      <c r="H5" s="86" t="n"/>
      <c r="I5" s="86" t="n"/>
      <c r="J5" s="87" t="n"/>
      <c r="K5" s="88" t="n"/>
      <c r="L5" s="87" t="n"/>
      <c r="M5" s="89" t="n"/>
      <c r="N5" s="87" t="n"/>
      <c r="O5" s="87" t="n"/>
      <c r="P5" s="87" t="n"/>
      <c r="Q5" s="87" t="n"/>
      <c r="R5" s="110" t="n"/>
      <c r="S5" s="122" t="n"/>
      <c r="T5" s="90" t="n"/>
    </row>
    <row r="6" ht="68" customFormat="1" customHeight="1" s="1">
      <c r="B6" s="83" t="inlineStr">
        <is>
          <t>FECHA DE COMPRA</t>
        </is>
      </c>
      <c r="C6" s="95" t="inlineStr">
        <is>
          <t xml:space="preserve">NOMBRE </t>
        </is>
      </c>
      <c r="D6" s="95" t="inlineStr">
        <is>
          <t>DIRECCIÓN</t>
        </is>
      </c>
      <c r="E6" s="83" t="inlineStr">
        <is>
          <t>TELÉFONO</t>
        </is>
      </c>
      <c r="F6" s="83" t="inlineStr">
        <is>
          <t xml:space="preserve">ASUNTO </t>
        </is>
      </c>
      <c r="G6" s="91" t="inlineStr">
        <is>
          <t xml:space="preserve">CÓDIGO </t>
        </is>
      </c>
      <c r="H6" s="83" t="inlineStr">
        <is>
          <t xml:space="preserve">DESCRIPCION </t>
        </is>
      </c>
      <c r="I6" s="83" t="inlineStr">
        <is>
          <t>ESTADO</t>
        </is>
      </c>
      <c r="J6" s="83" t="inlineStr">
        <is>
          <t>LUGAR DE COMPRA</t>
        </is>
      </c>
      <c r="K6" s="83" t="inlineStr">
        <is>
          <t>FECHA DE VISITA</t>
        </is>
      </c>
      <c r="L6" s="83" t="inlineStr">
        <is>
          <t>TECNICO</t>
        </is>
      </c>
      <c r="M6" s="92" t="inlineStr">
        <is>
          <t>NUMERO DE ADHESIVO</t>
        </is>
      </c>
      <c r="N6" s="92" t="inlineStr">
        <is>
          <t>GARANTÍA</t>
        </is>
      </c>
      <c r="O6" s="83" t="inlineStr">
        <is>
          <t>SERIE</t>
        </is>
      </c>
      <c r="P6" s="93" t="inlineStr">
        <is>
          <t>Vr.</t>
        </is>
      </c>
      <c r="Q6" s="83" t="inlineStr">
        <is>
          <t>FECHA DE LLAMADA</t>
        </is>
      </c>
      <c r="R6" s="111" t="inlineStr">
        <is>
          <t>CORREO</t>
        </is>
      </c>
      <c r="S6" s="92" t="inlineStr">
        <is>
          <t>CEDULA</t>
        </is>
      </c>
      <c r="T6" s="83" t="inlineStr">
        <is>
          <t>OBSERVACIONES</t>
        </is>
      </c>
    </row>
    <row r="7" ht="19" customFormat="1" customHeight="1" s="102">
      <c r="B7" s="187" t="n">
        <v>46085</v>
      </c>
      <c r="C7" t="inlineStr">
        <is>
          <t>JHANET BUSTOS</t>
        </is>
      </c>
      <c r="D7" t="inlineStr">
        <is>
          <t>EDIFICIO VAZCO DEP 2C</t>
        </is>
      </c>
      <c r="E7" t="n">
        <v>997796800</v>
      </c>
      <c r="F7" t="inlineStr">
        <is>
          <t>INSTALACION PROMOCION</t>
        </is>
      </c>
      <c r="G7" t="n">
        <v>112520025</v>
      </c>
      <c r="H7">
        <f>VLOOKUP(E6,PROD,2,FALSE)</f>
        <v/>
      </c>
      <c r="I7" t="inlineStr">
        <is>
          <t>VISITADO INSTALADO</t>
        </is>
      </c>
      <c r="J7" t="inlineStr">
        <is>
          <t>COMERCIAL SOLIS</t>
        </is>
      </c>
      <c r="K7" s="187" t="n">
        <v>46132</v>
      </c>
      <c r="L7" t="inlineStr">
        <is>
          <t>CAPELO</t>
        </is>
      </c>
      <c r="M7" t="inlineStr">
        <is>
          <t>SAP</t>
        </is>
      </c>
      <c r="N7" t="inlineStr">
        <is>
          <t>SAP</t>
        </is>
      </c>
      <c r="O7" t="inlineStr">
        <is>
          <t>ZP257100512</t>
        </is>
      </c>
      <c r="P7" t="n">
        <v>15</v>
      </c>
      <c r="Q7" s="187" t="n">
        <v>46131</v>
      </c>
      <c r="R7" t="inlineStr">
        <is>
          <t>janetbustos38@hotmail.com</t>
        </is>
      </c>
      <c r="S7" t="n">
        <v>908864036001</v>
      </c>
      <c r="T7" t="inlineStr">
        <is>
          <t>TRABAJO REALIZADO SIN NOVEDAD</t>
        </is>
      </c>
    </row>
    <row r="8" ht="19" customFormat="1" customHeight="1" s="102">
      <c r="B8" s="187" t="n">
        <v>46085</v>
      </c>
      <c r="C8" t="inlineStr">
        <is>
          <t>JHANET BUSTOS</t>
        </is>
      </c>
      <c r="D8" t="inlineStr">
        <is>
          <t>EDIFICIO VAZCO DEP 2C</t>
        </is>
      </c>
      <c r="E8" t="n">
        <v>997796800</v>
      </c>
      <c r="F8" t="inlineStr">
        <is>
          <t>INSTALACION PROMOCION</t>
        </is>
      </c>
      <c r="G8" t="n">
        <v>113120010</v>
      </c>
      <c r="H8">
        <f>VLOOKUP(E7,PROD,2,FALSE)</f>
        <v/>
      </c>
      <c r="I8" t="inlineStr">
        <is>
          <t>VISITADO INSTALADO</t>
        </is>
      </c>
      <c r="J8" t="inlineStr">
        <is>
          <t>COMERCIAL SOLIS</t>
        </is>
      </c>
      <c r="K8" s="187" t="n">
        <v>46132</v>
      </c>
      <c r="L8" t="inlineStr">
        <is>
          <t>CAPELO</t>
        </is>
      </c>
      <c r="M8" t="inlineStr">
        <is>
          <t>SAP</t>
        </is>
      </c>
      <c r="N8" t="inlineStr">
        <is>
          <t>SAP</t>
        </is>
      </c>
      <c r="O8" t="inlineStr">
        <is>
          <t>TP25AL08783</t>
        </is>
      </c>
      <c r="P8" t="n">
        <v>15</v>
      </c>
      <c r="Q8" s="187" t="n">
        <v>46131</v>
      </c>
      <c r="R8" t="inlineStr">
        <is>
          <t>janetbustos38@hotmail.com</t>
        </is>
      </c>
      <c r="S8" t="n">
        <v>908864036001</v>
      </c>
      <c r="T8" t="inlineStr">
        <is>
          <t>TRABAJO REALIZADO SIN NOVEDAD</t>
        </is>
      </c>
    </row>
    <row r="9" ht="19" customFormat="1" customHeight="1" s="102">
      <c r="B9" s="187" t="n">
        <v>46085</v>
      </c>
      <c r="C9" t="inlineStr">
        <is>
          <t>JHANET BUSTOS</t>
        </is>
      </c>
      <c r="D9" t="inlineStr">
        <is>
          <t>EDIFICIO VAZCO DEP 2C</t>
        </is>
      </c>
      <c r="E9" t="n">
        <v>997796800</v>
      </c>
      <c r="F9" t="inlineStr">
        <is>
          <t>INSTALACION PROMOCION</t>
        </is>
      </c>
      <c r="G9" t="n">
        <v>40782128</v>
      </c>
      <c r="H9">
        <f>VLOOKUP(E8,PROD,2,FALSE)</f>
        <v/>
      </c>
      <c r="I9" t="inlineStr">
        <is>
          <t>VISITADO INSTALADO</t>
        </is>
      </c>
      <c r="J9" t="inlineStr">
        <is>
          <t>COMERCIAL SOLIS</t>
        </is>
      </c>
      <c r="K9" s="187" t="n">
        <v>46132</v>
      </c>
      <c r="L9" t="inlineStr">
        <is>
          <t>CAPELO</t>
        </is>
      </c>
      <c r="M9" t="inlineStr">
        <is>
          <t>SAP</t>
        </is>
      </c>
      <c r="N9" t="inlineStr">
        <is>
          <t>SAP</t>
        </is>
      </c>
      <c r="O9" t="inlineStr">
        <is>
          <t>MD25AL08783</t>
        </is>
      </c>
      <c r="P9" t="n">
        <v>15</v>
      </c>
      <c r="Q9" s="187" t="n">
        <v>46131</v>
      </c>
      <c r="R9" t="inlineStr">
        <is>
          <t>janetbustos38@hotmail.com</t>
        </is>
      </c>
      <c r="S9" t="n">
        <v>908864036001</v>
      </c>
      <c r="T9" t="inlineStr">
        <is>
          <t>TRABAJO REALIZADO SIN NOVEDAD</t>
        </is>
      </c>
    </row>
    <row r="10" ht="19" customFormat="1" customHeight="1" s="102">
      <c r="B10" s="187" t="n">
        <v>46123</v>
      </c>
      <c r="C10" t="inlineStr">
        <is>
          <t>CARLOS ESPADA TELLEZ</t>
        </is>
      </c>
      <c r="D10" t="inlineStr">
        <is>
          <t>CHALLUABAMBA</t>
        </is>
      </c>
      <c r="E10" t="inlineStr">
        <is>
          <t>+593 96 949 2413</t>
        </is>
      </c>
      <c r="F10" t="inlineStr">
        <is>
          <t>INSTALACION UN PRODUCTO</t>
        </is>
      </c>
      <c r="G10" t="n">
        <v>112580058</v>
      </c>
      <c r="H10">
        <f>VLOOKUP(E6,PROD,2,FALSE)</f>
        <v/>
      </c>
      <c r="I10" t="inlineStr">
        <is>
          <t>VISITADO INSTALADO</t>
        </is>
      </c>
      <c r="J10" t="inlineStr">
        <is>
          <t>COMERCIAL KYWI</t>
        </is>
      </c>
      <c r="K10" s="187" t="n">
        <v>46132</v>
      </c>
      <c r="L10" t="inlineStr">
        <is>
          <t>CAPELO</t>
        </is>
      </c>
      <c r="M10" t="inlineStr">
        <is>
          <t>SAP</t>
        </is>
      </c>
      <c r="N10" t="inlineStr">
        <is>
          <t>SAP</t>
        </is>
      </c>
      <c r="O10" t="inlineStr">
        <is>
          <t>ZP25AQ00416</t>
        </is>
      </c>
      <c r="P10" t="n">
        <v>29</v>
      </c>
      <c r="Q10" s="187" t="n">
        <v>46131</v>
      </c>
      <c r="R10" t="inlineStr">
        <is>
          <t>cespada37@gmail.com</t>
        </is>
      </c>
      <c r="S10" t="n">
        <v>152722716</v>
      </c>
      <c r="T10" t="inlineStr">
        <is>
          <t>TRABAJO REALIZADO SIN NOVEDAD</t>
        </is>
      </c>
    </row>
    <row r="11" ht="19" customFormat="1" customHeight="1" s="102">
      <c r="B11" s="187" t="n">
        <v>46121</v>
      </c>
      <c r="C11" t="inlineStr">
        <is>
          <t>ANDREA MORALES</t>
        </is>
      </c>
      <c r="D11" t="inlineStr">
        <is>
          <t>1 DE SEPTIEMBRE KM 3,5</t>
        </is>
      </c>
      <c r="E11" t="inlineStr">
        <is>
          <t>+593 98 389 2079</t>
        </is>
      </c>
      <c r="F11" t="inlineStr">
        <is>
          <t>INSTALACION UN PRODUCTO</t>
        </is>
      </c>
      <c r="G11" t="n">
        <v>112580027</v>
      </c>
      <c r="H11">
        <f>VLOOKUP(E7,PROD,2,FALSE)</f>
        <v/>
      </c>
      <c r="I11" t="inlineStr">
        <is>
          <t>VISITADO INSTALADO</t>
        </is>
      </c>
      <c r="J11" t="inlineStr">
        <is>
          <t>COMERCIAL SOLIS</t>
        </is>
      </c>
      <c r="K11" s="187" t="n">
        <v>46132</v>
      </c>
      <c r="L11" t="inlineStr">
        <is>
          <t>CAPELO</t>
        </is>
      </c>
      <c r="M11" t="inlineStr">
        <is>
          <t>SAP</t>
        </is>
      </c>
      <c r="N11" t="inlineStr">
        <is>
          <t>SAP</t>
        </is>
      </c>
      <c r="O11" t="inlineStr">
        <is>
          <t>ZP259500323</t>
        </is>
      </c>
      <c r="P11" t="n">
        <v>29</v>
      </c>
      <c r="Q11" s="187" t="n">
        <v>46131</v>
      </c>
      <c r="R11" t="inlineStr">
        <is>
          <t>nverdugog@cedfi.edu.ec</t>
        </is>
      </c>
      <c r="S11" t="n">
        <v>1090140261001</v>
      </c>
      <c r="T11" t="inlineStr">
        <is>
          <t>TRABAJO REALIZADO SIN NOVEDAD</t>
        </is>
      </c>
    </row>
    <row r="12" ht="19" customFormat="1" customHeight="1" s="102">
      <c r="B12" s="187" t="n">
        <v>46021</v>
      </c>
      <c r="C12" t="inlineStr">
        <is>
          <t>VICTOR LOJA</t>
        </is>
      </c>
      <c r="D12" t="inlineStr">
        <is>
          <t>SARAHURCO Y COYA</t>
        </is>
      </c>
      <c r="E12" t="inlineStr">
        <is>
          <t>+593 99 882 2092</t>
        </is>
      </c>
      <c r="F12" t="inlineStr">
        <is>
          <t>INSTALACION UN PRODUCTO</t>
        </is>
      </c>
      <c r="G12" t="n">
        <v>112610067</v>
      </c>
      <c r="H12">
        <f>VLOOKUP(E8,PROD,2,FALSE)</f>
        <v/>
      </c>
      <c r="I12" t="inlineStr">
        <is>
          <t>VISITADO INSTALADO</t>
        </is>
      </c>
      <c r="J12" t="inlineStr">
        <is>
          <t>HOME VEGA</t>
        </is>
      </c>
      <c r="K12" s="187" t="n">
        <v>46132</v>
      </c>
      <c r="L12" t="inlineStr">
        <is>
          <t>CAPELO</t>
        </is>
      </c>
      <c r="M12" t="inlineStr">
        <is>
          <t>SAP</t>
        </is>
      </c>
      <c r="N12" t="inlineStr">
        <is>
          <t>SAP</t>
        </is>
      </c>
      <c r="O12" t="inlineStr">
        <is>
          <t>GSC963205130</t>
        </is>
      </c>
      <c r="P12" t="n">
        <v>29</v>
      </c>
      <c r="Q12" s="187" t="n">
        <v>46131</v>
      </c>
      <c r="R12" t="inlineStr">
        <is>
          <t>victor_l69@hotmail.com</t>
        </is>
      </c>
      <c r="S12" t="n">
        <v>102185675</v>
      </c>
      <c r="T12" t="inlineStr">
        <is>
          <t>TRABAJO REALIZADO SIN NOVEDAD</t>
        </is>
      </c>
    </row>
    <row r="13" ht="19" customFormat="1" customHeight="1" s="102">
      <c r="B13" s="187" t="n">
        <v>45815</v>
      </c>
      <c r="C13" t="inlineStr">
        <is>
          <t>ZOILA MARIN</t>
        </is>
      </c>
      <c r="D13" t="inlineStr"/>
      <c r="E13" t="inlineStr">
        <is>
          <t>+593 99 228 6333</t>
        </is>
      </c>
      <c r="F13" t="inlineStr">
        <is>
          <t>GARANTIA</t>
        </is>
      </c>
      <c r="G13" t="n">
        <v>112570211</v>
      </c>
      <c r="H13">
        <f>VLOOKUP(G9,PROD,2,FALSE)</f>
        <v/>
      </c>
      <c r="I13" t="inlineStr">
        <is>
          <t>VISITADO REPARADO</t>
        </is>
      </c>
      <c r="J13" t="inlineStr"/>
      <c r="K13" s="187" t="n">
        <v>46133</v>
      </c>
      <c r="L13" t="inlineStr">
        <is>
          <t>CAPELO</t>
        </is>
      </c>
      <c r="M13" t="inlineStr">
        <is>
          <t>SAP</t>
        </is>
      </c>
      <c r="N13" t="inlineStr">
        <is>
          <t>SAP</t>
        </is>
      </c>
      <c r="O13" t="inlineStr">
        <is>
          <t>ZP246K00171</t>
        </is>
      </c>
      <c r="P13" t="n">
        <v>12.5</v>
      </c>
      <c r="Q13" s="187" t="n">
        <v>46132</v>
      </c>
      <c r="R13" t="inlineStr">
        <is>
          <t>mnarcisa@hotmail.com</t>
        </is>
      </c>
      <c r="S13" t="n">
        <v>1400241434</v>
      </c>
      <c r="T13" t="inlineStr">
        <is>
          <t>GARANTIA APLICADA SATISFACTORIAMENTE</t>
        </is>
      </c>
    </row>
    <row r="14" ht="19" customFormat="1" customHeight="1" s="102">
      <c r="B14" s="187" t="n">
        <v>45909</v>
      </c>
      <c r="C14" t="inlineStr">
        <is>
          <t>ESTHER ORELLANA</t>
        </is>
      </c>
      <c r="D14" t="inlineStr">
        <is>
          <t>CONDOMINIO RYO D 407</t>
        </is>
      </c>
      <c r="E14" t="inlineStr">
        <is>
          <t>+593 99 866 0919</t>
        </is>
      </c>
      <c r="F14" t="inlineStr">
        <is>
          <t>INSTALACION PROMOCION</t>
        </is>
      </c>
      <c r="G14" t="n">
        <v>40467305</v>
      </c>
      <c r="H14">
        <f>VLOOKUP(E9,PROD,2,FALSE)</f>
        <v/>
      </c>
      <c r="I14" t="inlineStr">
        <is>
          <t>VISITADO INSTALADO</t>
        </is>
      </c>
      <c r="J14" t="inlineStr">
        <is>
          <t>COMO HOGAR</t>
        </is>
      </c>
      <c r="K14" s="187" t="n">
        <v>46133</v>
      </c>
      <c r="L14" t="inlineStr">
        <is>
          <t>CAPELO</t>
        </is>
      </c>
      <c r="M14" t="inlineStr">
        <is>
          <t>SAP</t>
        </is>
      </c>
      <c r="N14" t="inlineStr">
        <is>
          <t>SAP</t>
        </is>
      </c>
      <c r="O14" t="inlineStr">
        <is>
          <t>TP2A5T00803</t>
        </is>
      </c>
      <c r="P14" t="n">
        <v>20</v>
      </c>
      <c r="Q14" s="187" t="n">
        <v>46132</v>
      </c>
      <c r="R14" t="inlineStr">
        <is>
          <t>yooisorellana18@gail.com</t>
        </is>
      </c>
      <c r="S14" t="n">
        <v>104260997001</v>
      </c>
      <c r="T14" t="inlineStr">
        <is>
          <t>TRABAJO REALIZADO SIN NOVEDAD</t>
        </is>
      </c>
    </row>
    <row r="15" ht="19" customFormat="1" customHeight="1" s="102">
      <c r="B15" s="187" t="n">
        <v>45909</v>
      </c>
      <c r="C15" t="inlineStr">
        <is>
          <t>ESTHER ORELLANA</t>
        </is>
      </c>
      <c r="D15" t="inlineStr">
        <is>
          <t>CONDOMINIO RYO D 407</t>
        </is>
      </c>
      <c r="E15" t="inlineStr">
        <is>
          <t>+593 99 866 0919</t>
        </is>
      </c>
      <c r="F15" t="inlineStr">
        <is>
          <t>INSTALACION PROMOCION</t>
        </is>
      </c>
      <c r="G15" t="n">
        <v>112510035</v>
      </c>
      <c r="H15">
        <f>VLOOKUP(E10,PROD,2,FALSE)</f>
        <v/>
      </c>
      <c r="I15" t="inlineStr">
        <is>
          <t>VISITADO INSTALADO</t>
        </is>
      </c>
      <c r="J15" t="inlineStr">
        <is>
          <t>COMO HOGAR</t>
        </is>
      </c>
      <c r="K15" s="187" t="n">
        <v>46133</v>
      </c>
      <c r="L15" t="inlineStr">
        <is>
          <t>CAPELO</t>
        </is>
      </c>
      <c r="M15" t="inlineStr">
        <is>
          <t>SAP</t>
        </is>
      </c>
      <c r="N15" t="inlineStr">
        <is>
          <t>SAP</t>
        </is>
      </c>
      <c r="O15" t="inlineStr">
        <is>
          <t>ZP242900887</t>
        </is>
      </c>
      <c r="P15" t="n">
        <v>20</v>
      </c>
      <c r="Q15" s="187" t="n">
        <v>46132</v>
      </c>
      <c r="R15" t="inlineStr">
        <is>
          <t>yooisorellana18@gail.com</t>
        </is>
      </c>
      <c r="S15" t="n">
        <v>104260997001</v>
      </c>
      <c r="T15" t="inlineStr">
        <is>
          <t>TRABAJO REALIZADO SIN NOVEDAD</t>
        </is>
      </c>
    </row>
    <row r="16" ht="19" customFormat="1" customHeight="1" s="102">
      <c r="B16" s="187" t="n">
        <v>45976</v>
      </c>
      <c r="C16" t="inlineStr">
        <is>
          <t>GINO ESPINOZA</t>
        </is>
      </c>
      <c r="D16" t="inlineStr">
        <is>
          <t>PASEO DE LOS CANARIS</t>
        </is>
      </c>
      <c r="E16" t="inlineStr">
        <is>
          <t>+593 99 916 1575</t>
        </is>
      </c>
      <c r="F16" t="inlineStr">
        <is>
          <t>INSTALACION PROMOCION</t>
        </is>
      </c>
      <c r="G16" t="n">
        <v>112970010</v>
      </c>
      <c r="H16">
        <f>VLOOKUP(E11,PROD,2,FALSE)</f>
        <v/>
      </c>
      <c r="I16" t="inlineStr">
        <is>
          <t>VISITADO INSTALADO</t>
        </is>
      </c>
      <c r="J16" t="inlineStr">
        <is>
          <t>COMERCIAL SOLIS</t>
        </is>
      </c>
      <c r="K16" s="187" t="n">
        <v>46133</v>
      </c>
      <c r="L16" t="inlineStr">
        <is>
          <t>CAPELO</t>
        </is>
      </c>
      <c r="M16" t="inlineStr">
        <is>
          <t>SAP</t>
        </is>
      </c>
      <c r="N16" t="inlineStr">
        <is>
          <t>SAP</t>
        </is>
      </c>
      <c r="O16" t="inlineStr">
        <is>
          <t>TP257M01163</t>
        </is>
      </c>
      <c r="P16" t="n">
        <v>15</v>
      </c>
      <c r="Q16" s="187" t="n">
        <v>46132</v>
      </c>
      <c r="R16" t="inlineStr">
        <is>
          <t>ginoespinoza1a@gmail.com</t>
        </is>
      </c>
      <c r="S16" t="n">
        <v>104783410001</v>
      </c>
      <c r="T16" t="inlineStr">
        <is>
          <t>TRABAJO REALIZADO SIN NOVEDAD</t>
        </is>
      </c>
    </row>
    <row r="17" ht="19" customFormat="1" customHeight="1" s="102">
      <c r="B17" s="187" t="n">
        <v>45976</v>
      </c>
      <c r="C17" t="inlineStr">
        <is>
          <t>GINO ESPINOZA</t>
        </is>
      </c>
      <c r="D17" t="inlineStr">
        <is>
          <t>PASEO DE LOS CANARIS</t>
        </is>
      </c>
      <c r="E17" t="inlineStr">
        <is>
          <t>+593 99 916 1575</t>
        </is>
      </c>
      <c r="F17" t="inlineStr">
        <is>
          <t>INSTALACION PROMOCION</t>
        </is>
      </c>
      <c r="G17" t="n">
        <v>40782127</v>
      </c>
      <c r="H17">
        <f>VLOOKUP(E12,PROD,2,FALSE)</f>
        <v/>
      </c>
      <c r="I17" t="inlineStr">
        <is>
          <t>VISITADO INSTALADO</t>
        </is>
      </c>
      <c r="J17" t="inlineStr">
        <is>
          <t>COMERCIAL SOLIS</t>
        </is>
      </c>
      <c r="K17" s="187" t="n">
        <v>46133</v>
      </c>
      <c r="L17" t="inlineStr">
        <is>
          <t>CAPELO</t>
        </is>
      </c>
      <c r="M17" t="inlineStr">
        <is>
          <t>SAP</t>
        </is>
      </c>
      <c r="N17" t="inlineStr">
        <is>
          <t>SAP</t>
        </is>
      </c>
      <c r="O17" t="inlineStr">
        <is>
          <t>MD255L08070</t>
        </is>
      </c>
      <c r="P17" t="n">
        <v>15</v>
      </c>
      <c r="Q17" s="187" t="n">
        <v>46132</v>
      </c>
      <c r="R17" t="inlineStr">
        <is>
          <t>ginoespinoza1a@gmail.com</t>
        </is>
      </c>
      <c r="S17" t="n">
        <v>104783410001</v>
      </c>
      <c r="T17" t="inlineStr">
        <is>
          <t>TRABAJO REALIZADO SIN NOVEDAD</t>
        </is>
      </c>
    </row>
    <row r="18" ht="19" customFormat="1" customHeight="1" s="102">
      <c r="B18" s="187" t="n">
        <v>45976</v>
      </c>
      <c r="C18" t="inlineStr">
        <is>
          <t>GINO ESPINOZA</t>
        </is>
      </c>
      <c r="D18" t="inlineStr">
        <is>
          <t>PASEO DE LOS CANARIS</t>
        </is>
      </c>
      <c r="E18" t="inlineStr">
        <is>
          <t>+593 99 916 1575</t>
        </is>
      </c>
      <c r="F18" t="inlineStr">
        <is>
          <t>INSTALACION PROMOCION</t>
        </is>
      </c>
      <c r="G18" t="n">
        <v>112570128</v>
      </c>
      <c r="H18">
        <f>VLOOKUP(E13,PROD,2,FALSE)</f>
        <v/>
      </c>
      <c r="I18" t="inlineStr">
        <is>
          <t>VISITADO INSTALADO</t>
        </is>
      </c>
      <c r="J18" t="inlineStr">
        <is>
          <t>COMERCIAL SOLIS</t>
        </is>
      </c>
      <c r="K18" s="187" t="n">
        <v>46133</v>
      </c>
      <c r="L18" t="inlineStr">
        <is>
          <t>CAPELO</t>
        </is>
      </c>
      <c r="M18" t="inlineStr">
        <is>
          <t>SAP</t>
        </is>
      </c>
      <c r="N18" t="inlineStr">
        <is>
          <t>SAP</t>
        </is>
      </c>
      <c r="O18" t="inlineStr">
        <is>
          <t>ZP255500717</t>
        </is>
      </c>
      <c r="P18" t="n">
        <v>15</v>
      </c>
      <c r="Q18" s="187" t="n">
        <v>46132</v>
      </c>
      <c r="R18" t="inlineStr">
        <is>
          <t>ginoespinoza1a@gmail.com</t>
        </is>
      </c>
      <c r="S18" t="n">
        <v>104783410001</v>
      </c>
      <c r="T18" t="inlineStr">
        <is>
          <t>TRABAJO REALIZADO SIN NOVEDAD</t>
        </is>
      </c>
    </row>
    <row r="19" ht="19" customFormat="1" customHeight="1" s="102">
      <c r="B19" s="187" t="n">
        <v>45976</v>
      </c>
      <c r="C19" t="inlineStr">
        <is>
          <t>GINO ESPINOZA</t>
        </is>
      </c>
      <c r="D19" t="inlineStr">
        <is>
          <t>PASEO DE LOS CANARIS</t>
        </is>
      </c>
      <c r="E19" t="inlineStr">
        <is>
          <t>+593 99 916 1575</t>
        </is>
      </c>
      <c r="F19" t="inlineStr">
        <is>
          <t>INSTALACION PROMOCION</t>
        </is>
      </c>
      <c r="G19" t="n">
        <v>111000051</v>
      </c>
      <c r="H19">
        <f>VLOOKUP(E14,PROD,2,FALSE)</f>
        <v/>
      </c>
      <c r="I19" t="inlineStr">
        <is>
          <t>VISITADO INSTALADO</t>
        </is>
      </c>
      <c r="J19" t="inlineStr">
        <is>
          <t>COMERCIAL SOLIS</t>
        </is>
      </c>
      <c r="K19" s="187" t="n">
        <v>46133</v>
      </c>
      <c r="L19" t="inlineStr">
        <is>
          <t>CAPELO</t>
        </is>
      </c>
      <c r="M19" t="inlineStr">
        <is>
          <t>SAP</t>
        </is>
      </c>
      <c r="N19" t="inlineStr">
        <is>
          <t>SAP</t>
        </is>
      </c>
      <c r="O19" t="inlineStr">
        <is>
          <t>TZ256404904</t>
        </is>
      </c>
      <c r="P19" t="n">
        <v>15</v>
      </c>
      <c r="Q19" s="187" t="n">
        <v>46132</v>
      </c>
      <c r="R19" t="inlineStr">
        <is>
          <t>ginoespinoza1a@gmail.com</t>
        </is>
      </c>
      <c r="S19" t="n">
        <v>104783410001</v>
      </c>
      <c r="T19" t="inlineStr">
        <is>
          <t>TRABAJO REALIZADO SIN NOVEDAD</t>
        </is>
      </c>
    </row>
    <row r="20" ht="19" customFormat="1" customHeight="1" s="102">
      <c r="B20" s="187" t="n">
        <v>46128</v>
      </c>
      <c r="C20" t="inlineStr">
        <is>
          <t>MARIA FERNANDA MOGROVEJO</t>
        </is>
      </c>
      <c r="D20" t="inlineStr">
        <is>
          <t>PASEO DE LOS CANARIS 4 122</t>
        </is>
      </c>
      <c r="E20" t="inlineStr">
        <is>
          <t>+593 99 962 5850</t>
        </is>
      </c>
      <c r="F20" t="inlineStr">
        <is>
          <t>INSTALACION PROMOCION</t>
        </is>
      </c>
      <c r="G20" t="n">
        <v>111010095</v>
      </c>
      <c r="H20">
        <f>VLOOKUP(E15,PROD,2,FALSE)</f>
        <v/>
      </c>
      <c r="I20" t="inlineStr">
        <is>
          <t>VISITADO INSTALADO</t>
        </is>
      </c>
      <c r="J20" t="inlineStr">
        <is>
          <t>COMERCIAL SOLIS</t>
        </is>
      </c>
      <c r="K20" s="187" t="n">
        <v>46133</v>
      </c>
      <c r="L20" t="inlineStr">
        <is>
          <t>CAPELO</t>
        </is>
      </c>
      <c r="M20" t="inlineStr">
        <is>
          <t>SAP</t>
        </is>
      </c>
      <c r="N20" t="inlineStr">
        <is>
          <t>SAP</t>
        </is>
      </c>
      <c r="O20" t="inlineStr">
        <is>
          <t>TZ259202162</t>
        </is>
      </c>
      <c r="P20" t="n">
        <v>15</v>
      </c>
      <c r="Q20" s="187" t="n">
        <v>46132</v>
      </c>
      <c r="R20" t="inlineStr">
        <is>
          <t>marfer763@hotmail.com</t>
        </is>
      </c>
      <c r="S20" t="n">
        <v>301258117</v>
      </c>
      <c r="T20" t="inlineStr">
        <is>
          <t>TRABAJO REALIZADO SIN NOVEDAD</t>
        </is>
      </c>
    </row>
    <row r="21" ht="19" customFormat="1" customHeight="1" s="102">
      <c r="B21" s="187" t="n">
        <v>46128</v>
      </c>
      <c r="C21" t="inlineStr">
        <is>
          <t>MARIA FERNANDA MOGROVEJO</t>
        </is>
      </c>
      <c r="D21" t="inlineStr">
        <is>
          <t>PASEO DE LOS CANARIS 4 122</t>
        </is>
      </c>
      <c r="E21" t="inlineStr">
        <is>
          <t>+593 99 962 5850</t>
        </is>
      </c>
      <c r="F21" t="inlineStr">
        <is>
          <t>INSTALACION PROMOCION</t>
        </is>
      </c>
      <c r="G21" t="n">
        <v>40461507</v>
      </c>
      <c r="H21">
        <f>VLOOKUP(E16,PROD,2,FALSE)</f>
        <v/>
      </c>
      <c r="I21" t="inlineStr">
        <is>
          <t>VISITADO INSTALADO</t>
        </is>
      </c>
      <c r="J21" t="inlineStr">
        <is>
          <t>COMERCIAL SOLIS</t>
        </is>
      </c>
      <c r="K21" s="187" t="n">
        <v>46133</v>
      </c>
      <c r="L21" t="inlineStr">
        <is>
          <t>CAPELO</t>
        </is>
      </c>
      <c r="M21" t="inlineStr">
        <is>
          <t>SAP</t>
        </is>
      </c>
      <c r="N21" t="inlineStr">
        <is>
          <t>SAP</t>
        </is>
      </c>
      <c r="O21" t="inlineStr">
        <is>
          <t>TP256H04650</t>
        </is>
      </c>
      <c r="P21" t="n">
        <v>15</v>
      </c>
      <c r="Q21" s="187" t="n">
        <v>46132</v>
      </c>
      <c r="R21" t="inlineStr">
        <is>
          <t>marfer763@hotmail.com</t>
        </is>
      </c>
      <c r="S21" t="n">
        <v>301258117</v>
      </c>
      <c r="T21" t="inlineStr">
        <is>
          <t>TRABAJO REALIZADO SIN NOVEDAD</t>
        </is>
      </c>
    </row>
    <row r="22" ht="19" customFormat="1" customHeight="1" s="102">
      <c r="B22" s="187" t="n">
        <v>46128</v>
      </c>
      <c r="C22" t="inlineStr">
        <is>
          <t>MARIA FERNANDA MOGROVEJO</t>
        </is>
      </c>
      <c r="D22" t="inlineStr">
        <is>
          <t>PASEO DE LOS CANARIS 4 122</t>
        </is>
      </c>
      <c r="E22" t="inlineStr">
        <is>
          <t>+593 99 962 5850</t>
        </is>
      </c>
      <c r="F22" t="inlineStr">
        <is>
          <t>INSTALACION PROMOCION</t>
        </is>
      </c>
      <c r="G22" t="n">
        <v>112520025</v>
      </c>
      <c r="H22">
        <f>VLOOKUP(E17,PROD,2,FALSE)</f>
        <v/>
      </c>
      <c r="I22" t="inlineStr">
        <is>
          <t>VISITADO INSTALADO</t>
        </is>
      </c>
      <c r="J22" t="inlineStr">
        <is>
          <t>COMERCIAL SOLIS</t>
        </is>
      </c>
      <c r="K22" s="187" t="n">
        <v>46133</v>
      </c>
      <c r="L22" t="inlineStr">
        <is>
          <t>CAPELO</t>
        </is>
      </c>
      <c r="M22" t="inlineStr">
        <is>
          <t>SAP</t>
        </is>
      </c>
      <c r="N22" t="inlineStr">
        <is>
          <t>SAP</t>
        </is>
      </c>
      <c r="O22" t="inlineStr">
        <is>
          <t>ZP259500577</t>
        </is>
      </c>
      <c r="P22" t="n">
        <v>15</v>
      </c>
      <c r="Q22" s="187" t="n">
        <v>46132</v>
      </c>
      <c r="R22" t="inlineStr">
        <is>
          <t>marfer763@hotmail.com</t>
        </is>
      </c>
      <c r="S22" t="n">
        <v>301258117</v>
      </c>
      <c r="T22" t="inlineStr">
        <is>
          <t>TRABAJO REALIZADO SIN NOVEDAD</t>
        </is>
      </c>
    </row>
    <row r="23" ht="19" customFormat="1" customHeight="1" s="102">
      <c r="B23" s="187" t="n">
        <v>46123</v>
      </c>
      <c r="C23" t="inlineStr">
        <is>
          <t>KRISTAL ARIAS</t>
        </is>
      </c>
      <c r="D23" t="inlineStr">
        <is>
          <t>LOS MIGRANTES</t>
        </is>
      </c>
      <c r="E23" t="inlineStr">
        <is>
          <t>+593 98 137 8848</t>
        </is>
      </c>
      <c r="F23" t="inlineStr">
        <is>
          <t>INSTALACION UN PRODUCTO</t>
        </is>
      </c>
      <c r="G23" t="n">
        <v>40466241</v>
      </c>
      <c r="H23">
        <f>VLOOKUP(E9,PROD,2,FALSE)</f>
        <v/>
      </c>
      <c r="I23" t="inlineStr">
        <is>
          <t>VISITADO INSTALADO</t>
        </is>
      </c>
      <c r="J23" t="inlineStr">
        <is>
          <t>COMERCIAL KYWI</t>
        </is>
      </c>
      <c r="K23" s="187" t="n">
        <v>46133</v>
      </c>
      <c r="L23" t="inlineStr">
        <is>
          <t>CAPELO</t>
        </is>
      </c>
      <c r="M23" t="inlineStr">
        <is>
          <t>SAP</t>
        </is>
      </c>
      <c r="N23" t="inlineStr">
        <is>
          <t>SAP</t>
        </is>
      </c>
      <c r="O23" t="inlineStr">
        <is>
          <t>TP256809450</t>
        </is>
      </c>
      <c r="P23" t="n">
        <v>15</v>
      </c>
      <c r="Q23" s="187" t="n">
        <v>46132</v>
      </c>
      <c r="R23" t="inlineStr">
        <is>
          <t>kristalarias260188@gmail.com</t>
        </is>
      </c>
      <c r="S23" t="n">
        <v>103901591</v>
      </c>
      <c r="T23" t="inlineStr">
        <is>
          <t>TRABAJO REALIZADO SIN NOVEDAD</t>
        </is>
      </c>
    </row>
    <row r="24" ht="19" customFormat="1" customHeight="1" s="102">
      <c r="B24" s="187" t="n">
        <v>46130</v>
      </c>
      <c r="C24" t="inlineStr">
        <is>
          <t>YADIRA CORONEL</t>
        </is>
      </c>
      <c r="D24" t="inlineStr">
        <is>
          <t>AVENIDA PUMAPUNGO Y PABLO NERUDA</t>
        </is>
      </c>
      <c r="E24" t="inlineStr">
        <is>
          <t>+593 99 768 7150</t>
        </is>
      </c>
      <c r="F24" t="inlineStr">
        <is>
          <t>INSTALACION UN PRODUCTO</t>
        </is>
      </c>
      <c r="G24" t="n">
        <v>111000099</v>
      </c>
      <c r="H24">
        <f>VLOOKUP(E10,PROD,2,FALSE)</f>
        <v/>
      </c>
      <c r="I24" t="inlineStr">
        <is>
          <t>VISITADO INSTALADO</t>
        </is>
      </c>
      <c r="J24" t="inlineStr">
        <is>
          <t>COMERCIAL SOLIS</t>
        </is>
      </c>
      <c r="K24" s="187" t="n">
        <v>46133</v>
      </c>
      <c r="L24" t="inlineStr">
        <is>
          <t>CAPELO</t>
        </is>
      </c>
      <c r="M24" t="inlineStr">
        <is>
          <t>SAP</t>
        </is>
      </c>
      <c r="N24" t="inlineStr">
        <is>
          <t>SAP</t>
        </is>
      </c>
      <c r="O24" t="inlineStr">
        <is>
          <t>TZ25AU19707</t>
        </is>
      </c>
      <c r="P24" t="n">
        <v>25</v>
      </c>
      <c r="Q24" s="187" t="n">
        <v>46132</v>
      </c>
      <c r="R24" t="inlineStr">
        <is>
          <t>ycoronel@graiman.com</t>
        </is>
      </c>
      <c r="S24" t="n">
        <v>1103442883</v>
      </c>
      <c r="T24" t="inlineStr">
        <is>
          <t>TRABAJO REALIZADO SIN NOVEDAD</t>
        </is>
      </c>
    </row>
    <row r="25" ht="19" customFormat="1" customHeight="1" s="102">
      <c r="B25" s="187" t="n">
        <v>46103</v>
      </c>
      <c r="C25" t="inlineStr">
        <is>
          <t>GLADYS GUAMAN</t>
        </is>
      </c>
      <c r="D25" t="inlineStr">
        <is>
          <t>RAFAEL MARIA ARIZAGA Y MIGUEL VELEZ</t>
        </is>
      </c>
      <c r="E25" t="inlineStr">
        <is>
          <t>+593 99 768 6712</t>
        </is>
      </c>
      <c r="F25" t="inlineStr">
        <is>
          <t>INSTALACION UN PRODUCTO</t>
        </is>
      </c>
      <c r="G25" t="n">
        <v>111010095</v>
      </c>
      <c r="H25">
        <f>VLOOKUP(E11,PROD,2,FALSE)</f>
        <v/>
      </c>
      <c r="I25" t="inlineStr">
        <is>
          <t>VISITADO INSTALADO</t>
        </is>
      </c>
      <c r="J25" t="inlineStr">
        <is>
          <t>COMO HOGAR</t>
        </is>
      </c>
      <c r="K25" s="187" t="n">
        <v>46133</v>
      </c>
      <c r="L25" t="inlineStr">
        <is>
          <t>CAPELO</t>
        </is>
      </c>
      <c r="M25" t="inlineStr">
        <is>
          <t>SAP</t>
        </is>
      </c>
      <c r="N25" t="inlineStr">
        <is>
          <t>SAP</t>
        </is>
      </c>
      <c r="O25" t="inlineStr">
        <is>
          <t>TZ256H18798</t>
        </is>
      </c>
      <c r="P25" t="n">
        <v>25</v>
      </c>
      <c r="Q25" s="187" t="n">
        <v>46132</v>
      </c>
      <c r="R25" t="inlineStr">
        <is>
          <t>jmau70977@gmail.com</t>
        </is>
      </c>
      <c r="S25" t="n">
        <v>1721427332</v>
      </c>
      <c r="T25" t="inlineStr">
        <is>
          <t>TRABAJO REALIZADO SIN NOVEDAD</t>
        </is>
      </c>
    </row>
    <row r="26" ht="19" customFormat="1" customHeight="1" s="102">
      <c r="B26" s="187" t="n">
        <v>46112</v>
      </c>
      <c r="C26" t="inlineStr">
        <is>
          <t>VERONICA PAREDES</t>
        </is>
      </c>
      <c r="D26" t="inlineStr">
        <is>
          <t>EDIFICIO RYO 1 DEP 314 TERCER PISO</t>
        </is>
      </c>
      <c r="E26" t="n">
        <v>994185377</v>
      </c>
      <c r="F26" t="inlineStr">
        <is>
          <t>INSTALACION PROMOCION</t>
        </is>
      </c>
      <c r="G26" t="n">
        <v>112580027</v>
      </c>
      <c r="H26">
        <f>VLOOKUP(E18,PROD,2,FALSE)</f>
        <v/>
      </c>
      <c r="I26" t="inlineStr">
        <is>
          <t>VISITADO INSTALADO</t>
        </is>
      </c>
      <c r="J26" t="inlineStr">
        <is>
          <t>MERCARD</t>
        </is>
      </c>
      <c r="K26" s="187" t="n">
        <v>46134</v>
      </c>
      <c r="L26" t="inlineStr">
        <is>
          <t>CAPELO</t>
        </is>
      </c>
      <c r="M26" t="inlineStr">
        <is>
          <t>SAP</t>
        </is>
      </c>
      <c r="N26" t="inlineStr">
        <is>
          <t>SAP</t>
        </is>
      </c>
      <c r="O26" t="inlineStr">
        <is>
          <t>DE258N00119</t>
        </is>
      </c>
      <c r="P26" t="n">
        <v>20</v>
      </c>
      <c r="Q26" s="187" t="n">
        <v>46133</v>
      </c>
      <c r="R26" t="inlineStr">
        <is>
          <t>laveroparedes@lafabril.com.ec</t>
        </is>
      </c>
      <c r="S26" t="n">
        <v>103825931</v>
      </c>
      <c r="T26" t="inlineStr">
        <is>
          <t>TRABAJO REALIZADO SIN NOVEDAD</t>
        </is>
      </c>
    </row>
    <row r="27" ht="19" customFormat="1" customHeight="1" s="102">
      <c r="B27" s="187" t="n">
        <v>46112</v>
      </c>
      <c r="C27" t="inlineStr">
        <is>
          <t>VERONICA PAREDES</t>
        </is>
      </c>
      <c r="D27" t="inlineStr">
        <is>
          <t>EDIFICIO RYO 1 DEP 314 TERCER PISO</t>
        </is>
      </c>
      <c r="E27" t="n">
        <v>994185377</v>
      </c>
      <c r="F27" t="inlineStr">
        <is>
          <t>INSTALACION PROMOCION</t>
        </is>
      </c>
      <c r="G27" t="n">
        <v>113150009</v>
      </c>
      <c r="H27" t="inlineStr">
        <is>
          <t>CAMPANA STANDAR CLASSIC 80</t>
        </is>
      </c>
      <c r="I27" t="inlineStr">
        <is>
          <t>VISITADO INSTALADO</t>
        </is>
      </c>
      <c r="J27" t="inlineStr">
        <is>
          <t>MERCARD</t>
        </is>
      </c>
      <c r="K27" s="187" t="n">
        <v>46134</v>
      </c>
      <c r="L27" t="inlineStr">
        <is>
          <t>CAPELO</t>
        </is>
      </c>
      <c r="M27" t="inlineStr">
        <is>
          <t>SAP</t>
        </is>
      </c>
      <c r="N27" t="inlineStr">
        <is>
          <t>SAP</t>
        </is>
      </c>
      <c r="O27" t="inlineStr">
        <is>
          <t>ZP259500309</t>
        </is>
      </c>
      <c r="P27" t="n">
        <v>20</v>
      </c>
      <c r="Q27" s="187" t="n">
        <v>46133</v>
      </c>
      <c r="R27" t="inlineStr">
        <is>
          <t>laveroparedes@lafabril.com.ec</t>
        </is>
      </c>
      <c r="S27" t="n">
        <v>103825931</v>
      </c>
      <c r="T27" t="inlineStr">
        <is>
          <t>TRABAJO REALIZADO SIN NOVEDAD</t>
        </is>
      </c>
    </row>
    <row r="28" ht="19" customFormat="1" customHeight="1" s="102">
      <c r="B28" s="187" t="n">
        <v>46132</v>
      </c>
      <c r="C28" t="inlineStr">
        <is>
          <t>CECILIA UYT DEN BOGAARD</t>
        </is>
      </c>
      <c r="D28" t="inlineStr">
        <is>
          <t>CALLE LARGA 10-17 Y PADRE AGUIRRE CASA NOGAL</t>
        </is>
      </c>
      <c r="E28" t="inlineStr">
        <is>
          <t>+593 99 066 8032</t>
        </is>
      </c>
      <c r="F28" t="inlineStr">
        <is>
          <t>INSTALACION PROMOCION</t>
        </is>
      </c>
      <c r="G28" t="n">
        <v>40782128</v>
      </c>
      <c r="H28">
        <f>VLOOKUP(E20,PROD,2,FALSE)</f>
        <v/>
      </c>
      <c r="I28" t="inlineStr">
        <is>
          <t>VISITADO INSTALADO</t>
        </is>
      </c>
      <c r="J28" t="inlineStr">
        <is>
          <t>COMO HOGAR</t>
        </is>
      </c>
      <c r="K28" s="187" t="n">
        <v>46134</v>
      </c>
      <c r="L28" t="inlineStr">
        <is>
          <t>CAPELO</t>
        </is>
      </c>
      <c r="M28" t="inlineStr">
        <is>
          <t>SAP</t>
        </is>
      </c>
      <c r="N28" t="inlineStr">
        <is>
          <t>SAP</t>
        </is>
      </c>
      <c r="O28" t="inlineStr">
        <is>
          <t>MD25AL00306</t>
        </is>
      </c>
      <c r="P28" t="n">
        <v>20</v>
      </c>
      <c r="Q28" s="187" t="n">
        <v>46133</v>
      </c>
      <c r="R28" t="inlineStr">
        <is>
          <t>ceciliabogaard@gmail.com</t>
        </is>
      </c>
      <c r="S28" t="n">
        <v>150714772001</v>
      </c>
      <c r="T28" t="inlineStr">
        <is>
          <t>TRABAJO REALIZADO SIN NOVEDAD</t>
        </is>
      </c>
    </row>
    <row r="29" ht="19" customFormat="1" customHeight="1" s="102">
      <c r="B29" s="187" t="n">
        <v>46132</v>
      </c>
      <c r="C29" t="inlineStr">
        <is>
          <t>CECILIA UYT DEN BOGAARD</t>
        </is>
      </c>
      <c r="D29" t="inlineStr">
        <is>
          <t>CALLE LARGA 10-17 Y PADRE AGUIRRE CASA NOGAL</t>
        </is>
      </c>
      <c r="E29" t="inlineStr">
        <is>
          <t>+593 99 066 8032</t>
        </is>
      </c>
      <c r="F29" t="inlineStr">
        <is>
          <t>INSTALACION PROMOCION</t>
        </is>
      </c>
      <c r="G29" t="n">
        <v>40782128</v>
      </c>
      <c r="H29">
        <f>VLOOKUP(E21,PROD,2,FALSE)</f>
        <v/>
      </c>
      <c r="I29" t="inlineStr">
        <is>
          <t>VISITADO INSTALADO</t>
        </is>
      </c>
      <c r="J29" t="inlineStr">
        <is>
          <t>COMO HOGAR</t>
        </is>
      </c>
      <c r="K29" s="187" t="n">
        <v>46134</v>
      </c>
      <c r="L29" t="inlineStr">
        <is>
          <t>CAPELO</t>
        </is>
      </c>
      <c r="M29" t="inlineStr">
        <is>
          <t>SAP</t>
        </is>
      </c>
      <c r="N29" t="inlineStr">
        <is>
          <t>SAP</t>
        </is>
      </c>
      <c r="O29" t="inlineStr">
        <is>
          <t>MD25AL00322</t>
        </is>
      </c>
      <c r="P29" t="n">
        <v>20</v>
      </c>
      <c r="Q29" s="187" t="n">
        <v>46133</v>
      </c>
      <c r="R29" t="inlineStr">
        <is>
          <t>ceciliabogaard@gmail.com</t>
        </is>
      </c>
      <c r="S29" t="n">
        <v>150714772001</v>
      </c>
      <c r="T29" t="inlineStr">
        <is>
          <t>TRABAJO REALIZADO SIN NOVEDAD</t>
        </is>
      </c>
    </row>
    <row r="30" ht="19" customFormat="1" customHeight="1" s="102">
      <c r="B30" s="187" t="n">
        <v>46012</v>
      </c>
      <c r="C30" t="inlineStr">
        <is>
          <t>FREDDY MUÑOZ</t>
        </is>
      </c>
      <c r="D30" t="inlineStr">
        <is>
          <t>SAYAUSI VIA BUENOS AIRES</t>
        </is>
      </c>
      <c r="E30" t="inlineStr">
        <is>
          <t>+593 99 827 9103</t>
        </is>
      </c>
      <c r="F30" t="inlineStr">
        <is>
          <t>INSTALACION PROMOCION</t>
        </is>
      </c>
      <c r="G30" t="n">
        <v>112030008</v>
      </c>
      <c r="H30">
        <f>VLOOKUP(E22,PROD,2,FALSE)</f>
        <v/>
      </c>
      <c r="I30" t="inlineStr">
        <is>
          <t>VISITADO INSTALADO</t>
        </is>
      </c>
      <c r="J30" t="inlineStr">
        <is>
          <t>HOME VEGA</t>
        </is>
      </c>
      <c r="K30" s="187" t="n">
        <v>46135</v>
      </c>
      <c r="L30" t="inlineStr">
        <is>
          <t>CAPELO</t>
        </is>
      </c>
      <c r="M30" t="inlineStr">
        <is>
          <t>SAP</t>
        </is>
      </c>
      <c r="N30" t="inlineStr">
        <is>
          <t>SAP</t>
        </is>
      </c>
      <c r="O30" t="inlineStr">
        <is>
          <t>TP259B05212</t>
        </is>
      </c>
      <c r="P30" t="n">
        <v>15</v>
      </c>
      <c r="Q30" s="187" t="n">
        <v>46134</v>
      </c>
      <c r="R30" t="inlineStr">
        <is>
          <t>fmunozgn@hotmail.com</t>
        </is>
      </c>
      <c r="S30" t="n">
        <v>102380383001</v>
      </c>
      <c r="T30" t="inlineStr">
        <is>
          <t>TRABAJO REALIZADO SIN NOVEDAD</t>
        </is>
      </c>
    </row>
    <row r="31" ht="19" customFormat="1" customHeight="1" s="102">
      <c r="B31" s="187" t="n">
        <v>46012</v>
      </c>
      <c r="C31" t="inlineStr">
        <is>
          <t>FREDDY MUÑOZ</t>
        </is>
      </c>
      <c r="D31" t="inlineStr">
        <is>
          <t>SAYAUSI VIA BUENOS AIRES</t>
        </is>
      </c>
      <c r="E31" t="inlineStr">
        <is>
          <t>+593 99 827 9103</t>
        </is>
      </c>
      <c r="F31" t="inlineStr">
        <is>
          <t>INSTALACION PROMOCION</t>
        </is>
      </c>
      <c r="G31" t="n">
        <v>40446702</v>
      </c>
      <c r="H31">
        <f>VLOOKUP(E23,PROD,2,FALSE)</f>
        <v/>
      </c>
      <c r="I31" t="inlineStr">
        <is>
          <t>VISITADO INSTALADO</t>
        </is>
      </c>
      <c r="J31" t="inlineStr">
        <is>
          <t>HOME VEGA</t>
        </is>
      </c>
      <c r="K31" s="187" t="n">
        <v>46135</v>
      </c>
      <c r="L31" t="inlineStr">
        <is>
          <t>CAPELO</t>
        </is>
      </c>
      <c r="M31" t="inlineStr">
        <is>
          <t>SAP</t>
        </is>
      </c>
      <c r="N31" t="inlineStr">
        <is>
          <t>SAP</t>
        </is>
      </c>
      <c r="O31" t="inlineStr">
        <is>
          <t>TP255P119304</t>
        </is>
      </c>
      <c r="P31" t="n">
        <v>15</v>
      </c>
      <c r="Q31" s="187" t="n">
        <v>46134</v>
      </c>
      <c r="R31" t="inlineStr">
        <is>
          <t>fmunozgn@hotmail.com</t>
        </is>
      </c>
      <c r="S31" t="n">
        <v>102380383001</v>
      </c>
      <c r="T31" t="inlineStr">
        <is>
          <t>TRABAJO REALIZADO SIN NOVEDAD</t>
        </is>
      </c>
    </row>
    <row r="32" ht="19" customFormat="1" customHeight="1" s="102">
      <c r="B32" s="187" t="n">
        <v>46012</v>
      </c>
      <c r="C32" t="inlineStr">
        <is>
          <t>FREDDY MUÑOZ</t>
        </is>
      </c>
      <c r="D32" t="inlineStr">
        <is>
          <t>SAYAUSI VIA BUENOS AIRES</t>
        </is>
      </c>
      <c r="E32" t="inlineStr">
        <is>
          <t>+593 99 827 9103</t>
        </is>
      </c>
      <c r="F32" t="inlineStr">
        <is>
          <t>INSTALACION PROMOCION</t>
        </is>
      </c>
      <c r="G32" t="n">
        <v>112570128</v>
      </c>
      <c r="H32">
        <f>VLOOKUP(E24,PROD,2,FALSE)</f>
        <v/>
      </c>
      <c r="I32" t="inlineStr">
        <is>
          <t>VISITADO INSTALADO</t>
        </is>
      </c>
      <c r="J32" t="inlineStr">
        <is>
          <t>HOME VEGA</t>
        </is>
      </c>
      <c r="K32" s="187" t="n">
        <v>46135</v>
      </c>
      <c r="L32" t="inlineStr">
        <is>
          <t>CAPELO</t>
        </is>
      </c>
      <c r="M32" t="inlineStr">
        <is>
          <t>SAP</t>
        </is>
      </c>
      <c r="N32" t="inlineStr">
        <is>
          <t>SAP</t>
        </is>
      </c>
      <c r="O32" t="inlineStr">
        <is>
          <t>ZP257E00358</t>
        </is>
      </c>
      <c r="P32" t="n">
        <v>15</v>
      </c>
      <c r="Q32" s="187" t="n">
        <v>46134</v>
      </c>
      <c r="R32" t="inlineStr">
        <is>
          <t>fmunozgn@hotmail.com</t>
        </is>
      </c>
      <c r="S32" t="n">
        <v>102380383001</v>
      </c>
      <c r="T32" t="inlineStr">
        <is>
          <t>TRABAJO REALIZADO SIN NOVEDAD</t>
        </is>
      </c>
    </row>
    <row r="33" ht="19" customFormat="1" customHeight="1" s="102">
      <c r="B33" s="187" t="n">
        <v>46012</v>
      </c>
      <c r="C33" t="inlineStr">
        <is>
          <t>FREDDY MUÑOZ</t>
        </is>
      </c>
      <c r="D33" t="inlineStr">
        <is>
          <t>SAYAUSI VIA BUENOS AIRES</t>
        </is>
      </c>
      <c r="E33" t="inlineStr">
        <is>
          <t>+593 99 827 9103</t>
        </is>
      </c>
      <c r="F33" t="inlineStr">
        <is>
          <t>INSTALACION PROMOCION</t>
        </is>
      </c>
      <c r="G33" t="n">
        <v>40782127</v>
      </c>
      <c r="H33">
        <f>VLOOKUP(E25,PROD,2,FALSE)</f>
        <v/>
      </c>
      <c r="I33" t="inlineStr">
        <is>
          <t>VISITADO INSTALADO</t>
        </is>
      </c>
      <c r="J33" t="inlineStr">
        <is>
          <t>HOME VEGA</t>
        </is>
      </c>
      <c r="K33" s="187" t="n">
        <v>46135</v>
      </c>
      <c r="L33" t="inlineStr">
        <is>
          <t>CAPELO</t>
        </is>
      </c>
      <c r="M33" t="inlineStr">
        <is>
          <t>SAP</t>
        </is>
      </c>
      <c r="N33" t="inlineStr">
        <is>
          <t>SAP</t>
        </is>
      </c>
      <c r="O33" t="inlineStr">
        <is>
          <t>MD257L03112</t>
        </is>
      </c>
      <c r="P33" t="n">
        <v>15</v>
      </c>
      <c r="Q33" s="187" t="n">
        <v>46134</v>
      </c>
      <c r="R33" t="inlineStr">
        <is>
          <t>fmunozgn@hotmail.com</t>
        </is>
      </c>
      <c r="S33" t="n">
        <v>102380383001</v>
      </c>
      <c r="T33" t="inlineStr">
        <is>
          <t>TRABAJO REALIZADO SIN NOVEDAD</t>
        </is>
      </c>
    </row>
    <row r="34" ht="19" customFormat="1" customHeight="1" s="102">
      <c r="B34" s="187" t="n">
        <v>46012</v>
      </c>
      <c r="C34" t="inlineStr">
        <is>
          <t>FREDDY MUÑOZ</t>
        </is>
      </c>
      <c r="D34" t="inlineStr">
        <is>
          <t>SAYAUSI VIA BUENOS AIRES</t>
        </is>
      </c>
      <c r="E34" t="inlineStr">
        <is>
          <t>+593 99 827 9103</t>
        </is>
      </c>
      <c r="F34" t="inlineStr">
        <is>
          <t>INSTALACION PROMOCION</t>
        </is>
      </c>
      <c r="G34" t="n">
        <v>111000051</v>
      </c>
      <c r="H34">
        <f>VLOOKUP(E26,PROD,2,FALSE)</f>
        <v/>
      </c>
      <c r="I34" t="inlineStr">
        <is>
          <t>VISITADO INSTALADO</t>
        </is>
      </c>
      <c r="J34" t="inlineStr">
        <is>
          <t>HOME VEGA</t>
        </is>
      </c>
      <c r="K34" s="187" t="n">
        <v>46135</v>
      </c>
      <c r="L34" t="inlineStr">
        <is>
          <t>CAPELO</t>
        </is>
      </c>
      <c r="M34" t="inlineStr">
        <is>
          <t>SAP</t>
        </is>
      </c>
      <c r="N34" t="inlineStr">
        <is>
          <t>SAP</t>
        </is>
      </c>
      <c r="O34" t="inlineStr">
        <is>
          <t>TZ259506184</t>
        </is>
      </c>
      <c r="P34" t="n">
        <v>15</v>
      </c>
      <c r="Q34" s="187" t="n">
        <v>46134</v>
      </c>
      <c r="R34" t="inlineStr">
        <is>
          <t>fmunozgn@hotmail.com</t>
        </is>
      </c>
      <c r="S34" t="n">
        <v>102380383001</v>
      </c>
      <c r="T34" t="inlineStr">
        <is>
          <t>TRABAJO REALIZADO SIN NOVEDAD</t>
        </is>
      </c>
    </row>
    <row r="35" ht="19" customFormat="1" customHeight="1" s="102">
      <c r="B35" s="187" t="n">
        <v>46131</v>
      </c>
      <c r="C35" t="inlineStr">
        <is>
          <t>FREDY CHICA</t>
        </is>
      </c>
      <c r="D35" t="inlineStr">
        <is>
          <t>PLAZA DEL PARQUE</t>
        </is>
      </c>
      <c r="E35" t="inlineStr">
        <is>
          <t>+593 99 439 6132</t>
        </is>
      </c>
      <c r="F35" t="inlineStr">
        <is>
          <t>INSTALACION PROMOCION</t>
        </is>
      </c>
      <c r="G35" t="n">
        <v>41560041</v>
      </c>
      <c r="H35">
        <f>VLOOKUP(E27,PROD,2,FALSE)</f>
        <v/>
      </c>
      <c r="I35" t="inlineStr">
        <is>
          <t>VISITADO INSTALADO</t>
        </is>
      </c>
      <c r="J35" t="inlineStr">
        <is>
          <t>COMERCIAL KYWI</t>
        </is>
      </c>
      <c r="K35" s="187" t="n">
        <v>46135</v>
      </c>
      <c r="L35" t="inlineStr">
        <is>
          <t>CAPELO</t>
        </is>
      </c>
      <c r="M35" t="inlineStr">
        <is>
          <t>SAP</t>
        </is>
      </c>
      <c r="N35" t="inlineStr">
        <is>
          <t>SAP</t>
        </is>
      </c>
      <c r="O35" t="inlineStr">
        <is>
          <t>TZ254G09872</t>
        </is>
      </c>
      <c r="P35" t="n">
        <v>20</v>
      </c>
      <c r="Q35" s="187" t="n">
        <v>46134</v>
      </c>
      <c r="R35" t="inlineStr">
        <is>
          <t>freddychicacue@hotmail.com</t>
        </is>
      </c>
      <c r="S35" t="n">
        <v>104238100</v>
      </c>
      <c r="T35" t="inlineStr">
        <is>
          <t>TRABAJO REALIZADO SIN NOVEDAD</t>
        </is>
      </c>
    </row>
    <row r="36" ht="19" customFormat="1" customHeight="1" s="102">
      <c r="B36" s="187" t="n">
        <v>46131</v>
      </c>
      <c r="C36" t="inlineStr">
        <is>
          <t>FREDY CHICA</t>
        </is>
      </c>
      <c r="D36" t="inlineStr">
        <is>
          <t>PLAZA DEL PARQUE</t>
        </is>
      </c>
      <c r="E36" t="inlineStr">
        <is>
          <t>+593 99 439 6132</t>
        </is>
      </c>
      <c r="F36" t="inlineStr">
        <is>
          <t>INSTALACION PROMOCION</t>
        </is>
      </c>
      <c r="G36" t="n">
        <v>112520025</v>
      </c>
      <c r="H36">
        <f>VLOOKUP(E28,PROD,2,FALSE)</f>
        <v/>
      </c>
      <c r="I36" t="inlineStr">
        <is>
          <t>VISITADO INSTALADO</t>
        </is>
      </c>
      <c r="J36" t="inlineStr">
        <is>
          <t>COMERCIAL KYWI</t>
        </is>
      </c>
      <c r="K36" s="187" t="n">
        <v>46135</v>
      </c>
      <c r="L36" t="inlineStr">
        <is>
          <t>CAPELO</t>
        </is>
      </c>
      <c r="M36" t="inlineStr">
        <is>
          <t>SAP</t>
        </is>
      </c>
      <c r="N36" t="inlineStr">
        <is>
          <t>SAP</t>
        </is>
      </c>
      <c r="O36" t="inlineStr">
        <is>
          <t>ZP25AU01090</t>
        </is>
      </c>
      <c r="P36" t="n">
        <v>20</v>
      </c>
      <c r="Q36" s="187" t="n">
        <v>46134</v>
      </c>
      <c r="R36" t="inlineStr">
        <is>
          <t>freddychicacue@hotmail.com</t>
        </is>
      </c>
      <c r="S36" t="n">
        <v>104238100</v>
      </c>
      <c r="T36" t="inlineStr">
        <is>
          <t>TRABAJO REALIZADO SIN NOVEDAD</t>
        </is>
      </c>
    </row>
    <row r="37" ht="19" customFormat="1" customHeight="1" s="102">
      <c r="B37" s="187" t="n">
        <v>46087</v>
      </c>
      <c r="C37" t="inlineStr">
        <is>
          <t>JOSE CACERES</t>
        </is>
      </c>
      <c r="D37" t="inlineStr">
        <is>
          <t>EDIFICIO RYO 1</t>
        </is>
      </c>
      <c r="E37" t="inlineStr">
        <is>
          <t>+593 97 875 8031</t>
        </is>
      </c>
      <c r="F37" t="inlineStr">
        <is>
          <t>INSTALACION PROMOCION</t>
        </is>
      </c>
      <c r="G37" t="n">
        <v>112580017</v>
      </c>
      <c r="H37">
        <f>VLOOKUP(E29,PROD,2,FALSE)</f>
        <v/>
      </c>
      <c r="I37" t="inlineStr">
        <is>
          <t>VISITADO INSTALADO</t>
        </is>
      </c>
      <c r="J37" t="inlineStr">
        <is>
          <t>COMERCIAL SOLIS</t>
        </is>
      </c>
      <c r="K37" s="187" t="n">
        <v>46135</v>
      </c>
      <c r="L37" t="inlineStr">
        <is>
          <t>CAPELO</t>
        </is>
      </c>
      <c r="M37" t="inlineStr">
        <is>
          <t>SAP</t>
        </is>
      </c>
      <c r="N37" t="inlineStr">
        <is>
          <t>SAP</t>
        </is>
      </c>
      <c r="O37" t="inlineStr">
        <is>
          <t>ZP257X00126</t>
        </is>
      </c>
      <c r="P37" t="n">
        <v>20</v>
      </c>
      <c r="Q37" s="187" t="n">
        <v>46134</v>
      </c>
      <c r="R37" t="inlineStr">
        <is>
          <t>jcaceres69@live.com</t>
        </is>
      </c>
      <c r="S37" t="n">
        <v>102869278</v>
      </c>
      <c r="T37" t="inlineStr">
        <is>
          <t>TRABAJO REALIZADO SIN NOVEDAD</t>
        </is>
      </c>
    </row>
    <row r="38" ht="19" customFormat="1" customHeight="1" s="102">
      <c r="B38" s="187" t="n">
        <v>46087</v>
      </c>
      <c r="C38" t="inlineStr">
        <is>
          <t>JOSE CACERES</t>
        </is>
      </c>
      <c r="D38" t="inlineStr">
        <is>
          <t>EDIFICIO RYO 1</t>
        </is>
      </c>
      <c r="E38" t="inlineStr">
        <is>
          <t>+593 97 875 8031</t>
        </is>
      </c>
      <c r="F38" t="inlineStr">
        <is>
          <t>INSTALACION PROMOCION</t>
        </is>
      </c>
      <c r="G38" t="n">
        <v>40467320</v>
      </c>
      <c r="H38">
        <f>VLOOKUP(E30,PROD,2,FALSE)</f>
        <v/>
      </c>
      <c r="I38" t="inlineStr">
        <is>
          <t>VISITADO INSTALADO</t>
        </is>
      </c>
      <c r="J38" t="inlineStr">
        <is>
          <t>COMERCIAL SOLIS</t>
        </is>
      </c>
      <c r="K38" s="187" t="n">
        <v>46135</v>
      </c>
      <c r="L38" t="inlineStr">
        <is>
          <t>CAPELO</t>
        </is>
      </c>
      <c r="M38" t="inlineStr">
        <is>
          <t>SAP</t>
        </is>
      </c>
      <c r="N38" t="inlineStr">
        <is>
          <t>SAP</t>
        </is>
      </c>
      <c r="O38" t="inlineStr">
        <is>
          <t>TP25A703820</t>
        </is>
      </c>
      <c r="P38" t="n">
        <v>20</v>
      </c>
      <c r="Q38" s="187" t="n">
        <v>46134</v>
      </c>
      <c r="R38" t="inlineStr">
        <is>
          <t>jcaceres69@live.com</t>
        </is>
      </c>
      <c r="S38" t="n">
        <v>102869278</v>
      </c>
      <c r="T38" t="inlineStr">
        <is>
          <t>TRABAJO REALIZADO SIN NOVEDAD</t>
        </is>
      </c>
    </row>
    <row r="39" ht="19" customFormat="1" customHeight="1" s="102">
      <c r="B39" s="187" t="n">
        <v>45686</v>
      </c>
      <c r="C39" t="inlineStr">
        <is>
          <t>CARMEN TORAL</t>
        </is>
      </c>
      <c r="D39" t="inlineStr"/>
      <c r="E39" t="inlineStr">
        <is>
          <t>+1 (786) 468-1041</t>
        </is>
      </c>
      <c r="F39" t="inlineStr">
        <is>
          <t>GARANTIA</t>
        </is>
      </c>
      <c r="G39" t="n">
        <v>40197255</v>
      </c>
      <c r="H39">
        <f>VLOOKUP(G10,PROD,2,FALSE)</f>
        <v/>
      </c>
      <c r="I39" t="inlineStr">
        <is>
          <t>VISITADO REPARADO</t>
        </is>
      </c>
      <c r="J39" t="inlineStr"/>
      <c r="K39" s="187" t="n">
        <v>46136</v>
      </c>
      <c r="L39" t="inlineStr">
        <is>
          <t>CAPELO</t>
        </is>
      </c>
      <c r="M39" t="inlineStr">
        <is>
          <t>SAP</t>
        </is>
      </c>
      <c r="N39" t="inlineStr">
        <is>
          <t>SAP</t>
        </is>
      </c>
      <c r="O39" t="inlineStr">
        <is>
          <t>240428AF739</t>
        </is>
      </c>
      <c r="P39" t="n">
        <v>12.5</v>
      </c>
      <c r="Q39" s="187" t="n">
        <v>46135</v>
      </c>
      <c r="R39" t="inlineStr">
        <is>
          <t>cat80@outlook.com</t>
        </is>
      </c>
      <c r="S39" t="n">
        <v>1029950557001</v>
      </c>
      <c r="T39" t="inlineStr">
        <is>
          <t>GARANTIA APLICADA SATISFACTORIAMENTE</t>
        </is>
      </c>
    </row>
    <row r="40" ht="19" customFormat="1" customHeight="1" s="102">
      <c r="B40" s="187" t="n">
        <v>45950</v>
      </c>
      <c r="C40" t="inlineStr">
        <is>
          <t>GABRIELA PAREDES</t>
        </is>
      </c>
      <c r="D40" t="inlineStr">
        <is>
          <t>EDIFICIO OTERO DEP 3A</t>
        </is>
      </c>
      <c r="E40" t="inlineStr">
        <is>
          <t>+593 99 561 1032</t>
        </is>
      </c>
      <c r="F40" t="inlineStr">
        <is>
          <t>INSTALACION PROMOCION</t>
        </is>
      </c>
      <c r="G40" t="n">
        <v>112030008</v>
      </c>
      <c r="H40">
        <f>VLOOKUP(E31,PROD,2,FALSE)</f>
        <v/>
      </c>
      <c r="I40" t="inlineStr">
        <is>
          <t>VISITADO INSTALADO</t>
        </is>
      </c>
      <c r="J40" t="inlineStr">
        <is>
          <t>HOME VEGA</t>
        </is>
      </c>
      <c r="K40" s="187" t="n">
        <v>46136</v>
      </c>
      <c r="L40" t="inlineStr">
        <is>
          <t>CAPELO</t>
        </is>
      </c>
      <c r="M40" t="inlineStr">
        <is>
          <t>SAP</t>
        </is>
      </c>
      <c r="N40" t="inlineStr">
        <is>
          <t>SAP</t>
        </is>
      </c>
      <c r="O40" t="inlineStr">
        <is>
          <t>TP259B05188</t>
        </is>
      </c>
      <c r="P40" t="n">
        <v>15</v>
      </c>
      <c r="Q40" s="187" t="n">
        <v>46135</v>
      </c>
      <c r="R40" t="inlineStr">
        <is>
          <t>gparedescoello@gmail.com</t>
        </is>
      </c>
      <c r="S40" t="n">
        <v>103245601</v>
      </c>
      <c r="T40" t="inlineStr">
        <is>
          <t>TRABAJO REALIZADO SIN NOVEDAD</t>
        </is>
      </c>
    </row>
    <row r="41" ht="19" customFormat="1" customHeight="1" s="102">
      <c r="B41" s="187" t="n">
        <v>45950</v>
      </c>
      <c r="C41" t="inlineStr">
        <is>
          <t>GABRIELA PAREDES</t>
        </is>
      </c>
      <c r="D41" t="inlineStr">
        <is>
          <t>EDIFICIO OTERO DEP 3A</t>
        </is>
      </c>
      <c r="E41" t="inlineStr">
        <is>
          <t>+593 99 561 1032</t>
        </is>
      </c>
      <c r="F41" t="inlineStr">
        <is>
          <t>INSTALACION PROMOCION</t>
        </is>
      </c>
      <c r="G41" t="n">
        <v>111000051</v>
      </c>
      <c r="H41">
        <f>VLOOKUP(E32,PROD,2,FALSE)</f>
        <v/>
      </c>
      <c r="I41" t="inlineStr">
        <is>
          <t>VISITADO INSTALADO</t>
        </is>
      </c>
      <c r="J41" t="inlineStr">
        <is>
          <t>HOME VEGA</t>
        </is>
      </c>
      <c r="K41" s="187" t="n">
        <v>46136</v>
      </c>
      <c r="L41" t="inlineStr">
        <is>
          <t>CAPELO</t>
        </is>
      </c>
      <c r="M41" t="inlineStr">
        <is>
          <t>SAP</t>
        </is>
      </c>
      <c r="N41" t="inlineStr">
        <is>
          <t>SAP</t>
        </is>
      </c>
      <c r="O41" t="inlineStr">
        <is>
          <t>TZ258703250</t>
        </is>
      </c>
      <c r="P41" t="n">
        <v>15</v>
      </c>
      <c r="Q41" s="187" t="n">
        <v>46135</v>
      </c>
      <c r="R41" t="inlineStr">
        <is>
          <t>gparedescoello@gmail.com</t>
        </is>
      </c>
      <c r="S41" t="n">
        <v>103245601</v>
      </c>
      <c r="T41" t="inlineStr">
        <is>
          <t>TRABAJO REALIZADO SIN NOVEDAD</t>
        </is>
      </c>
    </row>
    <row r="42" ht="19" customFormat="1" customHeight="1" s="102">
      <c r="B42" s="187" t="n">
        <v>45950</v>
      </c>
      <c r="C42" t="inlineStr">
        <is>
          <t>GABRIELA PAREDES</t>
        </is>
      </c>
      <c r="D42" t="inlineStr">
        <is>
          <t>EDIFICIO OTERO DEP 3A</t>
        </is>
      </c>
      <c r="E42" t="inlineStr">
        <is>
          <t>+593 99 561 1032</t>
        </is>
      </c>
      <c r="F42" t="inlineStr">
        <is>
          <t>INSTALACION PROMOCION</t>
        </is>
      </c>
      <c r="G42" t="n">
        <v>112570073</v>
      </c>
      <c r="H42">
        <f>VLOOKUP(E33,PROD,2,FALSE)</f>
        <v/>
      </c>
      <c r="I42" t="inlineStr">
        <is>
          <t>VISITADO INSTALADO</t>
        </is>
      </c>
      <c r="J42" t="inlineStr">
        <is>
          <t>HOME VEGA</t>
        </is>
      </c>
      <c r="K42" s="187" t="n">
        <v>46136</v>
      </c>
      <c r="L42" t="inlineStr">
        <is>
          <t>CAPELO</t>
        </is>
      </c>
      <c r="M42" t="inlineStr">
        <is>
          <t>SAP</t>
        </is>
      </c>
      <c r="N42" t="inlineStr">
        <is>
          <t>SAP</t>
        </is>
      </c>
      <c r="O42" t="inlineStr">
        <is>
          <t>ZP259300103</t>
        </is>
      </c>
      <c r="P42" t="n">
        <v>15</v>
      </c>
      <c r="Q42" s="187" t="n">
        <v>46135</v>
      </c>
      <c r="R42" t="inlineStr">
        <is>
          <t>gparedescoello@gmail.com</t>
        </is>
      </c>
      <c r="S42" t="n">
        <v>103245601</v>
      </c>
      <c r="T42" t="inlineStr">
        <is>
          <t>TRABAJO REALIZADO SIN NOVEDAD</t>
        </is>
      </c>
    </row>
    <row r="43" ht="19" customFormat="1" customHeight="1" s="102">
      <c r="B43" s="187" t="n">
        <v>45950</v>
      </c>
      <c r="C43" t="inlineStr">
        <is>
          <t>GABRIELA PAREDES</t>
        </is>
      </c>
      <c r="D43" t="inlineStr">
        <is>
          <t>EDIFICIO OTERO DEP 3A</t>
        </is>
      </c>
      <c r="E43" t="inlineStr">
        <is>
          <t>+593 99 561 1032</t>
        </is>
      </c>
      <c r="F43" t="inlineStr">
        <is>
          <t>INSTALACION PROMOCION</t>
        </is>
      </c>
      <c r="G43" t="n">
        <v>113430051</v>
      </c>
      <c r="H43">
        <f>VLOOKUP(E34,PROD,2,FALSE)</f>
        <v/>
      </c>
      <c r="I43" t="inlineStr">
        <is>
          <t>VISITADO INSTALADO</t>
        </is>
      </c>
      <c r="J43" t="inlineStr">
        <is>
          <t>HOME VEGA</t>
        </is>
      </c>
      <c r="K43" s="187" t="n">
        <v>46136</v>
      </c>
      <c r="L43" t="inlineStr">
        <is>
          <t>CAPELO</t>
        </is>
      </c>
      <c r="M43" t="inlineStr">
        <is>
          <t>SAP</t>
        </is>
      </c>
      <c r="N43" t="inlineStr">
        <is>
          <t>SAP</t>
        </is>
      </c>
      <c r="O43" t="inlineStr">
        <is>
          <t>TKAZC5J32550</t>
        </is>
      </c>
      <c r="P43" t="n">
        <v>15</v>
      </c>
      <c r="Q43" s="187" t="n">
        <v>46135</v>
      </c>
      <c r="R43" t="inlineStr">
        <is>
          <t>gparedescoello@gmail.com</t>
        </is>
      </c>
      <c r="S43" t="n">
        <v>103245601</v>
      </c>
      <c r="T43" t="inlineStr">
        <is>
          <t>TRABAJO REALIZADO SIN NOVEDAD</t>
        </is>
      </c>
    </row>
    <row r="44" ht="19" customFormat="1" customHeight="1" s="102">
      <c r="B44" s="187" t="n">
        <v>45950</v>
      </c>
      <c r="C44" t="inlineStr">
        <is>
          <t>GABRIELA PAREDES</t>
        </is>
      </c>
      <c r="D44" t="inlineStr">
        <is>
          <t>EDIFICIO OTERO DEP 3A</t>
        </is>
      </c>
      <c r="E44" t="inlineStr">
        <is>
          <t>+593 99 561 1032</t>
        </is>
      </c>
      <c r="F44" t="inlineStr">
        <is>
          <t>INSTALACION PROMOCION</t>
        </is>
      </c>
      <c r="G44" t="n">
        <v>112030008</v>
      </c>
      <c r="H44">
        <f>VLOOKUP(E35,PROD,2,FALSE)</f>
        <v/>
      </c>
      <c r="I44" t="inlineStr">
        <is>
          <t>VISITADO INSTALADO</t>
        </is>
      </c>
      <c r="J44" t="inlineStr">
        <is>
          <t>HOME VEGA</t>
        </is>
      </c>
      <c r="K44" s="187" t="n">
        <v>46136</v>
      </c>
      <c r="L44" t="inlineStr">
        <is>
          <t>CAPELO</t>
        </is>
      </c>
      <c r="M44" t="inlineStr">
        <is>
          <t>SAP</t>
        </is>
      </c>
      <c r="N44" t="inlineStr">
        <is>
          <t>SAP</t>
        </is>
      </c>
      <c r="O44" t="inlineStr">
        <is>
          <t>TP259B05188</t>
        </is>
      </c>
      <c r="P44" t="n">
        <v>15</v>
      </c>
      <c r="Q44" s="187" t="n">
        <v>46135</v>
      </c>
      <c r="R44" t="inlineStr">
        <is>
          <t>gparedescoello@gmail.com</t>
        </is>
      </c>
      <c r="S44" t="n">
        <v>103245601</v>
      </c>
      <c r="T44" t="inlineStr">
        <is>
          <t>TRABAJO REALIZADO SIN NOVEDAD</t>
        </is>
      </c>
    </row>
    <row r="45" ht="19" customFormat="1" customHeight="1" s="102">
      <c r="B45" s="187" t="n">
        <v>45950</v>
      </c>
      <c r="C45" t="inlineStr">
        <is>
          <t>GABRIELA PAREDES</t>
        </is>
      </c>
      <c r="D45" t="inlineStr">
        <is>
          <t>EDIFICIO OTERO DEP 3A</t>
        </is>
      </c>
      <c r="E45" t="inlineStr">
        <is>
          <t>+593 99 561 1032</t>
        </is>
      </c>
      <c r="F45" t="inlineStr">
        <is>
          <t>INSTALACION PROMOCION</t>
        </is>
      </c>
      <c r="G45" t="n">
        <v>111000051</v>
      </c>
      <c r="H45">
        <f>VLOOKUP(E36,PROD,2,FALSE)</f>
        <v/>
      </c>
      <c r="I45" t="inlineStr">
        <is>
          <t>VISITADO INSTALADO</t>
        </is>
      </c>
      <c r="J45" t="inlineStr">
        <is>
          <t>HOME VEGA</t>
        </is>
      </c>
      <c r="K45" s="187" t="n">
        <v>46136</v>
      </c>
      <c r="L45" t="inlineStr">
        <is>
          <t>CAPELO</t>
        </is>
      </c>
      <c r="M45" t="inlineStr">
        <is>
          <t>SAP</t>
        </is>
      </c>
      <c r="N45" t="inlineStr">
        <is>
          <t>SAP</t>
        </is>
      </c>
      <c r="O45" t="inlineStr">
        <is>
          <t>TZ258703250</t>
        </is>
      </c>
      <c r="P45" t="n">
        <v>15</v>
      </c>
      <c r="Q45" s="187" t="n">
        <v>46135</v>
      </c>
      <c r="R45" t="inlineStr">
        <is>
          <t>gparedescoello@gmail.com</t>
        </is>
      </c>
      <c r="S45" t="n">
        <v>103245601</v>
      </c>
      <c r="T45" t="inlineStr">
        <is>
          <t>TRABAJO REALIZADO SIN NOVEDAD</t>
        </is>
      </c>
    </row>
    <row r="46" ht="19" customFormat="1" customHeight="1" s="102">
      <c r="B46" s="187" t="n">
        <v>45950</v>
      </c>
      <c r="C46" t="inlineStr">
        <is>
          <t>GABRIELA PAREDES</t>
        </is>
      </c>
      <c r="D46" t="inlineStr">
        <is>
          <t>EDIFICIO OTERO DEP 3A</t>
        </is>
      </c>
      <c r="E46" t="inlineStr">
        <is>
          <t>+593 99 561 1032</t>
        </is>
      </c>
      <c r="F46" t="inlineStr">
        <is>
          <t>INSTALACION PROMOCION</t>
        </is>
      </c>
      <c r="G46" t="n">
        <v>112570073</v>
      </c>
      <c r="H46">
        <f>VLOOKUP(E37,PROD,2,FALSE)</f>
        <v/>
      </c>
      <c r="I46" t="inlineStr">
        <is>
          <t>VISITADO INSTALADO</t>
        </is>
      </c>
      <c r="J46" t="inlineStr">
        <is>
          <t>HOME VEGA</t>
        </is>
      </c>
      <c r="K46" s="187" t="n">
        <v>46136</v>
      </c>
      <c r="L46" t="inlineStr">
        <is>
          <t>CAPELO</t>
        </is>
      </c>
      <c r="M46" t="inlineStr">
        <is>
          <t>SAP</t>
        </is>
      </c>
      <c r="N46" t="inlineStr">
        <is>
          <t>SAP</t>
        </is>
      </c>
      <c r="O46" t="inlineStr">
        <is>
          <t>ZP259300103</t>
        </is>
      </c>
      <c r="P46" t="n">
        <v>15</v>
      </c>
      <c r="Q46" s="187" t="n">
        <v>46135</v>
      </c>
      <c r="R46" t="inlineStr">
        <is>
          <t>gparedescoello@gmail.com</t>
        </is>
      </c>
      <c r="S46" t="n">
        <v>103245601</v>
      </c>
      <c r="T46" t="inlineStr">
        <is>
          <t>TRABAJO REALIZADO SIN NOVEDAD</t>
        </is>
      </c>
    </row>
    <row r="47" ht="19" customFormat="1" customHeight="1" s="102">
      <c r="B47" s="187" t="n">
        <v>45950</v>
      </c>
      <c r="C47" t="inlineStr">
        <is>
          <t>GABRIELA PAREDES</t>
        </is>
      </c>
      <c r="D47" t="inlineStr">
        <is>
          <t>EDIFICIO OTERO DEP 3A</t>
        </is>
      </c>
      <c r="E47" t="inlineStr">
        <is>
          <t>+593 99 561 1032</t>
        </is>
      </c>
      <c r="F47" t="inlineStr">
        <is>
          <t>INSTALACION PROMOCION</t>
        </is>
      </c>
      <c r="G47" t="n">
        <v>40782127</v>
      </c>
      <c r="H47">
        <f>VLOOKUP(E38,PROD,2,FALSE)</f>
        <v/>
      </c>
      <c r="I47" t="inlineStr">
        <is>
          <t>VISITADO INSTALADO</t>
        </is>
      </c>
      <c r="J47" t="inlineStr">
        <is>
          <t>HOME VEGA</t>
        </is>
      </c>
      <c r="K47" s="187" t="n">
        <v>46136</v>
      </c>
      <c r="L47" t="inlineStr">
        <is>
          <t>CAPELO</t>
        </is>
      </c>
      <c r="M47" t="inlineStr">
        <is>
          <t>SAP</t>
        </is>
      </c>
      <c r="N47" t="inlineStr">
        <is>
          <t>SAP</t>
        </is>
      </c>
      <c r="O47" t="inlineStr">
        <is>
          <t>MD259201300</t>
        </is>
      </c>
      <c r="P47" t="n">
        <v>15</v>
      </c>
      <c r="Q47" s="187" t="n">
        <v>46135</v>
      </c>
      <c r="R47" t="inlineStr">
        <is>
          <t>gparedescoello@gmail.com</t>
        </is>
      </c>
      <c r="S47" t="n">
        <v>103245601</v>
      </c>
      <c r="T47" t="inlineStr">
        <is>
          <t>TRABAJO REALIZADO SIN NOVEDAD</t>
        </is>
      </c>
    </row>
    <row r="48" ht="19" customFormat="1" customHeight="1" s="102">
      <c r="B48" s="187" t="n">
        <v>45950</v>
      </c>
      <c r="C48" t="inlineStr">
        <is>
          <t>GABRIELA PAREDES</t>
        </is>
      </c>
      <c r="D48" t="inlineStr">
        <is>
          <t>EDIFICIO OTERO DEP 3A</t>
        </is>
      </c>
      <c r="E48" t="inlineStr">
        <is>
          <t>+593 99 561 1032</t>
        </is>
      </c>
      <c r="F48" t="inlineStr">
        <is>
          <t>INSTALACION PROMOCION</t>
        </is>
      </c>
      <c r="G48" t="n">
        <v>113430051</v>
      </c>
      <c r="H48">
        <f>VLOOKUP(E39,PROD,2,FALSE)</f>
        <v/>
      </c>
      <c r="I48" t="inlineStr">
        <is>
          <t>VISITADO INSTALADO</t>
        </is>
      </c>
      <c r="J48" t="inlineStr">
        <is>
          <t>HOME VEGA</t>
        </is>
      </c>
      <c r="K48" s="187" t="n">
        <v>46136</v>
      </c>
      <c r="L48" t="inlineStr">
        <is>
          <t>CAPELO</t>
        </is>
      </c>
      <c r="M48" t="inlineStr">
        <is>
          <t>SAP</t>
        </is>
      </c>
      <c r="N48" t="inlineStr">
        <is>
          <t>SAP</t>
        </is>
      </c>
      <c r="O48" t="inlineStr">
        <is>
          <t>TKAZC5J32550</t>
        </is>
      </c>
      <c r="P48" t="n">
        <v>15</v>
      </c>
      <c r="Q48" s="187" t="n">
        <v>46135</v>
      </c>
      <c r="R48" t="inlineStr">
        <is>
          <t>gparedescoello@gmail.com</t>
        </is>
      </c>
      <c r="S48" t="n">
        <v>103245601</v>
      </c>
      <c r="T48" t="inlineStr">
        <is>
          <t>TRABAJO REALIZADO SIN NOVEDAD</t>
        </is>
      </c>
    </row>
    <row r="49" ht="19" customFormat="1" customHeight="1" s="102">
      <c r="B49" s="187" t="n">
        <v>46130</v>
      </c>
      <c r="C49" t="inlineStr">
        <is>
          <t>GEORGIO MAYURI</t>
        </is>
      </c>
      <c r="D49" t="inlineStr">
        <is>
          <t>AV SOLANO 11 67 TORRE 2 AP 4C</t>
        </is>
      </c>
      <c r="E49" t="inlineStr">
        <is>
          <t>+593 98 665 6659</t>
        </is>
      </c>
      <c r="F49" t="inlineStr">
        <is>
          <t>BBQ</t>
        </is>
      </c>
      <c r="G49" t="n">
        <v>111570002</v>
      </c>
      <c r="H49">
        <f>VLOOKUP(E6,PROD,2,FALSE)</f>
        <v/>
      </c>
      <c r="I49" t="inlineStr">
        <is>
          <t>VISITADO INSTALADO</t>
        </is>
      </c>
      <c r="J49" t="inlineStr">
        <is>
          <t>COMERCIAL KYWI</t>
        </is>
      </c>
      <c r="K49" s="187" t="n">
        <v>46136</v>
      </c>
      <c r="L49" t="inlineStr">
        <is>
          <t>CAPELO</t>
        </is>
      </c>
      <c r="M49" t="inlineStr">
        <is>
          <t>SAP</t>
        </is>
      </c>
      <c r="N49" t="inlineStr">
        <is>
          <t>SAP</t>
        </is>
      </c>
      <c r="O49" t="inlineStr">
        <is>
          <t>CO256E00888</t>
        </is>
      </c>
      <c r="P49" t="n">
        <v>29</v>
      </c>
      <c r="Q49" s="187" t="n">
        <v>46135</v>
      </c>
      <c r="R49" t="inlineStr">
        <is>
          <t>mayurigiorgio@gmail.com</t>
        </is>
      </c>
      <c r="S49" t="n">
        <v>120589265</v>
      </c>
      <c r="T49" t="inlineStr">
        <is>
          <t>TRABAJO REALIZADO SIN NOVEDAD</t>
        </is>
      </c>
    </row>
    <row r="50" ht="19" customFormat="1" customHeight="1" s="102">
      <c r="B50" s="187" t="n">
        <v>46113</v>
      </c>
      <c r="C50" t="inlineStr">
        <is>
          <t>COMERCIAL SOLIS</t>
        </is>
      </c>
      <c r="D50" t="inlineStr">
        <is>
          <t xml:space="preserve">LAMAR </t>
        </is>
      </c>
      <c r="E50" t="n">
        <v>998464542</v>
      </c>
      <c r="F50" t="inlineStr">
        <is>
          <t>ALMACEN</t>
        </is>
      </c>
      <c r="G50" t="n">
        <v>111910000</v>
      </c>
      <c r="H50">
        <f>VLOOKUP(E7,PROD,2,FALSE)</f>
        <v/>
      </c>
      <c r="I50" t="inlineStr">
        <is>
          <t>VISITADO INSTALADO</t>
        </is>
      </c>
      <c r="J50" t="inlineStr">
        <is>
          <t>TEKA DIRECTO</t>
        </is>
      </c>
      <c r="K50" s="187" t="n">
        <v>46136</v>
      </c>
      <c r="L50" t="inlineStr">
        <is>
          <t>CAPELO</t>
        </is>
      </c>
      <c r="M50" t="inlineStr">
        <is>
          <t>SAP</t>
        </is>
      </c>
      <c r="N50" t="inlineStr">
        <is>
          <t>SAP</t>
        </is>
      </c>
      <c r="O50" t="n">
        <v>111070000131990</v>
      </c>
      <c r="P50" t="inlineStr">
        <is>
          <t>$0.00</t>
        </is>
      </c>
      <c r="Q50" s="187" t="n">
        <v>46135</v>
      </c>
      <c r="R50" t="inlineStr"/>
      <c r="S50" t="inlineStr"/>
      <c r="T50" t="inlineStr">
        <is>
          <t>TRABAJO REALIZADO SIN NOVEDAD</t>
        </is>
      </c>
    </row>
    <row r="51" ht="19" customFormat="1" customHeight="1" s="102">
      <c r="B51" s="187" t="n">
        <v>46123</v>
      </c>
      <c r="C51" t="inlineStr">
        <is>
          <t>MICHELLE JUNGERBERG</t>
        </is>
      </c>
      <c r="D51" t="inlineStr">
        <is>
          <t>PAUCARBAMBA Y LOS FRESNOS</t>
        </is>
      </c>
      <c r="E51" t="inlineStr">
        <is>
          <t>+1 (970) 946-3705</t>
        </is>
      </c>
      <c r="F51" t="inlineStr">
        <is>
          <t>INSTALACION UN PRODUCTO</t>
        </is>
      </c>
      <c r="G51" t="n">
        <v>111030002</v>
      </c>
      <c r="H51">
        <f>VLOOKUP(E12,PROD,2,FALSE)</f>
        <v/>
      </c>
      <c r="I51" t="inlineStr">
        <is>
          <t>VISITADO INSTALADO</t>
        </is>
      </c>
      <c r="J51" t="inlineStr">
        <is>
          <t>MERCARD</t>
        </is>
      </c>
      <c r="K51" s="187" t="n">
        <v>46136</v>
      </c>
      <c r="L51" t="inlineStr">
        <is>
          <t>CAPELO</t>
        </is>
      </c>
      <c r="M51" t="inlineStr">
        <is>
          <t>SAP</t>
        </is>
      </c>
      <c r="N51" t="inlineStr">
        <is>
          <t>SAP</t>
        </is>
      </c>
      <c r="O51" t="inlineStr">
        <is>
          <t>TZ25A807645</t>
        </is>
      </c>
      <c r="P51" t="n">
        <v>25</v>
      </c>
      <c r="Q51" s="187" t="n">
        <v>46135</v>
      </c>
      <c r="R51" t="inlineStr">
        <is>
          <t>mjberj2003@gmail.com</t>
        </is>
      </c>
      <c r="S51" t="n">
        <v>1758631491</v>
      </c>
      <c r="T51" t="inlineStr">
        <is>
          <t>TRABAJO REALIZADO SIN NOVEDAD</t>
        </is>
      </c>
    </row>
    <row r="52" ht="19" customFormat="1" customHeight="1" s="102">
      <c r="B52" s="187" t="n">
        <v>46071</v>
      </c>
      <c r="C52" t="inlineStr">
        <is>
          <t>JENNY CORDERO</t>
        </is>
      </c>
      <c r="D52" t="inlineStr">
        <is>
          <t>ORDOÑEZ LASSO</t>
        </is>
      </c>
      <c r="E52" t="inlineStr">
        <is>
          <t>+593 98 350 6072</t>
        </is>
      </c>
      <c r="F52" t="inlineStr">
        <is>
          <t>INSTALACION PROMOCION</t>
        </is>
      </c>
      <c r="G52" t="n">
        <v>111000051</v>
      </c>
      <c r="H52">
        <f>VLOOKUP(E40,PROD,2,FALSE)</f>
        <v/>
      </c>
      <c r="I52" t="inlineStr">
        <is>
          <t>VISITADO INSTALADO</t>
        </is>
      </c>
      <c r="J52" t="inlineStr">
        <is>
          <t>HOME VEGA</t>
        </is>
      </c>
      <c r="K52" s="187" t="n">
        <v>46139</v>
      </c>
      <c r="L52" t="inlineStr">
        <is>
          <t>CAPELO</t>
        </is>
      </c>
      <c r="M52" t="inlineStr">
        <is>
          <t>SAP</t>
        </is>
      </c>
      <c r="N52" t="inlineStr">
        <is>
          <t>SAP</t>
        </is>
      </c>
      <c r="O52" t="inlineStr">
        <is>
          <t>TZ25B703159</t>
        </is>
      </c>
      <c r="P52" t="n">
        <v>15</v>
      </c>
      <c r="Q52" s="187" t="n">
        <v>46138</v>
      </c>
      <c r="R52" t="inlineStr">
        <is>
          <t>corderojenny7@hotmail.com</t>
        </is>
      </c>
      <c r="S52" t="n">
        <v>301069944001</v>
      </c>
      <c r="T52" t="inlineStr">
        <is>
          <t>TRABAJO REALIZADO SIN NOVEDAD</t>
        </is>
      </c>
    </row>
    <row r="53" ht="15" customFormat="1" customHeight="1" s="102">
      <c r="B53" s="187" t="n">
        <v>46071</v>
      </c>
      <c r="C53" t="inlineStr">
        <is>
          <t>JENNY CORDERO</t>
        </is>
      </c>
      <c r="D53" t="inlineStr">
        <is>
          <t>ORDOÑEZ LASSO</t>
        </is>
      </c>
      <c r="E53" t="inlineStr">
        <is>
          <t>+593 98 350 6072</t>
        </is>
      </c>
      <c r="F53" t="inlineStr">
        <is>
          <t>INSTALACION PROMOCION</t>
        </is>
      </c>
      <c r="G53" t="n">
        <v>112030008</v>
      </c>
      <c r="H53">
        <f>VLOOKUP(E41,PROD,2,FALSE)</f>
        <v/>
      </c>
      <c r="I53" t="inlineStr">
        <is>
          <t>VISITADO INSTALADO</t>
        </is>
      </c>
      <c r="J53" t="inlineStr">
        <is>
          <t>HOME VEGA</t>
        </is>
      </c>
      <c r="K53" s="187" t="n">
        <v>46139</v>
      </c>
      <c r="L53" t="inlineStr">
        <is>
          <t>CAPELO</t>
        </is>
      </c>
      <c r="M53" t="inlineStr">
        <is>
          <t>SAP</t>
        </is>
      </c>
      <c r="N53" t="inlineStr">
        <is>
          <t>SAP</t>
        </is>
      </c>
      <c r="O53" t="inlineStr">
        <is>
          <t>TP259B05248</t>
        </is>
      </c>
      <c r="P53" t="n">
        <v>15</v>
      </c>
      <c r="Q53" s="187" t="n">
        <v>46138</v>
      </c>
      <c r="R53" t="inlineStr">
        <is>
          <t>corderojenny7@hotmail.com</t>
        </is>
      </c>
      <c r="S53" t="n">
        <v>301069944001</v>
      </c>
      <c r="T53" t="inlineStr">
        <is>
          <t>TRABAJO REALIZADO SIN NOVEDAD</t>
        </is>
      </c>
    </row>
    <row r="54" ht="19" customFormat="1" customHeight="1" s="102">
      <c r="B54" s="187" t="n">
        <v>46071</v>
      </c>
      <c r="C54" t="inlineStr">
        <is>
          <t>JENNY CORDERO</t>
        </is>
      </c>
      <c r="D54" t="inlineStr">
        <is>
          <t>ORDOÑEZ LASSO</t>
        </is>
      </c>
      <c r="E54" t="inlineStr">
        <is>
          <t>+593 98 350 6072</t>
        </is>
      </c>
      <c r="F54" t="inlineStr">
        <is>
          <t>INSTALACION PROMOCION</t>
        </is>
      </c>
      <c r="G54" t="n">
        <v>112570128</v>
      </c>
      <c r="H54">
        <f>VLOOKUP(E42,PROD,2,FALSE)</f>
        <v/>
      </c>
      <c r="I54" t="inlineStr">
        <is>
          <t>VISITADO INSTALADO</t>
        </is>
      </c>
      <c r="J54" t="inlineStr">
        <is>
          <t>HOME VEGA</t>
        </is>
      </c>
      <c r="K54" s="187" t="n">
        <v>46139</v>
      </c>
      <c r="L54" t="inlineStr">
        <is>
          <t>CAPELO</t>
        </is>
      </c>
      <c r="M54" t="inlineStr">
        <is>
          <t>SAP</t>
        </is>
      </c>
      <c r="N54" t="inlineStr">
        <is>
          <t>SAP</t>
        </is>
      </c>
      <c r="O54" t="inlineStr">
        <is>
          <t>ZP25AQ00649</t>
        </is>
      </c>
      <c r="P54" t="n">
        <v>15</v>
      </c>
      <c r="Q54" s="187" t="n">
        <v>46138</v>
      </c>
      <c r="R54" t="inlineStr">
        <is>
          <t>corderojenny7@hotmail.com</t>
        </is>
      </c>
      <c r="S54" t="n">
        <v>301069944001</v>
      </c>
      <c r="T54" t="inlineStr">
        <is>
          <t>TRABAJO REALIZADO SIN NOVEDAD</t>
        </is>
      </c>
    </row>
    <row r="55" ht="19" customFormat="1" customHeight="1" s="102">
      <c r="B55" s="187" t="n">
        <v>45883</v>
      </c>
      <c r="C55" t="inlineStr">
        <is>
          <t>ING DIANA VIDAL</t>
        </is>
      </c>
      <c r="D55" t="inlineStr">
        <is>
          <t>EDIFICIO VAZCO</t>
        </is>
      </c>
      <c r="E55" t="inlineStr">
        <is>
          <t>+593 99 763 2312</t>
        </is>
      </c>
      <c r="F55" t="inlineStr">
        <is>
          <t>INSTALACION PROMOCION</t>
        </is>
      </c>
      <c r="G55" t="n">
        <v>112030008</v>
      </c>
      <c r="H55">
        <f>VLOOKUP(E43,PROD,2,FALSE)</f>
        <v/>
      </c>
      <c r="I55" t="inlineStr">
        <is>
          <t>VISITADO INSTALADO</t>
        </is>
      </c>
      <c r="J55" t="inlineStr">
        <is>
          <t>BERMAT</t>
        </is>
      </c>
      <c r="K55" s="187" t="n">
        <v>46139</v>
      </c>
      <c r="L55" t="inlineStr">
        <is>
          <t>CAPELO</t>
        </is>
      </c>
      <c r="M55" t="inlineStr">
        <is>
          <t>SAP</t>
        </is>
      </c>
      <c r="N55" t="inlineStr">
        <is>
          <t>SAP</t>
        </is>
      </c>
      <c r="O55" t="inlineStr">
        <is>
          <t>TP24B500784</t>
        </is>
      </c>
      <c r="P55" t="n">
        <v>15</v>
      </c>
      <c r="Q55" s="187" t="n">
        <v>46138</v>
      </c>
      <c r="R55" t="inlineStr">
        <is>
          <t>vidal.dp@gmail.com</t>
        </is>
      </c>
      <c r="S55" t="n">
        <v>802584607001</v>
      </c>
      <c r="T55" t="inlineStr">
        <is>
          <t>TRABAJO REALIZADO SIN NOVEDAD</t>
        </is>
      </c>
    </row>
    <row r="56" ht="19" customFormat="1" customHeight="1" s="102">
      <c r="B56" s="187" t="n">
        <v>45884</v>
      </c>
      <c r="C56" t="inlineStr">
        <is>
          <t>ING DIANA VIDAL</t>
        </is>
      </c>
      <c r="D56" t="inlineStr">
        <is>
          <t>EDIFICIO VAZCO</t>
        </is>
      </c>
      <c r="E56" t="inlineStr">
        <is>
          <t>+593 99 763 2312</t>
        </is>
      </c>
      <c r="F56" t="inlineStr">
        <is>
          <t>INSTALACION PROMOCION</t>
        </is>
      </c>
      <c r="G56" t="n">
        <v>111030002</v>
      </c>
      <c r="H56">
        <f>VLOOKUP(E44,PROD,2,FALSE)</f>
        <v/>
      </c>
      <c r="I56" t="inlineStr">
        <is>
          <t>VISITADO INSTALADO</t>
        </is>
      </c>
      <c r="J56" t="inlineStr">
        <is>
          <t>IMPORTADORA CASTRO</t>
        </is>
      </c>
      <c r="K56" s="187" t="n">
        <v>46139</v>
      </c>
      <c r="L56" t="inlineStr">
        <is>
          <t>CAPELO</t>
        </is>
      </c>
      <c r="M56" t="inlineStr">
        <is>
          <t>SAP</t>
        </is>
      </c>
      <c r="N56" t="inlineStr">
        <is>
          <t>SAP</t>
        </is>
      </c>
      <c r="O56" t="inlineStr">
        <is>
          <t>TZ24QJ15128</t>
        </is>
      </c>
      <c r="P56" t="n">
        <v>55</v>
      </c>
      <c r="Q56" s="187" t="n">
        <v>46138</v>
      </c>
      <c r="R56" t="inlineStr">
        <is>
          <t>vidal.dp@gmail.com</t>
        </is>
      </c>
      <c r="S56" t="n">
        <v>802584607001</v>
      </c>
      <c r="T56" t="inlineStr">
        <is>
          <t>TRABAJO REALIZADO SIN NOVEDAD</t>
        </is>
      </c>
    </row>
    <row r="57" ht="19" customFormat="1" customHeight="1" s="102">
      <c r="B57" s="187" t="n">
        <v>45878</v>
      </c>
      <c r="C57" t="inlineStr">
        <is>
          <t>ING DIANA VIDAL</t>
        </is>
      </c>
      <c r="D57" t="inlineStr">
        <is>
          <t>EDIFICIO VAZCO</t>
        </is>
      </c>
      <c r="E57" t="inlineStr">
        <is>
          <t>+593 99 763 2312</t>
        </is>
      </c>
      <c r="F57" t="inlineStr">
        <is>
          <t>INSTALACION PROMOCION</t>
        </is>
      </c>
      <c r="G57" t="n">
        <v>112510036</v>
      </c>
      <c r="H57">
        <f>VLOOKUP(E45,PROD,2,FALSE)</f>
        <v/>
      </c>
      <c r="I57" t="inlineStr">
        <is>
          <t>VISITADO INSTALADO</t>
        </is>
      </c>
      <c r="J57" t="inlineStr">
        <is>
          <t>BERMAT</t>
        </is>
      </c>
      <c r="K57" s="187" t="n">
        <v>46139</v>
      </c>
      <c r="L57" t="inlineStr">
        <is>
          <t>CAPELO</t>
        </is>
      </c>
      <c r="M57" t="inlineStr">
        <is>
          <t>SAP</t>
        </is>
      </c>
      <c r="N57" t="inlineStr">
        <is>
          <t>SAP</t>
        </is>
      </c>
      <c r="O57" t="inlineStr">
        <is>
          <t>ZP24CA00788</t>
        </is>
      </c>
      <c r="P57" t="n">
        <v>15</v>
      </c>
      <c r="Q57" s="187" t="n">
        <v>46138</v>
      </c>
      <c r="R57" t="inlineStr">
        <is>
          <t>vidal.dp@gmail.com</t>
        </is>
      </c>
      <c r="S57" t="n">
        <v>802584607001</v>
      </c>
      <c r="T57" t="inlineStr">
        <is>
          <t>TRABAJO REALIZADO SIN NOVEDAD</t>
        </is>
      </c>
    </row>
    <row r="58" ht="19" customFormat="1" customHeight="1" s="102">
      <c r="B58" s="187" t="n">
        <v>45878</v>
      </c>
      <c r="C58" t="inlineStr">
        <is>
          <t>ING DIANA VIDAL</t>
        </is>
      </c>
      <c r="D58" t="inlineStr">
        <is>
          <t>EDIFICIO VAZCO</t>
        </is>
      </c>
      <c r="E58" t="inlineStr">
        <is>
          <t>+593 99 763 2312</t>
        </is>
      </c>
      <c r="F58" t="inlineStr">
        <is>
          <t>INSTALACION PROMOCION</t>
        </is>
      </c>
      <c r="G58" t="n">
        <v>112570041</v>
      </c>
      <c r="H58">
        <f>VLOOKUP(E46,PROD,2,FALSE)</f>
        <v/>
      </c>
      <c r="I58" t="inlineStr">
        <is>
          <t>VISITADO INSTALADO</t>
        </is>
      </c>
      <c r="J58" t="inlineStr">
        <is>
          <t>BERMAT</t>
        </is>
      </c>
      <c r="K58" s="187" t="n">
        <v>46139</v>
      </c>
      <c r="L58" t="inlineStr">
        <is>
          <t>CAPELO</t>
        </is>
      </c>
      <c r="M58" t="inlineStr">
        <is>
          <t>SAP</t>
        </is>
      </c>
      <c r="N58" t="inlineStr">
        <is>
          <t>SAP</t>
        </is>
      </c>
      <c r="O58" t="inlineStr">
        <is>
          <t>ZP254Q00387</t>
        </is>
      </c>
      <c r="P58" t="n">
        <v>15</v>
      </c>
      <c r="Q58" s="187" t="n">
        <v>46138</v>
      </c>
      <c r="R58" t="inlineStr">
        <is>
          <t>vidal.dp@gmail.com</t>
        </is>
      </c>
      <c r="S58" t="n">
        <v>802584607001</v>
      </c>
      <c r="T58" t="inlineStr">
        <is>
          <t>TRABAJO REALIZADO SIN NOVEDAD</t>
        </is>
      </c>
    </row>
    <row r="59" ht="19" customFormat="1" customHeight="1" s="102">
      <c r="B59" s="187" t="n">
        <v>45879</v>
      </c>
      <c r="C59" t="inlineStr">
        <is>
          <t>ING DIANA VIDAL</t>
        </is>
      </c>
      <c r="D59" t="inlineStr">
        <is>
          <t>EDIFICIO VAZCO</t>
        </is>
      </c>
      <c r="E59" t="inlineStr">
        <is>
          <t>+593 99 763 2312</t>
        </is>
      </c>
      <c r="F59" t="inlineStr">
        <is>
          <t>INSTALACION PROMOCION</t>
        </is>
      </c>
      <c r="G59" t="n">
        <v>112950021</v>
      </c>
      <c r="H59">
        <f>VLOOKUP(E47,PROD,2,FALSE)</f>
        <v/>
      </c>
      <c r="I59" t="inlineStr">
        <is>
          <t>VISITADO INSTALADO</t>
        </is>
      </c>
      <c r="J59" t="inlineStr">
        <is>
          <t>BERMAT</t>
        </is>
      </c>
      <c r="K59" s="187" t="n">
        <v>46139</v>
      </c>
      <c r="L59" t="inlineStr">
        <is>
          <t>CAPELO</t>
        </is>
      </c>
      <c r="M59" t="inlineStr">
        <is>
          <t>SAP</t>
        </is>
      </c>
      <c r="N59" t="inlineStr">
        <is>
          <t>SAP</t>
        </is>
      </c>
      <c r="O59" t="inlineStr">
        <is>
          <t>EK247F00085</t>
        </is>
      </c>
      <c r="P59" t="n">
        <v>15</v>
      </c>
      <c r="Q59" s="187" t="n">
        <v>46138</v>
      </c>
      <c r="R59" t="inlineStr">
        <is>
          <t>vidal.dp@gmail.com</t>
        </is>
      </c>
      <c r="S59" t="n">
        <v>802584607001</v>
      </c>
      <c r="T59" t="inlineStr">
        <is>
          <t>TRABAJO REALIZADO SIN NOVEDAD</t>
        </is>
      </c>
    </row>
    <row r="60" ht="19" customFormat="1" customHeight="1" s="102">
      <c r="B60" s="187" t="n">
        <v>46132</v>
      </c>
      <c r="C60" t="inlineStr">
        <is>
          <t>PATRICIO QUITUISCA</t>
        </is>
      </c>
      <c r="D60" t="inlineStr">
        <is>
          <t>CDLA INGENIEROS ARAUCANA 220 Y TELEMACO</t>
        </is>
      </c>
      <c r="E60" t="inlineStr">
        <is>
          <t>‪+593 98 436 4898‬</t>
        </is>
      </c>
      <c r="F60" t="inlineStr">
        <is>
          <t>INSTALACION PROMOCION</t>
        </is>
      </c>
      <c r="G60" t="n">
        <v>112580058</v>
      </c>
      <c r="H60">
        <f>VLOOKUP(E48,PROD,2,FALSE)</f>
        <v/>
      </c>
      <c r="I60" t="inlineStr">
        <is>
          <t>VISITADO INSTALADO</t>
        </is>
      </c>
      <c r="J60" t="inlineStr">
        <is>
          <t>COMERCIAL KYWI</t>
        </is>
      </c>
      <c r="K60" s="187" t="n">
        <v>46139</v>
      </c>
      <c r="L60" t="inlineStr">
        <is>
          <t>CAPELO</t>
        </is>
      </c>
      <c r="M60" t="inlineStr">
        <is>
          <t>SAP</t>
        </is>
      </c>
      <c r="N60" t="inlineStr">
        <is>
          <t>SAP</t>
        </is>
      </c>
      <c r="O60" t="inlineStr">
        <is>
          <t>ZP259500147</t>
        </is>
      </c>
      <c r="P60" t="n">
        <v>20</v>
      </c>
      <c r="Q60" s="187" t="n">
        <v>46138</v>
      </c>
      <c r="R60" t="inlineStr">
        <is>
          <t>patricioq@yahoo.es</t>
        </is>
      </c>
      <c r="S60" t="n">
        <v>103307054</v>
      </c>
      <c r="T60" t="inlineStr">
        <is>
          <t>TRABAJO REALIZADO SIN NOVEDAD</t>
        </is>
      </c>
    </row>
    <row r="61" ht="19" customFormat="1" customHeight="1" s="102">
      <c r="B61" s="187" t="n">
        <v>46132</v>
      </c>
      <c r="C61" t="inlineStr">
        <is>
          <t>PATRICIO QUITUISCA</t>
        </is>
      </c>
      <c r="D61" t="inlineStr">
        <is>
          <t>CDLA INGENIEROS ARAUCANA 220 Y TELEMACO</t>
        </is>
      </c>
      <c r="E61" t="inlineStr">
        <is>
          <t>‪+593 98 436 4898‬</t>
        </is>
      </c>
      <c r="F61" t="inlineStr">
        <is>
          <t>INSTALACION PROMOCION</t>
        </is>
      </c>
      <c r="G61" t="n">
        <v>113120010</v>
      </c>
      <c r="H61">
        <f>VLOOKUP(E49,PROD,2,FALSE)</f>
        <v/>
      </c>
      <c r="I61" t="inlineStr">
        <is>
          <t>VISITADO INSTALADO</t>
        </is>
      </c>
      <c r="J61" t="inlineStr">
        <is>
          <t>COMERCIAL KYWI</t>
        </is>
      </c>
      <c r="K61" s="187" t="n">
        <v>46139</v>
      </c>
      <c r="L61" t="inlineStr">
        <is>
          <t>CAPELO</t>
        </is>
      </c>
      <c r="M61" t="inlineStr">
        <is>
          <t>SAP</t>
        </is>
      </c>
      <c r="N61" t="inlineStr">
        <is>
          <t>SAP</t>
        </is>
      </c>
      <c r="O61" t="inlineStr">
        <is>
          <t>TP254105529</t>
        </is>
      </c>
      <c r="P61" t="n">
        <v>20</v>
      </c>
      <c r="Q61" s="187" t="n">
        <v>46138</v>
      </c>
      <c r="R61" t="inlineStr">
        <is>
          <t>patricioq@yahoo.es</t>
        </is>
      </c>
      <c r="S61" t="n">
        <v>103307054</v>
      </c>
      <c r="T61" t="inlineStr">
        <is>
          <t>TRABAJO REALIZADO SIN NOVEDAD</t>
        </is>
      </c>
    </row>
    <row r="62" ht="19" customFormat="1" customHeight="1" s="102">
      <c r="B62" s="187" t="n">
        <v>46130</v>
      </c>
      <c r="C62" t="inlineStr">
        <is>
          <t>GABRIELA GOMEZ</t>
        </is>
      </c>
      <c r="D62" t="inlineStr">
        <is>
          <t>SECTOR CIRCO SOCIAL</t>
        </is>
      </c>
      <c r="E62" t="inlineStr">
        <is>
          <t>+593 98 732 6532</t>
        </is>
      </c>
      <c r="F62" t="inlineStr">
        <is>
          <t>BBQ</t>
        </is>
      </c>
      <c r="G62" t="n">
        <v>111570002</v>
      </c>
      <c r="H62">
        <f>VLOOKUP(E7,PROD,2,FALSE)</f>
        <v/>
      </c>
      <c r="I62" t="inlineStr">
        <is>
          <t>VISITADO INSTALADO</t>
        </is>
      </c>
      <c r="J62" t="inlineStr">
        <is>
          <t>COMERCIAL SOLIS</t>
        </is>
      </c>
      <c r="K62" s="187" t="n">
        <v>46139</v>
      </c>
      <c r="L62" t="inlineStr">
        <is>
          <t>CAPELO</t>
        </is>
      </c>
      <c r="M62" t="inlineStr">
        <is>
          <t>SAP</t>
        </is>
      </c>
      <c r="N62" t="inlineStr">
        <is>
          <t>SAP</t>
        </is>
      </c>
      <c r="O62" t="inlineStr">
        <is>
          <t>CO256E00599</t>
        </is>
      </c>
      <c r="P62" t="n">
        <v>29</v>
      </c>
      <c r="Q62" s="187" t="n">
        <v>46138</v>
      </c>
      <c r="R62" t="inlineStr">
        <is>
          <t>gabigu-87@hotmail.com</t>
        </is>
      </c>
      <c r="S62" t="n">
        <v>103920872</v>
      </c>
      <c r="T62" t="inlineStr">
        <is>
          <t>TRABAJO REALIZADO SIN NOVEDAD</t>
        </is>
      </c>
    </row>
    <row r="63" ht="19" customFormat="1" customHeight="1" s="102">
      <c r="B63" s="187" t="n">
        <v>46137</v>
      </c>
      <c r="C63" t="inlineStr">
        <is>
          <t>RAQUEL HEREDIA</t>
        </is>
      </c>
      <c r="D63" t="inlineStr">
        <is>
          <t>EL CEBOLLAR</t>
        </is>
      </c>
      <c r="E63" t="inlineStr">
        <is>
          <t>‪+593 98 413 3103‬</t>
        </is>
      </c>
      <c r="F63" t="inlineStr">
        <is>
          <t>INSTALACION UN PRODUCTO</t>
        </is>
      </c>
      <c r="G63" t="n">
        <v>40466241</v>
      </c>
      <c r="H63">
        <f>VLOOKUP(E13,PROD,2,FALSE)</f>
        <v/>
      </c>
      <c r="I63" t="inlineStr">
        <is>
          <t>VISITADO INSTALADO</t>
        </is>
      </c>
      <c r="J63" t="inlineStr">
        <is>
          <t>COMERCIAL SOLIS</t>
        </is>
      </c>
      <c r="K63" s="187" t="n">
        <v>46139</v>
      </c>
      <c r="L63" t="inlineStr">
        <is>
          <t>CAPELO</t>
        </is>
      </c>
      <c r="M63" t="inlineStr">
        <is>
          <t>SAP</t>
        </is>
      </c>
      <c r="N63" t="inlineStr">
        <is>
          <t>SAP</t>
        </is>
      </c>
      <c r="O63" t="inlineStr">
        <is>
          <t>TP259C07650</t>
        </is>
      </c>
      <c r="P63" t="n">
        <v>15</v>
      </c>
      <c r="Q63" s="187" t="n">
        <v>46138</v>
      </c>
      <c r="R63" t="inlineStr">
        <is>
          <t>raquel.heredia_g@yahoo.com</t>
        </is>
      </c>
      <c r="S63" t="n">
        <v>300332715</v>
      </c>
      <c r="T63" t="inlineStr">
        <is>
          <t>TRABAJO REALIZADO SIN NOVEDAD</t>
        </is>
      </c>
    </row>
    <row r="64" ht="19" customFormat="1" customHeight="1" s="102">
      <c r="B64" s="187" t="n">
        <v>45998</v>
      </c>
      <c r="C64" t="inlineStr">
        <is>
          <t>YOLANDA ANDRADE</t>
        </is>
      </c>
      <c r="D64" t="inlineStr">
        <is>
          <t>SECTOR DE 10 AGOSTO Y MIGUEL MORENO</t>
        </is>
      </c>
      <c r="E64" t="inlineStr">
        <is>
          <t>+593 99 798 1839</t>
        </is>
      </c>
      <c r="F64" t="inlineStr">
        <is>
          <t>INSTALACION PROMOCION</t>
        </is>
      </c>
      <c r="G64" t="n">
        <v>41560151</v>
      </c>
      <c r="H64">
        <f>VLOOKUP(E50,PROD,2,FALSE)</f>
        <v/>
      </c>
      <c r="I64" t="inlineStr">
        <is>
          <t>VISITADO INSTALADO</t>
        </is>
      </c>
      <c r="J64" t="inlineStr">
        <is>
          <t>COMO HOGAR</t>
        </is>
      </c>
      <c r="K64" s="187" t="n">
        <v>46140</v>
      </c>
      <c r="L64" t="inlineStr">
        <is>
          <t>CAPELO</t>
        </is>
      </c>
      <c r="M64" t="inlineStr">
        <is>
          <t>SAP</t>
        </is>
      </c>
      <c r="N64" t="inlineStr">
        <is>
          <t>SAP</t>
        </is>
      </c>
      <c r="O64" t="inlineStr">
        <is>
          <t>TZ236E16507</t>
        </is>
      </c>
      <c r="P64" t="n">
        <v>20</v>
      </c>
      <c r="Q64" s="187" t="n">
        <v>46139</v>
      </c>
      <c r="R64" t="inlineStr">
        <is>
          <t>andradetl2yahoo.com</t>
        </is>
      </c>
      <c r="S64" t="n">
        <v>100816529</v>
      </c>
      <c r="T64" t="inlineStr">
        <is>
          <t>TRABAJO REALIZADO SIN NOVEDAD</t>
        </is>
      </c>
    </row>
    <row r="65" ht="19" customFormat="1" customHeight="1" s="102">
      <c r="B65" s="187" t="n">
        <v>45998</v>
      </c>
      <c r="C65" t="inlineStr">
        <is>
          <t>YOLANDA ANDRADE</t>
        </is>
      </c>
      <c r="D65" t="inlineStr">
        <is>
          <t>SECTOR DE 10 AGOSTO Y MIGUEL MORENO</t>
        </is>
      </c>
      <c r="E65" t="inlineStr">
        <is>
          <t>+593 99 798 1839</t>
        </is>
      </c>
      <c r="F65" t="inlineStr">
        <is>
          <t>INSTALACION PROMOCION</t>
        </is>
      </c>
      <c r="G65" t="n">
        <v>40584012</v>
      </c>
      <c r="H65">
        <f>VLOOKUP(E51,PROD,2,FALSE)</f>
        <v/>
      </c>
      <c r="I65" t="inlineStr">
        <is>
          <t>VISITADO INSTALADO</t>
        </is>
      </c>
      <c r="J65" t="inlineStr">
        <is>
          <t>COMO HOGAR</t>
        </is>
      </c>
      <c r="K65" s="187" t="n">
        <v>46140</v>
      </c>
      <c r="L65" t="inlineStr">
        <is>
          <t>CAPELO</t>
        </is>
      </c>
      <c r="M65" t="inlineStr">
        <is>
          <t>SAP</t>
        </is>
      </c>
      <c r="N65" t="inlineStr">
        <is>
          <t>SAP</t>
        </is>
      </c>
      <c r="O65" t="inlineStr">
        <is>
          <t>TP256406360</t>
        </is>
      </c>
      <c r="P65" t="n">
        <v>20</v>
      </c>
      <c r="Q65" s="187" t="n">
        <v>46139</v>
      </c>
      <c r="R65" t="inlineStr">
        <is>
          <t>andradetl2yahoo.com</t>
        </is>
      </c>
      <c r="S65" t="n">
        <v>100816529</v>
      </c>
      <c r="T65" t="inlineStr">
        <is>
          <t>TRABAJO REALIZADO SIN NOVEDAD</t>
        </is>
      </c>
    </row>
    <row r="66" ht="19" customFormat="1" customHeight="1" s="102">
      <c r="B66" s="187" t="n">
        <v>46112</v>
      </c>
      <c r="C66" t="inlineStr">
        <is>
          <t>STEFANO LANDAZURI</t>
        </is>
      </c>
      <c r="D66" t="inlineStr">
        <is>
          <t>EDIFICIO OTERO</t>
        </is>
      </c>
      <c r="E66" t="inlineStr">
        <is>
          <t>+593 98 708 4118</t>
        </is>
      </c>
      <c r="F66" t="inlineStr">
        <is>
          <t>INSTALACION PROMOCION</t>
        </is>
      </c>
      <c r="G66" t="n">
        <v>112520024</v>
      </c>
      <c r="H66">
        <f>VLOOKUP(E52,PROD,2,FALSE)</f>
        <v/>
      </c>
      <c r="I66" t="inlineStr">
        <is>
          <t>VISITADO INSTALADO</t>
        </is>
      </c>
      <c r="J66" t="inlineStr">
        <is>
          <t>COMO HOGAR</t>
        </is>
      </c>
      <c r="K66" s="187" t="n">
        <v>46140</v>
      </c>
      <c r="L66" t="inlineStr">
        <is>
          <t>CAPELO</t>
        </is>
      </c>
      <c r="M66" t="inlineStr">
        <is>
          <t>SAP</t>
        </is>
      </c>
      <c r="N66" t="inlineStr">
        <is>
          <t>SAP</t>
        </is>
      </c>
      <c r="O66" t="inlineStr">
        <is>
          <t>ZP251E00320</t>
        </is>
      </c>
      <c r="P66" t="n">
        <v>15</v>
      </c>
      <c r="Q66" s="187" t="n">
        <v>46139</v>
      </c>
      <c r="R66" t="inlineStr">
        <is>
          <t>stefano-lb2011@hotmail.com</t>
        </is>
      </c>
      <c r="S66" t="n">
        <v>1721233433</v>
      </c>
      <c r="T66" t="inlineStr">
        <is>
          <t>TRABAJO REALIZADO SIN NOVEDAD</t>
        </is>
      </c>
    </row>
    <row r="67" ht="19" customFormat="1" customHeight="1" s="102">
      <c r="B67" s="187" t="n">
        <v>46112</v>
      </c>
      <c r="C67" t="inlineStr">
        <is>
          <t>STEFANO LANDAZURI</t>
        </is>
      </c>
      <c r="D67" t="inlineStr">
        <is>
          <t>EDIFICIO OTERO</t>
        </is>
      </c>
      <c r="E67" t="inlineStr">
        <is>
          <t>+593 98 708 4118</t>
        </is>
      </c>
      <c r="F67" t="inlineStr">
        <is>
          <t>INSTALACION PROMOCION</t>
        </is>
      </c>
      <c r="G67" t="n">
        <v>112060006</v>
      </c>
      <c r="H67" t="inlineStr">
        <is>
          <t>ML 8210</t>
        </is>
      </c>
      <c r="I67" t="inlineStr">
        <is>
          <t>VISITADO INSTALADO</t>
        </is>
      </c>
      <c r="J67" t="inlineStr">
        <is>
          <t>COMO HOGAR</t>
        </is>
      </c>
      <c r="K67" s="187" t="n">
        <v>46140</v>
      </c>
      <c r="L67" t="inlineStr">
        <is>
          <t>CAPELO</t>
        </is>
      </c>
      <c r="M67" t="inlineStr">
        <is>
          <t>SAP</t>
        </is>
      </c>
      <c r="N67" t="inlineStr">
        <is>
          <t>SAP</t>
        </is>
      </c>
      <c r="O67" t="inlineStr">
        <is>
          <t>TP259801887</t>
        </is>
      </c>
      <c r="P67" t="n">
        <v>15</v>
      </c>
      <c r="Q67" s="187" t="n">
        <v>46139</v>
      </c>
      <c r="R67" t="inlineStr">
        <is>
          <t>stefano-lb2011@hotmail.com</t>
        </is>
      </c>
      <c r="S67" t="n">
        <v>1721233433</v>
      </c>
      <c r="T67" t="inlineStr">
        <is>
          <t>TRABAJO REALIZADO SIN NOVEDAD</t>
        </is>
      </c>
    </row>
    <row r="68" ht="19" customFormat="1" customHeight="1" s="102">
      <c r="B68" s="187" t="n">
        <v>46112</v>
      </c>
      <c r="C68" t="inlineStr">
        <is>
          <t>STEFANO LANDAZURI</t>
        </is>
      </c>
      <c r="D68" t="inlineStr">
        <is>
          <t>EDIFICIO OTERO</t>
        </is>
      </c>
      <c r="E68" t="inlineStr">
        <is>
          <t>+593 98 708 4118</t>
        </is>
      </c>
      <c r="F68" t="inlineStr">
        <is>
          <t>INSTALACION PROMOCION</t>
        </is>
      </c>
      <c r="G68" t="n">
        <v>40446712</v>
      </c>
      <c r="H68">
        <f>VLOOKUP(E54,PROD,2,FALSE)</f>
        <v/>
      </c>
      <c r="I68" t="inlineStr">
        <is>
          <t>VISITADO INSTALADO</t>
        </is>
      </c>
      <c r="J68" t="inlineStr">
        <is>
          <t>COMO HOGAR</t>
        </is>
      </c>
      <c r="K68" s="187" t="n">
        <v>46140</v>
      </c>
      <c r="L68" t="inlineStr">
        <is>
          <t>CAPELO</t>
        </is>
      </c>
      <c r="M68" t="inlineStr">
        <is>
          <t>SAP</t>
        </is>
      </c>
      <c r="N68" t="inlineStr">
        <is>
          <t>SAP</t>
        </is>
      </c>
      <c r="O68" t="inlineStr">
        <is>
          <t>TP25A701812</t>
        </is>
      </c>
      <c r="P68" t="n">
        <v>15</v>
      </c>
      <c r="Q68" s="187" t="n">
        <v>46139</v>
      </c>
      <c r="R68" t="inlineStr">
        <is>
          <t>stefano-lb2011@hotmail.com</t>
        </is>
      </c>
      <c r="S68" t="n">
        <v>1721233433</v>
      </c>
      <c r="T68" t="inlineStr">
        <is>
          <t>TRABAJO REALIZADO SIN NOVEDAD</t>
        </is>
      </c>
    </row>
    <row r="69" ht="19" customFormat="1" customHeight="1" s="102">
      <c r="B69" s="187" t="n">
        <v>46112</v>
      </c>
      <c r="C69" t="inlineStr">
        <is>
          <t>STEFANO LANDAZURI</t>
        </is>
      </c>
      <c r="D69" t="inlineStr">
        <is>
          <t>EDIFICIO OTERO</t>
        </is>
      </c>
      <c r="E69" t="inlineStr">
        <is>
          <t>+593 98 708 4118</t>
        </is>
      </c>
      <c r="F69" t="inlineStr">
        <is>
          <t>INSTALACION PROMOCION</t>
        </is>
      </c>
      <c r="G69" t="n">
        <v>111010095</v>
      </c>
      <c r="H69">
        <f>VLOOKUP(E55,PROD,2,FALSE)</f>
        <v/>
      </c>
      <c r="I69" t="inlineStr">
        <is>
          <t>VISITADO INSTALADO</t>
        </is>
      </c>
      <c r="J69" t="inlineStr">
        <is>
          <t>COMO HOGAR</t>
        </is>
      </c>
      <c r="K69" s="187" t="n">
        <v>46140</v>
      </c>
      <c r="L69" t="inlineStr">
        <is>
          <t>CAPELO</t>
        </is>
      </c>
      <c r="M69" t="inlineStr">
        <is>
          <t>SAP</t>
        </is>
      </c>
      <c r="N69" t="inlineStr">
        <is>
          <t>SAP</t>
        </is>
      </c>
      <c r="O69" t="inlineStr">
        <is>
          <t>TZ251E00320</t>
        </is>
      </c>
      <c r="P69" t="n">
        <v>15</v>
      </c>
      <c r="Q69" s="187" t="n">
        <v>46139</v>
      </c>
      <c r="R69" t="inlineStr">
        <is>
          <t>stefano-lb2011@hotmail.com</t>
        </is>
      </c>
      <c r="S69" t="n">
        <v>1721233433</v>
      </c>
      <c r="T69" t="inlineStr">
        <is>
          <t>TRABAJO REALIZADO SIN NOVEDAD</t>
        </is>
      </c>
    </row>
    <row r="70" ht="19" customFormat="1" customHeight="1" s="102">
      <c r="B70" s="187" t="n">
        <v>46132</v>
      </c>
      <c r="C70" t="inlineStr">
        <is>
          <t>ANDREA MORENO</t>
        </is>
      </c>
      <c r="D70" t="inlineStr">
        <is>
          <t>EL CEBOLLAR</t>
        </is>
      </c>
      <c r="E70" t="inlineStr">
        <is>
          <t>+593 98 540 1303</t>
        </is>
      </c>
      <c r="F70" t="inlineStr">
        <is>
          <t>INSTALACION PROMOCION</t>
        </is>
      </c>
      <c r="G70" t="n">
        <v>112580017</v>
      </c>
      <c r="H70">
        <f>VLOOKUP(E56,PROD,2,FALSE)</f>
        <v/>
      </c>
      <c r="I70" t="inlineStr">
        <is>
          <t>VISITADO INSTALADO</t>
        </is>
      </c>
      <c r="J70" t="inlineStr">
        <is>
          <t>COMERCIAL SOLIS</t>
        </is>
      </c>
      <c r="K70" s="187" t="n">
        <v>46141</v>
      </c>
      <c r="L70" t="inlineStr">
        <is>
          <t>CAPELO</t>
        </is>
      </c>
      <c r="M70" t="inlineStr">
        <is>
          <t>SAP</t>
        </is>
      </c>
      <c r="N70" t="inlineStr">
        <is>
          <t>SAP</t>
        </is>
      </c>
      <c r="O70" t="inlineStr">
        <is>
          <t>ZP259K00326</t>
        </is>
      </c>
      <c r="P70" t="n">
        <v>15</v>
      </c>
      <c r="Q70" s="187" t="n">
        <v>46140</v>
      </c>
      <c r="R70" t="inlineStr">
        <is>
          <t>andreitamp89@gmail.com</t>
        </is>
      </c>
      <c r="S70" t="n">
        <v>705301273</v>
      </c>
      <c r="T70" t="inlineStr">
        <is>
          <t>TRABAJO REALIZADO SIN NOVEDAD</t>
        </is>
      </c>
    </row>
    <row r="71" ht="19" customFormat="1" customHeight="1" s="102">
      <c r="B71" s="187" t="n">
        <v>46132</v>
      </c>
      <c r="C71" t="inlineStr">
        <is>
          <t>ANDREA MORENO</t>
        </is>
      </c>
      <c r="D71" t="inlineStr">
        <is>
          <t>EL CEBOLLAR</t>
        </is>
      </c>
      <c r="E71" t="inlineStr">
        <is>
          <t>+593 98 540 1303</t>
        </is>
      </c>
      <c r="F71" t="inlineStr">
        <is>
          <t>INSTALACION PROMOCION</t>
        </is>
      </c>
      <c r="G71" t="n">
        <v>40461507</v>
      </c>
      <c r="H71">
        <f>VLOOKUP(E57,PROD,2,FALSE)</f>
        <v/>
      </c>
      <c r="I71" t="inlineStr">
        <is>
          <t>VISITADO INSTALADO</t>
        </is>
      </c>
      <c r="J71" t="inlineStr">
        <is>
          <t>COMERCIAL SOLIS</t>
        </is>
      </c>
      <c r="K71" s="187" t="n">
        <v>46141</v>
      </c>
      <c r="L71" t="inlineStr">
        <is>
          <t>CAPELO</t>
        </is>
      </c>
      <c r="M71" t="inlineStr">
        <is>
          <t>SAP</t>
        </is>
      </c>
      <c r="N71" t="inlineStr">
        <is>
          <t>SAP</t>
        </is>
      </c>
      <c r="O71" t="inlineStr">
        <is>
          <t>TP257M00654</t>
        </is>
      </c>
      <c r="P71" t="n">
        <v>15</v>
      </c>
      <c r="Q71" s="187" t="n">
        <v>46140</v>
      </c>
      <c r="R71" t="inlineStr">
        <is>
          <t>andreitamp89@gmail.com</t>
        </is>
      </c>
      <c r="S71" t="n">
        <v>705301273</v>
      </c>
      <c r="T71" t="inlineStr">
        <is>
          <t>TRABAJO REALIZADO SIN NOVEDAD</t>
        </is>
      </c>
    </row>
    <row r="72" ht="19" customFormat="1" customHeight="1" s="102">
      <c r="B72" s="187" t="n">
        <v>45818</v>
      </c>
      <c r="C72" t="inlineStr">
        <is>
          <t>SAIDA ENCALADA/PAOLA PACHECO</t>
        </is>
      </c>
      <c r="D72" t="inlineStr">
        <is>
          <t>CHALLUABAMBA</t>
        </is>
      </c>
      <c r="E72" t="inlineStr">
        <is>
          <t>+593 98 722 7353</t>
        </is>
      </c>
      <c r="F72" t="inlineStr">
        <is>
          <t>INSTALACION PROMOCION</t>
        </is>
      </c>
      <c r="G72" t="n">
        <v>112520025</v>
      </c>
      <c r="H72">
        <f>VLOOKUP(E58,PROD,2,FALSE)</f>
        <v/>
      </c>
      <c r="I72" t="inlineStr">
        <is>
          <t>VISITADO INSTALADO</t>
        </is>
      </c>
      <c r="J72" t="inlineStr">
        <is>
          <t>COMERCIAL SOLIS</t>
        </is>
      </c>
      <c r="K72" s="187" t="n">
        <v>46141</v>
      </c>
      <c r="L72" t="inlineStr">
        <is>
          <t>CAPELO</t>
        </is>
      </c>
      <c r="M72" t="inlineStr">
        <is>
          <t>SAP</t>
        </is>
      </c>
      <c r="N72" t="inlineStr">
        <is>
          <t>SAP</t>
        </is>
      </c>
      <c r="O72" t="inlineStr">
        <is>
          <t>ZP243000569</t>
        </is>
      </c>
      <c r="P72" t="n">
        <v>15</v>
      </c>
      <c r="Q72" s="187" t="n">
        <v>46140</v>
      </c>
      <c r="R72" t="inlineStr">
        <is>
          <t>saidamev1956@gmail.com</t>
        </is>
      </c>
      <c r="S72" t="n">
        <v>300528866</v>
      </c>
      <c r="T72" t="inlineStr">
        <is>
          <t>TRABAJO REALIZADO SIN NOVEDAD</t>
        </is>
      </c>
    </row>
    <row r="73" ht="19" customFormat="1" customHeight="1" s="102">
      <c r="B73" s="187" t="n">
        <v>45818</v>
      </c>
      <c r="C73" t="inlineStr">
        <is>
          <t>SAIDA ENCALADA/PAOLA PACHECO</t>
        </is>
      </c>
      <c r="D73" t="inlineStr">
        <is>
          <t>CHALLUABAMBA</t>
        </is>
      </c>
      <c r="E73" t="inlineStr">
        <is>
          <t>+593 98 722 7353</t>
        </is>
      </c>
      <c r="F73" t="inlineStr">
        <is>
          <t>INSTALACION PROMOCION</t>
        </is>
      </c>
      <c r="G73" t="n">
        <v>112570016</v>
      </c>
      <c r="H73">
        <f>VLOOKUP(E59,PROD,2,FALSE)</f>
        <v/>
      </c>
      <c r="I73" t="inlineStr">
        <is>
          <t>VISITADO INSTALADO</t>
        </is>
      </c>
      <c r="J73" t="inlineStr">
        <is>
          <t>COMERCIAL SOLIS</t>
        </is>
      </c>
      <c r="K73" s="187" t="n">
        <v>46141</v>
      </c>
      <c r="L73" t="inlineStr">
        <is>
          <t>CAPELO</t>
        </is>
      </c>
      <c r="M73" t="inlineStr">
        <is>
          <t>SAP</t>
        </is>
      </c>
      <c r="N73" t="inlineStr">
        <is>
          <t>SAP</t>
        </is>
      </c>
      <c r="O73" t="inlineStr">
        <is>
          <t>ZP236C00041</t>
        </is>
      </c>
      <c r="P73" t="n">
        <v>15</v>
      </c>
      <c r="Q73" s="187" t="n">
        <v>46140</v>
      </c>
      <c r="R73" t="inlineStr">
        <is>
          <t>saidamev1956@gmail.com</t>
        </is>
      </c>
      <c r="S73" t="n">
        <v>300528866</v>
      </c>
      <c r="T73" t="inlineStr">
        <is>
          <t>TRABAJO REALIZADO SIN NOVEDAD</t>
        </is>
      </c>
    </row>
    <row r="74" ht="19" customFormat="1" customHeight="1" s="102">
      <c r="B74" s="187" t="n">
        <v>45818</v>
      </c>
      <c r="C74" t="inlineStr">
        <is>
          <t>SAIDA ENCALADA/PAOLA PACHECO</t>
        </is>
      </c>
      <c r="D74" t="inlineStr">
        <is>
          <t>CHALLUABAMBA</t>
        </is>
      </c>
      <c r="E74" t="inlineStr">
        <is>
          <t>+593 98 722 7353</t>
        </is>
      </c>
      <c r="F74" t="inlineStr">
        <is>
          <t>INSTALACION PROMOCION</t>
        </is>
      </c>
      <c r="G74" t="n">
        <v>112030019</v>
      </c>
      <c r="H74">
        <f>VLOOKUP(E60,PROD,2,FALSE)</f>
        <v/>
      </c>
      <c r="I74" t="inlineStr">
        <is>
          <t>VISITADO INSTALADO</t>
        </is>
      </c>
      <c r="J74" t="inlineStr">
        <is>
          <t>COMERCIAL SOLIS</t>
        </is>
      </c>
      <c r="K74" s="187" t="n">
        <v>46141</v>
      </c>
      <c r="L74" t="inlineStr">
        <is>
          <t>CAPELO</t>
        </is>
      </c>
      <c r="M74" t="inlineStr">
        <is>
          <t>SAP</t>
        </is>
      </c>
      <c r="N74" t="inlineStr">
        <is>
          <t>SAP</t>
        </is>
      </c>
      <c r="O74" t="inlineStr">
        <is>
          <t>TP257G06534</t>
        </is>
      </c>
      <c r="P74" t="n">
        <v>15</v>
      </c>
      <c r="Q74" s="187" t="n">
        <v>46140</v>
      </c>
      <c r="R74" t="inlineStr">
        <is>
          <t>saidamev1956@gmail.com</t>
        </is>
      </c>
      <c r="S74" t="n">
        <v>300528866</v>
      </c>
      <c r="T74" t="inlineStr">
        <is>
          <t>TRABAJO REALIZADO SIN NOVEDAD</t>
        </is>
      </c>
    </row>
    <row r="75" ht="19" customFormat="1" customHeight="1" s="102">
      <c r="B75" s="187" t="n">
        <v>45818</v>
      </c>
      <c r="C75" t="inlineStr">
        <is>
          <t>SAIDA ENCALADA/PAOLA PACHECO</t>
        </is>
      </c>
      <c r="D75" t="inlineStr">
        <is>
          <t>CHALLUABAMBA</t>
        </is>
      </c>
      <c r="E75" t="inlineStr">
        <is>
          <t>+593 98 722 7353</t>
        </is>
      </c>
      <c r="F75" t="inlineStr">
        <is>
          <t>INSTALACION PROMOCION</t>
        </is>
      </c>
      <c r="G75" t="n">
        <v>111000078</v>
      </c>
      <c r="H75">
        <f>VLOOKUP(E61,PROD,2,FALSE)</f>
        <v/>
      </c>
      <c r="I75" t="inlineStr">
        <is>
          <t>VISITADO INSTALADO</t>
        </is>
      </c>
      <c r="J75" t="inlineStr">
        <is>
          <t>COMERCIAL SOLIS</t>
        </is>
      </c>
      <c r="K75" s="187" t="n">
        <v>46141</v>
      </c>
      <c r="L75" t="inlineStr">
        <is>
          <t>CAPELO</t>
        </is>
      </c>
      <c r="M75" t="inlineStr">
        <is>
          <t>SAP</t>
        </is>
      </c>
      <c r="N75" t="inlineStr">
        <is>
          <t>SAP</t>
        </is>
      </c>
      <c r="O75" t="inlineStr">
        <is>
          <t>TZ243U00569</t>
        </is>
      </c>
      <c r="P75" t="n">
        <v>15</v>
      </c>
      <c r="Q75" s="187" t="n">
        <v>46140</v>
      </c>
      <c r="R75" t="inlineStr">
        <is>
          <t>saidamev1956@gmail.com</t>
        </is>
      </c>
      <c r="S75" t="n">
        <v>300528866</v>
      </c>
      <c r="T75" t="inlineStr">
        <is>
          <t>TRABAJO REALIZADO SIN NOVEDAD</t>
        </is>
      </c>
    </row>
    <row r="76" ht="19" customFormat="1" customHeight="1" s="102">
      <c r="B76" s="187" t="n">
        <v>45818</v>
      </c>
      <c r="C76" t="inlineStr">
        <is>
          <t>SAIDA ENCALADA/PAOLA PACHECO</t>
        </is>
      </c>
      <c r="D76" t="inlineStr">
        <is>
          <t>CHALLUABAMBA</t>
        </is>
      </c>
      <c r="E76" t="inlineStr">
        <is>
          <t>+593 98 722 7353</t>
        </is>
      </c>
      <c r="F76" t="inlineStr">
        <is>
          <t>INSTALACION PROMOCION</t>
        </is>
      </c>
      <c r="G76" t="n">
        <v>113430051</v>
      </c>
      <c r="H76">
        <f>VLOOKUP(E62,PROD,2,FALSE)</f>
        <v/>
      </c>
      <c r="I76" t="inlineStr">
        <is>
          <t>VISITADO INSTALADO</t>
        </is>
      </c>
      <c r="J76" t="inlineStr">
        <is>
          <t>COMERCIAL SOLIS</t>
        </is>
      </c>
      <c r="K76" s="187" t="n">
        <v>46141</v>
      </c>
      <c r="L76" t="inlineStr">
        <is>
          <t>CAPELO</t>
        </is>
      </c>
      <c r="M76" t="inlineStr">
        <is>
          <t>SAP</t>
        </is>
      </c>
      <c r="N76" t="inlineStr">
        <is>
          <t>SAP</t>
        </is>
      </c>
      <c r="O76" t="inlineStr">
        <is>
          <t>TKAZC5B061001</t>
        </is>
      </c>
      <c r="P76" t="n">
        <v>15</v>
      </c>
      <c r="Q76" s="187" t="n">
        <v>46140</v>
      </c>
      <c r="R76" t="inlineStr">
        <is>
          <t>saidamev1956@gmail.com</t>
        </is>
      </c>
      <c r="S76" t="n">
        <v>300528866</v>
      </c>
      <c r="T76" t="inlineStr">
        <is>
          <t>TRABAJO REALIZADO SIN NOVEDAD</t>
        </is>
      </c>
    </row>
    <row r="77" ht="19" customFormat="1" customHeight="1" s="102">
      <c r="B77" s="187" t="n">
        <v>45818</v>
      </c>
      <c r="C77" t="inlineStr">
        <is>
          <t>SAIDA ENCALADA/PAOLA PACHECO</t>
        </is>
      </c>
      <c r="D77" t="inlineStr">
        <is>
          <t>CHALLUABAMBA</t>
        </is>
      </c>
      <c r="E77" t="inlineStr">
        <is>
          <t>+593 98 722 7353</t>
        </is>
      </c>
      <c r="F77" t="inlineStr">
        <is>
          <t>INSTALACION PROMOCION</t>
        </is>
      </c>
      <c r="G77" t="n">
        <v>112520025</v>
      </c>
      <c r="H77">
        <f>VLOOKUP(E63,PROD,2,FALSE)</f>
        <v/>
      </c>
      <c r="I77" t="inlineStr">
        <is>
          <t>VISITADO INSTALADO</t>
        </is>
      </c>
      <c r="J77" t="inlineStr">
        <is>
          <t>COMERCIAL SOLIS</t>
        </is>
      </c>
      <c r="K77" s="187" t="n">
        <v>46141</v>
      </c>
      <c r="L77" t="inlineStr">
        <is>
          <t>CAPELO</t>
        </is>
      </c>
      <c r="M77" t="inlineStr">
        <is>
          <t>SAP</t>
        </is>
      </c>
      <c r="N77" t="inlineStr">
        <is>
          <t>SAP</t>
        </is>
      </c>
      <c r="O77" t="inlineStr">
        <is>
          <t>ZP252H00752</t>
        </is>
      </c>
      <c r="P77" t="n">
        <v>15</v>
      </c>
      <c r="Q77" s="187" t="n">
        <v>46140</v>
      </c>
      <c r="R77" t="inlineStr">
        <is>
          <t>saidamev1956@gmail.com</t>
        </is>
      </c>
      <c r="S77" t="n">
        <v>300528866</v>
      </c>
      <c r="T77" t="inlineStr">
        <is>
          <t>TRABAJO REALIZADO SIN NOVEDAD</t>
        </is>
      </c>
    </row>
    <row r="78" ht="19" customFormat="1" customHeight="1" s="102">
      <c r="B78" s="187" t="n">
        <v>45818</v>
      </c>
      <c r="C78" t="inlineStr">
        <is>
          <t>SAIDA ENCALADA/PAOLA PACHECO</t>
        </is>
      </c>
      <c r="D78" t="inlineStr">
        <is>
          <t>CHALLUABAMBA</t>
        </is>
      </c>
      <c r="E78" t="inlineStr">
        <is>
          <t>+593 98 722 7353</t>
        </is>
      </c>
      <c r="F78" t="inlineStr">
        <is>
          <t>INSTALACION PROMOCION</t>
        </is>
      </c>
      <c r="G78" t="n">
        <v>112570016</v>
      </c>
      <c r="H78">
        <f>VLOOKUP(E64,PROD,2,FALSE)</f>
        <v/>
      </c>
      <c r="I78" t="inlineStr">
        <is>
          <t>VISITADO INSTALADO</t>
        </is>
      </c>
      <c r="J78" t="inlineStr">
        <is>
          <t>COMERCIAL SOLIS</t>
        </is>
      </c>
      <c r="K78" s="187" t="n">
        <v>46141</v>
      </c>
      <c r="L78" t="inlineStr">
        <is>
          <t>CAPELO</t>
        </is>
      </c>
      <c r="M78" t="inlineStr">
        <is>
          <t>SAP</t>
        </is>
      </c>
      <c r="N78" t="inlineStr">
        <is>
          <t>SAP</t>
        </is>
      </c>
      <c r="O78" t="inlineStr">
        <is>
          <t>ZP236C00040</t>
        </is>
      </c>
      <c r="P78" t="n">
        <v>15</v>
      </c>
      <c r="Q78" s="187" t="n">
        <v>46140</v>
      </c>
      <c r="R78" t="inlineStr">
        <is>
          <t>saidamev1956@gmail.com</t>
        </is>
      </c>
      <c r="S78" t="n">
        <v>300528866</v>
      </c>
      <c r="T78" t="inlineStr">
        <is>
          <t>TRABAJO REALIZADO SIN NOVEDAD</t>
        </is>
      </c>
    </row>
    <row r="79" ht="19" customFormat="1" customHeight="1" s="102">
      <c r="B79" s="187" t="n">
        <v>46133</v>
      </c>
      <c r="C79" t="inlineStr">
        <is>
          <t>GABRIELA LEON</t>
        </is>
      </c>
      <c r="D79" t="inlineStr">
        <is>
          <t>EDIFICIO OTERO 8 PISO 8C</t>
        </is>
      </c>
      <c r="E79" t="inlineStr">
        <is>
          <t>+593 99 332 7456</t>
        </is>
      </c>
      <c r="F79" t="inlineStr">
        <is>
          <t>INSTALACION PROMOCION</t>
        </is>
      </c>
      <c r="G79" t="n">
        <v>111000078</v>
      </c>
      <c r="H79">
        <f>VLOOKUP(E65,PROD,2,FALSE)</f>
        <v/>
      </c>
      <c r="I79" t="inlineStr">
        <is>
          <t>VISITADO INSTALADO</t>
        </is>
      </c>
      <c r="J79" t="inlineStr">
        <is>
          <t>COMO HOGAR</t>
        </is>
      </c>
      <c r="K79" s="187" t="n">
        <v>46141</v>
      </c>
      <c r="L79" t="inlineStr">
        <is>
          <t>CAPELO</t>
        </is>
      </c>
      <c r="M79" t="inlineStr">
        <is>
          <t>SAP</t>
        </is>
      </c>
      <c r="N79" t="inlineStr">
        <is>
          <t>SAP</t>
        </is>
      </c>
      <c r="O79" t="inlineStr">
        <is>
          <t>TZ256J19901</t>
        </is>
      </c>
      <c r="P79" t="n">
        <v>15</v>
      </c>
      <c r="Q79" s="187" t="n">
        <v>46140</v>
      </c>
      <c r="R79" t="inlineStr">
        <is>
          <t>ac_estudio@outlook.es</t>
        </is>
      </c>
      <c r="S79" t="n">
        <v>104534391001</v>
      </c>
      <c r="T79" t="inlineStr">
        <is>
          <t>TRABAJO REALIZADO SIN NOVEDAD</t>
        </is>
      </c>
    </row>
    <row r="80" ht="19" customFormat="1" customHeight="1" s="102">
      <c r="B80" s="187" t="n">
        <v>46133</v>
      </c>
      <c r="C80" t="inlineStr">
        <is>
          <t>GABRIELA LEON</t>
        </is>
      </c>
      <c r="D80" t="inlineStr">
        <is>
          <t>EDIFICIO OTERO 8 PISO 8C</t>
        </is>
      </c>
      <c r="E80" t="inlineStr">
        <is>
          <t>+593 99 332 7456</t>
        </is>
      </c>
      <c r="F80" t="inlineStr">
        <is>
          <t>INSTALACION PROMOCION</t>
        </is>
      </c>
      <c r="G80" t="n">
        <v>40584012</v>
      </c>
      <c r="H80">
        <f>VLOOKUP(E66,PROD,2,FALSE)</f>
        <v/>
      </c>
      <c r="I80" t="inlineStr">
        <is>
          <t>VISITADO INSTALADO</t>
        </is>
      </c>
      <c r="J80" t="inlineStr">
        <is>
          <t>COMO HOGAR</t>
        </is>
      </c>
      <c r="K80" s="187" t="n">
        <v>46141</v>
      </c>
      <c r="L80" t="inlineStr">
        <is>
          <t>CAPELO</t>
        </is>
      </c>
      <c r="M80" t="inlineStr">
        <is>
          <t>SAP</t>
        </is>
      </c>
      <c r="N80" t="inlineStr">
        <is>
          <t>SAP</t>
        </is>
      </c>
      <c r="O80" t="inlineStr">
        <is>
          <t>TP256406359</t>
        </is>
      </c>
      <c r="P80" t="n">
        <v>15</v>
      </c>
      <c r="Q80" s="187" t="n">
        <v>46140</v>
      </c>
      <c r="R80" t="inlineStr">
        <is>
          <t>ac_estudio@outlook.es</t>
        </is>
      </c>
      <c r="S80" t="n">
        <v>104534391001</v>
      </c>
      <c r="T80" t="inlineStr">
        <is>
          <t>TRABAJO REALIZADO SIN NOVEDAD</t>
        </is>
      </c>
    </row>
    <row r="81" ht="19" customFormat="1" customHeight="1" s="102">
      <c r="B81" s="187" t="n">
        <v>46133</v>
      </c>
      <c r="C81" t="inlineStr">
        <is>
          <t>GABRIELA LEON</t>
        </is>
      </c>
      <c r="D81" t="inlineStr">
        <is>
          <t>EDIFICIO OTERO 8 PISO 8C</t>
        </is>
      </c>
      <c r="E81" t="inlineStr">
        <is>
          <t>+593 99 332 7456</t>
        </is>
      </c>
      <c r="F81" t="inlineStr">
        <is>
          <t>INSTALACION PROMOCION</t>
        </is>
      </c>
      <c r="G81" t="n">
        <v>112580027</v>
      </c>
      <c r="H81">
        <f>VLOOKUP(E67,PROD,2,FALSE)</f>
        <v/>
      </c>
      <c r="I81" t="inlineStr">
        <is>
          <t>VISITADO INSTALADO</t>
        </is>
      </c>
      <c r="J81" t="inlineStr">
        <is>
          <t>COMO HOGAR</t>
        </is>
      </c>
      <c r="K81" s="187" t="n">
        <v>46141</v>
      </c>
      <c r="L81" t="inlineStr">
        <is>
          <t>CAPELO</t>
        </is>
      </c>
      <c r="M81" t="inlineStr">
        <is>
          <t>SAP</t>
        </is>
      </c>
      <c r="N81" t="inlineStr">
        <is>
          <t>SAP</t>
        </is>
      </c>
      <c r="O81" t="inlineStr">
        <is>
          <t>ZP2477500418</t>
        </is>
      </c>
      <c r="P81" t="n">
        <v>15</v>
      </c>
      <c r="Q81" s="187" t="n">
        <v>46140</v>
      </c>
      <c r="R81" t="inlineStr">
        <is>
          <t>ac_estudio@outlook.es</t>
        </is>
      </c>
      <c r="S81" t="n">
        <v>104534391001</v>
      </c>
      <c r="T81" t="inlineStr">
        <is>
          <t>TRABAJO REALIZADO SIN NOVEDAD</t>
        </is>
      </c>
    </row>
    <row r="82" ht="19" customFormat="1" customHeight="1" s="102">
      <c r="B82" s="187" t="n">
        <v>45943</v>
      </c>
      <c r="C82" t="inlineStr">
        <is>
          <t>ARQ. CLAUDIA CARVAJAL</t>
        </is>
      </c>
      <c r="D82" t="inlineStr">
        <is>
          <t>VISTA LINDA</t>
        </is>
      </c>
      <c r="E82" t="inlineStr">
        <is>
          <t>+593 99 983 2544</t>
        </is>
      </c>
      <c r="F82" t="inlineStr">
        <is>
          <t>INSTALACION UN PRODUCTO</t>
        </is>
      </c>
      <c r="G82" t="n">
        <v>40480321</v>
      </c>
      <c r="H82">
        <f>VLOOKUP(E14,PROD,2,FALSE)</f>
        <v/>
      </c>
      <c r="I82" t="inlineStr">
        <is>
          <t>VISITADO INSTALADO</t>
        </is>
      </c>
      <c r="J82" t="inlineStr">
        <is>
          <t>COMO HOGAR</t>
        </is>
      </c>
      <c r="K82" s="187" t="n">
        <v>46141</v>
      </c>
      <c r="L82" t="inlineStr">
        <is>
          <t>CAPELO</t>
        </is>
      </c>
      <c r="M82" t="inlineStr">
        <is>
          <t>SAP</t>
        </is>
      </c>
      <c r="N82" t="inlineStr">
        <is>
          <t>SAP</t>
        </is>
      </c>
      <c r="O82" t="inlineStr">
        <is>
          <t>PX255C00256</t>
        </is>
      </c>
      <c r="P82" t="n">
        <v>45</v>
      </c>
      <c r="Q82" s="187" t="n">
        <v>46140</v>
      </c>
      <c r="R82" t="inlineStr">
        <is>
          <t>emilvallejo@hotmail.com</t>
        </is>
      </c>
      <c r="S82" t="n">
        <v>101660181001</v>
      </c>
      <c r="T82" t="inlineStr">
        <is>
          <t>TRABAJO REALIZADO SIN NOVEDAD</t>
        </is>
      </c>
    </row>
    <row r="83" ht="19" customFormat="1" customHeight="1" s="102">
      <c r="B83" s="187" t="n">
        <v>45810</v>
      </c>
      <c r="C83" t="inlineStr">
        <is>
          <t>RUTH LOJANO</t>
        </is>
      </c>
      <c r="D83" t="inlineStr">
        <is>
          <t>MIGUEL VELEZ 8 21 Y SUCRE</t>
        </is>
      </c>
      <c r="E83" t="inlineStr">
        <is>
          <t>+593 99 594 3815</t>
        </is>
      </c>
      <c r="F83" t="inlineStr">
        <is>
          <t>INSTALACION UN PRODUCTO</t>
        </is>
      </c>
      <c r="G83" t="n">
        <v>40211501</v>
      </c>
      <c r="H83">
        <f>VLOOKUP(E15,PROD,2,FALSE)</f>
        <v/>
      </c>
      <c r="I83" t="inlineStr">
        <is>
          <t>VISITADO INSTALADO</t>
        </is>
      </c>
      <c r="J83" t="inlineStr">
        <is>
          <t>ALMACENES CHORDELEG</t>
        </is>
      </c>
      <c r="K83" s="187" t="n">
        <v>46141</v>
      </c>
      <c r="L83" t="inlineStr">
        <is>
          <t>CAPELO</t>
        </is>
      </c>
      <c r="M83" t="inlineStr">
        <is>
          <t>SAP</t>
        </is>
      </c>
      <c r="N83" t="inlineStr">
        <is>
          <t>SAP</t>
        </is>
      </c>
      <c r="O83" t="inlineStr">
        <is>
          <t>ZP222R00019</t>
        </is>
      </c>
      <c r="P83" t="n">
        <v>29</v>
      </c>
      <c r="Q83" s="187" t="n">
        <v>46140</v>
      </c>
      <c r="R83" t="inlineStr">
        <is>
          <t>rhlojano23@hotmail.com</t>
        </is>
      </c>
      <c r="S83" t="n">
        <v>101158160</v>
      </c>
      <c r="T83" t="inlineStr">
        <is>
          <t>TRABAJO REALIZADO SIN NOVEDAD</t>
        </is>
      </c>
    </row>
    <row r="84" ht="19" customFormat="1" customHeight="1" s="102">
      <c r="B84" s="187" t="n">
        <v>46140</v>
      </c>
      <c r="C84" t="inlineStr">
        <is>
          <t>LILIANA GUZMAN</t>
        </is>
      </c>
      <c r="D84" t="inlineStr">
        <is>
          <t>GIRON</t>
        </is>
      </c>
      <c r="E84" t="inlineStr">
        <is>
          <t>+593 98 742 7406</t>
        </is>
      </c>
      <c r="F84" t="inlineStr">
        <is>
          <t>INSTALACION UN PRODUCTO</t>
        </is>
      </c>
      <c r="G84" t="n">
        <v>112570041</v>
      </c>
      <c r="H84">
        <f>VLOOKUP(E16,PROD,2,FALSE)</f>
        <v/>
      </c>
      <c r="I84" t="inlineStr">
        <is>
          <t>VISITADO INSTALADO</t>
        </is>
      </c>
      <c r="J84" t="inlineStr">
        <is>
          <t>COMERCIAL KYWI</t>
        </is>
      </c>
      <c r="K84" s="187" t="n">
        <v>46141</v>
      </c>
      <c r="L84" t="inlineStr">
        <is>
          <t>CAPELO</t>
        </is>
      </c>
      <c r="M84" t="inlineStr">
        <is>
          <t>SAP</t>
        </is>
      </c>
      <c r="N84" t="inlineStr">
        <is>
          <t>SAP</t>
        </is>
      </c>
      <c r="O84" t="inlineStr">
        <is>
          <t>ZP25AF00254</t>
        </is>
      </c>
      <c r="P84" t="n">
        <v>29</v>
      </c>
      <c r="Q84" s="187" t="n">
        <v>46140</v>
      </c>
      <c r="R84" t="inlineStr">
        <is>
          <t>liliana.guzman.ec4@gmail.com</t>
        </is>
      </c>
      <c r="S84" t="n">
        <v>103747804</v>
      </c>
      <c r="T84" t="inlineStr">
        <is>
          <t>TRABAJO REALIZADO SIN NOVEDAD</t>
        </is>
      </c>
    </row>
    <row r="85" ht="19" customFormat="1" customHeight="1" s="102">
      <c r="B85" s="187" t="n">
        <v>45109</v>
      </c>
      <c r="C85" t="inlineStr">
        <is>
          <t>DALIA ZUÑIGA</t>
        </is>
      </c>
      <c r="D85" t="inlineStr"/>
      <c r="E85" t="inlineStr">
        <is>
          <t>+593 99 516 7519</t>
        </is>
      </c>
      <c r="F85" t="inlineStr">
        <is>
          <t>GARANTIA</t>
        </is>
      </c>
      <c r="G85" t="n">
        <v>112930023</v>
      </c>
      <c r="H85">
        <f>VLOOKUP(G12,PROD,2,FALSE)</f>
        <v/>
      </c>
      <c r="I85" t="inlineStr">
        <is>
          <t>VISITADO REPARADO</t>
        </is>
      </c>
      <c r="J85" t="inlineStr"/>
      <c r="K85" s="187" t="n">
        <v>46142</v>
      </c>
      <c r="L85" t="inlineStr">
        <is>
          <t>CAPELO</t>
        </is>
      </c>
      <c r="M85" t="inlineStr">
        <is>
          <t>SAP</t>
        </is>
      </c>
      <c r="N85" t="inlineStr">
        <is>
          <t>SAP</t>
        </is>
      </c>
      <c r="O85" t="inlineStr">
        <is>
          <t>ZP246C60194</t>
        </is>
      </c>
      <c r="P85" t="n">
        <v>15</v>
      </c>
      <c r="Q85" s="187" t="n">
        <v>46141</v>
      </c>
      <c r="R85" t="inlineStr">
        <is>
          <t>daliazuniga7@gmail.com</t>
        </is>
      </c>
      <c r="S85" t="n">
        <v>102287547</v>
      </c>
      <c r="T85" t="inlineStr">
        <is>
          <t>GARANTIA APLICADA SATISFACTORIAMENTE</t>
        </is>
      </c>
    </row>
    <row r="86" ht="19" customFormat="1" customHeight="1" s="102">
      <c r="B86" s="187" t="n">
        <v>45978</v>
      </c>
      <c r="C86" t="inlineStr">
        <is>
          <t>LORENA CAZORLA</t>
        </is>
      </c>
      <c r="D86" t="inlineStr">
        <is>
          <t>CHALLUABAMBA</t>
        </is>
      </c>
      <c r="E86" t="inlineStr">
        <is>
          <t>+593 96 749 2377</t>
        </is>
      </c>
      <c r="F86" t="inlineStr">
        <is>
          <t>INSTALACION PROMOCION</t>
        </is>
      </c>
      <c r="G86" t="n">
        <v>111000051</v>
      </c>
      <c r="H86">
        <f>VLOOKUP(E68,PROD,2,FALSE)</f>
        <v/>
      </c>
      <c r="I86" t="inlineStr">
        <is>
          <t>VISITADO INSTALADO</t>
        </is>
      </c>
      <c r="J86" t="inlineStr">
        <is>
          <t>COMERCIAL SOLIS</t>
        </is>
      </c>
      <c r="K86" s="187" t="n">
        <v>46142</v>
      </c>
      <c r="L86" t="inlineStr">
        <is>
          <t>CAPELO</t>
        </is>
      </c>
      <c r="M86" t="inlineStr">
        <is>
          <t>SAP</t>
        </is>
      </c>
      <c r="N86" t="inlineStr">
        <is>
          <t>SAP</t>
        </is>
      </c>
      <c r="O86" t="inlineStr">
        <is>
          <t>TZ258129966</t>
        </is>
      </c>
      <c r="P86" t="n">
        <v>15</v>
      </c>
      <c r="Q86" s="187" t="n">
        <v>46141</v>
      </c>
      <c r="R86" t="inlineStr">
        <is>
          <t>lorecazorla77@gmail.com</t>
        </is>
      </c>
      <c r="S86" t="n">
        <v>102138633</v>
      </c>
      <c r="T86" t="inlineStr">
        <is>
          <t>TRABAJO REALIZADO SIN NOVEDAD</t>
        </is>
      </c>
    </row>
    <row r="87" ht="19" customFormat="1" customHeight="1" s="102">
      <c r="B87" s="187" t="n">
        <v>45978</v>
      </c>
      <c r="C87" t="inlineStr">
        <is>
          <t>LORENA CAZORLA</t>
        </is>
      </c>
      <c r="D87" t="inlineStr">
        <is>
          <t>CHALLUABAMBA</t>
        </is>
      </c>
      <c r="E87" t="inlineStr">
        <is>
          <t>+593 96 749 2377</t>
        </is>
      </c>
      <c r="F87" t="inlineStr">
        <is>
          <t>INSTALACION PROMOCION</t>
        </is>
      </c>
      <c r="G87" t="n">
        <v>112060006</v>
      </c>
      <c r="H87" t="inlineStr">
        <is>
          <t>MICROONDAS ML 8210 BIS</t>
        </is>
      </c>
      <c r="I87" t="inlineStr">
        <is>
          <t>VISITADO INSTALADO</t>
        </is>
      </c>
      <c r="J87" t="inlineStr">
        <is>
          <t>COMERCIAL SOLIS</t>
        </is>
      </c>
      <c r="K87" s="187" t="n">
        <v>46142</v>
      </c>
      <c r="L87" t="inlineStr">
        <is>
          <t>CAPELO</t>
        </is>
      </c>
      <c r="M87" t="inlineStr">
        <is>
          <t>SAP</t>
        </is>
      </c>
      <c r="N87" t="inlineStr">
        <is>
          <t>SAP</t>
        </is>
      </c>
      <c r="O87" t="inlineStr">
        <is>
          <t>TP259801894</t>
        </is>
      </c>
      <c r="P87" t="n">
        <v>15</v>
      </c>
      <c r="Q87" s="187" t="n">
        <v>46141</v>
      </c>
      <c r="R87" t="inlineStr">
        <is>
          <t>lorecazorla77@gmail.com</t>
        </is>
      </c>
      <c r="S87" t="n">
        <v>102138633</v>
      </c>
      <c r="T87" t="inlineStr">
        <is>
          <t>TRABAJO REALIZADO SIN NOVEDAD</t>
        </is>
      </c>
    </row>
    <row r="88" ht="19" customFormat="1" customHeight="1" s="102">
      <c r="B88" s="187" t="n">
        <v>45978</v>
      </c>
      <c r="C88" t="inlineStr">
        <is>
          <t>LORENA CAZORLA</t>
        </is>
      </c>
      <c r="D88" t="inlineStr">
        <is>
          <t>CHALLUABAMBA</t>
        </is>
      </c>
      <c r="E88" t="inlineStr">
        <is>
          <t>+593 96 749 2377</t>
        </is>
      </c>
      <c r="F88" t="inlineStr">
        <is>
          <t>INSTALACION PROMOCION</t>
        </is>
      </c>
      <c r="G88" t="n">
        <v>40782128</v>
      </c>
      <c r="H88">
        <f>VLOOKUP(E70,PROD,2,FALSE)</f>
        <v/>
      </c>
      <c r="I88" t="inlineStr">
        <is>
          <t>VISITADO INSTALADO</t>
        </is>
      </c>
      <c r="J88" t="inlineStr">
        <is>
          <t>COMERCIAL SOLIS</t>
        </is>
      </c>
      <c r="K88" s="187" t="n">
        <v>46142</v>
      </c>
      <c r="L88" t="inlineStr">
        <is>
          <t>CAPELO</t>
        </is>
      </c>
      <c r="M88" t="inlineStr">
        <is>
          <t>SAP</t>
        </is>
      </c>
      <c r="N88" t="inlineStr">
        <is>
          <t>SAP</t>
        </is>
      </c>
      <c r="O88" t="inlineStr">
        <is>
          <t>MD255LO7983</t>
        </is>
      </c>
      <c r="P88" t="n">
        <v>15</v>
      </c>
      <c r="Q88" s="187" t="n">
        <v>46141</v>
      </c>
      <c r="R88" t="inlineStr">
        <is>
          <t>lorecazorla77@gmail.com</t>
        </is>
      </c>
      <c r="S88" t="n">
        <v>102138633</v>
      </c>
      <c r="T88" t="inlineStr">
        <is>
          <t>TRABAJO REALIZADO SIN NOVEDAD</t>
        </is>
      </c>
    </row>
    <row r="89" ht="19" customFormat="1" customHeight="1" s="102">
      <c r="B89" s="187" t="n">
        <v>45978</v>
      </c>
      <c r="C89" t="inlineStr">
        <is>
          <t>LORENA CAZORLA</t>
        </is>
      </c>
      <c r="D89" t="inlineStr">
        <is>
          <t>CHALLUABAMBA</t>
        </is>
      </c>
      <c r="E89" t="inlineStr">
        <is>
          <t>+593 96 749 2377</t>
        </is>
      </c>
      <c r="F89" t="inlineStr">
        <is>
          <t>INSTALACION PROMOCION</t>
        </is>
      </c>
      <c r="G89" t="n">
        <v>112570128</v>
      </c>
      <c r="H89">
        <f>VLOOKUP(E71,PROD,2,FALSE)</f>
        <v/>
      </c>
      <c r="I89" t="inlineStr">
        <is>
          <t>VISITADO INSTALADO</t>
        </is>
      </c>
      <c r="J89" t="inlineStr">
        <is>
          <t>COMERCIAL SOLIS</t>
        </is>
      </c>
      <c r="K89" s="187" t="n">
        <v>46142</v>
      </c>
      <c r="L89" t="inlineStr">
        <is>
          <t>CAPELO</t>
        </is>
      </c>
      <c r="M89" t="inlineStr">
        <is>
          <t>SAP</t>
        </is>
      </c>
      <c r="N89" t="inlineStr">
        <is>
          <t>SAP</t>
        </is>
      </c>
      <c r="O89" t="inlineStr">
        <is>
          <t>MD255LO7983</t>
        </is>
      </c>
      <c r="P89" t="n">
        <v>15</v>
      </c>
      <c r="Q89" s="187" t="n">
        <v>46141</v>
      </c>
      <c r="R89" t="inlineStr">
        <is>
          <t>lorecazorla77@gmail.com</t>
        </is>
      </c>
      <c r="S89" t="n">
        <v>102138633</v>
      </c>
      <c r="T89" t="inlineStr">
        <is>
          <t>TRABAJO REALIZADO SIN NOVEDAD</t>
        </is>
      </c>
    </row>
    <row r="90" ht="19" customFormat="1" customHeight="1" s="102">
      <c r="B90" s="187" t="n">
        <v>45978</v>
      </c>
      <c r="C90" t="inlineStr">
        <is>
          <t>LORENA CAZORLA</t>
        </is>
      </c>
      <c r="D90" t="inlineStr">
        <is>
          <t>CHALLUABAMBA</t>
        </is>
      </c>
      <c r="E90" t="inlineStr">
        <is>
          <t>+593 96 749 2377</t>
        </is>
      </c>
      <c r="F90" t="inlineStr">
        <is>
          <t>INSTALACION PROMOCION</t>
        </is>
      </c>
      <c r="G90" t="n">
        <v>103620002</v>
      </c>
      <c r="H90" t="inlineStr">
        <is>
          <t>RVC 10008 VINERA</t>
        </is>
      </c>
      <c r="I90" t="inlineStr">
        <is>
          <t>VISITADO INSTALADO</t>
        </is>
      </c>
      <c r="J90" t="inlineStr">
        <is>
          <t>COMERCIAL SOLIS</t>
        </is>
      </c>
      <c r="K90" s="187" t="n">
        <v>46142</v>
      </c>
      <c r="L90" t="inlineStr">
        <is>
          <t>CAPELO</t>
        </is>
      </c>
      <c r="M90" t="inlineStr">
        <is>
          <t>SAP</t>
        </is>
      </c>
      <c r="N90" t="inlineStr">
        <is>
          <t>SAP</t>
        </is>
      </c>
      <c r="O90" t="inlineStr">
        <is>
          <t>YH257B00250</t>
        </is>
      </c>
      <c r="P90" t="n">
        <v>15</v>
      </c>
      <c r="Q90" s="187" t="n">
        <v>46141</v>
      </c>
      <c r="R90" t="inlineStr">
        <is>
          <t>lorecazorla77@gmail.com</t>
        </is>
      </c>
      <c r="S90" t="n">
        <v>102138633</v>
      </c>
      <c r="T90" t="inlineStr">
        <is>
          <t>TRABAJO REALIZADO SIN NOVEDAD</t>
        </is>
      </c>
    </row>
    <row r="91" ht="19" customFormat="1" customHeight="1" s="102">
      <c r="B91" s="187" t="n">
        <v>46116</v>
      </c>
      <c r="C91" t="inlineStr">
        <is>
          <t>JUAN VINTIMILLA GARATE</t>
        </is>
      </c>
      <c r="D91" t="inlineStr">
        <is>
          <t>PLAZA DEL PARQUE</t>
        </is>
      </c>
      <c r="E91" t="inlineStr">
        <is>
          <t>+593 99 976 4558</t>
        </is>
      </c>
      <c r="F91" t="inlineStr">
        <is>
          <t>INSTALACION UN PRODUCTO</t>
        </is>
      </c>
      <c r="G91" t="n">
        <v>112520024</v>
      </c>
      <c r="H91">
        <f>VLOOKUP(E17,PROD,2,FALSE)</f>
        <v/>
      </c>
      <c r="I91" t="inlineStr">
        <is>
          <t>VISITADO INSTALADO</t>
        </is>
      </c>
      <c r="J91" t="inlineStr">
        <is>
          <t>COMO HOGAR</t>
        </is>
      </c>
      <c r="K91" s="187" t="n">
        <v>46142</v>
      </c>
      <c r="L91" t="inlineStr">
        <is>
          <t>CAPELO</t>
        </is>
      </c>
      <c r="M91" t="inlineStr">
        <is>
          <t>SAP</t>
        </is>
      </c>
      <c r="N91" t="inlineStr">
        <is>
          <t>SAP</t>
        </is>
      </c>
      <c r="O91" t="inlineStr">
        <is>
          <t>ZP251600330</t>
        </is>
      </c>
      <c r="P91" t="n">
        <v>25</v>
      </c>
      <c r="Q91" s="187" t="n">
        <v>46141</v>
      </c>
      <c r="R91" t="inlineStr">
        <is>
          <t>j.vintimillaq@gmail.com</t>
        </is>
      </c>
      <c r="S91" t="n">
        <v>101833218</v>
      </c>
      <c r="T91" t="inlineStr">
        <is>
          <t>TRABAJO REALIZADO SIN NOVEDAD</t>
        </is>
      </c>
    </row>
    <row r="92" ht="19" customFormat="1" customHeight="1" s="102">
      <c r="B92" s="187" t="n">
        <v>45842</v>
      </c>
      <c r="C92" t="inlineStr">
        <is>
          <t>JAKELINE SILVA</t>
        </is>
      </c>
      <c r="D92" t="inlineStr"/>
      <c r="E92" t="n">
        <v>98850726</v>
      </c>
      <c r="F92" t="inlineStr">
        <is>
          <t>GARANTIA</t>
        </is>
      </c>
      <c r="G92" t="n">
        <v>112580027</v>
      </c>
      <c r="H92">
        <f>VLOOKUP(G13,PROD,2,FALSE)</f>
        <v/>
      </c>
      <c r="I92" t="inlineStr">
        <is>
          <t>VISITADO REPARADO</t>
        </is>
      </c>
      <c r="J92" t="inlineStr"/>
      <c r="K92" s="187" t="n">
        <v>46144</v>
      </c>
      <c r="L92" t="inlineStr">
        <is>
          <t>CAPELO</t>
        </is>
      </c>
      <c r="M92" t="inlineStr">
        <is>
          <t>SAP</t>
        </is>
      </c>
      <c r="N92" t="inlineStr">
        <is>
          <t>SAP</t>
        </is>
      </c>
      <c r="P92" t="n">
        <v>12.5</v>
      </c>
      <c r="Q92" s="187" t="n">
        <v>46143</v>
      </c>
      <c r="R92" t="inlineStr">
        <is>
          <t>csalome2013@gmail.com</t>
        </is>
      </c>
      <c r="S92" t="n">
        <v>1706833702</v>
      </c>
      <c r="T92" t="inlineStr">
        <is>
          <t>GARANTIA APLICADA SATISFACTORIAMENTE</t>
        </is>
      </c>
    </row>
    <row r="93" ht="19" customFormat="1" customHeight="1" s="102">
      <c r="B93" s="187" t="n">
        <v>45366</v>
      </c>
      <c r="C93" t="inlineStr">
        <is>
          <t>CRISTIAN VIVERO CONDO</t>
        </is>
      </c>
      <c r="D93" t="inlineStr"/>
      <c r="E93" t="n">
        <v>986536895</v>
      </c>
      <c r="F93" t="inlineStr">
        <is>
          <t>GARANTIA</t>
        </is>
      </c>
      <c r="G93" t="n">
        <v>112580027</v>
      </c>
      <c r="H93">
        <f>VLOOKUP(G14,PROD,2,FALSE)</f>
        <v/>
      </c>
      <c r="I93" t="inlineStr">
        <is>
          <t>VISITADO REPARADO</t>
        </is>
      </c>
      <c r="J93" t="inlineStr"/>
      <c r="K93" s="187" t="n">
        <v>46146</v>
      </c>
      <c r="L93" t="inlineStr">
        <is>
          <t>CAPELO</t>
        </is>
      </c>
      <c r="M93" t="inlineStr">
        <is>
          <t>SAP</t>
        </is>
      </c>
      <c r="N93" t="inlineStr">
        <is>
          <t>SAP</t>
        </is>
      </c>
      <c r="O93" t="inlineStr">
        <is>
          <t>ZP23BE00533</t>
        </is>
      </c>
      <c r="P93" t="n">
        <v>12.5</v>
      </c>
      <c r="Q93" s="187" t="n">
        <v>46145</v>
      </c>
      <c r="R93" t="inlineStr">
        <is>
          <t>chriftdaniel86@hotmail.com</t>
        </is>
      </c>
      <c r="S93" t="n">
        <v>105273411</v>
      </c>
      <c r="T93" t="inlineStr">
        <is>
          <t>GARANTIA APLICADA SATISFACTORIAMENTE</t>
        </is>
      </c>
    </row>
    <row r="94" ht="19" customFormat="1" customHeight="1" s="102">
      <c r="B94" s="187" t="n">
        <v>46137</v>
      </c>
      <c r="C94" t="inlineStr">
        <is>
          <t>SILVIA VAZQUEZ</t>
        </is>
      </c>
      <c r="D94" t="inlineStr">
        <is>
          <t>PASEO 3 NOVIEMBRE EDF TERRAS</t>
        </is>
      </c>
      <c r="E94" t="inlineStr">
        <is>
          <t>+593 99 975 6665</t>
        </is>
      </c>
      <c r="F94" t="inlineStr">
        <is>
          <t>INSTALACION PROMOCION</t>
        </is>
      </c>
      <c r="G94" t="n">
        <v>112580017</v>
      </c>
      <c r="H94">
        <f>VLOOKUP(E73,PROD,2,FALSE)</f>
        <v/>
      </c>
      <c r="I94" t="inlineStr">
        <is>
          <t>VISITADO INSTALADO</t>
        </is>
      </c>
      <c r="J94" t="inlineStr">
        <is>
          <t>MERCARD</t>
        </is>
      </c>
      <c r="K94" s="187" t="n">
        <v>46146</v>
      </c>
      <c r="L94" t="inlineStr">
        <is>
          <t>CAPELO</t>
        </is>
      </c>
      <c r="M94" t="inlineStr">
        <is>
          <t>SAP</t>
        </is>
      </c>
      <c r="N94" t="inlineStr">
        <is>
          <t>SAP</t>
        </is>
      </c>
      <c r="O94" t="inlineStr">
        <is>
          <t>ZP259300196</t>
        </is>
      </c>
      <c r="P94" t="n">
        <v>15</v>
      </c>
      <c r="Q94" s="187" t="n">
        <v>46145</v>
      </c>
      <c r="R94" t="inlineStr">
        <is>
          <t>svazquez1402@hotmail.com</t>
        </is>
      </c>
      <c r="S94" t="n">
        <v>101559011</v>
      </c>
      <c r="T94" t="inlineStr">
        <is>
          <t>TRABAJO REALIZADO SIN NOVEDAD</t>
        </is>
      </c>
    </row>
    <row r="95" ht="19" customFormat="1" customHeight="1" s="102">
      <c r="B95" s="187" t="n">
        <v>46137</v>
      </c>
      <c r="C95" t="inlineStr">
        <is>
          <t>SILVIA VAZQUEZ</t>
        </is>
      </c>
      <c r="D95" t="inlineStr">
        <is>
          <t>PASEO 3 NOVIEMBRE EDF TERRAS</t>
        </is>
      </c>
      <c r="E95" t="inlineStr">
        <is>
          <t>+593 99 975 6665</t>
        </is>
      </c>
      <c r="F95" t="inlineStr">
        <is>
          <t>INSTALACION PROMOCION</t>
        </is>
      </c>
      <c r="G95" t="n">
        <v>111020086</v>
      </c>
      <c r="H95">
        <f>VLOOKUP(E74,PROD,2,FALSE)</f>
        <v/>
      </c>
      <c r="I95" t="inlineStr">
        <is>
          <t>VISITADO INSTALADO</t>
        </is>
      </c>
      <c r="J95" t="inlineStr">
        <is>
          <t>MERCARD</t>
        </is>
      </c>
      <c r="K95" s="187" t="n">
        <v>46146</v>
      </c>
      <c r="L95" t="inlineStr">
        <is>
          <t>CAPELO</t>
        </is>
      </c>
      <c r="M95" t="inlineStr">
        <is>
          <t>SAP</t>
        </is>
      </c>
      <c r="N95" t="inlineStr">
        <is>
          <t>SAP</t>
        </is>
      </c>
      <c r="O95" t="inlineStr">
        <is>
          <t>TZ256529018</t>
        </is>
      </c>
      <c r="P95" t="n">
        <v>15</v>
      </c>
      <c r="Q95" s="187" t="n">
        <v>46145</v>
      </c>
      <c r="R95" t="inlineStr">
        <is>
          <t>svazquez1402@hotmail.com</t>
        </is>
      </c>
      <c r="S95" t="n">
        <v>101559011</v>
      </c>
      <c r="T95" t="inlineStr">
        <is>
          <t>TRABAJO REALIZADO SIN NOVEDAD</t>
        </is>
      </c>
    </row>
    <row r="96" ht="19" customFormat="1" customHeight="1" s="102">
      <c r="B96" s="187" t="n">
        <v>46137</v>
      </c>
      <c r="C96" t="inlineStr">
        <is>
          <t>SILVIA VAZQUEZ</t>
        </is>
      </c>
      <c r="D96" t="inlineStr">
        <is>
          <t>PASEO 3 NOVIEMBRE EDF TERRAS</t>
        </is>
      </c>
      <c r="E96" t="inlineStr">
        <is>
          <t>+593 99 975 6665</t>
        </is>
      </c>
      <c r="F96" t="inlineStr">
        <is>
          <t>INSTALACION PROMOCION</t>
        </is>
      </c>
      <c r="G96" t="n">
        <v>40446702</v>
      </c>
      <c r="H96">
        <f>VLOOKUP(E75,PROD,2,FALSE)</f>
        <v/>
      </c>
      <c r="I96" t="inlineStr">
        <is>
          <t>VISITADO INSTALADO</t>
        </is>
      </c>
      <c r="J96" t="inlineStr">
        <is>
          <t>MERCARD</t>
        </is>
      </c>
      <c r="K96" s="187" t="n">
        <v>46146</v>
      </c>
      <c r="L96" t="inlineStr">
        <is>
          <t>CAPELO</t>
        </is>
      </c>
      <c r="M96" t="inlineStr">
        <is>
          <t>SAP</t>
        </is>
      </c>
      <c r="N96" t="inlineStr">
        <is>
          <t>SAP</t>
        </is>
      </c>
      <c r="O96" t="inlineStr">
        <is>
          <t>TP257411094</t>
        </is>
      </c>
      <c r="P96" t="n">
        <v>15</v>
      </c>
      <c r="Q96" s="187" t="n">
        <v>46145</v>
      </c>
      <c r="R96" t="inlineStr">
        <is>
          <t>svazquez1402@hotmail.com</t>
        </is>
      </c>
      <c r="S96" t="n">
        <v>101559011</v>
      </c>
      <c r="T96" t="inlineStr">
        <is>
          <t>TRABAJO REALIZADO SIN NOVEDAD</t>
        </is>
      </c>
    </row>
    <row r="97" ht="19" customFormat="1" customHeight="1" s="102">
      <c r="B97" s="187" t="n">
        <v>46141</v>
      </c>
      <c r="C97" t="inlineStr">
        <is>
          <t>EDWIN SEGARRA</t>
        </is>
      </c>
      <c r="D97" t="inlineStr">
        <is>
          <t>CAMINO AL TEJAR</t>
        </is>
      </c>
      <c r="E97" t="inlineStr">
        <is>
          <t>+593 96 831 4764</t>
        </is>
      </c>
      <c r="F97" t="inlineStr">
        <is>
          <t>BBQ</t>
        </is>
      </c>
      <c r="G97" t="n">
        <v>111570003</v>
      </c>
      <c r="H97">
        <f>VLOOKUP(E8,PROD,2,FALSE)</f>
        <v/>
      </c>
      <c r="I97" t="inlineStr">
        <is>
          <t>VISITADO INSTALADO</t>
        </is>
      </c>
      <c r="J97" t="inlineStr">
        <is>
          <t>OTRO</t>
        </is>
      </c>
      <c r="K97" s="187" t="n">
        <v>46146</v>
      </c>
      <c r="L97" t="inlineStr">
        <is>
          <t>CAPELO</t>
        </is>
      </c>
      <c r="M97" t="inlineStr">
        <is>
          <t>SAP</t>
        </is>
      </c>
      <c r="N97" t="inlineStr">
        <is>
          <t>SAP</t>
        </is>
      </c>
      <c r="O97" t="inlineStr">
        <is>
          <t>CO256E00299</t>
        </is>
      </c>
      <c r="P97" t="n">
        <v>29</v>
      </c>
      <c r="Q97" s="187" t="n">
        <v>46145</v>
      </c>
      <c r="R97" t="inlineStr">
        <is>
          <t>esegarra61@yahoo.com</t>
        </is>
      </c>
      <c r="S97" t="n">
        <v>101598472</v>
      </c>
      <c r="T97" t="inlineStr">
        <is>
          <t>TRABAJO REALIZADO SIN NOVEDAD</t>
        </is>
      </c>
    </row>
    <row r="98" ht="19" customFormat="1" customHeight="1" s="102">
      <c r="B98" s="187" t="n">
        <v>45989</v>
      </c>
      <c r="C98" t="inlineStr">
        <is>
          <t>ALFREDO GUAMAN</t>
        </is>
      </c>
      <c r="D98" t="inlineStr">
        <is>
          <t>VIA LLACAO</t>
        </is>
      </c>
      <c r="E98" t="inlineStr">
        <is>
          <t>+593 99 712 6552</t>
        </is>
      </c>
      <c r="F98" t="inlineStr">
        <is>
          <t>INSTALACION UN PRODUCTO</t>
        </is>
      </c>
      <c r="G98" t="n">
        <v>40466241</v>
      </c>
      <c r="H98">
        <f>VLOOKUP(E18,PROD,2,FALSE)</f>
        <v/>
      </c>
      <c r="I98" t="inlineStr">
        <is>
          <t>VISITADO INSTALADO</t>
        </is>
      </c>
      <c r="J98" t="inlineStr">
        <is>
          <t>COMERCIAL KYWI</t>
        </is>
      </c>
      <c r="K98" s="187" t="n">
        <v>46146</v>
      </c>
      <c r="L98" t="inlineStr">
        <is>
          <t>CAPELO</t>
        </is>
      </c>
      <c r="M98" t="inlineStr">
        <is>
          <t>SAP</t>
        </is>
      </c>
      <c r="N98" t="inlineStr">
        <is>
          <t>SAP</t>
        </is>
      </c>
      <c r="O98" t="inlineStr">
        <is>
          <t>TP258807444</t>
        </is>
      </c>
      <c r="P98" t="n">
        <v>15</v>
      </c>
      <c r="Q98" s="187" t="n">
        <v>46145</v>
      </c>
      <c r="R98" t="inlineStr">
        <is>
          <t>alguaman@yahoo.com</t>
        </is>
      </c>
      <c r="S98" t="n">
        <v>101661361</v>
      </c>
      <c r="T98" t="inlineStr">
        <is>
          <t>TRABAJO REALIZADO SIN NOVEDAD</t>
        </is>
      </c>
    </row>
    <row r="99" ht="19" customFormat="1" customHeight="1" s="102">
      <c r="B99" s="187" t="n">
        <v>46053</v>
      </c>
      <c r="C99" t="inlineStr">
        <is>
          <t>MARTHA PINEDA</t>
        </is>
      </c>
      <c r="D99" t="inlineStr">
        <is>
          <t>RICAURTE</t>
        </is>
      </c>
      <c r="E99" t="inlineStr">
        <is>
          <t>+593 99 393 3727</t>
        </is>
      </c>
      <c r="F99" t="inlineStr">
        <is>
          <t>INSTALACION PROMOCION</t>
        </is>
      </c>
      <c r="G99" t="n">
        <v>40590830</v>
      </c>
      <c r="H99">
        <f>VLOOKUP(E76,PROD,2,FALSE)</f>
        <v/>
      </c>
      <c r="I99" t="inlineStr">
        <is>
          <t>VISITADO INSTALADO</t>
        </is>
      </c>
      <c r="J99" t="inlineStr">
        <is>
          <t>COMERCIAL SOLIS</t>
        </is>
      </c>
      <c r="K99" s="187" t="n">
        <v>46147</v>
      </c>
      <c r="L99" t="inlineStr">
        <is>
          <t>CAPELO</t>
        </is>
      </c>
      <c r="M99" t="inlineStr">
        <is>
          <t>SAP</t>
        </is>
      </c>
      <c r="N99" t="inlineStr">
        <is>
          <t>SAP</t>
        </is>
      </c>
      <c r="O99" t="inlineStr">
        <is>
          <t>MW256F00246</t>
        </is>
      </c>
      <c r="P99" t="n">
        <v>15</v>
      </c>
      <c r="Q99" s="187" t="n">
        <v>46146</v>
      </c>
      <c r="R99" t="inlineStr">
        <is>
          <t>marthypz@yahoo.com</t>
        </is>
      </c>
      <c r="S99" t="n">
        <v>102961356001</v>
      </c>
      <c r="T99" t="inlineStr">
        <is>
          <t>TRABAJO REALIZADO SIN NOVEDAD</t>
        </is>
      </c>
    </row>
    <row r="100" ht="19" customFormat="1" customHeight="1" s="102">
      <c r="B100" s="187" t="n">
        <v>46053</v>
      </c>
      <c r="C100" t="inlineStr">
        <is>
          <t>MARTHA PINEDA</t>
        </is>
      </c>
      <c r="D100" t="inlineStr">
        <is>
          <t>RICAURTE</t>
        </is>
      </c>
      <c r="E100" t="inlineStr">
        <is>
          <t>+593 99 393 3727</t>
        </is>
      </c>
      <c r="F100" t="inlineStr">
        <is>
          <t>INSTALACION PROMOCION</t>
        </is>
      </c>
      <c r="G100" t="n">
        <v>41560041</v>
      </c>
      <c r="H100">
        <f>VLOOKUP(E77,PROD,2,FALSE)</f>
        <v/>
      </c>
      <c r="I100" t="inlineStr">
        <is>
          <t>VISITADO INSTALADO</t>
        </is>
      </c>
      <c r="J100" t="inlineStr">
        <is>
          <t>COMERCIAL SOLIS</t>
        </is>
      </c>
      <c r="K100" s="187" t="n">
        <v>46147</v>
      </c>
      <c r="L100" t="inlineStr">
        <is>
          <t>CAPELO</t>
        </is>
      </c>
      <c r="M100" t="inlineStr">
        <is>
          <t>SAP</t>
        </is>
      </c>
      <c r="N100" t="inlineStr">
        <is>
          <t>SAP</t>
        </is>
      </c>
      <c r="O100" t="inlineStr">
        <is>
          <t>TZ257W28499</t>
        </is>
      </c>
      <c r="P100" t="n">
        <v>15</v>
      </c>
      <c r="Q100" s="187" t="n">
        <v>46146</v>
      </c>
      <c r="R100" t="inlineStr">
        <is>
          <t>marthypz@yahoo.com</t>
        </is>
      </c>
      <c r="S100" t="n">
        <v>102961356001</v>
      </c>
      <c r="T100" t="inlineStr">
        <is>
          <t>TRABAJO REALIZADO SIN NOVEDAD</t>
        </is>
      </c>
    </row>
    <row r="101" ht="19" customFormat="1" customHeight="1" s="102">
      <c r="B101" s="187" t="n">
        <v>46053</v>
      </c>
      <c r="C101" t="inlineStr">
        <is>
          <t>MARTHA PINEDA</t>
        </is>
      </c>
      <c r="D101" t="inlineStr">
        <is>
          <t>RICAURTE</t>
        </is>
      </c>
      <c r="E101" t="inlineStr">
        <is>
          <t>+593 99 393 3727</t>
        </is>
      </c>
      <c r="F101" t="inlineStr">
        <is>
          <t>INSTALACION PROMOCION</t>
        </is>
      </c>
      <c r="G101" t="n">
        <v>112610069</v>
      </c>
      <c r="H101">
        <f>VLOOKUP(E78,PROD,2,FALSE)</f>
        <v/>
      </c>
      <c r="I101" t="inlineStr">
        <is>
          <t>VISITADO INSTALADO</t>
        </is>
      </c>
      <c r="J101" t="inlineStr">
        <is>
          <t>COMERCIAL SOLIS</t>
        </is>
      </c>
      <c r="K101" s="187" t="n">
        <v>46147</v>
      </c>
      <c r="L101" t="inlineStr">
        <is>
          <t>CAPELO</t>
        </is>
      </c>
      <c r="M101" t="inlineStr">
        <is>
          <t>SAP</t>
        </is>
      </c>
      <c r="N101" t="inlineStr">
        <is>
          <t>SAP</t>
        </is>
      </c>
      <c r="O101" t="inlineStr">
        <is>
          <t>ZP259200098</t>
        </is>
      </c>
      <c r="P101" t="n">
        <v>15</v>
      </c>
      <c r="Q101" s="187" t="n">
        <v>46146</v>
      </c>
      <c r="R101" t="inlineStr">
        <is>
          <t>marthypz@yahoo.com</t>
        </is>
      </c>
      <c r="S101" t="n">
        <v>102961356001</v>
      </c>
      <c r="T101" t="inlineStr">
        <is>
          <t>TRABAJO REALIZADO SIN NOVEDAD</t>
        </is>
      </c>
    </row>
    <row r="102" ht="19" customFormat="1" customHeight="1" s="102">
      <c r="B102" s="187" t="n">
        <v>45990</v>
      </c>
      <c r="C102" t="inlineStr">
        <is>
          <t>ANDREA LOJA</t>
        </is>
      </c>
      <c r="D102" t="inlineStr">
        <is>
          <t>1 SEPTIEMBRE Y CANTON GUALAQUIZA</t>
        </is>
      </c>
      <c r="E102" t="inlineStr">
        <is>
          <t>+593 99 254 2189</t>
        </is>
      </c>
      <c r="F102" t="inlineStr">
        <is>
          <t>INSTALACION UN PRODUCTO</t>
        </is>
      </c>
      <c r="G102" t="n">
        <v>111020071</v>
      </c>
      <c r="H102">
        <f>VLOOKUP(E19,PROD,2,FALSE)</f>
        <v/>
      </c>
      <c r="I102" t="inlineStr">
        <is>
          <t>VISITADO INSTALADO</t>
        </is>
      </c>
      <c r="J102" t="inlineStr">
        <is>
          <t>COMERCIAL SOLIS</t>
        </is>
      </c>
      <c r="K102" s="187" t="n">
        <v>46147</v>
      </c>
      <c r="L102" t="inlineStr">
        <is>
          <t>CAPELO</t>
        </is>
      </c>
      <c r="M102" t="inlineStr">
        <is>
          <t>SAP</t>
        </is>
      </c>
      <c r="N102" t="inlineStr">
        <is>
          <t>SAP</t>
        </is>
      </c>
      <c r="O102" t="inlineStr">
        <is>
          <t>TZ245V29036</t>
        </is>
      </c>
      <c r="P102" t="n">
        <v>25</v>
      </c>
      <c r="Q102" s="187" t="n">
        <v>46146</v>
      </c>
      <c r="R102" t="inlineStr">
        <is>
          <t>andrea.lojat@gmail.com</t>
        </is>
      </c>
      <c r="S102" t="n">
        <v>101492403</v>
      </c>
      <c r="T102" t="inlineStr">
        <is>
          <t>TRABAJO REALIZADO SIN NOVEDAD</t>
        </is>
      </c>
    </row>
    <row r="103" ht="19" customFormat="1" customHeight="1" s="102">
      <c r="B103" s="187" t="n">
        <v>46142</v>
      </c>
      <c r="C103" t="inlineStr">
        <is>
          <t>ANA GABRIELA PENAFIEL</t>
        </is>
      </c>
      <c r="D103" t="inlineStr">
        <is>
          <t>CONDOMINIO SANTA MARTHA AZOGUES</t>
        </is>
      </c>
      <c r="E103" t="inlineStr">
        <is>
          <t>+593 99 588 1329</t>
        </is>
      </c>
      <c r="F103" t="inlineStr">
        <is>
          <t>INSTALACION PROMOCION</t>
        </is>
      </c>
      <c r="G103" t="n">
        <v>112030019</v>
      </c>
      <c r="H103">
        <f>VLOOKUP(E79,PROD,2,FALSE)</f>
        <v/>
      </c>
      <c r="I103" t="inlineStr">
        <is>
          <t>VISITADO INSTALADO</t>
        </is>
      </c>
      <c r="J103" t="inlineStr">
        <is>
          <t>COMERCIAL SOLIS</t>
        </is>
      </c>
      <c r="K103" s="187" t="n">
        <v>46148</v>
      </c>
      <c r="L103" t="inlineStr">
        <is>
          <t>CAPELO</t>
        </is>
      </c>
      <c r="M103" t="inlineStr">
        <is>
          <t>SAP</t>
        </is>
      </c>
      <c r="N103" t="inlineStr">
        <is>
          <t>SAP</t>
        </is>
      </c>
      <c r="O103" t="inlineStr">
        <is>
          <t>TP257E00393</t>
        </is>
      </c>
      <c r="P103" t="n">
        <v>15</v>
      </c>
      <c r="Q103" s="187" t="n">
        <v>46147</v>
      </c>
      <c r="R103" t="inlineStr">
        <is>
          <t>sacmicas@gmail.com</t>
        </is>
      </c>
      <c r="S103" t="n">
        <v>301524617001</v>
      </c>
      <c r="T103" t="inlineStr">
        <is>
          <t>TRABAJO REALIZADO SIN NOVEDAD</t>
        </is>
      </c>
    </row>
    <row r="104" ht="19" customFormat="1" customHeight="1" s="102">
      <c r="B104" s="187" t="n">
        <v>46142</v>
      </c>
      <c r="C104" t="inlineStr">
        <is>
          <t>ANA GABRIELA PENAFIEL</t>
        </is>
      </c>
      <c r="D104" t="inlineStr">
        <is>
          <t>CONDOMINIO SANTA MARTHA AZOGUES</t>
        </is>
      </c>
      <c r="E104" t="inlineStr">
        <is>
          <t>+593 99 588 1329</t>
        </is>
      </c>
      <c r="F104" t="inlineStr">
        <is>
          <t>INSTALACION PROMOCION</t>
        </is>
      </c>
      <c r="G104" t="n">
        <v>41596006</v>
      </c>
      <c r="H104">
        <f>VLOOKUP(E80,PROD,2,FALSE)</f>
        <v/>
      </c>
      <c r="I104" t="inlineStr">
        <is>
          <t>VISITADO INSTALADO</t>
        </is>
      </c>
      <c r="J104" t="inlineStr">
        <is>
          <t>COMERCIAL SOLIS</t>
        </is>
      </c>
      <c r="K104" s="187" t="n">
        <v>46148</v>
      </c>
      <c r="L104" t="inlineStr">
        <is>
          <t>CAPELO</t>
        </is>
      </c>
      <c r="M104" t="inlineStr">
        <is>
          <t>SAP</t>
        </is>
      </c>
      <c r="N104" t="inlineStr">
        <is>
          <t>SAP</t>
        </is>
      </c>
      <c r="O104" t="inlineStr">
        <is>
          <t>TZ25B323386</t>
        </is>
      </c>
      <c r="P104" t="n">
        <v>15</v>
      </c>
      <c r="Q104" s="187" t="n">
        <v>46147</v>
      </c>
      <c r="R104" t="inlineStr">
        <is>
          <t>sacmicas@gmail.com</t>
        </is>
      </c>
      <c r="S104" t="n">
        <v>301524617001</v>
      </c>
      <c r="T104" t="inlineStr">
        <is>
          <t>TRABAJO REALIZADO SIN NOVEDAD</t>
        </is>
      </c>
    </row>
    <row r="105" ht="19" customFormat="1" customHeight="1" s="102">
      <c r="B105" s="187" t="n">
        <v>46142</v>
      </c>
      <c r="C105" t="inlineStr">
        <is>
          <t>ANA GABRIELA PENAFIEL</t>
        </is>
      </c>
      <c r="D105" t="inlineStr">
        <is>
          <t>CONDOMINIO SANTA MARTHA AZOGUES</t>
        </is>
      </c>
      <c r="E105" t="inlineStr">
        <is>
          <t>+593 99 588 1329</t>
        </is>
      </c>
      <c r="F105" t="inlineStr">
        <is>
          <t>INSTALACION PROMOCION</t>
        </is>
      </c>
      <c r="G105" t="n">
        <v>113120009</v>
      </c>
      <c r="H105">
        <f>VLOOKUP(E81,PROD,2,FALSE)</f>
        <v/>
      </c>
      <c r="I105" t="inlineStr">
        <is>
          <t>VISITADO INSTALADO</t>
        </is>
      </c>
      <c r="J105" t="inlineStr">
        <is>
          <t>COMERCIAL SOLIS</t>
        </is>
      </c>
      <c r="K105" s="187" t="n">
        <v>46148</v>
      </c>
      <c r="L105" t="inlineStr">
        <is>
          <t>CAPELO</t>
        </is>
      </c>
      <c r="M105" t="inlineStr">
        <is>
          <t>SAP</t>
        </is>
      </c>
      <c r="N105" t="inlineStr">
        <is>
          <t>SAP</t>
        </is>
      </c>
      <c r="O105" t="inlineStr">
        <is>
          <t>TP257E00393</t>
        </is>
      </c>
      <c r="P105" t="n">
        <v>15</v>
      </c>
      <c r="Q105" s="187" t="n">
        <v>46147</v>
      </c>
      <c r="R105" t="inlineStr">
        <is>
          <t>sacmicas@gmail.com</t>
        </is>
      </c>
      <c r="S105" t="n">
        <v>301524617001</v>
      </c>
      <c r="T105" t="inlineStr">
        <is>
          <t>TRABAJO REALIZADO SIN NOVEDAD</t>
        </is>
      </c>
    </row>
    <row r="106" ht="19" customFormat="1" customHeight="1" s="102">
      <c r="B106" s="187" t="n">
        <v>46142</v>
      </c>
      <c r="C106" t="inlineStr">
        <is>
          <t>ANA GABRIELA PENAFIEL</t>
        </is>
      </c>
      <c r="D106" t="inlineStr">
        <is>
          <t>CONDOMINIO SANTA MARTHA AZOGUES</t>
        </is>
      </c>
      <c r="E106" t="inlineStr">
        <is>
          <t>+593 99 588 1329</t>
        </is>
      </c>
      <c r="F106" t="inlineStr">
        <is>
          <t>INSTALACION PROMOCION</t>
        </is>
      </c>
      <c r="G106" t="n">
        <v>112580027</v>
      </c>
      <c r="H106">
        <f>VLOOKUP(E82,PROD,2,FALSE)</f>
        <v/>
      </c>
      <c r="I106" t="inlineStr">
        <is>
          <t>VISITADO INSTALADO</t>
        </is>
      </c>
      <c r="J106" t="inlineStr">
        <is>
          <t>COMERCIAL SOLIS</t>
        </is>
      </c>
      <c r="K106" s="187" t="n">
        <v>46148</v>
      </c>
      <c r="L106" t="inlineStr">
        <is>
          <t>CAPELO</t>
        </is>
      </c>
      <c r="M106" t="inlineStr">
        <is>
          <t>SAP</t>
        </is>
      </c>
      <c r="N106" t="inlineStr">
        <is>
          <t>SAP</t>
        </is>
      </c>
      <c r="O106" t="inlineStr">
        <is>
          <t>ZP252500696</t>
        </is>
      </c>
      <c r="P106" t="n">
        <v>15</v>
      </c>
      <c r="Q106" s="187" t="n">
        <v>46147</v>
      </c>
      <c r="R106" t="inlineStr">
        <is>
          <t>sacmicas@gmail.com</t>
        </is>
      </c>
      <c r="S106" t="n">
        <v>301524617001</v>
      </c>
      <c r="T106" t="inlineStr">
        <is>
          <t>TRABAJO REALIZADO SIN NOVEDAD</t>
        </is>
      </c>
    </row>
    <row r="107" ht="19" customFormat="1" customHeight="1" s="102">
      <c r="B107" s="187" t="n">
        <v>46113</v>
      </c>
      <c r="C107" t="inlineStr">
        <is>
          <t>COMERCIAL SOLIS</t>
        </is>
      </c>
      <c r="D107" t="inlineStr">
        <is>
          <t>LAMAR "</t>
        </is>
      </c>
      <c r="E107" t="n">
        <v>998464542</v>
      </c>
      <c r="F107" t="inlineStr">
        <is>
          <t>BBQ</t>
        </is>
      </c>
      <c r="G107" t="n">
        <v>111570002</v>
      </c>
      <c r="H107">
        <f>VLOOKUP(E9,PROD,2,FALSE)</f>
        <v/>
      </c>
      <c r="I107" t="inlineStr">
        <is>
          <t>VISITADO INSTALADO</t>
        </is>
      </c>
      <c r="J107" t="inlineStr">
        <is>
          <t>TEKA DIRECTO</t>
        </is>
      </c>
      <c r="K107" s="187" t="n">
        <v>46148</v>
      </c>
      <c r="L107" t="inlineStr">
        <is>
          <t>CAPELO</t>
        </is>
      </c>
      <c r="M107" t="inlineStr">
        <is>
          <t>SAP</t>
        </is>
      </c>
      <c r="N107" t="inlineStr">
        <is>
          <t>SAP</t>
        </is>
      </c>
      <c r="O107" t="inlineStr">
        <is>
          <t>CO256E00680</t>
        </is>
      </c>
      <c r="P107" t="n">
        <v>29</v>
      </c>
      <c r="Q107" s="187" t="n">
        <v>46147</v>
      </c>
      <c r="R107" t="inlineStr">
        <is>
          <t>josesolisp@gmail.com</t>
        </is>
      </c>
      <c r="S107" t="n">
        <v>965521232</v>
      </c>
      <c r="T107" t="inlineStr">
        <is>
          <t>TRABAJO REALIZADO SIN NOVEDAD</t>
        </is>
      </c>
    </row>
    <row r="108" ht="19" customFormat="1" customHeight="1" s="102">
      <c r="B108" s="187" t="n">
        <v>46135</v>
      </c>
      <c r="C108" t="inlineStr">
        <is>
          <t>VERONICA GALVIS</t>
        </is>
      </c>
      <c r="D108" t="inlineStr">
        <is>
          <t>CHALLUABAMBA</t>
        </is>
      </c>
      <c r="E108" t="inlineStr">
        <is>
          <t>+593 99 926 5685</t>
        </is>
      </c>
      <c r="F108" t="inlineStr">
        <is>
          <t>INSTALACION UN PRODUCTO</t>
        </is>
      </c>
      <c r="G108" t="n">
        <v>112580058</v>
      </c>
      <c r="H108">
        <f>VLOOKUP(E20,PROD,2,FALSE)</f>
        <v/>
      </c>
      <c r="I108" t="inlineStr">
        <is>
          <t>VISITADO INSTALADO</t>
        </is>
      </c>
      <c r="J108" t="inlineStr">
        <is>
          <t>MERCARD</t>
        </is>
      </c>
      <c r="K108" s="187" t="n">
        <v>46148</v>
      </c>
      <c r="L108" t="inlineStr">
        <is>
          <t>CAPELO</t>
        </is>
      </c>
      <c r="M108" t="inlineStr">
        <is>
          <t>SAP</t>
        </is>
      </c>
      <c r="N108" t="inlineStr">
        <is>
          <t>SAP</t>
        </is>
      </c>
      <c r="O108" t="inlineStr">
        <is>
          <t>ZP25IV00148</t>
        </is>
      </c>
      <c r="P108" t="n">
        <v>29</v>
      </c>
      <c r="Q108" s="187" t="n">
        <v>46147</v>
      </c>
      <c r="R108" t="inlineStr">
        <is>
          <t>ma.veronicagalvis@gmail.com</t>
        </is>
      </c>
      <c r="S108" t="n">
        <v>105100978001</v>
      </c>
      <c r="T108" t="inlineStr">
        <is>
          <t>TRABAJO REALIZADO SIN NOVEDAD</t>
        </is>
      </c>
    </row>
    <row r="109" ht="19" customFormat="1" customHeight="1" s="102">
      <c r="B109" s="187" t="n">
        <v>46079</v>
      </c>
      <c r="C109" t="inlineStr">
        <is>
          <t>ZOILA ASTUDILLO</t>
        </is>
      </c>
      <c r="D109" t="inlineStr">
        <is>
          <t>RICAURTE 4 ESQUINAS DETRAS ALCATRAZ</t>
        </is>
      </c>
      <c r="E109" t="inlineStr">
        <is>
          <t>+593 95 986 0604</t>
        </is>
      </c>
      <c r="F109" t="inlineStr">
        <is>
          <t>INSTALACION UN PRODUCTO</t>
        </is>
      </c>
      <c r="G109" t="n">
        <v>112950021</v>
      </c>
      <c r="H109">
        <f>VLOOKUP(E21,PROD,2,FALSE)</f>
        <v/>
      </c>
      <c r="I109" t="inlineStr">
        <is>
          <t>VISITADO INSTALADO</t>
        </is>
      </c>
      <c r="J109" t="inlineStr">
        <is>
          <t>COMERCIAL KYWI</t>
        </is>
      </c>
      <c r="K109" s="187" t="n">
        <v>46148</v>
      </c>
      <c r="L109" t="inlineStr">
        <is>
          <t>CAPELO</t>
        </is>
      </c>
      <c r="M109" t="inlineStr">
        <is>
          <t>SAP</t>
        </is>
      </c>
      <c r="N109" t="inlineStr">
        <is>
          <t>SAP</t>
        </is>
      </c>
      <c r="O109" t="inlineStr">
        <is>
          <t>EK258800001</t>
        </is>
      </c>
      <c r="P109" t="n">
        <v>36</v>
      </c>
      <c r="Q109" s="187" t="n">
        <v>46147</v>
      </c>
      <c r="R109" t="inlineStr">
        <is>
          <t>rosyastudilloc@gmail.com</t>
        </is>
      </c>
      <c r="S109" t="n">
        <v>104699293</v>
      </c>
      <c r="T109" t="inlineStr">
        <is>
          <t>TRABAJO REALIZADO SIN NOVEDAD</t>
        </is>
      </c>
    </row>
    <row r="110" ht="19" customFormat="1" customHeight="1" s="102">
      <c r="B110" s="187" t="n">
        <v>46089</v>
      </c>
      <c r="C110" t="inlineStr">
        <is>
          <t>TERESA JACHO</t>
        </is>
      </c>
      <c r="D110" t="inlineStr">
        <is>
          <t>LA FLORESTA SECTOR JAIME ROLDOS</t>
        </is>
      </c>
      <c r="E110" t="inlineStr">
        <is>
          <t>+593 99 435 4626</t>
        </is>
      </c>
      <c r="F110" t="inlineStr">
        <is>
          <t>INSTALACION UN PRODUCTO</t>
        </is>
      </c>
      <c r="G110" t="n">
        <v>111000078</v>
      </c>
      <c r="H110">
        <f>VLOOKUP(E22,PROD,2,FALSE)</f>
        <v/>
      </c>
      <c r="I110" t="inlineStr">
        <is>
          <t>VISITADO INSTALADO</t>
        </is>
      </c>
      <c r="J110" t="inlineStr">
        <is>
          <t>COMO HOGAR</t>
        </is>
      </c>
      <c r="K110" s="187" t="n">
        <v>46148</v>
      </c>
      <c r="L110" t="inlineStr">
        <is>
          <t>CAPELO</t>
        </is>
      </c>
      <c r="M110" t="inlineStr">
        <is>
          <t>SAP</t>
        </is>
      </c>
      <c r="N110" t="inlineStr">
        <is>
          <t>SAP</t>
        </is>
      </c>
      <c r="O110" t="inlineStr">
        <is>
          <t>TZ257E16188</t>
        </is>
      </c>
      <c r="P110" t="n">
        <v>25</v>
      </c>
      <c r="Q110" s="187" t="n">
        <v>46147</v>
      </c>
      <c r="R110" t="inlineStr">
        <is>
          <t>tjachojo@gmail.com</t>
        </is>
      </c>
      <c r="S110" t="n">
        <v>1017994626</v>
      </c>
      <c r="T110" t="inlineStr">
        <is>
          <t>TRABAJO REALIZADO SIN NOVEDAD</t>
        </is>
      </c>
    </row>
    <row r="111" ht="19" customFormat="1" customHeight="1" s="102">
      <c r="B111" s="187" t="n">
        <v>44961</v>
      </c>
      <c r="C111" t="inlineStr">
        <is>
          <t>ISABEL PENAHERRERA</t>
        </is>
      </c>
      <c r="D111" t="inlineStr"/>
      <c r="E111" t="inlineStr">
        <is>
          <t>0984998241</t>
        </is>
      </c>
      <c r="F111" t="inlineStr">
        <is>
          <t>GARANTIA</t>
        </is>
      </c>
      <c r="G111" t="n">
        <v>112580027</v>
      </c>
      <c r="H111">
        <f>VLOOKUP(G15,PROD,2,FALSE)</f>
        <v/>
      </c>
      <c r="I111" t="inlineStr">
        <is>
          <t>VISITADO REPARADO</t>
        </is>
      </c>
      <c r="J111" t="inlineStr"/>
      <c r="K111" s="187" t="n">
        <v>46149</v>
      </c>
      <c r="L111" t="inlineStr">
        <is>
          <t>CAPELO</t>
        </is>
      </c>
      <c r="M111" t="inlineStr">
        <is>
          <t>SAP</t>
        </is>
      </c>
      <c r="N111" t="inlineStr">
        <is>
          <t>SAP</t>
        </is>
      </c>
      <c r="O111" t="inlineStr">
        <is>
          <t>ZP229600026</t>
        </is>
      </c>
      <c r="P111" t="n">
        <v>12.5</v>
      </c>
      <c r="Q111" s="187" t="n">
        <v>46148</v>
      </c>
      <c r="R111" t="inlineStr">
        <is>
          <t>isa.pw92@gmail.com</t>
        </is>
      </c>
      <c r="S111" t="n">
        <v>104984406</v>
      </c>
      <c r="T111" t="inlineStr">
        <is>
          <t>GARANTIA APLICADA SATISFACTORIAMENTE</t>
        </is>
      </c>
    </row>
    <row r="112" ht="19" customFormat="1" customHeight="1" s="102">
      <c r="B112" s="187" t="n">
        <v>46129</v>
      </c>
      <c r="C112" t="inlineStr">
        <is>
          <t>JAVIER CEDILLO</t>
        </is>
      </c>
      <c r="D112" t="inlineStr">
        <is>
          <t>SECTOR EMPRESA ELECTRICA</t>
        </is>
      </c>
      <c r="E112" t="inlineStr">
        <is>
          <t>+593 99 960 0068</t>
        </is>
      </c>
      <c r="F112" t="inlineStr">
        <is>
          <t>INSTALACION PROMOCION</t>
        </is>
      </c>
      <c r="G112" t="n">
        <v>113120010</v>
      </c>
      <c r="H112">
        <f>VLOOKUP(E83,PROD,2,FALSE)</f>
        <v/>
      </c>
      <c r="I112" t="inlineStr">
        <is>
          <t>VISITADO INSTALADO</t>
        </is>
      </c>
      <c r="J112" t="inlineStr">
        <is>
          <t>COMERCIAL SOLIS</t>
        </is>
      </c>
      <c r="K112" s="187" t="n">
        <v>46149</v>
      </c>
      <c r="L112" t="inlineStr">
        <is>
          <t>CAPELO</t>
        </is>
      </c>
      <c r="M112" t="inlineStr">
        <is>
          <t>SAP</t>
        </is>
      </c>
      <c r="N112" t="inlineStr">
        <is>
          <t>SAP</t>
        </is>
      </c>
      <c r="O112" t="inlineStr">
        <is>
          <t>TP256509428</t>
        </is>
      </c>
      <c r="P112" t="n">
        <v>15</v>
      </c>
      <c r="Q112" s="187" t="n">
        <v>46148</v>
      </c>
      <c r="R112" t="inlineStr">
        <is>
          <t>janeth.moralesa@gmail.com</t>
        </is>
      </c>
      <c r="S112" t="n">
        <v>704078674</v>
      </c>
      <c r="T112" t="inlineStr">
        <is>
          <t>TRABAJO REALIZADO SIN NOVEDAD</t>
        </is>
      </c>
    </row>
    <row r="113" ht="19" customFormat="1" customHeight="1" s="102">
      <c r="B113" s="187" t="n">
        <v>46129</v>
      </c>
      <c r="C113" t="inlineStr">
        <is>
          <t>JAVIER CEDILLO</t>
        </is>
      </c>
      <c r="D113" t="inlineStr">
        <is>
          <t>SECTOR EMPRESA ELECTRICA</t>
        </is>
      </c>
      <c r="E113" t="inlineStr">
        <is>
          <t>+593 99 960 0068</t>
        </is>
      </c>
      <c r="F113" t="inlineStr">
        <is>
          <t>INSTALACION PROMOCION</t>
        </is>
      </c>
      <c r="G113" t="n">
        <v>111000051</v>
      </c>
      <c r="H113">
        <f>VLOOKUP(E84,PROD,2,FALSE)</f>
        <v/>
      </c>
      <c r="I113" t="inlineStr">
        <is>
          <t>VISITADO INSTALADO</t>
        </is>
      </c>
      <c r="J113" t="inlineStr">
        <is>
          <t>COMERCIAL SOLIS</t>
        </is>
      </c>
      <c r="K113" s="187" t="n">
        <v>46149</v>
      </c>
      <c r="L113" t="inlineStr">
        <is>
          <t>CAPELO</t>
        </is>
      </c>
      <c r="M113" t="inlineStr">
        <is>
          <t>SAP</t>
        </is>
      </c>
      <c r="N113" t="inlineStr">
        <is>
          <t>SAP</t>
        </is>
      </c>
      <c r="O113" t="inlineStr">
        <is>
          <t>TZ262202389</t>
        </is>
      </c>
      <c r="P113" t="n">
        <v>15</v>
      </c>
      <c r="Q113" s="187" t="n">
        <v>46148</v>
      </c>
      <c r="R113" t="inlineStr">
        <is>
          <t>janeth.moralesa@gmail.com</t>
        </is>
      </c>
      <c r="S113" t="n">
        <v>704078674</v>
      </c>
      <c r="T113" t="inlineStr">
        <is>
          <t>TRABAJO REALIZADO SIN NOVEDAD</t>
        </is>
      </c>
    </row>
    <row r="114" ht="19" customFormat="1" customHeight="1" s="102">
      <c r="B114" s="187" t="n">
        <v>46129</v>
      </c>
      <c r="C114" t="inlineStr">
        <is>
          <t>JAVIER CEDILLO</t>
        </is>
      </c>
      <c r="D114" t="inlineStr">
        <is>
          <t>SECTOR EMPRESA ELECTRICA</t>
        </is>
      </c>
      <c r="E114" t="inlineStr">
        <is>
          <t>+593 99 960 0068</t>
        </is>
      </c>
      <c r="F114" t="inlineStr">
        <is>
          <t>INSTALACION PROMOCION</t>
        </is>
      </c>
      <c r="G114" t="n">
        <v>112580058</v>
      </c>
      <c r="H114">
        <f>VLOOKUP(E85,PROD,2,FALSE)</f>
        <v/>
      </c>
      <c r="I114" t="inlineStr">
        <is>
          <t>VISITADO INSTALADO</t>
        </is>
      </c>
      <c r="J114" t="inlineStr">
        <is>
          <t>COMERCIAL SOLIS</t>
        </is>
      </c>
      <c r="K114" s="187" t="n">
        <v>46149</v>
      </c>
      <c r="L114" t="inlineStr">
        <is>
          <t>CAPELO</t>
        </is>
      </c>
      <c r="M114" t="inlineStr">
        <is>
          <t>SAP</t>
        </is>
      </c>
      <c r="N114" t="inlineStr">
        <is>
          <t>SAP</t>
        </is>
      </c>
      <c r="O114" t="inlineStr">
        <is>
          <t>ZP257701326</t>
        </is>
      </c>
      <c r="P114" t="n">
        <v>15</v>
      </c>
      <c r="Q114" s="187" t="n">
        <v>46148</v>
      </c>
      <c r="R114" t="inlineStr">
        <is>
          <t>janeth.moralesa@gmail.com</t>
        </is>
      </c>
      <c r="S114" t="n">
        <v>704078674</v>
      </c>
      <c r="T114" t="inlineStr">
        <is>
          <t>TRABAJO REALIZADO SIN NOVEDAD</t>
        </is>
      </c>
    </row>
    <row r="115" ht="19" customFormat="1" customHeight="1" s="102">
      <c r="B115" s="187" t="n">
        <v>46088</v>
      </c>
      <c r="C115" t="inlineStr">
        <is>
          <t>ANDREA FEIJO</t>
        </is>
      </c>
      <c r="D115" t="inlineStr">
        <is>
          <t>RICAURTE</t>
        </is>
      </c>
      <c r="E115" t="inlineStr">
        <is>
          <t>+593 98 959 4937</t>
        </is>
      </c>
      <c r="F115" t="inlineStr">
        <is>
          <t>INSTALACION PROMOCION</t>
        </is>
      </c>
      <c r="G115" t="n">
        <v>41595026</v>
      </c>
      <c r="H115">
        <f>VLOOKUP(E86,PROD,2,FALSE)</f>
        <v/>
      </c>
      <c r="I115" t="inlineStr">
        <is>
          <t>VISITADO INSTALADO</t>
        </is>
      </c>
      <c r="J115" t="inlineStr">
        <is>
          <t>COMERCIAL SOLIS</t>
        </is>
      </c>
      <c r="K115" s="187" t="n">
        <v>46149</v>
      </c>
      <c r="L115" t="inlineStr">
        <is>
          <t>CAPELO</t>
        </is>
      </c>
      <c r="M115" t="inlineStr">
        <is>
          <t>SAP</t>
        </is>
      </c>
      <c r="N115" t="inlineStr">
        <is>
          <t>SAP</t>
        </is>
      </c>
      <c r="O115" t="inlineStr">
        <is>
          <t>TZ17AR80317</t>
        </is>
      </c>
      <c r="P115" t="n">
        <v>15</v>
      </c>
      <c r="Q115" s="187" t="n">
        <v>46148</v>
      </c>
      <c r="R115" t="inlineStr">
        <is>
          <t>philip14594@gmail.com</t>
        </is>
      </c>
      <c r="S115" t="n">
        <v>105076699001</v>
      </c>
      <c r="T115" t="inlineStr">
        <is>
          <t>TRABAJO REALIZADO SIN NOVEDAD</t>
        </is>
      </c>
    </row>
    <row r="116" ht="19" customFormat="1" customHeight="1" s="102">
      <c r="B116" s="187" t="n">
        <v>46088</v>
      </c>
      <c r="C116" t="inlineStr">
        <is>
          <t>ANDREA FEIJO</t>
        </is>
      </c>
      <c r="D116" t="inlineStr">
        <is>
          <t>RICAURTE</t>
        </is>
      </c>
      <c r="E116" t="inlineStr">
        <is>
          <t>+593 98 959 4937</t>
        </is>
      </c>
      <c r="F116" t="inlineStr">
        <is>
          <t>INSTALACION PROMOCION</t>
        </is>
      </c>
      <c r="G116" t="n">
        <v>112950019</v>
      </c>
      <c r="H116">
        <f>VLOOKUP(E87,PROD,2,FALSE)</f>
        <v/>
      </c>
      <c r="I116" t="inlineStr">
        <is>
          <t>VISITADO INSTALADO</t>
        </is>
      </c>
      <c r="J116" t="inlineStr">
        <is>
          <t>COMERCIAL SOLIS</t>
        </is>
      </c>
      <c r="K116" s="187" t="n">
        <v>46149</v>
      </c>
      <c r="L116" t="inlineStr">
        <is>
          <t>CAPELO</t>
        </is>
      </c>
      <c r="M116" t="inlineStr">
        <is>
          <t>SAP</t>
        </is>
      </c>
      <c r="N116" t="inlineStr">
        <is>
          <t>SAP</t>
        </is>
      </c>
      <c r="O116" t="inlineStr">
        <is>
          <t>EK256J00107</t>
        </is>
      </c>
      <c r="P116" t="n">
        <v>15</v>
      </c>
      <c r="Q116" s="187" t="n">
        <v>46148</v>
      </c>
      <c r="R116" t="inlineStr">
        <is>
          <t>philip14594@gmail.com</t>
        </is>
      </c>
      <c r="S116" t="n">
        <v>105076699001</v>
      </c>
      <c r="T116" t="inlineStr">
        <is>
          <t>TRABAJO REALIZADO SIN NOVEDAD</t>
        </is>
      </c>
    </row>
    <row r="117" ht="19" customFormat="1" customHeight="1" s="102">
      <c r="B117" s="187" t="n">
        <v>46088</v>
      </c>
      <c r="C117" t="inlineStr">
        <is>
          <t>ANDREA FEIJO</t>
        </is>
      </c>
      <c r="D117" t="inlineStr">
        <is>
          <t>RICAURTE</t>
        </is>
      </c>
      <c r="E117" t="inlineStr">
        <is>
          <t>+593 98 959 4937</t>
        </is>
      </c>
      <c r="F117" t="inlineStr">
        <is>
          <t>INSTALACION PROMOCION</t>
        </is>
      </c>
      <c r="G117" t="n">
        <v>11206006</v>
      </c>
      <c r="H117" t="inlineStr">
        <is>
          <t>MICRONDAS 8610</t>
        </is>
      </c>
      <c r="I117" t="inlineStr">
        <is>
          <t>VISITADO INSTALADO</t>
        </is>
      </c>
      <c r="J117" t="inlineStr">
        <is>
          <t>COMERCIAL SOLIS</t>
        </is>
      </c>
      <c r="K117" s="187" t="n">
        <v>46149</v>
      </c>
      <c r="L117" t="inlineStr">
        <is>
          <t>CAPELO</t>
        </is>
      </c>
      <c r="M117" t="inlineStr">
        <is>
          <t>SAP</t>
        </is>
      </c>
      <c r="N117" t="inlineStr">
        <is>
          <t>SAP</t>
        </is>
      </c>
      <c r="O117" t="inlineStr">
        <is>
          <t>TP259801849</t>
        </is>
      </c>
      <c r="P117" t="n">
        <v>15</v>
      </c>
      <c r="Q117" s="187" t="n">
        <v>46148</v>
      </c>
      <c r="R117" t="inlineStr">
        <is>
          <t>philip14594@gmail.com</t>
        </is>
      </c>
      <c r="S117" t="n">
        <v>105076699001</v>
      </c>
      <c r="T117" t="inlineStr">
        <is>
          <t>TRABAJO REALIZADO SIN NOVEDAD</t>
        </is>
      </c>
    </row>
    <row r="118" ht="19" customFormat="1" customHeight="1" s="102">
      <c r="B118" s="187" t="n">
        <v>46088</v>
      </c>
      <c r="C118" t="inlineStr">
        <is>
          <t>ANDREA FEIJO</t>
        </is>
      </c>
      <c r="D118" t="inlineStr">
        <is>
          <t>RICAURTE</t>
        </is>
      </c>
      <c r="E118" t="inlineStr">
        <is>
          <t>+593 98 959 4937</t>
        </is>
      </c>
      <c r="F118" t="inlineStr">
        <is>
          <t>INSTALACION PROMOCION</t>
        </is>
      </c>
      <c r="G118" t="n">
        <v>112510035</v>
      </c>
      <c r="H118">
        <f>VLOOKUP(E89,PROD,2,FALSE)</f>
        <v/>
      </c>
      <c r="I118" t="inlineStr">
        <is>
          <t>VISITADO INSTALADO</t>
        </is>
      </c>
      <c r="J118" t="inlineStr">
        <is>
          <t>COMERCIAL SOLIS</t>
        </is>
      </c>
      <c r="K118" s="187" t="n">
        <v>46149</v>
      </c>
      <c r="L118" t="inlineStr">
        <is>
          <t>CAPELO</t>
        </is>
      </c>
      <c r="M118" t="inlineStr">
        <is>
          <t>SAP</t>
        </is>
      </c>
      <c r="N118" t="inlineStr">
        <is>
          <t>SAP</t>
        </is>
      </c>
      <c r="O118" t="inlineStr">
        <is>
          <t>ZP258T00520</t>
        </is>
      </c>
      <c r="P118" t="n">
        <v>15</v>
      </c>
      <c r="Q118" s="187" t="n">
        <v>46148</v>
      </c>
      <c r="R118" t="inlineStr">
        <is>
          <t>philip14594@gmail.com</t>
        </is>
      </c>
      <c r="S118" t="n">
        <v>105076699001</v>
      </c>
      <c r="T118" t="inlineStr">
        <is>
          <t>TRABAJO REALIZADO SIN NOVEDAD</t>
        </is>
      </c>
    </row>
    <row r="119" ht="19" customFormat="1" customHeight="1" s="102">
      <c r="B119" s="187" t="n">
        <v>45981</v>
      </c>
      <c r="C119" t="inlineStr">
        <is>
          <t>LORENA QUILLE</t>
        </is>
      </c>
      <c r="D119" t="inlineStr">
        <is>
          <t>VIA A ICTOCRUZ</t>
        </is>
      </c>
      <c r="E119" t="inlineStr">
        <is>
          <t>+593 99 430 7109</t>
        </is>
      </c>
      <c r="F119" t="inlineStr">
        <is>
          <t>INSTALACION PROMOCION</t>
        </is>
      </c>
      <c r="G119" t="n">
        <v>112580058</v>
      </c>
      <c r="H119">
        <f>VLOOKUP(E90,PROD,2,FALSE)</f>
        <v/>
      </c>
      <c r="I119" t="inlineStr">
        <is>
          <t>VISITADO INSTALADO</t>
        </is>
      </c>
      <c r="J119" t="inlineStr">
        <is>
          <t>COMERCIAL KYWI</t>
        </is>
      </c>
      <c r="K119" s="187" t="n">
        <v>46149</v>
      </c>
      <c r="L119" t="inlineStr">
        <is>
          <t>CAPELO</t>
        </is>
      </c>
      <c r="M119" t="inlineStr">
        <is>
          <t>SAP</t>
        </is>
      </c>
      <c r="N119" t="inlineStr">
        <is>
          <t>SAP</t>
        </is>
      </c>
      <c r="O119" t="inlineStr">
        <is>
          <t>ZP258100240</t>
        </is>
      </c>
      <c r="P119" t="n">
        <v>20</v>
      </c>
      <c r="Q119" s="187" t="n">
        <v>46148</v>
      </c>
      <c r="R119" t="inlineStr">
        <is>
          <t>lorenaquille27@gmail.com</t>
        </is>
      </c>
      <c r="S119" t="n">
        <v>1044541554</v>
      </c>
      <c r="T119" t="inlineStr">
        <is>
          <t>TRABAJO REALIZADO SIN NOVEDAD</t>
        </is>
      </c>
    </row>
    <row r="120" ht="19" customFormat="1" customHeight="1" s="102">
      <c r="B120" s="187" t="n">
        <v>45981</v>
      </c>
      <c r="C120" t="inlineStr">
        <is>
          <t>LORENA QUILLE</t>
        </is>
      </c>
      <c r="D120" t="inlineStr">
        <is>
          <t>VIA A ICTOCRUZ</t>
        </is>
      </c>
      <c r="E120" t="inlineStr">
        <is>
          <t>+593 99 430 7109</t>
        </is>
      </c>
      <c r="F120" t="inlineStr">
        <is>
          <t>INSTALACION PROMOCION</t>
        </is>
      </c>
      <c r="G120" t="n">
        <v>111010040</v>
      </c>
      <c r="H120">
        <f>VLOOKUP(E91,PROD,2,FALSE)</f>
        <v/>
      </c>
      <c r="I120" t="inlineStr">
        <is>
          <t>VISITADO INSTALADO</t>
        </is>
      </c>
      <c r="J120" t="inlineStr">
        <is>
          <t>COMERCIAL KYWI</t>
        </is>
      </c>
      <c r="K120" s="187" t="n">
        <v>46149</v>
      </c>
      <c r="L120" t="inlineStr">
        <is>
          <t>CAPELO</t>
        </is>
      </c>
      <c r="M120" t="inlineStr">
        <is>
          <t>SAP</t>
        </is>
      </c>
      <c r="N120" t="inlineStr">
        <is>
          <t>SAP</t>
        </is>
      </c>
      <c r="O120" t="inlineStr">
        <is>
          <t>TZ259404293</t>
        </is>
      </c>
      <c r="P120" t="n">
        <v>20</v>
      </c>
      <c r="Q120" s="187" t="n">
        <v>46148</v>
      </c>
      <c r="R120" t="inlineStr">
        <is>
          <t>lorenaquille27@gmail.com</t>
        </is>
      </c>
      <c r="S120" t="n">
        <v>1044541554</v>
      </c>
      <c r="T120" t="inlineStr">
        <is>
          <t>TRABAJO REALIZADO SIN NOVEDAD</t>
        </is>
      </c>
    </row>
    <row r="121" ht="19" customFormat="1" customHeight="1" s="102">
      <c r="B121" s="187" t="n">
        <v>46136</v>
      </c>
      <c r="C121" t="inlineStr">
        <is>
          <t>YOLANDA TORRES</t>
        </is>
      </c>
      <c r="D121" t="inlineStr">
        <is>
          <t>EDIFICIO LOPE DE VEGA 4 81 ISABEL LA CATOLICA</t>
        </is>
      </c>
      <c r="E121" t="inlineStr">
        <is>
          <t>+593 99 314 9164</t>
        </is>
      </c>
      <c r="F121" t="inlineStr">
        <is>
          <t>INSTALACION UN PRODUCTO</t>
        </is>
      </c>
      <c r="G121" t="n">
        <v>112500046</v>
      </c>
      <c r="H121">
        <f>VLOOKUP(E23,PROD,2,FALSE)</f>
        <v/>
      </c>
      <c r="I121" t="inlineStr">
        <is>
          <t>VISITADO INSTALADO</t>
        </is>
      </c>
      <c r="J121" t="inlineStr">
        <is>
          <t>COMERCIAL KYWI</t>
        </is>
      </c>
      <c r="K121" s="187" t="n">
        <v>46149</v>
      </c>
      <c r="L121" t="inlineStr">
        <is>
          <t>CAPELO</t>
        </is>
      </c>
      <c r="M121" t="inlineStr">
        <is>
          <t>SAP</t>
        </is>
      </c>
      <c r="N121" t="inlineStr">
        <is>
          <t>SAP</t>
        </is>
      </c>
      <c r="O121" t="inlineStr">
        <is>
          <t>ZP2561V00107</t>
        </is>
      </c>
      <c r="P121" t="n">
        <v>25</v>
      </c>
      <c r="Q121" s="187" t="n">
        <v>46148</v>
      </c>
      <c r="R121" t="inlineStr">
        <is>
          <t>fstpegasus@hotmail.com</t>
        </is>
      </c>
      <c r="S121" t="n">
        <v>101478329</v>
      </c>
      <c r="T121" t="inlineStr">
        <is>
          <t>TRABAJO REALIZADO SIN NOVEDAD</t>
        </is>
      </c>
    </row>
    <row r="122" ht="19" customFormat="1" customHeight="1" s="102">
      <c r="B122" s="187" t="n">
        <v>46104</v>
      </c>
      <c r="C122" t="inlineStr">
        <is>
          <t>JUAN REINO VINTIMILLA</t>
        </is>
      </c>
      <c r="D122" t="inlineStr">
        <is>
          <t>ORDONEZ LASSO Y DE LA HIGUERA</t>
        </is>
      </c>
      <c r="E122" t="inlineStr">
        <is>
          <t>+593 99 480 8793</t>
        </is>
      </c>
      <c r="F122" t="inlineStr">
        <is>
          <t>INSTALACION PROMOCION</t>
        </is>
      </c>
      <c r="G122" t="n">
        <v>112580017</v>
      </c>
      <c r="H122">
        <f>VLOOKUP(E92,PROD,2,FALSE)</f>
        <v/>
      </c>
      <c r="I122" t="inlineStr">
        <is>
          <t>VISITADO INSTALADO</t>
        </is>
      </c>
      <c r="J122" t="inlineStr">
        <is>
          <t>COMERCIAL SOLIS</t>
        </is>
      </c>
      <c r="K122" s="187" t="n">
        <v>46150</v>
      </c>
      <c r="L122" t="inlineStr">
        <is>
          <t>CAPELO</t>
        </is>
      </c>
      <c r="M122" t="inlineStr">
        <is>
          <t>SAP</t>
        </is>
      </c>
      <c r="N122" t="inlineStr">
        <is>
          <t>SAP</t>
        </is>
      </c>
      <c r="O122" t="inlineStr">
        <is>
          <t>ZP257X00157</t>
        </is>
      </c>
      <c r="P122" t="n">
        <v>20</v>
      </c>
      <c r="Q122" s="187" t="n">
        <v>46149</v>
      </c>
      <c r="R122" t="inlineStr">
        <is>
          <t>juanreynov94@gmail.com</t>
        </is>
      </c>
      <c r="S122" t="n">
        <v>104963731001</v>
      </c>
      <c r="T122" t="inlineStr">
        <is>
          <t>TRABAJO REALIZADO SIN NOVEDAD</t>
        </is>
      </c>
    </row>
    <row r="123" ht="19" customFormat="1" customHeight="1" s="102">
      <c r="B123" s="187" t="n">
        <v>46104</v>
      </c>
      <c r="C123" t="inlineStr">
        <is>
          <t>JUAN REINO VINTIMILLA</t>
        </is>
      </c>
      <c r="D123" t="inlineStr">
        <is>
          <t>ORDONEZ LASSO Y DE LA HIGUERA</t>
        </is>
      </c>
      <c r="E123" t="inlineStr">
        <is>
          <t>+593 99 480 8793</t>
        </is>
      </c>
      <c r="F123" t="inlineStr">
        <is>
          <t>INSTALACION PROMOCION</t>
        </is>
      </c>
      <c r="G123" t="n">
        <v>112580017</v>
      </c>
      <c r="H123">
        <f>VLOOKUP(E93,PROD,2,FALSE)</f>
        <v/>
      </c>
      <c r="I123" t="inlineStr">
        <is>
          <t>VISITADO INSTALADO</t>
        </is>
      </c>
      <c r="J123" t="inlineStr">
        <is>
          <t>COMERCIAL SOLIS</t>
        </is>
      </c>
      <c r="K123" s="187" t="n">
        <v>46150</v>
      </c>
      <c r="L123" t="inlineStr">
        <is>
          <t>CAPELO</t>
        </is>
      </c>
      <c r="M123" t="inlineStr">
        <is>
          <t>SAP</t>
        </is>
      </c>
      <c r="N123" t="inlineStr">
        <is>
          <t>SAP</t>
        </is>
      </c>
      <c r="O123" t="inlineStr">
        <is>
          <t>ZO249T00049</t>
        </is>
      </c>
      <c r="P123" t="n">
        <v>20</v>
      </c>
      <c r="Q123" s="187" t="n">
        <v>46149</v>
      </c>
      <c r="R123" t="inlineStr">
        <is>
          <t>juanreynov94@gmail.com</t>
        </is>
      </c>
      <c r="S123" t="n">
        <v>104963731001</v>
      </c>
      <c r="T123" t="inlineStr">
        <is>
          <t>TRABAJO REALIZADO SIN NOVEDAD</t>
        </is>
      </c>
    </row>
    <row r="124" ht="19" customFormat="1" customHeight="1" s="102">
      <c r="B124" s="187" t="n">
        <v>46149</v>
      </c>
      <c r="C124" t="inlineStr">
        <is>
          <t>PRISCILA REINOSO</t>
        </is>
      </c>
      <c r="D124" t="inlineStr">
        <is>
          <t>PUERTAS DEL SOL</t>
        </is>
      </c>
      <c r="E124" t="inlineStr">
        <is>
          <t>+593 98 432 0047</t>
        </is>
      </c>
      <c r="F124" t="inlineStr">
        <is>
          <t>INSTALACION PROMOCION</t>
        </is>
      </c>
      <c r="G124" t="n">
        <v>112570068</v>
      </c>
      <c r="H124">
        <f>VLOOKUP(E94,PROD,2,FALSE)</f>
        <v/>
      </c>
      <c r="I124" t="inlineStr">
        <is>
          <t>VISITADO INSTALADO</t>
        </is>
      </c>
      <c r="J124" t="inlineStr">
        <is>
          <t>COMERCIAL SOLIS</t>
        </is>
      </c>
      <c r="K124" s="187" t="n">
        <v>46150</v>
      </c>
      <c r="L124" t="inlineStr">
        <is>
          <t>CAPELO</t>
        </is>
      </c>
      <c r="M124" t="inlineStr">
        <is>
          <t>SAP</t>
        </is>
      </c>
      <c r="N124" t="inlineStr">
        <is>
          <t>SAP</t>
        </is>
      </c>
      <c r="O124" t="inlineStr">
        <is>
          <t>ZP257Q00550</t>
        </is>
      </c>
      <c r="P124" t="n">
        <v>15</v>
      </c>
      <c r="Q124" s="187" t="n">
        <v>46149</v>
      </c>
      <c r="R124" t="inlineStr">
        <is>
          <t>pichyreinoso@hotmail.com</t>
        </is>
      </c>
      <c r="S124" t="n">
        <v>104644810001</v>
      </c>
      <c r="T124" t="inlineStr">
        <is>
          <t>TRABAJO REALIZADO SIN NOVEDAD</t>
        </is>
      </c>
    </row>
    <row r="125" ht="19" customFormat="1" customHeight="1" s="102">
      <c r="B125" s="187" t="n">
        <v>46149</v>
      </c>
      <c r="C125" t="inlineStr">
        <is>
          <t>PRISCILA REINOSO</t>
        </is>
      </c>
      <c r="D125" t="inlineStr">
        <is>
          <t>PUERTAS DEL SOL</t>
        </is>
      </c>
      <c r="E125" t="inlineStr">
        <is>
          <t>+593 98 432 0047</t>
        </is>
      </c>
      <c r="F125" t="inlineStr">
        <is>
          <t>INSTALACION PROMOCION</t>
        </is>
      </c>
      <c r="G125" t="n">
        <v>111000051</v>
      </c>
      <c r="H125">
        <f>VLOOKUP(E95,PROD,2,FALSE)</f>
        <v/>
      </c>
      <c r="I125" t="inlineStr">
        <is>
          <t>VISITADO INSTALADO</t>
        </is>
      </c>
      <c r="J125" t="inlineStr">
        <is>
          <t>COMERCIAL SOLIS</t>
        </is>
      </c>
      <c r="K125" s="187" t="n">
        <v>46150</v>
      </c>
      <c r="L125" t="inlineStr">
        <is>
          <t>CAPELO</t>
        </is>
      </c>
      <c r="M125" t="inlineStr">
        <is>
          <t>SAP</t>
        </is>
      </c>
      <c r="N125" t="inlineStr">
        <is>
          <t>SAP</t>
        </is>
      </c>
      <c r="O125" t="inlineStr">
        <is>
          <t>TZ256W29891</t>
        </is>
      </c>
      <c r="P125" t="n">
        <v>15</v>
      </c>
      <c r="Q125" s="187" t="n">
        <v>46149</v>
      </c>
      <c r="R125" t="inlineStr">
        <is>
          <t>pichyreinoso@hotmail.com</t>
        </is>
      </c>
      <c r="S125" t="n">
        <v>104644810001</v>
      </c>
      <c r="T125" t="inlineStr">
        <is>
          <t>TRABAJO REALIZADO SIN NOVEDAD</t>
        </is>
      </c>
    </row>
    <row r="126" ht="19" customFormat="1" customHeight="1" s="102">
      <c r="B126" s="187" t="n">
        <v>46149</v>
      </c>
      <c r="C126" t="inlineStr">
        <is>
          <t>PRISCILA REINOSO</t>
        </is>
      </c>
      <c r="D126" t="inlineStr">
        <is>
          <t>PUERTAS DEL SOL</t>
        </is>
      </c>
      <c r="E126" t="inlineStr">
        <is>
          <t>+593 98 432 0047</t>
        </is>
      </c>
      <c r="F126" t="inlineStr">
        <is>
          <t>INSTALACION PROMOCION</t>
        </is>
      </c>
      <c r="G126" t="n">
        <v>112030019</v>
      </c>
      <c r="H126">
        <f>VLOOKUP(E96,PROD,2,FALSE)</f>
        <v/>
      </c>
      <c r="I126" t="inlineStr">
        <is>
          <t>VISITADO INSTALADO</t>
        </is>
      </c>
      <c r="J126" t="inlineStr">
        <is>
          <t>COMERCIAL SOLIS</t>
        </is>
      </c>
      <c r="K126" s="187" t="n">
        <v>46150</v>
      </c>
      <c r="L126" t="inlineStr">
        <is>
          <t>CAPELO</t>
        </is>
      </c>
      <c r="M126" t="inlineStr">
        <is>
          <t>SAP</t>
        </is>
      </c>
      <c r="N126" t="inlineStr">
        <is>
          <t>SAP</t>
        </is>
      </c>
      <c r="O126" t="inlineStr">
        <is>
          <t>TP257G06518</t>
        </is>
      </c>
      <c r="P126" t="n">
        <v>15</v>
      </c>
      <c r="Q126" s="187" t="n">
        <v>46149</v>
      </c>
      <c r="R126" t="inlineStr">
        <is>
          <t>pichyreinoso@hotmail.com</t>
        </is>
      </c>
      <c r="S126" t="n">
        <v>104644810001</v>
      </c>
      <c r="T126" t="inlineStr">
        <is>
          <t>TRABAJO REALIZADO SIN NOVEDAD</t>
        </is>
      </c>
    </row>
    <row r="127" ht="19" customFormat="1" customHeight="1" s="102">
      <c r="B127" s="187" t="n">
        <v>46144</v>
      </c>
      <c r="C127" t="inlineStr">
        <is>
          <t>TIMOTHY SANDERS</t>
        </is>
      </c>
      <c r="D127" t="inlineStr">
        <is>
          <t>LUIS MORENO MORA Y ROBERTO CRESPO</t>
        </is>
      </c>
      <c r="E127" t="inlineStr">
        <is>
          <t>+593 99 381 7422</t>
        </is>
      </c>
      <c r="F127" t="inlineStr">
        <is>
          <t>BBQ</t>
        </is>
      </c>
      <c r="G127" t="n">
        <v>111570003</v>
      </c>
      <c r="H127">
        <f>VLOOKUP(E10,PROD,2,FALSE)</f>
        <v/>
      </c>
      <c r="I127" t="inlineStr">
        <is>
          <t>VISITADO INSTALADO</t>
        </is>
      </c>
      <c r="J127" t="inlineStr">
        <is>
          <t>COMERCIAL KYWI</t>
        </is>
      </c>
      <c r="K127" s="187" t="n">
        <v>46150</v>
      </c>
      <c r="L127" t="inlineStr">
        <is>
          <t>CAPELO</t>
        </is>
      </c>
      <c r="M127" t="inlineStr">
        <is>
          <t>SAP</t>
        </is>
      </c>
      <c r="N127" t="inlineStr">
        <is>
          <t>SAP</t>
        </is>
      </c>
      <c r="O127" t="inlineStr">
        <is>
          <t>CO256E00247</t>
        </is>
      </c>
      <c r="P127" t="n">
        <v>29</v>
      </c>
      <c r="Q127" s="187" t="n">
        <v>46149</v>
      </c>
      <c r="R127" t="inlineStr">
        <is>
          <t>timothysanderss@hotmail.com</t>
        </is>
      </c>
      <c r="S127" t="n">
        <v>965521537</v>
      </c>
      <c r="T127" t="inlineStr">
        <is>
          <t>TRABAJO REALIZADO SIN NOVEDAD</t>
        </is>
      </c>
    </row>
    <row r="128" ht="19" customFormat="1" customHeight="1" s="102">
      <c r="B128" s="187" t="n">
        <v>45980</v>
      </c>
      <c r="C128" t="inlineStr">
        <is>
          <t>GABRIEL INGA</t>
        </is>
      </c>
      <c r="D128" t="inlineStr">
        <is>
          <t>AV 1 DE MAYO</t>
        </is>
      </c>
      <c r="E128" t="inlineStr">
        <is>
          <t>+593 98 395 6424</t>
        </is>
      </c>
      <c r="F128" t="inlineStr">
        <is>
          <t>INSTALACION UN PRODUCTO</t>
        </is>
      </c>
      <c r="G128" t="n">
        <v>112580027</v>
      </c>
      <c r="H128">
        <f>VLOOKUP(E24,PROD,2,FALSE)</f>
        <v/>
      </c>
      <c r="I128" t="inlineStr">
        <is>
          <t>VISITADO INSTALADO</t>
        </is>
      </c>
      <c r="J128" t="inlineStr">
        <is>
          <t>COMERCIAL SOLIS</t>
        </is>
      </c>
      <c r="K128" s="187" t="n">
        <v>46150</v>
      </c>
      <c r="L128" t="inlineStr">
        <is>
          <t>CAPELO</t>
        </is>
      </c>
      <c r="M128" t="inlineStr">
        <is>
          <t>SAP</t>
        </is>
      </c>
      <c r="N128" t="inlineStr">
        <is>
          <t>SAP</t>
        </is>
      </c>
      <c r="O128" t="inlineStr">
        <is>
          <t>ZP253500693</t>
        </is>
      </c>
      <c r="P128" t="n">
        <v>29</v>
      </c>
      <c r="Q128" s="187" t="n">
        <v>46149</v>
      </c>
      <c r="R128" t="inlineStr">
        <is>
          <t>alexingapizarro@hotmail.com</t>
        </is>
      </c>
      <c r="S128" t="n">
        <v>104186291001</v>
      </c>
      <c r="T128" t="inlineStr">
        <is>
          <t>TRABAJO REALIZADO SIN NOVEDAD</t>
        </is>
      </c>
    </row>
    <row r="129" ht="19" customFormat="1" customHeight="1" s="102">
      <c r="B129" s="187" t="n">
        <v>46132</v>
      </c>
      <c r="C129" t="inlineStr">
        <is>
          <t>DIEGO CRESPO</t>
        </is>
      </c>
      <c r="D129" t="inlineStr">
        <is>
          <t>YUNGUILLA</t>
        </is>
      </c>
      <c r="E129" t="inlineStr">
        <is>
          <t>+593 99 960 8910</t>
        </is>
      </c>
      <c r="F129" t="inlineStr">
        <is>
          <t>INSTALACION UN PRODUCTO</t>
        </is>
      </c>
      <c r="G129" t="n">
        <v>112910007</v>
      </c>
      <c r="H129">
        <f>VLOOKUP(E25,PROD,2,FALSE)</f>
        <v/>
      </c>
      <c r="I129" t="inlineStr">
        <is>
          <t>VISITADO INSTALADO</t>
        </is>
      </c>
      <c r="J129" t="inlineStr">
        <is>
          <t>COMERCIAL SOLIS</t>
        </is>
      </c>
      <c r="K129" s="187" t="n">
        <v>46150</v>
      </c>
      <c r="L129" t="inlineStr">
        <is>
          <t>CAPELO</t>
        </is>
      </c>
      <c r="M129" t="inlineStr">
        <is>
          <t>SAP</t>
        </is>
      </c>
      <c r="N129" t="inlineStr">
        <is>
          <t>SAP</t>
        </is>
      </c>
      <c r="O129" t="inlineStr">
        <is>
          <t>PX25AT00081</t>
        </is>
      </c>
      <c r="P129" t="n">
        <v>45</v>
      </c>
      <c r="Q129" s="187" t="n">
        <v>46149</v>
      </c>
      <c r="R129" t="inlineStr">
        <is>
          <t>dcrespo@hormipisos.com</t>
        </is>
      </c>
      <c r="S129" t="n">
        <v>101059643001</v>
      </c>
      <c r="T129" t="inlineStr">
        <is>
          <t>TRABAJO REALIZADO SIN NOVEDAD</t>
        </is>
      </c>
    </row>
    <row r="130" ht="19" customFormat="1" customHeight="1" s="102">
      <c r="B130" s="187" t="n">
        <v>45353</v>
      </c>
      <c r="C130" t="inlineStr">
        <is>
          <t>FERNANDO VAZQUES</t>
        </is>
      </c>
      <c r="D130" t="inlineStr"/>
      <c r="E130" t="inlineStr">
        <is>
          <t>0993096851</t>
        </is>
      </c>
      <c r="F130" t="inlineStr">
        <is>
          <t>GARANTIA</t>
        </is>
      </c>
      <c r="G130" t="n">
        <v>112570126</v>
      </c>
      <c r="H130">
        <f>VLOOKUP(G16,PROD,2,FALSE)</f>
        <v/>
      </c>
      <c r="I130" t="inlineStr">
        <is>
          <t>VISITADO REPARADO</t>
        </is>
      </c>
      <c r="J130" t="inlineStr"/>
      <c r="K130" s="187" t="n">
        <v>46153</v>
      </c>
      <c r="L130" t="inlineStr">
        <is>
          <t>CAPELO</t>
        </is>
      </c>
      <c r="M130" t="inlineStr">
        <is>
          <t>SAP</t>
        </is>
      </c>
      <c r="N130" t="inlineStr">
        <is>
          <t>SAP</t>
        </is>
      </c>
      <c r="O130" t="inlineStr">
        <is>
          <t>ZP23C700661</t>
        </is>
      </c>
      <c r="P130" t="n">
        <v>12.5</v>
      </c>
      <c r="Q130" s="187" t="n">
        <v>46152</v>
      </c>
      <c r="R130" t="inlineStr">
        <is>
          <t>fvazquesred@hotmail.com</t>
        </is>
      </c>
      <c r="S130" t="n">
        <v>102298866</v>
      </c>
      <c r="T130" t="inlineStr">
        <is>
          <t>GARANTIA APLICADA SATISFACTORIAMENTE</t>
        </is>
      </c>
    </row>
    <row r="131" ht="19" customFormat="1" customHeight="1" s="102">
      <c r="B131" s="187" t="n">
        <v>46140</v>
      </c>
      <c r="C131" t="inlineStr">
        <is>
          <t>LOURDES CANTOS</t>
        </is>
      </c>
      <c r="D131" t="inlineStr">
        <is>
          <t>SECTOR UDA</t>
        </is>
      </c>
      <c r="E131" t="inlineStr">
        <is>
          <t>+593 95 871 7742</t>
        </is>
      </c>
      <c r="F131" t="inlineStr">
        <is>
          <t>INSTALACION PROMOCION</t>
        </is>
      </c>
      <c r="G131" t="n">
        <v>40297051</v>
      </c>
      <c r="H131">
        <f>VLOOKUP(E97,PROD,2,FALSE)</f>
        <v/>
      </c>
      <c r="I131" t="inlineStr">
        <is>
          <t>VISITADO INSTALADO</t>
        </is>
      </c>
      <c r="J131" t="inlineStr">
        <is>
          <t>HOME VEGA</t>
        </is>
      </c>
      <c r="K131" s="187" t="n">
        <v>46153</v>
      </c>
      <c r="L131" t="inlineStr">
        <is>
          <t>CAPELO</t>
        </is>
      </c>
      <c r="M131" t="inlineStr">
        <is>
          <t>SAP</t>
        </is>
      </c>
      <c r="N131" t="inlineStr">
        <is>
          <t>SAP</t>
        </is>
      </c>
      <c r="O131" t="inlineStr">
        <is>
          <t>FS3R596666X</t>
        </is>
      </c>
      <c r="P131" t="n">
        <v>20</v>
      </c>
      <c r="Q131" s="187" t="n">
        <v>46152</v>
      </c>
      <c r="R131" t="inlineStr">
        <is>
          <t>deysicahe@hotmail.com</t>
        </is>
      </c>
      <c r="S131" t="n">
        <v>301318820</v>
      </c>
      <c r="T131" t="inlineStr">
        <is>
          <t>TRABAJO REALIZADO SIN NOVEDAD</t>
        </is>
      </c>
    </row>
    <row r="132" ht="19" customFormat="1" customHeight="1" s="102">
      <c r="B132" s="187" t="n">
        <v>46140</v>
      </c>
      <c r="C132" t="inlineStr">
        <is>
          <t>LOURDES CANTOS</t>
        </is>
      </c>
      <c r="D132" t="inlineStr">
        <is>
          <t>SECTOR UDA</t>
        </is>
      </c>
      <c r="E132" t="inlineStr">
        <is>
          <t>+593 95 871 7742</t>
        </is>
      </c>
      <c r="F132" t="inlineStr">
        <is>
          <t>INSTALACION PROMOCION</t>
        </is>
      </c>
      <c r="G132" t="n">
        <v>40484204</v>
      </c>
      <c r="H132">
        <f>VLOOKUP(E98,PROD,2,FALSE)</f>
        <v/>
      </c>
      <c r="I132" t="inlineStr">
        <is>
          <t>VISITADO INSTALADO</t>
        </is>
      </c>
      <c r="J132" t="inlineStr">
        <is>
          <t>HOME VEGA</t>
        </is>
      </c>
      <c r="K132" s="187" t="n">
        <v>46153</v>
      </c>
      <c r="L132" t="inlineStr">
        <is>
          <t>CAPELO</t>
        </is>
      </c>
      <c r="M132" t="inlineStr">
        <is>
          <t>SAP</t>
        </is>
      </c>
      <c r="N132" t="inlineStr">
        <is>
          <t>SAP</t>
        </is>
      </c>
      <c r="O132" t="inlineStr">
        <is>
          <t>WH9E46ITC1</t>
        </is>
      </c>
      <c r="P132" t="n">
        <v>20</v>
      </c>
      <c r="Q132" s="187" t="n">
        <v>46152</v>
      </c>
      <c r="R132" t="inlineStr">
        <is>
          <t>deysicahe@hotmail.com</t>
        </is>
      </c>
      <c r="S132" t="n">
        <v>301318820</v>
      </c>
      <c r="T132" t="inlineStr">
        <is>
          <t>TRABAJO REALIZADO SIN NOVEDAD</t>
        </is>
      </c>
    </row>
    <row r="133" ht="19" customFormat="1" customHeight="1" s="102">
      <c r="B133" s="187" t="n">
        <v>46149</v>
      </c>
      <c r="C133" t="inlineStr">
        <is>
          <t>DELIA CABRERA</t>
        </is>
      </c>
      <c r="D133" t="inlineStr">
        <is>
          <t>CHORDELEG</t>
        </is>
      </c>
      <c r="E133" t="inlineStr">
        <is>
          <t>+593 99 974 4891</t>
        </is>
      </c>
      <c r="F133" t="inlineStr">
        <is>
          <t>INSTALACION UN PRODUCTO</t>
        </is>
      </c>
      <c r="G133" t="n">
        <v>112930076</v>
      </c>
      <c r="H133">
        <f>VLOOKUP(E26,PROD,2,FALSE)</f>
        <v/>
      </c>
      <c r="I133" t="inlineStr">
        <is>
          <t>VISITADO INSTALADO</t>
        </is>
      </c>
      <c r="J133" t="inlineStr">
        <is>
          <t>COMERCIAL SOLIS</t>
        </is>
      </c>
      <c r="K133" s="187" t="n">
        <v>46153</v>
      </c>
      <c r="L133" t="inlineStr">
        <is>
          <t>CAPELO</t>
        </is>
      </c>
      <c r="M133" t="inlineStr">
        <is>
          <t>SAP</t>
        </is>
      </c>
      <c r="N133" t="inlineStr">
        <is>
          <t>SAP</t>
        </is>
      </c>
      <c r="O133" t="inlineStr">
        <is>
          <t>PX256500057</t>
        </is>
      </c>
      <c r="P133" t="n">
        <v>36</v>
      </c>
      <c r="Q133" s="187" t="n">
        <v>46152</v>
      </c>
      <c r="R133" t="inlineStr">
        <is>
          <t>tatitram@gmail.com</t>
        </is>
      </c>
      <c r="S133" t="n">
        <v>101959245001</v>
      </c>
      <c r="T133" t="inlineStr">
        <is>
          <t>TRABAJO REALIZADO SIN NOVEDAD</t>
        </is>
      </c>
    </row>
    <row r="134" ht="19" customFormat="1" customHeight="1" s="102">
      <c r="B134" s="187" t="n">
        <v>46108</v>
      </c>
      <c r="C134" t="inlineStr">
        <is>
          <t>REGULO MARÍN</t>
        </is>
      </c>
      <c r="D134" t="inlineStr">
        <is>
          <t>CHORDELEG</t>
        </is>
      </c>
      <c r="E134" t="inlineStr">
        <is>
          <t>+593 99 806 9915</t>
        </is>
      </c>
      <c r="F134" t="inlineStr">
        <is>
          <t>INSTALACION UN PRODUCTO</t>
        </is>
      </c>
      <c r="G134" t="n">
        <v>111000050</v>
      </c>
      <c r="H134">
        <f>VLOOKUP(E27,PROD,2,FALSE)</f>
        <v/>
      </c>
      <c r="I134" t="inlineStr">
        <is>
          <t>VISITADO INSTALADO</t>
        </is>
      </c>
      <c r="J134" t="inlineStr">
        <is>
          <t>COMO HOGAR</t>
        </is>
      </c>
      <c r="K134" s="187" t="n">
        <v>46153</v>
      </c>
      <c r="L134" t="inlineStr">
        <is>
          <t>CAPELO</t>
        </is>
      </c>
      <c r="M134" t="inlineStr">
        <is>
          <t>SAP</t>
        </is>
      </c>
      <c r="N134" t="inlineStr">
        <is>
          <t>SAP</t>
        </is>
      </c>
      <c r="O134" t="inlineStr">
        <is>
          <t>TZ25AT18891</t>
        </is>
      </c>
      <c r="P134" t="n">
        <v>25</v>
      </c>
      <c r="Q134" s="187" t="n">
        <v>46152</v>
      </c>
      <c r="R134" t="inlineStr">
        <is>
          <t>rugulomarin394@gmail.com</t>
        </is>
      </c>
      <c r="S134" t="n">
        <v>9109800051001</v>
      </c>
      <c r="T134" t="inlineStr">
        <is>
          <t>TRABAJO REALIZADO SIN NOVEDAD</t>
        </is>
      </c>
    </row>
    <row r="135" ht="19" customFormat="1" customHeight="1" s="102">
      <c r="B135" s="187" t="n">
        <v>46124</v>
      </c>
      <c r="C135" t="inlineStr">
        <is>
          <t>SEBASTIAN LARA</t>
        </is>
      </c>
      <c r="D135" t="inlineStr">
        <is>
          <t>PASEO DE LOS CANARIS</t>
        </is>
      </c>
      <c r="E135" t="inlineStr">
        <is>
          <t>+593 99 531 0094</t>
        </is>
      </c>
      <c r="F135" t="inlineStr">
        <is>
          <t>INSTALACION PROMOCION</t>
        </is>
      </c>
      <c r="G135" t="n">
        <v>112950020</v>
      </c>
      <c r="H135">
        <f>VLOOKUP(E99,PROD,2,FALSE)</f>
        <v/>
      </c>
      <c r="I135" t="inlineStr">
        <is>
          <t>VISITADO INSTALADO</t>
        </is>
      </c>
      <c r="J135" t="inlineStr">
        <is>
          <t>COMERCIAL KYWI</t>
        </is>
      </c>
      <c r="K135" s="187" t="n">
        <v>46154</v>
      </c>
      <c r="L135" t="inlineStr">
        <is>
          <t>CAPELO</t>
        </is>
      </c>
      <c r="M135" t="inlineStr">
        <is>
          <t>SAP</t>
        </is>
      </c>
      <c r="N135" t="inlineStr">
        <is>
          <t>SAP</t>
        </is>
      </c>
      <c r="O135" t="inlineStr">
        <is>
          <t>EK258700040</t>
        </is>
      </c>
      <c r="P135" t="n">
        <v>20</v>
      </c>
      <c r="Q135" s="187" t="n">
        <v>46153</v>
      </c>
      <c r="R135" t="inlineStr">
        <is>
          <t>s.lara.quinteros@gmail.com</t>
        </is>
      </c>
      <c r="S135" t="n">
        <v>105112353001</v>
      </c>
      <c r="T135" t="inlineStr">
        <is>
          <t>TRABAJO REALIZADO SIN NOVEDAD</t>
        </is>
      </c>
    </row>
    <row r="136" ht="19" customFormat="1" customHeight="1" s="102">
      <c r="B136" s="187" t="n">
        <v>46124</v>
      </c>
      <c r="C136" t="inlineStr">
        <is>
          <t>SEBASTIAN LARA</t>
        </is>
      </c>
      <c r="D136" t="inlineStr">
        <is>
          <t>PASEO DE LOS CANARIS</t>
        </is>
      </c>
      <c r="E136" t="inlineStr">
        <is>
          <t>+593 99 531 0094</t>
        </is>
      </c>
      <c r="F136" t="inlineStr">
        <is>
          <t>INSTALACION PROMOCION</t>
        </is>
      </c>
      <c r="G136" t="n">
        <v>112580027</v>
      </c>
      <c r="H136">
        <f>VLOOKUP(E100,PROD,2,FALSE)</f>
        <v/>
      </c>
      <c r="I136" t="inlineStr">
        <is>
          <t>VISITADO INSTALADO</t>
        </is>
      </c>
      <c r="J136" t="inlineStr">
        <is>
          <t>COMERCIAL KYWI</t>
        </is>
      </c>
      <c r="K136" s="187" t="n">
        <v>46154</v>
      </c>
      <c r="L136" t="inlineStr">
        <is>
          <t>CAPELO</t>
        </is>
      </c>
      <c r="M136" t="inlineStr">
        <is>
          <t>SAP</t>
        </is>
      </c>
      <c r="N136" t="inlineStr">
        <is>
          <t>SAP</t>
        </is>
      </c>
      <c r="O136" t="inlineStr">
        <is>
          <t>ZP238U00497</t>
        </is>
      </c>
      <c r="P136" t="n">
        <v>20</v>
      </c>
      <c r="Q136" s="187" t="n">
        <v>46153</v>
      </c>
      <c r="R136" t="inlineStr">
        <is>
          <t>s.lara.quinteros@gmail.com</t>
        </is>
      </c>
      <c r="S136" t="n">
        <v>105112353001</v>
      </c>
      <c r="T136" t="inlineStr">
        <is>
          <t>TRABAJO REALIZADO SIN NOVEDAD</t>
        </is>
      </c>
    </row>
    <row r="137" ht="19" customFormat="1" customHeight="1" s="102">
      <c r="B137" s="187" t="n">
        <v>46031</v>
      </c>
      <c r="C137" t="inlineStr">
        <is>
          <t>ANTONIO ESCANDON</t>
        </is>
      </c>
      <c r="D137" t="inlineStr">
        <is>
          <t>SECTOR CEMENTERIO JUAN JOSE FLORES</t>
        </is>
      </c>
      <c r="E137" t="inlineStr">
        <is>
          <t>+593 98 434 0854</t>
        </is>
      </c>
      <c r="F137" t="inlineStr">
        <is>
          <t>INSTALACION PROMOCION</t>
        </is>
      </c>
      <c r="G137" t="n">
        <v>112060006</v>
      </c>
      <c r="H137" t="inlineStr">
        <is>
          <t>MICROONDAS ML 8210 BIS</t>
        </is>
      </c>
      <c r="I137" t="inlineStr">
        <is>
          <t>VISITADO INSTALADO</t>
        </is>
      </c>
      <c r="J137" t="inlineStr">
        <is>
          <t>COMERCIAL SOLIS</t>
        </is>
      </c>
      <c r="K137" s="187" t="n">
        <v>46154</v>
      </c>
      <c r="L137" t="inlineStr">
        <is>
          <t>CAPELO</t>
        </is>
      </c>
      <c r="M137" t="inlineStr">
        <is>
          <t>SAP</t>
        </is>
      </c>
      <c r="N137" t="inlineStr">
        <is>
          <t>SAP</t>
        </is>
      </c>
      <c r="O137" t="inlineStr">
        <is>
          <t>TP259007998</t>
        </is>
      </c>
      <c r="P137" t="n">
        <v>20</v>
      </c>
      <c r="Q137" s="187" t="n">
        <v>46153</v>
      </c>
      <c r="R137" t="inlineStr">
        <is>
          <t>janelita_28@hotmail.com</t>
        </is>
      </c>
      <c r="S137" t="n">
        <v>101810257</v>
      </c>
      <c r="T137" t="inlineStr">
        <is>
          <t>TRABAJO REALIZADO SIN NOVEDAD</t>
        </is>
      </c>
    </row>
    <row r="138" ht="19" customFormat="1" customHeight="1" s="102">
      <c r="B138" s="187" t="n">
        <v>46031</v>
      </c>
      <c r="C138" t="inlineStr">
        <is>
          <t>ANTONIO ESCANDON</t>
        </is>
      </c>
      <c r="D138" t="inlineStr">
        <is>
          <t>SECTOR CEMENTERIO JUAN JOSE FLORES</t>
        </is>
      </c>
      <c r="E138" t="inlineStr">
        <is>
          <t>+593 98 434 0854</t>
        </is>
      </c>
      <c r="F138" t="inlineStr">
        <is>
          <t>INSTALACION PROMOCION</t>
        </is>
      </c>
      <c r="G138" t="n">
        <v>111000051</v>
      </c>
      <c r="H138">
        <f>VLOOKUP(E102,PROD,2,FALSE)</f>
        <v/>
      </c>
      <c r="I138" t="inlineStr">
        <is>
          <t>VISITADO INSTALADO</t>
        </is>
      </c>
      <c r="J138" t="inlineStr">
        <is>
          <t>COMERCIAL SOLIS</t>
        </is>
      </c>
      <c r="K138" s="187" t="n">
        <v>46154</v>
      </c>
      <c r="L138" t="inlineStr">
        <is>
          <t>CAPELO</t>
        </is>
      </c>
      <c r="M138" t="inlineStr">
        <is>
          <t>SAP</t>
        </is>
      </c>
      <c r="N138" t="inlineStr">
        <is>
          <t>SAP</t>
        </is>
      </c>
      <c r="O138" t="inlineStr">
        <is>
          <t>TZ25AM13765</t>
        </is>
      </c>
      <c r="P138" t="n">
        <v>20</v>
      </c>
      <c r="Q138" s="187" t="n">
        <v>46153</v>
      </c>
      <c r="R138" t="inlineStr">
        <is>
          <t>janelita_28@hotmail.com</t>
        </is>
      </c>
      <c r="S138" t="n">
        <v>101810257</v>
      </c>
      <c r="T138" t="inlineStr">
        <is>
          <t>TRABAJO REALIZADO SIN NOVEDAD</t>
        </is>
      </c>
    </row>
    <row r="139" ht="19" customFormat="1" customHeight="1" s="102">
      <c r="B139" s="187" t="n">
        <v>45990</v>
      </c>
      <c r="C139" t="inlineStr">
        <is>
          <t>ANAIS GONZALES</t>
        </is>
      </c>
      <c r="D139" t="inlineStr">
        <is>
          <t>SAN JOAQUIN</t>
        </is>
      </c>
      <c r="E139" t="inlineStr">
        <is>
          <t>+593 98 493 8034</t>
        </is>
      </c>
      <c r="F139" t="inlineStr">
        <is>
          <t>INSTALACION PROMOCION</t>
        </is>
      </c>
      <c r="G139" t="n">
        <v>112580058</v>
      </c>
      <c r="H139">
        <f>VLOOKUP(E103,PROD,2,FALSE)</f>
        <v/>
      </c>
      <c r="I139" t="inlineStr">
        <is>
          <t>VISITADO INSTALADO</t>
        </is>
      </c>
      <c r="J139" t="inlineStr">
        <is>
          <t>ALMACENES CHORDELEG</t>
        </is>
      </c>
      <c r="K139" s="187" t="n">
        <v>46154</v>
      </c>
      <c r="L139" t="inlineStr">
        <is>
          <t>CAPELO</t>
        </is>
      </c>
      <c r="M139" t="inlineStr">
        <is>
          <t>SAP</t>
        </is>
      </c>
      <c r="N139" t="inlineStr">
        <is>
          <t>SAP</t>
        </is>
      </c>
      <c r="O139" t="inlineStr">
        <is>
          <t>ZP257701323</t>
        </is>
      </c>
      <c r="P139" t="n">
        <v>15</v>
      </c>
      <c r="Q139" s="187" t="n">
        <v>46153</v>
      </c>
      <c r="R139" t="inlineStr">
        <is>
          <t>anaisgonzalezc@hotmail.com</t>
        </is>
      </c>
      <c r="S139" t="n">
        <v>190411931001</v>
      </c>
      <c r="T139" t="inlineStr">
        <is>
          <t>TRABAJO REALIZADO SIN NOVEDAD</t>
        </is>
      </c>
    </row>
    <row r="140" ht="19" customFormat="1" customHeight="1" s="102">
      <c r="B140" s="187" t="n">
        <v>45990</v>
      </c>
      <c r="C140" t="inlineStr">
        <is>
          <t>ANAIS GONZALES</t>
        </is>
      </c>
      <c r="D140" t="inlineStr">
        <is>
          <t>SAN JOAQUIN</t>
        </is>
      </c>
      <c r="E140" t="inlineStr">
        <is>
          <t>+593 98 493 8034</t>
        </is>
      </c>
      <c r="F140" t="inlineStr">
        <is>
          <t>INSTALACION PROMOCION</t>
        </is>
      </c>
      <c r="G140" t="n">
        <v>111030002</v>
      </c>
      <c r="H140">
        <f>VLOOKUP(E104,PROD,2,FALSE)</f>
        <v/>
      </c>
      <c r="I140" t="inlineStr">
        <is>
          <t>VISITADO INSTALADO</t>
        </is>
      </c>
      <c r="J140" t="inlineStr">
        <is>
          <t>ALMACENES CHORDELEG</t>
        </is>
      </c>
      <c r="K140" s="187" t="n">
        <v>46154</v>
      </c>
      <c r="L140" t="inlineStr">
        <is>
          <t>CAPELO</t>
        </is>
      </c>
      <c r="M140" t="inlineStr">
        <is>
          <t>SAP</t>
        </is>
      </c>
      <c r="N140" t="inlineStr">
        <is>
          <t>SAP</t>
        </is>
      </c>
      <c r="O140" t="inlineStr">
        <is>
          <t>TZ257H21561</t>
        </is>
      </c>
      <c r="P140" t="n">
        <v>15</v>
      </c>
      <c r="Q140" s="187" t="n">
        <v>46153</v>
      </c>
      <c r="R140" t="inlineStr">
        <is>
          <t>anaisgonzalezc@hotmail.com</t>
        </is>
      </c>
      <c r="S140" t="n">
        <v>190411931001</v>
      </c>
      <c r="T140" t="inlineStr">
        <is>
          <t>TRABAJO REALIZADO SIN NOVEDAD</t>
        </is>
      </c>
    </row>
    <row r="141" ht="19" customFormat="1" customHeight="1" s="102">
      <c r="B141" s="187" t="n">
        <v>45990</v>
      </c>
      <c r="C141" t="inlineStr">
        <is>
          <t>ANAIS GONZALES</t>
        </is>
      </c>
      <c r="D141" t="inlineStr">
        <is>
          <t>SAN JOAQUIN</t>
        </is>
      </c>
      <c r="E141" t="inlineStr">
        <is>
          <t>+593 98 493 8034</t>
        </is>
      </c>
      <c r="F141" t="inlineStr">
        <is>
          <t>INSTALACION PROMOCION</t>
        </is>
      </c>
      <c r="G141" t="n">
        <v>40782128</v>
      </c>
      <c r="H141">
        <f>VLOOKUP(E105,PROD,2,FALSE)</f>
        <v/>
      </c>
      <c r="I141" t="inlineStr">
        <is>
          <t>VISITADO INSTALADO</t>
        </is>
      </c>
      <c r="J141" t="inlineStr">
        <is>
          <t>ALMACENES CHORDELEG</t>
        </is>
      </c>
      <c r="K141" s="187" t="n">
        <v>46154</v>
      </c>
      <c r="L141" t="inlineStr">
        <is>
          <t>CAPELO</t>
        </is>
      </c>
      <c r="M141" t="inlineStr">
        <is>
          <t>SAP</t>
        </is>
      </c>
      <c r="N141" t="inlineStr">
        <is>
          <t>SAP</t>
        </is>
      </c>
      <c r="O141" t="inlineStr">
        <is>
          <t>MD255L07958</t>
        </is>
      </c>
      <c r="P141" t="n">
        <v>15</v>
      </c>
      <c r="Q141" s="187" t="n">
        <v>46153</v>
      </c>
      <c r="R141" t="inlineStr">
        <is>
          <t>anaisgonzalezc@hotmail.com</t>
        </is>
      </c>
      <c r="S141" t="n">
        <v>190411931001</v>
      </c>
      <c r="T141" t="inlineStr">
        <is>
          <t>TRABAJO REALIZADO SIN NOVEDAD</t>
        </is>
      </c>
    </row>
    <row r="142" ht="19" customFormat="1" customHeight="1" s="102">
      <c r="B142" s="187" t="n">
        <v>45990</v>
      </c>
      <c r="C142" t="inlineStr">
        <is>
          <t>ANAIS GONZALES</t>
        </is>
      </c>
      <c r="D142" t="inlineStr">
        <is>
          <t>SAN JOAQUIN</t>
        </is>
      </c>
      <c r="E142" t="inlineStr">
        <is>
          <t>+593 98 493 8034</t>
        </is>
      </c>
      <c r="F142" t="inlineStr">
        <is>
          <t>INSTALACION PROMOCION</t>
        </is>
      </c>
      <c r="G142" t="n">
        <v>111630008</v>
      </c>
      <c r="H142">
        <f>VLOOKUP(E106,PROD,2,FALSE)</f>
        <v/>
      </c>
      <c r="I142" t="inlineStr">
        <is>
          <t>VISITADO INSTALADO</t>
        </is>
      </c>
      <c r="J142" t="inlineStr">
        <is>
          <t>ALMACENES CHORDELEG</t>
        </is>
      </c>
      <c r="K142" s="187" t="n">
        <v>46154</v>
      </c>
      <c r="L142" t="inlineStr">
        <is>
          <t>CAPELO</t>
        </is>
      </c>
      <c r="M142" t="inlineStr">
        <is>
          <t>SAP</t>
        </is>
      </c>
      <c r="N142" t="inlineStr">
        <is>
          <t>SAP</t>
        </is>
      </c>
      <c r="O142" t="inlineStr">
        <is>
          <t>ZP2A061780008</t>
        </is>
      </c>
      <c r="P142" t="n">
        <v>15</v>
      </c>
      <c r="Q142" s="187" t="n">
        <v>46153</v>
      </c>
      <c r="R142" t="inlineStr">
        <is>
          <t>anaisgonzalezc@hotmail.com</t>
        </is>
      </c>
      <c r="S142" t="n">
        <v>190411931001</v>
      </c>
      <c r="T142" t="inlineStr">
        <is>
          <t>TRABAJO REALIZADO SIN NOVEDAD</t>
        </is>
      </c>
    </row>
    <row r="143" ht="19" customFormat="1" customHeight="1" s="102">
      <c r="B143" s="187" t="n">
        <v>46171</v>
      </c>
      <c r="C143" t="inlineStr">
        <is>
          <t>AYKUL VELEZ</t>
        </is>
      </c>
      <c r="D143" t="inlineStr">
        <is>
          <t>PASEO RIO TOMEBAMBA ED ATLANTIDA</t>
        </is>
      </c>
      <c r="E143" t="inlineStr">
        <is>
          <t>+593 98 955 3435</t>
        </is>
      </c>
      <c r="F143" t="inlineStr">
        <is>
          <t>INSTALACION UN PRODUCTO</t>
        </is>
      </c>
      <c r="G143" t="n">
        <v>111010095</v>
      </c>
      <c r="H143">
        <f>VLOOKUP(E28,PROD,2,FALSE)</f>
        <v/>
      </c>
      <c r="I143" t="inlineStr">
        <is>
          <t>VISITADO INSTALADO</t>
        </is>
      </c>
      <c r="J143" t="inlineStr">
        <is>
          <t>COMERCIAL SOLIS</t>
        </is>
      </c>
      <c r="K143" s="187" t="n">
        <v>46154</v>
      </c>
      <c r="L143" t="inlineStr">
        <is>
          <t>CAPELO</t>
        </is>
      </c>
      <c r="M143" t="inlineStr">
        <is>
          <t>SAP</t>
        </is>
      </c>
      <c r="N143" t="inlineStr">
        <is>
          <t>SAP</t>
        </is>
      </c>
      <c r="O143" t="inlineStr">
        <is>
          <t>TZ26IF09195</t>
        </is>
      </c>
      <c r="P143" t="n">
        <v>25</v>
      </c>
      <c r="Q143" s="187" t="n">
        <v>46153</v>
      </c>
      <c r="R143" t="inlineStr">
        <is>
          <t>meinplatz2002@gmail.com</t>
        </is>
      </c>
      <c r="S143" t="n">
        <v>151950219</v>
      </c>
      <c r="T143" t="inlineStr">
        <is>
          <t>TRABAJO REALIZADO SIN NOVEDAD</t>
        </is>
      </c>
    </row>
    <row r="144" ht="19" customFormat="1" customHeight="1" s="102">
      <c r="B144" s="187" t="n">
        <v>46143</v>
      </c>
      <c r="C144" t="inlineStr">
        <is>
          <t>JHANET RIERA</t>
        </is>
      </c>
      <c r="D144" t="inlineStr">
        <is>
          <t>LONDRES Y BUDAPEST</t>
        </is>
      </c>
      <c r="E144" t="inlineStr">
        <is>
          <t>+593 99 959 6430</t>
        </is>
      </c>
      <c r="F144" t="inlineStr">
        <is>
          <t>INSTALACION UN PRODUCTO</t>
        </is>
      </c>
      <c r="G144" t="n">
        <v>112570246</v>
      </c>
      <c r="H144">
        <f>VLOOKUP(E29,PROD,2,FALSE)</f>
        <v/>
      </c>
      <c r="I144" t="inlineStr">
        <is>
          <t>VISITADO INSTALADO</t>
        </is>
      </c>
      <c r="J144" t="inlineStr">
        <is>
          <t>COMO HOGAR</t>
        </is>
      </c>
      <c r="K144" s="187" t="n">
        <v>46154</v>
      </c>
      <c r="L144" t="inlineStr">
        <is>
          <t>CAPELO</t>
        </is>
      </c>
      <c r="M144" t="inlineStr">
        <is>
          <t>SAP</t>
        </is>
      </c>
      <c r="N144" t="inlineStr">
        <is>
          <t>SAP</t>
        </is>
      </c>
      <c r="O144" t="inlineStr">
        <is>
          <t>ZP257E00061</t>
        </is>
      </c>
      <c r="P144" t="n">
        <v>29</v>
      </c>
      <c r="Q144" s="187" t="n">
        <v>46153</v>
      </c>
      <c r="R144" t="inlineStr">
        <is>
          <t>gerente@eimeparts.com</t>
        </is>
      </c>
      <c r="S144" t="n">
        <v>501472112001</v>
      </c>
      <c r="T144" t="inlineStr">
        <is>
          <t>TRABAJO REALIZADO SIN NOVEDAD</t>
        </is>
      </c>
    </row>
    <row r="145" ht="19" customFormat="1" customHeight="1" s="102">
      <c r="B145" s="187" t="n">
        <v>45627</v>
      </c>
      <c r="C145" t="inlineStr">
        <is>
          <t>XIMENA ZUNIGA</t>
        </is>
      </c>
      <c r="D145" t="inlineStr"/>
      <c r="E145" t="inlineStr">
        <is>
          <t>0995961394</t>
        </is>
      </c>
      <c r="F145" t="inlineStr">
        <is>
          <t>GARANTIA</t>
        </is>
      </c>
      <c r="G145" t="n">
        <v>112500047</v>
      </c>
      <c r="H145">
        <f>VLOOKUP(G17,PROD,2,FALSE)</f>
        <v/>
      </c>
      <c r="I145" t="inlineStr">
        <is>
          <t>VISITADO REPARADO</t>
        </is>
      </c>
      <c r="J145" t="inlineStr"/>
      <c r="K145" s="187" t="n">
        <v>46155</v>
      </c>
      <c r="L145" t="inlineStr">
        <is>
          <t>CAPELO</t>
        </is>
      </c>
      <c r="M145" t="inlineStr">
        <is>
          <t>SAP</t>
        </is>
      </c>
      <c r="N145" t="inlineStr">
        <is>
          <t>SAP</t>
        </is>
      </c>
      <c r="O145" t="inlineStr">
        <is>
          <t>ZP24AP00573</t>
        </is>
      </c>
      <c r="P145" t="n">
        <v>12.5</v>
      </c>
      <c r="Q145" s="187" t="n">
        <v>46154</v>
      </c>
      <c r="R145" t="inlineStr">
        <is>
          <t>izunigac@uazuay.edu.ec</t>
        </is>
      </c>
      <c r="S145" t="n">
        <v>102311651001</v>
      </c>
      <c r="T145" t="inlineStr">
        <is>
          <t>GARANTIA APLICADA SATISFACTORIAMENTE</t>
        </is>
      </c>
    </row>
    <row r="146" ht="19" customFormat="1" customHeight="1" s="102">
      <c r="B146" s="187" t="n">
        <v>45966</v>
      </c>
      <c r="C146" t="inlineStr">
        <is>
          <t>SEBASTIAN ROJAS</t>
        </is>
      </c>
      <c r="D146" t="inlineStr">
        <is>
          <t>AV SOLANO Y ALFONSO MORENO MORA</t>
        </is>
      </c>
      <c r="E146" t="inlineStr">
        <is>
          <t>+593 98 311 1598</t>
        </is>
      </c>
      <c r="F146" t="inlineStr">
        <is>
          <t>INSTALACION PROMOCION</t>
        </is>
      </c>
      <c r="G146" t="n">
        <v>112570123</v>
      </c>
      <c r="H146">
        <f>VLOOKUP(E107,PROD,2,FALSE)</f>
        <v/>
      </c>
      <c r="I146" t="inlineStr">
        <is>
          <t>VISITADO INSTALADO</t>
        </is>
      </c>
      <c r="J146" t="inlineStr">
        <is>
          <t>COMO HOGAR</t>
        </is>
      </c>
      <c r="K146" s="187" t="n">
        <v>46155</v>
      </c>
      <c r="L146" t="inlineStr">
        <is>
          <t>CAPELO</t>
        </is>
      </c>
      <c r="M146" t="inlineStr">
        <is>
          <t>SAP</t>
        </is>
      </c>
      <c r="N146" t="inlineStr">
        <is>
          <t>SAP</t>
        </is>
      </c>
      <c r="O146" t="inlineStr">
        <is>
          <t>ZP226Q0005</t>
        </is>
      </c>
      <c r="P146" t="n">
        <v>20</v>
      </c>
      <c r="Q146" s="187" t="n">
        <v>46154</v>
      </c>
      <c r="R146" t="inlineStr">
        <is>
          <t>sebastianrojasagu@gmail.com</t>
        </is>
      </c>
      <c r="S146" t="n">
        <v>152828133</v>
      </c>
      <c r="T146" t="inlineStr">
        <is>
          <t>TRABAJO REALIZADO SIN NOVEDAD</t>
        </is>
      </c>
    </row>
    <row r="147" ht="19" customFormat="1" customHeight="1" s="102">
      <c r="B147" s="187" t="n">
        <v>45966</v>
      </c>
      <c r="C147" t="inlineStr">
        <is>
          <t>SEBASTIAN ROJAS</t>
        </is>
      </c>
      <c r="D147" t="inlineStr">
        <is>
          <t>AV SOLANO Y ALFONSO MORENO MORA</t>
        </is>
      </c>
      <c r="E147" t="inlineStr">
        <is>
          <t>+593 98 311 1598</t>
        </is>
      </c>
      <c r="F147" t="inlineStr">
        <is>
          <t>INSTALACION PROMOCION</t>
        </is>
      </c>
      <c r="G147" t="n">
        <v>40485141</v>
      </c>
      <c r="H147">
        <f>VLOOKUP(E108,PROD,2,FALSE)</f>
        <v/>
      </c>
      <c r="I147" t="inlineStr">
        <is>
          <t>VISITADO INSTALADO</t>
        </is>
      </c>
      <c r="J147" t="inlineStr">
        <is>
          <t>COMO HOGAR</t>
        </is>
      </c>
      <c r="K147" s="187" t="n">
        <v>46155</v>
      </c>
      <c r="L147" t="inlineStr">
        <is>
          <t>CAPELO</t>
        </is>
      </c>
      <c r="M147" t="inlineStr">
        <is>
          <t>SAP</t>
        </is>
      </c>
      <c r="N147" t="inlineStr">
        <is>
          <t>SAP</t>
        </is>
      </c>
      <c r="O147" t="inlineStr">
        <is>
          <t>PZ243500020</t>
        </is>
      </c>
      <c r="P147" t="n">
        <v>30</v>
      </c>
      <c r="Q147" s="187" t="n">
        <v>46154</v>
      </c>
      <c r="R147" t="inlineStr">
        <is>
          <t>sebastianrojasagu@gmail.com</t>
        </is>
      </c>
      <c r="S147" t="n">
        <v>152828133</v>
      </c>
      <c r="T147" t="inlineStr">
        <is>
          <t>TRABAJO REALIZADO SIN NOVEDAD</t>
        </is>
      </c>
    </row>
    <row r="148" ht="19" customFormat="1" customHeight="1" s="102">
      <c r="B148" s="187" t="n">
        <v>46082</v>
      </c>
      <c r="C148" t="inlineStr">
        <is>
          <t>DANIELA ZUNIGA</t>
        </is>
      </c>
      <c r="D148" t="inlineStr">
        <is>
          <t>CARMEN DE SININCAY</t>
        </is>
      </c>
      <c r="E148" t="inlineStr">
        <is>
          <t>+593 99 284 9868</t>
        </is>
      </c>
      <c r="F148" t="inlineStr">
        <is>
          <t>INSTALACION UN PRODUCTO</t>
        </is>
      </c>
      <c r="G148" t="n">
        <v>112570126</v>
      </c>
      <c r="H148">
        <f>VLOOKUP(E30,PROD,2,FALSE)</f>
        <v/>
      </c>
      <c r="I148" t="inlineStr">
        <is>
          <t>VISITADO INSTALADO</t>
        </is>
      </c>
      <c r="J148" t="inlineStr">
        <is>
          <t>COMERCIAL KYWI</t>
        </is>
      </c>
      <c r="K148" s="187" t="n">
        <v>46155</v>
      </c>
      <c r="L148" t="inlineStr">
        <is>
          <t>CAPELO</t>
        </is>
      </c>
      <c r="M148" t="inlineStr">
        <is>
          <t>SAP</t>
        </is>
      </c>
      <c r="N148" t="inlineStr">
        <is>
          <t>SAP</t>
        </is>
      </c>
      <c r="O148" t="inlineStr">
        <is>
          <t>ZP25BE00007</t>
        </is>
      </c>
      <c r="P148" t="n">
        <v>29</v>
      </c>
      <c r="Q148" s="187" t="n">
        <v>46154</v>
      </c>
      <c r="R148" t="inlineStr">
        <is>
          <t>dzunigar@gmail.com</t>
        </is>
      </c>
      <c r="S148" t="n">
        <v>101300367</v>
      </c>
      <c r="T148" t="inlineStr">
        <is>
          <t>TRABAJO REALIZADO SIN NOVEDAD</t>
        </is>
      </c>
    </row>
    <row r="149" ht="19" customFormat="1" customHeight="1" s="102">
      <c r="B149" s="187" t="n">
        <v>46144</v>
      </c>
      <c r="C149" t="inlineStr">
        <is>
          <t>TIINA SOE</t>
        </is>
      </c>
      <c r="D149" t="inlineStr">
        <is>
          <t>SUBIDA DE TURI</t>
        </is>
      </c>
      <c r="E149" t="inlineStr">
        <is>
          <t>+593 98 799 8189</t>
        </is>
      </c>
      <c r="F149" t="inlineStr">
        <is>
          <t>INSTALACION UN PRODUCTO</t>
        </is>
      </c>
      <c r="G149" t="n">
        <v>111000051</v>
      </c>
      <c r="H149">
        <f>VLOOKUP(E31,PROD,2,FALSE)</f>
        <v/>
      </c>
      <c r="I149" t="inlineStr">
        <is>
          <t>VISITADO INSTALADO</t>
        </is>
      </c>
      <c r="J149" t="inlineStr">
        <is>
          <t>COMERCIAL KYWI</t>
        </is>
      </c>
      <c r="K149" s="187" t="n">
        <v>46155</v>
      </c>
      <c r="L149" t="inlineStr">
        <is>
          <t>CAPELO</t>
        </is>
      </c>
      <c r="M149" t="inlineStr">
        <is>
          <t>SAP</t>
        </is>
      </c>
      <c r="N149" t="inlineStr">
        <is>
          <t>SAP</t>
        </is>
      </c>
      <c r="O149" t="inlineStr">
        <is>
          <t>TZ247202365</t>
        </is>
      </c>
      <c r="P149" t="n">
        <v>25</v>
      </c>
      <c r="Q149" s="187" t="n">
        <v>46154</v>
      </c>
      <c r="R149" t="inlineStr">
        <is>
          <t>tiinasoe@live.com</t>
        </is>
      </c>
      <c r="S149" t="n">
        <v>102290053001</v>
      </c>
      <c r="T149" t="inlineStr">
        <is>
          <t>TRABAJO REALIZADO SIN NOVEDAD</t>
        </is>
      </c>
    </row>
    <row r="150" ht="19" customFormat="1" customHeight="1" s="102">
      <c r="B150" s="187" t="n">
        <v>46035</v>
      </c>
      <c r="C150" t="inlineStr">
        <is>
          <t>DAVID GUAMAN</t>
        </is>
      </c>
      <c r="D150" t="inlineStr">
        <is>
          <t>CANAR</t>
        </is>
      </c>
      <c r="E150" t="inlineStr">
        <is>
          <t>+593 99 574 0069</t>
        </is>
      </c>
      <c r="F150" t="inlineStr">
        <is>
          <t>INSTALACION PROMOCION</t>
        </is>
      </c>
      <c r="G150" t="n">
        <v>112580027</v>
      </c>
      <c r="H150">
        <f>VLOOKUP(E109,PROD,2,FALSE)</f>
        <v/>
      </c>
      <c r="I150" t="inlineStr">
        <is>
          <t>VISITADO INSTALADO</t>
        </is>
      </c>
      <c r="J150" t="inlineStr">
        <is>
          <t>LUNA PAZMIÑO</t>
        </is>
      </c>
      <c r="K150" s="187" t="n">
        <v>46156</v>
      </c>
      <c r="L150" t="inlineStr">
        <is>
          <t>CAPELO</t>
        </is>
      </c>
      <c r="M150" t="inlineStr">
        <is>
          <t>SAP</t>
        </is>
      </c>
      <c r="N150" t="inlineStr">
        <is>
          <t>SAP</t>
        </is>
      </c>
      <c r="O150" t="inlineStr">
        <is>
          <t>ZP259500351</t>
        </is>
      </c>
      <c r="P150" t="n">
        <v>20</v>
      </c>
      <c r="Q150" s="187" t="n">
        <v>46155</v>
      </c>
      <c r="R150" t="inlineStr">
        <is>
          <t>davidtwo993@gmail.com</t>
        </is>
      </c>
      <c r="S150" t="n">
        <v>302429626001</v>
      </c>
      <c r="T150" t="inlineStr">
        <is>
          <t>TRABAJO REALIZADO SIN NOVEDAD</t>
        </is>
      </c>
    </row>
    <row r="151" ht="19" customFormat="1" customHeight="1" s="102">
      <c r="B151" s="187" t="n">
        <v>46035</v>
      </c>
      <c r="C151" t="inlineStr">
        <is>
          <t>DAVID GUAMAN</t>
        </is>
      </c>
      <c r="D151" t="inlineStr">
        <is>
          <t>CANAR</t>
        </is>
      </c>
      <c r="E151" t="inlineStr">
        <is>
          <t>+593 99 574 0069</t>
        </is>
      </c>
      <c r="F151" t="inlineStr">
        <is>
          <t>INSTALACION PROMOCION</t>
        </is>
      </c>
      <c r="G151" t="n">
        <v>40467320</v>
      </c>
      <c r="H151">
        <f>VLOOKUP(E110,PROD,2,FALSE)</f>
        <v/>
      </c>
      <c r="I151" t="inlineStr">
        <is>
          <t>VISITADO INSTALADO</t>
        </is>
      </c>
      <c r="J151" t="inlineStr">
        <is>
          <t>LUNA PAZMIÑO</t>
        </is>
      </c>
      <c r="K151" s="187" t="n">
        <v>46156</v>
      </c>
      <c r="L151" t="inlineStr">
        <is>
          <t>CAPELO</t>
        </is>
      </c>
      <c r="M151" t="inlineStr">
        <is>
          <t>SAP</t>
        </is>
      </c>
      <c r="N151" t="inlineStr">
        <is>
          <t>SAP</t>
        </is>
      </c>
      <c r="O151" t="inlineStr">
        <is>
          <t>TP246C03250</t>
        </is>
      </c>
      <c r="P151" t="n">
        <v>20</v>
      </c>
      <c r="Q151" s="187" t="n">
        <v>46155</v>
      </c>
      <c r="R151" t="inlineStr">
        <is>
          <t>davidtwo993@gmail.com</t>
        </is>
      </c>
      <c r="S151" t="n">
        <v>302429626001</v>
      </c>
      <c r="T151" t="inlineStr">
        <is>
          <t>TRABAJO REALIZADO SIN NOVEDAD</t>
        </is>
      </c>
    </row>
    <row r="152" ht="19" customFormat="1" customHeight="1" s="102">
      <c r="B152" s="187" t="n">
        <v>46145</v>
      </c>
      <c r="C152" t="inlineStr">
        <is>
          <t>ARQ VANESSA JADAN</t>
        </is>
      </c>
      <c r="D152" t="inlineStr">
        <is>
          <t>SECTOR SUPERMAXI AMERICAS</t>
        </is>
      </c>
      <c r="E152" t="inlineStr">
        <is>
          <t>+593 96 251 7761</t>
        </is>
      </c>
      <c r="F152" t="inlineStr">
        <is>
          <t>INSTALACION UN PRODUCTO</t>
        </is>
      </c>
      <c r="G152" t="n">
        <v>112950020</v>
      </c>
      <c r="H152">
        <f>VLOOKUP(E32,PROD,2,FALSE)</f>
        <v/>
      </c>
      <c r="I152" t="inlineStr">
        <is>
          <t>VISITADO INSTALADO</t>
        </is>
      </c>
      <c r="J152" t="inlineStr">
        <is>
          <t>COMERCIAL KYWI</t>
        </is>
      </c>
      <c r="K152" s="187" t="n">
        <v>46156</v>
      </c>
      <c r="L152" t="inlineStr">
        <is>
          <t>CAPELO</t>
        </is>
      </c>
      <c r="M152" t="inlineStr">
        <is>
          <t>SAP</t>
        </is>
      </c>
      <c r="N152" t="inlineStr">
        <is>
          <t>SAP</t>
        </is>
      </c>
      <c r="O152" t="inlineStr">
        <is>
          <t>EK258700098</t>
        </is>
      </c>
      <c r="P152" t="n">
        <v>36</v>
      </c>
      <c r="Q152" s="187" t="n">
        <v>46155</v>
      </c>
      <c r="R152" t="inlineStr">
        <is>
          <t>vjadan2020@gmail.com</t>
        </is>
      </c>
      <c r="S152" t="n">
        <v>102917945001</v>
      </c>
      <c r="T152" t="inlineStr">
        <is>
          <t>TRABAJO REALIZADO SIN NOVEDAD</t>
        </is>
      </c>
    </row>
    <row r="153" ht="19" customFormat="1" customHeight="1" s="102">
      <c r="B153" s="187" t="n">
        <v>46155</v>
      </c>
      <c r="C153" t="inlineStr">
        <is>
          <t>EDWIN SEGARRA</t>
        </is>
      </c>
      <c r="D153" t="inlineStr">
        <is>
          <t>DE LOS LADRILLEROS EL TEJAR</t>
        </is>
      </c>
      <c r="E153" t="inlineStr">
        <is>
          <t>+593 96 831 4764</t>
        </is>
      </c>
      <c r="F153" t="inlineStr">
        <is>
          <t>INSTALACION UN PRODUCTO</t>
        </is>
      </c>
      <c r="G153" t="n">
        <v>112610068</v>
      </c>
      <c r="H153">
        <f>VLOOKUP(E33,PROD,2,FALSE)</f>
        <v/>
      </c>
      <c r="I153" t="inlineStr">
        <is>
          <t>VISITADO INSTALADO</t>
        </is>
      </c>
      <c r="J153" t="inlineStr">
        <is>
          <t>COMERCIAL SOLIS</t>
        </is>
      </c>
      <c r="K153" s="187" t="n">
        <v>46156</v>
      </c>
      <c r="L153" t="inlineStr">
        <is>
          <t>CAPELO</t>
        </is>
      </c>
      <c r="M153" t="inlineStr">
        <is>
          <t>SAP</t>
        </is>
      </c>
      <c r="N153" t="inlineStr">
        <is>
          <t>SAP</t>
        </is>
      </c>
      <c r="O153" t="inlineStr">
        <is>
          <t>ZP257G00780</t>
        </is>
      </c>
      <c r="P153" t="n">
        <v>29</v>
      </c>
      <c r="Q153" s="187" t="n">
        <v>46155</v>
      </c>
      <c r="R153" t="inlineStr">
        <is>
          <t>esegarra61@yahoo.com</t>
        </is>
      </c>
      <c r="S153" t="n">
        <v>101598472</v>
      </c>
      <c r="T153" t="inlineStr">
        <is>
          <t>TRABAJO REALIZADO SIN NOVEDAD</t>
        </is>
      </c>
    </row>
    <row r="154" ht="19" customFormat="1" customHeight="1" s="102">
      <c r="B154" s="187" t="n">
        <v>46095</v>
      </c>
      <c r="C154" t="inlineStr">
        <is>
          <t>JUAN VELECELA</t>
        </is>
      </c>
      <c r="D154" t="inlineStr">
        <is>
          <t>PANAMERICANA SUR KM 1 1/2 NARANCAY</t>
        </is>
      </c>
      <c r="E154" t="inlineStr">
        <is>
          <t>+593 96 291 7666</t>
        </is>
      </c>
      <c r="F154" t="inlineStr">
        <is>
          <t>INSTALACION PROMOCION</t>
        </is>
      </c>
      <c r="G154" t="n">
        <v>113430051</v>
      </c>
      <c r="H154">
        <f>VLOOKUP(E111,PROD,2,FALSE)</f>
        <v/>
      </c>
      <c r="I154" t="inlineStr">
        <is>
          <t>VISITADO INSTALADO</t>
        </is>
      </c>
      <c r="J154" t="inlineStr">
        <is>
          <t>COMERCIAL SOLIS</t>
        </is>
      </c>
      <c r="K154" s="187" t="n">
        <v>46157</v>
      </c>
      <c r="L154" t="inlineStr">
        <is>
          <t>CAPELO</t>
        </is>
      </c>
      <c r="M154" t="inlineStr">
        <is>
          <t>SAP</t>
        </is>
      </c>
      <c r="N154" t="inlineStr">
        <is>
          <t>SAP</t>
        </is>
      </c>
      <c r="O154" t="inlineStr">
        <is>
          <t>TKAZC5K3136001</t>
        </is>
      </c>
      <c r="P154" t="n">
        <v>15</v>
      </c>
      <c r="Q154" s="187" t="n">
        <v>46156</v>
      </c>
      <c r="R154" t="inlineStr">
        <is>
          <t>danielazhagui1020@gmail.com</t>
        </is>
      </c>
      <c r="S154" t="n">
        <v>106102759</v>
      </c>
      <c r="T154" t="inlineStr">
        <is>
          <t>TRABAJO REALIZADO SIN NOVEDAD</t>
        </is>
      </c>
    </row>
    <row r="155" ht="19" customFormat="1" customHeight="1" s="102">
      <c r="B155" s="187" t="n">
        <v>46095</v>
      </c>
      <c r="C155" t="inlineStr">
        <is>
          <t>JUAN VELECELA</t>
        </is>
      </c>
      <c r="D155" t="inlineStr">
        <is>
          <t>PANAMERICANA SUR KM 1 1/2 NARANCAY</t>
        </is>
      </c>
      <c r="E155" t="inlineStr">
        <is>
          <t>+593 96 291 7666</t>
        </is>
      </c>
      <c r="F155" t="inlineStr">
        <is>
          <t>INSTALACION PROMOCION</t>
        </is>
      </c>
      <c r="G155" t="n">
        <v>111000059</v>
      </c>
      <c r="H155">
        <f>VLOOKUP(E112,PROD,2,FALSE)</f>
        <v/>
      </c>
      <c r="I155" t="inlineStr">
        <is>
          <t>VISITADO INSTALADO</t>
        </is>
      </c>
      <c r="J155" t="inlineStr">
        <is>
          <t>COMERCIAL SOLIS</t>
        </is>
      </c>
      <c r="K155" s="187" t="n">
        <v>46157</v>
      </c>
      <c r="L155" t="inlineStr">
        <is>
          <t>CAPELO</t>
        </is>
      </c>
      <c r="M155" t="inlineStr">
        <is>
          <t>SAP</t>
        </is>
      </c>
      <c r="N155" t="inlineStr">
        <is>
          <t>SAP</t>
        </is>
      </c>
      <c r="O155" t="inlineStr">
        <is>
          <t>TZ25BC07029</t>
        </is>
      </c>
      <c r="P155" t="n">
        <v>15</v>
      </c>
      <c r="Q155" s="187" t="n">
        <v>46156</v>
      </c>
      <c r="R155" t="inlineStr">
        <is>
          <t>danielazhagui1020@gmail.com</t>
        </is>
      </c>
      <c r="S155" t="n">
        <v>106102759</v>
      </c>
      <c r="T155" t="inlineStr">
        <is>
          <t>TRABAJO REALIZADO SIN NOVEDAD</t>
        </is>
      </c>
    </row>
    <row r="156" ht="19" customFormat="1" customHeight="1" s="102">
      <c r="B156" s="187" t="n">
        <v>46095</v>
      </c>
      <c r="C156" t="inlineStr">
        <is>
          <t>JUAN VELECELA</t>
        </is>
      </c>
      <c r="D156" t="inlineStr">
        <is>
          <t>PANAMERICANA SUR KM 1 1/2 NARANCAY</t>
        </is>
      </c>
      <c r="E156" t="inlineStr">
        <is>
          <t>+593 96 291 7666</t>
        </is>
      </c>
      <c r="F156" t="inlineStr">
        <is>
          <t>INSTALACION PROMOCION</t>
        </is>
      </c>
      <c r="G156" t="n">
        <v>112570238</v>
      </c>
      <c r="H156">
        <f>VLOOKUP(E113,PROD,2,FALSE)</f>
        <v/>
      </c>
      <c r="I156" t="inlineStr">
        <is>
          <t>VISITADO INSTALADO</t>
        </is>
      </c>
      <c r="J156" t="inlineStr">
        <is>
          <t>COMERCIAL SOLIS</t>
        </is>
      </c>
      <c r="K156" s="187" t="n">
        <v>46157</v>
      </c>
      <c r="L156" t="inlineStr">
        <is>
          <t>CAPELO</t>
        </is>
      </c>
      <c r="M156" t="inlineStr">
        <is>
          <t>SAP</t>
        </is>
      </c>
      <c r="N156" t="inlineStr">
        <is>
          <t>SAP</t>
        </is>
      </c>
      <c r="O156" t="inlineStr">
        <is>
          <t>ZP262A00001</t>
        </is>
      </c>
      <c r="P156" t="n">
        <v>15</v>
      </c>
      <c r="Q156" s="187" t="n">
        <v>46156</v>
      </c>
      <c r="R156" t="inlineStr">
        <is>
          <t>danielazhagui1020@gmail.com</t>
        </is>
      </c>
      <c r="S156" t="n">
        <v>106102759</v>
      </c>
      <c r="T156" t="inlineStr">
        <is>
          <t>TRABAJO REALIZADO SIN NOVEDAD</t>
        </is>
      </c>
    </row>
    <row r="157" ht="19" customFormat="1" customHeight="1" s="102">
      <c r="B157" s="187" t="n">
        <v>46055</v>
      </c>
      <c r="C157" t="inlineStr">
        <is>
          <t>JACKELINE ESPEJO</t>
        </is>
      </c>
      <c r="D157" t="inlineStr">
        <is>
          <t>EL CEBOLLAR</t>
        </is>
      </c>
      <c r="E157" t="inlineStr">
        <is>
          <t>+593 93 905 5689</t>
        </is>
      </c>
      <c r="F157" t="inlineStr">
        <is>
          <t>INSTALACION UN PRODUCTO</t>
        </is>
      </c>
      <c r="G157" t="n">
        <v>112580058</v>
      </c>
      <c r="H157">
        <f>VLOOKUP(E34,PROD,2,FALSE)</f>
        <v/>
      </c>
      <c r="I157" t="inlineStr">
        <is>
          <t>VISITADO INSTALADO</t>
        </is>
      </c>
      <c r="J157" t="inlineStr">
        <is>
          <t>COMERCIAL SOLIS</t>
        </is>
      </c>
      <c r="K157" s="187" t="n">
        <v>46157</v>
      </c>
      <c r="L157" t="inlineStr">
        <is>
          <t>CAPELO</t>
        </is>
      </c>
      <c r="M157" t="inlineStr">
        <is>
          <t>SAP</t>
        </is>
      </c>
      <c r="N157" t="inlineStr">
        <is>
          <t>SAP</t>
        </is>
      </c>
      <c r="O157" t="inlineStr">
        <is>
          <t>ZP259V00155</t>
        </is>
      </c>
      <c r="P157" t="n">
        <v>29</v>
      </c>
      <c r="Q157" s="187" t="n">
        <v>46156</v>
      </c>
      <c r="R157" t="inlineStr">
        <is>
          <t>jackycarmen@hotmail.com</t>
        </is>
      </c>
      <c r="S157" t="n">
        <v>104815055</v>
      </c>
      <c r="T157" t="inlineStr">
        <is>
          <t>TRABAJO REALIZADO SIN NOVEDAD</t>
        </is>
      </c>
    </row>
    <row r="158" ht="19" customFormat="1" customHeight="1" s="102">
      <c r="B158" s="187" t="n">
        <v>46170</v>
      </c>
      <c r="C158" t="inlineStr">
        <is>
          <t>SEBASTIAN ABRIL</t>
        </is>
      </c>
      <c r="D158" t="inlineStr">
        <is>
          <t>EDIFICIO RYO</t>
        </is>
      </c>
      <c r="E158" t="inlineStr">
        <is>
          <t>+593 98 410 9332</t>
        </is>
      </c>
      <c r="F158" t="inlineStr">
        <is>
          <t>INSTALACION UN PRODUCTO</t>
        </is>
      </c>
      <c r="G158" t="n">
        <v>40197255</v>
      </c>
      <c r="H158">
        <f>VLOOKUP(E36,PROD,2,FALSE)</f>
        <v/>
      </c>
      <c r="I158" t="inlineStr">
        <is>
          <t>VISITADO INSTALADO</t>
        </is>
      </c>
      <c r="J158" t="inlineStr">
        <is>
          <t>MERCARD</t>
        </is>
      </c>
      <c r="K158" s="187" t="n">
        <v>46157</v>
      </c>
      <c r="L158" t="inlineStr">
        <is>
          <t>CAPELO</t>
        </is>
      </c>
      <c r="M158" t="inlineStr">
        <is>
          <t>SAP</t>
        </is>
      </c>
      <c r="N158" t="inlineStr">
        <is>
          <t>SAP</t>
        </is>
      </c>
      <c r="O158" t="inlineStr">
        <is>
          <t>251225AF0100</t>
        </is>
      </c>
      <c r="P158" t="n">
        <v>15</v>
      </c>
      <c r="Q158" s="187" t="n">
        <v>46156</v>
      </c>
      <c r="R158" t="inlineStr">
        <is>
          <t>samper78@hotmail.com</t>
        </is>
      </c>
      <c r="S158" t="n">
        <v>102461175</v>
      </c>
      <c r="T158" t="inlineStr">
        <is>
          <t>TRABAJO REALIZADO SIN NOVEDAD</t>
        </is>
      </c>
    </row>
    <row r="159" ht="19" customFormat="1" customHeight="1" s="102">
      <c r="B159" s="187" t="n">
        <v>46170</v>
      </c>
      <c r="C159" t="inlineStr">
        <is>
          <t>SEBASTIAN ABRIL</t>
        </is>
      </c>
      <c r="D159" t="inlineStr">
        <is>
          <t>EDIFICIO RYO</t>
        </is>
      </c>
      <c r="E159" t="inlineStr">
        <is>
          <t>+593 98 410 9332</t>
        </is>
      </c>
      <c r="F159" t="inlineStr">
        <is>
          <t>INSTALACION UN PRODUCTO</t>
        </is>
      </c>
      <c r="G159" t="n">
        <v>40782127</v>
      </c>
      <c r="H159">
        <f>VLOOKUP(E37,PROD,2,FALSE)</f>
        <v/>
      </c>
      <c r="I159" t="inlineStr">
        <is>
          <t>VISITADO INSTALADO</t>
        </is>
      </c>
      <c r="J159" t="inlineStr">
        <is>
          <t>MERCARD</t>
        </is>
      </c>
      <c r="K159" s="187" t="n">
        <v>46157</v>
      </c>
      <c r="L159" t="inlineStr">
        <is>
          <t>CAPELO</t>
        </is>
      </c>
      <c r="M159" t="inlineStr">
        <is>
          <t>SAP</t>
        </is>
      </c>
      <c r="N159" t="inlineStr">
        <is>
          <t>SAP</t>
        </is>
      </c>
      <c r="O159" t="inlineStr">
        <is>
          <t>MD255L08087</t>
        </is>
      </c>
      <c r="P159" t="n">
        <v>25</v>
      </c>
      <c r="Q159" s="187" t="n">
        <v>46156</v>
      </c>
      <c r="R159" t="inlineStr">
        <is>
          <t>samper78@hotmail.com</t>
        </is>
      </c>
      <c r="S159" t="n">
        <v>102461175</v>
      </c>
      <c r="T159" t="inlineStr">
        <is>
          <t>TRABAJO REALIZADO SIN NOVEDAD</t>
        </is>
      </c>
    </row>
    <row r="160" ht="19" customFormat="1" customHeight="1" s="102">
      <c r="B160" s="187" t="n">
        <v>45353</v>
      </c>
      <c r="C160" t="inlineStr">
        <is>
          <t>FERNANDO VAZQUES</t>
        </is>
      </c>
      <c r="D160" t="inlineStr"/>
      <c r="E160" t="inlineStr">
        <is>
          <t>0993096851</t>
        </is>
      </c>
      <c r="F160" t="inlineStr">
        <is>
          <t>GARANTIA</t>
        </is>
      </c>
      <c r="G160" t="n">
        <v>111000050</v>
      </c>
      <c r="H160">
        <f>VLOOKUP(G18,PROD,2,FALSE)</f>
        <v/>
      </c>
      <c r="I160" t="inlineStr">
        <is>
          <t>VISITADO REPARADO</t>
        </is>
      </c>
      <c r="J160" t="inlineStr"/>
      <c r="K160" s="187" t="n">
        <v>46159</v>
      </c>
      <c r="L160" t="inlineStr">
        <is>
          <t>CAPELO</t>
        </is>
      </c>
      <c r="M160" t="inlineStr">
        <is>
          <t>SAP</t>
        </is>
      </c>
      <c r="N160" t="inlineStr">
        <is>
          <t>SAP</t>
        </is>
      </c>
      <c r="O160" t="inlineStr">
        <is>
          <t>TZ2271124051</t>
        </is>
      </c>
      <c r="P160" t="n">
        <v>15</v>
      </c>
      <c r="Q160" s="187" t="n">
        <v>46158</v>
      </c>
      <c r="R160" t="inlineStr">
        <is>
          <t>fvazquesred@hotmail.com</t>
        </is>
      </c>
      <c r="S160" t="n">
        <v>102298866</v>
      </c>
      <c r="T160" t="inlineStr">
        <is>
          <t>GARANTIA APLICADA SATISFACTORIAMENTE</t>
        </is>
      </c>
    </row>
    <row r="161" ht="19" customFormat="1" customHeight="1" s="102">
      <c r="B161" s="187" t="n">
        <v>46081</v>
      </c>
      <c r="C161" t="inlineStr">
        <is>
          <t>HERNAN URGILES</t>
        </is>
      </c>
      <c r="D161" t="inlineStr">
        <is>
          <t>AZOGUES</t>
        </is>
      </c>
      <c r="E161" t="inlineStr">
        <is>
          <t>+593 99 640 8127</t>
        </is>
      </c>
      <c r="F161" t="inlineStr">
        <is>
          <t>INSTALACION PROMOCION</t>
        </is>
      </c>
      <c r="G161" t="n">
        <v>111000051</v>
      </c>
      <c r="H161">
        <f>VLOOKUP(E114,PROD,2,FALSE)</f>
        <v/>
      </c>
      <c r="I161" t="inlineStr">
        <is>
          <t>VISITADO INSTALADO</t>
        </is>
      </c>
      <c r="J161" t="inlineStr">
        <is>
          <t>COMERCIAL SOLIS</t>
        </is>
      </c>
      <c r="K161" s="187" t="n">
        <v>46160</v>
      </c>
      <c r="L161" t="inlineStr">
        <is>
          <t>CAPELO</t>
        </is>
      </c>
      <c r="M161" t="inlineStr">
        <is>
          <t>SAP</t>
        </is>
      </c>
      <c r="N161" t="inlineStr">
        <is>
          <t>SAP</t>
        </is>
      </c>
      <c r="O161" t="inlineStr">
        <is>
          <t>TZ258130165</t>
        </is>
      </c>
      <c r="P161" t="n">
        <v>15</v>
      </c>
      <c r="Q161" s="187" t="n">
        <v>46159</v>
      </c>
      <c r="R161" t="inlineStr">
        <is>
          <t>comprasinghu@gmail.com</t>
        </is>
      </c>
      <c r="S161" t="n">
        <v>301530580</v>
      </c>
      <c r="T161" t="inlineStr">
        <is>
          <t>TRABAJO REALIZADO SIN NOVEDAD</t>
        </is>
      </c>
    </row>
    <row r="162" ht="19" customFormat="1" customHeight="1" s="102">
      <c r="B162" s="187" t="n">
        <v>46081</v>
      </c>
      <c r="C162" t="inlineStr">
        <is>
          <t>HERNAN URGILES</t>
        </is>
      </c>
      <c r="D162" t="inlineStr">
        <is>
          <t>AZOGUES</t>
        </is>
      </c>
      <c r="E162" t="inlineStr">
        <is>
          <t>+593 99 640 8127</t>
        </is>
      </c>
      <c r="F162" t="inlineStr">
        <is>
          <t>INSTALACION PROMOCION</t>
        </is>
      </c>
      <c r="G162" t="n">
        <v>112950021</v>
      </c>
      <c r="H162">
        <f>VLOOKUP(E115,PROD,2,FALSE)</f>
        <v/>
      </c>
      <c r="I162" t="inlineStr">
        <is>
          <t>VISITADO INSTALADO</t>
        </is>
      </c>
      <c r="J162" t="inlineStr">
        <is>
          <t>COMERCIAL SOLIS</t>
        </is>
      </c>
      <c r="K162" s="187" t="n">
        <v>46160</v>
      </c>
      <c r="L162" t="inlineStr">
        <is>
          <t>CAPELO</t>
        </is>
      </c>
      <c r="M162" t="inlineStr">
        <is>
          <t>SAP</t>
        </is>
      </c>
      <c r="N162" t="inlineStr">
        <is>
          <t>SAP</t>
        </is>
      </c>
      <c r="O162" t="inlineStr">
        <is>
          <t>EK258800129</t>
        </is>
      </c>
      <c r="P162" t="n">
        <v>15</v>
      </c>
      <c r="Q162" s="187" t="n">
        <v>46159</v>
      </c>
      <c r="R162" t="inlineStr">
        <is>
          <t>comprasinghu@gmail.com</t>
        </is>
      </c>
      <c r="S162" t="n">
        <v>301530580</v>
      </c>
      <c r="T162" t="inlineStr">
        <is>
          <t>TRABAJO REALIZADO SIN NOVEDAD</t>
        </is>
      </c>
    </row>
    <row r="163" ht="19" customFormat="1" customHeight="1" s="102">
      <c r="B163" s="187" t="n">
        <v>46081</v>
      </c>
      <c r="C163" t="inlineStr">
        <is>
          <t>HERNAN URGILES</t>
        </is>
      </c>
      <c r="D163" t="inlineStr">
        <is>
          <t>AZOGUES</t>
        </is>
      </c>
      <c r="E163" t="inlineStr">
        <is>
          <t>+593 99 640 8127</t>
        </is>
      </c>
      <c r="F163" t="inlineStr">
        <is>
          <t>INSTALACION PROMOCION</t>
        </is>
      </c>
      <c r="G163" t="n">
        <v>112950021</v>
      </c>
      <c r="H163">
        <f>VLOOKUP(E116,PROD,2,FALSE)</f>
        <v/>
      </c>
      <c r="I163" t="inlineStr">
        <is>
          <t>VISITADO INSTALADO</t>
        </is>
      </c>
      <c r="J163" t="inlineStr">
        <is>
          <t>COMERCIAL SOLIS</t>
        </is>
      </c>
      <c r="K163" s="187" t="n">
        <v>46160</v>
      </c>
      <c r="L163" t="inlineStr">
        <is>
          <t>CAPELO</t>
        </is>
      </c>
      <c r="M163" t="inlineStr">
        <is>
          <t>SAP</t>
        </is>
      </c>
      <c r="N163" t="inlineStr">
        <is>
          <t>SAP</t>
        </is>
      </c>
      <c r="O163" t="inlineStr">
        <is>
          <t>EK258800129</t>
        </is>
      </c>
      <c r="P163" t="n">
        <v>15</v>
      </c>
      <c r="Q163" s="187" t="n">
        <v>46159</v>
      </c>
      <c r="R163" t="inlineStr">
        <is>
          <t>comprasinghu@gmail.com</t>
        </is>
      </c>
      <c r="S163" t="n">
        <v>301530580</v>
      </c>
      <c r="T163" t="inlineStr">
        <is>
          <t>TRABAJO REALIZADO SIN NOVEDAD</t>
        </is>
      </c>
    </row>
    <row r="164" ht="19" customFormat="1" customHeight="1" s="102">
      <c r="B164" s="187" t="n">
        <v>46081</v>
      </c>
      <c r="C164" t="inlineStr">
        <is>
          <t>HERNAN URGILES</t>
        </is>
      </c>
      <c r="D164" t="inlineStr">
        <is>
          <t>AZOGUES</t>
        </is>
      </c>
      <c r="E164" t="inlineStr">
        <is>
          <t>+593 99 640 8127</t>
        </is>
      </c>
      <c r="F164" t="inlineStr">
        <is>
          <t>INSTALACION PROMOCION</t>
        </is>
      </c>
      <c r="G164" t="n">
        <v>112950021</v>
      </c>
      <c r="H164">
        <f>VLOOKUP(E117,PROD,2,FALSE)</f>
        <v/>
      </c>
      <c r="I164" t="inlineStr">
        <is>
          <t>VISITADO INSTALADO</t>
        </is>
      </c>
      <c r="J164" t="inlineStr">
        <is>
          <t>COMERCIAL SOLIS</t>
        </is>
      </c>
      <c r="K164" s="187" t="n">
        <v>46160</v>
      </c>
      <c r="L164" t="inlineStr">
        <is>
          <t>CAPELO</t>
        </is>
      </c>
      <c r="M164" t="inlineStr">
        <is>
          <t>SAP</t>
        </is>
      </c>
      <c r="N164" t="inlineStr">
        <is>
          <t>SAP</t>
        </is>
      </c>
      <c r="O164" t="inlineStr">
        <is>
          <t>EK25800126</t>
        </is>
      </c>
      <c r="P164" t="n">
        <v>15</v>
      </c>
      <c r="Q164" s="187" t="n">
        <v>46159</v>
      </c>
      <c r="R164" t="inlineStr">
        <is>
          <t>comprasinghu@gmail.com</t>
        </is>
      </c>
      <c r="S164" t="n">
        <v>301530580</v>
      </c>
      <c r="T164" t="inlineStr">
        <is>
          <t>TRABAJO REALIZADO SIN NOVEDAD</t>
        </is>
      </c>
    </row>
    <row r="165" ht="19" customFormat="1" customHeight="1" s="102">
      <c r="B165" s="187" t="n">
        <v>45875</v>
      </c>
      <c r="C165" t="inlineStr">
        <is>
          <t>GUIDO SAMANIEGO</t>
        </is>
      </c>
      <c r="D165" t="inlineStr">
        <is>
          <t>PUERTAS DEL SOL</t>
        </is>
      </c>
      <c r="E165" t="inlineStr">
        <is>
          <t>+593 99 831 1145</t>
        </is>
      </c>
      <c r="F165" t="inlineStr">
        <is>
          <t>INSTALACION PROMOCION</t>
        </is>
      </c>
      <c r="G165" t="n">
        <v>111000050</v>
      </c>
      <c r="H165">
        <f>VLOOKUP(E118,PROD,2,FALSE)</f>
        <v/>
      </c>
      <c r="I165" t="inlineStr">
        <is>
          <t>VISITADO INSTALADO</t>
        </is>
      </c>
      <c r="J165" t="inlineStr">
        <is>
          <t>VTORIA HOGAR</t>
        </is>
      </c>
      <c r="K165" s="187" t="n">
        <v>46160</v>
      </c>
      <c r="L165" t="inlineStr">
        <is>
          <t>CAPELO</t>
        </is>
      </c>
      <c r="M165" t="inlineStr">
        <is>
          <t>SAP</t>
        </is>
      </c>
      <c r="N165" t="inlineStr">
        <is>
          <t>SAP</t>
        </is>
      </c>
      <c r="O165" t="inlineStr">
        <is>
          <t>TZ249R18565</t>
        </is>
      </c>
      <c r="P165" t="n">
        <v>15</v>
      </c>
      <c r="Q165" s="187" t="n">
        <v>46159</v>
      </c>
      <c r="R165" t="inlineStr">
        <is>
          <t>gabrielamolinam@hotmail.com</t>
        </is>
      </c>
      <c r="S165" t="n">
        <v>104163126</v>
      </c>
      <c r="T165" t="inlineStr">
        <is>
          <t>TRABAJO REALIZADO SIN NOVEDAD</t>
        </is>
      </c>
    </row>
    <row r="166" ht="19" customFormat="1" customHeight="1" s="102">
      <c r="B166" s="187" t="n">
        <v>45875</v>
      </c>
      <c r="C166" t="inlineStr">
        <is>
          <t>GUIDO SAMANIEGO</t>
        </is>
      </c>
      <c r="D166" t="inlineStr">
        <is>
          <t>PUERTAS DEL SOL</t>
        </is>
      </c>
      <c r="E166" t="inlineStr">
        <is>
          <t>+593 99 831 1145</t>
        </is>
      </c>
      <c r="F166" t="inlineStr">
        <is>
          <t>INSTALACION PROMOCION</t>
        </is>
      </c>
      <c r="G166" t="n">
        <v>112580058</v>
      </c>
      <c r="H166">
        <f>VLOOKUP(E119,PROD,2,FALSE)</f>
        <v/>
      </c>
      <c r="I166" t="inlineStr">
        <is>
          <t>VISITADO INSTALADO</t>
        </is>
      </c>
      <c r="J166" t="inlineStr">
        <is>
          <t>VTORIA HOGAR</t>
        </is>
      </c>
      <c r="K166" s="187" t="n">
        <v>46160</v>
      </c>
      <c r="L166" t="inlineStr">
        <is>
          <t>CAPELO</t>
        </is>
      </c>
      <c r="M166" t="inlineStr">
        <is>
          <t>SAP</t>
        </is>
      </c>
      <c r="N166" t="inlineStr">
        <is>
          <t>SAP</t>
        </is>
      </c>
      <c r="O166" t="inlineStr">
        <is>
          <t>ZP255900289</t>
        </is>
      </c>
      <c r="P166" t="n">
        <v>15</v>
      </c>
      <c r="Q166" s="187" t="n">
        <v>46159</v>
      </c>
      <c r="R166" t="inlineStr">
        <is>
          <t>gabrielamolinam@hotmail.com</t>
        </is>
      </c>
      <c r="S166" t="n">
        <v>104163126</v>
      </c>
      <c r="T166" t="inlineStr">
        <is>
          <t>TRABAJO REALIZADO SIN NOVEDAD</t>
        </is>
      </c>
    </row>
    <row r="167" ht="19" customFormat="1" customHeight="1" s="102">
      <c r="B167" s="187" t="n">
        <v>45875</v>
      </c>
      <c r="C167" t="inlineStr">
        <is>
          <t>GUIDO SAMANIEGO</t>
        </is>
      </c>
      <c r="D167" t="inlineStr">
        <is>
          <t>PUERTAS DEL SOL</t>
        </is>
      </c>
      <c r="E167" t="inlineStr">
        <is>
          <t>+593 99 831 1145</t>
        </is>
      </c>
      <c r="F167" t="inlineStr">
        <is>
          <t>INSTALACION PROMOCION</t>
        </is>
      </c>
      <c r="G167" t="n">
        <v>40584202</v>
      </c>
      <c r="H167">
        <f>VLOOKUP(E120,PROD,2,FALSE)</f>
        <v/>
      </c>
      <c r="I167" t="inlineStr">
        <is>
          <t>VISITADO INSTALADO</t>
        </is>
      </c>
      <c r="J167" t="inlineStr">
        <is>
          <t>VTORIA HOGAR</t>
        </is>
      </c>
      <c r="K167" s="187" t="n">
        <v>46160</v>
      </c>
      <c r="L167" t="inlineStr">
        <is>
          <t>CAPELO</t>
        </is>
      </c>
      <c r="M167" t="inlineStr">
        <is>
          <t>SAP</t>
        </is>
      </c>
      <c r="N167" t="inlineStr">
        <is>
          <t>SAP</t>
        </is>
      </c>
      <c r="O167" t="inlineStr">
        <is>
          <t>TP24AR04015</t>
        </is>
      </c>
      <c r="P167" t="n">
        <v>15</v>
      </c>
      <c r="Q167" s="187" t="n">
        <v>46159</v>
      </c>
      <c r="R167" t="inlineStr">
        <is>
          <t>gabrielamolinam@hotmail.com</t>
        </is>
      </c>
      <c r="S167" t="n">
        <v>104163126</v>
      </c>
      <c r="T167" t="inlineStr">
        <is>
          <t>TRABAJO REALIZADO SIN NOVEDAD</t>
        </is>
      </c>
    </row>
    <row r="168" ht="19" customFormat="1" customHeight="1" s="102">
      <c r="B168" s="187" t="n">
        <v>46154</v>
      </c>
      <c r="C168" t="inlineStr">
        <is>
          <t>CONSTRUCTORA ORELLANA</t>
        </is>
      </c>
      <c r="D168" t="inlineStr">
        <is>
          <t>SOL DE BURGOS RICAURTE</t>
        </is>
      </c>
      <c r="E168" t="inlineStr">
        <is>
          <t>+593 99 546 5919</t>
        </is>
      </c>
      <c r="F168" t="inlineStr">
        <is>
          <t>INSTALACION UN PRODUCTO</t>
        </is>
      </c>
      <c r="G168" t="n">
        <v>40446712</v>
      </c>
      <c r="H168">
        <f>VLOOKUP(E35,PROD,2,FALSE)</f>
        <v/>
      </c>
      <c r="I168" t="inlineStr">
        <is>
          <t>VISITADO INSTALADO</t>
        </is>
      </c>
      <c r="J168" t="inlineStr">
        <is>
          <t>ALMACENES BOYACÁ</t>
        </is>
      </c>
      <c r="K168" s="187" t="n">
        <v>46160</v>
      </c>
      <c r="L168" t="inlineStr">
        <is>
          <t>CAPELO</t>
        </is>
      </c>
      <c r="M168" t="inlineStr">
        <is>
          <t>SAP</t>
        </is>
      </c>
      <c r="N168" t="inlineStr">
        <is>
          <t>SAP</t>
        </is>
      </c>
      <c r="O168" t="inlineStr">
        <is>
          <t>TP25A701875</t>
        </is>
      </c>
      <c r="P168" t="n">
        <v>15</v>
      </c>
      <c r="Q168" s="187" t="n">
        <v>46159</v>
      </c>
      <c r="R168" t="inlineStr">
        <is>
          <t>orellanaconstructora@gmail.com</t>
        </is>
      </c>
      <c r="S168" t="n">
        <v>195096988001</v>
      </c>
      <c r="T168" t="inlineStr">
        <is>
          <t>TRABAJO REALIZADO SIN NOVEDAD</t>
        </is>
      </c>
    </row>
    <row r="169" ht="19" customFormat="1" customHeight="1" s="102">
      <c r="B169" s="187" t="n">
        <v>46142</v>
      </c>
      <c r="C169" t="inlineStr">
        <is>
          <t>JUAN JOSE MALO</t>
        </is>
      </c>
      <c r="D169" t="inlineStr">
        <is>
          <t>AV 27 FEBRERO EDIFICIO 27F</t>
        </is>
      </c>
      <c r="E169" t="inlineStr">
        <is>
          <t>+593 99 844 7205</t>
        </is>
      </c>
      <c r="F169" t="inlineStr">
        <is>
          <t>INSTALACION PROMOCION</t>
        </is>
      </c>
      <c r="G169" t="n">
        <v>111000051</v>
      </c>
      <c r="H169">
        <f>VLOOKUP(E121,PROD,2,FALSE)</f>
        <v/>
      </c>
      <c r="I169" t="inlineStr">
        <is>
          <t>VISITADO INSTALADO</t>
        </is>
      </c>
      <c r="J169" t="inlineStr">
        <is>
          <t>COMO HOGAR</t>
        </is>
      </c>
      <c r="K169" s="187" t="n">
        <v>46161</v>
      </c>
      <c r="L169" t="inlineStr">
        <is>
          <t>CAPELO</t>
        </is>
      </c>
      <c r="M169" t="inlineStr">
        <is>
          <t>SAP</t>
        </is>
      </c>
      <c r="N169" t="inlineStr">
        <is>
          <t>SAP</t>
        </is>
      </c>
      <c r="O169" t="inlineStr">
        <is>
          <t>TZ252732441</t>
        </is>
      </c>
      <c r="P169" t="n">
        <v>15</v>
      </c>
      <c r="Q169" s="187" t="n">
        <v>46160</v>
      </c>
      <c r="R169" t="inlineStr">
        <is>
          <t>juanjosemaloa@gmail.com</t>
        </is>
      </c>
      <c r="S169" t="n">
        <v>105501423001</v>
      </c>
      <c r="T169" t="inlineStr">
        <is>
          <t>TRABAJO REALIZADO SIN NOVEDAD</t>
        </is>
      </c>
    </row>
    <row r="170" ht="19" customFormat="1" customHeight="1" s="102">
      <c r="B170" s="187" t="n">
        <v>46142</v>
      </c>
      <c r="C170" t="inlineStr">
        <is>
          <t>JUAN JOSE MALO</t>
        </is>
      </c>
      <c r="D170" t="inlineStr">
        <is>
          <t>AV 27 FEBRERO EDIFICIO 27F</t>
        </is>
      </c>
      <c r="E170" t="inlineStr">
        <is>
          <t>+593 99 844 7205</t>
        </is>
      </c>
      <c r="F170" t="inlineStr">
        <is>
          <t>INSTALACION PROMOCION</t>
        </is>
      </c>
      <c r="G170" t="n">
        <v>112570068</v>
      </c>
      <c r="H170">
        <f>VLOOKUP(E122,PROD,2,FALSE)</f>
        <v/>
      </c>
      <c r="I170" t="inlineStr">
        <is>
          <t>VISITADO INSTALADO</t>
        </is>
      </c>
      <c r="J170" t="inlineStr">
        <is>
          <t>COMO HOGAR</t>
        </is>
      </c>
      <c r="K170" s="187" t="n">
        <v>46161</v>
      </c>
      <c r="L170" t="inlineStr">
        <is>
          <t>CAPELO</t>
        </is>
      </c>
      <c r="M170" t="inlineStr">
        <is>
          <t>SAP</t>
        </is>
      </c>
      <c r="N170" t="inlineStr">
        <is>
          <t>SAP</t>
        </is>
      </c>
      <c r="O170" t="inlineStr">
        <is>
          <t>ZP24AN00590</t>
        </is>
      </c>
      <c r="P170" t="n">
        <v>15</v>
      </c>
      <c r="Q170" s="187" t="n">
        <v>46160</v>
      </c>
      <c r="R170" t="inlineStr">
        <is>
          <t>juanjosemaloa@gmail.com</t>
        </is>
      </c>
      <c r="S170" t="n">
        <v>105501423001</v>
      </c>
      <c r="T170" t="inlineStr">
        <is>
          <t>TRABAJO REALIZADO SIN NOVEDAD</t>
        </is>
      </c>
    </row>
    <row r="171" ht="19" customFormat="1" customHeight="1" s="102">
      <c r="B171" s="187" t="n">
        <v>46142</v>
      </c>
      <c r="C171" t="inlineStr">
        <is>
          <t>JUAN JOSE MALO</t>
        </is>
      </c>
      <c r="D171" t="inlineStr">
        <is>
          <t>AV 27 FEBRERO EDIFICIO 27F</t>
        </is>
      </c>
      <c r="E171" t="inlineStr">
        <is>
          <t>+593 99 844 7205</t>
        </is>
      </c>
      <c r="F171" t="inlineStr">
        <is>
          <t>INSTALACION PROMOCION</t>
        </is>
      </c>
      <c r="G171" t="n">
        <v>112910007</v>
      </c>
      <c r="H171">
        <f>VLOOKUP(E123,PROD,2,FALSE)</f>
        <v/>
      </c>
      <c r="I171" t="inlineStr">
        <is>
          <t>VISITADO INSTALADO</t>
        </is>
      </c>
      <c r="J171" t="inlineStr">
        <is>
          <t>COMO HOGAR</t>
        </is>
      </c>
      <c r="K171" s="187" t="n">
        <v>46161</v>
      </c>
      <c r="L171" t="inlineStr">
        <is>
          <t>CAPELO</t>
        </is>
      </c>
      <c r="M171" t="inlineStr">
        <is>
          <t>SAP</t>
        </is>
      </c>
      <c r="N171" t="inlineStr">
        <is>
          <t>SAP</t>
        </is>
      </c>
      <c r="O171" t="inlineStr">
        <is>
          <t>PX255U00020</t>
        </is>
      </c>
      <c r="P171" t="n">
        <v>30</v>
      </c>
      <c r="Q171" s="187" t="n">
        <v>46160</v>
      </c>
      <c r="R171" t="inlineStr">
        <is>
          <t>juanjosemaloa@gmail.com</t>
        </is>
      </c>
      <c r="S171" t="n">
        <v>105501423001</v>
      </c>
      <c r="T171" t="inlineStr">
        <is>
          <t>TRABAJO REALIZADO SIN NOVEDAD</t>
        </is>
      </c>
    </row>
    <row r="172" ht="19" customFormat="1" customHeight="1" s="102">
      <c r="B172" s="187" t="n">
        <v>46157</v>
      </c>
      <c r="C172" t="inlineStr">
        <is>
          <t>FERNANDO QUIROGA</t>
        </is>
      </c>
      <c r="D172" t="inlineStr">
        <is>
          <t>VIA SAN MIGUEL RICAURTE</t>
        </is>
      </c>
      <c r="E172" t="inlineStr">
        <is>
          <t>+593 96 745 5610</t>
        </is>
      </c>
      <c r="F172" t="inlineStr">
        <is>
          <t>INSTALACION PROMOCION</t>
        </is>
      </c>
      <c r="G172" t="n">
        <v>40466111</v>
      </c>
      <c r="H172">
        <f>VLOOKUP(E124,PROD,2,FALSE)</f>
        <v/>
      </c>
      <c r="I172" t="inlineStr">
        <is>
          <t>VISITADO INSTALADO</t>
        </is>
      </c>
      <c r="J172" t="inlineStr">
        <is>
          <t>COMERCIAL SOLIS</t>
        </is>
      </c>
      <c r="K172" s="187" t="n">
        <v>46161</v>
      </c>
      <c r="L172" t="inlineStr">
        <is>
          <t>CAPELO</t>
        </is>
      </c>
      <c r="M172" t="inlineStr">
        <is>
          <t>SAP</t>
        </is>
      </c>
      <c r="N172" t="inlineStr">
        <is>
          <t>SAP</t>
        </is>
      </c>
      <c r="O172" t="inlineStr">
        <is>
          <t>TP25AD01350</t>
        </is>
      </c>
      <c r="P172" t="n">
        <v>20</v>
      </c>
      <c r="Q172" s="187" t="n">
        <v>46160</v>
      </c>
      <c r="R172" t="inlineStr">
        <is>
          <t>catinautas@gmail.com</t>
        </is>
      </c>
      <c r="S172" t="n">
        <v>103636924</v>
      </c>
      <c r="T172" t="inlineStr">
        <is>
          <t>TRABAJO REALIZADO SIN NOVEDAD</t>
        </is>
      </c>
    </row>
    <row r="173" ht="19" customFormat="1" customHeight="1" s="102">
      <c r="B173" s="187" t="n">
        <v>46157</v>
      </c>
      <c r="C173" t="inlineStr">
        <is>
          <t>FERNANDO QUIROGA</t>
        </is>
      </c>
      <c r="D173" t="inlineStr">
        <is>
          <t>VIA SAN MIGUEL RICAURTE</t>
        </is>
      </c>
      <c r="E173" t="inlineStr">
        <is>
          <t>+593 96 745 5610</t>
        </is>
      </c>
      <c r="F173" t="inlineStr">
        <is>
          <t>INSTALACION PROMOCION</t>
        </is>
      </c>
      <c r="G173" t="n">
        <v>112580058</v>
      </c>
      <c r="H173">
        <f>VLOOKUP(E125,PROD,2,FALSE)</f>
        <v/>
      </c>
      <c r="I173" t="inlineStr">
        <is>
          <t>VISITADO INSTALADO</t>
        </is>
      </c>
      <c r="J173" t="inlineStr">
        <is>
          <t>COMERCIAL SOLIS</t>
        </is>
      </c>
      <c r="K173" s="187" t="n">
        <v>46161</v>
      </c>
      <c r="L173" t="inlineStr">
        <is>
          <t>CAPELO</t>
        </is>
      </c>
      <c r="M173" t="inlineStr">
        <is>
          <t>SAP</t>
        </is>
      </c>
      <c r="N173" t="inlineStr">
        <is>
          <t>SAP</t>
        </is>
      </c>
      <c r="O173" t="inlineStr">
        <is>
          <t>ZP257701327</t>
        </is>
      </c>
      <c r="P173" t="n">
        <v>20</v>
      </c>
      <c r="Q173" s="187" t="n">
        <v>46160</v>
      </c>
      <c r="R173" t="inlineStr">
        <is>
          <t>catinautas@gmail.com</t>
        </is>
      </c>
      <c r="S173" t="n">
        <v>103636924</v>
      </c>
      <c r="T173" t="inlineStr">
        <is>
          <t>TRABAJO REALIZADO SIN NOVEDAD</t>
        </is>
      </c>
    </row>
    <row r="174" ht="19" customFormat="1" customHeight="1" s="102">
      <c r="B174" s="187" t="n">
        <v>46155</v>
      </c>
      <c r="C174" t="inlineStr">
        <is>
          <t>JHOANA PARRA</t>
        </is>
      </c>
      <c r="D174" t="inlineStr">
        <is>
          <t>EDIFICIO RYO</t>
        </is>
      </c>
      <c r="E174" t="inlineStr">
        <is>
          <t>+593 99 908 7216</t>
        </is>
      </c>
      <c r="F174" t="inlineStr">
        <is>
          <t>INSTALACION UN PRODUCTO</t>
        </is>
      </c>
      <c r="G174" t="n">
        <v>112950021</v>
      </c>
      <c r="H174">
        <f>VLOOKUP(E38,PROD,2,FALSE)</f>
        <v/>
      </c>
      <c r="I174" t="inlineStr">
        <is>
          <t>VISITADO INSTALADO</t>
        </is>
      </c>
      <c r="J174" t="inlineStr">
        <is>
          <t>COMERCIAL KYWI</t>
        </is>
      </c>
      <c r="K174" s="187" t="n">
        <v>46161</v>
      </c>
      <c r="L174" t="inlineStr">
        <is>
          <t>CAPELO</t>
        </is>
      </c>
      <c r="M174" t="inlineStr">
        <is>
          <t>SAP</t>
        </is>
      </c>
      <c r="N174" t="inlineStr">
        <is>
          <t>SAP</t>
        </is>
      </c>
      <c r="O174" t="inlineStr">
        <is>
          <t>EK249200009</t>
        </is>
      </c>
      <c r="P174" t="n">
        <v>36</v>
      </c>
      <c r="Q174" s="187" t="n">
        <v>46160</v>
      </c>
      <c r="R174" t="inlineStr">
        <is>
          <t>jhoannaparraw@hotmail.com</t>
        </is>
      </c>
      <c r="S174" t="n">
        <v>104366554</v>
      </c>
      <c r="T174" t="inlineStr">
        <is>
          <t>TRABAJO REALIZADO SIN NOVEDAD</t>
        </is>
      </c>
    </row>
    <row r="175" ht="19" customFormat="1" customHeight="1" s="102">
      <c r="B175" s="187" t="n">
        <v>46088</v>
      </c>
      <c r="C175" t="inlineStr">
        <is>
          <t>KEVIN FARID LOAIZA</t>
        </is>
      </c>
      <c r="D175" t="inlineStr">
        <is>
          <t>EL CEBOLLAR</t>
        </is>
      </c>
      <c r="E175" t="inlineStr">
        <is>
          <t>+593 96 934 5892</t>
        </is>
      </c>
      <c r="F175" t="inlineStr">
        <is>
          <t>INSTALACION UN PRODUCTO</t>
        </is>
      </c>
      <c r="G175" t="n">
        <v>40467320</v>
      </c>
      <c r="H175">
        <f>VLOOKUP(E39,PROD,2,FALSE)</f>
        <v/>
      </c>
      <c r="I175" t="inlineStr">
        <is>
          <t>VISITADO INSTALADO</t>
        </is>
      </c>
      <c r="J175" t="inlineStr">
        <is>
          <t>COMERCIAL KYWI</t>
        </is>
      </c>
      <c r="K175" s="187" t="n">
        <v>46161</v>
      </c>
      <c r="L175" t="inlineStr">
        <is>
          <t>CAPELO</t>
        </is>
      </c>
      <c r="M175" t="inlineStr">
        <is>
          <t>SAP</t>
        </is>
      </c>
      <c r="N175" t="inlineStr">
        <is>
          <t>SAP</t>
        </is>
      </c>
      <c r="O175" t="inlineStr">
        <is>
          <t>TP255V10472</t>
        </is>
      </c>
      <c r="P175" t="n">
        <v>15</v>
      </c>
      <c r="Q175" s="187" t="n">
        <v>46160</v>
      </c>
      <c r="R175" t="inlineStr">
        <is>
          <t>kevinfarid14@gmail.com</t>
        </is>
      </c>
      <c r="S175" t="n">
        <v>106665078</v>
      </c>
      <c r="T175" t="inlineStr">
        <is>
          <t>TRABAJO REALIZADO SIN NOVEDAD</t>
        </is>
      </c>
    </row>
    <row r="176" ht="19" customFormat="1" customHeight="1" s="102">
      <c r="B176" s="187" t="n">
        <v>44945</v>
      </c>
      <c r="C176" t="inlineStr">
        <is>
          <t>MARIA ELISA VIDAL</t>
        </is>
      </c>
      <c r="D176" t="inlineStr"/>
      <c r="E176" t="n">
        <v>998089495</v>
      </c>
      <c r="F176" t="inlineStr">
        <is>
          <t>GARANTIA</t>
        </is>
      </c>
      <c r="G176" t="n">
        <v>112570068</v>
      </c>
      <c r="H176">
        <f>VLOOKUP(G11,PROD,2,FALSE)</f>
        <v/>
      </c>
      <c r="I176" t="inlineStr">
        <is>
          <t>VISITADO REPARADO</t>
        </is>
      </c>
      <c r="J176" t="inlineStr"/>
      <c r="K176" s="187" t="n">
        <v>46168</v>
      </c>
      <c r="L176" t="inlineStr">
        <is>
          <t>CAPELO</t>
        </is>
      </c>
      <c r="M176" t="inlineStr">
        <is>
          <t>SAP</t>
        </is>
      </c>
      <c r="N176" t="inlineStr">
        <is>
          <t>SAP</t>
        </is>
      </c>
      <c r="O176" t="inlineStr">
        <is>
          <t>ZP22AE00107</t>
        </is>
      </c>
      <c r="P176" t="n">
        <v>12.5</v>
      </c>
      <c r="Q176" s="187" t="n">
        <v>46167</v>
      </c>
      <c r="R176" t="inlineStr">
        <is>
          <t>m.e.vidal@hotmail.com</t>
        </is>
      </c>
      <c r="S176" t="n">
        <v>100000967</v>
      </c>
      <c r="T176" t="inlineStr">
        <is>
          <t>GARANTIA APLICADA SATISFACTORIAMENTE</t>
        </is>
      </c>
    </row>
    <row r="177" ht="19" customFormat="1" customHeight="1" s="102"/>
    <row r="178" ht="19" customFormat="1" customHeight="1" s="102"/>
    <row r="179" ht="19" customFormat="1" customHeight="1" s="102"/>
    <row r="180" ht="19" customFormat="1" customHeight="1" s="102"/>
    <row r="181" ht="19" customFormat="1" customHeight="1" s="102"/>
    <row r="182" ht="19" customFormat="1" customHeight="1" s="102"/>
    <row r="183" ht="19" customFormat="1" customHeight="1" s="102"/>
    <row r="184" ht="19" customFormat="1" customHeight="1" s="102"/>
    <row r="185" ht="19" customFormat="1" customHeight="1" s="102"/>
    <row r="186" ht="19" customFormat="1" customHeight="1" s="102"/>
    <row r="187" ht="19" customFormat="1" customHeight="1" s="102"/>
    <row r="188" ht="19" customFormat="1" customHeight="1" s="102"/>
    <row r="189" ht="19" customFormat="1" customHeight="1" s="102"/>
    <row r="190" ht="19" customFormat="1" customHeight="1" s="102"/>
    <row r="191" ht="19" customFormat="1" customHeight="1" s="102"/>
    <row r="192" ht="19" customFormat="1" customHeight="1" s="102"/>
    <row r="193" ht="19" customFormat="1" customHeight="1" s="102"/>
    <row r="194" ht="19" customFormat="1" customHeight="1" s="10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U41"/>
  <sheetViews>
    <sheetView topLeftCell="A3" zoomScale="110" zoomScaleNormal="110" workbookViewId="0">
      <selection activeCell="O42" sqref="O42"/>
    </sheetView>
  </sheetViews>
  <sheetFormatPr baseColWidth="10" defaultRowHeight="15"/>
  <cols>
    <col width="4.1640625" customWidth="1" min="1" max="1"/>
    <col width="12.5" customWidth="1" min="2" max="2"/>
    <col width="25.1640625" customWidth="1" min="3" max="3"/>
    <col width="24.6640625" bestFit="1" customWidth="1" min="4" max="4"/>
    <col width="16.1640625" customWidth="1" min="5" max="5"/>
    <col width="42.1640625" customWidth="1" min="6" max="6"/>
    <col width="20.33203125" customWidth="1" min="7" max="7"/>
    <col width="7.1640625" customWidth="1" min="8" max="8"/>
    <col width="10.6640625" customWidth="1" min="10" max="10"/>
    <col width="11.6640625" customWidth="1" min="11" max="11"/>
    <col width="27.1640625" customWidth="1" min="12" max="12"/>
    <col width="31.83203125" customWidth="1" min="13" max="13"/>
    <col width="21" customWidth="1" min="14" max="14"/>
    <col width="12.5" customWidth="1" style="107" min="15" max="15"/>
    <col width="17.6640625" customWidth="1" min="16" max="16"/>
    <col width="10.1640625" customWidth="1" min="17" max="17"/>
    <col width="5.1640625" customWidth="1" min="18" max="18"/>
    <col width="21.1640625" customWidth="1" min="19" max="19"/>
    <col width="19.5" customWidth="1" min="20" max="20"/>
    <col width="41.6640625" customWidth="1" min="21" max="21"/>
  </cols>
  <sheetData>
    <row r="2" ht="18" customHeight="1"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44" t="n"/>
      <c r="M2" s="44" t="n"/>
      <c r="N2" s="44" t="n"/>
      <c r="O2" s="105" t="n"/>
      <c r="P2" s="44" t="n"/>
      <c r="Q2" s="44" t="n"/>
      <c r="R2" s="44" t="n"/>
      <c r="S2" s="44" t="n"/>
    </row>
    <row r="3" ht="18" customHeight="1">
      <c r="A3" s="46" t="n"/>
      <c r="C3" s="47" t="inlineStr">
        <is>
          <t xml:space="preserve">TEKA ECUADOR S.A. </t>
        </is>
      </c>
      <c r="D3" s="44" t="n"/>
      <c r="E3" s="48" t="n"/>
      <c r="F3" s="44" t="n"/>
      <c r="G3" s="49" t="n"/>
      <c r="H3" s="45" t="n"/>
      <c r="I3" s="50" t="n"/>
      <c r="J3" s="51" t="n"/>
      <c r="K3" s="45" t="n"/>
      <c r="L3" s="52" t="n"/>
      <c r="M3" s="52" t="n"/>
      <c r="N3" s="45" t="n"/>
      <c r="O3" s="106" t="n"/>
      <c r="P3" s="44" t="n"/>
      <c r="Q3" s="44" t="n"/>
      <c r="R3" s="44" t="n"/>
      <c r="S3" s="44" t="n"/>
    </row>
    <row r="4" ht="18" customHeight="1">
      <c r="A4" s="46" t="n"/>
      <c r="C4" s="53" t="inlineStr">
        <is>
          <t>Registro Único de Contribuyente: 1791883144001</t>
        </is>
      </c>
      <c r="D4" s="44" t="n"/>
      <c r="E4" s="45" t="n"/>
      <c r="F4" s="44" t="n"/>
      <c r="G4" s="54" t="n"/>
      <c r="H4" s="55" t="n"/>
      <c r="I4" s="56" t="n"/>
      <c r="J4" s="57" t="inlineStr">
        <is>
          <t xml:space="preserve">UN PRODUCTO </t>
        </is>
      </c>
      <c r="K4" s="55" t="n"/>
      <c r="L4" s="58" t="n"/>
      <c r="M4" s="59" t="n"/>
      <c r="N4" s="45" t="inlineStr">
        <is>
          <t>CAPELO MAYO 2026</t>
        </is>
      </c>
      <c r="O4" s="106" t="n"/>
      <c r="P4" s="60" t="n"/>
      <c r="Q4" s="44" t="n"/>
      <c r="R4" s="44" t="n"/>
      <c r="S4" s="44" t="n"/>
    </row>
    <row r="5" ht="58" customFormat="1" customHeight="1" s="1">
      <c r="A5" s="61" t="n"/>
      <c r="B5" s="83" t="inlineStr">
        <is>
          <t xml:space="preserve">FECHA DE COMPRA </t>
        </is>
      </c>
      <c r="C5" s="83" t="inlineStr">
        <is>
          <t xml:space="preserve">LUGAR DE COMPRA </t>
        </is>
      </c>
      <c r="D5" s="83" t="inlineStr">
        <is>
          <t>NUMERO DE FACTURA DE COMPRA</t>
        </is>
      </c>
      <c r="E5" s="83" t="inlineStr">
        <is>
          <t xml:space="preserve">CODIGO DEL PRODUCTO </t>
        </is>
      </c>
      <c r="F5" s="91" t="inlineStr">
        <is>
          <t xml:space="preserve">DESCRIPCION DE PRODUCTO </t>
        </is>
      </c>
      <c r="G5" s="83" t="inlineStr">
        <is>
          <t xml:space="preserve">SERIE DEL EQUIPO </t>
        </is>
      </c>
      <c r="H5" s="83" t="inlineStr">
        <is>
          <t>GARANTIA DEL EQUIPO</t>
        </is>
      </c>
      <c r="I5" s="83" t="inlineStr">
        <is>
          <t xml:space="preserve">TECNICO </t>
        </is>
      </c>
      <c r="J5" s="83" t="inlineStr">
        <is>
          <t xml:space="preserve">CIUDAD </t>
        </is>
      </c>
      <c r="K5" s="83" t="inlineStr">
        <is>
          <t xml:space="preserve">FECHA DE INSTALACION </t>
        </is>
      </c>
      <c r="L5" s="92" t="inlineStr">
        <is>
          <t>NOMBRE DEL CLIENTE</t>
        </is>
      </c>
      <c r="M5" s="92" t="inlineStr">
        <is>
          <t xml:space="preserve">DIRECCION INSTALACION </t>
        </is>
      </c>
      <c r="N5" s="83" t="inlineStr">
        <is>
          <t>CELULAR DEL CLIENTE</t>
        </is>
      </c>
      <c r="O5" s="108" t="inlineStr">
        <is>
          <t>PRECIO</t>
        </is>
      </c>
      <c r="P5" s="83" t="inlineStr">
        <is>
          <t xml:space="preserve">COMO LLEGO LA INFORMACION </t>
        </is>
      </c>
      <c r="Q5" s="83" t="inlineStr">
        <is>
          <t>TÉCNICO QUE ATENDIÓ</t>
        </is>
      </c>
      <c r="R5" s="83" t="inlineStr">
        <is>
          <t xml:space="preserve">VIÁTICO </t>
        </is>
      </c>
      <c r="S5" s="83" t="inlineStr">
        <is>
          <t>FACTURA NUMERO</t>
        </is>
      </c>
      <c r="T5" s="83" t="inlineStr">
        <is>
          <t>CEDULA O RUC</t>
        </is>
      </c>
      <c r="U5" s="83" t="inlineStr">
        <is>
          <t xml:space="preserve">CORREO DEL CLIENTE </t>
        </is>
      </c>
    </row>
    <row r="6" ht="19" customFormat="1" customHeight="1" s="102">
      <c r="A6" s="114" t="n">
        <v>1</v>
      </c>
      <c r="B6" s="100" t="n">
        <v>46123</v>
      </c>
      <c r="C6" s="99" t="inlineStr">
        <is>
          <t>COMERCIAL KYWI</t>
        </is>
      </c>
      <c r="D6" s="99" t="inlineStr">
        <is>
          <t>043 903 000136218</t>
        </is>
      </c>
      <c r="E6" s="99" t="n">
        <v>112580058</v>
      </c>
      <c r="F6" s="113">
        <f>VLOOKUP(E6,PROD,2,FALSE)</f>
        <v/>
      </c>
      <c r="G6" s="99" t="inlineStr">
        <is>
          <t>ZP25AQ00416</t>
        </is>
      </c>
      <c r="H6" s="99" t="inlineStr">
        <is>
          <t>SAP</t>
        </is>
      </c>
      <c r="I6" s="99" t="inlineStr">
        <is>
          <t>CAPELO</t>
        </is>
      </c>
      <c r="J6" s="99" t="inlineStr">
        <is>
          <t>CUENCA</t>
        </is>
      </c>
      <c r="K6" s="100" t="n">
        <v>46132</v>
      </c>
      <c r="L6" s="99" t="inlineStr">
        <is>
          <t>CARLOS ESPADA TELLEZ</t>
        </is>
      </c>
      <c r="M6" s="99" t="inlineStr">
        <is>
          <t>CHALLUABAMBA</t>
        </is>
      </c>
      <c r="N6" s="99" t="inlineStr">
        <is>
          <t>+593 96 949 2413</t>
        </is>
      </c>
      <c r="O6" s="137" t="n">
        <v>29</v>
      </c>
      <c r="P6" s="99" t="inlineStr">
        <is>
          <t>CLIENTE FINAL</t>
        </is>
      </c>
      <c r="Q6" s="99" t="inlineStr">
        <is>
          <t>CAPELO</t>
        </is>
      </c>
      <c r="S6" s="99" t="inlineStr">
        <is>
          <t>043 903 000136218</t>
        </is>
      </c>
      <c r="T6" s="99" t="n">
        <v>152722716</v>
      </c>
      <c r="U6" s="181" t="inlineStr">
        <is>
          <t>cespada37@gmail.com</t>
        </is>
      </c>
    </row>
    <row r="7" ht="19" customFormat="1" customHeight="1" s="102">
      <c r="A7" s="114" t="n">
        <v>2</v>
      </c>
      <c r="B7" s="100" t="n">
        <v>46121</v>
      </c>
      <c r="C7" s="99" t="inlineStr">
        <is>
          <t>COMERCIAL SOLIS</t>
        </is>
      </c>
      <c r="D7" s="99" t="inlineStr">
        <is>
          <t>001 500 000084290</t>
        </is>
      </c>
      <c r="E7" s="99" t="n">
        <v>112580027</v>
      </c>
      <c r="F7" s="113">
        <f>VLOOKUP(E7,PROD,2,FALSE)</f>
        <v/>
      </c>
      <c r="G7" s="99" t="inlineStr">
        <is>
          <t>ZP259500323</t>
        </is>
      </c>
      <c r="H7" s="99" t="inlineStr">
        <is>
          <t>SAP</t>
        </is>
      </c>
      <c r="I7" s="99" t="inlineStr">
        <is>
          <t>CAPELO</t>
        </is>
      </c>
      <c r="J7" s="99" t="inlineStr">
        <is>
          <t>CUENCA</t>
        </is>
      </c>
      <c r="K7" s="100" t="n">
        <v>46132</v>
      </c>
      <c r="L7" s="99" t="inlineStr">
        <is>
          <t>ANDREA MORALES</t>
        </is>
      </c>
      <c r="M7" s="99" t="inlineStr">
        <is>
          <t>1 DE SEPTIEMBRE KM 3,5</t>
        </is>
      </c>
      <c r="N7" s="99" t="inlineStr">
        <is>
          <t>+593 98 389 2079</t>
        </is>
      </c>
      <c r="O7" s="137" t="n">
        <v>29</v>
      </c>
      <c r="P7" s="99" t="inlineStr">
        <is>
          <t>CLIENTE FINAL</t>
        </is>
      </c>
      <c r="Q7" s="99" t="inlineStr">
        <is>
          <t>CAPELO</t>
        </is>
      </c>
      <c r="S7" s="99" t="inlineStr">
        <is>
          <t>001 500 000084290</t>
        </is>
      </c>
      <c r="T7" s="101" t="n">
        <v>1090140261001</v>
      </c>
      <c r="U7" s="181" t="inlineStr">
        <is>
          <t>nverdugog@cedfi.edu.ec</t>
        </is>
      </c>
    </row>
    <row r="8" ht="19" customFormat="1" customHeight="1" s="102">
      <c r="A8" s="114" t="n">
        <v>3</v>
      </c>
      <c r="B8" s="100" t="n">
        <v>46021</v>
      </c>
      <c r="C8" s="99" t="inlineStr">
        <is>
          <t>HOME VEGA</t>
        </is>
      </c>
      <c r="D8" s="99" t="inlineStr">
        <is>
          <t>006 002 000159243</t>
        </is>
      </c>
      <c r="E8" s="99" t="n">
        <v>112610067</v>
      </c>
      <c r="F8" s="113">
        <f>VLOOKUP(E8,PROD,2,FALSE)</f>
        <v/>
      </c>
      <c r="G8" s="99" t="inlineStr">
        <is>
          <t>GSC963205130</t>
        </is>
      </c>
      <c r="H8" s="99" t="inlineStr">
        <is>
          <t>SAP</t>
        </is>
      </c>
      <c r="I8" s="99" t="inlineStr">
        <is>
          <t>CAPELO</t>
        </is>
      </c>
      <c r="J8" s="99" t="inlineStr">
        <is>
          <t>CUENCA</t>
        </is>
      </c>
      <c r="K8" s="100" t="n">
        <v>46132</v>
      </c>
      <c r="L8" s="99" t="inlineStr">
        <is>
          <t>VICTOR LOJA</t>
        </is>
      </c>
      <c r="M8" s="99" t="inlineStr">
        <is>
          <t>SARAHURCO Y COYA</t>
        </is>
      </c>
      <c r="N8" s="99" t="inlineStr">
        <is>
          <t>+593 99 882 2092</t>
        </is>
      </c>
      <c r="O8" s="137" t="n">
        <v>29</v>
      </c>
      <c r="P8" s="99" t="inlineStr">
        <is>
          <t>CLIENTE FINAL</t>
        </is>
      </c>
      <c r="Q8" s="99" t="inlineStr">
        <is>
          <t>CAPELO</t>
        </is>
      </c>
      <c r="S8" s="99" t="inlineStr">
        <is>
          <t>006 002 000159243</t>
        </is>
      </c>
      <c r="T8" s="99" t="n">
        <v>102185675</v>
      </c>
      <c r="U8" s="181" t="inlineStr">
        <is>
          <t>victor_l69@hotmail.com</t>
        </is>
      </c>
    </row>
    <row r="9" ht="19" customFormat="1" customHeight="1" s="102">
      <c r="A9" s="114" t="n">
        <v>4</v>
      </c>
      <c r="B9" s="100" t="n">
        <v>46123</v>
      </c>
      <c r="C9" s="99" t="inlineStr">
        <is>
          <t>COMERCIAL KYWI</t>
        </is>
      </c>
      <c r="D9" s="99" t="inlineStr">
        <is>
          <t>016 902 000576849</t>
        </is>
      </c>
      <c r="E9" s="99" t="n">
        <v>40466241</v>
      </c>
      <c r="F9" s="113">
        <f>VLOOKUP(E9,PROD,2,FALSE)</f>
        <v/>
      </c>
      <c r="G9" s="99" t="inlineStr">
        <is>
          <t>TP256809450</t>
        </is>
      </c>
      <c r="H9" s="99" t="inlineStr">
        <is>
          <t>SAP</t>
        </is>
      </c>
      <c r="I9" s="99" t="inlineStr">
        <is>
          <t>CAPELO</t>
        </is>
      </c>
      <c r="J9" s="99" t="inlineStr">
        <is>
          <t>CUENCA</t>
        </is>
      </c>
      <c r="K9" s="100" t="n">
        <v>46133</v>
      </c>
      <c r="L9" s="99" t="inlineStr">
        <is>
          <t>KRISTAL ARIAS</t>
        </is>
      </c>
      <c r="M9" s="99" t="inlineStr">
        <is>
          <t>LOS MIGRANTES</t>
        </is>
      </c>
      <c r="N9" s="99" t="inlineStr">
        <is>
          <t>+593 98 137 8848</t>
        </is>
      </c>
      <c r="O9" s="137" t="n">
        <v>15</v>
      </c>
      <c r="P9" s="99" t="inlineStr">
        <is>
          <t>CLIENTE FINAL</t>
        </is>
      </c>
      <c r="Q9" s="99" t="inlineStr">
        <is>
          <t>CAPELO</t>
        </is>
      </c>
      <c r="S9" s="99" t="inlineStr">
        <is>
          <t>016 902 000576849</t>
        </is>
      </c>
      <c r="T9" s="99" t="n">
        <v>103901591</v>
      </c>
      <c r="U9" s="181" t="inlineStr">
        <is>
          <t>kristalarias260188@gmail.com</t>
        </is>
      </c>
    </row>
    <row r="10" ht="19" customFormat="1" customHeight="1" s="102">
      <c r="A10" s="114" t="n">
        <v>5</v>
      </c>
      <c r="B10" s="100" t="n">
        <v>46130</v>
      </c>
      <c r="C10" s="99" t="inlineStr">
        <is>
          <t>COMERCIAL SOLIS</t>
        </is>
      </c>
      <c r="D10" s="99" t="inlineStr">
        <is>
          <t>001 500 000084620</t>
        </is>
      </c>
      <c r="E10" s="99" t="n">
        <v>111000099</v>
      </c>
      <c r="F10" s="113">
        <f>VLOOKUP(E10,PROD,2,FALSE)</f>
        <v/>
      </c>
      <c r="G10" s="99" t="inlineStr">
        <is>
          <t>TZ25AU19707</t>
        </is>
      </c>
      <c r="H10" s="99" t="inlineStr">
        <is>
          <t>SAP</t>
        </is>
      </c>
      <c r="I10" s="99" t="inlineStr">
        <is>
          <t>CAPELO</t>
        </is>
      </c>
      <c r="J10" s="99" t="inlineStr">
        <is>
          <t>CUENCA</t>
        </is>
      </c>
      <c r="K10" s="100" t="n">
        <v>46133</v>
      </c>
      <c r="L10" s="99" t="inlineStr">
        <is>
          <t>YADIRA CORONEL</t>
        </is>
      </c>
      <c r="M10" s="99" t="inlineStr">
        <is>
          <t>AVENIDA PUMAPUNGO Y PABLO NERUDA</t>
        </is>
      </c>
      <c r="N10" s="99" t="inlineStr">
        <is>
          <t>+593 99 768 7150</t>
        </is>
      </c>
      <c r="O10" s="137" t="n">
        <v>25</v>
      </c>
      <c r="P10" s="99" t="inlineStr">
        <is>
          <t>CLIENTE FINAL</t>
        </is>
      </c>
      <c r="Q10" s="99" t="inlineStr">
        <is>
          <t>CAPELO</t>
        </is>
      </c>
      <c r="S10" s="99" t="inlineStr">
        <is>
          <t>001 500 000084620</t>
        </is>
      </c>
      <c r="T10" s="99" t="n">
        <v>1103442883</v>
      </c>
      <c r="U10" s="181" t="inlineStr">
        <is>
          <t>ycoronel@graiman.com</t>
        </is>
      </c>
    </row>
    <row r="11" ht="19" customFormat="1" customHeight="1" s="102">
      <c r="A11" s="114" t="n">
        <v>6</v>
      </c>
      <c r="B11" s="100" t="n">
        <v>46103</v>
      </c>
      <c r="C11" s="99" t="inlineStr">
        <is>
          <t>COMO HOGAR</t>
        </is>
      </c>
      <c r="D11" s="99" t="inlineStr">
        <is>
          <t>040 103 000019990</t>
        </is>
      </c>
      <c r="E11" s="99" t="n">
        <v>111010095</v>
      </c>
      <c r="F11" s="113">
        <f>VLOOKUP(E11,PROD,2,FALSE)</f>
        <v/>
      </c>
      <c r="G11" s="99" t="inlineStr">
        <is>
          <t>TZ256H18798</t>
        </is>
      </c>
      <c r="H11" s="99" t="inlineStr">
        <is>
          <t>SAP</t>
        </is>
      </c>
      <c r="I11" s="99" t="inlineStr">
        <is>
          <t>CAPELO</t>
        </is>
      </c>
      <c r="J11" s="99" t="inlineStr">
        <is>
          <t>CUENCA</t>
        </is>
      </c>
      <c r="K11" s="100" t="n">
        <v>46133</v>
      </c>
      <c r="L11" s="99" t="inlineStr">
        <is>
          <t>GLADYS GUAMAN</t>
        </is>
      </c>
      <c r="M11" s="99" t="inlineStr">
        <is>
          <t>RAFAEL MARIA ARIZAGA Y MIGUEL VELEZ</t>
        </is>
      </c>
      <c r="N11" s="99" t="inlineStr">
        <is>
          <t>+593 99 768 6712</t>
        </is>
      </c>
      <c r="O11" s="137" t="n">
        <v>25</v>
      </c>
      <c r="P11" s="99" t="inlineStr">
        <is>
          <t>CLIENTE FINAL</t>
        </is>
      </c>
      <c r="Q11" s="99" t="inlineStr">
        <is>
          <t>CAPELO</t>
        </is>
      </c>
      <c r="S11" s="99" t="inlineStr">
        <is>
          <t>040 103 000019990</t>
        </is>
      </c>
      <c r="T11" s="99" t="n">
        <v>1721427332</v>
      </c>
      <c r="U11" s="181" t="inlineStr">
        <is>
          <t>jmau70977@gmail.com</t>
        </is>
      </c>
    </row>
    <row r="12" ht="19" customFormat="1" customHeight="1" s="102">
      <c r="A12" s="114" t="n">
        <v>7</v>
      </c>
      <c r="B12" s="100" t="n">
        <v>46123</v>
      </c>
      <c r="C12" s="99" t="inlineStr">
        <is>
          <t>MERCARD</t>
        </is>
      </c>
      <c r="D12" s="99" t="inlineStr">
        <is>
          <t>001 001 000002248</t>
        </is>
      </c>
      <c r="E12" s="99" t="n">
        <v>111030002</v>
      </c>
      <c r="F12" s="113">
        <f>VLOOKUP(E12,PROD,2,FALSE)</f>
        <v/>
      </c>
      <c r="G12" s="99" t="inlineStr">
        <is>
          <t>TZ25A807645</t>
        </is>
      </c>
      <c r="H12" s="99" t="inlineStr">
        <is>
          <t>SAP</t>
        </is>
      </c>
      <c r="I12" s="99" t="inlineStr">
        <is>
          <t>CAPELO</t>
        </is>
      </c>
      <c r="J12" s="99" t="inlineStr">
        <is>
          <t>CUENCA</t>
        </is>
      </c>
      <c r="K12" s="100" t="n">
        <v>46136</v>
      </c>
      <c r="L12" s="99" t="inlineStr">
        <is>
          <t>MICHELLE JUNGERBERG</t>
        </is>
      </c>
      <c r="M12" s="99" t="inlineStr">
        <is>
          <t>PAUCARBAMBA Y LOS FRESNOS</t>
        </is>
      </c>
      <c r="N12" s="99" t="inlineStr">
        <is>
          <t>+1 (970) 946-3705</t>
        </is>
      </c>
      <c r="O12" s="137" t="n">
        <v>25</v>
      </c>
      <c r="P12" s="99" t="inlineStr">
        <is>
          <t>CLIENTE FINAL</t>
        </is>
      </c>
      <c r="Q12" s="99" t="inlineStr">
        <is>
          <t>CAPELO</t>
        </is>
      </c>
      <c r="S12" s="99" t="inlineStr">
        <is>
          <t>001 001 000002248</t>
        </is>
      </c>
      <c r="T12" s="99" t="n">
        <v>1758631491</v>
      </c>
      <c r="U12" s="181" t="inlineStr">
        <is>
          <t>mjberj2003@gmail.com</t>
        </is>
      </c>
    </row>
    <row r="13" ht="19" customFormat="1" customHeight="1" s="102">
      <c r="A13" s="114" t="n">
        <v>8</v>
      </c>
      <c r="B13" s="100" t="n">
        <v>46137</v>
      </c>
      <c r="C13" s="99" t="inlineStr">
        <is>
          <t>COMERCIAL SOLIS</t>
        </is>
      </c>
      <c r="D13" s="99" t="inlineStr">
        <is>
          <t>001 500 000084907</t>
        </is>
      </c>
      <c r="E13" s="99" t="n">
        <v>40466241</v>
      </c>
      <c r="F13" s="113">
        <f>VLOOKUP(E13,PROD,2,FALSE)</f>
        <v/>
      </c>
      <c r="G13" s="99" t="inlineStr">
        <is>
          <t>TP259C07650</t>
        </is>
      </c>
      <c r="H13" s="99" t="inlineStr">
        <is>
          <t>SAP</t>
        </is>
      </c>
      <c r="I13" s="99" t="inlineStr">
        <is>
          <t>CAPELO</t>
        </is>
      </c>
      <c r="J13" s="99" t="inlineStr">
        <is>
          <t>CUENCA</t>
        </is>
      </c>
      <c r="K13" s="100" t="n">
        <v>46139</v>
      </c>
      <c r="L13" s="99" t="inlineStr">
        <is>
          <t>RAQUEL HEREDIA</t>
        </is>
      </c>
      <c r="M13" s="99" t="inlineStr">
        <is>
          <t>EL CEBOLLAR</t>
        </is>
      </c>
      <c r="N13" s="99" t="inlineStr">
        <is>
          <t>‪+593 98 413 3103‬</t>
        </is>
      </c>
      <c r="O13" s="137" t="n">
        <v>15</v>
      </c>
      <c r="P13" s="99" t="inlineStr">
        <is>
          <t>CLIENTE FINAL</t>
        </is>
      </c>
      <c r="Q13" s="99" t="inlineStr">
        <is>
          <t>CAPELO</t>
        </is>
      </c>
      <c r="S13" s="99" t="inlineStr">
        <is>
          <t>001 500 000084907</t>
        </is>
      </c>
      <c r="T13" s="99" t="n">
        <v>300332715</v>
      </c>
      <c r="U13" s="181" t="inlineStr">
        <is>
          <t>raquel.heredia_g@yahoo.com</t>
        </is>
      </c>
    </row>
    <row r="14" ht="19" customFormat="1" customHeight="1" s="102">
      <c r="A14" s="114" t="n">
        <v>9</v>
      </c>
      <c r="B14" s="100" t="n">
        <v>45943</v>
      </c>
      <c r="C14" s="99" t="inlineStr">
        <is>
          <t>COMO HOGAR</t>
        </is>
      </c>
      <c r="D14" s="99" t="inlineStr">
        <is>
          <t>040 104 000014072</t>
        </is>
      </c>
      <c r="E14" s="99" t="n">
        <v>40480321</v>
      </c>
      <c r="F14" s="113">
        <f>VLOOKUP(E14,PROD,2,FALSE)</f>
        <v/>
      </c>
      <c r="G14" s="99" t="inlineStr">
        <is>
          <t>PX255C00256</t>
        </is>
      </c>
      <c r="H14" s="99" t="inlineStr">
        <is>
          <t>SAP</t>
        </is>
      </c>
      <c r="I14" s="99" t="inlineStr">
        <is>
          <t>CAPELO</t>
        </is>
      </c>
      <c r="J14" s="99" t="inlineStr">
        <is>
          <t>CUENCA</t>
        </is>
      </c>
      <c r="K14" s="100" t="n">
        <v>46141</v>
      </c>
      <c r="L14" s="99" t="inlineStr">
        <is>
          <t>ARQ. CLAUDIA CARVAJAL</t>
        </is>
      </c>
      <c r="M14" s="99" t="inlineStr">
        <is>
          <t>VISTA LINDA</t>
        </is>
      </c>
      <c r="N14" s="99" t="inlineStr">
        <is>
          <t>+593 99 983 2544</t>
        </is>
      </c>
      <c r="O14" s="185" t="n">
        <v>45</v>
      </c>
      <c r="P14" s="99" t="inlineStr">
        <is>
          <t>CLIENTE FINAL</t>
        </is>
      </c>
      <c r="Q14" s="99" t="inlineStr">
        <is>
          <t>CAPELO</t>
        </is>
      </c>
      <c r="S14" s="99" t="inlineStr">
        <is>
          <t>040 104 000014072</t>
        </is>
      </c>
      <c r="T14" s="101" t="n">
        <v>101660181001</v>
      </c>
      <c r="U14" s="181" t="inlineStr">
        <is>
          <t>emilvallejo@hotmail.com</t>
        </is>
      </c>
    </row>
    <row r="15" ht="19" customFormat="1" customHeight="1" s="102">
      <c r="A15" s="114" t="n">
        <v>10</v>
      </c>
      <c r="B15" s="100" t="n">
        <v>45810</v>
      </c>
      <c r="C15" s="99" t="inlineStr">
        <is>
          <t>ALMACENES CHORDELEG</t>
        </is>
      </c>
      <c r="D15" s="99" t="inlineStr">
        <is>
          <t>001 001 000022003</t>
        </is>
      </c>
      <c r="E15" s="99" t="n">
        <v>40211501</v>
      </c>
      <c r="F15" s="113">
        <f>VLOOKUP(E15,PROD,2,FALSE)</f>
        <v/>
      </c>
      <c r="G15" s="99" t="inlineStr">
        <is>
          <t>ZP222R00019</t>
        </is>
      </c>
      <c r="H15" s="99" t="inlineStr">
        <is>
          <t>SAP</t>
        </is>
      </c>
      <c r="I15" s="99" t="inlineStr">
        <is>
          <t>CAPELO</t>
        </is>
      </c>
      <c r="J15" s="99" t="inlineStr">
        <is>
          <t>CUENCA</t>
        </is>
      </c>
      <c r="K15" s="100" t="n">
        <v>46141</v>
      </c>
      <c r="L15" s="99" t="inlineStr">
        <is>
          <t>RUTH LOJANO</t>
        </is>
      </c>
      <c r="M15" s="99" t="inlineStr">
        <is>
          <t>MIGUEL VELEZ 8 21 Y SUCRE</t>
        </is>
      </c>
      <c r="N15" s="99" t="inlineStr">
        <is>
          <t>+593 99 594 3815</t>
        </is>
      </c>
      <c r="O15" s="185" t="n">
        <v>29</v>
      </c>
      <c r="P15" s="99" t="inlineStr">
        <is>
          <t>CLIENTE FINAL</t>
        </is>
      </c>
      <c r="Q15" s="99" t="inlineStr">
        <is>
          <t>CAPELO</t>
        </is>
      </c>
      <c r="S15" s="99" t="inlineStr">
        <is>
          <t>001 001 000022003</t>
        </is>
      </c>
      <c r="T15" s="101" t="n">
        <v>101158160</v>
      </c>
      <c r="U15" s="181" t="inlineStr">
        <is>
          <t>rhlojano23@hotmail.com</t>
        </is>
      </c>
    </row>
    <row r="16" ht="19" customFormat="1" customHeight="1" s="102">
      <c r="A16" s="114" t="n">
        <v>11</v>
      </c>
      <c r="B16" s="100" t="n">
        <v>46140</v>
      </c>
      <c r="C16" s="99" t="inlineStr">
        <is>
          <t>COMERCIAL KYWI</t>
        </is>
      </c>
      <c r="D16" s="99" t="inlineStr">
        <is>
          <t>043 905 000131093</t>
        </is>
      </c>
      <c r="E16" s="99" t="n">
        <v>112570041</v>
      </c>
      <c r="F16" s="113">
        <f>VLOOKUP(E16,PROD,2,FALSE)</f>
        <v/>
      </c>
      <c r="G16" s="99" t="inlineStr">
        <is>
          <t>ZP25AF00254</t>
        </is>
      </c>
      <c r="H16" s="99" t="inlineStr">
        <is>
          <t>SAP</t>
        </is>
      </c>
      <c r="I16" s="99" t="inlineStr">
        <is>
          <t>CAPELO</t>
        </is>
      </c>
      <c r="J16" s="99" t="inlineStr">
        <is>
          <t>CUENCA</t>
        </is>
      </c>
      <c r="K16" s="100" t="n">
        <v>46141</v>
      </c>
      <c r="L16" s="99" t="inlineStr">
        <is>
          <t>LILIANA GUZMAN</t>
        </is>
      </c>
      <c r="M16" s="99" t="inlineStr">
        <is>
          <t>GIRON</t>
        </is>
      </c>
      <c r="N16" s="99" t="inlineStr">
        <is>
          <t>+593 98 742 7406</t>
        </is>
      </c>
      <c r="O16" s="185" t="n">
        <v>29</v>
      </c>
      <c r="P16" s="99" t="inlineStr">
        <is>
          <t>CLIENTE FINAL</t>
        </is>
      </c>
      <c r="Q16" s="99" t="inlineStr">
        <is>
          <t>CAPELO</t>
        </is>
      </c>
      <c r="S16" s="99" t="inlineStr">
        <is>
          <t>043 905 000131093</t>
        </is>
      </c>
      <c r="T16" s="101" t="n">
        <v>103747804</v>
      </c>
      <c r="U16" s="181" t="inlineStr">
        <is>
          <t>liliana.guzman.ec4@gmail.com</t>
        </is>
      </c>
    </row>
    <row r="17" ht="19" customFormat="1" customHeight="1" s="102">
      <c r="A17" s="114" t="n">
        <v>12</v>
      </c>
      <c r="B17" s="100" t="n">
        <v>46116</v>
      </c>
      <c r="C17" s="99" t="inlineStr">
        <is>
          <t>COMO HOGAR</t>
        </is>
      </c>
      <c r="D17" s="99" t="inlineStr">
        <is>
          <t>040 104 000017194</t>
        </is>
      </c>
      <c r="E17" s="99" t="n">
        <v>112520024</v>
      </c>
      <c r="F17" s="113">
        <f>VLOOKUP(E17,PROD,2,FALSE)</f>
        <v/>
      </c>
      <c r="G17" s="99" t="inlineStr">
        <is>
          <t>ZP251600330</t>
        </is>
      </c>
      <c r="H17" s="99" t="inlineStr">
        <is>
          <t>SAP</t>
        </is>
      </c>
      <c r="I17" s="99" t="inlineStr">
        <is>
          <t>CAPELO</t>
        </is>
      </c>
      <c r="J17" s="99" t="inlineStr">
        <is>
          <t>CUENCA</t>
        </is>
      </c>
      <c r="K17" s="100" t="n">
        <v>46142</v>
      </c>
      <c r="L17" s="99" t="inlineStr">
        <is>
          <t>JUAN VINTIMILLA GARATE</t>
        </is>
      </c>
      <c r="M17" s="99" t="inlineStr">
        <is>
          <t>PLAZA DEL PARQUE</t>
        </is>
      </c>
      <c r="N17" s="172" t="inlineStr">
        <is>
          <t>+593 99 976 4558</t>
        </is>
      </c>
      <c r="O17" s="185" t="n">
        <v>25</v>
      </c>
      <c r="P17" s="99" t="inlineStr">
        <is>
          <t>CLIENTE FINAL</t>
        </is>
      </c>
      <c r="Q17" s="99" t="inlineStr">
        <is>
          <t>CAPELO</t>
        </is>
      </c>
      <c r="S17" s="99" t="inlineStr">
        <is>
          <t>040 104 000017194</t>
        </is>
      </c>
      <c r="T17" s="99" t="n">
        <v>101833218</v>
      </c>
      <c r="U17" s="181" t="inlineStr">
        <is>
          <t>j.vintimillaq@gmail.com</t>
        </is>
      </c>
    </row>
    <row r="18" ht="19" customFormat="1" customHeight="1" s="102">
      <c r="A18" s="114" t="n">
        <v>13</v>
      </c>
      <c r="B18" s="100" t="n">
        <v>45989</v>
      </c>
      <c r="C18" s="99" t="inlineStr">
        <is>
          <t>COMERCIAL KYWI</t>
        </is>
      </c>
      <c r="D18" s="99" t="inlineStr">
        <is>
          <t>043 905 000106046</t>
        </is>
      </c>
      <c r="E18" s="99" t="n">
        <v>40466241</v>
      </c>
      <c r="F18" s="113">
        <f>VLOOKUP(E18,PROD,2,FALSE)</f>
        <v/>
      </c>
      <c r="G18" s="99" t="inlineStr">
        <is>
          <t>TP258807444</t>
        </is>
      </c>
      <c r="H18" s="99" t="inlineStr">
        <is>
          <t>SAP</t>
        </is>
      </c>
      <c r="I18" s="99" t="inlineStr">
        <is>
          <t>CAPELO</t>
        </is>
      </c>
      <c r="J18" s="99" t="inlineStr">
        <is>
          <t>CUENCA</t>
        </is>
      </c>
      <c r="K18" s="100" t="n">
        <v>46146</v>
      </c>
      <c r="L18" s="99" t="inlineStr">
        <is>
          <t>ALFREDO GUAMAN</t>
        </is>
      </c>
      <c r="M18" s="99" t="inlineStr">
        <is>
          <t>VIA LLACAO</t>
        </is>
      </c>
      <c r="N18" s="99" t="inlineStr">
        <is>
          <t>+593 99 712 6552</t>
        </is>
      </c>
      <c r="O18" s="185" t="n">
        <v>15</v>
      </c>
      <c r="P18" s="99" t="inlineStr">
        <is>
          <t>CLIENTE FINAL</t>
        </is>
      </c>
      <c r="Q18" s="99" t="inlineStr">
        <is>
          <t>CAPELO</t>
        </is>
      </c>
      <c r="S18" s="99" t="inlineStr">
        <is>
          <t>043 905 000106046</t>
        </is>
      </c>
      <c r="T18" s="99" t="n">
        <v>101661361</v>
      </c>
      <c r="U18" s="181" t="inlineStr">
        <is>
          <t>alguaman@yahoo.com</t>
        </is>
      </c>
    </row>
    <row r="19" ht="19" customFormat="1" customHeight="1" s="102">
      <c r="A19" s="114" t="n">
        <v>14</v>
      </c>
      <c r="B19" s="100" t="n">
        <v>45990</v>
      </c>
      <c r="C19" s="99" t="inlineStr">
        <is>
          <t>COMERCIAL SOLIS</t>
        </is>
      </c>
      <c r="D19" s="99" t="inlineStr">
        <is>
          <t>001 500 000079882</t>
        </is>
      </c>
      <c r="E19" s="99" t="n">
        <v>111020071</v>
      </c>
      <c r="F19" s="113">
        <f>VLOOKUP(E19,PROD,2,FALSE)</f>
        <v/>
      </c>
      <c r="G19" s="99" t="inlineStr">
        <is>
          <t>TZ245V29036</t>
        </is>
      </c>
      <c r="H19" s="99" t="inlineStr">
        <is>
          <t>SAP</t>
        </is>
      </c>
      <c r="I19" s="99" t="inlineStr">
        <is>
          <t>CAPELO</t>
        </is>
      </c>
      <c r="J19" s="99" t="inlineStr">
        <is>
          <t>CUENCA</t>
        </is>
      </c>
      <c r="K19" s="100" t="n">
        <v>46147</v>
      </c>
      <c r="L19" s="99" t="inlineStr">
        <is>
          <t>ANDREA LOJA</t>
        </is>
      </c>
      <c r="M19" s="99" t="inlineStr">
        <is>
          <t>1 SEPTIEMBRE Y CANTON GUALAQUIZA</t>
        </is>
      </c>
      <c r="N19" s="99" t="inlineStr">
        <is>
          <t>+593 99 254 2189</t>
        </is>
      </c>
      <c r="O19" s="185" t="n">
        <v>25</v>
      </c>
      <c r="P19" s="99" t="inlineStr">
        <is>
          <t>CLIENTE FINAL</t>
        </is>
      </c>
      <c r="Q19" s="99" t="inlineStr">
        <is>
          <t>CAPELO</t>
        </is>
      </c>
      <c r="S19" s="99" t="inlineStr">
        <is>
          <t>001 500 000079882</t>
        </is>
      </c>
      <c r="T19" s="99" t="n">
        <v>101492403</v>
      </c>
      <c r="U19" s="181" t="inlineStr">
        <is>
          <t>andrea.lojat@gmail.com</t>
        </is>
      </c>
    </row>
    <row r="20" ht="19" customFormat="1" customHeight="1" s="102">
      <c r="A20" s="114" t="n">
        <v>15</v>
      </c>
      <c r="B20" s="100" t="n">
        <v>46135</v>
      </c>
      <c r="C20" s="99" t="inlineStr">
        <is>
          <t>MERCARD</t>
        </is>
      </c>
      <c r="D20" s="99" t="inlineStr">
        <is>
          <t>001 001 000002290</t>
        </is>
      </c>
      <c r="E20" s="99" t="n">
        <v>112580058</v>
      </c>
      <c r="F20" s="113">
        <f>VLOOKUP(E20,PROD,2,FALSE)</f>
        <v/>
      </c>
      <c r="G20" s="99" t="inlineStr">
        <is>
          <t>ZP25IV00148</t>
        </is>
      </c>
      <c r="H20" s="99" t="inlineStr">
        <is>
          <t>SAP</t>
        </is>
      </c>
      <c r="I20" s="99" t="inlineStr">
        <is>
          <t>CAPELO</t>
        </is>
      </c>
      <c r="J20" s="99" t="inlineStr">
        <is>
          <t>CUENCA</t>
        </is>
      </c>
      <c r="K20" s="100" t="n">
        <v>46148</v>
      </c>
      <c r="L20" s="99" t="inlineStr">
        <is>
          <t>VERONICA GALVIS</t>
        </is>
      </c>
      <c r="M20" s="99" t="inlineStr">
        <is>
          <t>CHALLUABAMBA</t>
        </is>
      </c>
      <c r="N20" s="99" t="inlineStr">
        <is>
          <t>+593 99 926 5685</t>
        </is>
      </c>
      <c r="O20" s="185" t="n">
        <v>29</v>
      </c>
      <c r="P20" s="99" t="inlineStr">
        <is>
          <t>CLIENTE FINAL</t>
        </is>
      </c>
      <c r="Q20" s="99" t="inlineStr">
        <is>
          <t>CAPELO</t>
        </is>
      </c>
      <c r="S20" s="99" t="inlineStr">
        <is>
          <t>001 001 000002290</t>
        </is>
      </c>
      <c r="T20" s="101" t="n">
        <v>105100978001</v>
      </c>
      <c r="U20" s="181" t="inlineStr">
        <is>
          <t>ma.veronicagalvis@gmail.com</t>
        </is>
      </c>
    </row>
    <row r="21" ht="19" customFormat="1" customHeight="1" s="102">
      <c r="A21" s="114" t="n">
        <v>16</v>
      </c>
      <c r="B21" s="100" t="n">
        <v>46079</v>
      </c>
      <c r="C21" s="99" t="inlineStr">
        <is>
          <t>COMERCIAL KYWI</t>
        </is>
      </c>
      <c r="D21" s="99" t="inlineStr">
        <is>
          <t>016 906 000122049</t>
        </is>
      </c>
      <c r="E21" s="99" t="n">
        <v>112950021</v>
      </c>
      <c r="F21" s="113">
        <f>VLOOKUP(E21,PROD,2,FALSE)</f>
        <v/>
      </c>
      <c r="G21" s="99" t="inlineStr">
        <is>
          <t>EK258800001</t>
        </is>
      </c>
      <c r="H21" s="99" t="inlineStr">
        <is>
          <t>SAP</t>
        </is>
      </c>
      <c r="I21" s="99" t="inlineStr">
        <is>
          <t>CAPELO</t>
        </is>
      </c>
      <c r="J21" s="99" t="inlineStr">
        <is>
          <t>CUENCA</t>
        </is>
      </c>
      <c r="K21" s="100" t="n">
        <v>46148</v>
      </c>
      <c r="L21" s="99" t="inlineStr">
        <is>
          <t>ZOILA ASTUDILLO</t>
        </is>
      </c>
      <c r="M21" s="99" t="inlineStr">
        <is>
          <t>RICAURTE 4 ESQUINAS DETRAS ALCATRAZ</t>
        </is>
      </c>
      <c r="N21" s="99" t="inlineStr">
        <is>
          <t>+593 95 986 0604</t>
        </is>
      </c>
      <c r="O21" s="185" t="n">
        <v>36</v>
      </c>
      <c r="P21" s="99" t="inlineStr">
        <is>
          <t>CLIENTE FINAL</t>
        </is>
      </c>
      <c r="Q21" s="99" t="inlineStr">
        <is>
          <t>CAPELO</t>
        </is>
      </c>
      <c r="S21" s="99" t="inlineStr">
        <is>
          <t>016 906 000122049</t>
        </is>
      </c>
      <c r="T21" s="99" t="n">
        <v>104699293</v>
      </c>
      <c r="U21" s="181" t="inlineStr">
        <is>
          <t>rosyastudilloc@gmail.com</t>
        </is>
      </c>
    </row>
    <row r="22" ht="19" customFormat="1" customHeight="1" s="102">
      <c r="A22" s="114" t="n">
        <v>17</v>
      </c>
      <c r="B22" s="100" t="n">
        <v>46089</v>
      </c>
      <c r="C22" s="99" t="inlineStr">
        <is>
          <t>COMO HOGAR</t>
        </is>
      </c>
      <c r="D22" s="99" t="inlineStr">
        <is>
          <t>040 103 000019727</t>
        </is>
      </c>
      <c r="E22" s="99" t="n">
        <v>111000078</v>
      </c>
      <c r="F22" s="113">
        <f>VLOOKUP(E22,PROD,2,FALSE)</f>
        <v/>
      </c>
      <c r="G22" s="99" t="inlineStr">
        <is>
          <t>TZ257E16188</t>
        </is>
      </c>
      <c r="H22" s="99" t="inlineStr">
        <is>
          <t>SAP</t>
        </is>
      </c>
      <c r="I22" s="99" t="inlineStr">
        <is>
          <t>CAPELO</t>
        </is>
      </c>
      <c r="J22" s="99" t="inlineStr">
        <is>
          <t>CUENCA</t>
        </is>
      </c>
      <c r="K22" s="100" t="n">
        <v>46148</v>
      </c>
      <c r="L22" s="99" t="inlineStr">
        <is>
          <t>TERESA JACHO</t>
        </is>
      </c>
      <c r="M22" s="99" t="inlineStr">
        <is>
          <t>LA FLORESTA SECTOR JAIME ROLDOS</t>
        </is>
      </c>
      <c r="N22" s="99" t="inlineStr">
        <is>
          <t>+593 99 435 4626</t>
        </is>
      </c>
      <c r="O22" s="185" t="n">
        <v>25</v>
      </c>
      <c r="P22" s="99" t="inlineStr">
        <is>
          <t>CLIENTE FINAL</t>
        </is>
      </c>
      <c r="Q22" s="99" t="inlineStr">
        <is>
          <t>CAPELO</t>
        </is>
      </c>
      <c r="S22" s="99" t="inlineStr">
        <is>
          <t>040 103 000019727</t>
        </is>
      </c>
      <c r="T22" s="99" t="n">
        <v>1017994626</v>
      </c>
      <c r="U22" s="181" t="inlineStr">
        <is>
          <t>tjachojo@gmail.com</t>
        </is>
      </c>
    </row>
    <row r="23" ht="19" customFormat="1" customHeight="1" s="102">
      <c r="A23" s="114" t="n">
        <v>18</v>
      </c>
      <c r="B23" s="100" t="n">
        <v>46136</v>
      </c>
      <c r="C23" s="99" t="inlineStr">
        <is>
          <t>COMERCIAL KYWI</t>
        </is>
      </c>
      <c r="D23" s="99" t="inlineStr">
        <is>
          <t>043 902 000085993</t>
        </is>
      </c>
      <c r="E23" s="99" t="n">
        <v>112500046</v>
      </c>
      <c r="F23" s="113">
        <f>VLOOKUP(E23,PROD,2,FALSE)</f>
        <v/>
      </c>
      <c r="G23" s="99" t="inlineStr">
        <is>
          <t>ZP2561V00107</t>
        </is>
      </c>
      <c r="H23" s="99" t="inlineStr">
        <is>
          <t>SAP</t>
        </is>
      </c>
      <c r="I23" s="99" t="inlineStr">
        <is>
          <t>CAPELO</t>
        </is>
      </c>
      <c r="J23" s="99" t="inlineStr">
        <is>
          <t>CUENCA</t>
        </is>
      </c>
      <c r="K23" s="100" t="n">
        <v>46149</v>
      </c>
      <c r="L23" s="99" t="inlineStr">
        <is>
          <t>YOLANDA TORRES</t>
        </is>
      </c>
      <c r="M23" s="99" t="inlineStr">
        <is>
          <t>EDIFICIO LOPE DE VEGA 4 81 ISABEL LA CATOLICA</t>
        </is>
      </c>
      <c r="N23" s="99" t="inlineStr">
        <is>
          <t>+593 99 314 9164</t>
        </is>
      </c>
      <c r="O23" s="185" t="n">
        <v>25</v>
      </c>
      <c r="P23" s="99" t="inlineStr">
        <is>
          <t>CLIENTE FINAL</t>
        </is>
      </c>
      <c r="Q23" s="99" t="inlineStr">
        <is>
          <t>CAPELO</t>
        </is>
      </c>
      <c r="S23" s="99" t="inlineStr">
        <is>
          <t>043 902 000085993</t>
        </is>
      </c>
      <c r="T23" s="99" t="n">
        <v>101478329</v>
      </c>
      <c r="U23" s="181" t="inlineStr">
        <is>
          <t>fstpegasus@hotmail.com</t>
        </is>
      </c>
    </row>
    <row r="24" ht="19" customFormat="1" customHeight="1" s="102">
      <c r="A24" s="114" t="n">
        <v>19</v>
      </c>
      <c r="B24" s="100" t="n">
        <v>45980</v>
      </c>
      <c r="C24" s="99" t="inlineStr">
        <is>
          <t>COMERCIAL SOLIS</t>
        </is>
      </c>
      <c r="D24" s="99" t="inlineStr">
        <is>
          <t>001 500 000078945</t>
        </is>
      </c>
      <c r="E24" s="99" t="n">
        <v>112580027</v>
      </c>
      <c r="F24" s="113">
        <f>VLOOKUP(E24,PROD,2,FALSE)</f>
        <v/>
      </c>
      <c r="G24" s="99" t="inlineStr">
        <is>
          <t>ZP253500693</t>
        </is>
      </c>
      <c r="H24" s="99" t="inlineStr">
        <is>
          <t>SAP</t>
        </is>
      </c>
      <c r="I24" s="99" t="inlineStr">
        <is>
          <t>CAPELO</t>
        </is>
      </c>
      <c r="J24" s="99" t="inlineStr">
        <is>
          <t>CUENCA</t>
        </is>
      </c>
      <c r="K24" s="100" t="n">
        <v>46150</v>
      </c>
      <c r="L24" s="99" t="inlineStr">
        <is>
          <t>GABRIEL INGA</t>
        </is>
      </c>
      <c r="M24" s="99" t="inlineStr">
        <is>
          <t>AV 1 DE MAYO</t>
        </is>
      </c>
      <c r="N24" s="99" t="inlineStr">
        <is>
          <t>+593 98 395 6424</t>
        </is>
      </c>
      <c r="O24" s="185" t="n">
        <v>29</v>
      </c>
      <c r="P24" s="99" t="inlineStr">
        <is>
          <t>CLIENTE FINAL</t>
        </is>
      </c>
      <c r="Q24" s="99" t="inlineStr">
        <is>
          <t>CAPELO</t>
        </is>
      </c>
      <c r="S24" s="99" t="inlineStr">
        <is>
          <t>001 500 000078945</t>
        </is>
      </c>
      <c r="T24" s="101" t="n">
        <v>104186291001</v>
      </c>
      <c r="U24" s="181" t="inlineStr">
        <is>
          <t>alexingapizarro@hotmail.com</t>
        </is>
      </c>
    </row>
    <row r="25" ht="19" customFormat="1" customHeight="1" s="102">
      <c r="A25" s="114" t="n">
        <v>20</v>
      </c>
      <c r="B25" s="100" t="n">
        <v>46132</v>
      </c>
      <c r="C25" s="99" t="inlineStr">
        <is>
          <t>COMERCIAL SOLIS</t>
        </is>
      </c>
      <c r="D25" s="99" t="inlineStr">
        <is>
          <t>001 500 000001303</t>
        </is>
      </c>
      <c r="E25" s="99" t="n">
        <v>112910007</v>
      </c>
      <c r="F25" s="113">
        <f>VLOOKUP(E25,PROD,2,FALSE)</f>
        <v/>
      </c>
      <c r="G25" s="99" t="inlineStr">
        <is>
          <t>PX25AT00081</t>
        </is>
      </c>
      <c r="H25" s="99" t="inlineStr">
        <is>
          <t>SAP</t>
        </is>
      </c>
      <c r="I25" s="99" t="inlineStr">
        <is>
          <t>CAPELO</t>
        </is>
      </c>
      <c r="J25" s="99" t="inlineStr">
        <is>
          <t>CUENCA</t>
        </is>
      </c>
      <c r="K25" s="100" t="n">
        <v>46150</v>
      </c>
      <c r="L25" s="99" t="inlineStr">
        <is>
          <t>DIEGO CRESPO</t>
        </is>
      </c>
      <c r="M25" s="99" t="inlineStr">
        <is>
          <t>YUNGUILLA</t>
        </is>
      </c>
      <c r="N25" s="169" t="inlineStr">
        <is>
          <t>+593 99 960 8910</t>
        </is>
      </c>
      <c r="O25" s="185" t="n">
        <v>45</v>
      </c>
      <c r="P25" s="99" t="inlineStr">
        <is>
          <t>CLIENTE FINAL</t>
        </is>
      </c>
      <c r="Q25" s="99" t="inlineStr">
        <is>
          <t>CAPELO</t>
        </is>
      </c>
      <c r="S25" s="99" t="inlineStr">
        <is>
          <t>001 500 000001303</t>
        </is>
      </c>
      <c r="T25" s="101" t="n">
        <v>101059643001</v>
      </c>
      <c r="U25" s="181" t="inlineStr">
        <is>
          <t>dcrespo@hormipisos.com</t>
        </is>
      </c>
    </row>
    <row r="26" ht="19" customFormat="1" customHeight="1" s="102">
      <c r="A26" s="114" t="n">
        <v>21</v>
      </c>
      <c r="B26" s="100" t="n">
        <v>46149</v>
      </c>
      <c r="C26" s="99" t="inlineStr">
        <is>
          <t>COMERCIAL SOLIS</t>
        </is>
      </c>
      <c r="D26" s="99" t="inlineStr">
        <is>
          <t>001 500 000085385</t>
        </is>
      </c>
      <c r="E26" s="99" t="n">
        <v>112930076</v>
      </c>
      <c r="F26" s="113">
        <f>VLOOKUP(E26,PROD,2,FALSE)</f>
        <v/>
      </c>
      <c r="G26" s="99" t="inlineStr">
        <is>
          <t>PX256500057</t>
        </is>
      </c>
      <c r="H26" s="99" t="inlineStr">
        <is>
          <t>SAP</t>
        </is>
      </c>
      <c r="I26" s="99" t="inlineStr">
        <is>
          <t>CAPELO</t>
        </is>
      </c>
      <c r="J26" s="99" t="inlineStr">
        <is>
          <t>CUENCA</t>
        </is>
      </c>
      <c r="K26" s="100" t="n">
        <v>46153</v>
      </c>
      <c r="L26" s="99" t="inlineStr">
        <is>
          <t>DELIA CABRERA</t>
        </is>
      </c>
      <c r="M26" s="99" t="inlineStr">
        <is>
          <t>CHORDELEG</t>
        </is>
      </c>
      <c r="N26" s="99" t="inlineStr">
        <is>
          <t>+593 99 974 4891</t>
        </is>
      </c>
      <c r="O26" s="185" t="n">
        <v>36</v>
      </c>
      <c r="P26" s="99" t="inlineStr">
        <is>
          <t>CLIENTE FINAL</t>
        </is>
      </c>
      <c r="Q26" s="99" t="inlineStr">
        <is>
          <t>CAPELO</t>
        </is>
      </c>
      <c r="S26" s="99" t="inlineStr">
        <is>
          <t>001 500 000085385</t>
        </is>
      </c>
      <c r="T26" s="101" t="n">
        <v>101959245001</v>
      </c>
      <c r="U26" s="181" t="inlineStr">
        <is>
          <t>tatitram@gmail.com</t>
        </is>
      </c>
    </row>
    <row r="27" ht="19" customFormat="1" customHeight="1" s="102">
      <c r="A27" s="114" t="n">
        <v>22</v>
      </c>
      <c r="B27" s="100" t="n">
        <v>46108</v>
      </c>
      <c r="C27" s="99" t="inlineStr">
        <is>
          <t>COMO HOGAR</t>
        </is>
      </c>
      <c r="D27" s="99" t="inlineStr">
        <is>
          <t>040 103 000020073</t>
        </is>
      </c>
      <c r="E27" s="99" t="n">
        <v>111000050</v>
      </c>
      <c r="F27" s="113">
        <f>VLOOKUP(E27,PROD,2,FALSE)</f>
        <v/>
      </c>
      <c r="G27" s="99" t="inlineStr">
        <is>
          <t>TZ25AT18891</t>
        </is>
      </c>
      <c r="H27" s="99" t="inlineStr">
        <is>
          <t>SAP</t>
        </is>
      </c>
      <c r="I27" s="99" t="inlineStr">
        <is>
          <t>CAPELO</t>
        </is>
      </c>
      <c r="J27" s="99" t="inlineStr">
        <is>
          <t>CUENCA</t>
        </is>
      </c>
      <c r="K27" s="100" t="n">
        <v>46153</v>
      </c>
      <c r="L27" s="99" t="inlineStr">
        <is>
          <t>REGULO MARÍN</t>
        </is>
      </c>
      <c r="M27" s="99" t="inlineStr">
        <is>
          <t>CHORDELEG</t>
        </is>
      </c>
      <c r="N27" s="99" t="inlineStr">
        <is>
          <t>+593 99 806 9915</t>
        </is>
      </c>
      <c r="O27" s="185" t="n">
        <v>25</v>
      </c>
      <c r="P27" s="99" t="inlineStr">
        <is>
          <t>CLIENTE FINAL</t>
        </is>
      </c>
      <c r="Q27" s="99" t="inlineStr">
        <is>
          <t>CAPELO</t>
        </is>
      </c>
      <c r="S27" s="99" t="inlineStr">
        <is>
          <t>040 103 000020073</t>
        </is>
      </c>
      <c r="T27" s="101" t="n">
        <v>9109800051001</v>
      </c>
      <c r="U27" s="181" t="inlineStr">
        <is>
          <t>rugulomarin394@gmail.com</t>
        </is>
      </c>
    </row>
    <row r="28" ht="19" customFormat="1" customHeight="1" s="102">
      <c r="A28" s="114" t="n">
        <v>23</v>
      </c>
      <c r="B28" s="100" t="n">
        <v>46171</v>
      </c>
      <c r="C28" s="99" t="inlineStr">
        <is>
          <t>COMERCIAL SOLIS</t>
        </is>
      </c>
      <c r="D28" s="99" t="inlineStr">
        <is>
          <t>001 501 0000009257</t>
        </is>
      </c>
      <c r="E28" s="99" t="n">
        <v>111010095</v>
      </c>
      <c r="F28" s="113">
        <f>VLOOKUP(E28,PROD,2,FALSE)</f>
        <v/>
      </c>
      <c r="G28" s="99" t="inlineStr">
        <is>
          <t>TZ26IF09195</t>
        </is>
      </c>
      <c r="H28" s="99" t="inlineStr">
        <is>
          <t>SAP</t>
        </is>
      </c>
      <c r="I28" s="99" t="inlineStr">
        <is>
          <t>CAPELO</t>
        </is>
      </c>
      <c r="J28" s="99" t="inlineStr">
        <is>
          <t>CUENCA</t>
        </is>
      </c>
      <c r="K28" s="100" t="n">
        <v>46154</v>
      </c>
      <c r="L28" s="99" t="inlineStr">
        <is>
          <t>AYKUL VELEZ</t>
        </is>
      </c>
      <c r="M28" s="99" t="inlineStr">
        <is>
          <t>PASEO RIO TOMEBAMBA ED ATLANTIDA</t>
        </is>
      </c>
      <c r="N28" s="99" t="inlineStr">
        <is>
          <t>+593 98 955 3435</t>
        </is>
      </c>
      <c r="O28" s="185" t="n">
        <v>25</v>
      </c>
      <c r="P28" s="99" t="inlineStr">
        <is>
          <t>CLIENTE FINAL</t>
        </is>
      </c>
      <c r="Q28" s="99" t="inlineStr">
        <is>
          <t>CAPELO</t>
        </is>
      </c>
      <c r="S28" s="99" t="inlineStr">
        <is>
          <t>001 501 0000009257</t>
        </is>
      </c>
      <c r="T28" s="101" t="n">
        <v>151950219</v>
      </c>
      <c r="U28" s="181" t="inlineStr">
        <is>
          <t>meinplatz2002@gmail.com</t>
        </is>
      </c>
    </row>
    <row r="29" ht="19" customFormat="1" customHeight="1" s="102">
      <c r="A29" s="114" t="n">
        <v>24</v>
      </c>
      <c r="B29" s="100" t="n">
        <v>46143</v>
      </c>
      <c r="C29" s="99" t="inlineStr">
        <is>
          <t>COMO HOGAR</t>
        </is>
      </c>
      <c r="D29" s="99" t="inlineStr">
        <is>
          <t>040 103 0000020720</t>
        </is>
      </c>
      <c r="E29" s="99" t="n">
        <v>112570246</v>
      </c>
      <c r="F29" s="113">
        <f>VLOOKUP(E29,PROD,2,FALSE)</f>
        <v/>
      </c>
      <c r="G29" s="99" t="inlineStr">
        <is>
          <t>ZP257E00061</t>
        </is>
      </c>
      <c r="H29" s="99" t="inlineStr">
        <is>
          <t>SAP</t>
        </is>
      </c>
      <c r="I29" s="99" t="inlineStr">
        <is>
          <t>CAPELO</t>
        </is>
      </c>
      <c r="J29" s="99" t="inlineStr">
        <is>
          <t>CUENCA</t>
        </is>
      </c>
      <c r="K29" s="100" t="n">
        <v>46154</v>
      </c>
      <c r="L29" s="99" t="inlineStr">
        <is>
          <t>JHANET RIERA</t>
        </is>
      </c>
      <c r="M29" s="99" t="inlineStr">
        <is>
          <t>LONDRES Y BUDAPEST</t>
        </is>
      </c>
      <c r="N29" s="99" t="inlineStr">
        <is>
          <t>+593 99 959 6430</t>
        </is>
      </c>
      <c r="O29" s="185" t="n">
        <v>29</v>
      </c>
      <c r="P29" s="99" t="inlineStr">
        <is>
          <t>CLIENTE FINAL</t>
        </is>
      </c>
      <c r="Q29" s="99" t="inlineStr">
        <is>
          <t>CAPELO</t>
        </is>
      </c>
      <c r="S29" s="99" t="inlineStr">
        <is>
          <t>040 103 0000020720</t>
        </is>
      </c>
      <c r="T29" s="101" t="n">
        <v>501472112001</v>
      </c>
      <c r="U29" s="181" t="inlineStr">
        <is>
          <t>gerente@eimeparts.com</t>
        </is>
      </c>
    </row>
    <row r="30" ht="19" customFormat="1" customHeight="1" s="102">
      <c r="A30" s="114" t="n">
        <v>25</v>
      </c>
      <c r="B30" s="100" t="n">
        <v>46082</v>
      </c>
      <c r="C30" s="99" t="inlineStr">
        <is>
          <t>COMERCIAL KYWI</t>
        </is>
      </c>
      <c r="D30" s="99" t="inlineStr">
        <is>
          <t>043 904 000096964</t>
        </is>
      </c>
      <c r="E30" s="99" t="n">
        <v>112570126</v>
      </c>
      <c r="F30" s="113">
        <f>VLOOKUP(E30,PROD,2,FALSE)</f>
        <v/>
      </c>
      <c r="G30" s="99" t="inlineStr">
        <is>
          <t>ZP25BE00007</t>
        </is>
      </c>
      <c r="H30" s="99" t="inlineStr">
        <is>
          <t>SAP</t>
        </is>
      </c>
      <c r="I30" s="99" t="inlineStr">
        <is>
          <t>CAPELO</t>
        </is>
      </c>
      <c r="J30" s="99" t="inlineStr">
        <is>
          <t>CUENCA</t>
        </is>
      </c>
      <c r="K30" s="100" t="n">
        <v>46155</v>
      </c>
      <c r="L30" s="99" t="inlineStr">
        <is>
          <t>DANIELA ZUNIGA</t>
        </is>
      </c>
      <c r="M30" s="99" t="inlineStr">
        <is>
          <t>CARMEN DE SININCAY</t>
        </is>
      </c>
      <c r="N30" s="99" t="inlineStr">
        <is>
          <t>+593 99 284 9868</t>
        </is>
      </c>
      <c r="O30" s="185" t="n">
        <v>29</v>
      </c>
      <c r="P30" s="99" t="inlineStr">
        <is>
          <t>CLIENTE FINAL</t>
        </is>
      </c>
      <c r="Q30" s="99" t="inlineStr">
        <is>
          <t>CAPELO</t>
        </is>
      </c>
      <c r="S30" s="99" t="inlineStr">
        <is>
          <t>043 904 000096964</t>
        </is>
      </c>
      <c r="T30" s="101" t="n">
        <v>101300367</v>
      </c>
      <c r="U30" s="181" t="inlineStr">
        <is>
          <t>dzunigar@gmail.com</t>
        </is>
      </c>
    </row>
    <row r="31" ht="19" customFormat="1" customHeight="1" s="102">
      <c r="A31" s="114" t="n">
        <v>26</v>
      </c>
      <c r="B31" s="100" t="n">
        <v>46144</v>
      </c>
      <c r="C31" s="99" t="inlineStr">
        <is>
          <t>COMERCIAL KYWI</t>
        </is>
      </c>
      <c r="D31" s="99" t="inlineStr">
        <is>
          <t>043 901 000058005</t>
        </is>
      </c>
      <c r="E31" s="99" t="n">
        <v>111000051</v>
      </c>
      <c r="F31" s="113">
        <f>VLOOKUP(E31,PROD,2,FALSE)</f>
        <v/>
      </c>
      <c r="G31" s="99" t="inlineStr">
        <is>
          <t>TZ247202365</t>
        </is>
      </c>
      <c r="H31" s="99" t="inlineStr">
        <is>
          <t>SAP</t>
        </is>
      </c>
      <c r="I31" s="99" t="inlineStr">
        <is>
          <t>CAPELO</t>
        </is>
      </c>
      <c r="J31" s="99" t="inlineStr">
        <is>
          <t>CUENCA</t>
        </is>
      </c>
      <c r="K31" s="100" t="n">
        <v>46155</v>
      </c>
      <c r="L31" s="99" t="inlineStr">
        <is>
          <t>TIINA SOE</t>
        </is>
      </c>
      <c r="M31" s="99" t="inlineStr">
        <is>
          <t>SUBIDA DE TURI</t>
        </is>
      </c>
      <c r="N31" s="99" t="inlineStr">
        <is>
          <t>+593 98 799 8189</t>
        </is>
      </c>
      <c r="O31" s="185" t="n">
        <v>25</v>
      </c>
      <c r="P31" s="99" t="inlineStr">
        <is>
          <t>CLIENTE FINAL</t>
        </is>
      </c>
      <c r="Q31" s="99" t="inlineStr">
        <is>
          <t>CAPELO</t>
        </is>
      </c>
      <c r="S31" s="99" t="inlineStr">
        <is>
          <t>043 901 000058005</t>
        </is>
      </c>
      <c r="T31" s="101" t="n">
        <v>102290053001</v>
      </c>
      <c r="U31" s="181" t="inlineStr">
        <is>
          <t>tiinasoe@live.com</t>
        </is>
      </c>
    </row>
    <row r="32" ht="19" customFormat="1" customHeight="1" s="102">
      <c r="A32" s="114" t="n">
        <v>27</v>
      </c>
      <c r="B32" s="100" t="n">
        <v>46145</v>
      </c>
      <c r="C32" s="99" t="inlineStr">
        <is>
          <t>COMERCIAL KYWI</t>
        </is>
      </c>
      <c r="D32" s="99" t="inlineStr">
        <is>
          <t>043 901 000058100</t>
        </is>
      </c>
      <c r="E32" s="99" t="n">
        <v>112950020</v>
      </c>
      <c r="F32" s="113">
        <f>VLOOKUP(E32,PROD,2,FALSE)</f>
        <v/>
      </c>
      <c r="G32" s="99" t="inlineStr">
        <is>
          <t>EK258700098</t>
        </is>
      </c>
      <c r="H32" s="99" t="inlineStr">
        <is>
          <t>SAP</t>
        </is>
      </c>
      <c r="I32" s="99" t="inlineStr">
        <is>
          <t>CAPELO</t>
        </is>
      </c>
      <c r="J32" s="99" t="inlineStr">
        <is>
          <t>CUENCA</t>
        </is>
      </c>
      <c r="K32" s="100" t="n">
        <v>46156</v>
      </c>
      <c r="L32" s="99" t="inlineStr">
        <is>
          <t>ARQ VANESSA JADAN</t>
        </is>
      </c>
      <c r="M32" s="99" t="inlineStr">
        <is>
          <t>SECTOR SUPERMAXI AMERICAS</t>
        </is>
      </c>
      <c r="N32" s="99" t="inlineStr">
        <is>
          <t>+593 96 251 7761</t>
        </is>
      </c>
      <c r="O32" s="185" t="n">
        <v>36</v>
      </c>
      <c r="P32" s="99" t="inlineStr">
        <is>
          <t>CLIENTE FINAL</t>
        </is>
      </c>
      <c r="Q32" s="99" t="inlineStr">
        <is>
          <t>CAPELO</t>
        </is>
      </c>
      <c r="S32" s="99" t="inlineStr">
        <is>
          <t>043 901 000058100</t>
        </is>
      </c>
      <c r="T32" s="101" t="n">
        <v>102917945001</v>
      </c>
      <c r="U32" s="181" t="inlineStr">
        <is>
          <t>vjadan2020@gmail.com</t>
        </is>
      </c>
    </row>
    <row r="33" ht="19" customFormat="1" customHeight="1" s="102">
      <c r="A33" s="114" t="n">
        <v>28</v>
      </c>
      <c r="B33" s="100" t="n">
        <v>46155</v>
      </c>
      <c r="C33" s="99" t="inlineStr">
        <is>
          <t>COMERCIAL SOLIS</t>
        </is>
      </c>
      <c r="D33" s="99" t="inlineStr">
        <is>
          <t>001 500 000085852</t>
        </is>
      </c>
      <c r="E33" s="99" t="n">
        <v>112610068</v>
      </c>
      <c r="F33" s="113">
        <f>VLOOKUP(E33,PROD,2,FALSE)</f>
        <v/>
      </c>
      <c r="G33" s="99" t="inlineStr">
        <is>
          <t>ZP257G00780</t>
        </is>
      </c>
      <c r="H33" s="99" t="inlineStr">
        <is>
          <t>SAP</t>
        </is>
      </c>
      <c r="I33" s="99" t="inlineStr">
        <is>
          <t>CAPELO</t>
        </is>
      </c>
      <c r="J33" s="99" t="inlineStr">
        <is>
          <t>CUENCA</t>
        </is>
      </c>
      <c r="K33" s="100" t="n">
        <v>46156</v>
      </c>
      <c r="L33" s="99" t="inlineStr">
        <is>
          <t>EDWIN SEGARRA</t>
        </is>
      </c>
      <c r="M33" s="99" t="inlineStr">
        <is>
          <t>DE LOS LADRILLEROS EL TEJAR</t>
        </is>
      </c>
      <c r="N33" s="99" t="inlineStr">
        <is>
          <t>+593 96 831 4764</t>
        </is>
      </c>
      <c r="O33" s="185" t="n">
        <v>29</v>
      </c>
      <c r="P33" s="99" t="inlineStr">
        <is>
          <t>CLIENTE FINAL</t>
        </is>
      </c>
      <c r="Q33" s="99" t="inlineStr">
        <is>
          <t>CAPELO</t>
        </is>
      </c>
      <c r="S33" s="99" t="inlineStr">
        <is>
          <t>001 500 000085852</t>
        </is>
      </c>
      <c r="T33" s="101" t="n">
        <v>101598472</v>
      </c>
      <c r="U33" s="181" t="inlineStr">
        <is>
          <t>esegarra61@yahoo.com</t>
        </is>
      </c>
    </row>
    <row r="34" ht="19" customFormat="1" customHeight="1" s="102">
      <c r="A34" s="114" t="n">
        <v>29</v>
      </c>
      <c r="B34" s="100" t="n">
        <v>46055</v>
      </c>
      <c r="C34" s="99" t="inlineStr">
        <is>
          <t>COMERCIAL SOLIS</t>
        </is>
      </c>
      <c r="D34" s="99" t="inlineStr">
        <is>
          <t>001-500-000082453</t>
        </is>
      </c>
      <c r="E34" s="99" t="n">
        <v>112580058</v>
      </c>
      <c r="F34" s="113">
        <f>VLOOKUP(E34,PROD,2,FALSE)</f>
        <v/>
      </c>
      <c r="G34" s="99" t="inlineStr">
        <is>
          <t>ZP259V00155</t>
        </is>
      </c>
      <c r="H34" s="99" t="inlineStr">
        <is>
          <t>SAP</t>
        </is>
      </c>
      <c r="I34" s="99" t="inlineStr">
        <is>
          <t>CAPELO</t>
        </is>
      </c>
      <c r="J34" s="99" t="inlineStr">
        <is>
          <t>CUENCA</t>
        </is>
      </c>
      <c r="K34" s="100" t="n">
        <v>46157</v>
      </c>
      <c r="L34" s="99" t="inlineStr">
        <is>
          <t>JACKELINE ESPEJO</t>
        </is>
      </c>
      <c r="M34" s="99" t="inlineStr">
        <is>
          <t>EL CEBOLLAR</t>
        </is>
      </c>
      <c r="N34" s="99" t="inlineStr">
        <is>
          <t>+593 93 905 5689</t>
        </is>
      </c>
      <c r="O34" s="185" t="n">
        <v>29</v>
      </c>
      <c r="P34" s="99" t="inlineStr">
        <is>
          <t>CLIENTE FINAL</t>
        </is>
      </c>
      <c r="Q34" s="99" t="inlineStr">
        <is>
          <t>CAPELO</t>
        </is>
      </c>
      <c r="S34" s="99" t="inlineStr">
        <is>
          <t>001-500-000082453</t>
        </is>
      </c>
      <c r="T34" s="99" t="n">
        <v>104815055</v>
      </c>
      <c r="U34" s="181" t="inlineStr">
        <is>
          <t>jackycarmen@hotmail.com</t>
        </is>
      </c>
    </row>
    <row r="35" ht="19" customFormat="1" customHeight="1" s="102">
      <c r="A35" s="114" t="n">
        <v>30</v>
      </c>
      <c r="B35" s="100" t="n">
        <v>46154</v>
      </c>
      <c r="C35" s="99" t="inlineStr">
        <is>
          <t>ALMACENES BOYACÁ</t>
        </is>
      </c>
      <c r="D35" s="99" t="inlineStr">
        <is>
          <t>007 007 000041744</t>
        </is>
      </c>
      <c r="E35" s="99" t="n">
        <v>40446712</v>
      </c>
      <c r="F35" s="113">
        <f>VLOOKUP(E35,PROD,2,FALSE)</f>
        <v/>
      </c>
      <c r="G35" s="99" t="inlineStr">
        <is>
          <t>TP25A701875</t>
        </is>
      </c>
      <c r="H35" s="99" t="inlineStr">
        <is>
          <t>SAP</t>
        </is>
      </c>
      <c r="I35" s="99" t="inlineStr">
        <is>
          <t>CAPELO</t>
        </is>
      </c>
      <c r="J35" s="99" t="inlineStr">
        <is>
          <t>CUENCA</t>
        </is>
      </c>
      <c r="K35" s="100" t="n">
        <v>46160</v>
      </c>
      <c r="L35" s="99" t="inlineStr">
        <is>
          <t>CONSTRUCTORA ORELLANA</t>
        </is>
      </c>
      <c r="M35" s="99" t="inlineStr">
        <is>
          <t>SOL DE BURGOS RICAURTE</t>
        </is>
      </c>
      <c r="N35" s="99" t="inlineStr">
        <is>
          <t>+593 99 546 5919</t>
        </is>
      </c>
      <c r="O35" s="185" t="n">
        <v>15</v>
      </c>
      <c r="P35" s="99" t="inlineStr">
        <is>
          <t>CLIENTE FINAL</t>
        </is>
      </c>
      <c r="Q35" s="99" t="inlineStr">
        <is>
          <t>CAPELO</t>
        </is>
      </c>
      <c r="S35" s="99" t="inlineStr">
        <is>
          <t>007 007 000041744</t>
        </is>
      </c>
      <c r="T35" s="99" t="n">
        <v>195096988001</v>
      </c>
      <c r="U35" s="181" t="inlineStr">
        <is>
          <t>orellanaconstructora@gmail.com</t>
        </is>
      </c>
    </row>
    <row r="36" ht="19" customFormat="1" customHeight="1" s="102">
      <c r="A36" s="114" t="n">
        <v>31</v>
      </c>
      <c r="B36" s="100" t="n">
        <v>46170</v>
      </c>
      <c r="C36" s="99" t="inlineStr">
        <is>
          <t>MERCARD</t>
        </is>
      </c>
      <c r="D36" s="99" t="inlineStr">
        <is>
          <t>001 001 000001973</t>
        </is>
      </c>
      <c r="E36" s="99" t="n">
        <v>40197255</v>
      </c>
      <c r="F36" s="113">
        <f>VLOOKUP(E36,PROD,2,FALSE)</f>
        <v/>
      </c>
      <c r="G36" s="99" t="inlineStr">
        <is>
          <t>251225AF0100</t>
        </is>
      </c>
      <c r="H36" s="99" t="inlineStr">
        <is>
          <t>SAP</t>
        </is>
      </c>
      <c r="I36" s="99" t="inlineStr">
        <is>
          <t>CAPELO</t>
        </is>
      </c>
      <c r="J36" s="99" t="inlineStr">
        <is>
          <t>CUENCA</t>
        </is>
      </c>
      <c r="K36" s="100" t="n">
        <v>46157</v>
      </c>
      <c r="L36" s="99" t="inlineStr">
        <is>
          <t>SEBASTIAN ABRIL</t>
        </is>
      </c>
      <c r="M36" s="99" t="inlineStr">
        <is>
          <t>EDIFICIO RYO</t>
        </is>
      </c>
      <c r="N36" s="99" t="inlineStr">
        <is>
          <t>+593 98 410 9332</t>
        </is>
      </c>
      <c r="O36" s="185" t="n">
        <v>15</v>
      </c>
      <c r="P36" s="99" t="inlineStr">
        <is>
          <t>CLIENTE FINAL</t>
        </is>
      </c>
      <c r="Q36" s="99" t="inlineStr">
        <is>
          <t>CAPELO</t>
        </is>
      </c>
      <c r="S36" s="99" t="inlineStr">
        <is>
          <t>001 001 000001973</t>
        </is>
      </c>
      <c r="T36" s="99" t="n">
        <v>102461175</v>
      </c>
      <c r="U36" s="181" t="inlineStr">
        <is>
          <t>samper78@hotmail.com</t>
        </is>
      </c>
    </row>
    <row r="37" ht="19" customFormat="1" customHeight="1" s="102">
      <c r="A37" s="114" t="n">
        <v>32</v>
      </c>
      <c r="B37" s="100" t="n">
        <v>46170</v>
      </c>
      <c r="C37" s="99" t="inlineStr">
        <is>
          <t>MERCARD</t>
        </is>
      </c>
      <c r="D37" s="99" t="inlineStr">
        <is>
          <t>001 001 000001973</t>
        </is>
      </c>
      <c r="E37" s="99" t="n">
        <v>40782127</v>
      </c>
      <c r="F37" s="113">
        <f>VLOOKUP(E37,PROD,2,FALSE)</f>
        <v/>
      </c>
      <c r="G37" s="99" t="inlineStr">
        <is>
          <t>MD255L08087</t>
        </is>
      </c>
      <c r="H37" s="99" t="inlineStr">
        <is>
          <t>SAP</t>
        </is>
      </c>
      <c r="I37" s="99" t="inlineStr">
        <is>
          <t>CAPELO</t>
        </is>
      </c>
      <c r="J37" s="99" t="inlineStr">
        <is>
          <t>CUENCA</t>
        </is>
      </c>
      <c r="K37" s="100" t="n">
        <v>46157</v>
      </c>
      <c r="L37" s="99" t="inlineStr">
        <is>
          <t>SEBASTIAN ABRIL</t>
        </is>
      </c>
      <c r="M37" s="99" t="inlineStr">
        <is>
          <t>EDIFICIO RYO</t>
        </is>
      </c>
      <c r="N37" s="99" t="inlineStr">
        <is>
          <t>+593 98 410 9332</t>
        </is>
      </c>
      <c r="O37" s="185" t="n">
        <v>25</v>
      </c>
      <c r="P37" s="99" t="inlineStr">
        <is>
          <t>CLIENTE FINAL</t>
        </is>
      </c>
      <c r="Q37" s="99" t="inlineStr">
        <is>
          <t>CAPELO</t>
        </is>
      </c>
      <c r="S37" s="99" t="inlineStr">
        <is>
          <t>001 001 000001973</t>
        </is>
      </c>
      <c r="T37" s="99" t="n">
        <v>102461175</v>
      </c>
      <c r="U37" s="181" t="inlineStr">
        <is>
          <t>samper78@hotmail.com</t>
        </is>
      </c>
    </row>
    <row r="38" ht="19" customFormat="1" customHeight="1" s="102">
      <c r="A38" s="114" t="n">
        <v>1</v>
      </c>
      <c r="B38" s="100" t="n">
        <v>46155</v>
      </c>
      <c r="C38" s="99" t="inlineStr">
        <is>
          <t>COMERCIAL KYWI</t>
        </is>
      </c>
      <c r="D38" s="99" t="inlineStr">
        <is>
          <t>043 904 000103006</t>
        </is>
      </c>
      <c r="E38" s="99" t="n">
        <v>112950021</v>
      </c>
      <c r="F38" s="113">
        <f>VLOOKUP(E38,PROD,2,FALSE)</f>
        <v/>
      </c>
      <c r="G38" s="99" t="inlineStr">
        <is>
          <t>EK249200009</t>
        </is>
      </c>
      <c r="H38" s="99" t="inlineStr">
        <is>
          <t>SAP</t>
        </is>
      </c>
      <c r="I38" s="99" t="inlineStr">
        <is>
          <t>CAPELO</t>
        </is>
      </c>
      <c r="J38" s="99" t="inlineStr">
        <is>
          <t>CUENCA</t>
        </is>
      </c>
      <c r="K38" s="100" t="n">
        <v>46161</v>
      </c>
      <c r="L38" s="99" t="inlineStr">
        <is>
          <t>JHOANA PARRA</t>
        </is>
      </c>
      <c r="M38" s="99" t="inlineStr">
        <is>
          <t>EDIFICIO RYO</t>
        </is>
      </c>
      <c r="N38" s="99" t="inlineStr">
        <is>
          <t>+593 99 908 7216</t>
        </is>
      </c>
      <c r="O38" s="185" t="n">
        <v>36</v>
      </c>
      <c r="P38" s="99" t="inlineStr">
        <is>
          <t>CLIENTE FINAL</t>
        </is>
      </c>
      <c r="Q38" s="99" t="inlineStr">
        <is>
          <t>CAPELO</t>
        </is>
      </c>
      <c r="S38" s="99" t="inlineStr">
        <is>
          <t>043 904 000103006</t>
        </is>
      </c>
      <c r="T38" s="99" t="n">
        <v>104366554</v>
      </c>
      <c r="U38" s="181" t="inlineStr">
        <is>
          <t>jhoannaparraw@hotmail.com</t>
        </is>
      </c>
    </row>
    <row r="39" ht="19" customFormat="1" customHeight="1" s="102">
      <c r="A39" s="114" t="n">
        <v>2</v>
      </c>
      <c r="B39" s="100" t="n">
        <v>46088</v>
      </c>
      <c r="C39" s="99" t="inlineStr">
        <is>
          <t>COMERCIAL KYWI</t>
        </is>
      </c>
      <c r="D39" s="99" t="inlineStr">
        <is>
          <t>043 905 000122568</t>
        </is>
      </c>
      <c r="E39" s="99" t="n">
        <v>40467320</v>
      </c>
      <c r="F39" s="113">
        <f>VLOOKUP(E39,PROD,2,FALSE)</f>
        <v/>
      </c>
      <c r="G39" s="99" t="inlineStr">
        <is>
          <t>TP255V10472</t>
        </is>
      </c>
      <c r="H39" s="99" t="inlineStr">
        <is>
          <t>SAP</t>
        </is>
      </c>
      <c r="I39" s="99" t="inlineStr">
        <is>
          <t>CAPELO</t>
        </is>
      </c>
      <c r="J39" s="99" t="inlineStr">
        <is>
          <t>CUENCA</t>
        </is>
      </c>
      <c r="K39" s="100" t="n">
        <v>46161</v>
      </c>
      <c r="L39" s="99" t="inlineStr">
        <is>
          <t>KEVIN FARID LOAIZA</t>
        </is>
      </c>
      <c r="M39" s="99" t="inlineStr">
        <is>
          <t>EL CEBOLLAR</t>
        </is>
      </c>
      <c r="N39" s="99" t="inlineStr">
        <is>
          <t>+593 96 934 5892</t>
        </is>
      </c>
      <c r="O39" s="185" t="n">
        <v>15</v>
      </c>
      <c r="P39" s="99" t="inlineStr">
        <is>
          <t>CLIENTE FINAL</t>
        </is>
      </c>
      <c r="Q39" s="99" t="inlineStr">
        <is>
          <t>CAPELO</t>
        </is>
      </c>
      <c r="S39" s="99" t="inlineStr">
        <is>
          <t>043 905 000122568</t>
        </is>
      </c>
      <c r="T39" s="99" t="n">
        <v>106665078</v>
      </c>
      <c r="U39" s="181" t="inlineStr">
        <is>
          <t>kevinfarid14@gmail.com</t>
        </is>
      </c>
    </row>
    <row r="40"/>
    <row r="41">
      <c r="O41" s="107">
        <f>SUM(O6:O40)</f>
        <v/>
      </c>
    </row>
  </sheetData>
  <hyperlinks>
    <hyperlink xmlns:r="http://schemas.openxmlformats.org/officeDocument/2006/relationships" ref="U6" display="mailto:cespada37@gmail.com" r:id="rId1"/>
    <hyperlink xmlns:r="http://schemas.openxmlformats.org/officeDocument/2006/relationships" ref="U7" display="mailto:nverdugog@cedfi.edu.ec" r:id="rId2"/>
    <hyperlink xmlns:r="http://schemas.openxmlformats.org/officeDocument/2006/relationships" ref="U8" display="mailto:victor_l69@hotmail.com" r:id="rId3"/>
    <hyperlink xmlns:r="http://schemas.openxmlformats.org/officeDocument/2006/relationships" ref="U9" display="mailto:kristalarias260188@gmail.com" r:id="rId4"/>
    <hyperlink xmlns:r="http://schemas.openxmlformats.org/officeDocument/2006/relationships" ref="U10" display="mailto:ycoronel@graiman.com" r:id="rId5"/>
    <hyperlink xmlns:r="http://schemas.openxmlformats.org/officeDocument/2006/relationships" ref="U11" display="mailto:jmau70977@gmail.com" r:id="rId6"/>
    <hyperlink xmlns:r="http://schemas.openxmlformats.org/officeDocument/2006/relationships" ref="U12" display="mailto:mjberj2003@gmail.com" r:id="rId7"/>
    <hyperlink xmlns:r="http://schemas.openxmlformats.org/officeDocument/2006/relationships" ref="U13" display="mailto:raquel.heredia_g@yahoo.com" r:id="rId8"/>
    <hyperlink xmlns:r="http://schemas.openxmlformats.org/officeDocument/2006/relationships" ref="U14" display="mailto:emilvallejo@hotmail.com" r:id="rId9"/>
    <hyperlink xmlns:r="http://schemas.openxmlformats.org/officeDocument/2006/relationships" ref="U15" display="mailto:rhlojano23@hotmail.com" r:id="rId10"/>
    <hyperlink xmlns:r="http://schemas.openxmlformats.org/officeDocument/2006/relationships" ref="U16" display="mailto:liliana.guzman.ec4@gmail.com" r:id="rId11"/>
    <hyperlink xmlns:r="http://schemas.openxmlformats.org/officeDocument/2006/relationships" ref="U17" display="mailto:j.vintimillaq@gmail.com" r:id="rId12"/>
    <hyperlink xmlns:r="http://schemas.openxmlformats.org/officeDocument/2006/relationships" ref="U18" display="mailto:alguaman@yahoo.com" r:id="rId13"/>
    <hyperlink xmlns:r="http://schemas.openxmlformats.org/officeDocument/2006/relationships" ref="U19" display="mailto:andrea.lojat@gmail.com" r:id="rId14"/>
    <hyperlink xmlns:r="http://schemas.openxmlformats.org/officeDocument/2006/relationships" ref="U20" display="mailto:ma.veronicagalvis@gmail.com" r:id="rId15"/>
    <hyperlink xmlns:r="http://schemas.openxmlformats.org/officeDocument/2006/relationships" ref="U21" display="mailto:rosyastudilloc@gmail.com" r:id="rId16"/>
    <hyperlink xmlns:r="http://schemas.openxmlformats.org/officeDocument/2006/relationships" ref="U22" display="mailto:tjachojo@gmail.com" r:id="rId17"/>
    <hyperlink xmlns:r="http://schemas.openxmlformats.org/officeDocument/2006/relationships" ref="U23" display="mailto:fstpegasus@hotmail.com" r:id="rId18"/>
    <hyperlink xmlns:r="http://schemas.openxmlformats.org/officeDocument/2006/relationships" ref="U24" display="mailto:alexingapizarro@hotmail.com" r:id="rId19"/>
    <hyperlink xmlns:r="http://schemas.openxmlformats.org/officeDocument/2006/relationships" ref="U25" r:id="rId20"/>
    <hyperlink xmlns:r="http://schemas.openxmlformats.org/officeDocument/2006/relationships" ref="U26" display="mailto:tatitram@gmail.com" r:id="rId21"/>
    <hyperlink xmlns:r="http://schemas.openxmlformats.org/officeDocument/2006/relationships" ref="U27" display="mailto:rugulomarin394@gmail.com" r:id="rId22"/>
    <hyperlink xmlns:r="http://schemas.openxmlformats.org/officeDocument/2006/relationships" ref="U28" display="mailto:meinplatz2002@gmail.com" r:id="rId23"/>
    <hyperlink xmlns:r="http://schemas.openxmlformats.org/officeDocument/2006/relationships" ref="U29" display="mailto:gerente@eimeparts.com" r:id="rId24"/>
    <hyperlink xmlns:r="http://schemas.openxmlformats.org/officeDocument/2006/relationships" ref="U30" display="mailto:dzunigar@gmail.com" r:id="rId25"/>
    <hyperlink xmlns:r="http://schemas.openxmlformats.org/officeDocument/2006/relationships" ref="U31" display="mailto:tiinasoe@live.com" r:id="rId26"/>
    <hyperlink xmlns:r="http://schemas.openxmlformats.org/officeDocument/2006/relationships" ref="U32" display="mailto:vjadan2020@gmail.com" r:id="rId27"/>
    <hyperlink xmlns:r="http://schemas.openxmlformats.org/officeDocument/2006/relationships" ref="U33" display="mailto:esegarra61@yahoo.com" r:id="rId28"/>
    <hyperlink xmlns:r="http://schemas.openxmlformats.org/officeDocument/2006/relationships" ref="U34" display="mailto:jackycarmen@hotmail.com" r:id="rId29"/>
    <hyperlink xmlns:r="http://schemas.openxmlformats.org/officeDocument/2006/relationships" ref="U35" display="mailto:orellanaconstructora@gmail.com" r:id="rId30"/>
    <hyperlink xmlns:r="http://schemas.openxmlformats.org/officeDocument/2006/relationships" ref="U36" display="mailto:samper78@hotmail.com" r:id="rId31"/>
    <hyperlink xmlns:r="http://schemas.openxmlformats.org/officeDocument/2006/relationships" ref="U37" display="mailto:samper78@hotmail.com" r:id="rId32"/>
    <hyperlink xmlns:r="http://schemas.openxmlformats.org/officeDocument/2006/relationships" ref="U38" display="mailto:jhoannaparraw@hotmail.com" r:id="rId33"/>
    <hyperlink xmlns:r="http://schemas.openxmlformats.org/officeDocument/2006/relationships" ref="U39" display="mailto:kevinfarid14@gmail.com" r:id="rId3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T64"/>
  <sheetViews>
    <sheetView zoomScale="140" zoomScaleNormal="140" workbookViewId="0">
      <selection activeCell="R7" sqref="R7"/>
    </sheetView>
  </sheetViews>
  <sheetFormatPr baseColWidth="10" defaultRowHeight="15"/>
  <cols>
    <col width="4.33203125" customWidth="1" min="1" max="1"/>
    <col width="19.6640625" customWidth="1" min="3" max="3"/>
    <col width="9.6640625" customWidth="1" min="4" max="4"/>
    <col width="15.33203125" customWidth="1" min="5" max="5"/>
    <col width="34.6640625" customWidth="1" min="6" max="6"/>
    <col width="19.83203125" customWidth="1" min="7" max="7"/>
    <col width="8.33203125" customWidth="1" min="8" max="8"/>
    <col width="15.6640625" customWidth="1" min="10" max="10"/>
    <col width="11" customWidth="1" min="11" max="11"/>
    <col width="21" customWidth="1" min="12" max="12"/>
    <col width="21.1640625" customWidth="1" min="13" max="13"/>
    <col width="16" customWidth="1" min="14" max="14"/>
    <col width="27" customWidth="1" min="16" max="16"/>
    <col width="11.6640625" bestFit="1" customWidth="1" min="18" max="18"/>
    <col width="32.6640625" customWidth="1" min="19" max="19"/>
  </cols>
  <sheetData>
    <row r="3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</row>
    <row r="4">
      <c r="A4" s="82" t="n"/>
      <c r="B4" s="82" t="n"/>
      <c r="C4" s="140" t="inlineStr">
        <is>
          <t>TEKA ECUADOR S.A.</t>
        </is>
      </c>
      <c r="D4" s="141" t="n"/>
      <c r="E4" s="141" t="n"/>
      <c r="F4" s="82" t="n"/>
      <c r="G4" s="141" t="n"/>
      <c r="H4" s="141" t="n"/>
      <c r="I4" s="141" t="n"/>
      <c r="J4" s="141" t="n"/>
      <c r="K4" s="141" t="n"/>
      <c r="L4" s="141" t="n"/>
      <c r="M4" s="141" t="n"/>
      <c r="N4" s="141" t="n"/>
      <c r="O4" s="141" t="n"/>
      <c r="P4" s="82" t="n"/>
    </row>
    <row r="5" ht="16" customHeight="1" thickBot="1">
      <c r="A5" s="82" t="n"/>
      <c r="B5" s="141" t="n"/>
      <c r="C5" s="142" t="inlineStr">
        <is>
          <t>Registro Único de Contribuyente: 1791883144001</t>
        </is>
      </c>
      <c r="D5" s="142" t="n"/>
      <c r="E5" s="142" t="n"/>
      <c r="F5" s="82" t="n"/>
      <c r="J5" t="inlineStr">
        <is>
          <t xml:space="preserve">ALMACENES </t>
        </is>
      </c>
      <c r="K5" s="82" t="n"/>
      <c r="L5" s="143" t="inlineStr">
        <is>
          <t>CAPELO FEBRERO 2026</t>
        </is>
      </c>
      <c r="P5" s="82" t="n"/>
    </row>
    <row r="6" ht="51" customFormat="1" customHeight="1" s="150">
      <c r="A6" s="144" t="n"/>
      <c r="B6" s="145" t="inlineStr">
        <is>
          <t>FECHA DE COMPRA</t>
        </is>
      </c>
      <c r="C6" s="146" t="inlineStr">
        <is>
          <t>LUGAR DE COMRPA</t>
        </is>
      </c>
      <c r="D6" s="146" t="inlineStr">
        <is>
          <t>NUMERO DE FACTURA DE COMPRA</t>
        </is>
      </c>
      <c r="E6" s="147" t="inlineStr">
        <is>
          <t>CODIGO DEL PRODUCTO</t>
        </is>
      </c>
      <c r="F6" s="146" t="inlineStr">
        <is>
          <t>DESCRIPCION DE PRODUCTO</t>
        </is>
      </c>
      <c r="G6" s="146" t="inlineStr">
        <is>
          <t>SERIE DEL EQUIPO</t>
        </is>
      </c>
      <c r="H6" s="145" t="inlineStr">
        <is>
          <t>GARANTIA DEL EQUIPO</t>
        </is>
      </c>
      <c r="I6" s="146" t="inlineStr">
        <is>
          <t>TECNICO</t>
        </is>
      </c>
      <c r="J6" s="146" t="inlineStr">
        <is>
          <t>CIUDAD</t>
        </is>
      </c>
      <c r="K6" s="146" t="inlineStr">
        <is>
          <t>FECHA INSTALACION</t>
        </is>
      </c>
      <c r="L6" s="146" t="inlineStr">
        <is>
          <t>NOMBRE DEL CLIENTE</t>
        </is>
      </c>
      <c r="M6" s="148" t="inlineStr">
        <is>
          <t>DIRECCION INSTALACION</t>
        </is>
      </c>
      <c r="N6" s="146" t="inlineStr">
        <is>
          <t>CELULAR DEL CLIENTE</t>
        </is>
      </c>
      <c r="O6" s="149" t="inlineStr">
        <is>
          <t>PRECIO</t>
        </is>
      </c>
      <c r="P6" s="146" t="inlineStr">
        <is>
          <t>COMO LLEGO INFORMACION</t>
        </is>
      </c>
      <c r="Q6" s="83" t="inlineStr">
        <is>
          <t>TÉCNICO QUE ATENDIÓ</t>
        </is>
      </c>
      <c r="R6" s="81" t="inlineStr">
        <is>
          <t>CEDULA O RUC</t>
        </is>
      </c>
      <c r="S6" s="81" t="inlineStr">
        <is>
          <t>OBSERVACION</t>
        </is>
      </c>
    </row>
    <row r="7" ht="19" customFormat="1" customHeight="1" s="94">
      <c r="A7" s="167" t="n">
        <v>1</v>
      </c>
      <c r="B7" s="168" t="n">
        <v>46113</v>
      </c>
      <c r="C7" s="169" t="inlineStr">
        <is>
          <t>TEKA DIRECTO</t>
        </is>
      </c>
      <c r="D7" s="169" t="inlineStr">
        <is>
          <t>SAP</t>
        </is>
      </c>
      <c r="E7" s="169" t="n">
        <v>111910000</v>
      </c>
      <c r="F7" s="113">
        <f>VLOOKUP(E7,PROD,2,FALSE)</f>
        <v/>
      </c>
      <c r="G7" s="171" t="n">
        <v>111070000131990</v>
      </c>
      <c r="H7" s="169" t="inlineStr">
        <is>
          <t>SAP</t>
        </is>
      </c>
      <c r="I7" s="169" t="inlineStr">
        <is>
          <t>CAPELO</t>
        </is>
      </c>
      <c r="J7" s="169" t="inlineStr">
        <is>
          <t>CUENCA</t>
        </is>
      </c>
      <c r="K7" s="168" t="n">
        <v>46136</v>
      </c>
      <c r="L7" s="169" t="inlineStr">
        <is>
          <t>COMERCIAL SOLIS</t>
        </is>
      </c>
      <c r="M7" s="169" t="inlineStr">
        <is>
          <t xml:space="preserve">LAMAR </t>
        </is>
      </c>
      <c r="N7" s="169" t="n">
        <v>998464542</v>
      </c>
      <c r="O7" s="169" t="inlineStr">
        <is>
          <t>$0.00</t>
        </is>
      </c>
      <c r="P7" s="169" t="inlineStr">
        <is>
          <t>CORREO ELECTRONICO</t>
        </is>
      </c>
      <c r="Q7" s="169" t="inlineStr">
        <is>
          <t>CAPELO</t>
        </is>
      </c>
      <c r="S7" s="170" t="inlineStr">
        <is>
          <t>josesolisp@gmail.com</t>
        </is>
      </c>
      <c r="T7" s="169" t="inlineStr">
        <is>
          <t>-</t>
        </is>
      </c>
    </row>
    <row r="8" ht="19" customFormat="1" customHeight="1" s="163">
      <c r="A8" s="151" t="n"/>
      <c r="B8" s="188" t="n"/>
      <c r="C8" s="153" t="n"/>
      <c r="D8" s="154" t="n"/>
      <c r="E8" s="155" t="n"/>
      <c r="F8" s="113" t="n"/>
      <c r="G8" s="156" t="n"/>
      <c r="H8" s="157" t="n"/>
      <c r="I8" s="154" t="n"/>
      <c r="J8" s="158" t="n"/>
      <c r="K8" s="159" t="n"/>
      <c r="L8" s="160" t="n"/>
      <c r="M8" s="160" t="n"/>
      <c r="N8" s="161" t="n"/>
      <c r="O8" s="162" t="n"/>
      <c r="P8" s="154" t="n"/>
      <c r="Q8" s="154" t="n"/>
      <c r="R8" s="153" t="n"/>
      <c r="S8" s="181" t="n"/>
    </row>
    <row r="9" ht="19" customFormat="1" customHeight="1" s="163">
      <c r="A9" s="151" t="n"/>
      <c r="B9" s="188" t="n"/>
      <c r="C9" s="153" t="n"/>
      <c r="D9" s="154" t="n"/>
      <c r="E9" s="155" t="n"/>
      <c r="F9" s="113" t="n"/>
      <c r="G9" s="156" t="n"/>
      <c r="H9" s="157" t="n"/>
      <c r="I9" s="154" t="n"/>
      <c r="J9" s="158" t="n"/>
      <c r="K9" s="159" t="n"/>
      <c r="L9" s="160" t="n"/>
      <c r="M9" s="160" t="n"/>
      <c r="N9" s="161" t="n"/>
      <c r="O9" s="162" t="n"/>
      <c r="P9" s="154" t="n"/>
      <c r="Q9" s="154" t="n"/>
      <c r="R9" s="153" t="n"/>
      <c r="S9" s="181" t="n"/>
    </row>
    <row r="10" ht="19" customFormat="1" customHeight="1" s="163">
      <c r="A10" s="151" t="n"/>
      <c r="B10" s="188" t="n"/>
      <c r="C10" s="153" t="n"/>
      <c r="D10" s="154" t="n"/>
      <c r="E10" s="155" t="n"/>
      <c r="F10" s="113" t="n"/>
      <c r="G10" s="156" t="n"/>
      <c r="H10" s="157" t="n"/>
      <c r="I10" s="154" t="n"/>
      <c r="J10" s="158" t="n"/>
      <c r="K10" s="159" t="n"/>
      <c r="L10" s="160" t="n"/>
      <c r="M10" s="160" t="n"/>
      <c r="N10" s="161" t="n"/>
      <c r="O10" s="162" t="n"/>
      <c r="P10" s="154" t="n"/>
      <c r="Q10" s="154" t="n"/>
      <c r="R10" s="153" t="n"/>
      <c r="S10" s="181" t="n"/>
    </row>
    <row r="11" ht="19" customHeight="1">
      <c r="A11" s="151" t="n"/>
      <c r="B11" s="188" t="n"/>
      <c r="C11" s="153" t="n"/>
      <c r="D11" s="154" t="n"/>
      <c r="E11" s="164" t="n"/>
      <c r="F11" s="113" t="n"/>
      <c r="G11" s="165" t="n"/>
      <c r="H11" s="157" t="n"/>
      <c r="I11" s="154" t="n"/>
      <c r="J11" s="158" t="n"/>
      <c r="K11" s="159" t="n"/>
      <c r="L11" s="160" t="n"/>
      <c r="M11" s="160" t="n"/>
      <c r="N11" s="161" t="n"/>
      <c r="O11" s="162" t="n"/>
      <c r="P11" s="154" t="n"/>
      <c r="Q11" s="154" t="n"/>
      <c r="R11" s="153" t="n"/>
      <c r="S11" s="181" t="n"/>
    </row>
    <row r="12" ht="19" customHeight="1">
      <c r="A12" s="151" t="n"/>
      <c r="B12" s="188" t="n"/>
      <c r="C12" s="153" t="n"/>
      <c r="D12" s="154" t="n"/>
      <c r="E12" s="164" t="n"/>
      <c r="F12" s="113" t="n"/>
      <c r="G12" s="165" t="n"/>
      <c r="H12" s="157" t="n"/>
      <c r="I12" s="154" t="n"/>
      <c r="J12" s="158" t="n"/>
      <c r="K12" s="159" t="n"/>
      <c r="L12" s="160" t="n"/>
      <c r="M12" s="160" t="n"/>
      <c r="N12" s="161" t="n"/>
      <c r="O12" s="162" t="n"/>
      <c r="P12" s="154" t="n"/>
      <c r="Q12" s="154" t="n"/>
      <c r="R12" s="153" t="n"/>
      <c r="S12" s="181" t="n"/>
    </row>
    <row r="13" ht="19" customHeight="1">
      <c r="A13" s="151" t="n"/>
      <c r="B13" s="188" t="n"/>
      <c r="C13" s="153" t="n"/>
      <c r="D13" s="154" t="n"/>
      <c r="E13" s="164" t="n"/>
      <c r="F13" s="113" t="n"/>
      <c r="G13" s="165" t="n"/>
      <c r="H13" s="157" t="n"/>
      <c r="I13" s="154" t="n"/>
      <c r="J13" s="158" t="n"/>
      <c r="K13" s="159" t="n"/>
      <c r="L13" s="160" t="n"/>
      <c r="M13" s="160" t="n"/>
      <c r="N13" s="161" t="n"/>
      <c r="O13" s="162" t="n"/>
      <c r="P13" s="154" t="n"/>
      <c r="Q13" s="154" t="n"/>
      <c r="R13" s="153" t="n"/>
      <c r="S13" s="181" t="n"/>
    </row>
    <row r="14" ht="19" customHeight="1">
      <c r="A14" s="151" t="n"/>
      <c r="B14" s="188" t="n"/>
      <c r="C14" s="153" t="n"/>
      <c r="D14" s="154" t="n"/>
      <c r="E14" s="164" t="n"/>
      <c r="F14" s="113" t="n"/>
      <c r="G14" s="165" t="n"/>
      <c r="H14" s="157" t="n"/>
      <c r="I14" s="154" t="n"/>
      <c r="J14" s="158" t="n"/>
      <c r="K14" s="159" t="n"/>
      <c r="L14" s="160" t="n"/>
      <c r="M14" s="160" t="n"/>
      <c r="N14" s="161" t="n"/>
      <c r="O14" s="162" t="n"/>
      <c r="P14" s="154" t="n"/>
      <c r="Q14" s="154" t="n"/>
      <c r="R14" s="153" t="n"/>
      <c r="S14" s="181" t="n"/>
    </row>
    <row r="15" ht="19" customHeight="1">
      <c r="A15" s="151" t="n"/>
      <c r="B15" s="188" t="n"/>
      <c r="C15" s="153" t="n"/>
      <c r="D15" s="154" t="n"/>
      <c r="E15" s="164" t="n"/>
      <c r="F15" s="113" t="n"/>
      <c r="G15" s="165" t="n"/>
      <c r="H15" s="157" t="n"/>
      <c r="I15" s="154" t="n"/>
      <c r="J15" s="158" t="n"/>
      <c r="K15" s="159" t="n"/>
      <c r="L15" s="160" t="n"/>
      <c r="M15" s="160" t="n"/>
      <c r="N15" s="161" t="n"/>
      <c r="O15" s="162" t="n"/>
      <c r="P15" s="154" t="n"/>
      <c r="Q15" s="154" t="n"/>
      <c r="R15" s="153" t="n"/>
      <c r="S15" s="181" t="n"/>
    </row>
    <row r="16" ht="19" customHeight="1">
      <c r="A16" s="151" t="n"/>
      <c r="B16" s="188" t="n"/>
      <c r="C16" s="153" t="n"/>
      <c r="D16" s="154" t="n"/>
      <c r="E16" s="164" t="n"/>
      <c r="F16" s="113" t="n"/>
      <c r="G16" s="165" t="n"/>
      <c r="H16" s="157" t="n"/>
      <c r="I16" s="154" t="n"/>
      <c r="J16" s="158" t="n"/>
      <c r="K16" s="159" t="n"/>
      <c r="L16" s="160" t="n"/>
      <c r="M16" s="160" t="n"/>
      <c r="N16" s="161" t="n"/>
      <c r="O16" s="162" t="n"/>
      <c r="P16" s="154" t="n"/>
      <c r="Q16" s="154" t="n"/>
      <c r="R16" s="153" t="n"/>
      <c r="S16" s="181" t="n"/>
    </row>
    <row r="17" ht="19" customHeight="1">
      <c r="A17" s="151" t="n"/>
      <c r="B17" s="188" t="n"/>
      <c r="C17" s="153" t="n"/>
      <c r="D17" s="154" t="n"/>
      <c r="E17" s="164" t="n"/>
      <c r="F17" s="113" t="n"/>
      <c r="G17" s="165" t="n"/>
      <c r="H17" s="157" t="n"/>
      <c r="I17" s="154" t="n"/>
      <c r="J17" s="158" t="n"/>
      <c r="K17" s="159" t="n"/>
      <c r="L17" s="160" t="n"/>
      <c r="M17" s="160" t="n"/>
      <c r="N17" s="161" t="n"/>
      <c r="O17" s="162" t="n"/>
      <c r="P17" s="154" t="n"/>
      <c r="Q17" s="154" t="n"/>
      <c r="R17" s="153" t="n"/>
      <c r="S17" s="181" t="n"/>
    </row>
    <row r="18" ht="19" customHeight="1">
      <c r="A18" s="151" t="n"/>
      <c r="B18" s="188" t="n"/>
      <c r="C18" s="153" t="n"/>
      <c r="D18" s="154" t="n"/>
      <c r="E18" s="164" t="n"/>
      <c r="F18" s="113" t="n"/>
      <c r="G18" s="165" t="n"/>
      <c r="H18" s="157" t="n"/>
      <c r="I18" s="154" t="n"/>
      <c r="J18" s="158" t="n"/>
      <c r="K18" s="159" t="n"/>
      <c r="L18" s="160" t="n"/>
      <c r="M18" s="160" t="n"/>
      <c r="N18" s="161" t="n"/>
      <c r="O18" s="162" t="n"/>
      <c r="P18" s="154" t="n"/>
      <c r="Q18" s="154" t="n"/>
      <c r="R18" s="153" t="n"/>
      <c r="S18" s="181" t="n"/>
    </row>
    <row r="19" ht="19" customHeight="1">
      <c r="A19" s="151" t="n"/>
      <c r="B19" s="188" t="n"/>
      <c r="C19" s="153" t="n"/>
      <c r="D19" s="154" t="n"/>
      <c r="E19" s="164" t="n"/>
      <c r="F19" s="113" t="n"/>
      <c r="G19" s="165" t="n"/>
      <c r="H19" s="157" t="n"/>
      <c r="I19" s="154" t="n"/>
      <c r="J19" s="158" t="n"/>
      <c r="K19" s="159" t="n"/>
      <c r="L19" s="160" t="n"/>
      <c r="M19" s="160" t="n"/>
      <c r="N19" s="161" t="n"/>
      <c r="O19" s="162" t="n"/>
      <c r="P19" s="154" t="n"/>
      <c r="Q19" s="154" t="n"/>
      <c r="R19" s="153" t="n"/>
      <c r="S19" s="181" t="n"/>
    </row>
    <row r="20" ht="19" customHeight="1">
      <c r="A20" s="151" t="n"/>
      <c r="B20" s="188" t="n"/>
      <c r="C20" s="153" t="n"/>
      <c r="D20" s="154" t="n"/>
      <c r="E20" s="164" t="n"/>
      <c r="F20" s="113" t="n"/>
      <c r="G20" s="165" t="n"/>
      <c r="H20" s="157" t="n"/>
      <c r="I20" s="154" t="n"/>
      <c r="J20" s="158" t="n"/>
      <c r="K20" s="159" t="n"/>
      <c r="L20" s="160" t="n"/>
      <c r="M20" s="160" t="n"/>
      <c r="N20" s="161" t="n"/>
      <c r="O20" s="162" t="n"/>
      <c r="P20" s="154" t="n"/>
      <c r="Q20" s="154" t="n"/>
      <c r="R20" s="153" t="n"/>
      <c r="S20" s="181" t="n"/>
    </row>
    <row r="21" ht="19" customHeight="1">
      <c r="A21" s="151" t="n"/>
      <c r="B21" s="188" t="n"/>
      <c r="C21" s="153" t="n"/>
      <c r="D21" s="154" t="n"/>
      <c r="E21" s="164" t="n"/>
      <c r="F21" s="113" t="n"/>
      <c r="G21" s="165" t="n"/>
      <c r="H21" s="157" t="n"/>
      <c r="I21" s="154" t="n"/>
      <c r="J21" s="158" t="n"/>
      <c r="K21" s="159" t="n"/>
      <c r="L21" s="160" t="n"/>
      <c r="M21" s="160" t="n"/>
      <c r="N21" s="161" t="n"/>
      <c r="O21" s="162" t="n"/>
      <c r="P21" s="154" t="n"/>
      <c r="Q21" s="154" t="n"/>
      <c r="R21" s="153" t="n"/>
      <c r="S21" s="181" t="n"/>
    </row>
    <row r="22" ht="19" customHeight="1">
      <c r="A22" s="151" t="n"/>
      <c r="B22" s="188" t="n"/>
      <c r="C22" s="153" t="n"/>
      <c r="D22" s="154" t="n"/>
      <c r="E22" s="164" t="n"/>
      <c r="F22" s="113" t="n"/>
      <c r="G22" s="165" t="n"/>
      <c r="H22" s="157" t="n"/>
      <c r="I22" s="154" t="n"/>
      <c r="J22" s="158" t="n"/>
      <c r="K22" s="159" t="n"/>
      <c r="L22" s="160" t="n"/>
      <c r="M22" s="160" t="n"/>
      <c r="N22" s="161" t="n"/>
      <c r="O22" s="162" t="n"/>
      <c r="P22" s="154" t="n"/>
      <c r="Q22" s="154" t="n"/>
      <c r="R22" s="153" t="n"/>
      <c r="S22" s="181" t="n"/>
    </row>
    <row r="23" ht="19" customHeight="1">
      <c r="A23" s="151" t="n"/>
      <c r="B23" s="188" t="n"/>
      <c r="C23" s="153" t="n"/>
      <c r="D23" s="154" t="n"/>
      <c r="E23" s="164" t="n"/>
      <c r="F23" s="113" t="n"/>
      <c r="G23" s="165" t="n"/>
      <c r="H23" s="157" t="n"/>
      <c r="I23" s="154" t="n"/>
      <c r="J23" s="158" t="n"/>
      <c r="K23" s="159" t="n"/>
      <c r="L23" s="160" t="n"/>
      <c r="M23" s="160" t="n"/>
      <c r="N23" s="161" t="n"/>
      <c r="O23" s="162" t="n"/>
      <c r="P23" s="154" t="n"/>
      <c r="Q23" s="154" t="n"/>
      <c r="R23" s="153" t="n"/>
      <c r="S23" s="181" t="n"/>
    </row>
    <row r="24" ht="19" customHeight="1">
      <c r="A24" s="151" t="n"/>
      <c r="B24" s="188" t="n"/>
      <c r="C24" s="153" t="n"/>
      <c r="D24" s="154" t="n"/>
      <c r="E24" s="164" t="n"/>
      <c r="F24" s="113" t="n"/>
      <c r="G24" s="165" t="n"/>
      <c r="H24" s="157" t="n"/>
      <c r="I24" s="154" t="n"/>
      <c r="J24" s="158" t="n"/>
      <c r="K24" s="159" t="n"/>
      <c r="L24" s="160" t="n"/>
      <c r="M24" s="160" t="n"/>
      <c r="N24" s="161" t="n"/>
      <c r="O24" s="162" t="n"/>
      <c r="P24" s="154" t="n"/>
      <c r="Q24" s="154" t="n"/>
      <c r="R24" s="153" t="n"/>
      <c r="S24" s="181" t="n"/>
    </row>
    <row r="25" ht="19" customHeight="1">
      <c r="A25" s="151" t="n"/>
      <c r="B25" s="188" t="n"/>
      <c r="C25" s="153" t="n"/>
      <c r="D25" s="154" t="n"/>
      <c r="E25" s="164" t="n"/>
      <c r="F25" s="113" t="n"/>
      <c r="G25" s="165" t="n"/>
      <c r="H25" s="157" t="n"/>
      <c r="I25" s="154" t="n"/>
      <c r="J25" s="158" t="n"/>
      <c r="K25" s="159" t="n"/>
      <c r="L25" s="160" t="n"/>
      <c r="M25" s="160" t="n"/>
      <c r="N25" s="161" t="n"/>
      <c r="O25" s="162" t="n"/>
      <c r="P25" s="154" t="n"/>
      <c r="Q25" s="154" t="n"/>
      <c r="R25" s="153" t="n"/>
      <c r="S25" s="181" t="n"/>
    </row>
    <row r="26" ht="19" customHeight="1">
      <c r="A26" s="151" t="n"/>
      <c r="B26" s="188" t="n"/>
      <c r="C26" s="153" t="n"/>
      <c r="D26" s="154" t="n"/>
      <c r="E26" s="164" t="n"/>
      <c r="F26" s="113" t="n"/>
      <c r="G26" s="165" t="n"/>
      <c r="H26" s="157" t="n"/>
      <c r="I26" s="154" t="n"/>
      <c r="J26" s="158" t="n"/>
      <c r="K26" s="159" t="n"/>
      <c r="L26" s="160" t="n"/>
      <c r="M26" s="160" t="n"/>
      <c r="N26" s="161" t="n"/>
      <c r="O26" s="162" t="n"/>
      <c r="P26" s="154" t="n"/>
      <c r="Q26" s="154" t="n"/>
      <c r="R26" s="153" t="n"/>
      <c r="S26" s="181" t="n"/>
    </row>
    <row r="27" ht="19" customHeight="1">
      <c r="A27" s="151" t="n"/>
      <c r="B27" s="188" t="n"/>
      <c r="C27" s="153" t="n"/>
      <c r="D27" s="154" t="n"/>
      <c r="E27" s="164" t="n"/>
      <c r="F27" s="113" t="n"/>
      <c r="G27" s="165" t="n"/>
      <c r="H27" s="157" t="n"/>
      <c r="I27" s="154" t="n"/>
      <c r="J27" s="158" t="n"/>
      <c r="K27" s="159" t="n"/>
      <c r="L27" s="160" t="n"/>
      <c r="M27" s="160" t="n"/>
      <c r="N27" s="161" t="n"/>
      <c r="O27" s="162" t="n"/>
      <c r="P27" s="154" t="n"/>
      <c r="Q27" s="154" t="n"/>
      <c r="R27" s="153" t="n"/>
      <c r="S27" s="181" t="n"/>
    </row>
    <row r="28" ht="19" customHeight="1">
      <c r="A28" s="151" t="n"/>
      <c r="B28" s="188" t="n"/>
      <c r="C28" s="153" t="n"/>
      <c r="D28" s="154" t="n"/>
      <c r="E28" s="164" t="n"/>
      <c r="F28" s="113" t="n"/>
      <c r="G28" s="165" t="n"/>
      <c r="H28" s="157" t="n"/>
      <c r="I28" s="154" t="n"/>
      <c r="J28" s="158" t="n"/>
      <c r="K28" s="159" t="n"/>
      <c r="L28" s="160" t="n"/>
      <c r="M28" s="160" t="n"/>
      <c r="N28" s="161" t="n"/>
      <c r="O28" s="162" t="n"/>
      <c r="P28" s="154" t="n"/>
      <c r="Q28" s="154" t="n"/>
      <c r="R28" s="153" t="n"/>
      <c r="S28" s="181" t="n"/>
    </row>
    <row r="29" ht="19" customHeight="1">
      <c r="A29" s="151" t="n"/>
      <c r="B29" s="188" t="n"/>
      <c r="C29" s="153" t="n"/>
      <c r="D29" s="154" t="n"/>
      <c r="E29" s="164" t="n"/>
      <c r="F29" s="113" t="n"/>
      <c r="G29" s="165" t="n"/>
      <c r="H29" s="157" t="n"/>
      <c r="I29" s="154" t="n"/>
      <c r="J29" s="158" t="n"/>
      <c r="K29" s="159" t="n"/>
      <c r="L29" s="160" t="n"/>
      <c r="M29" s="160" t="n"/>
      <c r="N29" s="161" t="n"/>
      <c r="O29" s="162" t="n"/>
      <c r="P29" s="154" t="n"/>
      <c r="Q29" s="154" t="n"/>
      <c r="R29" s="153" t="n"/>
      <c r="S29" s="181" t="n"/>
    </row>
    <row r="30" ht="19" customHeight="1">
      <c r="A30" s="151" t="n"/>
      <c r="B30" s="188" t="n"/>
      <c r="C30" s="153" t="n"/>
      <c r="D30" s="154" t="n"/>
      <c r="E30" s="164" t="n"/>
      <c r="F30" s="113" t="n"/>
      <c r="G30" s="165" t="n"/>
      <c r="H30" s="157" t="n"/>
      <c r="I30" s="154" t="n"/>
      <c r="J30" s="158" t="n"/>
      <c r="K30" s="159" t="n"/>
      <c r="L30" s="160" t="n"/>
      <c r="M30" s="160" t="n"/>
      <c r="N30" s="161" t="n"/>
      <c r="O30" s="162" t="n"/>
      <c r="P30" s="154" t="n"/>
      <c r="Q30" s="154" t="n"/>
      <c r="R30" s="153" t="n"/>
      <c r="S30" s="181" t="n"/>
    </row>
    <row r="31" ht="19" customHeight="1">
      <c r="A31" s="151" t="n"/>
      <c r="B31" s="188" t="n"/>
      <c r="C31" s="153" t="n"/>
      <c r="D31" s="154" t="n"/>
      <c r="E31" s="164" t="n"/>
      <c r="F31" s="113" t="n"/>
      <c r="G31" s="165" t="n"/>
      <c r="H31" s="157" t="n"/>
      <c r="I31" s="154" t="n"/>
      <c r="J31" s="158" t="n"/>
      <c r="K31" s="159" t="n"/>
      <c r="L31" s="160" t="n"/>
      <c r="M31" s="160" t="n"/>
      <c r="N31" s="161" t="n"/>
      <c r="O31" s="162" t="n"/>
      <c r="P31" s="154" t="n"/>
      <c r="Q31" s="154" t="n"/>
      <c r="R31" s="153" t="n"/>
      <c r="S31" s="181" t="n"/>
    </row>
    <row r="32" ht="19" customHeight="1">
      <c r="A32" s="151" t="n"/>
      <c r="B32" s="188" t="n"/>
      <c r="C32" s="153" t="n"/>
      <c r="D32" s="154" t="n"/>
      <c r="E32" s="164" t="n"/>
      <c r="F32" s="113" t="n"/>
      <c r="G32" s="165" t="n"/>
      <c r="H32" s="157" t="n"/>
      <c r="I32" s="154" t="n"/>
      <c r="J32" s="158" t="n"/>
      <c r="K32" s="159" t="n"/>
      <c r="L32" s="160" t="n"/>
      <c r="M32" s="160" t="n"/>
      <c r="N32" s="161" t="n"/>
      <c r="O32" s="162" t="n"/>
      <c r="P32" s="154" t="n"/>
      <c r="Q32" s="154" t="n"/>
      <c r="R32" s="153" t="n"/>
      <c r="S32" s="181" t="n"/>
    </row>
    <row r="33" ht="19" customHeight="1">
      <c r="A33" s="151" t="n"/>
      <c r="B33" s="188" t="n"/>
      <c r="C33" s="153" t="n"/>
      <c r="D33" s="154" t="n"/>
      <c r="E33" s="164" t="n"/>
      <c r="F33" s="113" t="n"/>
      <c r="G33" s="165" t="n"/>
      <c r="H33" s="157" t="n"/>
      <c r="I33" s="154" t="n"/>
      <c r="J33" s="158" t="n"/>
      <c r="K33" s="159" t="n"/>
      <c r="L33" s="160" t="n"/>
      <c r="M33" s="160" t="n"/>
      <c r="N33" s="161" t="n"/>
      <c r="O33" s="162" t="n"/>
      <c r="P33" s="154" t="n"/>
      <c r="Q33" s="154" t="n"/>
      <c r="R33" s="153" t="n"/>
      <c r="S33" s="181" t="n"/>
    </row>
    <row r="34" ht="19" customHeight="1">
      <c r="A34" s="151" t="n"/>
      <c r="B34" s="188" t="n"/>
      <c r="C34" s="153" t="n"/>
      <c r="D34" s="154" t="n"/>
      <c r="E34" s="164" t="n"/>
      <c r="F34" s="113" t="n"/>
      <c r="G34" s="165" t="n"/>
      <c r="H34" s="157" t="n"/>
      <c r="I34" s="154" t="n"/>
      <c r="J34" s="158" t="n"/>
      <c r="K34" s="159" t="n"/>
      <c r="L34" s="160" t="n"/>
      <c r="M34" s="160" t="n"/>
      <c r="N34" s="161" t="n"/>
      <c r="O34" s="162" t="n"/>
      <c r="P34" s="154" t="n"/>
      <c r="Q34" s="154" t="n"/>
      <c r="R34" s="153" t="n"/>
      <c r="S34" s="181" t="n"/>
    </row>
    <row r="35" ht="19" customHeight="1">
      <c r="A35" s="151" t="n"/>
      <c r="B35" s="188" t="n"/>
      <c r="C35" s="153" t="n"/>
      <c r="D35" s="154" t="n"/>
      <c r="E35" s="164" t="n"/>
      <c r="F35" s="113" t="n"/>
      <c r="G35" s="165" t="n"/>
      <c r="H35" s="157" t="n"/>
      <c r="I35" s="154" t="n"/>
      <c r="J35" s="158" t="n"/>
      <c r="K35" s="159" t="n"/>
      <c r="L35" s="160" t="n"/>
      <c r="M35" s="160" t="n"/>
      <c r="N35" s="161" t="n"/>
      <c r="O35" s="162" t="n"/>
      <c r="P35" s="154" t="n"/>
      <c r="Q35" s="154" t="n"/>
      <c r="R35" s="153" t="n"/>
      <c r="S35" s="181" t="n"/>
    </row>
    <row r="36" ht="19" customHeight="1">
      <c r="A36" s="151" t="n"/>
      <c r="B36" s="188" t="n"/>
      <c r="C36" s="153" t="n"/>
      <c r="D36" s="154" t="n"/>
      <c r="E36" s="164" t="n"/>
      <c r="F36" s="113" t="n"/>
      <c r="G36" s="165" t="n"/>
      <c r="H36" s="157" t="n"/>
      <c r="I36" s="154" t="n"/>
      <c r="J36" s="158" t="n"/>
      <c r="K36" s="159" t="n"/>
      <c r="L36" s="160" t="n"/>
      <c r="M36" s="160" t="n"/>
      <c r="N36" s="161" t="n"/>
      <c r="O36" s="162" t="n"/>
      <c r="P36" s="154" t="n"/>
      <c r="Q36" s="154" t="n"/>
      <c r="R36" s="153" t="n"/>
      <c r="S36" s="181" t="n"/>
    </row>
    <row r="37" ht="19" customHeight="1">
      <c r="A37" s="151" t="n"/>
      <c r="B37" s="188" t="n"/>
      <c r="C37" s="153" t="n"/>
      <c r="D37" s="154" t="n"/>
      <c r="E37" s="164" t="n"/>
      <c r="F37" s="113" t="n"/>
      <c r="G37" s="165" t="n"/>
      <c r="H37" s="157" t="n"/>
      <c r="I37" s="154" t="n"/>
      <c r="J37" s="158" t="n"/>
      <c r="K37" s="159" t="n"/>
      <c r="L37" s="160" t="n"/>
      <c r="M37" s="160" t="n"/>
      <c r="N37" s="161" t="n"/>
      <c r="O37" s="162" t="n"/>
      <c r="P37" s="154" t="n"/>
      <c r="Q37" s="154" t="n"/>
      <c r="R37" s="153" t="n"/>
      <c r="S37" s="181" t="n"/>
    </row>
    <row r="38" ht="19" customHeight="1">
      <c r="A38" s="151" t="n"/>
      <c r="B38" s="188" t="n"/>
      <c r="C38" s="153" t="n"/>
      <c r="D38" s="154" t="n"/>
      <c r="E38" s="164" t="n"/>
      <c r="F38" s="113" t="n"/>
      <c r="G38" s="165" t="n"/>
      <c r="H38" s="157" t="n"/>
      <c r="I38" s="154" t="n"/>
      <c r="J38" s="158" t="n"/>
      <c r="K38" s="159" t="n"/>
      <c r="L38" s="160" t="n"/>
      <c r="M38" s="160" t="n"/>
      <c r="N38" s="161" t="n"/>
      <c r="O38" s="162" t="n"/>
      <c r="P38" s="154" t="n"/>
      <c r="Q38" s="154" t="n"/>
      <c r="R38" s="153" t="n"/>
      <c r="S38" s="181" t="n"/>
    </row>
    <row r="39" ht="19" customHeight="1">
      <c r="A39" s="151" t="n"/>
      <c r="B39" s="188" t="n"/>
      <c r="C39" s="153" t="n"/>
      <c r="D39" s="154" t="n"/>
      <c r="E39" s="164" t="n"/>
      <c r="F39" s="113" t="n"/>
      <c r="G39" s="165" t="n"/>
      <c r="H39" s="157" t="n"/>
      <c r="I39" s="154" t="n"/>
      <c r="J39" s="158" t="n"/>
      <c r="K39" s="159" t="n"/>
      <c r="L39" s="160" t="n"/>
      <c r="M39" s="160" t="n"/>
      <c r="N39" s="161" t="n"/>
      <c r="O39" s="162" t="n"/>
      <c r="P39" s="154" t="n"/>
      <c r="Q39" s="154" t="n"/>
      <c r="R39" s="153" t="n"/>
      <c r="S39" s="181" t="n"/>
    </row>
    <row r="40" ht="19" customHeight="1">
      <c r="A40" s="151" t="n"/>
      <c r="B40" s="188" t="n"/>
      <c r="C40" s="153" t="n"/>
      <c r="D40" s="154" t="n"/>
      <c r="E40" s="164" t="n"/>
      <c r="F40" s="113" t="n"/>
      <c r="G40" s="165" t="n"/>
      <c r="H40" s="157" t="n"/>
      <c r="I40" s="154" t="n"/>
      <c r="J40" s="158" t="n"/>
      <c r="K40" s="159" t="n"/>
      <c r="L40" s="160" t="n"/>
      <c r="M40" s="160" t="n"/>
      <c r="N40" s="161" t="n"/>
      <c r="O40" s="162" t="n"/>
      <c r="P40" s="154" t="n"/>
      <c r="Q40" s="154" t="n"/>
      <c r="R40" s="153" t="n"/>
      <c r="S40" s="181" t="n"/>
    </row>
    <row r="41" ht="19" customHeight="1">
      <c r="A41" s="151" t="n"/>
      <c r="B41" s="188" t="n"/>
      <c r="C41" s="153" t="n"/>
      <c r="D41" s="154" t="n"/>
      <c r="E41" s="164" t="n"/>
      <c r="F41" s="113" t="n"/>
      <c r="G41" s="165" t="n"/>
      <c r="H41" s="157" t="n"/>
      <c r="I41" s="154" t="n"/>
      <c r="J41" s="158" t="n"/>
      <c r="K41" s="159" t="n"/>
      <c r="L41" s="160" t="n"/>
      <c r="M41" s="160" t="n"/>
      <c r="N41" s="161" t="n"/>
      <c r="O41" s="162" t="n"/>
      <c r="P41" s="154" t="n"/>
      <c r="Q41" s="154" t="n"/>
      <c r="R41" s="153" t="n"/>
      <c r="S41" s="181" t="n"/>
    </row>
    <row r="42" ht="19" customHeight="1">
      <c r="A42" s="151" t="n"/>
      <c r="B42" s="188" t="n"/>
      <c r="C42" s="153" t="n"/>
      <c r="D42" s="154" t="n"/>
      <c r="E42" s="164" t="n"/>
      <c r="F42" s="113" t="n"/>
      <c r="G42" s="165" t="n"/>
      <c r="H42" s="157" t="n"/>
      <c r="I42" s="154" t="n"/>
      <c r="J42" s="158" t="n"/>
      <c r="K42" s="159" t="n"/>
      <c r="L42" s="160" t="n"/>
      <c r="M42" s="160" t="n"/>
      <c r="N42" s="161" t="n"/>
      <c r="O42" s="162" t="n"/>
      <c r="P42" s="154" t="n"/>
      <c r="Q42" s="154" t="n"/>
      <c r="R42" s="153" t="n"/>
      <c r="S42" s="181" t="n"/>
    </row>
    <row r="43" ht="19" customHeight="1">
      <c r="A43" s="151" t="n"/>
      <c r="B43" s="188" t="n"/>
      <c r="C43" s="153" t="n"/>
      <c r="D43" s="154" t="n"/>
      <c r="E43" s="164" t="n"/>
      <c r="F43" s="113" t="n"/>
      <c r="G43" s="165" t="n"/>
      <c r="H43" s="157" t="n"/>
      <c r="I43" s="154" t="n"/>
      <c r="J43" s="158" t="n"/>
      <c r="K43" s="159" t="n"/>
      <c r="L43" s="160" t="n"/>
      <c r="M43" s="160" t="n"/>
      <c r="N43" s="161" t="n"/>
      <c r="O43" s="162" t="n"/>
      <c r="P43" s="154" t="n"/>
      <c r="Q43" s="154" t="n"/>
      <c r="R43" s="153" t="n"/>
      <c r="S43" s="181" t="n"/>
    </row>
    <row r="44" ht="19" customHeight="1">
      <c r="A44" s="151" t="n"/>
      <c r="B44" s="188" t="n"/>
      <c r="C44" s="153" t="n"/>
      <c r="D44" s="154" t="n"/>
      <c r="E44" s="164" t="n"/>
      <c r="F44" s="113" t="n"/>
      <c r="G44" s="165" t="n"/>
      <c r="H44" s="157" t="n"/>
      <c r="I44" s="154" t="n"/>
      <c r="J44" s="158" t="n"/>
      <c r="K44" s="159" t="n"/>
      <c r="L44" s="160" t="n"/>
      <c r="M44" s="160" t="n"/>
      <c r="N44" s="161" t="n"/>
      <c r="O44" s="162" t="n"/>
      <c r="P44" s="154" t="n"/>
      <c r="Q44" s="154" t="n"/>
      <c r="R44" s="153" t="n"/>
      <c r="S44" s="181" t="n"/>
    </row>
    <row r="45" ht="17" customHeight="1">
      <c r="C45" s="153" t="n"/>
      <c r="O45" s="119">
        <f>SUM(O7:O44)</f>
        <v/>
      </c>
    </row>
    <row r="46" ht="17" customHeight="1">
      <c r="C46" s="153" t="n"/>
      <c r="J46" s="166" t="inlineStr">
        <is>
          <t>TOTAL</t>
        </is>
      </c>
      <c r="K46" s="166" t="n">
        <v>585</v>
      </c>
    </row>
    <row r="47" ht="17" customHeight="1">
      <c r="C47" s="153" t="n"/>
    </row>
    <row r="48" ht="17" customHeight="1">
      <c r="C48" s="153" t="n"/>
    </row>
    <row r="49" ht="17" customHeight="1">
      <c r="C49" s="153" t="n"/>
    </row>
    <row r="50" ht="17" customHeight="1">
      <c r="C50" s="153" t="n"/>
    </row>
    <row r="51" ht="17" customHeight="1">
      <c r="C51" s="153" t="n"/>
    </row>
    <row r="52" ht="17" customHeight="1">
      <c r="C52" s="153" t="n"/>
    </row>
    <row r="53" ht="17" customHeight="1">
      <c r="C53" s="153" t="n"/>
    </row>
    <row r="54" ht="17" customHeight="1">
      <c r="C54" s="153" t="n"/>
    </row>
    <row r="55" ht="17" customHeight="1">
      <c r="C55" s="153" t="n"/>
    </row>
    <row r="56" ht="17" customHeight="1">
      <c r="C56" s="153" t="n"/>
    </row>
    <row r="57" ht="17" customHeight="1">
      <c r="C57" s="153" t="n"/>
    </row>
    <row r="58" ht="17" customHeight="1">
      <c r="C58" s="153" t="n"/>
    </row>
    <row r="59" ht="17" customHeight="1">
      <c r="C59" s="153" t="n"/>
    </row>
    <row r="60" ht="17" customHeight="1">
      <c r="C60" s="153" t="n"/>
    </row>
    <row r="61" ht="17" customHeight="1">
      <c r="C61" s="153" t="n"/>
    </row>
    <row r="62" ht="17" customHeight="1">
      <c r="C62" s="153" t="n"/>
    </row>
    <row r="63" ht="17" customHeight="1">
      <c r="C63" s="153" t="n"/>
    </row>
    <row r="64" ht="17" customHeight="1">
      <c r="C64" s="153" t="n"/>
    </row>
  </sheetData>
  <hyperlinks>
    <hyperlink xmlns:r="http://schemas.openxmlformats.org/officeDocument/2006/relationships" ref="S7" display="mailto:josesolisp@gmail.com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Marcia Navarrete</dc:creator>
  <dcterms:created xsi:type="dcterms:W3CDTF">2025-07-02T17:46:19Z</dcterms:created>
  <dcterms:modified xsi:type="dcterms:W3CDTF">2026-05-19T22:46:19Z</dcterms:modified>
  <cp:lastModifiedBy>Office</cp:lastModifiedBy>
</cp:coreProperties>
</file>