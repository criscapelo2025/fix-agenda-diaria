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E96E27D6-78EC-E148-9382-E145E3F30A56}" xr6:coauthVersionLast="47" xr6:coauthVersionMax="47" xr10:uidLastSave="{00000000-0000-0000-0000-000000000000}"/>
  <bookViews>
    <workbookView xWindow="0" yWindow="500" windowWidth="44800" windowHeight="23000" xr2:uid="{9E2ADFCD-1674-4048-9E29-3116F370C5E2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4" l="1"/>
  <c r="O53" i="1"/>
  <c r="S52" i="1"/>
  <c r="S51" i="1"/>
  <c r="S50" i="1"/>
  <c r="S49" i="1"/>
  <c r="S48" i="1"/>
  <c r="S47" i="1"/>
  <c r="M58" i="1"/>
  <c r="S46" i="1"/>
  <c r="S45" i="1"/>
  <c r="S44" i="1"/>
  <c r="S43" i="1"/>
  <c r="S42" i="1"/>
  <c r="N16" i="2"/>
  <c r="S41" i="1"/>
  <c r="S40" i="1"/>
  <c r="S39" i="1"/>
  <c r="J25" i="2"/>
  <c r="J24" i="2"/>
  <c r="J23" i="2"/>
  <c r="J27" i="2" s="1"/>
  <c r="M57" i="1"/>
  <c r="M56" i="1"/>
  <c r="S38" i="1"/>
  <c r="S37" i="1"/>
  <c r="S36" i="1"/>
  <c r="S35" i="1"/>
  <c r="O13" i="3"/>
  <c r="S12" i="3"/>
  <c r="S11" i="3"/>
  <c r="S10" i="3"/>
  <c r="S33" i="1"/>
  <c r="S29" i="1"/>
  <c r="S34" i="1"/>
  <c r="S32" i="1"/>
  <c r="S31" i="1"/>
  <c r="S30" i="1"/>
  <c r="S28" i="1"/>
  <c r="O29" i="7"/>
  <c r="S27" i="1"/>
  <c r="S26" i="1"/>
  <c r="S25" i="1"/>
  <c r="S24" i="1"/>
  <c r="S23" i="1"/>
  <c r="S22" i="1"/>
  <c r="S21" i="1"/>
  <c r="S20" i="1"/>
  <c r="S19" i="1"/>
  <c r="S18" i="1"/>
  <c r="S17" i="1"/>
  <c r="S9" i="3"/>
  <c r="S8" i="3"/>
  <c r="S7" i="3"/>
  <c r="S6" i="3"/>
  <c r="M59" i="1" l="1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16" i="1" l="1"/>
  <c r="S15" i="1"/>
  <c r="S14" i="1"/>
  <c r="S13" i="1"/>
  <c r="S12" i="1"/>
  <c r="S11" i="1"/>
  <c r="S10" i="1"/>
  <c r="S9" i="1"/>
  <c r="S8" i="1"/>
  <c r="S7" i="1"/>
  <c r="S6" i="1"/>
</calcChain>
</file>

<file path=xl/sharedStrings.xml><?xml version="1.0" encoding="utf-8"?>
<sst xmlns="http://schemas.openxmlformats.org/spreadsheetml/2006/main" count="1227" uniqueCount="515">
  <si>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</si>
  <si>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</si>
  <si>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</si>
  <si>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</si>
  <si>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</si>
  <si>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</si>
  <si>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</si>
  <si>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</si>
  <si>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</si>
  <si>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</si>
  <si>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</si>
  <si>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</si>
  <si>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</si>
  <si>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</si>
  <si>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</si>
  <si>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</si>
  <si>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</si>
  <si>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</si>
  <si>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</si>
  <si>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</si>
  <si>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</si>
  <si>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</si>
  <si>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</si>
  <si>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</si>
  <si>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>De Quiñonez Marco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</si>
  <si>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</si>
  <si>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</si>
  <si>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</si>
  <si>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</si>
  <si>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</si>
  <si>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</si>
  <si>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</si>
  <si>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</si>
  <si>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</si>
  <si>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</si>
  <si>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</si>
  <si>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</si>
  <si>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</si>
  <si>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</si>
  <si>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</si>
  <si>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</si>
  <si>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</si>
  <si>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</si>
  <si>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</si>
  <si>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>Productos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</si>
  <si>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</si>
  <si>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</si>
  <si>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</si>
  <si>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</si>
  <si>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</si>
  <si>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</si>
  <si>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</si>
  <si>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</si>
  <si>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Sap Teka</t>
  </si>
  <si>
    <t>Cliente Final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</si>
  <si>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</si>
  <si>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</si>
  <si>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</si>
  <si>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</si>
  <si>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</si>
  <si>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</si>
  <si>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</si>
  <si>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</si>
  <si>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</si>
  <si>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</si>
  <si>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</si>
  <si>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>STOCK</t>
  </si>
  <si>
    <t>TOTAL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</si>
  <si>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</si>
  <si>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</si>
  <si>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</si>
  <si>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</si>
  <si>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</si>
  <si>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</si>
  <si>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</si>
  <si>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</si>
  <si>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</si>
  <si>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</si>
  <si>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</si>
  <si>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>Sat</t>
  </si>
  <si>
    <t xml:space="preserve">PROYECTO </t>
  </si>
  <si>
    <t>CAPELO</t>
  </si>
  <si>
    <t>CUENCA</t>
  </si>
  <si>
    <t>CAPELO MARZO 2025</t>
  </si>
  <si>
    <t>MARZO 2025</t>
  </si>
  <si>
    <t>29-10-24</t>
  </si>
  <si>
    <t>IMP. VEGA</t>
  </si>
  <si>
    <t>006-002-000156947</t>
  </si>
  <si>
    <t>HORNO HLB 8416 BK</t>
  </si>
  <si>
    <t>TZ244519339</t>
  </si>
  <si>
    <t>MIGUEL CARDENAS</t>
  </si>
  <si>
    <t>AZOGUES</t>
  </si>
  <si>
    <t>0300475241</t>
  </si>
  <si>
    <t>0984488242</t>
  </si>
  <si>
    <t>cardenasmiguel60@yahoo.com</t>
  </si>
  <si>
    <t>COCINA IZS 86630 MST BK</t>
  </si>
  <si>
    <t>ZP243B00012</t>
  </si>
  <si>
    <t>SAP TEKA</t>
  </si>
  <si>
    <t>CAMPANA DVN 74030</t>
  </si>
  <si>
    <t>EK244200043</t>
  </si>
  <si>
    <t>21/02/25</t>
  </si>
  <si>
    <t>COMERCIAL SOLIS</t>
  </si>
  <si>
    <t>MARISCAL LAMAR</t>
  </si>
  <si>
    <t>CORREO ELECTRONICO</t>
  </si>
  <si>
    <t>CAMPANA C 910</t>
  </si>
  <si>
    <t>TP249402856</t>
  </si>
  <si>
    <t>TEKA ECUADOR S.A. </t>
  </si>
  <si>
    <t>UN SOLO PRODUCTO</t>
  </si>
  <si>
    <t>KYWI</t>
  </si>
  <si>
    <t>CLIENTE FINAL</t>
  </si>
  <si>
    <t>CAMPANA GFH 73</t>
  </si>
  <si>
    <t>CHALLUABAMBA</t>
  </si>
  <si>
    <t>MERCARD</t>
  </si>
  <si>
    <t>MAC OFERTAS</t>
  </si>
  <si>
    <t>001-001-000003449</t>
  </si>
  <si>
    <t>TP24A000157</t>
  </si>
  <si>
    <t>CONSTRUCTORA ORELLANA</t>
  </si>
  <si>
    <t>EDIFICIO HORIZONTE</t>
  </si>
  <si>
    <t>constructoraorellanaoficina@gmail.com</t>
  </si>
  <si>
    <t>043-903-000057808</t>
  </si>
  <si>
    <t>LAVAVAJILLAS DW 57 FIM I</t>
  </si>
  <si>
    <t>MD249L05953</t>
  </si>
  <si>
    <t>JUAN PABLO ORDOÑEZ</t>
  </si>
  <si>
    <t>12 DE ABRIL</t>
  </si>
  <si>
    <t>juanpabloordonezf@gmail.com</t>
  </si>
  <si>
    <t>001-001-000000541</t>
  </si>
  <si>
    <t>CAMPANA DPL 980 T</t>
  </si>
  <si>
    <t>TP249L09343</t>
  </si>
  <si>
    <t>NELSON IDROVO</t>
  </si>
  <si>
    <t>gracevelastestegui@yahoo.com</t>
  </si>
  <si>
    <t>001-500-000070702</t>
  </si>
  <si>
    <t>COCINA GSC 9632205BA IX</t>
  </si>
  <si>
    <t>ZP249P00294</t>
  </si>
  <si>
    <t>MARIANA RODRIGUEZ</t>
  </si>
  <si>
    <t>AV. LAS PALOMAS</t>
  </si>
  <si>
    <t>gynobs.sinai627@gmail.com</t>
  </si>
  <si>
    <t>ALM. BOYACA</t>
  </si>
  <si>
    <t>007-006-000136086</t>
  </si>
  <si>
    <t>COCINA JZC 96342 BBB</t>
  </si>
  <si>
    <t>ZP24C500189</t>
  </si>
  <si>
    <t>PABLO PCHECO</t>
  </si>
  <si>
    <t>JAVIER LOYOLA</t>
  </si>
  <si>
    <t>pablopacheco@gmail.com</t>
  </si>
  <si>
    <t>001-500-000070719</t>
  </si>
  <si>
    <t>CAMPANA C 610</t>
  </si>
  <si>
    <t>GABRIELA LITUMA</t>
  </si>
  <si>
    <t>PAUTE</t>
  </si>
  <si>
    <t>juandiegomora01@hotmail.com</t>
  </si>
  <si>
    <t>TP245Q09817</t>
  </si>
  <si>
    <t>SANDRA UYAGUARI</t>
  </si>
  <si>
    <t>001-500-000046863</t>
  </si>
  <si>
    <t>ZPZ1C900024</t>
  </si>
  <si>
    <t>COCINA JZC64322 ABB</t>
  </si>
  <si>
    <t>SAN BARTOLO</t>
  </si>
  <si>
    <t>sandrauyaguarit@gmail.com</t>
  </si>
  <si>
    <t>MAX BERNAL</t>
  </si>
  <si>
    <t>006-002-000157399</t>
  </si>
  <si>
    <t>HORNO HBB 535 SS</t>
  </si>
  <si>
    <t>TZ2499039977</t>
  </si>
  <si>
    <t>EL TEJAR</t>
  </si>
  <si>
    <t>max.bernal@ucuenca.edu.ec</t>
  </si>
  <si>
    <t>HOME VEGA</t>
  </si>
  <si>
    <t>COMO HOGAR</t>
  </si>
  <si>
    <t>040-104-000008299</t>
  </si>
  <si>
    <t>COCINA FS3RL966GGX</t>
  </si>
  <si>
    <t>ZS24040566</t>
  </si>
  <si>
    <t>PAOLA IDROVO</t>
  </si>
  <si>
    <t>JOSE PENAHERRERA</t>
  </si>
  <si>
    <t>gerencia@ecuatablet.com</t>
  </si>
  <si>
    <t>006-002-000157599</t>
  </si>
  <si>
    <t>MICRONDAS MS620BIS</t>
  </si>
  <si>
    <t>TP243KO4152</t>
  </si>
  <si>
    <t>MARIA TORRES</t>
  </si>
  <si>
    <t>EDIFICIO SANTA LUCIA</t>
  </si>
  <si>
    <t>maluti@hotmail.com</t>
  </si>
  <si>
    <t>001-500-000071026</t>
  </si>
  <si>
    <t>COCINA GBC 64000 KBB</t>
  </si>
  <si>
    <t>ZP24BL00370</t>
  </si>
  <si>
    <t>WILMER GUILLERMO</t>
  </si>
  <si>
    <t>SININCAY</t>
  </si>
  <si>
    <t>soluciona@etapa.net.net</t>
  </si>
  <si>
    <t>043-903-000055942</t>
  </si>
  <si>
    <t>ZP23CI01169</t>
  </si>
  <si>
    <t>SEBASTIAN ARRIETA</t>
  </si>
  <si>
    <t>CONDOMINIO MALAGA</t>
  </si>
  <si>
    <t>arrietasebastian@gmail.com</t>
  </si>
  <si>
    <t>040-104-000008274</t>
  </si>
  <si>
    <t>COCINA GBC 95030 KBB</t>
  </si>
  <si>
    <t>ZP249W00261</t>
  </si>
  <si>
    <t>CARLOS POZO</t>
  </si>
  <si>
    <t>AV. 1 DE MAYO</t>
  </si>
  <si>
    <t>carlospozo85@hotmail.com</t>
  </si>
  <si>
    <t>043-905-000058086</t>
  </si>
  <si>
    <t>COCINA GBC 95-GBA BM</t>
  </si>
  <si>
    <t>ZP24BT00888</t>
  </si>
  <si>
    <t>FRANCISCO FAJARDO</t>
  </si>
  <si>
    <t>MACHANGARA</t>
  </si>
  <si>
    <t>panchofajardo@hotmail.com</t>
  </si>
  <si>
    <t>CO225R00705</t>
  </si>
  <si>
    <t>stefany-tacuri@hotmail.com</t>
  </si>
  <si>
    <t>Exhibicion Almacen</t>
  </si>
  <si>
    <t>Barbacoa a Gas T-BBQ 4100 SS</t>
  </si>
  <si>
    <t>038-904-000188199</t>
  </si>
  <si>
    <t>CO249E00711</t>
  </si>
  <si>
    <t>GLORIA VALLEJO</t>
  </si>
  <si>
    <t>LORENZO PIEDRA</t>
  </si>
  <si>
    <t>gloria-vallejo@hotmail.com</t>
  </si>
  <si>
    <t>SUKASA</t>
  </si>
  <si>
    <t>040-104-000009993</t>
  </si>
  <si>
    <t>CO249E00261</t>
  </si>
  <si>
    <t>ELSA SOTO</t>
  </si>
  <si>
    <t>RAFAEL ESTRELLA Y AMERICAS</t>
  </si>
  <si>
    <t>martinlazzarini@outlook.com</t>
  </si>
  <si>
    <t>043-903-00056842</t>
  </si>
  <si>
    <t>COCINA GSC 96320 SBA IX</t>
  </si>
  <si>
    <t>ZP24AF00504</t>
  </si>
  <si>
    <t>KELLY REMACHE</t>
  </si>
  <si>
    <t>0988356126</t>
  </si>
  <si>
    <t>0104736665</t>
  </si>
  <si>
    <t>keli98flor@gmail.com</t>
  </si>
  <si>
    <t>MICROONDAS MWG 14X</t>
  </si>
  <si>
    <t>MW247A00233</t>
  </si>
  <si>
    <t>006-002-000157260</t>
  </si>
  <si>
    <t>HORNO HSB 646 SS</t>
  </si>
  <si>
    <t>ZP244A00399</t>
  </si>
  <si>
    <t>TZ247H16502</t>
  </si>
  <si>
    <t>GUILLERMO LOYOLA</t>
  </si>
  <si>
    <t>EDIFICIO TERRA</t>
  </si>
  <si>
    <t>098481702</t>
  </si>
  <si>
    <t>0101398642</t>
  </si>
  <si>
    <t>loydon9@yahoo.es</t>
  </si>
  <si>
    <t>COM. LUNA PAZMIÑO</t>
  </si>
  <si>
    <t>002-101-000112176</t>
  </si>
  <si>
    <t>COCINA GZC 96310 XBB</t>
  </si>
  <si>
    <t>TZ216W49989</t>
  </si>
  <si>
    <t>ZP242L00261</t>
  </si>
  <si>
    <t>HORNO HBB 535</t>
  </si>
  <si>
    <t>PX213F00273</t>
  </si>
  <si>
    <t>CAMPANA NC 980</t>
  </si>
  <si>
    <t>ANGEL GARCIA</t>
  </si>
  <si>
    <t>AURELIO MAPELLI</t>
  </si>
  <si>
    <t>0986710772</t>
  </si>
  <si>
    <t>01203958556</t>
  </si>
  <si>
    <t>log8356401@gmail.com</t>
  </si>
  <si>
    <t>001-501-000006096</t>
  </si>
  <si>
    <t>COCINA GBC 75030 KBB</t>
  </si>
  <si>
    <t>IPZ49T00110</t>
  </si>
  <si>
    <t>DANIEL CALLE</t>
  </si>
  <si>
    <t>MARIANA DE JESUS</t>
  </si>
  <si>
    <t>0992863036</t>
  </si>
  <si>
    <t>0301753026</t>
  </si>
  <si>
    <t>danielcallecerras@gmail.com</t>
  </si>
  <si>
    <t>TZ247202370</t>
  </si>
  <si>
    <t>001-500-000071190</t>
  </si>
  <si>
    <t>CAMPANA C6310</t>
  </si>
  <si>
    <t>TP246301464</t>
  </si>
  <si>
    <t>TP222204397</t>
  </si>
  <si>
    <t>MARIA AGUILAR</t>
  </si>
  <si>
    <t>PRESIDENTE CORDOVA Y M VEGA</t>
  </si>
  <si>
    <t>0987233336</t>
  </si>
  <si>
    <t>0704431980</t>
  </si>
  <si>
    <t>ma5252360@gmail.com</t>
  </si>
  <si>
    <t>040-103-000007443</t>
  </si>
  <si>
    <t>CAMPANA CC480</t>
  </si>
  <si>
    <t>HORNO HSB 630 BK</t>
  </si>
  <si>
    <t>TZ243T28511</t>
  </si>
  <si>
    <t>ZP245H00543</t>
  </si>
  <si>
    <t>PX22B600609</t>
  </si>
  <si>
    <t>PEDRO ANDRADE</t>
  </si>
  <si>
    <t>ZHAPACAL</t>
  </si>
  <si>
    <t>0989262202</t>
  </si>
  <si>
    <t>0302454657</t>
  </si>
  <si>
    <t>vale-11@hotmail.com</t>
  </si>
  <si>
    <t>001-500-000070969</t>
  </si>
  <si>
    <t>CAMPANA C910</t>
  </si>
  <si>
    <t>ZP24AG00422</t>
  </si>
  <si>
    <t>TP249H02845</t>
  </si>
  <si>
    <t>RAMIRO GAVILANES</t>
  </si>
  <si>
    <t>CANAR</t>
  </si>
  <si>
    <t>0999986770</t>
  </si>
  <si>
    <t>0301562419</t>
  </si>
  <si>
    <t>mirotaxi@live.com</t>
  </si>
  <si>
    <t>043-904-000063595</t>
  </si>
  <si>
    <t>HORNO HSB 750 G</t>
  </si>
  <si>
    <t>TZ245W29981</t>
  </si>
  <si>
    <t>LORENA SANCHEZ</t>
  </si>
  <si>
    <t>AV PANCHO VILLA</t>
  </si>
  <si>
    <t>loresanche1970@outlook.com</t>
  </si>
  <si>
    <t>EDISON RODRIGUEZ</t>
  </si>
  <si>
    <t>001-500-000070384</t>
  </si>
  <si>
    <t>COCINA GSC 75330 SBA IX</t>
  </si>
  <si>
    <t>ZP24AF00541</t>
  </si>
  <si>
    <t>AV. GIL RAMIREZ DAVALOS</t>
  </si>
  <si>
    <t>0980046028</t>
  </si>
  <si>
    <t>0100750264</t>
  </si>
  <si>
    <t>distribuidoracampeon@live.com</t>
  </si>
  <si>
    <t>HORNO HLF 824 G</t>
  </si>
  <si>
    <t>TZ228225841</t>
  </si>
  <si>
    <t>001-500-000069931</t>
  </si>
  <si>
    <t>TP246B02147</t>
  </si>
  <si>
    <t>ZP24AG00366</t>
  </si>
  <si>
    <t>LUIS ARGUDO</t>
  </si>
  <si>
    <t>NARANCAY</t>
  </si>
  <si>
    <t>0962128059</t>
  </si>
  <si>
    <t>0104590792</t>
  </si>
  <si>
    <t>argudoim@hotmail.com</t>
  </si>
  <si>
    <t>001-500-000071215</t>
  </si>
  <si>
    <t>CAMPANA DVN 94030 TCL BK</t>
  </si>
  <si>
    <t>EK246100009</t>
  </si>
  <si>
    <t>COCINA IZS 97630 MST BK</t>
  </si>
  <si>
    <t>ZP244W00590</t>
  </si>
  <si>
    <t>RICARDO ALARCON</t>
  </si>
  <si>
    <t>TOTORACOCHA</t>
  </si>
  <si>
    <t>0993407115</t>
  </si>
  <si>
    <t>010380032</t>
  </si>
  <si>
    <t>ricardoalarconvelez@yahoo.ec</t>
  </si>
  <si>
    <t>001-500-000070170</t>
  </si>
  <si>
    <t>ZP24A600370</t>
  </si>
  <si>
    <t>HORNO 610 BK</t>
  </si>
  <si>
    <t>TZ243T28334</t>
  </si>
  <si>
    <t>MARIA JOSE PEREZ</t>
  </si>
  <si>
    <t>URB. LAS MARIAS</t>
  </si>
  <si>
    <t>0978940839</t>
  </si>
  <si>
    <t>0101506285</t>
  </si>
  <si>
    <t>analutorresp@gmail.com</t>
  </si>
  <si>
    <t>016-902-000499261</t>
  </si>
  <si>
    <t>TP245L01625</t>
  </si>
  <si>
    <t>ZP24C200851</t>
  </si>
  <si>
    <t>ANDRES ARGUDO</t>
  </si>
  <si>
    <t>0984392818</t>
  </si>
  <si>
    <t>0106051305</t>
  </si>
  <si>
    <t>gerandresargudo@gmail.com</t>
  </si>
  <si>
    <t>Barbacoa a Gas T-BBQ 3100 GBK SS</t>
  </si>
  <si>
    <t>CO249E00580</t>
  </si>
  <si>
    <t>KYWI WAYRA</t>
  </si>
  <si>
    <t>AV 24 DE MAYO</t>
  </si>
  <si>
    <t>freddyn@kywi.com.ec</t>
  </si>
  <si>
    <t>CO249E00667</t>
  </si>
  <si>
    <t>CO249E00233</t>
  </si>
  <si>
    <t>CO249E00391</t>
  </si>
  <si>
    <t>043-906-000038760</t>
  </si>
  <si>
    <t>COCINA GZC 95320 XBB</t>
  </si>
  <si>
    <t>ZP24AN00561</t>
  </si>
  <si>
    <t>JUAN MENDIETA</t>
  </si>
  <si>
    <t>JUAN JOSE FLORES</t>
  </si>
  <si>
    <t>sebastianmendietar@gmail.com</t>
  </si>
  <si>
    <t>LUNA PAZMIÑO</t>
  </si>
  <si>
    <t>002-201-000005914</t>
  </si>
  <si>
    <t>TP245411245</t>
  </si>
  <si>
    <t>LIGIA CRIOLLO</t>
  </si>
  <si>
    <t>AV 10 DE AGOSTO</t>
  </si>
  <si>
    <t>ligiacriollo112014@gmail.com</t>
  </si>
  <si>
    <t>RELOJ TC HLB 840</t>
  </si>
  <si>
    <t>TZ233A10096</t>
  </si>
  <si>
    <t>MARIA JOSE ROJAS</t>
  </si>
  <si>
    <t>majoserojascordero@hotmail.com</t>
  </si>
  <si>
    <t>001-501-000000263</t>
  </si>
  <si>
    <t>SE VERIFICA QUE EL DISPLAY NO ENCIENDE POR COMPLETO, SE CAMBIA REPUESTO.</t>
  </si>
  <si>
    <t>COCINA GBC 64-G1 GBA BM</t>
  </si>
  <si>
    <t>ZP241X00227</t>
  </si>
  <si>
    <t>ANGEL MEJIA</t>
  </si>
  <si>
    <t>SECTOR TERMOPAR NO DETECTA FLAMA, SE AJUSTA</t>
  </si>
  <si>
    <t>elguchito86@hotmail.com</t>
  </si>
  <si>
    <t>016-907-000218298</t>
  </si>
  <si>
    <t>040-103-000012164</t>
  </si>
  <si>
    <t>CAMPANA DG3 ISLA 980</t>
  </si>
  <si>
    <t>COCINA IZC 64010 MSS BK</t>
  </si>
  <si>
    <t>HORNO HSB 64655</t>
  </si>
  <si>
    <t>PX244400027</t>
  </si>
  <si>
    <t>ZP24AV00475</t>
  </si>
  <si>
    <t>TZ24AB06855</t>
  </si>
  <si>
    <t>RODERICK TAYLOR</t>
  </si>
  <si>
    <t>0152821153</t>
  </si>
  <si>
    <t>roderickt@hotmail.com</t>
  </si>
  <si>
    <t>9728499671</t>
  </si>
  <si>
    <t>043-901-000007056</t>
  </si>
  <si>
    <t>CAMPANA C9310</t>
  </si>
  <si>
    <t>COCINA GSC 963200SBA IX</t>
  </si>
  <si>
    <t>TP241405578</t>
  </si>
  <si>
    <t>ZP23AD00058</t>
  </si>
  <si>
    <t>SAMIRA ILLESCAS</t>
  </si>
  <si>
    <t>0959948837</t>
  </si>
  <si>
    <t>0105254858</t>
  </si>
  <si>
    <t>sami4.3@hotmail.com</t>
  </si>
  <si>
    <t>043-905-000061951</t>
  </si>
  <si>
    <t>CAMPANA C7310</t>
  </si>
  <si>
    <t>TP24AR09420</t>
  </si>
  <si>
    <t>JULIETA JARAMILLO</t>
  </si>
  <si>
    <t>RAFAEL FAJARDO 544</t>
  </si>
  <si>
    <t>julietajaramilloa@hotmail.com</t>
  </si>
  <si>
    <t>kywi</t>
  </si>
  <si>
    <t>016-902-000496751</t>
  </si>
  <si>
    <t>TP242LO3459</t>
  </si>
  <si>
    <t>INES BACULIMA</t>
  </si>
  <si>
    <t>URB. LOS SAUCES</t>
  </si>
  <si>
    <t>cmaluna2018@gmail.com</t>
  </si>
  <si>
    <t>001-502-000000107</t>
  </si>
  <si>
    <t>TZ247202334</t>
  </si>
  <si>
    <t>MARIA VASQUEZ</t>
  </si>
  <si>
    <t>INGALOMA</t>
  </si>
  <si>
    <t>americorodast@gmail.com</t>
  </si>
  <si>
    <t>016-907-000242127</t>
  </si>
  <si>
    <t>TP24AR09414</t>
  </si>
  <si>
    <t>DAVID OTAVALO</t>
  </si>
  <si>
    <t>1ERO DE SEPTIEMBRE</t>
  </si>
  <si>
    <t>josedavid.otavalo@gmail.com</t>
  </si>
  <si>
    <t>043-903-000057064</t>
  </si>
  <si>
    <t>ZP24C200791</t>
  </si>
  <si>
    <t>RAFAEL CORNEJO</t>
  </si>
  <si>
    <t>PARQUE IBERIA</t>
  </si>
  <si>
    <t>rrcb2009@hotmail.com</t>
  </si>
  <si>
    <t>TRITURADOR TR710.1</t>
  </si>
  <si>
    <t>INTERRUPTOR NEUMATICO TR 510.1</t>
  </si>
  <si>
    <t>240115AF1273</t>
  </si>
  <si>
    <t>CRISTINA FEHRS</t>
  </si>
  <si>
    <t>SE TRASLADA A TALLER, SE DEBE CAMBIAR EL INTERRUPTOR NEUMATICO</t>
  </si>
  <si>
    <t>0102311263</t>
  </si>
  <si>
    <t>crisfehrs@hotmail.com</t>
  </si>
  <si>
    <t>007-006-000128736</t>
  </si>
  <si>
    <t>PLACA DE POT. 1100 IZQUIERDA ZB M7</t>
  </si>
  <si>
    <t>ZP22BG00040</t>
  </si>
  <si>
    <t>PLACA DE POTENCIA IZQUIERDA QUEMADA</t>
  </si>
  <si>
    <t>jeannete.velastegui@hotmail.com</t>
  </si>
  <si>
    <t>001-501-000054715</t>
  </si>
  <si>
    <t>SUSANA MARCHAN</t>
  </si>
  <si>
    <t>ZP212H00095</t>
  </si>
  <si>
    <t>DIEGO MERCHAN</t>
  </si>
  <si>
    <t>VENTILADOR TRABADO, SE REALIZA LA LIMPIEZA DE PARTICULAS QUE OBSTRUYEN EL VENTILADOR</t>
  </si>
  <si>
    <t>0105257737</t>
  </si>
  <si>
    <t>luismerchanh@gmail.com</t>
  </si>
  <si>
    <t>001-500-000043125</t>
  </si>
  <si>
    <t>210530af1870</t>
  </si>
  <si>
    <t>ROSALIA MUÑOZ</t>
  </si>
  <si>
    <t>EL PULSADOR NEUMATICO ESTA TRABAJO, SE DA SOLUCION</t>
  </si>
  <si>
    <t>0104081252</t>
  </si>
  <si>
    <t>gtamariz@hotmail.com</t>
  </si>
  <si>
    <t>001-001-000001495</t>
  </si>
  <si>
    <t xml:space="preserve">Cocina </t>
  </si>
  <si>
    <t>Triturador</t>
  </si>
  <si>
    <t>Horno</t>
  </si>
  <si>
    <t>001-502-000000162</t>
  </si>
  <si>
    <t>LUNA RODRIGUEZ</t>
  </si>
  <si>
    <t>CAPELO - MARZO 2025</t>
  </si>
  <si>
    <t>001-502-000000133</t>
  </si>
  <si>
    <t>COCINA GZC7533OXBB</t>
  </si>
  <si>
    <t>CAMPANA DVN 74030 TCL</t>
  </si>
  <si>
    <t>EK245400030</t>
  </si>
  <si>
    <t>ZP247600726</t>
  </si>
  <si>
    <t>TZ247202356</t>
  </si>
  <si>
    <t>LENNIN LEON</t>
  </si>
  <si>
    <t>GUALACEO</t>
  </si>
  <si>
    <t>0984725949</t>
  </si>
  <si>
    <t>0104618798</t>
  </si>
  <si>
    <t>l_xavier_l@hotmail.com</t>
  </si>
  <si>
    <t>230710af1802</t>
  </si>
  <si>
    <t>ESTEBAN DONOSO</t>
  </si>
  <si>
    <t>0190380475</t>
  </si>
  <si>
    <t>ocabrera@homedeko.com.ec</t>
  </si>
  <si>
    <t>001-501-000001333</t>
  </si>
  <si>
    <t>001-500-000071580</t>
  </si>
  <si>
    <t>HORNO HSB G15 SS</t>
  </si>
  <si>
    <t>TZ247N18933</t>
  </si>
  <si>
    <t>CAROLINA SEADE</t>
  </si>
  <si>
    <t>CONDOMINIO MONTEVERDE</t>
  </si>
  <si>
    <t>caroseadem@gmail.com</t>
  </si>
  <si>
    <t>043-902-000048985</t>
  </si>
  <si>
    <t>ZP247500427</t>
  </si>
  <si>
    <t>CARLA BUITRON</t>
  </si>
  <si>
    <t>CONDOMINIO FIRENZA</t>
  </si>
  <si>
    <t>blsura.83@gmail.com</t>
  </si>
  <si>
    <t>001-500-000053028</t>
  </si>
  <si>
    <t>MC22CG00038</t>
  </si>
  <si>
    <t>MICROONDAS ML 822 BIS L</t>
  </si>
  <si>
    <t>REGRIGERADOR RFD 77820 GBK</t>
  </si>
  <si>
    <t>TP22BN03129</t>
  </si>
  <si>
    <t>CAMPANA DPL ISLA 1180</t>
  </si>
  <si>
    <t>PX214N00030</t>
  </si>
  <si>
    <t>ZP229600030</t>
  </si>
  <si>
    <t>HORNO STEAKMASTER</t>
  </si>
  <si>
    <t>TZ219610367</t>
  </si>
  <si>
    <t>JUAN CORNEJO</t>
  </si>
  <si>
    <t>TERRAZAS MISICATA</t>
  </si>
  <si>
    <t>0992512633</t>
  </si>
  <si>
    <t>0100024207</t>
  </si>
  <si>
    <t>juanccornejo9@gmail.com</t>
  </si>
  <si>
    <t>COND. ASUNCION</t>
  </si>
  <si>
    <t>CON. ASUNCION</t>
  </si>
  <si>
    <t>001-500-000067591</t>
  </si>
  <si>
    <t>ZP245400603</t>
  </si>
  <si>
    <t>EK241F00121</t>
  </si>
  <si>
    <t>ANGEL ROLDAN</t>
  </si>
  <si>
    <t>SAYAUSI BELLAVISTA</t>
  </si>
  <si>
    <t>0985188487</t>
  </si>
  <si>
    <t>0104604566</t>
  </si>
  <si>
    <t>edwinrin@hotmail.com</t>
  </si>
  <si>
    <t>043-904-000059090</t>
  </si>
  <si>
    <t>ZP247H00641</t>
  </si>
  <si>
    <t>CRISTIAN GUAMAN</t>
  </si>
  <si>
    <t>DE LA BANDOLINA</t>
  </si>
  <si>
    <t>0993362024</t>
  </si>
  <si>
    <t>0301843843</t>
  </si>
  <si>
    <t>lissethalcivar1998@hotmail.com</t>
  </si>
  <si>
    <t>006-002-000157366</t>
  </si>
  <si>
    <t>ZP24C300177</t>
  </si>
  <si>
    <t>LAVAVAJILLAS DW8 57 FAM</t>
  </si>
  <si>
    <t>MD249L05977</t>
  </si>
  <si>
    <t>HORNO HLB 760 G</t>
  </si>
  <si>
    <t>TZ2413J15133</t>
  </si>
  <si>
    <t>BLANCA AUCAPIÑA</t>
  </si>
  <si>
    <t>MISICATA</t>
  </si>
  <si>
    <t>0963239977</t>
  </si>
  <si>
    <t>0102273729</t>
  </si>
  <si>
    <t>saraluzparrac@gmail.com</t>
  </si>
  <si>
    <t>AL 14 DE MARZO DEL 2025</t>
  </si>
  <si>
    <t>MARZO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</si>
</sst>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_-* #,##0.00_-;\-* #,##0.00_-;_-* &quot;-&quot;??_-;_-@_-"/>
  </numFmts>
  <fonts count="6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13"/>
      <name val="Arial"/>
      <family val="2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Helvetica"/>
      <family val="2"/>
    </font>
    <font>
      <sz val="9"/>
      <color theme="1"/>
      <name val="Calibri"/>
      <family val="2"/>
    </font>
    <font>
      <sz val="9"/>
      <color theme="1"/>
      <name val="Aptos Narrow"/>
      <scheme val="minor"/>
    </font>
    <font>
      <sz val="7"/>
      <color theme="1"/>
      <name val="Calibri"/>
      <family val="2"/>
    </font>
    <font>
      <sz val="8"/>
      <color theme="1"/>
      <name val="Calibri"/>
      <family val="2"/>
    </font>
    <font>
      <b/>
      <sz val="9"/>
      <color theme="1"/>
      <name val="Helvetica"/>
      <family val="2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0">
    <xf numFmtId="0" fontId="0" fillId="0" borderId="0"/>
    <xf numFmtId="0" fontId="9" fillId="0" borderId="0"/>
    <xf numFmtId="0" fontId="9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167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47" fillId="0" borderId="0"/>
    <xf numFmtId="0" fontId="24" fillId="0" borderId="0"/>
    <xf numFmtId="0" fontId="1" fillId="0" borderId="0"/>
    <xf numFmtId="0" fontId="2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0" applyFont="1" applyAlignment="1">
      <alignment horizontal="right"/>
    </xf>
    <xf numFmtId="4" fontId="4" fillId="0" borderId="0" xfId="0" applyNumberFormat="1" applyFont="1"/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" fontId="0" fillId="0" borderId="0" xfId="0" applyNumberFormat="1"/>
    <xf numFmtId="2" fontId="7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10" fillId="0" borderId="0" xfId="1" applyFont="1"/>
    <xf numFmtId="0" fontId="11" fillId="2" borderId="0" xfId="2" applyFont="1" applyAlignment="1">
      <alignment horizontal="center" vertical="center"/>
    </xf>
    <xf numFmtId="1" fontId="11" fillId="2" borderId="0" xfId="2" applyNumberFormat="1" applyFont="1" applyAlignment="1">
      <alignment horizontal="right" vertical="center"/>
    </xf>
    <xf numFmtId="1" fontId="11" fillId="2" borderId="0" xfId="2" applyNumberFormat="1" applyFont="1" applyAlignment="1">
      <alignment horizontal="center" vertical="center"/>
    </xf>
    <xf numFmtId="2" fontId="11" fillId="2" borderId="0" xfId="2" applyNumberFormat="1" applyFont="1" applyAlignment="1">
      <alignment vertical="center"/>
    </xf>
    <xf numFmtId="49" fontId="0" fillId="0" borderId="0" xfId="0" quotePrefix="1" applyNumberFormat="1"/>
    <xf numFmtId="17" fontId="7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3" applyFont="1" applyAlignment="1">
      <alignment horizontal="right"/>
    </xf>
    <xf numFmtId="164" fontId="14" fillId="5" borderId="2" xfId="3" applyNumberFormat="1" applyFont="1" applyFill="1" applyBorder="1" applyAlignment="1">
      <alignment horizontal="left"/>
    </xf>
    <xf numFmtId="0" fontId="14" fillId="5" borderId="2" xfId="3" applyFont="1" applyFill="1" applyBorder="1"/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/>
    <xf numFmtId="0" fontId="14" fillId="5" borderId="2" xfId="3" applyFont="1" applyFill="1" applyBorder="1" applyAlignment="1">
      <alignment horizontal="left"/>
    </xf>
    <xf numFmtId="0" fontId="14" fillId="5" borderId="2" xfId="3" applyFont="1" applyFill="1" applyBorder="1" applyAlignment="1">
      <alignment horizontal="left" vertical="center"/>
    </xf>
    <xf numFmtId="14" fontId="14" fillId="5" borderId="2" xfId="3" applyNumberFormat="1" applyFont="1" applyFill="1" applyBorder="1" applyAlignment="1">
      <alignment horizontal="left"/>
    </xf>
    <xf numFmtId="1" fontId="14" fillId="5" borderId="2" xfId="3" applyNumberFormat="1" applyFont="1" applyFill="1" applyBorder="1"/>
    <xf numFmtId="2" fontId="14" fillId="5" borderId="2" xfId="3" applyNumberFormat="1" applyFont="1" applyFill="1" applyBorder="1" applyAlignment="1">
      <alignment horizontal="center"/>
    </xf>
    <xf numFmtId="165" fontId="14" fillId="5" borderId="2" xfId="3" applyNumberFormat="1" applyFont="1" applyFill="1" applyBorder="1" applyAlignment="1">
      <alignment horizontal="center"/>
    </xf>
    <xf numFmtId="0" fontId="14" fillId="5" borderId="2" xfId="3" applyFont="1" applyFill="1" applyBorder="1" applyAlignment="1">
      <alignment horizontal="center" vertical="center"/>
    </xf>
    <xf numFmtId="0" fontId="17" fillId="0" borderId="3" xfId="3" applyFont="1" applyBorder="1"/>
    <xf numFmtId="0" fontId="17" fillId="0" borderId="0" xfId="0" applyFont="1"/>
    <xf numFmtId="164" fontId="14" fillId="5" borderId="4" xfId="3" applyNumberFormat="1" applyFont="1" applyFill="1" applyBorder="1" applyAlignment="1">
      <alignment horizontal="left"/>
    </xf>
    <xf numFmtId="0" fontId="14" fillId="5" borderId="4" xfId="3" applyFont="1" applyFill="1" applyBorder="1"/>
    <xf numFmtId="0" fontId="14" fillId="0" borderId="4" xfId="3" applyFont="1" applyBorder="1" applyAlignment="1">
      <alignment horizontal="center" vertical="center"/>
    </xf>
    <xf numFmtId="0" fontId="14" fillId="0" borderId="4" xfId="3" applyFont="1" applyBorder="1"/>
    <xf numFmtId="0" fontId="14" fillId="5" borderId="4" xfId="3" applyFont="1" applyFill="1" applyBorder="1" applyAlignment="1">
      <alignment horizontal="left"/>
    </xf>
    <xf numFmtId="0" fontId="14" fillId="5" borderId="4" xfId="3" applyFont="1" applyFill="1" applyBorder="1" applyAlignment="1">
      <alignment horizontal="left" vertical="center"/>
    </xf>
    <xf numFmtId="14" fontId="14" fillId="5" borderId="4" xfId="3" applyNumberFormat="1" applyFont="1" applyFill="1" applyBorder="1" applyAlignment="1">
      <alignment horizontal="left"/>
    </xf>
    <xf numFmtId="1" fontId="14" fillId="5" borderId="4" xfId="3" applyNumberFormat="1" applyFont="1" applyFill="1" applyBorder="1"/>
    <xf numFmtId="2" fontId="14" fillId="5" borderId="4" xfId="3" applyNumberFormat="1" applyFont="1" applyFill="1" applyBorder="1" applyAlignment="1">
      <alignment horizontal="center"/>
    </xf>
    <xf numFmtId="165" fontId="14" fillId="5" borderId="4" xfId="3" applyNumberFormat="1" applyFont="1" applyFill="1" applyBorder="1" applyAlignment="1">
      <alignment horizontal="center"/>
    </xf>
    <xf numFmtId="0" fontId="18" fillId="0" borderId="0" xfId="0" applyFont="1"/>
    <xf numFmtId="0" fontId="0" fillId="0" borderId="0" xfId="0" applyAlignment="1">
      <alignment horizontal="left" vertical="top"/>
    </xf>
    <xf numFmtId="0" fontId="19" fillId="6" borderId="0" xfId="0" applyFont="1" applyFill="1" applyAlignment="1">
      <alignment horizontal="left"/>
    </xf>
    <xf numFmtId="0" fontId="21" fillId="0" borderId="0" xfId="5" applyFont="1"/>
    <xf numFmtId="0" fontId="20" fillId="0" borderId="0" xfId="5" applyAlignment="1">
      <alignment horizontal="right"/>
    </xf>
    <xf numFmtId="4" fontId="8" fillId="0" borderId="0" xfId="6" applyNumberFormat="1" applyFont="1" applyAlignment="1">
      <alignment horizontal="left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vertical="center"/>
    </xf>
    <xf numFmtId="0" fontId="22" fillId="0" borderId="0" xfId="6" applyFont="1"/>
    <xf numFmtId="2" fontId="24" fillId="0" borderId="0" xfId="6" applyNumberFormat="1" applyFont="1" applyAlignment="1">
      <alignment horizontal="left"/>
    </xf>
    <xf numFmtId="0" fontId="20" fillId="0" borderId="0" xfId="5"/>
    <xf numFmtId="0" fontId="25" fillId="0" borderId="0" xfId="5" applyFont="1"/>
    <xf numFmtId="4" fontId="8" fillId="0" borderId="0" xfId="6" applyNumberFormat="1" applyFont="1" applyAlignment="1">
      <alignment horizontal="left" vertical="center"/>
    </xf>
    <xf numFmtId="0" fontId="24" fillId="0" borderId="0" xfId="6" applyFont="1" applyAlignment="1">
      <alignment horizontal="center"/>
    </xf>
    <xf numFmtId="0" fontId="24" fillId="0" borderId="0" xfId="6" applyFont="1"/>
    <xf numFmtId="166" fontId="26" fillId="0" borderId="5" xfId="7" applyNumberFormat="1" applyFont="1" applyBorder="1" applyAlignment="1">
      <alignment horizontal="left"/>
    </xf>
    <xf numFmtId="0" fontId="26" fillId="0" borderId="6" xfId="7" applyFont="1" applyBorder="1" applyAlignment="1">
      <alignment horizontal="left"/>
    </xf>
    <xf numFmtId="0" fontId="25" fillId="0" borderId="6" xfId="7" applyFont="1" applyBorder="1" applyAlignment="1">
      <alignment horizontal="left"/>
    </xf>
    <xf numFmtId="0" fontId="27" fillId="0" borderId="6" xfId="7" applyFont="1" applyBorder="1" applyAlignment="1">
      <alignment horizontal="left"/>
    </xf>
    <xf numFmtId="0" fontId="28" fillId="0" borderId="6" xfId="7" applyFont="1" applyBorder="1" applyAlignment="1">
      <alignment horizontal="left" wrapText="1" readingOrder="1"/>
    </xf>
    <xf numFmtId="0" fontId="27" fillId="0" borderId="6" xfId="7" applyFont="1" applyBorder="1" applyAlignment="1">
      <alignment horizontal="left" wrapText="1"/>
    </xf>
    <xf numFmtId="0" fontId="29" fillId="0" borderId="6" xfId="7" applyFont="1" applyBorder="1" applyAlignment="1">
      <alignment horizontal="left" wrapText="1"/>
    </xf>
    <xf numFmtId="17" fontId="30" fillId="0" borderId="6" xfId="7" quotePrefix="1" applyNumberFormat="1" applyFont="1" applyBorder="1" applyAlignment="1">
      <alignment horizontal="left"/>
    </xf>
    <xf numFmtId="0" fontId="24" fillId="0" borderId="6" xfId="7" applyFont="1" applyBorder="1" applyAlignment="1">
      <alignment horizontal="left"/>
    </xf>
    <xf numFmtId="49" fontId="31" fillId="0" borderId="7" xfId="7" quotePrefix="1" applyNumberFormat="1" applyFont="1" applyBorder="1" applyAlignment="1">
      <alignment horizontal="left"/>
    </xf>
    <xf numFmtId="0" fontId="21" fillId="0" borderId="0" xfId="0" applyFont="1"/>
    <xf numFmtId="166" fontId="26" fillId="0" borderId="8" xfId="7" applyNumberFormat="1" applyFont="1" applyBorder="1" applyAlignment="1">
      <alignment horizontal="left"/>
    </xf>
    <xf numFmtId="0" fontId="26" fillId="0" borderId="0" xfId="7" applyFont="1" applyAlignment="1">
      <alignment horizontal="left"/>
    </xf>
    <xf numFmtId="0" fontId="25" fillId="0" borderId="0" xfId="7" applyFont="1" applyAlignment="1">
      <alignment horizontal="left"/>
    </xf>
    <xf numFmtId="0" fontId="25" fillId="0" borderId="9" xfId="7" applyFont="1" applyBorder="1" applyAlignment="1">
      <alignment horizontal="left"/>
    </xf>
    <xf numFmtId="166" fontId="32" fillId="0" borderId="10" xfId="7" applyNumberFormat="1" applyFont="1" applyBorder="1" applyAlignment="1">
      <alignment horizontal="left"/>
    </xf>
    <xf numFmtId="0" fontId="25" fillId="0" borderId="11" xfId="7" applyFont="1" applyBorder="1" applyAlignment="1">
      <alignment horizontal="left"/>
    </xf>
    <xf numFmtId="0" fontId="25" fillId="0" borderId="12" xfId="7" applyFont="1" applyBorder="1" applyAlignment="1">
      <alignment horizontal="left"/>
    </xf>
    <xf numFmtId="0" fontId="35" fillId="0" borderId="3" xfId="3" applyFont="1" applyBorder="1"/>
    <xf numFmtId="0" fontId="35" fillId="0" borderId="0" xfId="0" applyFont="1"/>
    <xf numFmtId="0" fontId="36" fillId="0" borderId="0" xfId="9" applyFont="1"/>
    <xf numFmtId="14" fontId="36" fillId="0" borderId="2" xfId="10" applyNumberFormat="1" applyFont="1" applyBorder="1" applyAlignment="1">
      <alignment horizontal="center" wrapText="1"/>
    </xf>
    <xf numFmtId="14" fontId="36" fillId="0" borderId="2" xfId="10" applyNumberFormat="1" applyFont="1" applyBorder="1" applyAlignment="1">
      <alignment horizontal="left" wrapText="1"/>
    </xf>
    <xf numFmtId="0" fontId="36" fillId="0" borderId="2" xfId="10" quotePrefix="1" applyFont="1" applyBorder="1" applyAlignment="1">
      <alignment horizontal="left" wrapText="1"/>
    </xf>
    <xf numFmtId="1" fontId="36" fillId="0" borderId="2" xfId="11" quotePrefix="1" applyNumberFormat="1" applyFont="1" applyBorder="1" applyAlignment="1">
      <alignment horizontal="left"/>
    </xf>
    <xf numFmtId="0" fontId="36" fillId="0" borderId="2" xfId="10" applyFont="1" applyBorder="1" applyAlignment="1">
      <alignment horizontal="left" wrapText="1"/>
    </xf>
    <xf numFmtId="43" fontId="36" fillId="0" borderId="2" xfId="12" applyFont="1" applyBorder="1"/>
    <xf numFmtId="14" fontId="36" fillId="0" borderId="4" xfId="10" applyNumberFormat="1" applyFont="1" applyBorder="1" applyAlignment="1">
      <alignment horizontal="center" wrapText="1"/>
    </xf>
    <xf numFmtId="14" fontId="36" fillId="0" borderId="4" xfId="10" applyNumberFormat="1" applyFont="1" applyBorder="1" applyAlignment="1">
      <alignment horizontal="left" wrapText="1"/>
    </xf>
    <xf numFmtId="0" fontId="36" fillId="0" borderId="4" xfId="10" quotePrefix="1" applyFont="1" applyBorder="1" applyAlignment="1">
      <alignment horizontal="left" wrapText="1"/>
    </xf>
    <xf numFmtId="1" fontId="36" fillId="0" borderId="4" xfId="11" quotePrefix="1" applyNumberFormat="1" applyFont="1" applyBorder="1" applyAlignment="1">
      <alignment horizontal="left"/>
    </xf>
    <xf numFmtId="0" fontId="36" fillId="0" borderId="4" xfId="10" applyFont="1" applyBorder="1" applyAlignment="1">
      <alignment horizontal="left" wrapText="1"/>
    </xf>
    <xf numFmtId="43" fontId="36" fillId="0" borderId="4" xfId="12" applyFont="1" applyBorder="1"/>
    <xf numFmtId="0" fontId="35" fillId="0" borderId="11" xfId="0" applyFont="1" applyBorder="1"/>
    <xf numFmtId="0" fontId="36" fillId="0" borderId="2" xfId="10" applyFont="1" applyBorder="1" applyAlignment="1">
      <alignment horizontal="center" wrapText="1"/>
    </xf>
    <xf numFmtId="0" fontId="36" fillId="0" borderId="2" xfId="10" applyFont="1" applyBorder="1" applyAlignment="1">
      <alignment wrapText="1"/>
    </xf>
    <xf numFmtId="0" fontId="36" fillId="0" borderId="13" xfId="10" applyFont="1" applyBorder="1" applyAlignment="1">
      <alignment wrapText="1"/>
    </xf>
    <xf numFmtId="0" fontId="35" fillId="0" borderId="2" xfId="0" applyFont="1" applyBorder="1" applyAlignment="1">
      <alignment horizontal="left" vertical="center" wrapText="1"/>
    </xf>
    <xf numFmtId="0" fontId="36" fillId="0" borderId="4" xfId="10" applyFont="1" applyBorder="1" applyAlignment="1">
      <alignment horizontal="center" wrapText="1"/>
    </xf>
    <xf numFmtId="0" fontId="36" fillId="0" borderId="4" xfId="10" applyFont="1" applyBorder="1" applyAlignment="1">
      <alignment wrapText="1"/>
    </xf>
    <xf numFmtId="0" fontId="35" fillId="0" borderId="4" xfId="0" applyFont="1" applyBorder="1" applyAlignment="1">
      <alignment horizontal="left" vertical="center" wrapText="1"/>
    </xf>
    <xf numFmtId="0" fontId="1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5" fillId="0" borderId="0" xfId="0" applyFont="1" applyAlignment="1">
      <alignment wrapText="1"/>
    </xf>
    <xf numFmtId="0" fontId="35" fillId="0" borderId="0" xfId="5" applyFont="1" applyAlignment="1">
      <alignment horizontal="center"/>
    </xf>
    <xf numFmtId="0" fontId="35" fillId="0" borderId="0" xfId="5" applyFont="1"/>
    <xf numFmtId="2" fontId="35" fillId="0" borderId="0" xfId="5" applyNumberFormat="1" applyFont="1"/>
    <xf numFmtId="1" fontId="35" fillId="0" borderId="0" xfId="5" applyNumberFormat="1" applyFont="1" applyAlignment="1">
      <alignment horizontal="center"/>
    </xf>
    <xf numFmtId="0" fontId="37" fillId="0" borderId="0" xfId="9" applyFont="1"/>
    <xf numFmtId="0" fontId="1" fillId="0" borderId="0" xfId="14"/>
    <xf numFmtId="4" fontId="4" fillId="0" borderId="0" xfId="14" applyNumberFormat="1" applyFont="1"/>
    <xf numFmtId="0" fontId="5" fillId="0" borderId="0" xfId="14" applyFont="1" applyAlignment="1">
      <alignment vertical="center"/>
    </xf>
    <xf numFmtId="2" fontId="1" fillId="0" borderId="0" xfId="14" applyNumberFormat="1" applyAlignment="1">
      <alignment horizontal="left"/>
    </xf>
    <xf numFmtId="0" fontId="1" fillId="0" borderId="0" xfId="14" applyAlignment="1">
      <alignment horizontal="left"/>
    </xf>
    <xf numFmtId="43" fontId="1" fillId="0" borderId="0" xfId="15" applyFont="1" applyFill="1"/>
    <xf numFmtId="0" fontId="38" fillId="0" borderId="0" xfId="14" applyFont="1"/>
    <xf numFmtId="4" fontId="8" fillId="0" borderId="0" xfId="14" applyNumberFormat="1" applyFont="1" applyAlignment="1">
      <alignment horizontal="left" vertical="center"/>
    </xf>
    <xf numFmtId="0" fontId="24" fillId="0" borderId="0" xfId="9"/>
    <xf numFmtId="17" fontId="1" fillId="0" borderId="0" xfId="14" quotePrefix="1" applyNumberFormat="1"/>
    <xf numFmtId="17" fontId="38" fillId="0" borderId="0" xfId="14" quotePrefix="1" applyNumberFormat="1" applyFont="1"/>
    <xf numFmtId="0" fontId="39" fillId="7" borderId="15" xfId="14" applyFont="1" applyFill="1" applyBorder="1" applyAlignment="1">
      <alignment horizontal="center" wrapText="1"/>
    </xf>
    <xf numFmtId="0" fontId="40" fillId="7" borderId="15" xfId="9" applyFont="1" applyFill="1" applyBorder="1" applyAlignment="1">
      <alignment horizontal="left" wrapText="1"/>
    </xf>
    <xf numFmtId="43" fontId="40" fillId="7" borderId="15" xfId="15" applyFont="1" applyFill="1" applyBorder="1" applyAlignment="1">
      <alignment horizontal="left" wrapText="1"/>
    </xf>
    <xf numFmtId="0" fontId="40" fillId="7" borderId="15" xfId="9" applyFont="1" applyFill="1" applyBorder="1" applyAlignment="1">
      <alignment horizontal="center" wrapText="1"/>
    </xf>
    <xf numFmtId="0" fontId="40" fillId="7" borderId="0" xfId="9" applyFont="1" applyFill="1" applyAlignment="1">
      <alignment horizontal="left" wrapText="1"/>
    </xf>
    <xf numFmtId="0" fontId="39" fillId="7" borderId="15" xfId="9" applyFont="1" applyFill="1" applyBorder="1" applyAlignment="1">
      <alignment horizontal="left" wrapText="1"/>
    </xf>
    <xf numFmtId="0" fontId="17" fillId="0" borderId="0" xfId="14" applyFont="1" applyAlignment="1">
      <alignment horizontal="right"/>
    </xf>
    <xf numFmtId="164" fontId="17" fillId="0" borderId="0" xfId="14" applyNumberFormat="1" applyFont="1"/>
    <xf numFmtId="0" fontId="17" fillId="0" borderId="0" xfId="14" applyFont="1"/>
    <xf numFmtId="0" fontId="41" fillId="0" borderId="0" xfId="9" applyFont="1"/>
    <xf numFmtId="43" fontId="17" fillId="0" borderId="0" xfId="15" applyFont="1" applyBorder="1"/>
    <xf numFmtId="43" fontId="41" fillId="0" borderId="0" xfId="15" applyFont="1" applyBorder="1"/>
    <xf numFmtId="43" fontId="41" fillId="0" borderId="0" xfId="15" applyFont="1"/>
    <xf numFmtId="14" fontId="17" fillId="0" borderId="17" xfId="14" applyNumberFormat="1" applyFont="1" applyBorder="1" applyAlignment="1">
      <alignment horizontal="left"/>
    </xf>
    <xf numFmtId="0" fontId="17" fillId="0" borderId="12" xfId="14" applyFont="1" applyBorder="1" applyAlignment="1">
      <alignment horizontal="left" vertical="center"/>
    </xf>
    <xf numFmtId="0" fontId="17" fillId="0" borderId="11" xfId="14" applyFont="1" applyBorder="1" applyAlignment="1">
      <alignment horizontal="left"/>
    </xf>
    <xf numFmtId="0" fontId="17" fillId="0" borderId="17" xfId="14" applyFont="1" applyBorder="1" applyAlignment="1">
      <alignment horizontal="left"/>
    </xf>
    <xf numFmtId="0" fontId="17" fillId="0" borderId="17" xfId="14" applyFont="1" applyBorder="1"/>
    <xf numFmtId="0" fontId="17" fillId="0" borderId="17" xfId="14" quotePrefix="1" applyFont="1" applyBorder="1" applyAlignment="1">
      <alignment horizontal="left"/>
    </xf>
    <xf numFmtId="14" fontId="17" fillId="0" borderId="11" xfId="14" applyNumberFormat="1" applyFont="1" applyBorder="1" applyAlignment="1">
      <alignment horizontal="left" vertical="center"/>
    </xf>
    <xf numFmtId="14" fontId="17" fillId="0" borderId="17" xfId="14" applyNumberFormat="1" applyFont="1" applyBorder="1" applyAlignment="1">
      <alignment horizontal="left" vertical="center"/>
    </xf>
    <xf numFmtId="0" fontId="17" fillId="0" borderId="17" xfId="14" applyFont="1" applyBorder="1" applyAlignment="1">
      <alignment horizontal="left" vertical="center"/>
    </xf>
    <xf numFmtId="0" fontId="17" fillId="0" borderId="11" xfId="14" applyFont="1" applyBorder="1" applyAlignment="1">
      <alignment horizontal="left" vertical="center"/>
    </xf>
    <xf numFmtId="43" fontId="17" fillId="0" borderId="11" xfId="15" applyFont="1" applyBorder="1"/>
    <xf numFmtId="43" fontId="17" fillId="0" borderId="17" xfId="15" applyFont="1" applyBorder="1" applyAlignment="1">
      <alignment horizontal="left" vertical="center"/>
    </xf>
    <xf numFmtId="0" fontId="17" fillId="0" borderId="17" xfId="14" quotePrefix="1" applyFont="1" applyBorder="1" applyAlignment="1">
      <alignment horizontal="left" vertical="center"/>
    </xf>
    <xf numFmtId="14" fontId="17" fillId="0" borderId="16" xfId="14" applyNumberFormat="1" applyFont="1" applyBorder="1" applyAlignment="1">
      <alignment horizontal="left"/>
    </xf>
    <xf numFmtId="0" fontId="17" fillId="0" borderId="16" xfId="14" applyFont="1" applyBorder="1" applyAlignment="1">
      <alignment horizontal="left" vertical="center"/>
    </xf>
    <xf numFmtId="0" fontId="17" fillId="0" borderId="16" xfId="14" applyFont="1" applyBorder="1" applyAlignment="1">
      <alignment horizontal="left"/>
    </xf>
    <xf numFmtId="0" fontId="17" fillId="0" borderId="16" xfId="14" applyFont="1" applyBorder="1"/>
    <xf numFmtId="0" fontId="17" fillId="0" borderId="16" xfId="14" quotePrefix="1" applyFont="1" applyBorder="1" applyAlignment="1">
      <alignment horizontal="left"/>
    </xf>
    <xf numFmtId="14" fontId="17" fillId="0" borderId="16" xfId="14" applyNumberFormat="1" applyFont="1" applyBorder="1" applyAlignment="1">
      <alignment horizontal="left" vertical="center"/>
    </xf>
    <xf numFmtId="43" fontId="17" fillId="0" borderId="16" xfId="15" applyFont="1" applyBorder="1"/>
    <xf numFmtId="43" fontId="17" fillId="0" borderId="16" xfId="15" applyFont="1" applyBorder="1" applyAlignment="1">
      <alignment horizontal="left" vertical="center"/>
    </xf>
    <xf numFmtId="0" fontId="17" fillId="0" borderId="16" xfId="14" quotePrefix="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8" xfId="0" applyFont="1" applyBorder="1" applyAlignment="1">
      <alignment vertical="center"/>
    </xf>
    <xf numFmtId="43" fontId="0" fillId="0" borderId="0" xfId="0" applyNumberFormat="1"/>
    <xf numFmtId="168" fontId="0" fillId="0" borderId="0" xfId="0" applyNumberFormat="1"/>
    <xf numFmtId="0" fontId="12" fillId="0" borderId="0" xfId="0" quotePrefix="1" applyFont="1"/>
    <xf numFmtId="0" fontId="46" fillId="7" borderId="15" xfId="0" applyFont="1" applyFill="1" applyBorder="1" applyAlignment="1">
      <alignment horizontal="center" wrapText="1"/>
    </xf>
    <xf numFmtId="0" fontId="46" fillId="7" borderId="15" xfId="0" applyFont="1" applyFill="1" applyBorder="1" applyAlignment="1">
      <alignment wrapText="1"/>
    </xf>
    <xf numFmtId="0" fontId="46" fillId="7" borderId="15" xfId="0" applyFont="1" applyFill="1" applyBorder="1" applyAlignment="1">
      <alignment horizontal="center" vertical="center" wrapText="1"/>
    </xf>
    <xf numFmtId="0" fontId="46" fillId="7" borderId="19" xfId="0" applyFont="1" applyFill="1" applyBorder="1" applyAlignment="1">
      <alignment wrapText="1"/>
    </xf>
    <xf numFmtId="0" fontId="46" fillId="7" borderId="19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7" fillId="0" borderId="0" xfId="0" applyFont="1"/>
    <xf numFmtId="0" fontId="30" fillId="0" borderId="0" xfId="17" applyFont="1"/>
    <xf numFmtId="4" fontId="30" fillId="0" borderId="0" xfId="17" applyNumberFormat="1" applyFont="1"/>
    <xf numFmtId="0" fontId="25" fillId="0" borderId="0" xfId="17" applyFont="1"/>
    <xf numFmtId="0" fontId="24" fillId="0" borderId="0" xfId="17"/>
    <xf numFmtId="49" fontId="24" fillId="0" borderId="0" xfId="17" applyNumberFormat="1"/>
    <xf numFmtId="17" fontId="30" fillId="0" borderId="0" xfId="17" quotePrefix="1" applyNumberFormat="1" applyFont="1"/>
    <xf numFmtId="4" fontId="25" fillId="0" borderId="0" xfId="17" applyNumberFormat="1" applyFont="1"/>
    <xf numFmtId="0" fontId="37" fillId="0" borderId="0" xfId="17" applyFont="1"/>
    <xf numFmtId="4" fontId="4" fillId="0" borderId="0" xfId="17" applyNumberFormat="1" applyFont="1"/>
    <xf numFmtId="0" fontId="38" fillId="0" borderId="0" xfId="8" applyFont="1"/>
    <xf numFmtId="49" fontId="38" fillId="0" borderId="0" xfId="8" applyNumberFormat="1" applyFont="1"/>
    <xf numFmtId="0" fontId="5" fillId="0" borderId="0" xfId="17" applyFont="1" applyAlignment="1">
      <alignment vertical="center"/>
    </xf>
    <xf numFmtId="2" fontId="24" fillId="0" borderId="0" xfId="17" applyNumberFormat="1" applyAlignment="1">
      <alignment horizontal="left"/>
    </xf>
    <xf numFmtId="4" fontId="8" fillId="0" borderId="0" xfId="17" applyNumberFormat="1" applyFont="1" applyAlignment="1">
      <alignment horizontal="left" vertical="center"/>
    </xf>
    <xf numFmtId="0" fontId="39" fillId="7" borderId="15" xfId="18" applyFont="1" applyFill="1" applyBorder="1" applyAlignment="1">
      <alignment wrapText="1"/>
    </xf>
    <xf numFmtId="0" fontId="48" fillId="7" borderId="15" xfId="18" applyFont="1" applyFill="1" applyBorder="1" applyAlignment="1">
      <alignment wrapText="1"/>
    </xf>
    <xf numFmtId="49" fontId="39" fillId="7" borderId="15" xfId="18" applyNumberFormat="1" applyFont="1" applyFill="1" applyBorder="1" applyAlignment="1">
      <alignment wrapText="1"/>
    </xf>
    <xf numFmtId="164" fontId="49" fillId="0" borderId="2" xfId="0" applyNumberFormat="1" applyFont="1" applyBorder="1" applyAlignment="1">
      <alignment horizontal="left"/>
    </xf>
    <xf numFmtId="0" fontId="49" fillId="0" borderId="2" xfId="0" applyFont="1" applyBorder="1"/>
    <xf numFmtId="0" fontId="49" fillId="0" borderId="2" xfId="0" applyFont="1" applyBorder="1" applyAlignment="1">
      <alignment horizontal="center" vertical="center"/>
    </xf>
    <xf numFmtId="2" fontId="49" fillId="0" borderId="2" xfId="0" applyNumberFormat="1" applyFont="1" applyBorder="1" applyAlignment="1">
      <alignment horizontal="left"/>
    </xf>
    <xf numFmtId="0" fontId="49" fillId="0" borderId="2" xfId="0" quotePrefix="1" applyFont="1" applyBorder="1" applyAlignment="1">
      <alignment horizontal="left" vertical="center"/>
    </xf>
    <xf numFmtId="49" fontId="49" fillId="0" borderId="2" xfId="0" applyNumberFormat="1" applyFont="1" applyBorder="1" applyAlignment="1">
      <alignment horizontal="left"/>
    </xf>
    <xf numFmtId="14" fontId="49" fillId="0" borderId="2" xfId="0" applyNumberFormat="1" applyFont="1" applyBorder="1" applyAlignment="1">
      <alignment horizontal="left"/>
    </xf>
    <xf numFmtId="1" fontId="49" fillId="0" borderId="2" xfId="0" applyNumberFormat="1" applyFont="1" applyBorder="1"/>
    <xf numFmtId="2" fontId="49" fillId="8" borderId="2" xfId="0" applyNumberFormat="1" applyFont="1" applyFill="1" applyBorder="1" applyAlignment="1">
      <alignment horizontal="right"/>
    </xf>
    <xf numFmtId="2" fontId="49" fillId="0" borderId="2" xfId="0" applyNumberFormat="1" applyFont="1" applyBorder="1" applyAlignment="1">
      <alignment horizontal="center"/>
    </xf>
    <xf numFmtId="49" fontId="49" fillId="0" borderId="2" xfId="0" applyNumberFormat="1" applyFont="1" applyBorder="1"/>
    <xf numFmtId="165" fontId="49" fillId="0" borderId="2" xfId="0" applyNumberFormat="1" applyFont="1" applyBorder="1" applyAlignment="1">
      <alignment horizontal="center"/>
    </xf>
    <xf numFmtId="164" fontId="49" fillId="0" borderId="4" xfId="0" applyNumberFormat="1" applyFont="1" applyBorder="1" applyAlignment="1">
      <alignment horizontal="left"/>
    </xf>
    <xf numFmtId="0" fontId="49" fillId="0" borderId="4" xfId="0" applyFont="1" applyBorder="1"/>
    <xf numFmtId="0" fontId="49" fillId="0" borderId="4" xfId="0" applyFont="1" applyBorder="1" applyAlignment="1">
      <alignment horizontal="center" vertical="center"/>
    </xf>
    <xf numFmtId="2" fontId="49" fillId="0" borderId="4" xfId="0" applyNumberFormat="1" applyFont="1" applyBorder="1" applyAlignment="1">
      <alignment horizontal="left"/>
    </xf>
    <xf numFmtId="0" fontId="49" fillId="0" borderId="4" xfId="0" quotePrefix="1" applyFont="1" applyBorder="1" applyAlignment="1">
      <alignment horizontal="left" vertical="center"/>
    </xf>
    <xf numFmtId="49" fontId="49" fillId="0" borderId="4" xfId="0" applyNumberFormat="1" applyFont="1" applyBorder="1" applyAlignment="1">
      <alignment horizontal="left"/>
    </xf>
    <xf numFmtId="14" fontId="49" fillId="0" borderId="4" xfId="0" applyNumberFormat="1" applyFont="1" applyBorder="1" applyAlignment="1">
      <alignment horizontal="left"/>
    </xf>
    <xf numFmtId="1" fontId="49" fillId="0" borderId="4" xfId="0" applyNumberFormat="1" applyFont="1" applyBorder="1"/>
    <xf numFmtId="2" fontId="49" fillId="8" borderId="4" xfId="0" applyNumberFormat="1" applyFont="1" applyFill="1" applyBorder="1" applyAlignment="1">
      <alignment horizontal="right"/>
    </xf>
    <xf numFmtId="2" fontId="49" fillId="0" borderId="4" xfId="0" applyNumberFormat="1" applyFont="1" applyBorder="1" applyAlignment="1">
      <alignment horizontal="center"/>
    </xf>
    <xf numFmtId="49" fontId="49" fillId="0" borderId="4" xfId="0" applyNumberFormat="1" applyFont="1" applyBorder="1"/>
    <xf numFmtId="165" fontId="49" fillId="0" borderId="4" xfId="0" applyNumberFormat="1" applyFont="1" applyBorder="1" applyAlignment="1">
      <alignment horizontal="center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49" fontId="34" fillId="5" borderId="2" xfId="4" applyNumberFormat="1" applyFont="1" applyFill="1" applyBorder="1"/>
    <xf numFmtId="49" fontId="14" fillId="5" borderId="2" xfId="3" applyNumberFormat="1" applyFont="1" applyFill="1" applyBorder="1" applyAlignment="1">
      <alignment horizontal="left"/>
    </xf>
    <xf numFmtId="14" fontId="17" fillId="0" borderId="1" xfId="14" applyNumberFormat="1" applyFont="1" applyBorder="1" applyAlignment="1">
      <alignment horizontal="left" vertical="center"/>
    </xf>
    <xf numFmtId="0" fontId="17" fillId="0" borderId="1" xfId="14" applyFont="1" applyBorder="1" applyAlignment="1">
      <alignment horizontal="left" vertical="center"/>
    </xf>
    <xf numFmtId="0" fontId="14" fillId="5" borderId="0" xfId="3" applyFont="1" applyFill="1" applyAlignment="1">
      <alignment horizontal="center" vertical="center"/>
    </xf>
    <xf numFmtId="0" fontId="15" fillId="5" borderId="0" xfId="4" applyNumberFormat="1" applyFont="1" applyFill="1" applyBorder="1"/>
    <xf numFmtId="0" fontId="16" fillId="5" borderId="0" xfId="4" applyNumberFormat="1" applyFont="1" applyFill="1" applyBorder="1"/>
    <xf numFmtId="0" fontId="35" fillId="0" borderId="7" xfId="0" applyFont="1" applyBorder="1"/>
    <xf numFmtId="0" fontId="35" fillId="0" borderId="9" xfId="0" applyFont="1" applyBorder="1"/>
    <xf numFmtId="0" fontId="35" fillId="0" borderId="12" xfId="0" applyFont="1" applyBorder="1"/>
    <xf numFmtId="0" fontId="2" fillId="5" borderId="2" xfId="19" applyNumberFormat="1" applyFill="1" applyBorder="1"/>
    <xf numFmtId="0" fontId="14" fillId="0" borderId="2" xfId="3" applyFont="1" applyBorder="1" applyAlignment="1">
      <alignment horizontal="center"/>
    </xf>
    <xf numFmtId="0" fontId="20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20" fillId="0" borderId="1" xfId="0" applyFont="1" applyBorder="1"/>
    <xf numFmtId="14" fontId="61" fillId="0" borderId="1" xfId="0" applyNumberFormat="1" applyFont="1" applyBorder="1"/>
    <xf numFmtId="0" fontId="61" fillId="0" borderId="1" xfId="0" applyFont="1" applyBorder="1"/>
    <xf numFmtId="0" fontId="60" fillId="3" borderId="20" xfId="0" applyFont="1" applyFill="1" applyBorder="1" applyAlignment="1">
      <alignment horizontal="left" vertical="center" wrapText="1"/>
    </xf>
    <xf numFmtId="1" fontId="60" fillId="3" borderId="20" xfId="0" applyNumberFormat="1" applyFont="1" applyFill="1" applyBorder="1" applyAlignment="1">
      <alignment horizontal="left" vertical="center" wrapText="1"/>
    </xf>
    <xf numFmtId="2" fontId="60" fillId="3" borderId="20" xfId="0" applyNumberFormat="1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0" fontId="60" fillId="3" borderId="22" xfId="0" applyFont="1" applyFill="1" applyBorder="1" applyAlignment="1">
      <alignment horizontal="left" vertical="center" wrapText="1"/>
    </xf>
    <xf numFmtId="0" fontId="61" fillId="0" borderId="1" xfId="0" applyFont="1" applyBorder="1" applyAlignment="1">
      <alignment horizontal="left"/>
    </xf>
    <xf numFmtId="0" fontId="2" fillId="0" borderId="1" xfId="19" applyBorder="1"/>
    <xf numFmtId="0" fontId="2" fillId="0" borderId="16" xfId="19" applyBorder="1" applyAlignment="1">
      <alignment horizontal="left" vertical="center"/>
    </xf>
    <xf numFmtId="0" fontId="2" fillId="0" borderId="12" xfId="19" applyBorder="1" applyAlignment="1">
      <alignment horizontal="left" vertical="center"/>
    </xf>
    <xf numFmtId="0" fontId="14" fillId="0" borderId="2" xfId="3" applyFont="1" applyBorder="1" applyAlignment="1">
      <alignment horizontal="left" vertical="center"/>
    </xf>
    <xf numFmtId="49" fontId="36" fillId="0" borderId="2" xfId="12" quotePrefix="1" applyNumberFormat="1" applyFont="1" applyBorder="1" applyAlignment="1">
      <alignment horizontal="left"/>
    </xf>
    <xf numFmtId="43" fontId="2" fillId="0" borderId="14" xfId="19" applyNumberFormat="1" applyBorder="1" applyAlignment="1">
      <alignment horizontal="left"/>
    </xf>
    <xf numFmtId="0" fontId="14" fillId="0" borderId="4" xfId="3" applyFont="1" applyBorder="1" applyAlignment="1">
      <alignment vertical="center"/>
    </xf>
    <xf numFmtId="49" fontId="36" fillId="0" borderId="4" xfId="12" quotePrefix="1" applyNumberFormat="1" applyFont="1" applyBorder="1" applyAlignment="1">
      <alignment horizontal="left"/>
    </xf>
    <xf numFmtId="43" fontId="2" fillId="0" borderId="12" xfId="19" applyNumberFormat="1" applyBorder="1" applyAlignment="1">
      <alignment horizontal="left"/>
    </xf>
    <xf numFmtId="43" fontId="35" fillId="0" borderId="0" xfId="0" applyNumberFormat="1" applyFont="1"/>
    <xf numFmtId="0" fontId="62" fillId="0" borderId="0" xfId="0" applyFont="1"/>
    <xf numFmtId="2" fontId="35" fillId="0" borderId="0" xfId="0" applyNumberFormat="1" applyFont="1"/>
    <xf numFmtId="0" fontId="17" fillId="0" borderId="1" xfId="14" applyFont="1" applyBorder="1" applyAlignment="1">
      <alignment horizontal="left"/>
    </xf>
    <xf numFmtId="0" fontId="17" fillId="0" borderId="1" xfId="14" quotePrefix="1" applyFont="1" applyBorder="1" applyAlignment="1">
      <alignment horizontal="left"/>
    </xf>
    <xf numFmtId="43" fontId="17" fillId="0" borderId="1" xfId="15" applyFont="1" applyBorder="1"/>
    <xf numFmtId="43" fontId="17" fillId="0" borderId="1" xfId="15" applyFont="1" applyBorder="1" applyAlignment="1">
      <alignment horizontal="left" vertical="center"/>
    </xf>
    <xf numFmtId="0" fontId="17" fillId="0" borderId="1" xfId="14" quotePrefix="1" applyFont="1" applyBorder="1" applyAlignment="1">
      <alignment horizontal="left" vertical="center"/>
    </xf>
    <xf numFmtId="0" fontId="2" fillId="0" borderId="1" xfId="19" applyBorder="1" applyAlignment="1">
      <alignment horizontal="left" vertical="center"/>
    </xf>
    <xf numFmtId="2" fontId="62" fillId="0" borderId="0" xfId="0" applyNumberFormat="1" applyFont="1" applyAlignment="1">
      <alignment horizontal="center"/>
    </xf>
  </cellXfs>
  <cellStyles count="20">
    <cellStyle name="Hipervínculo" xfId="19" builtinId="8"/>
    <cellStyle name="Hipervínculo 2 5" xfId="13" xr:uid="{A99DF6A6-73CC-4929-86C5-E1D9A7CC9DC0}"/>
    <cellStyle name="Hipervínculo 6" xfId="4" xr:uid="{7F8BF02A-F976-4E8E-BB3E-649BBF1F2EF6}"/>
    <cellStyle name="Millares 10 15 9" xfId="12" xr:uid="{947AFF4E-4E3B-4DD0-80E2-09785B633433}"/>
    <cellStyle name="Millares 10 19 37" xfId="15" xr:uid="{834BE8C3-790A-4862-AEB6-AEFD89E5B519}"/>
    <cellStyle name="Millares 39 2" xfId="11" xr:uid="{1249765F-8F8B-4AD4-8C6E-D1A74E60C3CD}"/>
    <cellStyle name="Normal" xfId="0" builtinId="0"/>
    <cellStyle name="Normal 10 2" xfId="9" xr:uid="{60ECEFCC-B471-4F9D-BB70-3173518453AC}"/>
    <cellStyle name="Normal 104" xfId="7" xr:uid="{A3F8C4BD-C6DD-46D7-B9E9-7D68BB15F3AF}"/>
    <cellStyle name="Normal 18" xfId="5" xr:uid="{5C88DCBA-CFC8-4BB3-9167-8F254AA9D8F7}"/>
    <cellStyle name="Normal 2" xfId="17" xr:uid="{0035A475-6D74-44CB-B2DD-5A63492B247D}"/>
    <cellStyle name="Normal 2 2 2 2" xfId="16" xr:uid="{AF02BCDE-05DE-46BF-A0A5-7B4BB051EC46}"/>
    <cellStyle name="Normal 27" xfId="3" xr:uid="{F9B30C3B-767D-48BE-8EA7-786A7EB4713A}"/>
    <cellStyle name="Normal 30" xfId="18" xr:uid="{4ED1DDAD-49CC-41DD-8420-AA1DD8C3350E}"/>
    <cellStyle name="Normal 34 5 8" xfId="8" xr:uid="{B2E3F339-4766-4E1B-A230-46F3B93CA2A1}"/>
    <cellStyle name="Normal 34 5 8 2 2" xfId="10" xr:uid="{BA6A032C-50DB-44C1-B360-FF0D79364062}"/>
    <cellStyle name="Normal 34 5 8 4 2" xfId="14" xr:uid="{B1F216DC-4FF9-4F30-A330-5526B5B1579F}"/>
    <cellStyle name="Normal 34 5 8 5" xfId="1" xr:uid="{A3D6D760-0ED2-44C5-910A-E6D4CD46E77A}"/>
    <cellStyle name="Normal 38 4 7" xfId="6" xr:uid="{F49A1226-6BC0-4816-93DA-9589B5954E69}"/>
    <cellStyle name="Normal 4 2" xfId="2" xr:uid="{09CD7552-8A67-4038-BBEA-69A0AA0A1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5252360@gmail.com" TargetMode="External"/><Relationship Id="rId18" Type="http://schemas.openxmlformats.org/officeDocument/2006/relationships/hyperlink" Target="mailto:mirotaxi@live.com" TargetMode="External"/><Relationship Id="rId26" Type="http://schemas.openxmlformats.org/officeDocument/2006/relationships/hyperlink" Target="mailto:analutorresp@gmail.com" TargetMode="External"/><Relationship Id="rId39" Type="http://schemas.openxmlformats.org/officeDocument/2006/relationships/hyperlink" Target="mailto:juanccornejo9@gmail.com" TargetMode="External"/><Relationship Id="rId21" Type="http://schemas.openxmlformats.org/officeDocument/2006/relationships/hyperlink" Target="mailto:argudoim@hotmail.com" TargetMode="External"/><Relationship Id="rId34" Type="http://schemas.openxmlformats.org/officeDocument/2006/relationships/hyperlink" Target="mailto:l_xavier_l@hotmail.com" TargetMode="External"/><Relationship Id="rId42" Type="http://schemas.openxmlformats.org/officeDocument/2006/relationships/hyperlink" Target="mailto:edwinrin@hotmail.com" TargetMode="External"/><Relationship Id="rId47" Type="http://schemas.openxmlformats.org/officeDocument/2006/relationships/hyperlink" Target="mailto:saraluzparrac@gmail.com" TargetMode="External"/><Relationship Id="rId7" Type="http://schemas.openxmlformats.org/officeDocument/2006/relationships/hyperlink" Target="mailto:log8356401@gmail.com" TargetMode="External"/><Relationship Id="rId2" Type="http://schemas.openxmlformats.org/officeDocument/2006/relationships/hyperlink" Target="mailto:cardenasmiguel60@yahoo.com" TargetMode="External"/><Relationship Id="rId16" Type="http://schemas.openxmlformats.org/officeDocument/2006/relationships/hyperlink" Target="mailto:vale-11@hotmail.com" TargetMode="External"/><Relationship Id="rId29" Type="http://schemas.openxmlformats.org/officeDocument/2006/relationships/hyperlink" Target="mailto:roderickt@hotmail.com" TargetMode="External"/><Relationship Id="rId1" Type="http://schemas.openxmlformats.org/officeDocument/2006/relationships/hyperlink" Target="mailto:cardenasmiguel60@yahoo.com" TargetMode="External"/><Relationship Id="rId6" Type="http://schemas.openxmlformats.org/officeDocument/2006/relationships/hyperlink" Target="mailto:loydon9@yahoo.es" TargetMode="External"/><Relationship Id="rId11" Type="http://schemas.openxmlformats.org/officeDocument/2006/relationships/hyperlink" Target="mailto:danielcallecerras@gmail.com" TargetMode="External"/><Relationship Id="rId24" Type="http://schemas.openxmlformats.org/officeDocument/2006/relationships/hyperlink" Target="mailto:ricardoalarconvelez@yahoo.ec" TargetMode="External"/><Relationship Id="rId32" Type="http://schemas.openxmlformats.org/officeDocument/2006/relationships/hyperlink" Target="mailto:sami4.3@hotmail.com" TargetMode="External"/><Relationship Id="rId37" Type="http://schemas.openxmlformats.org/officeDocument/2006/relationships/hyperlink" Target="mailto:juanccornejo9@gmail.com" TargetMode="External"/><Relationship Id="rId40" Type="http://schemas.openxmlformats.org/officeDocument/2006/relationships/hyperlink" Target="mailto:juanccornejo9@gmail.com" TargetMode="External"/><Relationship Id="rId45" Type="http://schemas.openxmlformats.org/officeDocument/2006/relationships/hyperlink" Target="mailto:saraluzparrac@gmail.com" TargetMode="External"/><Relationship Id="rId5" Type="http://schemas.openxmlformats.org/officeDocument/2006/relationships/hyperlink" Target="mailto:loydon9@yahoo.es" TargetMode="External"/><Relationship Id="rId15" Type="http://schemas.openxmlformats.org/officeDocument/2006/relationships/hyperlink" Target="mailto:vale-11@hotmail.com" TargetMode="External"/><Relationship Id="rId23" Type="http://schemas.openxmlformats.org/officeDocument/2006/relationships/hyperlink" Target="mailto:ricardoalarconvelez@yahoo.ec" TargetMode="External"/><Relationship Id="rId28" Type="http://schemas.openxmlformats.org/officeDocument/2006/relationships/hyperlink" Target="mailto:gerandresargudo@gmail.com" TargetMode="External"/><Relationship Id="rId36" Type="http://schemas.openxmlformats.org/officeDocument/2006/relationships/hyperlink" Target="mailto:l_xavier_l@hotmail.com" TargetMode="External"/><Relationship Id="rId10" Type="http://schemas.openxmlformats.org/officeDocument/2006/relationships/hyperlink" Target="mailto:danielcallecerras@gmail.com" TargetMode="External"/><Relationship Id="rId19" Type="http://schemas.openxmlformats.org/officeDocument/2006/relationships/hyperlink" Target="mailto:distribuidoracampeon@live.com" TargetMode="External"/><Relationship Id="rId31" Type="http://schemas.openxmlformats.org/officeDocument/2006/relationships/hyperlink" Target="mailto:roderickt@hotmail.com" TargetMode="External"/><Relationship Id="rId44" Type="http://schemas.openxmlformats.org/officeDocument/2006/relationships/hyperlink" Target="mailto:lissethalcivar1998@hotmail.com" TargetMode="External"/><Relationship Id="rId4" Type="http://schemas.openxmlformats.org/officeDocument/2006/relationships/hyperlink" Target="mailto:keli98flor@gmail.com" TargetMode="External"/><Relationship Id="rId9" Type="http://schemas.openxmlformats.org/officeDocument/2006/relationships/hyperlink" Target="mailto:log8356401@gmail.com" TargetMode="External"/><Relationship Id="rId14" Type="http://schemas.openxmlformats.org/officeDocument/2006/relationships/hyperlink" Target="mailto:vale-11@hotmail.com" TargetMode="External"/><Relationship Id="rId22" Type="http://schemas.openxmlformats.org/officeDocument/2006/relationships/hyperlink" Target="mailto:argudoim@hotmail.com" TargetMode="External"/><Relationship Id="rId27" Type="http://schemas.openxmlformats.org/officeDocument/2006/relationships/hyperlink" Target="mailto:gerandresargudo@gmail.com" TargetMode="External"/><Relationship Id="rId30" Type="http://schemas.openxmlformats.org/officeDocument/2006/relationships/hyperlink" Target="mailto:roderickt@hotmail.com" TargetMode="External"/><Relationship Id="rId35" Type="http://schemas.openxmlformats.org/officeDocument/2006/relationships/hyperlink" Target="mailto:l_xavier_l@hotmail.com" TargetMode="External"/><Relationship Id="rId43" Type="http://schemas.openxmlformats.org/officeDocument/2006/relationships/hyperlink" Target="mailto:edwinrin@hotmail.com" TargetMode="External"/><Relationship Id="rId48" Type="http://schemas.openxmlformats.org/officeDocument/2006/relationships/drawing" Target="../drawings/drawing1.xml"/><Relationship Id="rId8" Type="http://schemas.openxmlformats.org/officeDocument/2006/relationships/hyperlink" Target="mailto:log8356401@gmail.com" TargetMode="External"/><Relationship Id="rId3" Type="http://schemas.openxmlformats.org/officeDocument/2006/relationships/hyperlink" Target="mailto:keli98flor@gmail.com" TargetMode="External"/><Relationship Id="rId12" Type="http://schemas.openxmlformats.org/officeDocument/2006/relationships/hyperlink" Target="mailto:ma5252360@gmail.com" TargetMode="External"/><Relationship Id="rId17" Type="http://schemas.openxmlformats.org/officeDocument/2006/relationships/hyperlink" Target="mailto:mirotaxi@live.com" TargetMode="External"/><Relationship Id="rId25" Type="http://schemas.openxmlformats.org/officeDocument/2006/relationships/hyperlink" Target="mailto:analutorresp@gmail.com" TargetMode="External"/><Relationship Id="rId33" Type="http://schemas.openxmlformats.org/officeDocument/2006/relationships/hyperlink" Target="mailto:sami4.3@hotmail.com" TargetMode="External"/><Relationship Id="rId38" Type="http://schemas.openxmlformats.org/officeDocument/2006/relationships/hyperlink" Target="mailto:juanccornejo9@gmail.com" TargetMode="External"/><Relationship Id="rId46" Type="http://schemas.openxmlformats.org/officeDocument/2006/relationships/hyperlink" Target="mailto:saraluzparrac@gmail.com" TargetMode="External"/><Relationship Id="rId20" Type="http://schemas.openxmlformats.org/officeDocument/2006/relationships/hyperlink" Target="mailto:distribuidoracampeon@live.com" TargetMode="External"/><Relationship Id="rId41" Type="http://schemas.openxmlformats.org/officeDocument/2006/relationships/hyperlink" Target="mailto:juanccornejo9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crisfehrs@hotmail.com" TargetMode="External"/><Relationship Id="rId7" Type="http://schemas.openxmlformats.org/officeDocument/2006/relationships/hyperlink" Target="mailto:ocabrera@homedeko.com.ec" TargetMode="External"/><Relationship Id="rId2" Type="http://schemas.openxmlformats.org/officeDocument/2006/relationships/hyperlink" Target="mailto:elguchito86@hotmail.com" TargetMode="External"/><Relationship Id="rId1" Type="http://schemas.openxmlformats.org/officeDocument/2006/relationships/hyperlink" Target="mailto:majoserojascordero@hotmail.com" TargetMode="External"/><Relationship Id="rId6" Type="http://schemas.openxmlformats.org/officeDocument/2006/relationships/hyperlink" Target="mailto:gtamariz@hotmail.com" TargetMode="External"/><Relationship Id="rId5" Type="http://schemas.openxmlformats.org/officeDocument/2006/relationships/hyperlink" Target="mailto:luismerchanh@gmail.com" TargetMode="External"/><Relationship Id="rId4" Type="http://schemas.openxmlformats.org/officeDocument/2006/relationships/hyperlink" Target="mailto:jeannete.velastegui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mailto:martinlazzarini@outlook.com" TargetMode="External"/><Relationship Id="rId7" Type="http://schemas.openxmlformats.org/officeDocument/2006/relationships/hyperlink" Target="mailto:freddyn@kywi.com.ec" TargetMode="External"/><Relationship Id="rId2" Type="http://schemas.openxmlformats.org/officeDocument/2006/relationships/hyperlink" Target="mailto:gloria-vallejo@hotmail.com" TargetMode="External"/><Relationship Id="rId1" Type="http://schemas.openxmlformats.org/officeDocument/2006/relationships/hyperlink" Target="mailto:stefany-tacuri@hotmail.com" TargetMode="External"/><Relationship Id="rId6" Type="http://schemas.openxmlformats.org/officeDocument/2006/relationships/hyperlink" Target="mailto:freddyn@kywi.com.ec" TargetMode="External"/><Relationship Id="rId5" Type="http://schemas.openxmlformats.org/officeDocument/2006/relationships/hyperlink" Target="mailto:freddyn@kywi.com.ec" TargetMode="External"/><Relationship Id="rId4" Type="http://schemas.openxmlformats.org/officeDocument/2006/relationships/hyperlink" Target="mailto:freddyn@kywi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ax.bernal@ucuenca.edu.ec" TargetMode="External"/><Relationship Id="rId13" Type="http://schemas.openxmlformats.org/officeDocument/2006/relationships/hyperlink" Target="mailto:carlospozo85@hotmail.com" TargetMode="External"/><Relationship Id="rId18" Type="http://schemas.openxmlformats.org/officeDocument/2006/relationships/hyperlink" Target="mailto:julietajaramilloa@hotmail.com" TargetMode="External"/><Relationship Id="rId3" Type="http://schemas.openxmlformats.org/officeDocument/2006/relationships/hyperlink" Target="mailto:gracevelastestegui@yahoo.com" TargetMode="External"/><Relationship Id="rId21" Type="http://schemas.openxmlformats.org/officeDocument/2006/relationships/hyperlink" Target="mailto:josedavid.otavalo@gmail.com" TargetMode="External"/><Relationship Id="rId7" Type="http://schemas.openxmlformats.org/officeDocument/2006/relationships/hyperlink" Target="mailto:sandrauyaguarit@gmail.com" TargetMode="External"/><Relationship Id="rId12" Type="http://schemas.openxmlformats.org/officeDocument/2006/relationships/hyperlink" Target="mailto:arrietasebastian@gmail.com" TargetMode="External"/><Relationship Id="rId17" Type="http://schemas.openxmlformats.org/officeDocument/2006/relationships/hyperlink" Target="mailto:ligiacriollo112014@gmail.com" TargetMode="External"/><Relationship Id="rId2" Type="http://schemas.openxmlformats.org/officeDocument/2006/relationships/hyperlink" Target="mailto:juanpabloordonezf@gmail.com" TargetMode="External"/><Relationship Id="rId16" Type="http://schemas.openxmlformats.org/officeDocument/2006/relationships/hyperlink" Target="mailto:sebastianmendietar@gmail.com" TargetMode="External"/><Relationship Id="rId20" Type="http://schemas.openxmlformats.org/officeDocument/2006/relationships/hyperlink" Target="mailto:americorodast@gmail.com" TargetMode="External"/><Relationship Id="rId1" Type="http://schemas.openxmlformats.org/officeDocument/2006/relationships/hyperlink" Target="mailto:constructoraorellanaoficina@gmail.com" TargetMode="External"/><Relationship Id="rId6" Type="http://schemas.openxmlformats.org/officeDocument/2006/relationships/hyperlink" Target="mailto:juandiegomora01@hotmail.com" TargetMode="External"/><Relationship Id="rId11" Type="http://schemas.openxmlformats.org/officeDocument/2006/relationships/hyperlink" Target="mailto:soluciona@etapa.net.net" TargetMode="External"/><Relationship Id="rId24" Type="http://schemas.openxmlformats.org/officeDocument/2006/relationships/hyperlink" Target="mailto:blsura.83@gmail.com" TargetMode="External"/><Relationship Id="rId5" Type="http://schemas.openxmlformats.org/officeDocument/2006/relationships/hyperlink" Target="mailto:pablopacheco@gmail.com" TargetMode="External"/><Relationship Id="rId15" Type="http://schemas.openxmlformats.org/officeDocument/2006/relationships/hyperlink" Target="mailto:loresanche1970@outlook.com" TargetMode="External"/><Relationship Id="rId23" Type="http://schemas.openxmlformats.org/officeDocument/2006/relationships/hyperlink" Target="mailto:caroseadem@gmail.com" TargetMode="External"/><Relationship Id="rId10" Type="http://schemas.openxmlformats.org/officeDocument/2006/relationships/hyperlink" Target="mailto:maluti@hotmail.com" TargetMode="External"/><Relationship Id="rId19" Type="http://schemas.openxmlformats.org/officeDocument/2006/relationships/hyperlink" Target="mailto:cmaluna2018@gmail.com" TargetMode="External"/><Relationship Id="rId4" Type="http://schemas.openxmlformats.org/officeDocument/2006/relationships/hyperlink" Target="mailto:gynobs.sinai627@gmail.com" TargetMode="External"/><Relationship Id="rId9" Type="http://schemas.openxmlformats.org/officeDocument/2006/relationships/hyperlink" Target="mailto:gerencia@ecuatablet.com" TargetMode="External"/><Relationship Id="rId14" Type="http://schemas.openxmlformats.org/officeDocument/2006/relationships/hyperlink" Target="mailto:panchofajardo@hotmail.com" TargetMode="External"/><Relationship Id="rId22" Type="http://schemas.openxmlformats.org/officeDocument/2006/relationships/hyperlink" Target="mailto:rrcb2009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34E3-2A12-422A-8D51-F2BFCEEDB2CF}">
  <dimension ref="A3:V59"/>
  <sheetViews>
    <sheetView tabSelected="1" topLeftCell="A30" workbookViewId="0">
      <selection activeCell="O30" sqref="O30"/>
    </sheetView>
  </sheetViews>
  <sheetFormatPr baseColWidth="10" defaultRowHeight="15"/>
  <cols>
    <col min="1" max="1" width="3.1640625" customWidth="1"/>
    <col min="2" max="2" width="11.5" bestFit="1" customWidth="1"/>
    <col min="3" max="3" width="23.1640625" customWidth="1"/>
    <col min="4" max="4" width="20.33203125" customWidth="1"/>
    <col min="5" max="5" width="12.5" customWidth="1"/>
    <col min="6" max="6" width="27.6640625" customWidth="1"/>
    <col min="7" max="7" width="16.33203125" customWidth="1"/>
    <col min="8" max="8" width="11.5" bestFit="1" customWidth="1"/>
    <col min="11" max="11" width="12.1640625" customWidth="1"/>
    <col min="12" max="12" width="20" customWidth="1"/>
    <col min="13" max="13" width="30.83203125" customWidth="1"/>
    <col min="14" max="14" width="12.83203125" bestFit="1" customWidth="1"/>
    <col min="15" max="15" width="11.5" bestFit="1" customWidth="1"/>
    <col min="16" max="16" width="23.33203125" customWidth="1"/>
    <col min="18" max="18" width="11.5" bestFit="1" customWidth="1"/>
    <col min="19" max="19" width="19.83203125" customWidth="1"/>
    <col min="20" max="20" width="18.33203125" customWidth="1"/>
    <col min="21" max="21" width="30.1640625" customWidth="1"/>
  </cols>
  <sheetData>
    <row r="3" spans="1:22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2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83</v>
      </c>
      <c r="O4" s="9"/>
      <c r="P4" s="17"/>
    </row>
    <row r="5" spans="1:22" s="23" customFormat="1" ht="30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2" s="82" customFormat="1" ht="45" customHeight="1">
      <c r="A6" s="24">
        <v>1</v>
      </c>
      <c r="B6" s="25" t="s">
        <v>85</v>
      </c>
      <c r="C6" s="26" t="s">
        <v>86</v>
      </c>
      <c r="D6" s="26" t="s">
        <v>87</v>
      </c>
      <c r="E6" s="227">
        <v>111000051</v>
      </c>
      <c r="F6" s="28" t="s">
        <v>88</v>
      </c>
      <c r="G6" s="29" t="s">
        <v>89</v>
      </c>
      <c r="H6" s="30"/>
      <c r="I6" s="26" t="s">
        <v>81</v>
      </c>
      <c r="J6" s="29" t="s">
        <v>82</v>
      </c>
      <c r="K6" s="31">
        <v>45709</v>
      </c>
      <c r="L6" s="32" t="s">
        <v>90</v>
      </c>
      <c r="M6" s="32" t="s">
        <v>91</v>
      </c>
      <c r="N6" s="217" t="s">
        <v>93</v>
      </c>
      <c r="O6" s="33">
        <v>20</v>
      </c>
      <c r="P6" s="26" t="s">
        <v>22</v>
      </c>
      <c r="Q6" s="26" t="s">
        <v>81</v>
      </c>
      <c r="R6" s="34"/>
      <c r="S6" s="35" t="str">
        <f>D6</f>
        <v>006-002-000156947</v>
      </c>
      <c r="T6" s="216" t="s">
        <v>92</v>
      </c>
      <c r="U6" s="226" t="s">
        <v>94</v>
      </c>
      <c r="V6" s="81"/>
    </row>
    <row r="7" spans="1:22" s="82" customFormat="1" ht="45" customHeight="1">
      <c r="A7" s="24">
        <v>2</v>
      </c>
      <c r="B7" s="25" t="s">
        <v>85</v>
      </c>
      <c r="C7" s="26" t="s">
        <v>86</v>
      </c>
      <c r="D7" s="26" t="s">
        <v>87</v>
      </c>
      <c r="E7" s="27">
        <v>112580049</v>
      </c>
      <c r="F7" s="28" t="s">
        <v>95</v>
      </c>
      <c r="G7" s="29" t="s">
        <v>96</v>
      </c>
      <c r="H7" s="30"/>
      <c r="I7" s="26" t="s">
        <v>81</v>
      </c>
      <c r="J7" s="29" t="s">
        <v>82</v>
      </c>
      <c r="K7" s="31">
        <v>45709</v>
      </c>
      <c r="L7" s="32" t="s">
        <v>90</v>
      </c>
      <c r="M7" s="32" t="s">
        <v>91</v>
      </c>
      <c r="N7" s="217" t="s">
        <v>93</v>
      </c>
      <c r="O7" s="33">
        <v>20</v>
      </c>
      <c r="P7" s="26" t="s">
        <v>22</v>
      </c>
      <c r="Q7" s="26" t="s">
        <v>81</v>
      </c>
      <c r="R7" s="34"/>
      <c r="S7" s="35" t="str">
        <f t="shared" ref="S7:S16" si="0">D7</f>
        <v>006-002-000156947</v>
      </c>
      <c r="T7" s="216" t="s">
        <v>92</v>
      </c>
      <c r="U7" s="226" t="s">
        <v>94</v>
      </c>
      <c r="V7" s="81"/>
    </row>
    <row r="8" spans="1:22" s="82" customFormat="1" ht="45" customHeight="1">
      <c r="A8" s="24">
        <v>3</v>
      </c>
      <c r="B8" s="25">
        <v>45695</v>
      </c>
      <c r="C8" s="26" t="s">
        <v>108</v>
      </c>
      <c r="D8" s="26" t="s">
        <v>213</v>
      </c>
      <c r="E8" s="27">
        <v>112610067</v>
      </c>
      <c r="F8" s="28" t="s">
        <v>214</v>
      </c>
      <c r="G8" s="29" t="s">
        <v>215</v>
      </c>
      <c r="H8" s="30"/>
      <c r="I8" s="26" t="s">
        <v>81</v>
      </c>
      <c r="J8" s="29" t="s">
        <v>82</v>
      </c>
      <c r="K8" s="31">
        <v>45712</v>
      </c>
      <c r="L8" s="32" t="s">
        <v>216</v>
      </c>
      <c r="M8" s="32" t="s">
        <v>485</v>
      </c>
      <c r="N8" s="217" t="s">
        <v>217</v>
      </c>
      <c r="O8" s="33">
        <v>20</v>
      </c>
      <c r="P8" s="26" t="s">
        <v>22</v>
      </c>
      <c r="Q8" s="26" t="s">
        <v>81</v>
      </c>
      <c r="R8" s="34"/>
      <c r="S8" s="35" t="str">
        <f t="shared" si="0"/>
        <v>043-903-00056842</v>
      </c>
      <c r="T8" s="216" t="s">
        <v>218</v>
      </c>
      <c r="U8" s="226" t="s">
        <v>219</v>
      </c>
      <c r="V8" s="81"/>
    </row>
    <row r="9" spans="1:22" s="82" customFormat="1" ht="45" customHeight="1">
      <c r="A9" s="24">
        <v>4</v>
      </c>
      <c r="B9" s="25">
        <v>45695</v>
      </c>
      <c r="C9" s="26" t="s">
        <v>108</v>
      </c>
      <c r="D9" s="26" t="s">
        <v>213</v>
      </c>
      <c r="E9" s="27">
        <v>40590835</v>
      </c>
      <c r="F9" s="28" t="s">
        <v>220</v>
      </c>
      <c r="G9" s="29" t="s">
        <v>221</v>
      </c>
      <c r="H9" s="30"/>
      <c r="I9" s="26" t="s">
        <v>81</v>
      </c>
      <c r="J9" s="29" t="s">
        <v>82</v>
      </c>
      <c r="K9" s="31">
        <v>45712</v>
      </c>
      <c r="L9" s="32" t="s">
        <v>216</v>
      </c>
      <c r="M9" s="32" t="s">
        <v>486</v>
      </c>
      <c r="N9" s="217" t="s">
        <v>217</v>
      </c>
      <c r="O9" s="33">
        <v>20</v>
      </c>
      <c r="P9" s="26" t="s">
        <v>22</v>
      </c>
      <c r="Q9" s="26" t="s">
        <v>81</v>
      </c>
      <c r="R9" s="34"/>
      <c r="S9" s="35" t="str">
        <f t="shared" si="0"/>
        <v>043-903-00056842</v>
      </c>
      <c r="T9" s="216" t="s">
        <v>218</v>
      </c>
      <c r="U9" s="226" t="s">
        <v>219</v>
      </c>
      <c r="V9" s="81"/>
    </row>
    <row r="10" spans="1:22" s="82" customFormat="1" ht="45" customHeight="1">
      <c r="A10" s="24">
        <v>5</v>
      </c>
      <c r="B10" s="25">
        <v>45648</v>
      </c>
      <c r="C10" s="26" t="s">
        <v>161</v>
      </c>
      <c r="D10" s="26" t="s">
        <v>222</v>
      </c>
      <c r="E10" s="27">
        <v>112500049</v>
      </c>
      <c r="F10" s="28" t="s">
        <v>95</v>
      </c>
      <c r="G10" s="29" t="s">
        <v>224</v>
      </c>
      <c r="H10" s="30"/>
      <c r="I10" s="26" t="s">
        <v>81</v>
      </c>
      <c r="J10" s="29" t="s">
        <v>82</v>
      </c>
      <c r="K10" s="31">
        <v>45712</v>
      </c>
      <c r="L10" s="32" t="s">
        <v>226</v>
      </c>
      <c r="M10" s="32" t="s">
        <v>227</v>
      </c>
      <c r="N10" s="217" t="s">
        <v>228</v>
      </c>
      <c r="O10" s="33">
        <v>20</v>
      </c>
      <c r="P10" s="26" t="s">
        <v>22</v>
      </c>
      <c r="Q10" s="26" t="s">
        <v>81</v>
      </c>
      <c r="R10" s="34"/>
      <c r="S10" s="35" t="str">
        <f t="shared" si="0"/>
        <v>006-002-000157260</v>
      </c>
      <c r="T10" s="216" t="s">
        <v>229</v>
      </c>
      <c r="U10" s="226" t="s">
        <v>230</v>
      </c>
      <c r="V10" s="81"/>
    </row>
    <row r="11" spans="1:22" s="82" customFormat="1" ht="45" customHeight="1">
      <c r="A11" s="24">
        <v>6</v>
      </c>
      <c r="B11" s="25">
        <v>45648</v>
      </c>
      <c r="C11" s="26" t="s">
        <v>161</v>
      </c>
      <c r="D11" s="26" t="s">
        <v>222</v>
      </c>
      <c r="E11" s="27">
        <v>111010028</v>
      </c>
      <c r="F11" s="28" t="s">
        <v>223</v>
      </c>
      <c r="G11" s="29" t="s">
        <v>225</v>
      </c>
      <c r="H11" s="30"/>
      <c r="I11" s="26" t="s">
        <v>81</v>
      </c>
      <c r="J11" s="29" t="s">
        <v>82</v>
      </c>
      <c r="K11" s="31">
        <v>45712</v>
      </c>
      <c r="L11" s="32" t="s">
        <v>226</v>
      </c>
      <c r="M11" s="32" t="s">
        <v>227</v>
      </c>
      <c r="N11" s="217" t="s">
        <v>228</v>
      </c>
      <c r="O11" s="33">
        <v>20</v>
      </c>
      <c r="P11" s="26" t="s">
        <v>22</v>
      </c>
      <c r="Q11" s="26" t="s">
        <v>81</v>
      </c>
      <c r="R11" s="34"/>
      <c r="S11" s="35" t="str">
        <f t="shared" si="0"/>
        <v>006-002-000157260</v>
      </c>
      <c r="T11" s="216" t="s">
        <v>229</v>
      </c>
      <c r="U11" s="226" t="s">
        <v>230</v>
      </c>
      <c r="V11" s="81"/>
    </row>
    <row r="12" spans="1:22" s="82" customFormat="1" ht="45" customHeight="1">
      <c r="A12" s="24">
        <v>7</v>
      </c>
      <c r="B12" s="25">
        <v>45575</v>
      </c>
      <c r="C12" s="26" t="s">
        <v>231</v>
      </c>
      <c r="D12" s="26" t="s">
        <v>232</v>
      </c>
      <c r="E12" s="27">
        <v>112570073</v>
      </c>
      <c r="F12" s="28" t="s">
        <v>233</v>
      </c>
      <c r="G12" s="249" t="s">
        <v>235</v>
      </c>
      <c r="H12" s="30"/>
      <c r="I12" s="26" t="s">
        <v>81</v>
      </c>
      <c r="J12" s="29" t="s">
        <v>82</v>
      </c>
      <c r="K12" s="31">
        <v>45714</v>
      </c>
      <c r="L12" s="32" t="s">
        <v>239</v>
      </c>
      <c r="M12" s="32" t="s">
        <v>240</v>
      </c>
      <c r="N12" s="217" t="s">
        <v>241</v>
      </c>
      <c r="O12" s="33">
        <v>15</v>
      </c>
      <c r="P12" s="26" t="s">
        <v>22</v>
      </c>
      <c r="Q12" s="26" t="s">
        <v>81</v>
      </c>
      <c r="R12" s="34"/>
      <c r="S12" s="35" t="str">
        <f t="shared" si="0"/>
        <v>002-101-000112176</v>
      </c>
      <c r="T12" s="216" t="s">
        <v>242</v>
      </c>
      <c r="U12" s="226" t="s">
        <v>243</v>
      </c>
      <c r="V12" s="81"/>
    </row>
    <row r="13" spans="1:22" s="82" customFormat="1" ht="45" customHeight="1">
      <c r="A13" s="24">
        <v>8</v>
      </c>
      <c r="B13" s="25">
        <v>45575</v>
      </c>
      <c r="C13" s="26" t="s">
        <v>231</v>
      </c>
      <c r="D13" s="26" t="s">
        <v>232</v>
      </c>
      <c r="E13" s="27">
        <v>41560041</v>
      </c>
      <c r="F13" s="28" t="s">
        <v>236</v>
      </c>
      <c r="G13" s="249" t="s">
        <v>234</v>
      </c>
      <c r="H13" s="30"/>
      <c r="I13" s="26" t="s">
        <v>81</v>
      </c>
      <c r="J13" s="29" t="s">
        <v>82</v>
      </c>
      <c r="K13" s="31">
        <v>45714</v>
      </c>
      <c r="L13" s="32" t="s">
        <v>239</v>
      </c>
      <c r="M13" s="32" t="s">
        <v>240</v>
      </c>
      <c r="N13" s="217" t="s">
        <v>241</v>
      </c>
      <c r="O13" s="33">
        <v>15</v>
      </c>
      <c r="P13" s="26" t="s">
        <v>22</v>
      </c>
      <c r="Q13" s="26" t="s">
        <v>81</v>
      </c>
      <c r="R13" s="34"/>
      <c r="S13" s="35" t="str">
        <f t="shared" si="0"/>
        <v>002-101-000112176</v>
      </c>
      <c r="T13" s="216" t="s">
        <v>242</v>
      </c>
      <c r="U13" s="226" t="s">
        <v>243</v>
      </c>
      <c r="V13" s="81"/>
    </row>
    <row r="14" spans="1:22" s="82" customFormat="1" ht="45" customHeight="1">
      <c r="A14" s="24">
        <v>9</v>
      </c>
      <c r="B14" s="25">
        <v>45575</v>
      </c>
      <c r="C14" s="26" t="s">
        <v>231</v>
      </c>
      <c r="D14" s="26" t="s">
        <v>232</v>
      </c>
      <c r="E14" s="27">
        <v>40455334</v>
      </c>
      <c r="F14" s="28" t="s">
        <v>238</v>
      </c>
      <c r="G14" s="29" t="s">
        <v>237</v>
      </c>
      <c r="H14" s="30"/>
      <c r="I14" s="26" t="s">
        <v>81</v>
      </c>
      <c r="J14" s="29" t="s">
        <v>82</v>
      </c>
      <c r="K14" s="31">
        <v>45714</v>
      </c>
      <c r="L14" s="32" t="s">
        <v>239</v>
      </c>
      <c r="M14" s="32" t="s">
        <v>240</v>
      </c>
      <c r="N14" s="217" t="s">
        <v>241</v>
      </c>
      <c r="O14" s="33">
        <v>15</v>
      </c>
      <c r="P14" s="26" t="s">
        <v>22</v>
      </c>
      <c r="Q14" s="26" t="s">
        <v>81</v>
      </c>
      <c r="R14" s="34"/>
      <c r="S14" s="35" t="str">
        <f t="shared" si="0"/>
        <v>002-101-000112176</v>
      </c>
      <c r="T14" s="216" t="s">
        <v>242</v>
      </c>
      <c r="U14" s="226" t="s">
        <v>243</v>
      </c>
      <c r="V14" s="81"/>
    </row>
    <row r="15" spans="1:22" s="82" customFormat="1" ht="45" customHeight="1">
      <c r="A15" s="24">
        <v>10</v>
      </c>
      <c r="B15" s="25">
        <v>45704</v>
      </c>
      <c r="C15" s="26" t="s">
        <v>101</v>
      </c>
      <c r="D15" s="26" t="s">
        <v>244</v>
      </c>
      <c r="E15" s="27">
        <v>112580027</v>
      </c>
      <c r="F15" s="28" t="s">
        <v>245</v>
      </c>
      <c r="G15" s="26" t="s">
        <v>246</v>
      </c>
      <c r="H15" s="30"/>
      <c r="I15" s="26" t="s">
        <v>81</v>
      </c>
      <c r="J15" s="29" t="s">
        <v>82</v>
      </c>
      <c r="K15" s="31">
        <v>45714</v>
      </c>
      <c r="L15" s="32" t="s">
        <v>247</v>
      </c>
      <c r="M15" s="32" t="s">
        <v>248</v>
      </c>
      <c r="N15" s="217" t="s">
        <v>249</v>
      </c>
      <c r="O15" s="33">
        <v>20</v>
      </c>
      <c r="P15" s="26" t="s">
        <v>22</v>
      </c>
      <c r="Q15" s="26" t="s">
        <v>81</v>
      </c>
      <c r="R15" s="34"/>
      <c r="S15" s="35" t="str">
        <f t="shared" si="0"/>
        <v>001-501-000006096</v>
      </c>
      <c r="T15" s="216" t="s">
        <v>250</v>
      </c>
      <c r="U15" s="226" t="s">
        <v>251</v>
      </c>
      <c r="V15" s="81"/>
    </row>
    <row r="16" spans="1:22" s="82" customFormat="1" ht="45" customHeight="1">
      <c r="A16" s="24">
        <v>11</v>
      </c>
      <c r="B16" s="25">
        <v>45704</v>
      </c>
      <c r="C16" s="26" t="s">
        <v>101</v>
      </c>
      <c r="D16" s="26" t="s">
        <v>244</v>
      </c>
      <c r="E16" s="40">
        <v>111000051</v>
      </c>
      <c r="F16" s="41" t="s">
        <v>88</v>
      </c>
      <c r="G16" s="39" t="s">
        <v>252</v>
      </c>
      <c r="H16" s="43"/>
      <c r="I16" s="39" t="s">
        <v>81</v>
      </c>
      <c r="J16" s="42" t="s">
        <v>82</v>
      </c>
      <c r="K16" s="31">
        <v>45714</v>
      </c>
      <c r="L16" s="32" t="s">
        <v>247</v>
      </c>
      <c r="M16" s="32" t="s">
        <v>248</v>
      </c>
      <c r="N16" s="217" t="s">
        <v>249</v>
      </c>
      <c r="O16" s="33">
        <v>20</v>
      </c>
      <c r="P16" s="39" t="s">
        <v>22</v>
      </c>
      <c r="Q16" s="39" t="s">
        <v>81</v>
      </c>
      <c r="R16" s="47"/>
      <c r="S16" s="35" t="str">
        <f t="shared" si="0"/>
        <v>001-501-000006096</v>
      </c>
      <c r="T16" s="216" t="s">
        <v>250</v>
      </c>
      <c r="U16" s="226" t="s">
        <v>251</v>
      </c>
      <c r="V16" s="81"/>
    </row>
    <row r="17" spans="1:21" s="82" customFormat="1" ht="45" customHeight="1">
      <c r="A17" s="24">
        <v>12</v>
      </c>
      <c r="B17" s="25">
        <v>45712</v>
      </c>
      <c r="C17" s="26" t="s">
        <v>101</v>
      </c>
      <c r="D17" s="26" t="s">
        <v>253</v>
      </c>
      <c r="E17" s="227">
        <v>40461543</v>
      </c>
      <c r="F17" s="28" t="s">
        <v>254</v>
      </c>
      <c r="G17" s="29" t="s">
        <v>255</v>
      </c>
      <c r="H17" s="30"/>
      <c r="I17" s="26" t="s">
        <v>81</v>
      </c>
      <c r="J17" s="29" t="s">
        <v>82</v>
      </c>
      <c r="K17" s="31">
        <v>45714</v>
      </c>
      <c r="L17" s="32" t="s">
        <v>257</v>
      </c>
      <c r="M17" s="32" t="s">
        <v>258</v>
      </c>
      <c r="N17" s="217" t="s">
        <v>259</v>
      </c>
      <c r="O17" s="33">
        <v>20</v>
      </c>
      <c r="P17" s="26" t="s">
        <v>22</v>
      </c>
      <c r="Q17" s="26" t="s">
        <v>81</v>
      </c>
      <c r="R17" s="34"/>
      <c r="S17" s="35" t="str">
        <f>D17</f>
        <v>001-500-000071190</v>
      </c>
      <c r="T17" s="216" t="s">
        <v>260</v>
      </c>
      <c r="U17" s="226" t="s">
        <v>261</v>
      </c>
    </row>
    <row r="18" spans="1:21" s="82" customFormat="1" ht="45" customHeight="1">
      <c r="A18" s="24">
        <v>13</v>
      </c>
      <c r="B18" s="25">
        <v>45712</v>
      </c>
      <c r="C18" s="26" t="s">
        <v>101</v>
      </c>
      <c r="D18" s="26" t="s">
        <v>253</v>
      </c>
      <c r="E18" s="227">
        <v>40461543</v>
      </c>
      <c r="F18" s="28" t="s">
        <v>254</v>
      </c>
      <c r="G18" s="29" t="s">
        <v>256</v>
      </c>
      <c r="H18" s="30"/>
      <c r="I18" s="26" t="s">
        <v>81</v>
      </c>
      <c r="J18" s="29" t="s">
        <v>82</v>
      </c>
      <c r="K18" s="31">
        <v>45714</v>
      </c>
      <c r="L18" s="32" t="s">
        <v>257</v>
      </c>
      <c r="M18" s="32" t="s">
        <v>258</v>
      </c>
      <c r="N18" s="217" t="s">
        <v>259</v>
      </c>
      <c r="O18" s="33">
        <v>20</v>
      </c>
      <c r="P18" s="26" t="s">
        <v>22</v>
      </c>
      <c r="Q18" s="26" t="s">
        <v>81</v>
      </c>
      <c r="R18" s="34"/>
      <c r="S18" s="35" t="str">
        <f t="shared" ref="S18:S27" si="1">D18</f>
        <v>001-500-000071190</v>
      </c>
      <c r="T18" s="216" t="s">
        <v>260</v>
      </c>
      <c r="U18" s="226" t="s">
        <v>261</v>
      </c>
    </row>
    <row r="19" spans="1:21" s="82" customFormat="1" ht="45" customHeight="1">
      <c r="A19" s="24">
        <v>14</v>
      </c>
      <c r="B19" s="25">
        <v>45522</v>
      </c>
      <c r="C19" s="26" t="s">
        <v>162</v>
      </c>
      <c r="D19" s="26" t="s">
        <v>262</v>
      </c>
      <c r="E19" s="27">
        <v>40480321</v>
      </c>
      <c r="F19" s="28" t="s">
        <v>263</v>
      </c>
      <c r="G19" s="29" t="s">
        <v>267</v>
      </c>
      <c r="H19" s="30"/>
      <c r="I19" s="26" t="s">
        <v>81</v>
      </c>
      <c r="J19" s="29" t="s">
        <v>82</v>
      </c>
      <c r="K19" s="31">
        <v>45715</v>
      </c>
      <c r="L19" s="32" t="s">
        <v>268</v>
      </c>
      <c r="M19" s="32" t="s">
        <v>269</v>
      </c>
      <c r="N19" s="217" t="s">
        <v>270</v>
      </c>
      <c r="O19" s="33">
        <v>15</v>
      </c>
      <c r="P19" s="26" t="s">
        <v>22</v>
      </c>
      <c r="Q19" s="26" t="s">
        <v>81</v>
      </c>
      <c r="R19" s="34"/>
      <c r="S19" s="35" t="str">
        <f t="shared" si="1"/>
        <v>040-103-000007443</v>
      </c>
      <c r="T19" s="216" t="s">
        <v>271</v>
      </c>
      <c r="U19" s="226" t="s">
        <v>272</v>
      </c>
    </row>
    <row r="20" spans="1:21" s="82" customFormat="1" ht="45" customHeight="1">
      <c r="A20" s="24">
        <v>15</v>
      </c>
      <c r="B20" s="25">
        <v>45522</v>
      </c>
      <c r="C20" s="26" t="s">
        <v>162</v>
      </c>
      <c r="D20" s="26" t="s">
        <v>262</v>
      </c>
      <c r="E20" s="27">
        <v>112580027</v>
      </c>
      <c r="F20" s="28" t="s">
        <v>245</v>
      </c>
      <c r="G20" s="29" t="s">
        <v>266</v>
      </c>
      <c r="H20" s="30"/>
      <c r="I20" s="26" t="s">
        <v>81</v>
      </c>
      <c r="J20" s="29" t="s">
        <v>82</v>
      </c>
      <c r="K20" s="31">
        <v>45715</v>
      </c>
      <c r="L20" s="32" t="s">
        <v>268</v>
      </c>
      <c r="M20" s="32" t="s">
        <v>269</v>
      </c>
      <c r="N20" s="217" t="s">
        <v>270</v>
      </c>
      <c r="O20" s="33">
        <v>15</v>
      </c>
      <c r="P20" s="26" t="s">
        <v>22</v>
      </c>
      <c r="Q20" s="26" t="s">
        <v>81</v>
      </c>
      <c r="R20" s="34"/>
      <c r="S20" s="35" t="str">
        <f t="shared" si="1"/>
        <v>040-103-000007443</v>
      </c>
      <c r="T20" s="216" t="s">
        <v>271</v>
      </c>
      <c r="U20" s="226" t="s">
        <v>272</v>
      </c>
    </row>
    <row r="21" spans="1:21" s="82" customFormat="1" ht="45" customHeight="1">
      <c r="A21" s="24">
        <v>16</v>
      </c>
      <c r="B21" s="25">
        <v>45522</v>
      </c>
      <c r="C21" s="26" t="s">
        <v>162</v>
      </c>
      <c r="D21" s="26" t="s">
        <v>262</v>
      </c>
      <c r="E21" s="27">
        <v>111010041</v>
      </c>
      <c r="F21" s="28" t="s">
        <v>264</v>
      </c>
      <c r="G21" s="29" t="s">
        <v>265</v>
      </c>
      <c r="H21" s="30"/>
      <c r="I21" s="26" t="s">
        <v>81</v>
      </c>
      <c r="J21" s="29" t="s">
        <v>82</v>
      </c>
      <c r="K21" s="31">
        <v>45715</v>
      </c>
      <c r="L21" s="32" t="s">
        <v>268</v>
      </c>
      <c r="M21" s="32" t="s">
        <v>269</v>
      </c>
      <c r="N21" s="217" t="s">
        <v>270</v>
      </c>
      <c r="O21" s="33">
        <v>15</v>
      </c>
      <c r="P21" s="26" t="s">
        <v>22</v>
      </c>
      <c r="Q21" s="26" t="s">
        <v>81</v>
      </c>
      <c r="R21" s="34"/>
      <c r="S21" s="35" t="str">
        <f t="shared" si="1"/>
        <v>040-103-000007443</v>
      </c>
      <c r="T21" s="216" t="s">
        <v>271</v>
      </c>
      <c r="U21" s="226" t="s">
        <v>272</v>
      </c>
    </row>
    <row r="22" spans="1:21" s="82" customFormat="1" ht="45" customHeight="1">
      <c r="A22" s="24">
        <v>17</v>
      </c>
      <c r="B22" s="25">
        <v>45703</v>
      </c>
      <c r="C22" s="26" t="s">
        <v>101</v>
      </c>
      <c r="D22" s="26" t="s">
        <v>273</v>
      </c>
      <c r="E22" s="27">
        <v>112580058</v>
      </c>
      <c r="F22" s="28" t="s">
        <v>187</v>
      </c>
      <c r="G22" s="29" t="s">
        <v>275</v>
      </c>
      <c r="H22" s="30"/>
      <c r="I22" s="26" t="s">
        <v>81</v>
      </c>
      <c r="J22" s="29" t="s">
        <v>82</v>
      </c>
      <c r="K22" s="31">
        <v>45715</v>
      </c>
      <c r="L22" s="32" t="s">
        <v>277</v>
      </c>
      <c r="M22" s="32" t="s">
        <v>278</v>
      </c>
      <c r="N22" s="217" t="s">
        <v>279</v>
      </c>
      <c r="O22" s="33">
        <v>20</v>
      </c>
      <c r="P22" s="26" t="s">
        <v>22</v>
      </c>
      <c r="Q22" s="26" t="s">
        <v>81</v>
      </c>
      <c r="R22" s="34"/>
      <c r="S22" s="35" t="str">
        <f t="shared" si="1"/>
        <v>001-500-000070969</v>
      </c>
      <c r="T22" s="216" t="s">
        <v>280</v>
      </c>
      <c r="U22" s="226" t="s">
        <v>281</v>
      </c>
    </row>
    <row r="23" spans="1:21" ht="45" customHeight="1">
      <c r="A23" s="24">
        <v>18</v>
      </c>
      <c r="B23" s="25">
        <v>45703</v>
      </c>
      <c r="C23" s="26" t="s">
        <v>101</v>
      </c>
      <c r="D23" s="26" t="s">
        <v>273</v>
      </c>
      <c r="E23" s="27">
        <v>40466111</v>
      </c>
      <c r="F23" s="28" t="s">
        <v>274</v>
      </c>
      <c r="G23" s="249" t="s">
        <v>276</v>
      </c>
      <c r="H23" s="30"/>
      <c r="I23" s="26" t="s">
        <v>81</v>
      </c>
      <c r="J23" s="29" t="s">
        <v>82</v>
      </c>
      <c r="K23" s="31">
        <v>45715</v>
      </c>
      <c r="L23" s="32" t="s">
        <v>277</v>
      </c>
      <c r="M23" s="32" t="s">
        <v>278</v>
      </c>
      <c r="N23" s="217" t="s">
        <v>279</v>
      </c>
      <c r="O23" s="33">
        <v>20</v>
      </c>
      <c r="P23" s="26" t="s">
        <v>22</v>
      </c>
      <c r="Q23" s="26" t="s">
        <v>81</v>
      </c>
      <c r="R23" s="34"/>
      <c r="S23" s="35" t="str">
        <f t="shared" si="1"/>
        <v>001-500-000070969</v>
      </c>
      <c r="T23" s="216" t="s">
        <v>280</v>
      </c>
      <c r="U23" s="226" t="s">
        <v>281</v>
      </c>
    </row>
    <row r="24" spans="1:21" ht="45" customHeight="1">
      <c r="A24" s="24">
        <v>19</v>
      </c>
      <c r="B24" s="25">
        <v>45681</v>
      </c>
      <c r="C24" s="26" t="s">
        <v>101</v>
      </c>
      <c r="D24" s="26" t="s">
        <v>289</v>
      </c>
      <c r="E24" s="27">
        <v>112610069</v>
      </c>
      <c r="F24" s="28" t="s">
        <v>290</v>
      </c>
      <c r="G24" s="249" t="s">
        <v>291</v>
      </c>
      <c r="H24" s="30"/>
      <c r="I24" s="26" t="s">
        <v>81</v>
      </c>
      <c r="J24" s="29" t="s">
        <v>82</v>
      </c>
      <c r="K24" s="31">
        <v>45681</v>
      </c>
      <c r="L24" s="32" t="s">
        <v>288</v>
      </c>
      <c r="M24" s="32" t="s">
        <v>292</v>
      </c>
      <c r="N24" s="217" t="s">
        <v>293</v>
      </c>
      <c r="O24" s="33">
        <v>20</v>
      </c>
      <c r="P24" s="26" t="s">
        <v>22</v>
      </c>
      <c r="Q24" s="26" t="s">
        <v>81</v>
      </c>
      <c r="R24" s="34"/>
      <c r="S24" s="35" t="str">
        <f t="shared" si="1"/>
        <v>001-500-000070384</v>
      </c>
      <c r="T24" s="216" t="s">
        <v>294</v>
      </c>
      <c r="U24" s="226" t="s">
        <v>295</v>
      </c>
    </row>
    <row r="25" spans="1:21" ht="45" customHeight="1">
      <c r="A25" s="24">
        <v>20</v>
      </c>
      <c r="B25" s="25">
        <v>45681</v>
      </c>
      <c r="C25" s="26" t="s">
        <v>101</v>
      </c>
      <c r="D25" s="26" t="s">
        <v>289</v>
      </c>
      <c r="E25" s="27">
        <v>41596006</v>
      </c>
      <c r="F25" s="28" t="s">
        <v>296</v>
      </c>
      <c r="G25" s="29" t="s">
        <v>297</v>
      </c>
      <c r="H25" s="30"/>
      <c r="I25" s="26" t="s">
        <v>81</v>
      </c>
      <c r="J25" s="29" t="s">
        <v>82</v>
      </c>
      <c r="K25" s="31">
        <v>45681</v>
      </c>
      <c r="L25" s="32" t="s">
        <v>288</v>
      </c>
      <c r="M25" s="32" t="s">
        <v>292</v>
      </c>
      <c r="N25" s="217" t="s">
        <v>293</v>
      </c>
      <c r="O25" s="33">
        <v>20</v>
      </c>
      <c r="P25" s="26" t="s">
        <v>22</v>
      </c>
      <c r="Q25" s="26" t="s">
        <v>81</v>
      </c>
      <c r="R25" s="34"/>
      <c r="S25" s="35" t="str">
        <f t="shared" si="1"/>
        <v>001-500-000070384</v>
      </c>
      <c r="T25" s="216" t="s">
        <v>294</v>
      </c>
      <c r="U25" s="226" t="s">
        <v>295</v>
      </c>
    </row>
    <row r="26" spans="1:21" ht="45" customHeight="1">
      <c r="A26" s="24">
        <v>21</v>
      </c>
      <c r="B26" s="25">
        <v>45666</v>
      </c>
      <c r="C26" s="26" t="s">
        <v>101</v>
      </c>
      <c r="D26" s="26" t="s">
        <v>298</v>
      </c>
      <c r="E26" s="27">
        <v>40466111</v>
      </c>
      <c r="F26" s="28" t="s">
        <v>104</v>
      </c>
      <c r="G26" s="26" t="s">
        <v>299</v>
      </c>
      <c r="H26" s="30"/>
      <c r="I26" s="26" t="s">
        <v>81</v>
      </c>
      <c r="J26" s="29" t="s">
        <v>82</v>
      </c>
      <c r="K26" s="31">
        <v>45716</v>
      </c>
      <c r="L26" s="32" t="s">
        <v>301</v>
      </c>
      <c r="M26" s="32" t="s">
        <v>302</v>
      </c>
      <c r="N26" s="217" t="s">
        <v>303</v>
      </c>
      <c r="O26" s="33">
        <v>20</v>
      </c>
      <c r="P26" s="26" t="s">
        <v>22</v>
      </c>
      <c r="Q26" s="26" t="s">
        <v>81</v>
      </c>
      <c r="R26" s="34"/>
      <c r="S26" s="35" t="str">
        <f t="shared" si="1"/>
        <v>001-500-000069931</v>
      </c>
      <c r="T26" s="216" t="s">
        <v>304</v>
      </c>
      <c r="U26" s="226" t="s">
        <v>305</v>
      </c>
    </row>
    <row r="27" spans="1:21" ht="45" customHeight="1">
      <c r="A27" s="24">
        <v>22</v>
      </c>
      <c r="B27" s="25">
        <v>45666</v>
      </c>
      <c r="C27" s="26" t="s">
        <v>101</v>
      </c>
      <c r="D27" s="26" t="s">
        <v>298</v>
      </c>
      <c r="E27" s="40">
        <v>112580058</v>
      </c>
      <c r="F27" s="41" t="s">
        <v>187</v>
      </c>
      <c r="G27" s="39" t="s">
        <v>300</v>
      </c>
      <c r="H27" s="43"/>
      <c r="I27" s="39" t="s">
        <v>81</v>
      </c>
      <c r="J27" s="42" t="s">
        <v>82</v>
      </c>
      <c r="K27" s="31">
        <v>45716</v>
      </c>
      <c r="L27" s="32" t="s">
        <v>301</v>
      </c>
      <c r="M27" s="32" t="s">
        <v>302</v>
      </c>
      <c r="N27" s="217" t="s">
        <v>303</v>
      </c>
      <c r="O27" s="33">
        <v>20</v>
      </c>
      <c r="P27" s="39" t="s">
        <v>22</v>
      </c>
      <c r="Q27" s="39" t="s">
        <v>81</v>
      </c>
      <c r="R27" s="47"/>
      <c r="S27" s="35" t="str">
        <f t="shared" si="1"/>
        <v>001-500-000069931</v>
      </c>
      <c r="T27" s="216" t="s">
        <v>304</v>
      </c>
      <c r="U27" s="226" t="s">
        <v>305</v>
      </c>
    </row>
    <row r="28" spans="1:21" ht="45" customHeight="1">
      <c r="A28" s="24">
        <v>23</v>
      </c>
      <c r="B28" s="25">
        <v>45712</v>
      </c>
      <c r="C28" s="26" t="s">
        <v>101</v>
      </c>
      <c r="D28" s="26" t="s">
        <v>306</v>
      </c>
      <c r="E28" s="27">
        <v>112950021</v>
      </c>
      <c r="F28" s="28" t="s">
        <v>307</v>
      </c>
      <c r="G28" s="249" t="s">
        <v>308</v>
      </c>
      <c r="H28" s="30"/>
      <c r="I28" s="26" t="s">
        <v>81</v>
      </c>
      <c r="J28" s="29" t="s">
        <v>82</v>
      </c>
      <c r="K28" s="31">
        <v>45716</v>
      </c>
      <c r="L28" s="32" t="s">
        <v>311</v>
      </c>
      <c r="M28" s="32" t="s">
        <v>312</v>
      </c>
      <c r="N28" s="217" t="s">
        <v>313</v>
      </c>
      <c r="O28" s="33">
        <v>20</v>
      </c>
      <c r="P28" s="26" t="s">
        <v>22</v>
      </c>
      <c r="Q28" s="26" t="s">
        <v>81</v>
      </c>
      <c r="R28" s="34"/>
      <c r="S28" s="35" t="str">
        <f t="shared" ref="S28:S34" si="2">D28</f>
        <v>001-500-000071215</v>
      </c>
      <c r="T28" s="216" t="s">
        <v>314</v>
      </c>
      <c r="U28" s="226" t="s">
        <v>315</v>
      </c>
    </row>
    <row r="29" spans="1:21" ht="45" customHeight="1">
      <c r="A29" s="24">
        <v>24</v>
      </c>
      <c r="B29" s="25">
        <v>45712</v>
      </c>
      <c r="C29" s="26" t="s">
        <v>101</v>
      </c>
      <c r="D29" s="26" t="s">
        <v>306</v>
      </c>
      <c r="E29" s="27">
        <v>112500034</v>
      </c>
      <c r="F29" s="28" t="s">
        <v>309</v>
      </c>
      <c r="G29" s="29" t="s">
        <v>310</v>
      </c>
      <c r="H29" s="30"/>
      <c r="I29" s="26" t="s">
        <v>81</v>
      </c>
      <c r="J29" s="29" t="s">
        <v>82</v>
      </c>
      <c r="K29" s="31">
        <v>45716</v>
      </c>
      <c r="L29" s="32" t="s">
        <v>311</v>
      </c>
      <c r="M29" s="32" t="s">
        <v>312</v>
      </c>
      <c r="N29" s="217" t="s">
        <v>313</v>
      </c>
      <c r="O29" s="33">
        <v>20</v>
      </c>
      <c r="P29" s="26" t="s">
        <v>22</v>
      </c>
      <c r="Q29" s="26" t="s">
        <v>81</v>
      </c>
      <c r="R29" s="34"/>
      <c r="S29" s="35" t="str">
        <f t="shared" ref="S29" si="3">D29</f>
        <v>001-500-000071215</v>
      </c>
      <c r="T29" s="216" t="s">
        <v>314</v>
      </c>
      <c r="U29" s="226" t="s">
        <v>315</v>
      </c>
    </row>
    <row r="30" spans="1:21" ht="45" customHeight="1">
      <c r="A30" s="24">
        <v>25</v>
      </c>
      <c r="B30" s="25">
        <v>45673</v>
      </c>
      <c r="C30" s="26" t="s">
        <v>101</v>
      </c>
      <c r="D30" s="26" t="s">
        <v>316</v>
      </c>
      <c r="E30" s="27">
        <v>112580058</v>
      </c>
      <c r="F30" s="28" t="s">
        <v>187</v>
      </c>
      <c r="G30" s="26" t="s">
        <v>317</v>
      </c>
      <c r="H30" s="30"/>
      <c r="I30" s="26" t="s">
        <v>81</v>
      </c>
      <c r="J30" s="29" t="s">
        <v>82</v>
      </c>
      <c r="K30" s="31">
        <v>45723</v>
      </c>
      <c r="L30" s="32" t="s">
        <v>320</v>
      </c>
      <c r="M30" s="32" t="s">
        <v>321</v>
      </c>
      <c r="N30" s="217" t="s">
        <v>322</v>
      </c>
      <c r="O30" s="33">
        <v>20</v>
      </c>
      <c r="P30" s="26" t="s">
        <v>22</v>
      </c>
      <c r="Q30" s="26" t="s">
        <v>81</v>
      </c>
      <c r="R30" s="34"/>
      <c r="S30" s="35" t="str">
        <f t="shared" si="2"/>
        <v>001-500-000070170</v>
      </c>
      <c r="T30" s="216" t="s">
        <v>323</v>
      </c>
      <c r="U30" s="226" t="s">
        <v>324</v>
      </c>
    </row>
    <row r="31" spans="1:21" ht="45" customHeight="1">
      <c r="A31" s="24">
        <v>26</v>
      </c>
      <c r="B31" s="25">
        <v>45673</v>
      </c>
      <c r="C31" s="26" t="s">
        <v>101</v>
      </c>
      <c r="D31" s="26" t="s">
        <v>316</v>
      </c>
      <c r="E31" s="40">
        <v>111010040</v>
      </c>
      <c r="F31" s="41" t="s">
        <v>318</v>
      </c>
      <c r="G31" s="39" t="s">
        <v>319</v>
      </c>
      <c r="H31" s="43"/>
      <c r="I31" s="39" t="s">
        <v>81</v>
      </c>
      <c r="J31" s="42" t="s">
        <v>82</v>
      </c>
      <c r="K31" s="31">
        <v>45723</v>
      </c>
      <c r="L31" s="32" t="s">
        <v>320</v>
      </c>
      <c r="M31" s="32" t="s">
        <v>321</v>
      </c>
      <c r="N31" s="217" t="s">
        <v>322</v>
      </c>
      <c r="O31" s="33">
        <v>20</v>
      </c>
      <c r="P31" s="39" t="s">
        <v>22</v>
      </c>
      <c r="Q31" s="39" t="s">
        <v>81</v>
      </c>
      <c r="R31" s="47"/>
      <c r="S31" s="35" t="str">
        <f t="shared" si="2"/>
        <v>001-500-000070170</v>
      </c>
      <c r="T31" s="216" t="s">
        <v>323</v>
      </c>
      <c r="U31" s="226" t="s">
        <v>324</v>
      </c>
    </row>
    <row r="32" spans="1:21" ht="45" customHeight="1">
      <c r="A32" s="24">
        <v>27</v>
      </c>
      <c r="B32" s="25">
        <v>45713</v>
      </c>
      <c r="C32" s="26" t="s">
        <v>108</v>
      </c>
      <c r="D32" s="26" t="s">
        <v>325</v>
      </c>
      <c r="E32" s="27">
        <v>40466111</v>
      </c>
      <c r="F32" s="28" t="s">
        <v>274</v>
      </c>
      <c r="G32" s="249" t="s">
        <v>326</v>
      </c>
      <c r="H32" s="30"/>
      <c r="I32" s="26" t="s">
        <v>81</v>
      </c>
      <c r="J32" s="29" t="s">
        <v>82</v>
      </c>
      <c r="K32" s="31">
        <v>45726</v>
      </c>
      <c r="L32" s="32" t="s">
        <v>328</v>
      </c>
      <c r="M32" s="32" t="s">
        <v>179</v>
      </c>
      <c r="N32" s="217" t="s">
        <v>329</v>
      </c>
      <c r="O32" s="33">
        <v>20</v>
      </c>
      <c r="P32" s="26" t="s">
        <v>22</v>
      </c>
      <c r="Q32" s="26" t="s">
        <v>81</v>
      </c>
      <c r="R32" s="34"/>
      <c r="S32" s="35" t="str">
        <f t="shared" si="2"/>
        <v>016-902-000499261</v>
      </c>
      <c r="T32" s="216" t="s">
        <v>330</v>
      </c>
      <c r="U32" s="226" t="s">
        <v>331</v>
      </c>
    </row>
    <row r="33" spans="1:21" ht="45" customHeight="1">
      <c r="A33" s="24">
        <v>28</v>
      </c>
      <c r="B33" s="25">
        <v>45713</v>
      </c>
      <c r="C33" s="26" t="s">
        <v>108</v>
      </c>
      <c r="D33" s="26" t="s">
        <v>325</v>
      </c>
      <c r="E33" s="27">
        <v>112580058</v>
      </c>
      <c r="F33" s="28" t="s">
        <v>187</v>
      </c>
      <c r="G33" s="29" t="s">
        <v>327</v>
      </c>
      <c r="H33" s="30"/>
      <c r="I33" s="26" t="s">
        <v>81</v>
      </c>
      <c r="J33" s="29" t="s">
        <v>82</v>
      </c>
      <c r="K33" s="31">
        <v>45726</v>
      </c>
      <c r="L33" s="32" t="s">
        <v>328</v>
      </c>
      <c r="M33" s="32" t="s">
        <v>179</v>
      </c>
      <c r="N33" s="217" t="s">
        <v>329</v>
      </c>
      <c r="O33" s="33">
        <v>20</v>
      </c>
      <c r="P33" s="26" t="s">
        <v>22</v>
      </c>
      <c r="Q33" s="26" t="s">
        <v>81</v>
      </c>
      <c r="R33" s="34"/>
      <c r="S33" s="35" t="str">
        <f t="shared" ref="S33" si="4">D33</f>
        <v>016-902-000499261</v>
      </c>
      <c r="T33" s="216" t="s">
        <v>330</v>
      </c>
      <c r="U33" s="226" t="s">
        <v>331</v>
      </c>
    </row>
    <row r="34" spans="1:21" ht="45" customHeight="1">
      <c r="A34" s="24">
        <v>29</v>
      </c>
      <c r="B34" s="25">
        <v>45714</v>
      </c>
      <c r="C34" s="26" t="s">
        <v>162</v>
      </c>
      <c r="D34" s="26" t="s">
        <v>364</v>
      </c>
      <c r="E34" s="27">
        <v>40485141</v>
      </c>
      <c r="F34" s="28" t="s">
        <v>365</v>
      </c>
      <c r="G34" s="26" t="s">
        <v>368</v>
      </c>
      <c r="H34" s="30"/>
      <c r="I34" s="26" t="s">
        <v>81</v>
      </c>
      <c r="J34" s="29" t="s">
        <v>82</v>
      </c>
      <c r="K34" s="31">
        <v>45728</v>
      </c>
      <c r="L34" s="32" t="s">
        <v>371</v>
      </c>
      <c r="M34" s="32" t="s">
        <v>227</v>
      </c>
      <c r="N34" s="217" t="s">
        <v>374</v>
      </c>
      <c r="O34" s="33">
        <v>30</v>
      </c>
      <c r="P34" s="26" t="s">
        <v>22</v>
      </c>
      <c r="Q34" s="26" t="s">
        <v>81</v>
      </c>
      <c r="R34" s="34"/>
      <c r="S34" s="35" t="str">
        <f t="shared" si="2"/>
        <v>040-103-000012164</v>
      </c>
      <c r="T34" s="216" t="s">
        <v>372</v>
      </c>
      <c r="U34" s="226" t="s">
        <v>373</v>
      </c>
    </row>
    <row r="35" spans="1:21" ht="45" customHeight="1">
      <c r="A35" s="24">
        <v>30</v>
      </c>
      <c r="B35" s="25">
        <v>45714</v>
      </c>
      <c r="C35" s="26" t="s">
        <v>162</v>
      </c>
      <c r="D35" s="26" t="s">
        <v>364</v>
      </c>
      <c r="E35" s="40">
        <v>112520025</v>
      </c>
      <c r="F35" s="41" t="s">
        <v>366</v>
      </c>
      <c r="G35" s="39" t="s">
        <v>369</v>
      </c>
      <c r="H35" s="43"/>
      <c r="I35" s="39" t="s">
        <v>81</v>
      </c>
      <c r="J35" s="42" t="s">
        <v>82</v>
      </c>
      <c r="K35" s="31">
        <v>45728</v>
      </c>
      <c r="L35" s="32" t="s">
        <v>371</v>
      </c>
      <c r="M35" s="32" t="s">
        <v>227</v>
      </c>
      <c r="N35" s="217" t="s">
        <v>374</v>
      </c>
      <c r="O35" s="33">
        <v>15</v>
      </c>
      <c r="P35" s="26" t="s">
        <v>22</v>
      </c>
      <c r="Q35" s="26" t="s">
        <v>81</v>
      </c>
      <c r="R35" s="34"/>
      <c r="S35" s="35" t="str">
        <f t="shared" ref="S35:S36" si="5">D35</f>
        <v>040-103-000012164</v>
      </c>
      <c r="T35" s="216" t="s">
        <v>372</v>
      </c>
      <c r="U35" s="226" t="s">
        <v>373</v>
      </c>
    </row>
    <row r="36" spans="1:21" ht="56" customHeight="1">
      <c r="A36" s="24">
        <v>31</v>
      </c>
      <c r="B36" s="25">
        <v>45714</v>
      </c>
      <c r="C36" s="26" t="s">
        <v>162</v>
      </c>
      <c r="D36" s="26" t="s">
        <v>364</v>
      </c>
      <c r="E36" s="40">
        <v>111010028</v>
      </c>
      <c r="F36" s="41" t="s">
        <v>367</v>
      </c>
      <c r="G36" s="39" t="s">
        <v>370</v>
      </c>
      <c r="H36" s="43"/>
      <c r="I36" s="39" t="s">
        <v>81</v>
      </c>
      <c r="J36" s="42" t="s">
        <v>82</v>
      </c>
      <c r="K36" s="31">
        <v>45728</v>
      </c>
      <c r="L36" s="32" t="s">
        <v>371</v>
      </c>
      <c r="M36" s="32" t="s">
        <v>227</v>
      </c>
      <c r="N36" s="217" t="s">
        <v>374</v>
      </c>
      <c r="O36" s="33">
        <v>15</v>
      </c>
      <c r="P36" s="26" t="s">
        <v>22</v>
      </c>
      <c r="Q36" s="26" t="s">
        <v>81</v>
      </c>
      <c r="R36" s="34"/>
      <c r="S36" s="35" t="str">
        <f t="shared" si="5"/>
        <v>040-103-000012164</v>
      </c>
      <c r="T36" s="216" t="s">
        <v>372</v>
      </c>
      <c r="U36" s="226" t="s">
        <v>373</v>
      </c>
    </row>
    <row r="37" spans="1:21" ht="46" customHeight="1">
      <c r="A37" s="24">
        <v>32</v>
      </c>
      <c r="B37" s="25">
        <v>45444</v>
      </c>
      <c r="C37" s="26" t="s">
        <v>108</v>
      </c>
      <c r="D37" s="26" t="s">
        <v>375</v>
      </c>
      <c r="E37" s="40">
        <v>40466241</v>
      </c>
      <c r="F37" s="41" t="s">
        <v>376</v>
      </c>
      <c r="G37" s="39" t="s">
        <v>378</v>
      </c>
      <c r="H37" s="43"/>
      <c r="I37" s="39" t="s">
        <v>81</v>
      </c>
      <c r="J37" s="42" t="s">
        <v>82</v>
      </c>
      <c r="K37" s="31">
        <v>45728</v>
      </c>
      <c r="L37" s="32" t="s">
        <v>380</v>
      </c>
      <c r="M37" s="32" t="s">
        <v>91</v>
      </c>
      <c r="N37" s="217" t="s">
        <v>381</v>
      </c>
      <c r="O37" s="33">
        <v>20</v>
      </c>
      <c r="P37" s="26" t="s">
        <v>22</v>
      </c>
      <c r="Q37" s="26" t="s">
        <v>81</v>
      </c>
      <c r="R37" s="34"/>
      <c r="S37" s="35" t="str">
        <f t="shared" ref="S37" si="6">D37</f>
        <v>043-901-000007056</v>
      </c>
      <c r="T37" s="216" t="s">
        <v>382</v>
      </c>
      <c r="U37" s="226" t="s">
        <v>383</v>
      </c>
    </row>
    <row r="38" spans="1:21" ht="52" customHeight="1">
      <c r="A38" s="24">
        <v>33</v>
      </c>
      <c r="B38" s="25">
        <v>45444</v>
      </c>
      <c r="C38" s="26" t="s">
        <v>108</v>
      </c>
      <c r="D38" s="26" t="s">
        <v>375</v>
      </c>
      <c r="E38" s="252">
        <v>112610067</v>
      </c>
      <c r="F38" s="41" t="s">
        <v>377</v>
      </c>
      <c r="G38" s="39" t="s">
        <v>379</v>
      </c>
      <c r="H38" s="43"/>
      <c r="I38" s="39" t="s">
        <v>81</v>
      </c>
      <c r="J38" s="42" t="s">
        <v>82</v>
      </c>
      <c r="K38" s="31">
        <v>45728</v>
      </c>
      <c r="L38" s="32" t="s">
        <v>380</v>
      </c>
      <c r="M38" s="32" t="s">
        <v>91</v>
      </c>
      <c r="N38" s="217" t="s">
        <v>381</v>
      </c>
      <c r="O38" s="33">
        <v>20</v>
      </c>
      <c r="P38" s="26" t="s">
        <v>22</v>
      </c>
      <c r="Q38" s="26" t="s">
        <v>81</v>
      </c>
      <c r="R38" s="34"/>
      <c r="S38" s="35" t="str">
        <f t="shared" ref="S38" si="7">D38</f>
        <v>043-901-000007056</v>
      </c>
      <c r="T38" s="216" t="s">
        <v>382</v>
      </c>
      <c r="U38" s="226" t="s">
        <v>383</v>
      </c>
    </row>
    <row r="39" spans="1:21" ht="52" customHeight="1">
      <c r="A39" s="24">
        <v>34</v>
      </c>
      <c r="B39" s="25">
        <v>45700</v>
      </c>
      <c r="C39" s="26" t="s">
        <v>101</v>
      </c>
      <c r="D39" s="26" t="s">
        <v>443</v>
      </c>
      <c r="E39" s="252">
        <v>112950020</v>
      </c>
      <c r="F39" s="41" t="s">
        <v>445</v>
      </c>
      <c r="G39" s="39" t="s">
        <v>446</v>
      </c>
      <c r="H39" s="43"/>
      <c r="I39" s="39" t="s">
        <v>81</v>
      </c>
      <c r="J39" s="42" t="s">
        <v>82</v>
      </c>
      <c r="K39" s="31">
        <v>45729</v>
      </c>
      <c r="L39" s="32" t="s">
        <v>449</v>
      </c>
      <c r="M39" s="32" t="s">
        <v>450</v>
      </c>
      <c r="N39" s="217" t="s">
        <v>451</v>
      </c>
      <c r="O39" s="33">
        <v>15</v>
      </c>
      <c r="P39" s="26" t="s">
        <v>22</v>
      </c>
      <c r="Q39" s="26" t="s">
        <v>81</v>
      </c>
      <c r="R39" s="34"/>
      <c r="S39" s="35" t="str">
        <f t="shared" ref="S39:S43" si="8">D39</f>
        <v>001-502-000000133</v>
      </c>
      <c r="T39" s="216" t="s">
        <v>452</v>
      </c>
      <c r="U39" s="226" t="s">
        <v>453</v>
      </c>
    </row>
    <row r="40" spans="1:21" ht="52" customHeight="1">
      <c r="A40" s="24">
        <v>35</v>
      </c>
      <c r="B40" s="25">
        <v>45700</v>
      </c>
      <c r="C40" s="26" t="s">
        <v>101</v>
      </c>
      <c r="D40" s="26" t="s">
        <v>443</v>
      </c>
      <c r="E40" s="252">
        <v>112670093</v>
      </c>
      <c r="F40" s="41" t="s">
        <v>444</v>
      </c>
      <c r="G40" s="39" t="s">
        <v>447</v>
      </c>
      <c r="H40" s="43"/>
      <c r="I40" s="39" t="s">
        <v>81</v>
      </c>
      <c r="J40" s="42" t="s">
        <v>82</v>
      </c>
      <c r="K40" s="31">
        <v>45729</v>
      </c>
      <c r="L40" s="32" t="s">
        <v>449</v>
      </c>
      <c r="M40" s="32" t="s">
        <v>450</v>
      </c>
      <c r="N40" s="217" t="s">
        <v>451</v>
      </c>
      <c r="O40" s="33">
        <v>15</v>
      </c>
      <c r="P40" s="26" t="s">
        <v>22</v>
      </c>
      <c r="Q40" s="26" t="s">
        <v>81</v>
      </c>
      <c r="R40" s="34"/>
      <c r="S40" s="35" t="str">
        <f t="shared" si="8"/>
        <v>001-502-000000133</v>
      </c>
      <c r="T40" s="216" t="s">
        <v>452</v>
      </c>
      <c r="U40" s="226" t="s">
        <v>453</v>
      </c>
    </row>
    <row r="41" spans="1:21" ht="52" customHeight="1">
      <c r="A41" s="24">
        <v>36</v>
      </c>
      <c r="B41" s="25">
        <v>45700</v>
      </c>
      <c r="C41" s="26" t="s">
        <v>101</v>
      </c>
      <c r="D41" s="26" t="s">
        <v>443</v>
      </c>
      <c r="E41" s="252">
        <v>111000051</v>
      </c>
      <c r="F41" s="41" t="s">
        <v>88</v>
      </c>
      <c r="G41" s="39" t="s">
        <v>448</v>
      </c>
      <c r="H41" s="43"/>
      <c r="I41" s="39" t="s">
        <v>81</v>
      </c>
      <c r="J41" s="42" t="s">
        <v>82</v>
      </c>
      <c r="K41" s="31">
        <v>45729</v>
      </c>
      <c r="L41" s="32" t="s">
        <v>449</v>
      </c>
      <c r="M41" s="32" t="s">
        <v>450</v>
      </c>
      <c r="N41" s="217" t="s">
        <v>451</v>
      </c>
      <c r="O41" s="33">
        <v>15</v>
      </c>
      <c r="P41" s="26" t="s">
        <v>22</v>
      </c>
      <c r="Q41" s="26" t="s">
        <v>81</v>
      </c>
      <c r="R41" s="34"/>
      <c r="S41" s="35" t="str">
        <f t="shared" si="8"/>
        <v>001-502-000000133</v>
      </c>
      <c r="T41" s="216" t="s">
        <v>452</v>
      </c>
      <c r="U41" s="226" t="s">
        <v>453</v>
      </c>
    </row>
    <row r="42" spans="1:21" ht="46" customHeight="1">
      <c r="A42" s="24">
        <v>37</v>
      </c>
      <c r="B42" s="25">
        <v>45080</v>
      </c>
      <c r="C42" s="26" t="s">
        <v>101</v>
      </c>
      <c r="D42" s="26" t="s">
        <v>470</v>
      </c>
      <c r="E42" s="40">
        <v>113430016</v>
      </c>
      <c r="F42" s="41" t="s">
        <v>473</v>
      </c>
      <c r="G42" s="39" t="s">
        <v>471</v>
      </c>
      <c r="H42" s="43"/>
      <c r="I42" s="39" t="s">
        <v>81</v>
      </c>
      <c r="J42" s="42" t="s">
        <v>82</v>
      </c>
      <c r="K42" s="31">
        <v>45728</v>
      </c>
      <c r="L42" s="32" t="s">
        <v>480</v>
      </c>
      <c r="M42" s="32" t="s">
        <v>481</v>
      </c>
      <c r="N42" s="217" t="s">
        <v>482</v>
      </c>
      <c r="O42" s="33">
        <v>15</v>
      </c>
      <c r="P42" s="26" t="s">
        <v>22</v>
      </c>
      <c r="Q42" s="26" t="s">
        <v>81</v>
      </c>
      <c r="R42" s="34"/>
      <c r="S42" s="35" t="str">
        <f t="shared" si="8"/>
        <v>001-500-000053028</v>
      </c>
      <c r="T42" s="216" t="s">
        <v>483</v>
      </c>
      <c r="U42" s="226" t="s">
        <v>484</v>
      </c>
    </row>
    <row r="43" spans="1:21" ht="52" customHeight="1">
      <c r="A43" s="24">
        <v>38</v>
      </c>
      <c r="B43" s="25">
        <v>45080</v>
      </c>
      <c r="C43" s="26" t="s">
        <v>101</v>
      </c>
      <c r="D43" s="26" t="s">
        <v>470</v>
      </c>
      <c r="E43" s="252">
        <v>40584305</v>
      </c>
      <c r="F43" s="41" t="s">
        <v>472</v>
      </c>
      <c r="G43" s="39" t="s">
        <v>474</v>
      </c>
      <c r="H43" s="43"/>
      <c r="I43" s="39" t="s">
        <v>81</v>
      </c>
      <c r="J43" s="42" t="s">
        <v>82</v>
      </c>
      <c r="K43" s="31">
        <v>45728</v>
      </c>
      <c r="L43" s="32" t="s">
        <v>480</v>
      </c>
      <c r="M43" s="32" t="s">
        <v>481</v>
      </c>
      <c r="N43" s="217" t="s">
        <v>482</v>
      </c>
      <c r="O43" s="33">
        <v>15</v>
      </c>
      <c r="P43" s="26" t="s">
        <v>22</v>
      </c>
      <c r="Q43" s="26" t="s">
        <v>81</v>
      </c>
      <c r="R43" s="34"/>
      <c r="S43" s="35" t="str">
        <f t="shared" si="8"/>
        <v>001-500-000053028</v>
      </c>
      <c r="T43" s="216" t="s">
        <v>483</v>
      </c>
      <c r="U43" s="226" t="s">
        <v>484</v>
      </c>
    </row>
    <row r="44" spans="1:21" ht="52" customHeight="1">
      <c r="A44" s="24">
        <v>39</v>
      </c>
      <c r="B44" s="25">
        <v>45080</v>
      </c>
      <c r="C44" s="26" t="s">
        <v>101</v>
      </c>
      <c r="D44" s="26" t="s">
        <v>470</v>
      </c>
      <c r="E44" s="252">
        <v>40483180</v>
      </c>
      <c r="F44" s="41" t="s">
        <v>475</v>
      </c>
      <c r="G44" s="39" t="s">
        <v>476</v>
      </c>
      <c r="H44" s="43"/>
      <c r="I44" s="39" t="s">
        <v>81</v>
      </c>
      <c r="J44" s="42" t="s">
        <v>82</v>
      </c>
      <c r="K44" s="31">
        <v>45729</v>
      </c>
      <c r="L44" s="32" t="s">
        <v>480</v>
      </c>
      <c r="M44" s="32" t="s">
        <v>481</v>
      </c>
      <c r="N44" s="217" t="s">
        <v>482</v>
      </c>
      <c r="O44" s="33">
        <v>30</v>
      </c>
      <c r="P44" s="26" t="s">
        <v>22</v>
      </c>
      <c r="Q44" s="26" t="s">
        <v>81</v>
      </c>
      <c r="R44" s="34"/>
      <c r="S44" s="35" t="str">
        <f t="shared" ref="S44:S47" si="9">D44</f>
        <v>001-500-000053028</v>
      </c>
      <c r="T44" s="216" t="s">
        <v>483</v>
      </c>
      <c r="U44" s="226" t="s">
        <v>484</v>
      </c>
    </row>
    <row r="45" spans="1:21" ht="52" customHeight="1">
      <c r="A45" s="24">
        <v>40</v>
      </c>
      <c r="B45" s="25">
        <v>45080</v>
      </c>
      <c r="C45" s="26" t="s">
        <v>101</v>
      </c>
      <c r="D45" s="26" t="s">
        <v>470</v>
      </c>
      <c r="E45" s="252">
        <v>112500048</v>
      </c>
      <c r="F45" s="41" t="s">
        <v>309</v>
      </c>
      <c r="G45" s="39" t="s">
        <v>477</v>
      </c>
      <c r="H45" s="43"/>
      <c r="I45" s="39" t="s">
        <v>81</v>
      </c>
      <c r="J45" s="42" t="s">
        <v>82</v>
      </c>
      <c r="K45" s="31">
        <v>45729</v>
      </c>
      <c r="L45" s="32" t="s">
        <v>480</v>
      </c>
      <c r="M45" s="32" t="s">
        <v>481</v>
      </c>
      <c r="N45" s="217" t="s">
        <v>482</v>
      </c>
      <c r="O45" s="33">
        <v>15</v>
      </c>
      <c r="P45" s="26" t="s">
        <v>22</v>
      </c>
      <c r="Q45" s="26" t="s">
        <v>81</v>
      </c>
      <c r="R45" s="34"/>
      <c r="S45" s="35" t="str">
        <f t="shared" si="9"/>
        <v>001-500-000053028</v>
      </c>
      <c r="T45" s="216" t="s">
        <v>483</v>
      </c>
      <c r="U45" s="226" t="s">
        <v>484</v>
      </c>
    </row>
    <row r="46" spans="1:21" ht="52" customHeight="1">
      <c r="A46" s="24">
        <v>41</v>
      </c>
      <c r="B46" s="25">
        <v>45080</v>
      </c>
      <c r="C46" s="26" t="s">
        <v>101</v>
      </c>
      <c r="D46" s="26" t="s">
        <v>470</v>
      </c>
      <c r="E46" s="252">
        <v>111000030</v>
      </c>
      <c r="F46" s="41" t="s">
        <v>478</v>
      </c>
      <c r="G46" s="39" t="s">
        <v>479</v>
      </c>
      <c r="H46" s="43"/>
      <c r="I46" s="39" t="s">
        <v>81</v>
      </c>
      <c r="J46" s="42" t="s">
        <v>82</v>
      </c>
      <c r="K46" s="31">
        <v>45729</v>
      </c>
      <c r="L46" s="32" t="s">
        <v>480</v>
      </c>
      <c r="M46" s="32" t="s">
        <v>481</v>
      </c>
      <c r="N46" s="217" t="s">
        <v>482</v>
      </c>
      <c r="O46" s="33">
        <v>15</v>
      </c>
      <c r="P46" s="26" t="s">
        <v>22</v>
      </c>
      <c r="Q46" s="26" t="s">
        <v>81</v>
      </c>
      <c r="R46" s="34"/>
      <c r="S46" s="35" t="str">
        <f t="shared" si="9"/>
        <v>001-500-000053028</v>
      </c>
      <c r="T46" s="216" t="s">
        <v>483</v>
      </c>
      <c r="U46" s="226" t="s">
        <v>484</v>
      </c>
    </row>
    <row r="47" spans="1:21" ht="52" customHeight="1">
      <c r="A47" s="24">
        <v>42</v>
      </c>
      <c r="B47" s="25">
        <v>45596</v>
      </c>
      <c r="C47" s="26" t="s">
        <v>101</v>
      </c>
      <c r="D47" s="26" t="s">
        <v>487</v>
      </c>
      <c r="E47" s="252">
        <v>112580027</v>
      </c>
      <c r="F47" s="41" t="s">
        <v>245</v>
      </c>
      <c r="G47" s="39" t="s">
        <v>488</v>
      </c>
      <c r="H47" s="43"/>
      <c r="I47" s="39" t="s">
        <v>81</v>
      </c>
      <c r="J47" s="42" t="s">
        <v>82</v>
      </c>
      <c r="K47" s="31">
        <v>45730</v>
      </c>
      <c r="L47" s="32" t="s">
        <v>490</v>
      </c>
      <c r="M47" s="32" t="s">
        <v>491</v>
      </c>
      <c r="N47" s="217" t="s">
        <v>492</v>
      </c>
      <c r="O47" s="33">
        <v>20</v>
      </c>
      <c r="P47" s="26" t="s">
        <v>22</v>
      </c>
      <c r="Q47" s="26" t="s">
        <v>81</v>
      </c>
      <c r="R47" s="34"/>
      <c r="S47" s="35" t="str">
        <f t="shared" si="9"/>
        <v>001-500-000067591</v>
      </c>
      <c r="T47" s="216" t="s">
        <v>493</v>
      </c>
      <c r="U47" s="226" t="s">
        <v>494</v>
      </c>
    </row>
    <row r="48" spans="1:21" ht="52" customHeight="1">
      <c r="A48" s="24">
        <v>43</v>
      </c>
      <c r="B48" s="25">
        <v>45596</v>
      </c>
      <c r="C48" s="26" t="s">
        <v>101</v>
      </c>
      <c r="D48" s="26" t="s">
        <v>487</v>
      </c>
      <c r="E48" s="252">
        <v>112950020</v>
      </c>
      <c r="F48" s="41" t="s">
        <v>445</v>
      </c>
      <c r="G48" s="39" t="s">
        <v>489</v>
      </c>
      <c r="H48" s="43"/>
      <c r="I48" s="39" t="s">
        <v>81</v>
      </c>
      <c r="J48" s="42" t="s">
        <v>82</v>
      </c>
      <c r="K48" s="31">
        <v>45730</v>
      </c>
      <c r="L48" s="32" t="s">
        <v>490</v>
      </c>
      <c r="M48" s="32" t="s">
        <v>491</v>
      </c>
      <c r="N48" s="217" t="s">
        <v>492</v>
      </c>
      <c r="O48" s="33">
        <v>20</v>
      </c>
      <c r="P48" s="26" t="s">
        <v>22</v>
      </c>
      <c r="Q48" s="26" t="s">
        <v>81</v>
      </c>
      <c r="R48" s="34"/>
      <c r="S48" s="35" t="str">
        <f t="shared" ref="S48:S49" si="10">D48</f>
        <v>001-500-000067591</v>
      </c>
      <c r="T48" s="216" t="s">
        <v>493</v>
      </c>
      <c r="U48" s="226" t="s">
        <v>494</v>
      </c>
    </row>
    <row r="49" spans="1:21" ht="52" customHeight="1">
      <c r="A49" s="24">
        <v>44</v>
      </c>
      <c r="B49" s="25">
        <v>45675</v>
      </c>
      <c r="C49" s="26" t="s">
        <v>108</v>
      </c>
      <c r="D49" s="26" t="s">
        <v>495</v>
      </c>
      <c r="E49" s="252">
        <v>112580058</v>
      </c>
      <c r="F49" s="41" t="s">
        <v>187</v>
      </c>
      <c r="G49" s="39" t="s">
        <v>496</v>
      </c>
      <c r="H49" s="43"/>
      <c r="I49" s="39" t="s">
        <v>81</v>
      </c>
      <c r="J49" s="42" t="s">
        <v>82</v>
      </c>
      <c r="K49" s="31">
        <v>45702</v>
      </c>
      <c r="L49" s="32" t="s">
        <v>497</v>
      </c>
      <c r="M49" s="32" t="s">
        <v>498</v>
      </c>
      <c r="N49" s="217" t="s">
        <v>499</v>
      </c>
      <c r="O49" s="33">
        <v>20</v>
      </c>
      <c r="P49" s="26" t="s">
        <v>22</v>
      </c>
      <c r="Q49" s="26" t="s">
        <v>81</v>
      </c>
      <c r="R49" s="34"/>
      <c r="S49" s="35" t="str">
        <f t="shared" si="10"/>
        <v>043-904-000059090</v>
      </c>
      <c r="T49" s="216" t="s">
        <v>500</v>
      </c>
      <c r="U49" s="226" t="s">
        <v>501</v>
      </c>
    </row>
    <row r="50" spans="1:21" ht="52" customHeight="1">
      <c r="A50" s="24">
        <v>45</v>
      </c>
      <c r="B50" s="25">
        <v>45675</v>
      </c>
      <c r="C50" s="26" t="s">
        <v>161</v>
      </c>
      <c r="D50" s="26" t="s">
        <v>502</v>
      </c>
      <c r="E50" s="252">
        <v>112570093</v>
      </c>
      <c r="F50" s="41" t="s">
        <v>444</v>
      </c>
      <c r="G50" s="39" t="s">
        <v>503</v>
      </c>
      <c r="H50" s="43"/>
      <c r="I50" s="39" t="s">
        <v>81</v>
      </c>
      <c r="J50" s="42" t="s">
        <v>82</v>
      </c>
      <c r="K50" s="31">
        <v>45730</v>
      </c>
      <c r="L50" s="32" t="s">
        <v>508</v>
      </c>
      <c r="M50" s="32" t="s">
        <v>509</v>
      </c>
      <c r="N50" s="217" t="s">
        <v>510</v>
      </c>
      <c r="O50" s="33">
        <v>15</v>
      </c>
      <c r="P50" s="26" t="s">
        <v>22</v>
      </c>
      <c r="Q50" s="26" t="s">
        <v>81</v>
      </c>
      <c r="R50" s="34"/>
      <c r="S50" s="35" t="str">
        <f t="shared" ref="S50" si="11">D50</f>
        <v>006-002-000157366</v>
      </c>
      <c r="T50" s="216" t="s">
        <v>511</v>
      </c>
      <c r="U50" s="226" t="s">
        <v>512</v>
      </c>
    </row>
    <row r="51" spans="1:21" ht="52" customHeight="1">
      <c r="A51" s="24">
        <v>46</v>
      </c>
      <c r="B51" s="25">
        <v>45675</v>
      </c>
      <c r="C51" s="26" t="s">
        <v>161</v>
      </c>
      <c r="D51" s="26" t="s">
        <v>502</v>
      </c>
      <c r="E51" s="252">
        <v>43782127</v>
      </c>
      <c r="F51" s="41" t="s">
        <v>504</v>
      </c>
      <c r="G51" s="39" t="s">
        <v>505</v>
      </c>
      <c r="H51" s="43"/>
      <c r="I51" s="39" t="s">
        <v>81</v>
      </c>
      <c r="J51" s="42" t="s">
        <v>82</v>
      </c>
      <c r="K51" s="31">
        <v>45730</v>
      </c>
      <c r="L51" s="32" t="s">
        <v>508</v>
      </c>
      <c r="M51" s="32" t="s">
        <v>509</v>
      </c>
      <c r="N51" s="217" t="s">
        <v>510</v>
      </c>
      <c r="O51" s="33">
        <v>15</v>
      </c>
      <c r="P51" s="26" t="s">
        <v>22</v>
      </c>
      <c r="Q51" s="26" t="s">
        <v>81</v>
      </c>
      <c r="R51" s="34"/>
      <c r="S51" s="35" t="str">
        <f t="shared" ref="S51:S52" si="12">D51</f>
        <v>006-002-000157366</v>
      </c>
      <c r="T51" s="216" t="s">
        <v>511</v>
      </c>
      <c r="U51" s="226" t="s">
        <v>512</v>
      </c>
    </row>
    <row r="52" spans="1:21" ht="52" customHeight="1">
      <c r="A52" s="24">
        <v>47</v>
      </c>
      <c r="B52" s="25">
        <v>45675</v>
      </c>
      <c r="C52" s="26" t="s">
        <v>161</v>
      </c>
      <c r="D52" s="26" t="s">
        <v>502</v>
      </c>
      <c r="E52" s="252">
        <v>111030002</v>
      </c>
      <c r="F52" s="41" t="s">
        <v>506</v>
      </c>
      <c r="G52" s="39" t="s">
        <v>507</v>
      </c>
      <c r="H52" s="43"/>
      <c r="I52" s="39" t="s">
        <v>81</v>
      </c>
      <c r="J52" s="42" t="s">
        <v>82</v>
      </c>
      <c r="K52" s="31">
        <v>45730</v>
      </c>
      <c r="L52" s="32" t="s">
        <v>508</v>
      </c>
      <c r="M52" s="32" t="s">
        <v>509</v>
      </c>
      <c r="N52" s="217" t="s">
        <v>510</v>
      </c>
      <c r="O52" s="33">
        <v>15</v>
      </c>
      <c r="P52" s="26" t="s">
        <v>22</v>
      </c>
      <c r="Q52" s="26" t="s">
        <v>81</v>
      </c>
      <c r="R52" s="34"/>
      <c r="S52" s="35" t="str">
        <f t="shared" si="12"/>
        <v>006-002-000157366</v>
      </c>
      <c r="T52" s="216" t="s">
        <v>511</v>
      </c>
      <c r="U52" s="226" t="s">
        <v>512</v>
      </c>
    </row>
    <row r="53" spans="1:21" ht="17">
      <c r="N53" s="82"/>
      <c r="O53" s="257">
        <f>SUM(O6:O52)</f>
        <v>870</v>
      </c>
    </row>
    <row r="54" spans="1:21" ht="17">
      <c r="N54" s="82"/>
      <c r="O54" s="82"/>
    </row>
    <row r="55" spans="1:21" ht="17">
      <c r="N55" s="82"/>
      <c r="O55" s="82"/>
    </row>
    <row r="56" spans="1:21" ht="17">
      <c r="K56" s="82">
        <v>18</v>
      </c>
      <c r="L56" s="82">
        <v>15</v>
      </c>
      <c r="M56" s="82">
        <f>K56*L56</f>
        <v>270</v>
      </c>
    </row>
    <row r="57" spans="1:21" ht="17">
      <c r="K57" s="82">
        <v>27</v>
      </c>
      <c r="L57" s="82">
        <v>20</v>
      </c>
      <c r="M57" s="82">
        <f>K57*L57</f>
        <v>540</v>
      </c>
    </row>
    <row r="58" spans="1:21" ht="19">
      <c r="K58" s="82">
        <v>2</v>
      </c>
      <c r="L58" s="82">
        <v>30</v>
      </c>
      <c r="M58" s="256">
        <f>L58*K58</f>
        <v>60</v>
      </c>
    </row>
    <row r="59" spans="1:21" ht="17">
      <c r="K59" s="82"/>
      <c r="L59" s="82"/>
      <c r="M59" s="82">
        <f>SUM(M56:M58)</f>
        <v>870</v>
      </c>
    </row>
  </sheetData>
  <hyperlinks>
    <hyperlink ref="U6" r:id="rId1" xr:uid="{8702A081-82DF-4244-A518-7A282A4D1FA9}"/>
    <hyperlink ref="U7" r:id="rId2" xr:uid="{4E764758-0090-4DDA-B054-3A9AA3560958}"/>
    <hyperlink ref="U8" r:id="rId3" xr:uid="{C4533E14-08C3-C04C-91DF-01648788C13C}"/>
    <hyperlink ref="U9" r:id="rId4" xr:uid="{5A645FA3-8D0E-054B-B28C-9EBA7651442F}"/>
    <hyperlink ref="U10" r:id="rId5" xr:uid="{B366BDA6-1457-FE43-A7D7-23C1751BF298}"/>
    <hyperlink ref="U11" r:id="rId6" xr:uid="{5257C3BB-733D-D046-81CF-6235A03228B0}"/>
    <hyperlink ref="U12" r:id="rId7" xr:uid="{5129DA0F-243C-984A-9743-AA72D0137140}"/>
    <hyperlink ref="U13" r:id="rId8" xr:uid="{99FDEDB3-AAF2-214C-B417-730BE0AF6675}"/>
    <hyperlink ref="U14" r:id="rId9" xr:uid="{171129B5-7507-4745-A46C-27382846644A}"/>
    <hyperlink ref="U15" r:id="rId10" xr:uid="{7FAE003C-29AC-C644-9BAD-CFC8B3C364BE}"/>
    <hyperlink ref="U16" r:id="rId11" xr:uid="{2FAFCC28-6EF7-384E-B5ED-7CC357DAAEFC}"/>
    <hyperlink ref="U17" r:id="rId12" xr:uid="{AC970AAA-7E1E-B54E-BC5C-A6FD67F64542}"/>
    <hyperlink ref="U18" r:id="rId13" xr:uid="{3E7DADB1-624E-724E-AE8B-627C6E964538}"/>
    <hyperlink ref="U19" r:id="rId14" xr:uid="{742E55D6-D13F-8449-AEC8-2C6E7617F6A5}"/>
    <hyperlink ref="U20" r:id="rId15" xr:uid="{E529B40B-B7BB-3A45-AE7D-716CB3F49271}"/>
    <hyperlink ref="U21" r:id="rId16" xr:uid="{C38B4837-F9E6-D648-8119-3E1B9CF929FB}"/>
    <hyperlink ref="U22" r:id="rId17" xr:uid="{0EE7B76F-B120-234A-AA56-83DC0DD5F0F7}"/>
    <hyperlink ref="U23" r:id="rId18" xr:uid="{59B3B770-FEE2-6F40-8119-96C3493C61E7}"/>
    <hyperlink ref="U24" r:id="rId19" xr:uid="{C0FA2FEF-645A-A54B-91AF-297DC81974C6}"/>
    <hyperlink ref="U25" r:id="rId20" xr:uid="{E68DFCED-A0A6-DB4C-93AD-986433734FEF}"/>
    <hyperlink ref="U26" r:id="rId21" xr:uid="{27EDF663-0037-5549-831F-6DD0AFA72CE4}"/>
    <hyperlink ref="U27" r:id="rId22" xr:uid="{9C965447-2D2A-CF47-BB23-F37C248D8B5F}"/>
    <hyperlink ref="U28" r:id="rId23" xr:uid="{61049D09-A7D6-D94A-B410-E4D96337EEF6}"/>
    <hyperlink ref="U29" r:id="rId24" xr:uid="{A9458BBB-24EC-0E4B-AC3B-868C6670E8C7}"/>
    <hyperlink ref="U30" r:id="rId25" xr:uid="{BA600AE8-DFD8-F54B-AA3F-28860F8DB1F2}"/>
    <hyperlink ref="U31" r:id="rId26" xr:uid="{783B78B5-D011-4343-8F6A-39E44BCBBB94}"/>
    <hyperlink ref="U32" r:id="rId27" xr:uid="{F3C781C7-2012-1E4C-9F2E-7683E53AA2CD}"/>
    <hyperlink ref="U33" r:id="rId28" xr:uid="{C0E029E3-E2F1-584A-AC84-0FFEC4C75AB2}"/>
    <hyperlink ref="U34" r:id="rId29" xr:uid="{918A3F9B-F344-F345-AA84-0717E49AF618}"/>
    <hyperlink ref="U35" r:id="rId30" xr:uid="{E225D5CD-7ECA-EC4E-8D67-DD1CAC6FEF12}"/>
    <hyperlink ref="U36" r:id="rId31" xr:uid="{C263D785-A0EC-D946-83BC-2F9E9E4224B8}"/>
    <hyperlink ref="U37" r:id="rId32" xr:uid="{D7709AFA-E7EE-E04B-94DC-B6964EE63705}"/>
    <hyperlink ref="U38" r:id="rId33" xr:uid="{13BC0839-DCE8-B34B-A56C-7A2E867749A7}"/>
    <hyperlink ref="U39" r:id="rId34" xr:uid="{77A5D120-DBB4-7148-8EE8-7E7FE79A03F2}"/>
    <hyperlink ref="U40" r:id="rId35" xr:uid="{1CD24A42-95C1-1046-AE54-1B519C1C935E}"/>
    <hyperlink ref="U41" r:id="rId36" xr:uid="{C35AC1C6-DF05-ED49-AC74-8AD8D49A4AC7}"/>
    <hyperlink ref="U42" r:id="rId37" xr:uid="{A390DFC0-A44F-B64B-8D1A-5A4943D87244}"/>
    <hyperlink ref="U43" r:id="rId38" xr:uid="{F431786D-8461-7F44-A71E-355686C9DE8B}"/>
    <hyperlink ref="U44" r:id="rId39" xr:uid="{B5B4F462-ECAF-1346-A9A7-1E920DCD6D29}"/>
    <hyperlink ref="U45" r:id="rId40" xr:uid="{D22745C0-1FC7-144E-9D45-F87C5C2B1882}"/>
    <hyperlink ref="U46" r:id="rId41" xr:uid="{64357CA1-06E1-D64B-AFED-6216337302B9}"/>
    <hyperlink ref="U47" r:id="rId42" xr:uid="{873839E1-AA60-F445-985A-EECFABA0B27E}"/>
    <hyperlink ref="U48" r:id="rId43" xr:uid="{037F1DAA-1924-EC4C-BD15-61F813B83A13}"/>
    <hyperlink ref="U49" r:id="rId44" xr:uid="{6DDDA42D-F535-284D-B693-634D411A225E}"/>
    <hyperlink ref="U50" r:id="rId45" xr:uid="{A4EFC069-FD31-3845-990F-7769E74F7C46}"/>
    <hyperlink ref="U51" r:id="rId46" xr:uid="{87F99F84-2B35-6D44-9C52-D6254E009F9B}"/>
    <hyperlink ref="U52" r:id="rId47" xr:uid="{D8E21931-0FC6-2F4C-97D3-25C6BB20D5E6}"/>
  </hyperlinks>
  <pageMargins left="0.7" right="0.7" top="0.75" bottom="0.75" header="0.3" footer="0.3"/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C32B-0946-4C1B-9A8E-4D349A8EFE64}">
  <dimension ref="A2:S27"/>
  <sheetViews>
    <sheetView workbookViewId="0">
      <selection activeCell="M25" sqref="M25"/>
    </sheetView>
  </sheetViews>
  <sheetFormatPr baseColWidth="10" defaultRowHeight="15"/>
  <cols>
    <col min="1" max="1" width="6" customWidth="1"/>
    <col min="2" max="3" width="13.6640625" bestFit="1" customWidth="1"/>
    <col min="4" max="4" width="11.6640625" bestFit="1" customWidth="1"/>
    <col min="5" max="5" width="17.33203125" customWidth="1"/>
    <col min="6" max="6" width="21" customWidth="1"/>
    <col min="7" max="7" width="12.83203125" bestFit="1" customWidth="1"/>
    <col min="8" max="8" width="26.1640625" customWidth="1"/>
    <col min="9" max="9" width="16" customWidth="1"/>
    <col min="10" max="10" width="11.6640625" bestFit="1" customWidth="1"/>
    <col min="11" max="11" width="19.6640625" customWidth="1"/>
    <col min="12" max="12" width="21" customWidth="1"/>
    <col min="13" max="13" width="34.33203125" bestFit="1" customWidth="1"/>
    <col min="14" max="14" width="11.6640625" bestFit="1" customWidth="1"/>
    <col min="15" max="15" width="17.1640625" customWidth="1"/>
    <col min="16" max="16" width="27.33203125" customWidth="1"/>
    <col min="17" max="18" width="11.6640625" bestFit="1" customWidth="1"/>
    <col min="19" max="19" width="20.83203125" customWidth="1"/>
  </cols>
  <sheetData>
    <row r="2" spans="1:19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9">
      <c r="A3" s="51"/>
      <c r="B3" s="52"/>
      <c r="C3" s="53" t="s">
        <v>0</v>
      </c>
      <c r="D3" s="54"/>
      <c r="E3" s="55"/>
      <c r="F3" s="56"/>
      <c r="G3" s="57"/>
      <c r="H3" s="58"/>
      <c r="I3" s="58"/>
      <c r="J3" s="58"/>
      <c r="K3" s="58"/>
      <c r="L3" s="58"/>
      <c r="M3" s="59"/>
      <c r="N3" s="58"/>
      <c r="O3" s="51"/>
      <c r="P3" s="58"/>
      <c r="Q3" s="58"/>
      <c r="R3" s="58"/>
      <c r="S3" s="58"/>
    </row>
    <row r="4" spans="1:19">
      <c r="A4" s="51"/>
      <c r="B4" s="52"/>
      <c r="C4" s="60" t="s">
        <v>1</v>
      </c>
      <c r="D4" s="61"/>
      <c r="E4" s="62"/>
      <c r="F4" s="62"/>
      <c r="G4" s="57"/>
      <c r="H4" s="58"/>
      <c r="I4" s="58"/>
      <c r="J4" s="58"/>
      <c r="K4" s="58"/>
      <c r="L4" s="58"/>
      <c r="M4" s="59"/>
      <c r="N4" s="58"/>
      <c r="O4" s="51"/>
      <c r="P4" s="58"/>
      <c r="Q4" s="58"/>
      <c r="R4" s="58"/>
      <c r="S4" s="58"/>
    </row>
    <row r="5" spans="1:19" ht="28.5" customHeight="1">
      <c r="B5" s="63" t="s">
        <v>24</v>
      </c>
      <c r="C5" s="64"/>
      <c r="D5" s="65"/>
      <c r="E5" s="66" t="s">
        <v>25</v>
      </c>
      <c r="F5" s="67"/>
      <c r="G5" s="68"/>
      <c r="H5" s="69"/>
      <c r="I5" s="65"/>
      <c r="J5" s="70"/>
      <c r="K5" s="70"/>
      <c r="L5" s="71"/>
      <c r="M5" s="72" t="s">
        <v>84</v>
      </c>
      <c r="O5" s="73"/>
    </row>
    <row r="6" spans="1:19">
      <c r="B6" s="74" t="s">
        <v>26</v>
      </c>
      <c r="C6" s="75"/>
      <c r="D6" s="76"/>
      <c r="E6" s="76"/>
      <c r="F6" s="76"/>
      <c r="G6" s="76"/>
      <c r="H6" s="76"/>
      <c r="I6" s="76"/>
      <c r="J6" s="76"/>
      <c r="K6" s="76"/>
      <c r="L6" s="76"/>
      <c r="M6" s="77"/>
      <c r="O6" s="73"/>
    </row>
    <row r="7" spans="1:19">
      <c r="B7" s="78" t="s">
        <v>513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80"/>
      <c r="O7" s="73"/>
    </row>
    <row r="8" spans="1:19" s="48" customFormat="1" ht="34">
      <c r="A8"/>
      <c r="B8" s="213" t="s">
        <v>27</v>
      </c>
      <c r="C8" s="213" t="s">
        <v>28</v>
      </c>
      <c r="D8" s="213" t="s">
        <v>29</v>
      </c>
      <c r="E8" s="213" t="s">
        <v>30</v>
      </c>
      <c r="F8" s="213" t="s">
        <v>31</v>
      </c>
      <c r="G8" s="213" t="s">
        <v>32</v>
      </c>
      <c r="H8" s="213" t="s">
        <v>33</v>
      </c>
      <c r="I8" s="213" t="s">
        <v>34</v>
      </c>
      <c r="J8" s="213" t="s">
        <v>35</v>
      </c>
      <c r="K8" s="213" t="s">
        <v>36</v>
      </c>
      <c r="L8" s="213" t="s">
        <v>37</v>
      </c>
      <c r="M8" s="213" t="s">
        <v>38</v>
      </c>
      <c r="N8" s="213" t="s">
        <v>39</v>
      </c>
      <c r="O8" s="213" t="s">
        <v>40</v>
      </c>
      <c r="P8" s="213" t="s">
        <v>41</v>
      </c>
      <c r="Q8" s="213" t="s">
        <v>42</v>
      </c>
      <c r="R8" s="214" t="s">
        <v>18</v>
      </c>
      <c r="S8" s="215" t="s">
        <v>19</v>
      </c>
    </row>
    <row r="9" spans="1:19" s="82" customFormat="1" ht="56.25" customHeight="1">
      <c r="A9" s="83">
        <v>1</v>
      </c>
      <c r="B9" s="84">
        <v>45154</v>
      </c>
      <c r="C9" s="85">
        <v>45709</v>
      </c>
      <c r="D9" s="97">
        <v>1</v>
      </c>
      <c r="E9" s="97">
        <v>83340602</v>
      </c>
      <c r="F9" s="98" t="s">
        <v>352</v>
      </c>
      <c r="G9" s="88">
        <v>111000031</v>
      </c>
      <c r="H9" s="99" t="s">
        <v>88</v>
      </c>
      <c r="I9" s="86" t="s">
        <v>353</v>
      </c>
      <c r="J9" s="87" t="s">
        <v>43</v>
      </c>
      <c r="K9" s="88" t="s">
        <v>81</v>
      </c>
      <c r="L9" s="88" t="s">
        <v>354</v>
      </c>
      <c r="M9" s="100" t="s">
        <v>357</v>
      </c>
      <c r="N9" s="89">
        <v>15</v>
      </c>
      <c r="O9" s="250">
        <v>1716141047</v>
      </c>
      <c r="P9" s="251" t="s">
        <v>355</v>
      </c>
      <c r="Q9" s="82">
        <v>980682260</v>
      </c>
      <c r="S9" s="223" t="s">
        <v>356</v>
      </c>
    </row>
    <row r="10" spans="1:19" s="82" customFormat="1" ht="56.25" customHeight="1">
      <c r="A10" s="83">
        <v>2</v>
      </c>
      <c r="B10" s="84">
        <v>45540</v>
      </c>
      <c r="C10" s="85">
        <v>45712</v>
      </c>
      <c r="D10" s="97">
        <v>1</v>
      </c>
      <c r="E10" s="97"/>
      <c r="F10" s="98"/>
      <c r="G10" s="88">
        <v>112570239</v>
      </c>
      <c r="H10" s="99" t="s">
        <v>358</v>
      </c>
      <c r="I10" s="86" t="s">
        <v>359</v>
      </c>
      <c r="J10" s="87" t="s">
        <v>43</v>
      </c>
      <c r="K10" s="88" t="s">
        <v>81</v>
      </c>
      <c r="L10" s="88" t="s">
        <v>360</v>
      </c>
      <c r="M10" s="100" t="s">
        <v>361</v>
      </c>
      <c r="N10" s="89">
        <v>12.5</v>
      </c>
      <c r="O10" s="250">
        <v>104196647</v>
      </c>
      <c r="P10" s="251" t="s">
        <v>362</v>
      </c>
      <c r="Q10" s="82">
        <v>997436897</v>
      </c>
      <c r="S10" s="224" t="s">
        <v>363</v>
      </c>
    </row>
    <row r="11" spans="1:19" s="82" customFormat="1" ht="56.25" customHeight="1">
      <c r="A11" s="83">
        <v>3</v>
      </c>
      <c r="B11" s="84">
        <v>45498</v>
      </c>
      <c r="C11" s="85">
        <v>45729</v>
      </c>
      <c r="D11" s="97">
        <v>1</v>
      </c>
      <c r="E11" s="97">
        <v>99119774</v>
      </c>
      <c r="F11" s="98" t="s">
        <v>412</v>
      </c>
      <c r="G11" s="88">
        <v>40197255</v>
      </c>
      <c r="H11" s="98" t="s">
        <v>411</v>
      </c>
      <c r="I11" s="86" t="s">
        <v>413</v>
      </c>
      <c r="J11" s="87" t="s">
        <v>43</v>
      </c>
      <c r="K11" s="88" t="s">
        <v>81</v>
      </c>
      <c r="L11" s="88" t="s">
        <v>414</v>
      </c>
      <c r="M11" s="100" t="s">
        <v>415</v>
      </c>
      <c r="N11" s="89">
        <v>12.5</v>
      </c>
      <c r="O11" s="250" t="s">
        <v>416</v>
      </c>
      <c r="P11" s="251" t="s">
        <v>417</v>
      </c>
      <c r="Q11" s="82">
        <v>984929898</v>
      </c>
      <c r="S11" s="224" t="s">
        <v>418</v>
      </c>
    </row>
    <row r="12" spans="1:19" s="82" customFormat="1" ht="56.25" customHeight="1">
      <c r="A12" s="83">
        <v>4</v>
      </c>
      <c r="B12" s="84">
        <v>45552</v>
      </c>
      <c r="C12" s="85">
        <v>45729</v>
      </c>
      <c r="D12" s="97">
        <v>1</v>
      </c>
      <c r="E12" s="97">
        <v>60803326</v>
      </c>
      <c r="F12" s="98" t="s">
        <v>419</v>
      </c>
      <c r="G12" s="88">
        <v>112500049</v>
      </c>
      <c r="H12" s="99" t="s">
        <v>95</v>
      </c>
      <c r="I12" s="86" t="s">
        <v>420</v>
      </c>
      <c r="J12" s="87" t="s">
        <v>43</v>
      </c>
      <c r="K12" s="88" t="s">
        <v>81</v>
      </c>
      <c r="L12" s="88" t="s">
        <v>424</v>
      </c>
      <c r="M12" s="100" t="s">
        <v>421</v>
      </c>
      <c r="N12" s="89">
        <v>12.5</v>
      </c>
      <c r="O12" s="250">
        <v>500609417</v>
      </c>
      <c r="P12" s="251" t="s">
        <v>422</v>
      </c>
      <c r="Q12" s="82">
        <v>994509684</v>
      </c>
      <c r="S12" s="224" t="s">
        <v>423</v>
      </c>
    </row>
    <row r="13" spans="1:19" s="82" customFormat="1" ht="56.25" customHeight="1">
      <c r="A13" s="83">
        <v>5</v>
      </c>
      <c r="B13" s="84">
        <v>44751</v>
      </c>
      <c r="C13" s="85">
        <v>45729</v>
      </c>
      <c r="D13" s="97">
        <v>1</v>
      </c>
      <c r="E13" s="97"/>
      <c r="F13" s="98"/>
      <c r="G13" s="88">
        <v>112520025</v>
      </c>
      <c r="H13" s="99" t="s">
        <v>366</v>
      </c>
      <c r="I13" s="86" t="s">
        <v>425</v>
      </c>
      <c r="J13" s="87" t="s">
        <v>43</v>
      </c>
      <c r="K13" s="88" t="s">
        <v>81</v>
      </c>
      <c r="L13" s="88" t="s">
        <v>426</v>
      </c>
      <c r="M13" s="100" t="s">
        <v>427</v>
      </c>
      <c r="N13" s="89">
        <v>12.5</v>
      </c>
      <c r="O13" s="250" t="s">
        <v>428</v>
      </c>
      <c r="P13" s="251" t="s">
        <v>429</v>
      </c>
      <c r="Q13" s="82">
        <v>989550351</v>
      </c>
      <c r="S13" s="224" t="s">
        <v>430</v>
      </c>
    </row>
    <row r="14" spans="1:19" s="82" customFormat="1" ht="56.25" customHeight="1">
      <c r="A14" s="83">
        <v>6</v>
      </c>
      <c r="B14" s="90">
        <v>45730</v>
      </c>
      <c r="C14" s="91">
        <v>45730</v>
      </c>
      <c r="D14" s="101">
        <v>1</v>
      </c>
      <c r="E14" s="101"/>
      <c r="F14" s="102"/>
      <c r="G14" s="94">
        <v>40197255</v>
      </c>
      <c r="H14" s="98" t="s">
        <v>411</v>
      </c>
      <c r="I14" s="92" t="s">
        <v>431</v>
      </c>
      <c r="J14" s="93" t="s">
        <v>43</v>
      </c>
      <c r="K14" s="94" t="s">
        <v>81</v>
      </c>
      <c r="L14" s="94" t="s">
        <v>432</v>
      </c>
      <c r="M14" s="103" t="s">
        <v>433</v>
      </c>
      <c r="N14" s="95">
        <v>12.5</v>
      </c>
      <c r="O14" s="253" t="s">
        <v>434</v>
      </c>
      <c r="P14" s="254" t="s">
        <v>435</v>
      </c>
      <c r="Q14" s="96">
        <v>72828939</v>
      </c>
      <c r="R14" s="96"/>
      <c r="S14" s="225" t="s">
        <v>436</v>
      </c>
    </row>
    <row r="15" spans="1:19" s="82" customFormat="1" ht="54">
      <c r="A15" s="83">
        <v>7</v>
      </c>
      <c r="B15" s="90">
        <v>45381</v>
      </c>
      <c r="C15" s="91">
        <v>45730</v>
      </c>
      <c r="D15" s="101">
        <v>1</v>
      </c>
      <c r="E15" s="97">
        <v>99119774</v>
      </c>
      <c r="F15" s="98" t="s">
        <v>412</v>
      </c>
      <c r="G15" s="88">
        <v>40197255</v>
      </c>
      <c r="H15" s="98" t="s">
        <v>411</v>
      </c>
      <c r="I15" s="92" t="s">
        <v>454</v>
      </c>
      <c r="J15" s="93" t="s">
        <v>43</v>
      </c>
      <c r="K15" s="94" t="s">
        <v>81</v>
      </c>
      <c r="L15" s="94" t="s">
        <v>455</v>
      </c>
      <c r="M15" s="100" t="s">
        <v>415</v>
      </c>
      <c r="N15" s="95">
        <v>12.5</v>
      </c>
      <c r="O15" s="253" t="s">
        <v>456</v>
      </c>
      <c r="P15" s="254" t="s">
        <v>457</v>
      </c>
      <c r="Q15" s="96">
        <v>990194159</v>
      </c>
      <c r="R15" s="96"/>
      <c r="S15" s="225" t="s">
        <v>458</v>
      </c>
    </row>
    <row r="16" spans="1:19" s="82" customFormat="1" ht="17">
      <c r="A16" s="104"/>
      <c r="B16" s="105"/>
      <c r="M16" s="106"/>
      <c r="N16" s="255">
        <f>SUM(N9:N15)</f>
        <v>90</v>
      </c>
    </row>
    <row r="17" spans="1:13" s="82" customFormat="1" ht="17">
      <c r="A17" s="104"/>
      <c r="B17" s="105"/>
      <c r="K17" s="108"/>
      <c r="L17" s="108"/>
      <c r="M17" s="106"/>
    </row>
    <row r="18" spans="1:13" s="82" customFormat="1" ht="17">
      <c r="A18" s="104"/>
      <c r="B18" s="105"/>
      <c r="K18" s="108"/>
      <c r="L18" s="108"/>
      <c r="M18" s="106"/>
    </row>
    <row r="19" spans="1:13" s="82" customFormat="1" ht="17">
      <c r="A19" s="104"/>
      <c r="B19" s="105"/>
      <c r="K19" s="108"/>
      <c r="L19" s="108"/>
      <c r="M19" s="106"/>
    </row>
    <row r="20" spans="1:13" s="82" customFormat="1" ht="17">
      <c r="A20" s="104"/>
      <c r="B20" s="105"/>
      <c r="K20" s="108"/>
      <c r="L20" s="108"/>
      <c r="M20" s="106"/>
    </row>
    <row r="21" spans="1:13" s="82" customFormat="1" ht="17">
      <c r="A21" s="104"/>
      <c r="B21" s="105"/>
      <c r="K21" s="108"/>
      <c r="L21" s="108"/>
      <c r="M21" s="106"/>
    </row>
    <row r="22" spans="1:13" s="82" customFormat="1" ht="17">
      <c r="A22" s="104"/>
      <c r="B22" s="105"/>
      <c r="F22" s="107"/>
      <c r="G22" s="108"/>
      <c r="H22" s="108"/>
      <c r="I22" s="108"/>
      <c r="J22" s="108"/>
      <c r="K22" s="108"/>
      <c r="L22" s="108"/>
      <c r="M22" s="106"/>
    </row>
    <row r="23" spans="1:13" ht="17">
      <c r="F23" s="107">
        <v>3</v>
      </c>
      <c r="G23" s="108" t="s">
        <v>437</v>
      </c>
      <c r="H23" s="109"/>
      <c r="I23" s="109">
        <v>12.5</v>
      </c>
      <c r="J23" s="109">
        <f>F23*I23</f>
        <v>37.5</v>
      </c>
    </row>
    <row r="24" spans="1:13" ht="17">
      <c r="F24" s="107">
        <v>3</v>
      </c>
      <c r="G24" s="108" t="s">
        <v>438</v>
      </c>
      <c r="H24" s="109"/>
      <c r="I24" s="109">
        <v>12.5</v>
      </c>
      <c r="J24" s="109">
        <f t="shared" ref="J24:J25" si="0">F24*I24</f>
        <v>37.5</v>
      </c>
    </row>
    <row r="25" spans="1:13" ht="17">
      <c r="F25" s="107">
        <v>1</v>
      </c>
      <c r="G25" s="108" t="s">
        <v>439</v>
      </c>
      <c r="H25" s="108"/>
      <c r="I25" s="109">
        <v>15</v>
      </c>
      <c r="J25" s="109">
        <f t="shared" si="0"/>
        <v>15</v>
      </c>
    </row>
    <row r="26" spans="1:13" ht="17">
      <c r="F26" s="107"/>
      <c r="G26" s="108"/>
      <c r="H26" s="108"/>
      <c r="I26" s="109"/>
      <c r="J26" s="109"/>
    </row>
    <row r="27" spans="1:13" ht="17">
      <c r="F27" s="110">
        <v>7</v>
      </c>
      <c r="G27" s="108" t="s">
        <v>44</v>
      </c>
      <c r="H27" s="108"/>
      <c r="I27" s="108"/>
      <c r="J27" s="109">
        <f>SUM(J23:J26)</f>
        <v>90</v>
      </c>
    </row>
  </sheetData>
  <hyperlinks>
    <hyperlink ref="P9" r:id="rId1" xr:uid="{1026BC8F-19CB-B54D-9FEA-70F95DA7A998}"/>
    <hyperlink ref="P10" r:id="rId2" xr:uid="{37AD3212-E053-D246-BBAF-3681BB3BF4C4}"/>
    <hyperlink ref="P11" r:id="rId3" xr:uid="{93DFDCED-827B-AF4D-903A-D7CECAE87C6E}"/>
    <hyperlink ref="P12" r:id="rId4" xr:uid="{BB341D5B-2C77-C040-80FB-D8CBA7474B40}"/>
    <hyperlink ref="P13" r:id="rId5" xr:uid="{A01C9BDD-19F6-D54B-B4FE-087E6397CAAC}"/>
    <hyperlink ref="P14" r:id="rId6" xr:uid="{43220725-CAAF-5447-9255-4367CEC4BE70}"/>
    <hyperlink ref="P15" r:id="rId7" xr:uid="{915B995F-47A7-684B-B3F6-F860DA79A0C7}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EF62-D7A2-46D2-A787-62936A952348}">
  <dimension ref="A3:U30"/>
  <sheetViews>
    <sheetView workbookViewId="0">
      <selection activeCell="F19" sqref="F19"/>
    </sheetView>
  </sheetViews>
  <sheetFormatPr baseColWidth="10" defaultRowHeight="15"/>
  <cols>
    <col min="3" max="3" width="20.6640625" customWidth="1"/>
    <col min="4" max="4" width="29.83203125" customWidth="1"/>
    <col min="5" max="5" width="16.6640625" customWidth="1"/>
    <col min="6" max="6" width="32.33203125" customWidth="1"/>
    <col min="7" max="7" width="16.83203125" customWidth="1"/>
    <col min="12" max="12" width="19.1640625" customWidth="1"/>
    <col min="13" max="13" width="28.1640625" customWidth="1"/>
    <col min="14" max="14" width="12.83203125" bestFit="1" customWidth="1"/>
    <col min="16" max="16" width="22.6640625" customWidth="1"/>
    <col min="19" max="19" width="23.33203125" customWidth="1"/>
    <col min="20" max="20" width="14.1640625" customWidth="1"/>
    <col min="21" max="21" width="23.83203125" customWidth="1"/>
  </cols>
  <sheetData>
    <row r="3" spans="1:21">
      <c r="A3" s="111"/>
      <c r="B3" s="112"/>
      <c r="C3" s="113" t="s">
        <v>45</v>
      </c>
      <c r="D3" s="112"/>
      <c r="E3" s="114"/>
      <c r="F3" s="112"/>
      <c r="G3" s="115"/>
      <c r="H3" s="112"/>
      <c r="I3" s="112"/>
      <c r="J3" s="112"/>
      <c r="K3" s="116"/>
      <c r="L3" s="116"/>
      <c r="M3" s="112"/>
      <c r="N3" s="112"/>
      <c r="O3" s="117"/>
      <c r="P3" s="112"/>
      <c r="Q3" s="112"/>
      <c r="R3" s="112"/>
      <c r="S3" s="112"/>
      <c r="T3" s="112"/>
      <c r="U3" s="118"/>
    </row>
    <row r="4" spans="1:21">
      <c r="A4" s="111"/>
      <c r="B4" s="112"/>
      <c r="C4" s="119" t="s">
        <v>46</v>
      </c>
      <c r="D4" s="112"/>
      <c r="E4" s="112"/>
      <c r="F4" s="112"/>
      <c r="G4" s="115"/>
      <c r="H4" s="112"/>
      <c r="I4" s="112" t="s">
        <v>47</v>
      </c>
      <c r="J4" s="112"/>
      <c r="K4" s="116"/>
      <c r="L4" s="116"/>
      <c r="M4" s="112" t="s">
        <v>83</v>
      </c>
      <c r="N4" s="112"/>
      <c r="O4" s="117"/>
      <c r="P4" s="112"/>
      <c r="Q4" s="120"/>
      <c r="R4" s="112"/>
      <c r="S4" s="112"/>
      <c r="T4" s="121"/>
      <c r="U4" s="122">
        <v>45717</v>
      </c>
    </row>
    <row r="5" spans="1:21" ht="25">
      <c r="A5" s="118"/>
      <c r="B5" s="123" t="s">
        <v>2</v>
      </c>
      <c r="C5" s="123" t="s">
        <v>3</v>
      </c>
      <c r="D5" s="123" t="s">
        <v>4</v>
      </c>
      <c r="E5" s="123" t="s">
        <v>5</v>
      </c>
      <c r="F5" s="123" t="s">
        <v>6</v>
      </c>
      <c r="G5" s="123" t="s">
        <v>7</v>
      </c>
      <c r="H5" s="123" t="s">
        <v>8</v>
      </c>
      <c r="I5" s="123" t="s">
        <v>9</v>
      </c>
      <c r="J5" s="123" t="s">
        <v>10</v>
      </c>
      <c r="K5" s="124" t="s">
        <v>48</v>
      </c>
      <c r="L5" s="124" t="s">
        <v>12</v>
      </c>
      <c r="M5" s="124" t="s">
        <v>13</v>
      </c>
      <c r="N5" s="124" t="s">
        <v>14</v>
      </c>
      <c r="O5" s="125" t="s">
        <v>15</v>
      </c>
      <c r="P5" s="124" t="s">
        <v>49</v>
      </c>
      <c r="Q5" s="124" t="s">
        <v>50</v>
      </c>
      <c r="R5" s="126" t="s">
        <v>51</v>
      </c>
      <c r="S5" s="126" t="s">
        <v>19</v>
      </c>
      <c r="T5" s="127" t="s">
        <v>20</v>
      </c>
      <c r="U5" s="128" t="s">
        <v>52</v>
      </c>
    </row>
    <row r="6" spans="1:21" s="37" customFormat="1" ht="28" customHeight="1">
      <c r="A6" s="129">
        <v>1</v>
      </c>
      <c r="B6" s="149">
        <v>45700</v>
      </c>
      <c r="C6" s="150" t="s">
        <v>108</v>
      </c>
      <c r="D6" s="151" t="s">
        <v>202</v>
      </c>
      <c r="E6" s="151">
        <v>111570002</v>
      </c>
      <c r="F6" s="140" t="s">
        <v>201</v>
      </c>
      <c r="G6" s="151" t="s">
        <v>203</v>
      </c>
      <c r="H6" s="153"/>
      <c r="I6" s="154" t="s">
        <v>81</v>
      </c>
      <c r="J6" s="154" t="s">
        <v>82</v>
      </c>
      <c r="K6" s="154">
        <v>45712</v>
      </c>
      <c r="L6" s="150" t="s">
        <v>204</v>
      </c>
      <c r="M6" s="150" t="s">
        <v>205</v>
      </c>
      <c r="N6" s="150">
        <v>969620107</v>
      </c>
      <c r="O6" s="155">
        <v>29</v>
      </c>
      <c r="P6" s="150" t="s">
        <v>54</v>
      </c>
      <c r="Q6" s="150" t="s">
        <v>81</v>
      </c>
      <c r="R6" s="156">
        <v>0</v>
      </c>
      <c r="S6" s="156" t="str">
        <f>D6</f>
        <v>038-904-000188199</v>
      </c>
      <c r="T6" s="157">
        <v>1710801182</v>
      </c>
      <c r="U6" s="247" t="s">
        <v>206</v>
      </c>
    </row>
    <row r="7" spans="1:21" s="37" customFormat="1" ht="28" customHeight="1">
      <c r="A7" s="129">
        <v>2</v>
      </c>
      <c r="B7" s="136">
        <v>45712</v>
      </c>
      <c r="C7" s="137" t="s">
        <v>207</v>
      </c>
      <c r="D7" s="138" t="s">
        <v>208</v>
      </c>
      <c r="E7" s="139">
        <v>111570003</v>
      </c>
      <c r="F7" s="140" t="s">
        <v>201</v>
      </c>
      <c r="G7" s="138" t="s">
        <v>209</v>
      </c>
      <c r="H7" s="141"/>
      <c r="I7" s="142" t="s">
        <v>81</v>
      </c>
      <c r="J7" s="218" t="s">
        <v>82</v>
      </c>
      <c r="K7" s="143">
        <v>45715</v>
      </c>
      <c r="L7" s="144" t="s">
        <v>210</v>
      </c>
      <c r="M7" s="145" t="s">
        <v>211</v>
      </c>
      <c r="N7" s="144">
        <v>984854758</v>
      </c>
      <c r="O7" s="146">
        <v>29</v>
      </c>
      <c r="P7" s="144" t="s">
        <v>54</v>
      </c>
      <c r="Q7" s="219" t="s">
        <v>81</v>
      </c>
      <c r="R7" s="147">
        <v>0</v>
      </c>
      <c r="S7" s="156" t="str">
        <f t="shared" ref="S7:S9" si="0">D7</f>
        <v>040-104-000009993</v>
      </c>
      <c r="T7" s="148">
        <v>101031813</v>
      </c>
      <c r="U7" s="248" t="s">
        <v>212</v>
      </c>
    </row>
    <row r="8" spans="1:21" s="37" customFormat="1" ht="28" customHeight="1">
      <c r="A8" s="129">
        <v>3</v>
      </c>
      <c r="B8" s="149">
        <v>45802</v>
      </c>
      <c r="C8" s="150" t="s">
        <v>101</v>
      </c>
      <c r="D8" s="151" t="s">
        <v>440</v>
      </c>
      <c r="E8" s="151">
        <v>111570003</v>
      </c>
      <c r="F8" s="140" t="s">
        <v>201</v>
      </c>
      <c r="G8" s="151" t="s">
        <v>198</v>
      </c>
      <c r="H8" s="153"/>
      <c r="I8" s="154" t="s">
        <v>81</v>
      </c>
      <c r="J8" s="154" t="s">
        <v>82</v>
      </c>
      <c r="K8" s="154">
        <v>45715</v>
      </c>
      <c r="L8" s="150" t="s">
        <v>441</v>
      </c>
      <c r="M8" s="150" t="s">
        <v>91</v>
      </c>
      <c r="N8" s="150">
        <v>983549571</v>
      </c>
      <c r="O8" s="155">
        <v>29</v>
      </c>
      <c r="P8" s="150" t="s">
        <v>54</v>
      </c>
      <c r="Q8" s="150" t="s">
        <v>81</v>
      </c>
      <c r="R8" s="156">
        <v>0</v>
      </c>
      <c r="S8" s="156" t="str">
        <f t="shared" si="0"/>
        <v>001-502-000000162</v>
      </c>
      <c r="T8" s="150">
        <v>300722907</v>
      </c>
      <c r="U8" s="247" t="s">
        <v>199</v>
      </c>
    </row>
    <row r="9" spans="1:21" s="37" customFormat="1" ht="28" customHeight="1">
      <c r="A9" s="129">
        <v>4</v>
      </c>
      <c r="B9" s="149">
        <v>45723</v>
      </c>
      <c r="C9" s="150" t="s">
        <v>200</v>
      </c>
      <c r="D9" s="151" t="s">
        <v>53</v>
      </c>
      <c r="E9" s="151">
        <v>111570002</v>
      </c>
      <c r="F9" s="152" t="s">
        <v>332</v>
      </c>
      <c r="G9" s="151" t="s">
        <v>333</v>
      </c>
      <c r="H9" s="153"/>
      <c r="I9" s="154" t="s">
        <v>81</v>
      </c>
      <c r="J9" s="154" t="s">
        <v>82</v>
      </c>
      <c r="K9" s="154">
        <v>45695</v>
      </c>
      <c r="L9" s="150" t="s">
        <v>334</v>
      </c>
      <c r="M9" s="150" t="s">
        <v>335</v>
      </c>
      <c r="N9" s="150">
        <v>963511443</v>
      </c>
      <c r="O9" s="155">
        <v>29</v>
      </c>
      <c r="P9" s="150" t="s">
        <v>103</v>
      </c>
      <c r="Q9" s="150" t="s">
        <v>81</v>
      </c>
      <c r="R9" s="156">
        <v>0</v>
      </c>
      <c r="S9" s="156" t="str">
        <f t="shared" si="0"/>
        <v>Sap Teka</v>
      </c>
      <c r="T9" s="157">
        <v>1714494646</v>
      </c>
      <c r="U9" s="247" t="s">
        <v>336</v>
      </c>
    </row>
    <row r="10" spans="1:21" s="37" customFormat="1" ht="28" customHeight="1">
      <c r="A10" s="129">
        <v>5</v>
      </c>
      <c r="B10" s="149">
        <v>45723</v>
      </c>
      <c r="C10" s="150" t="s">
        <v>200</v>
      </c>
      <c r="D10" s="151" t="s">
        <v>53</v>
      </c>
      <c r="E10" s="151">
        <v>111570002</v>
      </c>
      <c r="F10" s="152" t="s">
        <v>332</v>
      </c>
      <c r="G10" s="151" t="s">
        <v>337</v>
      </c>
      <c r="H10" s="153"/>
      <c r="I10" s="154" t="s">
        <v>81</v>
      </c>
      <c r="J10" s="154" t="s">
        <v>82</v>
      </c>
      <c r="K10" s="154">
        <v>45695</v>
      </c>
      <c r="L10" s="150" t="s">
        <v>334</v>
      </c>
      <c r="M10" s="150" t="s">
        <v>335</v>
      </c>
      <c r="N10" s="150">
        <v>963511443</v>
      </c>
      <c r="O10" s="155">
        <v>29</v>
      </c>
      <c r="P10" s="150" t="s">
        <v>103</v>
      </c>
      <c r="Q10" s="150" t="s">
        <v>81</v>
      </c>
      <c r="R10" s="156">
        <v>0</v>
      </c>
      <c r="S10" s="156" t="str">
        <f t="shared" ref="S10:S12" si="1">D10</f>
        <v>Sap Teka</v>
      </c>
      <c r="T10" s="157">
        <v>1714494646</v>
      </c>
      <c r="U10" s="247" t="s">
        <v>336</v>
      </c>
    </row>
    <row r="11" spans="1:21" s="37" customFormat="1" ht="28" customHeight="1">
      <c r="A11" s="129">
        <v>6</v>
      </c>
      <c r="B11" s="149">
        <v>45723</v>
      </c>
      <c r="C11" s="150" t="s">
        <v>200</v>
      </c>
      <c r="D11" s="151" t="s">
        <v>53</v>
      </c>
      <c r="E11" s="151">
        <v>111570002</v>
      </c>
      <c r="F11" s="140" t="s">
        <v>201</v>
      </c>
      <c r="G11" s="151" t="s">
        <v>338</v>
      </c>
      <c r="H11" s="153"/>
      <c r="I11" s="154" t="s">
        <v>81</v>
      </c>
      <c r="J11" s="154" t="s">
        <v>82</v>
      </c>
      <c r="K11" s="154">
        <v>45695</v>
      </c>
      <c r="L11" s="150" t="s">
        <v>334</v>
      </c>
      <c r="M11" s="150" t="s">
        <v>335</v>
      </c>
      <c r="N11" s="150">
        <v>963511443</v>
      </c>
      <c r="O11" s="155">
        <v>29</v>
      </c>
      <c r="P11" s="150" t="s">
        <v>103</v>
      </c>
      <c r="Q11" s="150" t="s">
        <v>81</v>
      </c>
      <c r="R11" s="156">
        <v>0</v>
      </c>
      <c r="S11" s="156" t="str">
        <f t="shared" si="1"/>
        <v>Sap Teka</v>
      </c>
      <c r="T11" s="157">
        <v>1714494646</v>
      </c>
      <c r="U11" s="247" t="s">
        <v>336</v>
      </c>
    </row>
    <row r="12" spans="1:21" s="37" customFormat="1" ht="28" customHeight="1">
      <c r="A12" s="129">
        <v>7</v>
      </c>
      <c r="B12" s="149">
        <v>45723</v>
      </c>
      <c r="C12" s="150" t="s">
        <v>200</v>
      </c>
      <c r="D12" s="151" t="s">
        <v>53</v>
      </c>
      <c r="E12" s="151">
        <v>111570002</v>
      </c>
      <c r="F12" s="140" t="s">
        <v>201</v>
      </c>
      <c r="G12" s="258" t="s">
        <v>339</v>
      </c>
      <c r="H12" s="259"/>
      <c r="I12" s="218" t="s">
        <v>81</v>
      </c>
      <c r="J12" s="218" t="s">
        <v>82</v>
      </c>
      <c r="K12" s="218">
        <v>45695</v>
      </c>
      <c r="L12" s="219" t="s">
        <v>334</v>
      </c>
      <c r="M12" s="219" t="s">
        <v>335</v>
      </c>
      <c r="N12" s="219">
        <v>963511443</v>
      </c>
      <c r="O12" s="260">
        <v>29</v>
      </c>
      <c r="P12" s="219" t="s">
        <v>103</v>
      </c>
      <c r="Q12" s="219" t="s">
        <v>81</v>
      </c>
      <c r="R12" s="261">
        <v>0</v>
      </c>
      <c r="S12" s="261" t="str">
        <f t="shared" si="1"/>
        <v>Sap Teka</v>
      </c>
      <c r="T12" s="262">
        <v>1714494646</v>
      </c>
      <c r="U12" s="263" t="s">
        <v>336</v>
      </c>
    </row>
    <row r="13" spans="1:21">
      <c r="O13" s="161">
        <f>SUM(O6:O12)</f>
        <v>203</v>
      </c>
    </row>
    <row r="16" spans="1:21" ht="17">
      <c r="J16" s="132">
        <v>7</v>
      </c>
      <c r="K16" s="132">
        <v>29</v>
      </c>
      <c r="L16" s="132">
        <v>203</v>
      </c>
    </row>
    <row r="17" spans="10:15" ht="17">
      <c r="J17" s="132"/>
      <c r="K17" s="132"/>
      <c r="L17" s="132"/>
    </row>
    <row r="25" spans="10:15" ht="18">
      <c r="J25" s="131"/>
      <c r="K25" s="130"/>
      <c r="L25" s="130"/>
      <c r="M25" s="131"/>
      <c r="N25" s="131"/>
      <c r="O25" s="133"/>
    </row>
    <row r="26" spans="10:15" ht="18">
      <c r="J26" s="131"/>
      <c r="K26" s="130"/>
      <c r="L26" s="130"/>
      <c r="M26" s="131"/>
      <c r="N26" s="131"/>
      <c r="O26" s="133"/>
    </row>
    <row r="27" spans="10:15" ht="18">
      <c r="J27" s="131"/>
      <c r="K27" s="130"/>
      <c r="L27" s="130"/>
      <c r="M27" s="131"/>
      <c r="N27" s="131"/>
      <c r="O27" s="133"/>
    </row>
    <row r="28" spans="10:15" ht="17">
      <c r="J28" s="132"/>
      <c r="K28" s="132"/>
      <c r="L28" s="132"/>
      <c r="M28" s="132"/>
      <c r="N28" s="132"/>
      <c r="O28" s="134"/>
    </row>
    <row r="29" spans="10:15" ht="17">
      <c r="M29" s="132"/>
      <c r="N29" s="132"/>
      <c r="O29" s="132"/>
    </row>
    <row r="30" spans="10:15" ht="17">
      <c r="M30" s="135"/>
      <c r="N30" s="132"/>
      <c r="O30" s="132"/>
    </row>
  </sheetData>
  <hyperlinks>
    <hyperlink ref="U8" r:id="rId1" xr:uid="{60B966E7-4DA8-CE40-AD9C-72400421ADE6}"/>
    <hyperlink ref="U6" r:id="rId2" xr:uid="{D313961C-FEFF-EE4D-A7AB-286AAA8168F3}"/>
    <hyperlink ref="U7" r:id="rId3" xr:uid="{44351506-327B-0A46-83FE-7BAF49F832B5}"/>
    <hyperlink ref="U9" r:id="rId4" xr:uid="{2DEE3940-0132-F749-A6FB-76478CFBB6EA}"/>
    <hyperlink ref="U10" r:id="rId5" xr:uid="{2C13CD6E-4E0B-9C4B-8599-4ABAE681CF93}"/>
    <hyperlink ref="U11" r:id="rId6" xr:uid="{75C50C00-0FE7-7E49-8C1E-96D924C38CFA}"/>
    <hyperlink ref="U12" r:id="rId7" xr:uid="{90B457B1-F942-5942-97BE-48CAD18C9CEB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765C-DFBD-4178-AC2D-1D794FCFC321}">
  <dimension ref="A3:T16"/>
  <sheetViews>
    <sheetView workbookViewId="0">
      <selection activeCell="P16" sqref="P16"/>
    </sheetView>
  </sheetViews>
  <sheetFormatPr baseColWidth="10" defaultRowHeight="15"/>
  <cols>
    <col min="2" max="2" width="16.83203125" customWidth="1"/>
    <col min="5" max="5" width="15.5" customWidth="1"/>
    <col min="6" max="6" width="24.6640625" customWidth="1"/>
    <col min="7" max="7" width="15.6640625" bestFit="1" customWidth="1"/>
    <col min="10" max="10" width="15.6640625" customWidth="1"/>
    <col min="11" max="11" width="18.6640625" customWidth="1"/>
    <col min="12" max="12" width="24.6640625" customWidth="1"/>
    <col min="13" max="13" width="20.1640625" customWidth="1"/>
    <col min="14" max="14" width="16" customWidth="1"/>
    <col min="16" max="16" width="22.5" customWidth="1"/>
  </cols>
  <sheetData>
    <row r="3" spans="1:2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0">
      <c r="A4" s="5"/>
      <c r="B4" s="5"/>
      <c r="C4" s="158" t="s">
        <v>55</v>
      </c>
      <c r="D4" s="159"/>
      <c r="E4" s="159"/>
      <c r="F4" s="5"/>
      <c r="G4" s="159"/>
      <c r="H4" s="159"/>
      <c r="I4" s="159"/>
      <c r="J4" s="159"/>
      <c r="K4" s="159"/>
      <c r="L4" s="159"/>
      <c r="M4" s="159"/>
      <c r="N4" s="159"/>
      <c r="O4" s="159"/>
      <c r="P4" s="5"/>
    </row>
    <row r="5" spans="1:20" ht="16" thickBot="1">
      <c r="A5" s="5"/>
      <c r="B5" s="159"/>
      <c r="C5" s="160" t="s">
        <v>1</v>
      </c>
      <c r="D5" s="160"/>
      <c r="E5" s="160"/>
      <c r="F5" s="5"/>
      <c r="J5" t="s">
        <v>68</v>
      </c>
      <c r="K5" s="5"/>
      <c r="L5" s="169" t="s">
        <v>83</v>
      </c>
      <c r="P5" s="5"/>
    </row>
    <row r="6" spans="1:20" s="23" customFormat="1" ht="58.5" customHeight="1">
      <c r="A6" s="163"/>
      <c r="B6" s="164" t="s">
        <v>56</v>
      </c>
      <c r="C6" s="165" t="s">
        <v>57</v>
      </c>
      <c r="D6" s="165" t="s">
        <v>4</v>
      </c>
      <c r="E6" s="166" t="s">
        <v>58</v>
      </c>
      <c r="F6" s="165" t="s">
        <v>59</v>
      </c>
      <c r="G6" s="165" t="s">
        <v>60</v>
      </c>
      <c r="H6" s="164" t="s">
        <v>8</v>
      </c>
      <c r="I6" s="165" t="s">
        <v>61</v>
      </c>
      <c r="J6" s="165" t="s">
        <v>62</v>
      </c>
      <c r="K6" s="165" t="s">
        <v>63</v>
      </c>
      <c r="L6" s="165" t="s">
        <v>12</v>
      </c>
      <c r="M6" s="167" t="s">
        <v>64</v>
      </c>
      <c r="N6" s="165" t="s">
        <v>14</v>
      </c>
      <c r="O6" s="168" t="s">
        <v>15</v>
      </c>
      <c r="P6" s="165" t="s">
        <v>65</v>
      </c>
    </row>
    <row r="7" spans="1:20" s="37" customFormat="1" ht="24" customHeight="1">
      <c r="A7" s="24">
        <v>1</v>
      </c>
      <c r="B7" s="25"/>
      <c r="C7" s="26" t="s">
        <v>97</v>
      </c>
      <c r="D7" s="26" t="s">
        <v>66</v>
      </c>
      <c r="E7" s="27">
        <v>112950020</v>
      </c>
      <c r="F7" s="28" t="s">
        <v>98</v>
      </c>
      <c r="G7" s="29" t="s">
        <v>99</v>
      </c>
      <c r="H7" s="30" t="s">
        <v>43</v>
      </c>
      <c r="I7" s="26" t="s">
        <v>81</v>
      </c>
      <c r="J7" s="29" t="s">
        <v>82</v>
      </c>
      <c r="K7" s="31" t="s">
        <v>100</v>
      </c>
      <c r="L7" s="32" t="s">
        <v>101</v>
      </c>
      <c r="M7" s="32" t="s">
        <v>102</v>
      </c>
      <c r="N7" s="29">
        <v>7241114427</v>
      </c>
      <c r="O7" s="33">
        <v>15</v>
      </c>
      <c r="P7" s="26" t="s">
        <v>103</v>
      </c>
      <c r="Q7" s="220"/>
      <c r="R7" s="221"/>
      <c r="S7" s="222"/>
      <c r="T7" s="36"/>
    </row>
    <row r="8" spans="1:20" s="37" customFormat="1" ht="24" customHeight="1">
      <c r="A8" s="24">
        <v>2</v>
      </c>
      <c r="B8" s="38"/>
      <c r="C8" s="39" t="s">
        <v>97</v>
      </c>
      <c r="D8" s="39" t="s">
        <v>66</v>
      </c>
      <c r="E8" s="40">
        <v>40466111</v>
      </c>
      <c r="F8" s="41" t="s">
        <v>104</v>
      </c>
      <c r="G8" s="42" t="s">
        <v>105</v>
      </c>
      <c r="H8" s="43" t="s">
        <v>43</v>
      </c>
      <c r="I8" s="39" t="s">
        <v>81</v>
      </c>
      <c r="J8" s="42" t="s">
        <v>82</v>
      </c>
      <c r="K8" s="44" t="s">
        <v>100</v>
      </c>
      <c r="L8" s="45" t="s">
        <v>101</v>
      </c>
      <c r="M8" s="45" t="s">
        <v>102</v>
      </c>
      <c r="N8" s="42">
        <v>7241114427</v>
      </c>
      <c r="O8" s="46">
        <v>15</v>
      </c>
      <c r="P8" s="39" t="s">
        <v>103</v>
      </c>
      <c r="Q8" s="220"/>
      <c r="R8" s="221"/>
      <c r="S8" s="222"/>
      <c r="T8" s="36"/>
    </row>
    <row r="9" spans="1:20" ht="19">
      <c r="O9" s="264">
        <f>SUM(O7:O8)</f>
        <v>30</v>
      </c>
    </row>
    <row r="12" spans="1:20">
      <c r="N12" t="s">
        <v>67</v>
      </c>
      <c r="O12" s="162">
        <v>30</v>
      </c>
    </row>
    <row r="15" spans="1:20">
      <c r="O15" s="161"/>
    </row>
    <row r="16" spans="1:20">
      <c r="O16" s="16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D7BF-7C56-47E2-844B-BC05BB89F4B0}">
  <dimension ref="A1:U12"/>
  <sheetViews>
    <sheetView workbookViewId="0">
      <selection activeCell="C23" sqref="C23"/>
    </sheetView>
  </sheetViews>
  <sheetFormatPr baseColWidth="10" defaultRowHeight="15"/>
  <cols>
    <col min="3" max="3" width="11.5" customWidth="1"/>
    <col min="7" max="7" width="25.33203125" customWidth="1"/>
    <col min="11" max="11" width="20" customWidth="1"/>
  </cols>
  <sheetData>
    <row r="1" spans="1:21">
      <c r="A1" s="170"/>
      <c r="B1" s="171" t="s">
        <v>69</v>
      </c>
      <c r="C1" s="172"/>
      <c r="D1" s="171"/>
      <c r="E1" s="173"/>
      <c r="F1" s="173"/>
      <c r="G1" s="174"/>
      <c r="H1" s="174"/>
      <c r="I1" s="174"/>
      <c r="J1" s="174"/>
      <c r="K1" s="174"/>
      <c r="L1" s="174"/>
      <c r="M1" s="175"/>
      <c r="N1" s="174"/>
      <c r="O1" s="174"/>
      <c r="P1" s="174"/>
    </row>
    <row r="2" spans="1:21">
      <c r="A2" s="170"/>
      <c r="B2" s="176" t="s">
        <v>514</v>
      </c>
      <c r="C2" s="177"/>
      <c r="D2" s="173"/>
      <c r="E2" s="173"/>
      <c r="F2" s="173"/>
      <c r="G2" s="174"/>
      <c r="H2" s="174"/>
      <c r="I2" s="174"/>
      <c r="J2" s="174"/>
      <c r="K2" s="174"/>
      <c r="L2" s="174"/>
      <c r="M2" s="175"/>
      <c r="N2" s="174"/>
      <c r="O2" s="174"/>
      <c r="P2" s="174"/>
    </row>
    <row r="3" spans="1:21">
      <c r="A3" s="170"/>
      <c r="B3" s="178"/>
      <c r="C3" s="179"/>
      <c r="D3" s="178"/>
      <c r="E3" s="178"/>
      <c r="F3" s="178"/>
      <c r="G3" s="178"/>
      <c r="H3" s="178"/>
      <c r="I3" s="180"/>
      <c r="J3" s="178"/>
      <c r="K3" s="173"/>
      <c r="L3" s="173"/>
      <c r="M3" s="181"/>
      <c r="N3" s="174"/>
      <c r="O3" s="174"/>
      <c r="P3" s="178"/>
    </row>
    <row r="4" spans="1:21">
      <c r="A4" s="170"/>
      <c r="B4" s="174"/>
      <c r="C4" s="179" t="s">
        <v>0</v>
      </c>
      <c r="D4" s="174"/>
      <c r="E4" s="182"/>
      <c r="F4" s="174"/>
      <c r="G4" s="183"/>
      <c r="H4" s="174"/>
      <c r="I4" s="174"/>
      <c r="J4" s="174"/>
      <c r="K4" s="173"/>
      <c r="L4" s="177"/>
      <c r="M4" s="175"/>
      <c r="N4" s="174"/>
      <c r="O4" s="174"/>
      <c r="P4" s="174"/>
    </row>
    <row r="5" spans="1:21">
      <c r="A5" s="170"/>
      <c r="B5" s="174"/>
      <c r="C5" s="184" t="s">
        <v>1</v>
      </c>
      <c r="D5" s="184" t="s">
        <v>1</v>
      </c>
      <c r="E5" s="174"/>
      <c r="G5" s="174"/>
      <c r="H5" s="174"/>
      <c r="I5" s="174"/>
      <c r="J5" s="174" t="s">
        <v>80</v>
      </c>
      <c r="K5" s="174"/>
      <c r="L5" s="174"/>
      <c r="M5" s="174" t="s">
        <v>83</v>
      </c>
    </row>
    <row r="6" spans="1:21" ht="37">
      <c r="A6" s="170"/>
      <c r="B6" s="185" t="s">
        <v>2</v>
      </c>
      <c r="C6" s="185" t="s">
        <v>3</v>
      </c>
      <c r="D6" s="185" t="s">
        <v>4</v>
      </c>
      <c r="E6" s="185" t="s">
        <v>5</v>
      </c>
      <c r="F6" s="186" t="s">
        <v>6</v>
      </c>
      <c r="G6" s="185" t="s">
        <v>7</v>
      </c>
      <c r="H6" s="185" t="s">
        <v>8</v>
      </c>
      <c r="I6" s="185" t="s">
        <v>9</v>
      </c>
      <c r="J6" s="185" t="s">
        <v>10</v>
      </c>
      <c r="K6" s="185" t="s">
        <v>11</v>
      </c>
      <c r="L6" s="185" t="s">
        <v>71</v>
      </c>
      <c r="M6" s="187" t="s">
        <v>72</v>
      </c>
      <c r="N6" s="185" t="s">
        <v>73</v>
      </c>
      <c r="O6" s="185" t="s">
        <v>70</v>
      </c>
      <c r="P6" s="185" t="s">
        <v>74</v>
      </c>
      <c r="Q6" s="185" t="s">
        <v>75</v>
      </c>
      <c r="R6" s="185" t="s">
        <v>76</v>
      </c>
      <c r="S6" s="185" t="s">
        <v>77</v>
      </c>
      <c r="T6" s="187" t="s">
        <v>78</v>
      </c>
      <c r="U6" s="185" t="s">
        <v>13</v>
      </c>
    </row>
    <row r="7" spans="1:21" s="48" customFormat="1" ht="24" customHeight="1">
      <c r="A7" s="48">
        <v>1</v>
      </c>
      <c r="B7" s="188"/>
      <c r="C7" s="189"/>
      <c r="D7" s="189"/>
      <c r="E7" s="190"/>
      <c r="F7" s="189"/>
      <c r="G7" s="191"/>
      <c r="H7" s="192"/>
      <c r="I7" s="193" t="s">
        <v>81</v>
      </c>
      <c r="J7" s="193" t="s">
        <v>82</v>
      </c>
      <c r="K7" s="194"/>
      <c r="L7" s="195"/>
      <c r="M7" s="195"/>
      <c r="N7" s="196"/>
      <c r="O7" s="197" t="s">
        <v>79</v>
      </c>
      <c r="P7" s="189"/>
      <c r="Q7" s="198"/>
      <c r="R7" s="199"/>
      <c r="S7" s="195"/>
      <c r="T7" s="195"/>
      <c r="U7" s="198"/>
    </row>
    <row r="8" spans="1:21" s="48" customFormat="1" ht="24" customHeight="1">
      <c r="A8" s="48">
        <v>2</v>
      </c>
      <c r="B8" s="188"/>
      <c r="C8" s="189"/>
      <c r="D8" s="189"/>
      <c r="E8" s="190"/>
      <c r="F8" s="189"/>
      <c r="G8" s="191"/>
      <c r="H8" s="192"/>
      <c r="I8" s="193" t="s">
        <v>81</v>
      </c>
      <c r="J8" s="193" t="s">
        <v>82</v>
      </c>
      <c r="K8" s="194"/>
      <c r="L8" s="195"/>
      <c r="M8" s="195"/>
      <c r="N8" s="196"/>
      <c r="O8" s="197" t="s">
        <v>79</v>
      </c>
      <c r="P8" s="189"/>
      <c r="Q8" s="198"/>
      <c r="R8" s="199"/>
      <c r="S8" s="195"/>
      <c r="T8" s="195"/>
      <c r="U8" s="198"/>
    </row>
    <row r="9" spans="1:21" s="48" customFormat="1" ht="24" customHeight="1">
      <c r="A9" s="48">
        <v>3</v>
      </c>
      <c r="B9" s="188"/>
      <c r="C9" s="189"/>
      <c r="D9" s="189"/>
      <c r="E9" s="190"/>
      <c r="F9" s="189"/>
      <c r="G9" s="191"/>
      <c r="H9" s="192"/>
      <c r="I9" s="193" t="s">
        <v>81</v>
      </c>
      <c r="J9" s="193" t="s">
        <v>82</v>
      </c>
      <c r="K9" s="194"/>
      <c r="L9" s="195"/>
      <c r="M9" s="195"/>
      <c r="N9" s="196"/>
      <c r="O9" s="197" t="s">
        <v>79</v>
      </c>
      <c r="P9" s="189"/>
      <c r="Q9" s="198"/>
      <c r="R9" s="199"/>
      <c r="S9" s="195"/>
      <c r="T9" s="195"/>
      <c r="U9" s="198"/>
    </row>
    <row r="10" spans="1:21" s="48" customFormat="1" ht="24" customHeight="1">
      <c r="A10" s="48">
        <v>4</v>
      </c>
      <c r="B10" s="188"/>
      <c r="C10" s="189"/>
      <c r="D10" s="189"/>
      <c r="E10" s="190"/>
      <c r="F10" s="189"/>
      <c r="G10" s="191"/>
      <c r="H10" s="192"/>
      <c r="I10" s="193" t="s">
        <v>81</v>
      </c>
      <c r="J10" s="193" t="s">
        <v>82</v>
      </c>
      <c r="K10" s="194"/>
      <c r="L10" s="195"/>
      <c r="M10" s="195"/>
      <c r="N10" s="196"/>
      <c r="O10" s="197" t="s">
        <v>79</v>
      </c>
      <c r="P10" s="189"/>
      <c r="Q10" s="198"/>
      <c r="R10" s="199"/>
      <c r="S10" s="195"/>
      <c r="T10" s="195"/>
      <c r="U10" s="198"/>
    </row>
    <row r="11" spans="1:21" s="48" customFormat="1" ht="24" customHeight="1">
      <c r="A11" s="48">
        <v>5</v>
      </c>
      <c r="B11" s="200"/>
      <c r="C11" s="201"/>
      <c r="D11" s="201"/>
      <c r="E11" s="202"/>
      <c r="F11" s="201"/>
      <c r="G11" s="203"/>
      <c r="H11" s="204"/>
      <c r="I11" s="205" t="s">
        <v>81</v>
      </c>
      <c r="J11" s="205" t="s">
        <v>82</v>
      </c>
      <c r="K11" s="206"/>
      <c r="L11" s="207"/>
      <c r="M11" s="207"/>
      <c r="N11" s="208"/>
      <c r="O11" s="209" t="s">
        <v>79</v>
      </c>
      <c r="P11" s="201"/>
      <c r="Q11" s="210"/>
      <c r="R11" s="211"/>
      <c r="S11" s="207"/>
      <c r="T11" s="207"/>
      <c r="U11" s="210"/>
    </row>
    <row r="12" spans="1:21">
      <c r="N12" s="21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2E6B-C271-7A40-9ED9-5889CABBEF4F}">
  <dimension ref="A2:U29"/>
  <sheetViews>
    <sheetView zoomScale="140" zoomScaleNormal="140" workbookViewId="0">
      <selection activeCell="L36" sqref="L36"/>
    </sheetView>
  </sheetViews>
  <sheetFormatPr baseColWidth="10" defaultRowHeight="15"/>
  <cols>
    <col min="1" max="1" width="3.1640625" customWidth="1"/>
    <col min="3" max="3" width="10.83203125" customWidth="1"/>
    <col min="4" max="4" width="15.33203125" customWidth="1"/>
    <col min="5" max="5" width="12.6640625" customWidth="1"/>
    <col min="6" max="6" width="10.83203125" customWidth="1"/>
    <col min="7" max="7" width="17.5" customWidth="1"/>
    <col min="8" max="8" width="12.33203125" customWidth="1"/>
    <col min="9" max="9" width="5" customWidth="1"/>
    <col min="10" max="11" width="7.5" customWidth="1"/>
    <col min="12" max="12" width="20.33203125" customWidth="1"/>
    <col min="13" max="13" width="18.83203125" customWidth="1"/>
    <col min="15" max="15" width="4.83203125" customWidth="1"/>
    <col min="18" max="18" width="5.5" customWidth="1"/>
    <col min="19" max="19" width="12.6640625" customWidth="1"/>
    <col min="21" max="21" width="32.5" customWidth="1"/>
  </cols>
  <sheetData>
    <row r="2" spans="1:21">
      <c r="A2" s="228"/>
      <c r="B2" s="229"/>
      <c r="C2" s="230" t="s">
        <v>106</v>
      </c>
      <c r="D2" s="228"/>
      <c r="E2" s="231"/>
      <c r="F2" s="232"/>
      <c r="G2" s="229"/>
      <c r="H2" s="229"/>
      <c r="I2" s="233"/>
      <c r="J2" s="233"/>
      <c r="K2" s="229"/>
      <c r="L2" s="229"/>
      <c r="M2" s="229"/>
      <c r="N2" s="234"/>
      <c r="O2" s="228"/>
      <c r="P2" s="228"/>
      <c r="Q2" s="228"/>
      <c r="R2" s="228"/>
      <c r="S2" s="229"/>
      <c r="T2" s="228"/>
    </row>
    <row r="3" spans="1:21">
      <c r="A3" s="228"/>
      <c r="B3" s="229"/>
      <c r="C3" s="235" t="s">
        <v>1</v>
      </c>
      <c r="D3" s="229"/>
      <c r="E3" s="229"/>
      <c r="F3" s="233" t="s">
        <v>107</v>
      </c>
      <c r="G3" s="229"/>
      <c r="H3" s="236" t="s">
        <v>442</v>
      </c>
      <c r="I3" s="228"/>
      <c r="J3" s="228"/>
      <c r="K3" s="228"/>
      <c r="L3" s="229"/>
      <c r="M3" s="228"/>
    </row>
    <row r="4" spans="1:21" ht="30">
      <c r="A4" s="228"/>
      <c r="B4" s="240" t="s">
        <v>11</v>
      </c>
      <c r="C4" s="240" t="s">
        <v>2</v>
      </c>
      <c r="D4" s="240" t="s">
        <v>3</v>
      </c>
      <c r="E4" s="240" t="s">
        <v>4</v>
      </c>
      <c r="F4" s="240" t="s">
        <v>5</v>
      </c>
      <c r="G4" s="240" t="s">
        <v>6</v>
      </c>
      <c r="H4" s="240" t="s">
        <v>7</v>
      </c>
      <c r="I4" s="240" t="s">
        <v>8</v>
      </c>
      <c r="J4" s="240" t="s">
        <v>9</v>
      </c>
      <c r="K4" s="240" t="s">
        <v>10</v>
      </c>
      <c r="L4" s="241" t="s">
        <v>12</v>
      </c>
      <c r="M4" s="241" t="s">
        <v>13</v>
      </c>
      <c r="N4" s="240" t="s">
        <v>14</v>
      </c>
      <c r="O4" s="242" t="s">
        <v>15</v>
      </c>
      <c r="P4" s="240" t="s">
        <v>16</v>
      </c>
      <c r="Q4" s="240" t="s">
        <v>17</v>
      </c>
      <c r="R4" s="243" t="s">
        <v>18</v>
      </c>
      <c r="S4" s="240" t="s">
        <v>19</v>
      </c>
      <c r="T4" s="240" t="s">
        <v>20</v>
      </c>
      <c r="U4" s="244" t="s">
        <v>21</v>
      </c>
    </row>
    <row r="5" spans="1:21">
      <c r="A5" s="237">
        <v>1</v>
      </c>
      <c r="B5" s="238">
        <v>45707</v>
      </c>
      <c r="C5" s="238">
        <v>45686</v>
      </c>
      <c r="D5" s="239" t="s">
        <v>113</v>
      </c>
      <c r="E5" s="239" t="s">
        <v>114</v>
      </c>
      <c r="F5" s="239">
        <v>40446712</v>
      </c>
      <c r="G5" s="239" t="s">
        <v>110</v>
      </c>
      <c r="H5" s="239" t="s">
        <v>115</v>
      </c>
      <c r="I5" s="239" t="s">
        <v>43</v>
      </c>
      <c r="J5" s="239" t="s">
        <v>81</v>
      </c>
      <c r="K5" s="239" t="s">
        <v>82</v>
      </c>
      <c r="L5" s="239" t="s">
        <v>116</v>
      </c>
      <c r="M5" s="239" t="s">
        <v>117</v>
      </c>
      <c r="N5" s="239">
        <v>9954655919</v>
      </c>
      <c r="O5" s="239">
        <v>15</v>
      </c>
      <c r="P5" s="239" t="s">
        <v>109</v>
      </c>
      <c r="Q5" s="239" t="s">
        <v>81</v>
      </c>
      <c r="R5" s="239"/>
      <c r="S5" s="239" t="str">
        <f>E5</f>
        <v>001-001-000003449</v>
      </c>
      <c r="T5" s="239">
        <v>190499039</v>
      </c>
      <c r="U5" s="246" t="s">
        <v>118</v>
      </c>
    </row>
    <row r="6" spans="1:21">
      <c r="A6" s="237">
        <v>2</v>
      </c>
      <c r="B6" s="238">
        <v>45708</v>
      </c>
      <c r="C6" s="238">
        <v>45700</v>
      </c>
      <c r="D6" s="239" t="s">
        <v>108</v>
      </c>
      <c r="E6" s="239" t="s">
        <v>119</v>
      </c>
      <c r="F6" s="239">
        <v>40782128</v>
      </c>
      <c r="G6" s="239" t="s">
        <v>120</v>
      </c>
      <c r="H6" s="239" t="s">
        <v>121</v>
      </c>
      <c r="I6" s="239" t="s">
        <v>43</v>
      </c>
      <c r="J6" s="239" t="s">
        <v>81</v>
      </c>
      <c r="K6" s="239" t="s">
        <v>82</v>
      </c>
      <c r="L6" s="239" t="s">
        <v>122</v>
      </c>
      <c r="M6" s="239" t="s">
        <v>123</v>
      </c>
      <c r="N6" s="239">
        <v>997233088</v>
      </c>
      <c r="O6" s="239">
        <v>25</v>
      </c>
      <c r="P6" s="239" t="s">
        <v>109</v>
      </c>
      <c r="Q6" s="239" t="s">
        <v>81</v>
      </c>
      <c r="R6" s="239"/>
      <c r="S6" s="239" t="str">
        <f t="shared" ref="S6:S28" si="0">E6</f>
        <v>043-903-000057808</v>
      </c>
      <c r="T6" s="239">
        <v>190389774</v>
      </c>
      <c r="U6" s="246" t="s">
        <v>124</v>
      </c>
    </row>
    <row r="7" spans="1:21">
      <c r="A7" s="237">
        <v>3</v>
      </c>
      <c r="B7" s="238">
        <v>45708</v>
      </c>
      <c r="C7" s="238">
        <v>45679</v>
      </c>
      <c r="D7" s="239" t="s">
        <v>112</v>
      </c>
      <c r="E7" s="239" t="s">
        <v>125</v>
      </c>
      <c r="F7" s="239">
        <v>112960004</v>
      </c>
      <c r="G7" s="239" t="s">
        <v>126</v>
      </c>
      <c r="H7" s="239" t="s">
        <v>127</v>
      </c>
      <c r="I7" s="239" t="s">
        <v>43</v>
      </c>
      <c r="J7" s="239" t="s">
        <v>81</v>
      </c>
      <c r="K7" s="239" t="s">
        <v>82</v>
      </c>
      <c r="L7" s="239" t="s">
        <v>128</v>
      </c>
      <c r="M7" s="239" t="s">
        <v>111</v>
      </c>
      <c r="N7" s="239">
        <v>9965073255</v>
      </c>
      <c r="O7" s="239">
        <v>36</v>
      </c>
      <c r="P7" s="239" t="s">
        <v>109</v>
      </c>
      <c r="Q7" s="239" t="s">
        <v>81</v>
      </c>
      <c r="R7" s="239"/>
      <c r="S7" s="239" t="str">
        <f t="shared" si="0"/>
        <v>001-001-000000541</v>
      </c>
      <c r="T7" s="239">
        <v>102137775</v>
      </c>
      <c r="U7" s="246" t="s">
        <v>129</v>
      </c>
    </row>
    <row r="8" spans="1:21">
      <c r="A8" s="237">
        <v>4</v>
      </c>
      <c r="B8" s="238">
        <v>45709</v>
      </c>
      <c r="C8" s="238">
        <v>45694</v>
      </c>
      <c r="D8" s="239" t="s">
        <v>101</v>
      </c>
      <c r="E8" s="239" t="s">
        <v>130</v>
      </c>
      <c r="F8" s="239">
        <v>112610068</v>
      </c>
      <c r="G8" s="239" t="s">
        <v>131</v>
      </c>
      <c r="H8" s="239" t="s">
        <v>132</v>
      </c>
      <c r="I8" s="239" t="s">
        <v>43</v>
      </c>
      <c r="J8" s="239" t="s">
        <v>81</v>
      </c>
      <c r="K8" s="239" t="s">
        <v>82</v>
      </c>
      <c r="L8" s="239" t="s">
        <v>133</v>
      </c>
      <c r="M8" s="239" t="s">
        <v>134</v>
      </c>
      <c r="N8" s="239">
        <v>984995967</v>
      </c>
      <c r="O8" s="239">
        <v>29</v>
      </c>
      <c r="P8" s="239" t="s">
        <v>109</v>
      </c>
      <c r="Q8" s="239" t="s">
        <v>81</v>
      </c>
      <c r="R8" s="239"/>
      <c r="S8" s="239" t="str">
        <f t="shared" si="0"/>
        <v>001-500-000070702</v>
      </c>
      <c r="T8" s="239">
        <v>104029103</v>
      </c>
      <c r="U8" s="246" t="s">
        <v>135</v>
      </c>
    </row>
    <row r="9" spans="1:21">
      <c r="A9" s="237">
        <v>5</v>
      </c>
      <c r="B9" s="238">
        <v>45712</v>
      </c>
      <c r="C9" s="238">
        <v>45706</v>
      </c>
      <c r="D9" s="239" t="s">
        <v>136</v>
      </c>
      <c r="E9" s="239" t="s">
        <v>137</v>
      </c>
      <c r="F9" s="239">
        <v>112570128</v>
      </c>
      <c r="G9" s="239" t="s">
        <v>138</v>
      </c>
      <c r="H9" s="239" t="s">
        <v>139</v>
      </c>
      <c r="I9" s="239" t="s">
        <v>43</v>
      </c>
      <c r="J9" s="239" t="s">
        <v>81</v>
      </c>
      <c r="K9" s="239" t="s">
        <v>82</v>
      </c>
      <c r="L9" s="239" t="s">
        <v>140</v>
      </c>
      <c r="M9" s="239" t="s">
        <v>141</v>
      </c>
      <c r="N9" s="239">
        <v>995985289</v>
      </c>
      <c r="O9" s="239">
        <v>29</v>
      </c>
      <c r="P9" s="239" t="s">
        <v>109</v>
      </c>
      <c r="Q9" s="239" t="s">
        <v>81</v>
      </c>
      <c r="R9" s="239"/>
      <c r="S9" s="239" t="str">
        <f t="shared" si="0"/>
        <v>007-006-000136086</v>
      </c>
      <c r="T9" s="239">
        <v>103849899</v>
      </c>
      <c r="U9" s="246" t="s">
        <v>142</v>
      </c>
    </row>
    <row r="10" spans="1:21">
      <c r="A10" s="237">
        <v>6</v>
      </c>
      <c r="B10" s="238">
        <v>45712</v>
      </c>
      <c r="C10" s="238">
        <v>45695</v>
      </c>
      <c r="D10" s="239" t="s">
        <v>101</v>
      </c>
      <c r="E10" s="239" t="s">
        <v>143</v>
      </c>
      <c r="F10" s="239">
        <v>40461507</v>
      </c>
      <c r="G10" s="239" t="s">
        <v>144</v>
      </c>
      <c r="H10" s="239" t="s">
        <v>148</v>
      </c>
      <c r="I10" s="239" t="s">
        <v>43</v>
      </c>
      <c r="J10" s="239" t="s">
        <v>81</v>
      </c>
      <c r="K10" s="239" t="s">
        <v>82</v>
      </c>
      <c r="L10" s="239" t="s">
        <v>145</v>
      </c>
      <c r="M10" s="239" t="s">
        <v>146</v>
      </c>
      <c r="N10" s="239">
        <v>998418668</v>
      </c>
      <c r="O10" s="239">
        <v>15</v>
      </c>
      <c r="P10" s="239" t="s">
        <v>109</v>
      </c>
      <c r="Q10" s="239" t="s">
        <v>81</v>
      </c>
      <c r="R10" s="239"/>
      <c r="S10" s="239" t="str">
        <f t="shared" si="0"/>
        <v>001-500-000070719</v>
      </c>
      <c r="T10" s="239">
        <v>103015202</v>
      </c>
      <c r="U10" s="246" t="s">
        <v>147</v>
      </c>
    </row>
    <row r="11" spans="1:21">
      <c r="A11" s="237">
        <v>7</v>
      </c>
      <c r="B11" s="238">
        <v>45712</v>
      </c>
      <c r="C11" s="238">
        <v>44884</v>
      </c>
      <c r="D11" s="239" t="s">
        <v>149</v>
      </c>
      <c r="E11" s="239" t="s">
        <v>150</v>
      </c>
      <c r="F11" s="239">
        <v>412570124</v>
      </c>
      <c r="G11" s="239" t="s">
        <v>152</v>
      </c>
      <c r="H11" s="239" t="s">
        <v>151</v>
      </c>
      <c r="I11" s="239" t="s">
        <v>43</v>
      </c>
      <c r="J11" s="239" t="s">
        <v>81</v>
      </c>
      <c r="K11" s="239" t="s">
        <v>82</v>
      </c>
      <c r="L11" s="239" t="s">
        <v>149</v>
      </c>
      <c r="M11" s="239" t="s">
        <v>153</v>
      </c>
      <c r="N11" s="239">
        <v>988223982</v>
      </c>
      <c r="O11" s="239">
        <v>29</v>
      </c>
      <c r="P11" s="239" t="s">
        <v>109</v>
      </c>
      <c r="Q11" s="239" t="s">
        <v>81</v>
      </c>
      <c r="R11" s="239"/>
      <c r="S11" s="239" t="str">
        <f t="shared" si="0"/>
        <v>001-500-000046863</v>
      </c>
      <c r="T11" s="239">
        <v>102832555</v>
      </c>
      <c r="U11" s="246" t="s">
        <v>154</v>
      </c>
    </row>
    <row r="12" spans="1:21">
      <c r="A12" s="237">
        <v>8</v>
      </c>
      <c r="B12" s="238">
        <v>45713</v>
      </c>
      <c r="C12" s="238">
        <v>45682</v>
      </c>
      <c r="D12" s="239" t="s">
        <v>161</v>
      </c>
      <c r="E12" s="239" t="s">
        <v>156</v>
      </c>
      <c r="F12" s="239">
        <v>41560041</v>
      </c>
      <c r="G12" s="239" t="s">
        <v>157</v>
      </c>
      <c r="H12" s="239" t="s">
        <v>158</v>
      </c>
      <c r="I12" s="239" t="s">
        <v>43</v>
      </c>
      <c r="J12" s="239" t="s">
        <v>81</v>
      </c>
      <c r="K12" s="239" t="s">
        <v>82</v>
      </c>
      <c r="L12" s="239" t="s">
        <v>155</v>
      </c>
      <c r="M12" s="239" t="s">
        <v>159</v>
      </c>
      <c r="N12" s="239">
        <v>9838814439</v>
      </c>
      <c r="O12" s="239">
        <v>25</v>
      </c>
      <c r="P12" s="239" t="s">
        <v>109</v>
      </c>
      <c r="Q12" s="239" t="s">
        <v>81</v>
      </c>
      <c r="R12" s="239"/>
      <c r="S12" s="239" t="str">
        <f t="shared" si="0"/>
        <v>006-002-000157399</v>
      </c>
      <c r="T12" s="239">
        <v>101311017</v>
      </c>
      <c r="U12" s="246" t="s">
        <v>160</v>
      </c>
    </row>
    <row r="13" spans="1:21">
      <c r="A13" s="237">
        <v>9</v>
      </c>
      <c r="B13" s="238">
        <v>45713</v>
      </c>
      <c r="C13" s="238">
        <v>45624</v>
      </c>
      <c r="D13" s="239" t="s">
        <v>162</v>
      </c>
      <c r="E13" s="239" t="s">
        <v>163</v>
      </c>
      <c r="F13" s="239">
        <v>40297052</v>
      </c>
      <c r="G13" s="239" t="s">
        <v>164</v>
      </c>
      <c r="H13" s="239" t="s">
        <v>165</v>
      </c>
      <c r="I13" s="239" t="s">
        <v>43</v>
      </c>
      <c r="J13" s="239" t="s">
        <v>81</v>
      </c>
      <c r="K13" s="239" t="s">
        <v>82</v>
      </c>
      <c r="L13" s="239" t="s">
        <v>166</v>
      </c>
      <c r="M13" s="239" t="s">
        <v>167</v>
      </c>
      <c r="N13" s="239">
        <v>992524876</v>
      </c>
      <c r="O13" s="239">
        <v>29</v>
      </c>
      <c r="P13" s="239" t="s">
        <v>109</v>
      </c>
      <c r="Q13" s="239" t="s">
        <v>81</v>
      </c>
      <c r="R13" s="239"/>
      <c r="S13" s="239" t="str">
        <f t="shared" si="0"/>
        <v>040-104-000008299</v>
      </c>
      <c r="T13" s="239">
        <v>102517257</v>
      </c>
      <c r="U13" s="246" t="s">
        <v>168</v>
      </c>
    </row>
    <row r="14" spans="1:21">
      <c r="A14" s="237">
        <v>10</v>
      </c>
      <c r="B14" s="238">
        <v>45713</v>
      </c>
      <c r="C14" s="238">
        <v>45708</v>
      </c>
      <c r="D14" s="239" t="s">
        <v>161</v>
      </c>
      <c r="E14" s="239" t="s">
        <v>169</v>
      </c>
      <c r="F14" s="239">
        <v>40584012</v>
      </c>
      <c r="G14" s="239" t="s">
        <v>170</v>
      </c>
      <c r="H14" s="239" t="s">
        <v>171</v>
      </c>
      <c r="I14" s="239" t="s">
        <v>43</v>
      </c>
      <c r="J14" s="239" t="s">
        <v>81</v>
      </c>
      <c r="K14" s="239" t="s">
        <v>82</v>
      </c>
      <c r="L14" s="239" t="s">
        <v>172</v>
      </c>
      <c r="M14" s="239" t="s">
        <v>173</v>
      </c>
      <c r="N14" s="239">
        <v>998876335</v>
      </c>
      <c r="O14" s="239">
        <v>25</v>
      </c>
      <c r="P14" s="239" t="s">
        <v>109</v>
      </c>
      <c r="Q14" s="239" t="s">
        <v>81</v>
      </c>
      <c r="R14" s="239"/>
      <c r="S14" s="239" t="str">
        <f t="shared" si="0"/>
        <v>006-002-000157599</v>
      </c>
      <c r="T14" s="239">
        <v>101033470</v>
      </c>
      <c r="U14" s="246" t="s">
        <v>174</v>
      </c>
    </row>
    <row r="15" spans="1:21">
      <c r="A15" s="237">
        <v>11</v>
      </c>
      <c r="B15" s="238">
        <v>45713</v>
      </c>
      <c r="C15" s="238">
        <v>45706</v>
      </c>
      <c r="D15" s="239" t="s">
        <v>101</v>
      </c>
      <c r="E15" s="239" t="s">
        <v>175</v>
      </c>
      <c r="F15" s="239">
        <v>112580017</v>
      </c>
      <c r="G15" s="239" t="s">
        <v>176</v>
      </c>
      <c r="H15" s="239" t="s">
        <v>177</v>
      </c>
      <c r="I15" s="239" t="s">
        <v>43</v>
      </c>
      <c r="J15" s="239" t="s">
        <v>81</v>
      </c>
      <c r="K15" s="239" t="s">
        <v>82</v>
      </c>
      <c r="L15" s="239" t="s">
        <v>178</v>
      </c>
      <c r="M15" s="239" t="s">
        <v>179</v>
      </c>
      <c r="N15" s="239">
        <v>999966703</v>
      </c>
      <c r="O15" s="239">
        <v>29</v>
      </c>
      <c r="P15" s="239" t="s">
        <v>109</v>
      </c>
      <c r="Q15" s="239" t="s">
        <v>81</v>
      </c>
      <c r="R15" s="239"/>
      <c r="S15" s="239" t="str">
        <f t="shared" si="0"/>
        <v>001-500-000071026</v>
      </c>
      <c r="T15" s="239">
        <v>103363800</v>
      </c>
      <c r="U15" s="246" t="s">
        <v>180</v>
      </c>
    </row>
    <row r="16" spans="1:21">
      <c r="A16" s="237">
        <v>12</v>
      </c>
      <c r="B16" s="238">
        <v>45713</v>
      </c>
      <c r="C16" s="238">
        <v>45689</v>
      </c>
      <c r="D16" s="239" t="s">
        <v>108</v>
      </c>
      <c r="E16" s="239" t="s">
        <v>181</v>
      </c>
      <c r="F16" s="239">
        <v>112570124</v>
      </c>
      <c r="G16" s="239" t="s">
        <v>152</v>
      </c>
      <c r="H16" s="239" t="s">
        <v>182</v>
      </c>
      <c r="I16" s="239" t="s">
        <v>43</v>
      </c>
      <c r="J16" s="239" t="s">
        <v>81</v>
      </c>
      <c r="K16" s="239" t="s">
        <v>82</v>
      </c>
      <c r="L16" s="239" t="s">
        <v>183</v>
      </c>
      <c r="M16" s="239" t="s">
        <v>184</v>
      </c>
      <c r="N16" s="239">
        <v>998102982</v>
      </c>
      <c r="O16" s="239">
        <v>29</v>
      </c>
      <c r="P16" s="239" t="s">
        <v>109</v>
      </c>
      <c r="Q16" s="239" t="s">
        <v>81</v>
      </c>
      <c r="R16" s="239"/>
      <c r="S16" s="239" t="str">
        <f t="shared" si="0"/>
        <v>043-903-000055942</v>
      </c>
      <c r="T16" s="239">
        <v>1719050294</v>
      </c>
      <c r="U16" s="246" t="s">
        <v>185</v>
      </c>
    </row>
    <row r="17" spans="1:21">
      <c r="A17" s="237">
        <v>13</v>
      </c>
      <c r="B17" s="238">
        <v>45714</v>
      </c>
      <c r="C17" s="238">
        <v>45623</v>
      </c>
      <c r="D17" s="239" t="s">
        <v>162</v>
      </c>
      <c r="E17" s="239" t="s">
        <v>186</v>
      </c>
      <c r="F17" s="239">
        <v>412580058</v>
      </c>
      <c r="G17" s="239" t="s">
        <v>187</v>
      </c>
      <c r="H17" s="239" t="s">
        <v>188</v>
      </c>
      <c r="I17" s="239" t="s">
        <v>43</v>
      </c>
      <c r="J17" s="239" t="s">
        <v>81</v>
      </c>
      <c r="K17" s="239" t="s">
        <v>82</v>
      </c>
      <c r="L17" s="239" t="s">
        <v>189</v>
      </c>
      <c r="M17" s="239" t="s">
        <v>190</v>
      </c>
      <c r="N17" s="239">
        <v>995888237</v>
      </c>
      <c r="O17" s="239">
        <v>29</v>
      </c>
      <c r="P17" s="239" t="s">
        <v>109</v>
      </c>
      <c r="Q17" s="239" t="s">
        <v>81</v>
      </c>
      <c r="R17" s="239"/>
      <c r="S17" s="239" t="str">
        <f t="shared" si="0"/>
        <v>040-104-000008274</v>
      </c>
      <c r="T17" s="239">
        <v>104741343</v>
      </c>
      <c r="U17" s="246" t="s">
        <v>191</v>
      </c>
    </row>
    <row r="18" spans="1:21">
      <c r="A18" s="237">
        <v>14</v>
      </c>
      <c r="B18" s="238">
        <v>45714</v>
      </c>
      <c r="C18" s="238">
        <v>45703</v>
      </c>
      <c r="D18" s="239" t="s">
        <v>108</v>
      </c>
      <c r="E18" s="239" t="s">
        <v>192</v>
      </c>
      <c r="F18" s="239">
        <v>112570238</v>
      </c>
      <c r="G18" s="239" t="s">
        <v>193</v>
      </c>
      <c r="H18" s="239" t="s">
        <v>194</v>
      </c>
      <c r="I18" s="239" t="s">
        <v>43</v>
      </c>
      <c r="J18" s="239" t="s">
        <v>81</v>
      </c>
      <c r="K18" s="239" t="s">
        <v>82</v>
      </c>
      <c r="L18" s="239" t="s">
        <v>195</v>
      </c>
      <c r="M18" s="239" t="s">
        <v>196</v>
      </c>
      <c r="N18" s="239">
        <v>9990736669</v>
      </c>
      <c r="O18" s="239">
        <v>29</v>
      </c>
      <c r="P18" s="239" t="s">
        <v>109</v>
      </c>
      <c r="Q18" s="239" t="s">
        <v>81</v>
      </c>
      <c r="R18" s="239"/>
      <c r="S18" s="239" t="str">
        <f t="shared" si="0"/>
        <v>043-905-000058086</v>
      </c>
      <c r="T18" s="239">
        <v>105079776</v>
      </c>
      <c r="U18" s="246" t="s">
        <v>197</v>
      </c>
    </row>
    <row r="19" spans="1:21">
      <c r="A19" s="237">
        <v>15</v>
      </c>
      <c r="B19" s="238">
        <v>45717</v>
      </c>
      <c r="C19" s="238">
        <v>44977</v>
      </c>
      <c r="D19" s="239" t="s">
        <v>108</v>
      </c>
      <c r="E19" s="239" t="s">
        <v>282</v>
      </c>
      <c r="F19" s="239">
        <v>111940006</v>
      </c>
      <c r="G19" s="239" t="s">
        <v>283</v>
      </c>
      <c r="H19" s="239" t="s">
        <v>284</v>
      </c>
      <c r="I19" s="239" t="s">
        <v>43</v>
      </c>
      <c r="J19" s="239" t="s">
        <v>81</v>
      </c>
      <c r="K19" s="239" t="s">
        <v>82</v>
      </c>
      <c r="L19" s="239" t="s">
        <v>285</v>
      </c>
      <c r="M19" s="239" t="s">
        <v>286</v>
      </c>
      <c r="N19" s="239">
        <v>998841417</v>
      </c>
      <c r="O19" s="239">
        <v>29</v>
      </c>
      <c r="P19" s="239" t="s">
        <v>109</v>
      </c>
      <c r="Q19" s="239" t="s">
        <v>81</v>
      </c>
      <c r="R19" s="239"/>
      <c r="S19" s="239" t="str">
        <f t="shared" si="0"/>
        <v>043-904-000063595</v>
      </c>
      <c r="T19" s="239">
        <v>101679157</v>
      </c>
      <c r="U19" s="246" t="s">
        <v>287</v>
      </c>
    </row>
    <row r="20" spans="1:21">
      <c r="A20" s="237">
        <v>16</v>
      </c>
      <c r="B20" s="238">
        <v>45726</v>
      </c>
      <c r="C20" s="238">
        <v>45725</v>
      </c>
      <c r="D20" s="239" t="s">
        <v>108</v>
      </c>
      <c r="E20" s="239" t="s">
        <v>340</v>
      </c>
      <c r="F20" s="239">
        <v>112570068</v>
      </c>
      <c r="G20" s="239" t="s">
        <v>341</v>
      </c>
      <c r="H20" s="239" t="s">
        <v>342</v>
      </c>
      <c r="I20" s="239" t="s">
        <v>43</v>
      </c>
      <c r="J20" s="239" t="s">
        <v>81</v>
      </c>
      <c r="K20" s="239" t="s">
        <v>82</v>
      </c>
      <c r="L20" s="239" t="s">
        <v>343</v>
      </c>
      <c r="M20" s="239" t="s">
        <v>344</v>
      </c>
      <c r="N20" s="239">
        <v>984526818</v>
      </c>
      <c r="O20" s="239">
        <v>29</v>
      </c>
      <c r="P20" s="239" t="s">
        <v>109</v>
      </c>
      <c r="Q20" s="239" t="s">
        <v>81</v>
      </c>
      <c r="R20" s="239"/>
      <c r="S20" s="239" t="str">
        <f t="shared" si="0"/>
        <v>043-906-000038760</v>
      </c>
      <c r="T20" s="239">
        <v>301441986</v>
      </c>
      <c r="U20" s="246" t="s">
        <v>345</v>
      </c>
    </row>
    <row r="21" spans="1:21">
      <c r="A21" s="237">
        <v>17</v>
      </c>
      <c r="B21" s="238">
        <v>45726</v>
      </c>
      <c r="C21" s="238">
        <v>45713</v>
      </c>
      <c r="D21" s="239" t="s">
        <v>346</v>
      </c>
      <c r="E21" s="239" t="s">
        <v>347</v>
      </c>
      <c r="F21" s="239">
        <v>40466111</v>
      </c>
      <c r="G21" s="239" t="s">
        <v>104</v>
      </c>
      <c r="H21" s="239" t="s">
        <v>348</v>
      </c>
      <c r="I21" s="239" t="s">
        <v>43</v>
      </c>
      <c r="J21" s="239" t="s">
        <v>81</v>
      </c>
      <c r="K21" s="239" t="s">
        <v>82</v>
      </c>
      <c r="L21" s="239" t="s">
        <v>349</v>
      </c>
      <c r="M21" s="239" t="s">
        <v>350</v>
      </c>
      <c r="N21" s="239">
        <v>991126880</v>
      </c>
      <c r="O21" s="239">
        <v>15</v>
      </c>
      <c r="P21" s="239" t="s">
        <v>109</v>
      </c>
      <c r="Q21" s="239" t="s">
        <v>81</v>
      </c>
      <c r="R21" s="239"/>
      <c r="S21" s="239" t="str">
        <f t="shared" si="0"/>
        <v>002-201-000005914</v>
      </c>
      <c r="T21" s="239">
        <v>1011589970</v>
      </c>
      <c r="U21" s="246" t="s">
        <v>351</v>
      </c>
    </row>
    <row r="22" spans="1:21">
      <c r="A22" s="237">
        <v>18</v>
      </c>
      <c r="B22" s="238">
        <v>45727</v>
      </c>
      <c r="C22" s="238">
        <v>45723</v>
      </c>
      <c r="D22" s="239" t="s">
        <v>108</v>
      </c>
      <c r="E22" s="239" t="s">
        <v>384</v>
      </c>
      <c r="F22" s="239">
        <v>40467320</v>
      </c>
      <c r="G22" s="239" t="s">
        <v>385</v>
      </c>
      <c r="H22" s="239" t="s">
        <v>386</v>
      </c>
      <c r="I22" s="239" t="s">
        <v>43</v>
      </c>
      <c r="J22" s="239" t="s">
        <v>81</v>
      </c>
      <c r="K22" s="239" t="s">
        <v>82</v>
      </c>
      <c r="L22" s="239" t="s">
        <v>387</v>
      </c>
      <c r="M22" s="239" t="s">
        <v>388</v>
      </c>
      <c r="N22" s="239">
        <v>993074693</v>
      </c>
      <c r="O22" s="239">
        <v>15</v>
      </c>
      <c r="P22" s="239" t="s">
        <v>109</v>
      </c>
      <c r="Q22" s="239" t="s">
        <v>81</v>
      </c>
      <c r="R22" s="239"/>
      <c r="S22" s="239" t="str">
        <f t="shared" si="0"/>
        <v>043-905-000061951</v>
      </c>
      <c r="T22" s="239">
        <v>300326097</v>
      </c>
      <c r="U22" s="246" t="s">
        <v>389</v>
      </c>
    </row>
    <row r="23" spans="1:21">
      <c r="A23" s="237">
        <v>19</v>
      </c>
      <c r="B23" s="238">
        <v>45727</v>
      </c>
      <c r="C23" s="238">
        <v>45694</v>
      </c>
      <c r="D23" s="239" t="s">
        <v>390</v>
      </c>
      <c r="E23" s="239" t="s">
        <v>391</v>
      </c>
      <c r="F23" s="239">
        <v>40467320</v>
      </c>
      <c r="G23" s="239" t="s">
        <v>385</v>
      </c>
      <c r="H23" s="239" t="s">
        <v>392</v>
      </c>
      <c r="I23" s="239" t="s">
        <v>43</v>
      </c>
      <c r="J23" s="239" t="s">
        <v>81</v>
      </c>
      <c r="K23" s="239" t="s">
        <v>82</v>
      </c>
      <c r="L23" s="239" t="s">
        <v>393</v>
      </c>
      <c r="M23" s="239" t="s">
        <v>394</v>
      </c>
      <c r="N23" s="239">
        <v>995508207</v>
      </c>
      <c r="O23" s="239">
        <v>15</v>
      </c>
      <c r="P23" s="239" t="s">
        <v>109</v>
      </c>
      <c r="Q23" s="239" t="s">
        <v>81</v>
      </c>
      <c r="R23" s="239"/>
      <c r="S23" s="239" t="str">
        <f t="shared" si="0"/>
        <v>016-902-000496751</v>
      </c>
      <c r="T23" s="239">
        <v>100954957</v>
      </c>
      <c r="U23" s="246" t="s">
        <v>395</v>
      </c>
    </row>
    <row r="24" spans="1:21">
      <c r="A24" s="237">
        <v>20</v>
      </c>
      <c r="B24" s="238">
        <v>45728</v>
      </c>
      <c r="C24" s="238">
        <v>45682</v>
      </c>
      <c r="D24" s="239" t="s">
        <v>101</v>
      </c>
      <c r="E24" s="239" t="s">
        <v>396</v>
      </c>
      <c r="F24" s="239">
        <v>111000051</v>
      </c>
      <c r="G24" s="239" t="s">
        <v>88</v>
      </c>
      <c r="H24" s="239" t="s">
        <v>397</v>
      </c>
      <c r="I24" s="239" t="s">
        <v>43</v>
      </c>
      <c r="J24" s="239" t="s">
        <v>81</v>
      </c>
      <c r="K24" s="239" t="s">
        <v>82</v>
      </c>
      <c r="L24" s="239" t="s">
        <v>398</v>
      </c>
      <c r="M24" s="239" t="s">
        <v>399</v>
      </c>
      <c r="N24" s="239">
        <v>987345800</v>
      </c>
      <c r="O24" s="239">
        <v>25</v>
      </c>
      <c r="P24" s="239" t="s">
        <v>109</v>
      </c>
      <c r="Q24" s="239" t="s">
        <v>81</v>
      </c>
      <c r="R24" s="239"/>
      <c r="S24" s="239" t="str">
        <f t="shared" si="0"/>
        <v>001-502-000000107</v>
      </c>
      <c r="T24" s="239">
        <v>301532701</v>
      </c>
      <c r="U24" s="246" t="s">
        <v>400</v>
      </c>
    </row>
    <row r="25" spans="1:21">
      <c r="A25" s="237">
        <v>21</v>
      </c>
      <c r="B25" s="238">
        <v>45729</v>
      </c>
      <c r="C25" s="238">
        <v>45722</v>
      </c>
      <c r="D25" s="239" t="s">
        <v>108</v>
      </c>
      <c r="E25" s="239" t="s">
        <v>401</v>
      </c>
      <c r="F25" s="239">
        <v>40467320</v>
      </c>
      <c r="G25" s="239" t="s">
        <v>385</v>
      </c>
      <c r="H25" s="239" t="s">
        <v>402</v>
      </c>
      <c r="I25" s="239" t="s">
        <v>43</v>
      </c>
      <c r="J25" s="239" t="s">
        <v>81</v>
      </c>
      <c r="K25" s="239" t="s">
        <v>82</v>
      </c>
      <c r="L25" s="239" t="s">
        <v>403</v>
      </c>
      <c r="M25" s="239" t="s">
        <v>404</v>
      </c>
      <c r="N25" s="239">
        <v>993738358</v>
      </c>
      <c r="O25" s="239">
        <v>15</v>
      </c>
      <c r="P25" s="239" t="s">
        <v>109</v>
      </c>
      <c r="Q25" s="239" t="s">
        <v>81</v>
      </c>
      <c r="R25" s="239"/>
      <c r="S25" s="239" t="str">
        <f t="shared" si="0"/>
        <v>016-907-000242127</v>
      </c>
      <c r="T25" s="239">
        <v>101805638</v>
      </c>
      <c r="U25" s="246" t="s">
        <v>405</v>
      </c>
    </row>
    <row r="26" spans="1:21">
      <c r="A26" s="237">
        <v>22</v>
      </c>
      <c r="B26" s="238">
        <v>45729</v>
      </c>
      <c r="C26" s="238">
        <v>45698</v>
      </c>
      <c r="D26" s="239" t="s">
        <v>108</v>
      </c>
      <c r="E26" s="239" t="s">
        <v>406</v>
      </c>
      <c r="F26" s="239">
        <v>112580058</v>
      </c>
      <c r="G26" s="239" t="s">
        <v>187</v>
      </c>
      <c r="H26" s="245" t="s">
        <v>407</v>
      </c>
      <c r="I26" s="239" t="s">
        <v>43</v>
      </c>
      <c r="J26" s="239" t="s">
        <v>81</v>
      </c>
      <c r="K26" s="239" t="s">
        <v>82</v>
      </c>
      <c r="L26" s="239" t="s">
        <v>408</v>
      </c>
      <c r="M26" s="239" t="s">
        <v>409</v>
      </c>
      <c r="N26" s="239">
        <v>987175784</v>
      </c>
      <c r="O26" s="239">
        <v>29</v>
      </c>
      <c r="P26" s="239" t="s">
        <v>109</v>
      </c>
      <c r="Q26" s="239" t="s">
        <v>81</v>
      </c>
      <c r="R26" s="239"/>
      <c r="S26" s="239" t="str">
        <f t="shared" si="0"/>
        <v>043-903-000057064</v>
      </c>
      <c r="T26" s="239">
        <v>701965493</v>
      </c>
      <c r="U26" s="246" t="s">
        <v>410</v>
      </c>
    </row>
    <row r="27" spans="1:21">
      <c r="A27" s="237">
        <v>23</v>
      </c>
      <c r="B27" s="238">
        <v>45730</v>
      </c>
      <c r="C27" s="238">
        <v>45730</v>
      </c>
      <c r="D27" s="239" t="s">
        <v>101</v>
      </c>
      <c r="E27" s="239" t="s">
        <v>459</v>
      </c>
      <c r="F27" s="239">
        <v>41560124</v>
      </c>
      <c r="G27" s="239" t="s">
        <v>460</v>
      </c>
      <c r="H27" s="239" t="s">
        <v>461</v>
      </c>
      <c r="I27" s="239" t="s">
        <v>43</v>
      </c>
      <c r="J27" s="239" t="s">
        <v>81</v>
      </c>
      <c r="K27" s="239" t="s">
        <v>82</v>
      </c>
      <c r="L27" s="239" t="s">
        <v>462</v>
      </c>
      <c r="M27" s="239" t="s">
        <v>463</v>
      </c>
      <c r="N27" s="239">
        <v>997893479</v>
      </c>
      <c r="O27" s="239">
        <v>25</v>
      </c>
      <c r="P27" s="239" t="s">
        <v>109</v>
      </c>
      <c r="Q27" s="239" t="s">
        <v>81</v>
      </c>
      <c r="R27" s="239"/>
      <c r="S27" s="239" t="str">
        <f t="shared" si="0"/>
        <v>001-500-000071580</v>
      </c>
      <c r="T27" s="239">
        <v>1044288198</v>
      </c>
      <c r="U27" s="246" t="s">
        <v>464</v>
      </c>
    </row>
    <row r="28" spans="1:21">
      <c r="A28" s="237">
        <v>24</v>
      </c>
      <c r="B28" s="238">
        <v>45730</v>
      </c>
      <c r="C28" s="238">
        <v>45713</v>
      </c>
      <c r="D28" s="239" t="s">
        <v>108</v>
      </c>
      <c r="E28" s="239" t="s">
        <v>465</v>
      </c>
      <c r="F28" s="239">
        <v>1700369950</v>
      </c>
      <c r="G28" s="239" t="s">
        <v>245</v>
      </c>
      <c r="H28" s="239" t="s">
        <v>466</v>
      </c>
      <c r="I28" s="239" t="s">
        <v>43</v>
      </c>
      <c r="J28" s="239" t="s">
        <v>81</v>
      </c>
      <c r="K28" s="239" t="s">
        <v>82</v>
      </c>
      <c r="L28" s="239" t="s">
        <v>467</v>
      </c>
      <c r="M28" s="239" t="s">
        <v>468</v>
      </c>
      <c r="N28" s="239">
        <v>969273036</v>
      </c>
      <c r="O28" s="239">
        <v>29</v>
      </c>
      <c r="P28" s="239" t="s">
        <v>109</v>
      </c>
      <c r="Q28" s="239" t="s">
        <v>81</v>
      </c>
      <c r="R28" s="239"/>
      <c r="S28" s="239" t="str">
        <f t="shared" si="0"/>
        <v>043-902-000048985</v>
      </c>
      <c r="T28" s="239">
        <v>1700369950</v>
      </c>
      <c r="U28" s="246" t="s">
        <v>469</v>
      </c>
    </row>
    <row r="29" spans="1:21">
      <c r="O29">
        <f>SUM(O5:O28)</f>
        <v>599</v>
      </c>
    </row>
  </sheetData>
  <hyperlinks>
    <hyperlink ref="U5" r:id="rId1" xr:uid="{0B1E89E2-8E90-1C4E-BC70-0BBF2A5B7C21}"/>
    <hyperlink ref="U6" r:id="rId2" xr:uid="{8BFEB4E7-66DF-DD46-830E-B774F549A026}"/>
    <hyperlink ref="U7" r:id="rId3" xr:uid="{4B5F0DFD-7B2D-4844-BF60-8DE5BCC7F013}"/>
    <hyperlink ref="U8" r:id="rId4" xr:uid="{5AFD6102-F7D5-504E-8D4A-5E818D65EF15}"/>
    <hyperlink ref="U9" r:id="rId5" xr:uid="{90F0B31D-C0FB-8147-A588-39DA6BBABC08}"/>
    <hyperlink ref="U10" r:id="rId6" xr:uid="{F544250B-4370-6B40-8585-D75AD2628733}"/>
    <hyperlink ref="U11" r:id="rId7" xr:uid="{0D8B5D97-8CC5-7248-8B71-558B5C9FF696}"/>
    <hyperlink ref="U12" r:id="rId8" xr:uid="{647AD239-F69A-5945-A3B7-FFAD14EEFAAA}"/>
    <hyperlink ref="U13" r:id="rId9" xr:uid="{9910643D-AEE6-8243-B2AC-E59B3B21CB20}"/>
    <hyperlink ref="U14" r:id="rId10" xr:uid="{AB6B2EBB-A480-3F4B-BACA-FA4FC5528917}"/>
    <hyperlink ref="U15" r:id="rId11" xr:uid="{F1AED60C-D684-A644-A3A1-D9B2278A30C7}"/>
    <hyperlink ref="U16" r:id="rId12" xr:uid="{EE9BFB73-A655-4F48-94D5-8ED3E14B4DBC}"/>
    <hyperlink ref="U17" r:id="rId13" xr:uid="{060AE6ED-CC9A-8849-9FDC-79DA355666D1}"/>
    <hyperlink ref="U18" r:id="rId14" xr:uid="{78F89938-218B-3E4D-90C7-A75E592A5691}"/>
    <hyperlink ref="U19" r:id="rId15" xr:uid="{2E535AEB-3309-174F-B870-78AF4A68C33E}"/>
    <hyperlink ref="U20" r:id="rId16" xr:uid="{EDC11EDE-B211-D34B-9884-FC7D0B708B24}"/>
    <hyperlink ref="U21" r:id="rId17" xr:uid="{066819FC-493A-7846-BE09-1A0B52CBF5EA}"/>
    <hyperlink ref="U22" r:id="rId18" xr:uid="{27B3597F-6AFA-4144-BB7D-081ED01E5002}"/>
    <hyperlink ref="U23" r:id="rId19" xr:uid="{9FE0FA5D-A142-A140-BEF1-892D3F999E5F}"/>
    <hyperlink ref="U24" r:id="rId20" xr:uid="{70DE8177-8F0E-0949-AB79-345A6F17442A}"/>
    <hyperlink ref="U25" r:id="rId21" xr:uid="{3AE0FC1C-1C0E-194D-BE13-8EFB164E6C00}"/>
    <hyperlink ref="U26" r:id="rId22" xr:uid="{3041E56F-02DD-2144-8E8E-3249D873FF85}"/>
    <hyperlink ref="U27" r:id="rId23" xr:uid="{2942E44F-3E45-4F44-9FFA-77EA99306CE1}"/>
    <hyperlink ref="U28" r:id="rId24" xr:uid="{C0725265-CC1B-5044-B0CD-61914965ED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Juani Pao Cardenas Quinde</cp:lastModifiedBy>
  <dcterms:created xsi:type="dcterms:W3CDTF">2024-01-22T20:29:31Z</dcterms:created>
  <dcterms:modified xsi:type="dcterms:W3CDTF">2025-03-26T13:35:59Z</dcterms:modified>
</cp:coreProperties>
</file>