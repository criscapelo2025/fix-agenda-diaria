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/>
  <mc:AlternateContent xmlns:mc="http://schemas.openxmlformats.org/markup-compatibility/2006">
    <mc:Choice Requires="x15">
      <x15ac:absPath xmlns:x15ac="http://schemas.microsoft.com/office/spreadsheetml/2010/11/ac" url="/Users/olivercapelo/Desktop/REPORTES 2024 CONSOLIDADO/"/>
    </mc:Choice>
  </mc:AlternateContent>
  <xr:revisionPtr revIDLastSave="0" documentId="8_{EEA0C59D-9D4A-C445-A0E5-CDB19CE4AABB}" xr6:coauthVersionLast="47" xr6:coauthVersionMax="47" xr10:uidLastSave="{00000000-0000-0000-0000-000000000000}"/>
  <bookViews>
    <workbookView xWindow="0" yWindow="500" windowWidth="20740" windowHeight="11760" activeTab="1" xr2:uid="{00000000-000D-0000-FFFF-FFFF00000000}"/>
  </bookViews>
  <sheets>
    <sheet name="PROMOCION" sheetId="1" r:id="rId1"/>
    <sheet name="GARANTIA" sheetId="2" r:id="rId2"/>
    <sheet name="BBQ" sheetId="3" r:id="rId3"/>
    <sheet name="ALMACENES " sheetId="4" r:id="rId4"/>
    <sheet name="PROYECTO " sheetId="5" r:id="rId5"/>
    <sheet name="1 PRODUCTO" sheetId="6" r:id="rId6"/>
    <sheet name="CONSOLIDADO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5" i="2" l="1"/>
  <c r="O38" i="6" l="1"/>
  <c r="N43" i="5" l="1"/>
  <c r="N10" i="4" l="1"/>
  <c r="M67" i="1" l="1"/>
  <c r="M66" i="1"/>
  <c r="M65" i="1"/>
  <c r="O62" i="1"/>
  <c r="I28" i="2" l="1"/>
  <c r="I29" i="2" l="1"/>
  <c r="I33" i="2" s="1"/>
  <c r="L13" i="3" l="1"/>
  <c r="M68" i="1" l="1"/>
</calcChain>
</file>

<file path=xl/sharedStrings.xml><?xml version="1.0" encoding="utf-8"?>
<sst xmlns="http://schemas.openxmlformats.org/spreadsheetml/2006/main" count="3299" uniqueCount="706">
  <si>
    <t xml:space="preserve">TEKA ECUADOR S.A. </t>
  </si>
  <si>
    <t>Registro Único de Contribuyente: 1791883144001</t>
  </si>
  <si>
    <t xml:space="preserve">FECHA DE COMPRA </t>
  </si>
  <si>
    <t xml:space="preserve">LUGAR DE COMRPA </t>
  </si>
  <si>
    <t>NUMERO DE FACTURA DE COMPRA</t>
  </si>
  <si>
    <t xml:space="preserve">CODIGO DEL PRODUCTO </t>
  </si>
  <si>
    <t xml:space="preserve">DESCRIPCION DE PRODUCTO </t>
  </si>
  <si>
    <t xml:space="preserve">SERIE DEL EQUIPO </t>
  </si>
  <si>
    <t>GARANTIA DEL EQUIPO</t>
  </si>
  <si>
    <t xml:space="preserve">TECNICO </t>
  </si>
  <si>
    <t xml:space="preserve">CIUDAD </t>
  </si>
  <si>
    <t xml:space="preserve">FECHA DE INSTALACION </t>
  </si>
  <si>
    <t>NOMBRE DEL CLIENTE</t>
  </si>
  <si>
    <t xml:space="preserve">DIRECCION INSTALACION </t>
  </si>
  <si>
    <t>CELULAR DEL CLIENTE</t>
  </si>
  <si>
    <t>PRECIO</t>
  </si>
  <si>
    <t xml:space="preserve">COMO LLEGO LA INFORMACION </t>
  </si>
  <si>
    <t>TÉCNICO QUE ATENDIÓ</t>
  </si>
  <si>
    <t xml:space="preserve">VIÁTICO </t>
  </si>
  <si>
    <t>FACTURA NUMERO</t>
  </si>
  <si>
    <t>CEDULA O RUC</t>
  </si>
  <si>
    <t xml:space="preserve">CORREO DEL CLIENTE </t>
  </si>
  <si>
    <t>Cliente final</t>
  </si>
  <si>
    <t xml:space="preserve">PROMOCION </t>
  </si>
  <si>
    <t xml:space="preserve">                  TRABAJOS EN GARANTÍAS</t>
  </si>
  <si>
    <t>Para Ing. Fernández</t>
  </si>
  <si>
    <t>Fecha de Compra</t>
  </si>
  <si>
    <t>Fecha de Intervención</t>
  </si>
  <si>
    <t>Cantidad</t>
  </si>
  <si>
    <t>Código del repuesto</t>
  </si>
  <si>
    <t>Descripción del Repuesto</t>
  </si>
  <si>
    <t xml:space="preserve">Codigo del Producto </t>
  </si>
  <si>
    <t>Descripción del Producto</t>
  </si>
  <si>
    <t>Serie</t>
  </si>
  <si>
    <t>Garantía</t>
  </si>
  <si>
    <t xml:space="preserve">Técnico </t>
  </si>
  <si>
    <t>Cliente</t>
  </si>
  <si>
    <t>Observación</t>
  </si>
  <si>
    <t xml:space="preserve">valor a pagar </t>
  </si>
  <si>
    <t>Cédula</t>
  </si>
  <si>
    <t>Correo</t>
  </si>
  <si>
    <t>telefono del cliente</t>
  </si>
  <si>
    <t>SAP</t>
  </si>
  <si>
    <t>Productos</t>
  </si>
  <si>
    <t xml:space="preserve">     TEKA ECUADOR S.A. </t>
  </si>
  <si>
    <t xml:space="preserve">    Registro Único de Contribuyente: 1791883144001</t>
  </si>
  <si>
    <t>BBQ</t>
  </si>
  <si>
    <t xml:space="preserve">FECHA INSTALACION </t>
  </si>
  <si>
    <t xml:space="preserve">COMO LLEGO INFORMACION </t>
  </si>
  <si>
    <t>TECNICO QUE ATENDIO</t>
  </si>
  <si>
    <t>VIATICOS</t>
  </si>
  <si>
    <t>CORREO DEL CLIENTE</t>
  </si>
  <si>
    <t>Kywi s.a.</t>
  </si>
  <si>
    <t>Sap Teka</t>
  </si>
  <si>
    <t>Cliente Final</t>
  </si>
  <si>
    <t>TEKA ECUADOR S.A.</t>
  </si>
  <si>
    <t>FECHA DE COMPRA</t>
  </si>
  <si>
    <t>LUGAR DE COMRPA</t>
  </si>
  <si>
    <t>CODIGO DEL PRODUCTO</t>
  </si>
  <si>
    <t>DESCRIPCION DE PRODUCTO</t>
  </si>
  <si>
    <t>SERIE DEL EQUIPO</t>
  </si>
  <si>
    <t>TECNICO</t>
  </si>
  <si>
    <t>CIUDAD</t>
  </si>
  <si>
    <t>FECHA INSTALACION</t>
  </si>
  <si>
    <t>DIRECCION INSTALACION</t>
  </si>
  <si>
    <t>COMO LLEGO INFORMACION</t>
  </si>
  <si>
    <t>STOCK</t>
  </si>
  <si>
    <t xml:space="preserve">LLAMADA TELEFONICA </t>
  </si>
  <si>
    <t xml:space="preserve">ALMACENES </t>
  </si>
  <si>
    <t>DETALLE DE PRODUCTOS INSTALADOS EN PROYECTO</t>
  </si>
  <si>
    <t xml:space="preserve">COMO NOS LLEGO LA INFORMACION </t>
  </si>
  <si>
    <t>Nombre de cliente</t>
  </si>
  <si>
    <t xml:space="preserve">Celular cliente </t>
  </si>
  <si>
    <t>VALOR</t>
  </si>
  <si>
    <t>RUC O CEDULA DUEÑO DE CASA</t>
  </si>
  <si>
    <t xml:space="preserve">CORREO DEL DUEÑO DE CASA </t>
  </si>
  <si>
    <t>DPTO.</t>
  </si>
  <si>
    <t>RECIBIDO POR</t>
  </si>
  <si>
    <t>CÉDULA</t>
  </si>
  <si>
    <t xml:space="preserve">PROYECTO </t>
  </si>
  <si>
    <t>Alm. España</t>
  </si>
  <si>
    <t>Capelo</t>
  </si>
  <si>
    <t>Cuenca</t>
  </si>
  <si>
    <t>Cocina IZC 64010 MSS BK</t>
  </si>
  <si>
    <t>Paute</t>
  </si>
  <si>
    <t>Mercard</t>
  </si>
  <si>
    <t>Horno HBB 535 SS</t>
  </si>
  <si>
    <t>Luna Pazmiño</t>
  </si>
  <si>
    <t>Campana C910</t>
  </si>
  <si>
    <t>Cocina GBC 64000 KBB</t>
  </si>
  <si>
    <t>Comercial Solis</t>
  </si>
  <si>
    <t>Sukasa</t>
  </si>
  <si>
    <t>Horno HLB 8416 BK</t>
  </si>
  <si>
    <t>Cocina JZC 96342 BBB</t>
  </si>
  <si>
    <t>Campana C9310</t>
  </si>
  <si>
    <t>Cocina GBC 95030 KBB</t>
  </si>
  <si>
    <t>Azogues</t>
  </si>
  <si>
    <t>Cocina JZC 96324 ABB</t>
  </si>
  <si>
    <t>Gualaceo</t>
  </si>
  <si>
    <t>Microondas ML 820 BIS</t>
  </si>
  <si>
    <t>Cocina GSC 96320 SBA IX</t>
  </si>
  <si>
    <t>Campana DVN 64030 TCL</t>
  </si>
  <si>
    <t>CAPELO</t>
  </si>
  <si>
    <t>CUENCA</t>
  </si>
  <si>
    <t>Av. Mariscal Lamar</t>
  </si>
  <si>
    <t>Sukasa Wayra</t>
  </si>
  <si>
    <t>Barbacoa a Gas T-BBQ 4100 SS</t>
  </si>
  <si>
    <t>Av. 24 de Mayo</t>
  </si>
  <si>
    <t>Lavavajillas DFI 46900</t>
  </si>
  <si>
    <t>De Cristian Capelo</t>
  </si>
  <si>
    <t>CAPELO MARZO 2024</t>
  </si>
  <si>
    <t>UN SOLO PRODUCTO</t>
  </si>
  <si>
    <t>CLIENTE FINAL</t>
  </si>
  <si>
    <t>Técnico:  Cristian Capelo</t>
  </si>
  <si>
    <t xml:space="preserve">Clientes Visitados </t>
  </si>
  <si>
    <t xml:space="preserve">FECHA </t>
  </si>
  <si>
    <t xml:space="preserve">CLIENTE </t>
  </si>
  <si>
    <t>DIRECCIÓN</t>
  </si>
  <si>
    <t xml:space="preserve">ASUNTO </t>
  </si>
  <si>
    <t>ESTADO</t>
  </si>
  <si>
    <t>SERIE</t>
  </si>
  <si>
    <t>Vr.</t>
  </si>
  <si>
    <t>CORREO</t>
  </si>
  <si>
    <t>CEDULA</t>
  </si>
  <si>
    <t>COMPRA</t>
  </si>
  <si>
    <t>Cocina GBC 75030 KBB</t>
  </si>
  <si>
    <t>FECHA COMPRA</t>
  </si>
  <si>
    <t>CODIGO</t>
  </si>
  <si>
    <t>GARANTIA</t>
  </si>
  <si>
    <t>TELEFONO</t>
  </si>
  <si>
    <t>ALMACEN</t>
  </si>
  <si>
    <t>112520025</t>
  </si>
  <si>
    <t>Andrea Narvaez</t>
  </si>
  <si>
    <t>Campana C7310</t>
  </si>
  <si>
    <t>Cocina EFX 90.1 5G</t>
  </si>
  <si>
    <t>Microondas MWG 14X</t>
  </si>
  <si>
    <t>Refrigeradoras</t>
  </si>
  <si>
    <t>kywi</t>
  </si>
  <si>
    <t>Lavavajillas</t>
  </si>
  <si>
    <t>Campanas</t>
  </si>
  <si>
    <t>Jhon Cruz</t>
  </si>
  <si>
    <t>Capelo Abril 2024</t>
  </si>
  <si>
    <t>CAPELO ABRIL 2024</t>
  </si>
  <si>
    <t>Al 20 de ABRIL del 2024</t>
  </si>
  <si>
    <t>ABRIL 2024</t>
  </si>
  <si>
    <t xml:space="preserve">CAPELO ABRIL 2024 </t>
  </si>
  <si>
    <t>040-103-000003548</t>
  </si>
  <si>
    <t>Horno HLF 9246</t>
  </si>
  <si>
    <t>Refrigeradora RFD 77820 GBK</t>
  </si>
  <si>
    <t>ZP23BG00163</t>
  </si>
  <si>
    <t>TZ232125175</t>
  </si>
  <si>
    <t>MC234E00016</t>
  </si>
  <si>
    <t>Monica Mendoza</t>
  </si>
  <si>
    <t>Florencio Astudillo 3-50</t>
  </si>
  <si>
    <t>pabloemendoza@hotmail.com</t>
  </si>
  <si>
    <t>043-902-000010124</t>
  </si>
  <si>
    <t>ZP234500093</t>
  </si>
  <si>
    <t>Francisco Andino</t>
  </si>
  <si>
    <t>Edf. Guabisay</t>
  </si>
  <si>
    <t>ZP235800014</t>
  </si>
  <si>
    <t>Horno HSB 635</t>
  </si>
  <si>
    <t>TZ213J23887</t>
  </si>
  <si>
    <t>Jose Rivera</t>
  </si>
  <si>
    <t>043-904-000012953</t>
  </si>
  <si>
    <t>Cocina GBC 950 30</t>
  </si>
  <si>
    <t>TP23AR05144</t>
  </si>
  <si>
    <t>ZP23BQ0024</t>
  </si>
  <si>
    <t>Oswaldo Tinoco</t>
  </si>
  <si>
    <t>Av. Ricardo Duran y calle Sube y Baja</t>
  </si>
  <si>
    <t>042-904-000012953</t>
  </si>
  <si>
    <t>anilva33@hotmail.com</t>
  </si>
  <si>
    <t>002-101-000101300</t>
  </si>
  <si>
    <t>Cocina GSC 95330 SBA</t>
  </si>
  <si>
    <t>Horno HLF 9246 LPG</t>
  </si>
  <si>
    <t>ZP238000612</t>
  </si>
  <si>
    <t>TZ101613348</t>
  </si>
  <si>
    <t>Lorena Duchitanga</t>
  </si>
  <si>
    <t xml:space="preserve">Baños </t>
  </si>
  <si>
    <t>acchabla@yahoo.com</t>
  </si>
  <si>
    <t>040-103-000003742</t>
  </si>
  <si>
    <t>TZ236GE16519</t>
  </si>
  <si>
    <t>MC234D00040</t>
  </si>
  <si>
    <t>MC234E00029</t>
  </si>
  <si>
    <t>Nancy Santos</t>
  </si>
  <si>
    <t>Av. Pumapungo 3 188</t>
  </si>
  <si>
    <t>nancysantos1950@hotmail.com</t>
  </si>
  <si>
    <t>Cocina JZC 64232 ABB</t>
  </si>
  <si>
    <t>Campana C610</t>
  </si>
  <si>
    <t>ZP235Q00714</t>
  </si>
  <si>
    <t>TP233X12128</t>
  </si>
  <si>
    <t>Elizabeth Morales</t>
  </si>
  <si>
    <t>Hurtado de Mendoza 14-20 y Sarahurco</t>
  </si>
  <si>
    <t>maraisd104@yahoo.com</t>
  </si>
  <si>
    <t>040-103-0000003948</t>
  </si>
  <si>
    <t>MC234E00024</t>
  </si>
  <si>
    <t>MW23AR00629</t>
  </si>
  <si>
    <t>Yi lovang</t>
  </si>
  <si>
    <t>Las Pencas</t>
  </si>
  <si>
    <t>mobi.hongli@gmail.com</t>
  </si>
  <si>
    <t>001-500-000061401</t>
  </si>
  <si>
    <t>Cocina GBC 75CI GB AB</t>
  </si>
  <si>
    <t>ZP241G00812</t>
  </si>
  <si>
    <t>TZ222J26714</t>
  </si>
  <si>
    <t>AW233800223</t>
  </si>
  <si>
    <t>Patrici Cordero</t>
  </si>
  <si>
    <t>Juan Iñiguez y Alfonso Moreno Mora</t>
  </si>
  <si>
    <t>clara.avila.s@outlook.es</t>
  </si>
  <si>
    <t>001-500-000061785</t>
  </si>
  <si>
    <t>TZ241K18329</t>
  </si>
  <si>
    <t>TP242Q04903</t>
  </si>
  <si>
    <t>Cesar Davila y G Cordero</t>
  </si>
  <si>
    <t>iciandino@gmail.com</t>
  </si>
  <si>
    <t>001-500-000061271</t>
  </si>
  <si>
    <t>TP233E02533</t>
  </si>
  <si>
    <t>ZP23A200211</t>
  </si>
  <si>
    <t>Francisco Rojas</t>
  </si>
  <si>
    <t>Edf. Terrazas de Misicata</t>
  </si>
  <si>
    <t>franrojas12c@hotmail.com</t>
  </si>
  <si>
    <t>001-500-000058408</t>
  </si>
  <si>
    <t>Microondas MS 620 BIS</t>
  </si>
  <si>
    <t>TP238Q04901</t>
  </si>
  <si>
    <t>Daniela Silva</t>
  </si>
  <si>
    <t>danielacarolinasilvatorres@gmail.com</t>
  </si>
  <si>
    <t>TZ229M21294</t>
  </si>
  <si>
    <t>001-101-000003272</t>
  </si>
  <si>
    <t>Horno HBB 510 BK</t>
  </si>
  <si>
    <t>Refrigeradora RFD 74920 ss GBK</t>
  </si>
  <si>
    <t>TZ239B09193</t>
  </si>
  <si>
    <t>ZP23A200235</t>
  </si>
  <si>
    <t>MC232R00095</t>
  </si>
  <si>
    <t>Tamara Bernal</t>
  </si>
  <si>
    <t>Edf. Rubik</t>
  </si>
  <si>
    <t>tamarabernal5@icloud.com</t>
  </si>
  <si>
    <t>Vitoria Hogar</t>
  </si>
  <si>
    <t>001-002-000003821</t>
  </si>
  <si>
    <t>Cocina GBC95030 KBB</t>
  </si>
  <si>
    <t>TZ234K16067</t>
  </si>
  <si>
    <t>ZP23AC00445</t>
  </si>
  <si>
    <t>Azoguez Uchucupun</t>
  </si>
  <si>
    <t>Jessica Coronel</t>
  </si>
  <si>
    <t>jekacn@hotmail.com</t>
  </si>
  <si>
    <t>001-500-000057762</t>
  </si>
  <si>
    <t>MC 234E00107</t>
  </si>
  <si>
    <t>ZP22AE00043</t>
  </si>
  <si>
    <t>Fernanda Sarmientp</t>
  </si>
  <si>
    <t>feny_30@hotmail.com</t>
  </si>
  <si>
    <t>016-902-000459245</t>
  </si>
  <si>
    <t>TP23AG00182</t>
  </si>
  <si>
    <t>Stalyn Moran</t>
  </si>
  <si>
    <t>Luis Antonio Chicaiza</t>
  </si>
  <si>
    <t>TP23BF04081</t>
  </si>
  <si>
    <t>001-500-000060462</t>
  </si>
  <si>
    <t>ZP217R00022</t>
  </si>
  <si>
    <t>TP23AG00154</t>
  </si>
  <si>
    <t>Carmita Cordova</t>
  </si>
  <si>
    <t>Pedro Lopez de Argudo</t>
  </si>
  <si>
    <t>nalvarezv69@cuenca.gob.ec</t>
  </si>
  <si>
    <t>043-902-000006768</t>
  </si>
  <si>
    <t>TZ23BF4576</t>
  </si>
  <si>
    <t>ZP23BE00717</t>
  </si>
  <si>
    <t>Maria Hilda Chunchi</t>
  </si>
  <si>
    <t>Victoria del Portete</t>
  </si>
  <si>
    <t>016-907-000194429</t>
  </si>
  <si>
    <t>ZP234E00278</t>
  </si>
  <si>
    <t>TP23AG00297</t>
  </si>
  <si>
    <t>Alfredo Lopez</t>
  </si>
  <si>
    <t>alfrlopez708@gmail.com</t>
  </si>
  <si>
    <t>001-501-000050703</t>
  </si>
  <si>
    <t>ZP235B00139</t>
  </si>
  <si>
    <t>Patricia Tello</t>
  </si>
  <si>
    <t>Cebrian de Moreta y Av. De las Americas</t>
  </si>
  <si>
    <t>TP236L03222</t>
  </si>
  <si>
    <t>HOME VEGA</t>
  </si>
  <si>
    <t>006-002-000154018</t>
  </si>
  <si>
    <t>Cristian Capelo</t>
  </si>
  <si>
    <t>Luis Caceres</t>
  </si>
  <si>
    <t>Llamada Cliente</t>
  </si>
  <si>
    <t>lcaceres510@gmail.com</t>
  </si>
  <si>
    <t>Edf. Juan de Salinas</t>
  </si>
  <si>
    <t>Dpto. 1</t>
  </si>
  <si>
    <t>TP234J04128</t>
  </si>
  <si>
    <t>TP22AC0580</t>
  </si>
  <si>
    <t>Horno HBB 535 SS E 01</t>
  </si>
  <si>
    <t>TZ229N22666</t>
  </si>
  <si>
    <t>Cocina EX 60.1 4G AI DR CI</t>
  </si>
  <si>
    <t>TP234H02362</t>
  </si>
  <si>
    <t>TP232T00608</t>
  </si>
  <si>
    <t>TZ229N22672</t>
  </si>
  <si>
    <t>ZP232100237</t>
  </si>
  <si>
    <t>Dpto. 2</t>
  </si>
  <si>
    <t>Dpto. 3</t>
  </si>
  <si>
    <t>TP234J04126</t>
  </si>
  <si>
    <t>TP232805995</t>
  </si>
  <si>
    <t>TZ229M21286</t>
  </si>
  <si>
    <t>ZP232P01107</t>
  </si>
  <si>
    <t>Dpto. 4</t>
  </si>
  <si>
    <t>Dpto. 5</t>
  </si>
  <si>
    <t>TP234J04198</t>
  </si>
  <si>
    <t>TP22AC06501</t>
  </si>
  <si>
    <t>TZ229M21297</t>
  </si>
  <si>
    <t>ZP234B00186</t>
  </si>
  <si>
    <t>TP234H023659</t>
  </si>
  <si>
    <t>TZ229N22673</t>
  </si>
  <si>
    <t>TP232T00636</t>
  </si>
  <si>
    <t>ZP23BP00188</t>
  </si>
  <si>
    <t>ZP23BP00180</t>
  </si>
  <si>
    <t>ZP23BP00154</t>
  </si>
  <si>
    <t>TP226M04160</t>
  </si>
  <si>
    <t>Eduardo Serpa</t>
  </si>
  <si>
    <t>Edf. Pablos</t>
  </si>
  <si>
    <t>TP236E05110</t>
  </si>
  <si>
    <t>ZP23BP00114</t>
  </si>
  <si>
    <t>TP236E05118</t>
  </si>
  <si>
    <t>ZP22BG00062</t>
  </si>
  <si>
    <t>Campana C710</t>
  </si>
  <si>
    <t>ZP237U00373</t>
  </si>
  <si>
    <t>ZP237000396</t>
  </si>
  <si>
    <t>ZP232N00249</t>
  </si>
  <si>
    <t>TP231T11172</t>
  </si>
  <si>
    <t>Alm. Chordeleg</t>
  </si>
  <si>
    <t>001-001-000019091</t>
  </si>
  <si>
    <t xml:space="preserve">Horno HBB 535 </t>
  </si>
  <si>
    <t>TZ222R26573</t>
  </si>
  <si>
    <t>Juan Fernando Avilez</t>
  </si>
  <si>
    <t>jdmendez100@gmail.com</t>
  </si>
  <si>
    <t xml:space="preserve">Tapitex </t>
  </si>
  <si>
    <t>Campana DPL 90</t>
  </si>
  <si>
    <t>M0000016077747</t>
  </si>
  <si>
    <t>ZP212MM00068</t>
  </si>
  <si>
    <t>TP232T00623</t>
  </si>
  <si>
    <t>Sandra Molina</t>
  </si>
  <si>
    <t>San Joaquin</t>
  </si>
  <si>
    <t>zandramolinap@gmail.com</t>
  </si>
  <si>
    <t>040-103-000003711</t>
  </si>
  <si>
    <t>ZP23BU00158</t>
  </si>
  <si>
    <t>Melania Escandon</t>
  </si>
  <si>
    <t>Ordoñez Lazo y Alamos</t>
  </si>
  <si>
    <t>040-103-000003710</t>
  </si>
  <si>
    <t>Campana C 710</t>
  </si>
  <si>
    <t>TP23BN04944</t>
  </si>
  <si>
    <t>001-001-000019811</t>
  </si>
  <si>
    <t>Campana C910P</t>
  </si>
  <si>
    <t>Placa de Potencia I100 IZDA 2B M7 LAYOUT (IFX)</t>
  </si>
  <si>
    <t>Cocina IZS 86630</t>
  </si>
  <si>
    <t>ZP222A00009</t>
  </si>
  <si>
    <t>Juan Diego Vasquez</t>
  </si>
  <si>
    <t>Se reemplaza el modulo quemado</t>
  </si>
  <si>
    <t>001-500-000045848</t>
  </si>
  <si>
    <t>Fuga de gas en el tubo de distribucion</t>
  </si>
  <si>
    <t>T-BBQ 3100</t>
  </si>
  <si>
    <t>Fernando Gonzalez</t>
  </si>
  <si>
    <t>gerencia@fegoauto.com.ec</t>
  </si>
  <si>
    <t>001-101-000002700</t>
  </si>
  <si>
    <t>Refrigeradora RFD 77820</t>
  </si>
  <si>
    <t>MC234D00130</t>
  </si>
  <si>
    <t>Susana Borja</t>
  </si>
  <si>
    <t>susy_borja@yahoo.com</t>
  </si>
  <si>
    <t>001-101-00003228</t>
  </si>
  <si>
    <t>Griferia Tekaway</t>
  </si>
  <si>
    <t>Dany Ramon</t>
  </si>
  <si>
    <t>002-101-000100952</t>
  </si>
  <si>
    <t>Cocina no Enciende</t>
  </si>
  <si>
    <t>Se ajusta sensor Termopar</t>
  </si>
  <si>
    <t>Maria Ester Castillo</t>
  </si>
  <si>
    <t>Cocina EFX 70.1 5G</t>
  </si>
  <si>
    <t>marymar30@gmail.com</t>
  </si>
  <si>
    <t>001-500-000060230</t>
  </si>
  <si>
    <t>No Congela</t>
  </si>
  <si>
    <t>Se da Cambio de Producto</t>
  </si>
  <si>
    <t>MC234E00143</t>
  </si>
  <si>
    <t>Efrain Villa</t>
  </si>
  <si>
    <t>042-902-000011147</t>
  </si>
  <si>
    <t>Placa de Potencia I100 Derecha</t>
  </si>
  <si>
    <t>Cocina IZF 64440MPS</t>
  </si>
  <si>
    <t>ZP22CD00082</t>
  </si>
  <si>
    <t>Gulnara Carrion</t>
  </si>
  <si>
    <t>Se Reemplaza placa de potencia</t>
  </si>
  <si>
    <t>jcnaula@hotmail.com</t>
  </si>
  <si>
    <t>002-101-000091539</t>
  </si>
  <si>
    <t xml:space="preserve">Quemador Central y Qemador inferior izq. No encienden </t>
  </si>
  <si>
    <t>Cocina GBC 75030KBB</t>
  </si>
  <si>
    <t>ZP223N00080</t>
  </si>
  <si>
    <t xml:space="preserve">Susana Cabrera </t>
  </si>
  <si>
    <t>Se ajusta sensor termopar</t>
  </si>
  <si>
    <t>suan_cabrera@gmail.com</t>
  </si>
  <si>
    <t>001-500-000044502</t>
  </si>
  <si>
    <t>Cocina GBC 64000 KB</t>
  </si>
  <si>
    <t>ZP23BP00048</t>
  </si>
  <si>
    <t>Sofia Andino</t>
  </si>
  <si>
    <t>sofiaandino@gmail.com</t>
  </si>
  <si>
    <t>043-902-000010123</t>
  </si>
  <si>
    <t>No Calienta</t>
  </si>
  <si>
    <t>Cocina IZS 86630 MST BK</t>
  </si>
  <si>
    <t>ZP221M00010</t>
  </si>
  <si>
    <t>Monica de Vega</t>
  </si>
  <si>
    <t>facturas@easysoft.com.ec</t>
  </si>
  <si>
    <t>001-101-000002185</t>
  </si>
  <si>
    <t>Manija Floja, Descuadrada</t>
  </si>
  <si>
    <t>Lavavajillas DFI 46950 120-60</t>
  </si>
  <si>
    <t>AW233800544</t>
  </si>
  <si>
    <t>Almacen Kywi</t>
  </si>
  <si>
    <t>Se ajusta Manija</t>
  </si>
  <si>
    <t>freddyn@kywi.com.ec</t>
  </si>
  <si>
    <t>Cocina Huele a quemado</t>
  </si>
  <si>
    <t>Cocina IZS 97630 MST BK</t>
  </si>
  <si>
    <t>ZP228G00054</t>
  </si>
  <si>
    <t>Luz Moncada</t>
  </si>
  <si>
    <t>Se revisa Conecciones y se ajustan terminales y conectores, se realizan pruebas de funcionamiento se deja a prueba</t>
  </si>
  <si>
    <t>008-501-000007913</t>
  </si>
  <si>
    <t>No enciende</t>
  </si>
  <si>
    <t>Campana GFH 73 INOX TEKA</t>
  </si>
  <si>
    <t>TP232906475</t>
  </si>
  <si>
    <t>David Astudillo</t>
  </si>
  <si>
    <t>001-500-000054087</t>
  </si>
  <si>
    <t>002-109-000026327</t>
  </si>
  <si>
    <t>Boyaca</t>
  </si>
  <si>
    <t>007-006-000122176</t>
  </si>
  <si>
    <t>Griferia</t>
  </si>
  <si>
    <t>Lavavajillas 857 Fim D</t>
  </si>
  <si>
    <t>MD219L01817</t>
  </si>
  <si>
    <t>Jose Solis</t>
  </si>
  <si>
    <t>Cambio de Producto</t>
  </si>
  <si>
    <t>002-101-000093000</t>
  </si>
  <si>
    <t>001-500-000056418</t>
  </si>
  <si>
    <t>Chordeleg</t>
  </si>
  <si>
    <t>001-001-000019942</t>
  </si>
  <si>
    <t>Kywi</t>
  </si>
  <si>
    <t>016-907-000198155</t>
  </si>
  <si>
    <t>TP23AR05177</t>
  </si>
  <si>
    <t>Diego Villa</t>
  </si>
  <si>
    <t>Bosque de Monay</t>
  </si>
  <si>
    <t>vidiego@hotmail.com</t>
  </si>
  <si>
    <t>ZP241R00397</t>
  </si>
  <si>
    <t>Barbacoa a Gas T-BBQ 3100 SS</t>
  </si>
  <si>
    <t>Cristina Garcia</t>
  </si>
  <si>
    <t>Condominio Vista Valle</t>
  </si>
  <si>
    <t>kriss_garcia_b@hotmail.com</t>
  </si>
  <si>
    <t>CAPELO - ABRIL 2024</t>
  </si>
  <si>
    <t>KYWI</t>
  </si>
  <si>
    <t>916-902-000458682</t>
  </si>
  <si>
    <t>112600000</t>
  </si>
  <si>
    <t>Cocina EX 90.1 5G AI DR CI</t>
  </si>
  <si>
    <t>ZP221M00030</t>
  </si>
  <si>
    <t>0387864</t>
  </si>
  <si>
    <t>Didio Serpa</t>
  </si>
  <si>
    <t>Rio Amarillo</t>
  </si>
  <si>
    <t>dianseco@hotmail.com</t>
  </si>
  <si>
    <t>001-500-000061182</t>
  </si>
  <si>
    <t>111010040</t>
  </si>
  <si>
    <t>Horno HSB 610 BK</t>
  </si>
  <si>
    <t>TZ23AW2191</t>
  </si>
  <si>
    <t>andreafeo28narvaez@gmail.com</t>
  </si>
  <si>
    <t>043-907-000007732</t>
  </si>
  <si>
    <t>112580017</t>
  </si>
  <si>
    <t>ZP23BF01067</t>
  </si>
  <si>
    <t>Patricio Clavijo</t>
  </si>
  <si>
    <t>De los ladrilleros</t>
  </si>
  <si>
    <t>sonia_gaibor@yahoo.com</t>
  </si>
  <si>
    <t>016-903-000505037</t>
  </si>
  <si>
    <t>40466241</t>
  </si>
  <si>
    <t>Campana C 9310</t>
  </si>
  <si>
    <t>TP23BF04083</t>
  </si>
  <si>
    <t>Silvia Garcia</t>
  </si>
  <si>
    <t>Bazco Nuñez 2-37</t>
  </si>
  <si>
    <t>maurorocha977@gmail.com</t>
  </si>
  <si>
    <t>001-500-000061316</t>
  </si>
  <si>
    <t>Cocina IZC 640010MSSBK</t>
  </si>
  <si>
    <t>ZP23A200238</t>
  </si>
  <si>
    <t>Liliana Gonzalez</t>
  </si>
  <si>
    <t>Luis Moscosa y Carmela Malo</t>
  </si>
  <si>
    <t>liligonzalez1962@hotmail.com</t>
  </si>
  <si>
    <t>040-104-000000767</t>
  </si>
  <si>
    <t>112570124</t>
  </si>
  <si>
    <t>Cocina JZC 64322 ABB</t>
  </si>
  <si>
    <t>ZP235000705</t>
  </si>
  <si>
    <t>Christian Garcia</t>
  </si>
  <si>
    <t>Ordoñez Lazo</t>
  </si>
  <si>
    <t>040-106-000000767</t>
  </si>
  <si>
    <t>om_dental@hotmail.com</t>
  </si>
  <si>
    <t>001-500-000061118</t>
  </si>
  <si>
    <t>111010028</t>
  </si>
  <si>
    <t>Horno HSB 646 SS E10</t>
  </si>
  <si>
    <t>TZ234E11072</t>
  </si>
  <si>
    <t>Sonia Cevallos</t>
  </si>
  <si>
    <t>Jose Rio Frio</t>
  </si>
  <si>
    <t>s_cevallos_2@hotmail.com</t>
  </si>
  <si>
    <t>001-500-000060089</t>
  </si>
  <si>
    <t>40211632</t>
  </si>
  <si>
    <t>Cocina EFX 90.1 5G AI AL DR LEFT CI</t>
  </si>
  <si>
    <t>ZP217R00024</t>
  </si>
  <si>
    <t>Roberto Pulgarin</t>
  </si>
  <si>
    <t>Barrio Atenas</t>
  </si>
  <si>
    <t>robertopulgarin@gmail.com</t>
  </si>
  <si>
    <t>016-902-000459178</t>
  </si>
  <si>
    <t>Cocina IZC 64010 MSSBK</t>
  </si>
  <si>
    <t>ZP23B200098</t>
  </si>
  <si>
    <t>Nila Romero</t>
  </si>
  <si>
    <t>Barrial Blanco</t>
  </si>
  <si>
    <t>001-500-000059022</t>
  </si>
  <si>
    <t>112580058</t>
  </si>
  <si>
    <t>Cocina GBC 95030</t>
  </si>
  <si>
    <t>ZP237000450</t>
  </si>
  <si>
    <t>Dayana Miranda</t>
  </si>
  <si>
    <t>Via A Patamarca</t>
  </si>
  <si>
    <t>jofecico@gmail.com</t>
  </si>
  <si>
    <t>016-907-000197331</t>
  </si>
  <si>
    <t>40467305</t>
  </si>
  <si>
    <t>TP23BN01964</t>
  </si>
  <si>
    <t>Pedro Pesantez</t>
  </si>
  <si>
    <t>Boyaca 1-99</t>
  </si>
  <si>
    <t>perico.p@hotmail.com</t>
  </si>
  <si>
    <t>112600001</t>
  </si>
  <si>
    <t xml:space="preserve">Cocina EX 60.1 </t>
  </si>
  <si>
    <t>ZP202L00008</t>
  </si>
  <si>
    <t>Carmen Piña</t>
  </si>
  <si>
    <t>General Torre 8-64</t>
  </si>
  <si>
    <t>carmen77piña@hotmail.com</t>
  </si>
  <si>
    <t>016-907-000197495</t>
  </si>
  <si>
    <t>40484204</t>
  </si>
  <si>
    <t>Camapana DSH 985</t>
  </si>
  <si>
    <t>TP23AA02194</t>
  </si>
  <si>
    <t>Rocio Junatamay</t>
  </si>
  <si>
    <t>Miraflores</t>
  </si>
  <si>
    <t>ninfisjuntamay@hotmail.com</t>
  </si>
  <si>
    <t>1125880027</t>
  </si>
  <si>
    <t>ZP22BG0092</t>
  </si>
  <si>
    <t>Gabriel Inga</t>
  </si>
  <si>
    <t>034-107-000024098</t>
  </si>
  <si>
    <t>112570128</t>
  </si>
  <si>
    <t>ZP23C 700699</t>
  </si>
  <si>
    <t>Pantaleon Campoverde</t>
  </si>
  <si>
    <t>016-907-000198511</t>
  </si>
  <si>
    <t>112950021</t>
  </si>
  <si>
    <t>Campana DVN 94030</t>
  </si>
  <si>
    <t>EX239J00114</t>
  </si>
  <si>
    <t>Jose Ñauta</t>
  </si>
  <si>
    <t>Ricaurte</t>
  </si>
  <si>
    <t>paulorlandob@gmail.com</t>
  </si>
  <si>
    <t>043-904-000015211</t>
  </si>
  <si>
    <t>TP234L07625</t>
  </si>
  <si>
    <t>Josepmma Briceño</t>
  </si>
  <si>
    <t>Pencas</t>
  </si>
  <si>
    <t>josephmma@gmail.com</t>
  </si>
  <si>
    <t>001-001-000003247</t>
  </si>
  <si>
    <t>112500047</t>
  </si>
  <si>
    <t>Cocina IZF 997 CO MST BR</t>
  </si>
  <si>
    <t>ZP2335400112</t>
  </si>
  <si>
    <t>Juan Martinez</t>
  </si>
  <si>
    <t>Panamericana Norte KM. 3</t>
  </si>
  <si>
    <t>jmartinez.borrero@gmail.com</t>
  </si>
  <si>
    <t>001-500-000061737</t>
  </si>
  <si>
    <t>112580027</t>
  </si>
  <si>
    <t>ZP241R00256</t>
  </si>
  <si>
    <t>Pablo Crespo</t>
  </si>
  <si>
    <t>Luis Layola y L. Toral</t>
  </si>
  <si>
    <t>pablocrespood@hotmail.com</t>
  </si>
  <si>
    <t>043-902-000004953</t>
  </si>
  <si>
    <t>40446712</t>
  </si>
  <si>
    <t>Campana GFH 73</t>
  </si>
  <si>
    <t>TP232A09541</t>
  </si>
  <si>
    <t>Luis Marchan</t>
  </si>
  <si>
    <t>Gran Colombia</t>
  </si>
  <si>
    <t>comlm@hotmail.com</t>
  </si>
  <si>
    <t>017-901-000907407</t>
  </si>
  <si>
    <t>40460450</t>
  </si>
  <si>
    <t>Campana DBB 90</t>
  </si>
  <si>
    <t>PX23A400039</t>
  </si>
  <si>
    <t>Paola Romero</t>
  </si>
  <si>
    <t>Av. De Los Migrantes</t>
  </si>
  <si>
    <t>paolaromeros@hotmail.com</t>
  </si>
  <si>
    <t>043-906-000014306</t>
  </si>
  <si>
    <t>ZP241R00278</t>
  </si>
  <si>
    <t>Norman Saavedra</t>
  </si>
  <si>
    <t>043-904-000015051</t>
  </si>
  <si>
    <t>ZP23CD00005</t>
  </si>
  <si>
    <t>Patricio Cabrera</t>
  </si>
  <si>
    <t>Demetrio Aguilera Malta y Medardo Angel Silva</t>
  </si>
  <si>
    <t xml:space="preserve">juliopatcab@gmail.com </t>
  </si>
  <si>
    <t>001-500-0000611000</t>
  </si>
  <si>
    <t>ZP23BE00533</t>
  </si>
  <si>
    <t>Maria Condo</t>
  </si>
  <si>
    <t>Jose De la Cuadra</t>
  </si>
  <si>
    <t>christdaniel86@hotmail.com</t>
  </si>
  <si>
    <t>043-902-000011147</t>
  </si>
  <si>
    <t>113430016</t>
  </si>
  <si>
    <t>MC234E00053</t>
  </si>
  <si>
    <t>Cañar</t>
  </si>
  <si>
    <t>043-904-000015968</t>
  </si>
  <si>
    <t>TP2411206444</t>
  </si>
  <si>
    <t>Misicata</t>
  </si>
  <si>
    <t>yessenia.mazza@ingenieria-soluciones.com</t>
  </si>
  <si>
    <t>016-902-000455167</t>
  </si>
  <si>
    <t>112570073</t>
  </si>
  <si>
    <t>Cocina GZC 96310 XBB</t>
  </si>
  <si>
    <t>ZP236100026</t>
  </si>
  <si>
    <t>Jhoana Mendez</t>
  </si>
  <si>
    <t>erikajhomendezrojas@gmail.com</t>
  </si>
  <si>
    <t>001-500-000062092</t>
  </si>
  <si>
    <t>111000051</t>
  </si>
  <si>
    <t>Horno HLB 8416</t>
  </si>
  <si>
    <t>TZ 241K18307</t>
  </si>
  <si>
    <t>Jonnathan Ochoa</t>
  </si>
  <si>
    <t>Via a San Miguel</t>
  </si>
  <si>
    <t>j.ochoa_91@hotmail.com</t>
  </si>
  <si>
    <t>040-104-000003434</t>
  </si>
  <si>
    <t>112570093</t>
  </si>
  <si>
    <t>Cocina GZC 75330 XBB</t>
  </si>
  <si>
    <t>ZP235Q00647</t>
  </si>
  <si>
    <t>043-905-00016210</t>
  </si>
  <si>
    <t>ZP23BP00106</t>
  </si>
  <si>
    <t>Jhoana Escudero</t>
  </si>
  <si>
    <t>joyescudero82@gmail.com</t>
  </si>
  <si>
    <t>016-903-000510189</t>
  </si>
  <si>
    <t>TP23BF04096</t>
  </si>
  <si>
    <t>Edgar Sarmiento</t>
  </si>
  <si>
    <t>Bueran y Quilatoa</t>
  </si>
  <si>
    <t>Cocina 75030KB</t>
  </si>
  <si>
    <t>ZP234T00475</t>
  </si>
  <si>
    <t>Byron Machado</t>
  </si>
  <si>
    <t>machadob@hotmail.com</t>
  </si>
  <si>
    <t>TP237402431</t>
  </si>
  <si>
    <t>16-03-204</t>
  </si>
  <si>
    <t>001-500-000061126</t>
  </si>
  <si>
    <t>Horno HBB 535 SS E01</t>
  </si>
  <si>
    <t>Campana DVN 64030</t>
  </si>
  <si>
    <t>TP232T00619</t>
  </si>
  <si>
    <t>TZ222R36575</t>
  </si>
  <si>
    <t>EK2300098</t>
  </si>
  <si>
    <t>Juan Carlos Martinez</t>
  </si>
  <si>
    <t>Los Angeles</t>
  </si>
  <si>
    <t>nattygalindo@hotmail.com</t>
  </si>
  <si>
    <t>043-910-000002703</t>
  </si>
  <si>
    <t>112610067</t>
  </si>
  <si>
    <t>Cocina GSC 96320 SBA</t>
  </si>
  <si>
    <t>ZP23AD00031</t>
  </si>
  <si>
    <t>Eriberto Chuqui</t>
  </si>
  <si>
    <t>Chaullabamba</t>
  </si>
  <si>
    <t>Rosalia Moscoso</t>
  </si>
  <si>
    <t>Cocinas</t>
  </si>
  <si>
    <t>002-103-000007087</t>
  </si>
  <si>
    <t>Cocina GSC 75330 SBA</t>
  </si>
  <si>
    <t>ZP238W00243</t>
  </si>
  <si>
    <t>Magaly Cordero</t>
  </si>
  <si>
    <t>Yunguilla</t>
  </si>
  <si>
    <t>magalycor11@gmail.com</t>
  </si>
  <si>
    <t>CO225R00573</t>
  </si>
  <si>
    <t>CO217A01060</t>
  </si>
  <si>
    <t>CO217A00431</t>
  </si>
  <si>
    <t>CO217A02222</t>
  </si>
  <si>
    <t>CO226R00761</t>
  </si>
  <si>
    <t>Horno Steakmaster</t>
  </si>
  <si>
    <t>Promocion</t>
  </si>
  <si>
    <t>001-500-000040489</t>
  </si>
  <si>
    <t>Edf. Torres del Bosque</t>
  </si>
  <si>
    <t>Garantia</t>
  </si>
  <si>
    <t>juandiegovaz03@gmail.com</t>
  </si>
  <si>
    <t>Chaullabamba Urb Villa Juliana</t>
  </si>
  <si>
    <t>Ricardo Duran</t>
  </si>
  <si>
    <t xml:space="preserve">Mayancela </t>
  </si>
  <si>
    <t>Cocina EFX 7015 GAIALDRCI</t>
  </si>
  <si>
    <t>ZP216P00021</t>
  </si>
  <si>
    <t>maryomar30@gmail.com</t>
  </si>
  <si>
    <t>Edf. Esmeraldas</t>
  </si>
  <si>
    <t>Cocina IZF 64440 MPS BK</t>
  </si>
  <si>
    <t>Patricio Cordero</t>
  </si>
  <si>
    <t>Susana Cabrera</t>
  </si>
  <si>
    <t>El Tarapo</t>
  </si>
  <si>
    <t>Miguel de Santiago</t>
  </si>
  <si>
    <t>Cocina GBC 64000KB</t>
  </si>
  <si>
    <t>sofyandino@gmail.com</t>
  </si>
  <si>
    <t>Edf. Baikal</t>
  </si>
  <si>
    <t>sacturas@easysoft.com.ec</t>
  </si>
  <si>
    <t>Kywi Wayra</t>
  </si>
  <si>
    <t>Lavavajillas DFI 46950</t>
  </si>
  <si>
    <t>Av. Del Chofer</t>
  </si>
  <si>
    <t>Av. Felipe II Y Circunvalacion</t>
  </si>
  <si>
    <t>Lavavajillas DW 857 Fim D</t>
  </si>
  <si>
    <t>Via a Patamarca</t>
  </si>
  <si>
    <t>Av. Ordoñez Lazo</t>
  </si>
  <si>
    <t>Armado</t>
  </si>
  <si>
    <t>PX23C400075</t>
  </si>
  <si>
    <t xml:space="preserve">Exhibicion Almacen </t>
  </si>
  <si>
    <t>Proyecto</t>
  </si>
  <si>
    <t>Edificio Pablos</t>
  </si>
  <si>
    <t>1 Producto</t>
  </si>
  <si>
    <t>001-500-000057866</t>
  </si>
  <si>
    <t>11-18-2023</t>
  </si>
  <si>
    <t>008-501-000007488</t>
  </si>
  <si>
    <t>Refrigeradora RFD 74920</t>
  </si>
  <si>
    <t>Barbacoa a Gas T-BBQ 3100 G BK-SS</t>
  </si>
  <si>
    <t>CO217A02078</t>
  </si>
  <si>
    <t>Karina Saldaña</t>
  </si>
  <si>
    <t>Refrigeradora RLF 74920 SS</t>
  </si>
  <si>
    <t>113430018</t>
  </si>
  <si>
    <t>Lady Calle</t>
  </si>
  <si>
    <t>Yessenia Mazza</t>
  </si>
  <si>
    <t>No hace chispa un quemador</t>
  </si>
  <si>
    <t>Bujia Quemador falso contacto, se ajustan terminales</t>
  </si>
  <si>
    <t>Quamador gas se apaga</t>
  </si>
  <si>
    <t>Cajo Congelador Trabado</t>
  </si>
  <si>
    <t>Riel atascado con hielo se limpia y lubrica rieles</t>
  </si>
  <si>
    <t>Pieza Prestada</t>
  </si>
  <si>
    <t>Cambio de Placa</t>
  </si>
  <si>
    <t>Placa</t>
  </si>
  <si>
    <t>Arreglo de Hilos</t>
  </si>
  <si>
    <t>Aislado de Bujia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</si>
</sst>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dd\-mm\-yy;@"/>
    <numFmt numFmtId="165" formatCode="&quot;$&quot;#,##0.00"/>
    <numFmt numFmtId="166" formatCode="dd/mm/yy;@"/>
    <numFmt numFmtId="167" formatCode="_-* #,##0.00\ _€_-;\-* #,##0.00\ _€_-;_-* &quot;-&quot;??\ _€_-;_-@_-"/>
    <numFmt numFmtId="168" formatCode="00"/>
  </numFmts>
  <fonts count="7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7"/>
      <name val="Calibri"/>
      <family val="2"/>
    </font>
    <font>
      <sz val="9"/>
      <name val="Franklin Gothic Book"/>
      <family val="2"/>
    </font>
    <font>
      <sz val="11"/>
      <name val="Calibri"/>
      <family val="2"/>
    </font>
    <font>
      <sz val="7"/>
      <color indexed="8"/>
      <name val="Calibri"/>
      <family val="2"/>
    </font>
    <font>
      <sz val="8"/>
      <color indexed="8"/>
      <name val="Calibri"/>
      <family val="2"/>
    </font>
    <font>
      <b/>
      <sz val="9"/>
      <name val="Franklin Gothic Book"/>
      <family val="2"/>
    </font>
    <font>
      <sz val="11"/>
      <color indexed="8"/>
      <name val="Calibri"/>
      <family val="2"/>
      <charset val="1"/>
    </font>
    <font>
      <sz val="11"/>
      <name val="Calibri"/>
      <family val="2"/>
      <charset val="1"/>
    </font>
    <font>
      <sz val="12"/>
      <color indexed="8"/>
      <name val="Calibri"/>
      <family val="2"/>
      <charset val="1"/>
    </font>
    <font>
      <sz val="10"/>
      <color theme="1"/>
      <name val="Aptos Narrow"/>
      <family val="2"/>
      <scheme val="minor"/>
    </font>
    <font>
      <b/>
      <sz val="10"/>
      <color rgb="FFFFFFFF"/>
      <name val="Calibri"/>
      <family val="2"/>
    </font>
    <font>
      <sz val="13"/>
      <color indexed="8"/>
      <name val="Calibri"/>
      <family val="2"/>
    </font>
    <font>
      <u/>
      <sz val="13"/>
      <color theme="4"/>
      <name val="Aptos Narrow"/>
      <family val="2"/>
      <scheme val="minor"/>
    </font>
    <font>
      <u/>
      <sz val="13"/>
      <color theme="10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Calibri"/>
      <family val="2"/>
      <charset val="1"/>
    </font>
    <font>
      <sz val="11"/>
      <color theme="1"/>
      <name val="Aptos Narrow"/>
      <scheme val="minor"/>
    </font>
    <font>
      <sz val="7"/>
      <color theme="1"/>
      <name val="Aptos Narrow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7"/>
      <name val="Aptos Narrow"/>
      <family val="2"/>
      <scheme val="minor"/>
    </font>
    <font>
      <sz val="9"/>
      <name val="Calibri"/>
      <family val="2"/>
    </font>
    <font>
      <b/>
      <sz val="18"/>
      <name val="Aptos Narrow"/>
      <family val="2"/>
      <scheme val="minor"/>
    </font>
    <font>
      <b/>
      <sz val="18"/>
      <color indexed="8"/>
      <name val="Aptos Narrow"/>
      <family val="2"/>
      <scheme val="minor"/>
    </font>
    <font>
      <sz val="15"/>
      <name val="Aptos Narrow"/>
      <family val="2"/>
      <scheme val="minor"/>
    </font>
    <font>
      <b/>
      <sz val="7"/>
      <name val="Aptos Narrow"/>
      <family val="2"/>
      <scheme val="minor"/>
    </font>
    <font>
      <b/>
      <sz val="15"/>
      <name val="Arial"/>
      <family val="2"/>
    </font>
    <font>
      <sz val="10"/>
      <name val="Aptos Narrow"/>
      <family val="2"/>
      <scheme val="minor"/>
    </font>
    <font>
      <u/>
      <sz val="10"/>
      <color theme="10"/>
      <name val="Arial"/>
      <family val="2"/>
    </font>
    <font>
      <u/>
      <sz val="13"/>
      <color theme="4"/>
      <name val="Calibri"/>
      <family val="2"/>
    </font>
    <font>
      <sz val="13"/>
      <color theme="1"/>
      <name val="Calibri"/>
      <family val="2"/>
    </font>
    <font>
      <sz val="13"/>
      <name val="Calibri"/>
      <family val="2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7"/>
      <color theme="0"/>
      <name val="Aptos Narrow"/>
      <family val="2"/>
      <scheme val="minor"/>
    </font>
    <font>
      <u/>
      <sz val="13"/>
      <color theme="10"/>
      <name val="Arial"/>
      <family val="2"/>
    </font>
    <font>
      <sz val="13"/>
      <name val="Arial"/>
      <family val="2"/>
    </font>
    <font>
      <sz val="9"/>
      <color rgb="FF1D2228"/>
      <name val="Gothic sans-serif"/>
      <charset val="1"/>
    </font>
    <font>
      <sz val="10"/>
      <color rgb="FF1D2228"/>
      <name val="Arial"/>
      <family val="2"/>
      <charset val="1"/>
    </font>
    <font>
      <b/>
      <sz val="9"/>
      <color rgb="FF1D2228"/>
      <name val="Gothic sans-serif"/>
      <charset val="1"/>
    </font>
    <font>
      <b/>
      <sz val="11"/>
      <color rgb="FF000000"/>
      <name val="Calibri"/>
      <family val="2"/>
      <charset val="1"/>
    </font>
    <font>
      <b/>
      <sz val="10"/>
      <color theme="0"/>
      <name val="Aptos Narrow"/>
      <family val="2"/>
      <scheme val="minor"/>
    </font>
    <font>
      <sz val="10"/>
      <name val="Arial"/>
      <family val="2"/>
      <charset val="1"/>
    </font>
    <font>
      <sz val="8"/>
      <color theme="0"/>
      <name val="Aptos Narrow"/>
      <family val="2"/>
      <scheme val="minor"/>
    </font>
    <font>
      <sz val="12"/>
      <color indexed="8"/>
      <name val="Calibri"/>
      <family val="2"/>
    </font>
    <font>
      <b/>
      <sz val="12"/>
      <color theme="0"/>
      <name val="Aptos Narrow"/>
      <family val="2"/>
      <scheme val="minor"/>
    </font>
    <font>
      <b/>
      <sz val="12"/>
      <color theme="0"/>
      <name val="Calibri"/>
      <family val="2"/>
    </font>
    <font>
      <sz val="11"/>
      <color theme="1"/>
      <name val="Calibri"/>
      <family val="2"/>
    </font>
    <font>
      <sz val="9"/>
      <color theme="1"/>
      <name val="Libre Franklin"/>
    </font>
    <font>
      <sz val="9"/>
      <color theme="1"/>
      <name val="Calibri"/>
      <family val="2"/>
    </font>
    <font>
      <sz val="9"/>
      <color theme="1"/>
      <name val="Aptos Narrow"/>
      <family val="2"/>
      <scheme val="minor"/>
    </font>
    <font>
      <sz val="7"/>
      <color rgb="FF000000"/>
      <name val="Calibri"/>
      <family val="2"/>
    </font>
    <font>
      <sz val="8"/>
      <color rgb="FF000000"/>
      <name val="Calibri"/>
      <family val="2"/>
    </font>
    <font>
      <b/>
      <sz val="9"/>
      <color theme="1"/>
      <name val="Libre Franklin"/>
    </font>
    <font>
      <b/>
      <sz val="11"/>
      <color theme="1"/>
      <name val="Calibri"/>
      <family val="2"/>
    </font>
    <font>
      <b/>
      <sz val="6"/>
      <color rgb="FFFFFFFF"/>
      <name val="Calibri"/>
      <family val="2"/>
    </font>
    <font>
      <sz val="8"/>
      <color theme="1"/>
      <name val="Arial"/>
      <family val="2"/>
    </font>
    <font>
      <sz val="12"/>
      <color theme="1"/>
      <name val="Arial"/>
      <family val="2"/>
    </font>
    <font>
      <sz val="12"/>
      <color indexed="8"/>
      <name val="Aptos Narrow"/>
      <family val="2"/>
      <scheme val="minor"/>
    </font>
    <font>
      <u/>
      <sz val="13"/>
      <color theme="1"/>
      <name val="Calibri"/>
      <family val="2"/>
    </font>
    <font>
      <b/>
      <sz val="13"/>
      <color theme="1"/>
      <name val="Calibri"/>
      <family val="2"/>
    </font>
    <font>
      <u/>
      <sz val="13"/>
      <color theme="10"/>
      <name val="Calibri"/>
      <family val="2"/>
    </font>
    <font>
      <u/>
      <sz val="13"/>
      <color theme="3" tint="0.249977111117893"/>
      <name val="Calibri"/>
      <family val="2"/>
    </font>
    <font>
      <sz val="12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theme="1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FFFFF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22">
    <xf numFmtId="0" fontId="0" fillId="0" borderId="0"/>
    <xf numFmtId="0" fontId="9" fillId="0" borderId="0"/>
    <xf numFmtId="0" fontId="9" fillId="2" borderId="0">
      <alignment horizontal="left"/>
    </xf>
    <xf numFmtId="0" fontId="1" fillId="0" borderId="0"/>
    <xf numFmtId="0" fontId="2" fillId="0" borderId="0" applyNumberFormat="0" applyFill="0" applyBorder="0" applyAlignment="0" applyProtection="0"/>
    <xf numFmtId="0" fontId="20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167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43" fontId="24" fillId="0" borderId="0" applyFont="0" applyFill="0" applyBorder="0" applyAlignment="0" applyProtection="0"/>
    <xf numFmtId="0" fontId="48" fillId="0" borderId="0"/>
    <xf numFmtId="0" fontId="24" fillId="0" borderId="0"/>
    <xf numFmtId="0" fontId="1" fillId="0" borderId="0"/>
    <xf numFmtId="0" fontId="2" fillId="0" borderId="0" applyNumberFormat="0" applyFill="0" applyBorder="0" applyAlignment="0" applyProtection="0"/>
    <xf numFmtId="0" fontId="24" fillId="0" borderId="0"/>
    <xf numFmtId="0" fontId="9" fillId="0" borderId="0"/>
  </cellStyleXfs>
  <cellXfs count="320">
    <xf numFmtId="0" fontId="0" fillId="0" borderId="0" xfId="0"/>
    <xf numFmtId="0" fontId="3" fillId="0" borderId="0" xfId="0" applyFont="1" applyAlignment="1">
      <alignment horizontal="right"/>
    </xf>
    <xf numFmtId="4" fontId="4" fillId="0" borderId="0" xfId="0" applyNumberFormat="1" applyFont="1"/>
    <xf numFmtId="0" fontId="5" fillId="0" borderId="0" xfId="0" applyFont="1" applyAlignment="1">
      <alignment horizontal="left" vertical="center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" fontId="0" fillId="0" borderId="0" xfId="0" applyNumberFormat="1"/>
    <xf numFmtId="2" fontId="7" fillId="0" borderId="0" xfId="0" applyNumberFormat="1" applyFont="1" applyAlignment="1">
      <alignment horizontal="right" indent="1"/>
    </xf>
    <xf numFmtId="4" fontId="8" fillId="0" borderId="0" xfId="0" applyNumberFormat="1" applyFont="1" applyAlignment="1">
      <alignment horizontal="left" vertical="center"/>
    </xf>
    <xf numFmtId="0" fontId="10" fillId="0" borderId="0" xfId="1" applyFont="1"/>
    <xf numFmtId="0" fontId="11" fillId="2" borderId="0" xfId="2" applyFont="1" applyAlignment="1">
      <alignment horizontal="center" vertical="center"/>
    </xf>
    <xf numFmtId="1" fontId="11" fillId="2" borderId="0" xfId="2" applyNumberFormat="1" applyFont="1" applyAlignment="1">
      <alignment horizontal="right" vertical="center"/>
    </xf>
    <xf numFmtId="1" fontId="11" fillId="2" borderId="0" xfId="2" applyNumberFormat="1" applyFont="1" applyAlignment="1">
      <alignment horizontal="center" vertical="center"/>
    </xf>
    <xf numFmtId="2" fontId="11" fillId="2" borderId="0" xfId="2" applyNumberFormat="1" applyFont="1" applyAlignment="1">
      <alignment vertical="center"/>
    </xf>
    <xf numFmtId="49" fontId="0" fillId="0" borderId="0" xfId="0" quotePrefix="1" applyNumberFormat="1"/>
    <xf numFmtId="17" fontId="7" fillId="0" borderId="0" xfId="0" quotePrefix="1" applyNumberFormat="1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2" fontId="13" fillId="3" borderId="1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4" fillId="0" borderId="0" xfId="3" applyFont="1" applyAlignment="1">
      <alignment horizontal="right"/>
    </xf>
    <xf numFmtId="164" fontId="14" fillId="5" borderId="2" xfId="3" applyNumberFormat="1" applyFont="1" applyFill="1" applyBorder="1" applyAlignment="1">
      <alignment horizontal="left"/>
    </xf>
    <xf numFmtId="0" fontId="14" fillId="5" borderId="2" xfId="3" applyFont="1" applyFill="1" applyBorder="1"/>
    <xf numFmtId="0" fontId="14" fillId="0" borderId="2" xfId="3" applyFont="1" applyBorder="1" applyAlignment="1">
      <alignment horizontal="center" vertical="center"/>
    </xf>
    <xf numFmtId="0" fontId="14" fillId="0" borderId="2" xfId="3" applyFont="1" applyBorder="1"/>
    <xf numFmtId="0" fontId="14" fillId="5" borderId="2" xfId="3" applyFont="1" applyFill="1" applyBorder="1" applyAlignment="1">
      <alignment horizontal="left"/>
    </xf>
    <xf numFmtId="0" fontId="14" fillId="5" borderId="2" xfId="3" applyFont="1" applyFill="1" applyBorder="1" applyAlignment="1">
      <alignment horizontal="left" vertical="center"/>
    </xf>
    <xf numFmtId="14" fontId="14" fillId="5" borderId="2" xfId="3" applyNumberFormat="1" applyFont="1" applyFill="1" applyBorder="1" applyAlignment="1">
      <alignment horizontal="left"/>
    </xf>
    <xf numFmtId="1" fontId="14" fillId="5" borderId="2" xfId="3" applyNumberFormat="1" applyFont="1" applyFill="1" applyBorder="1"/>
    <xf numFmtId="2" fontId="14" fillId="5" borderId="2" xfId="3" applyNumberFormat="1" applyFont="1" applyFill="1" applyBorder="1" applyAlignment="1">
      <alignment horizontal="center"/>
    </xf>
    <xf numFmtId="165" fontId="14" fillId="5" borderId="2" xfId="3" applyNumberFormat="1" applyFont="1" applyFill="1" applyBorder="1" applyAlignment="1">
      <alignment horizontal="center"/>
    </xf>
    <xf numFmtId="0" fontId="14" fillId="5" borderId="2" xfId="3" applyFont="1" applyFill="1" applyBorder="1" applyAlignment="1">
      <alignment horizontal="center" vertical="center"/>
    </xf>
    <xf numFmtId="0" fontId="15" fillId="5" borderId="2" xfId="4" applyNumberFormat="1" applyFont="1" applyFill="1" applyBorder="1"/>
    <xf numFmtId="0" fontId="16" fillId="5" borderId="2" xfId="4" applyNumberFormat="1" applyFont="1" applyFill="1" applyBorder="1"/>
    <xf numFmtId="0" fontId="17" fillId="0" borderId="3" xfId="3" applyFont="1" applyBorder="1"/>
    <xf numFmtId="0" fontId="17" fillId="0" borderId="0" xfId="0" applyFont="1"/>
    <xf numFmtId="0" fontId="18" fillId="0" borderId="0" xfId="0" applyFont="1"/>
    <xf numFmtId="0" fontId="0" fillId="0" borderId="0" xfId="0" applyAlignment="1">
      <alignment horizontal="left" vertical="top"/>
    </xf>
    <xf numFmtId="0" fontId="19" fillId="6" borderId="0" xfId="0" applyFont="1" applyFill="1" applyAlignment="1">
      <alignment horizontal="left"/>
    </xf>
    <xf numFmtId="0" fontId="21" fillId="0" borderId="0" xfId="5" applyFont="1"/>
    <xf numFmtId="0" fontId="20" fillId="0" borderId="0" xfId="5" applyAlignment="1">
      <alignment horizontal="right"/>
    </xf>
    <xf numFmtId="4" fontId="8" fillId="0" borderId="0" xfId="6" applyNumberFormat="1" applyFont="1" applyAlignment="1">
      <alignment horizontal="left"/>
    </xf>
    <xf numFmtId="0" fontId="22" fillId="0" borderId="0" xfId="6" applyFont="1" applyAlignment="1">
      <alignment horizontal="center"/>
    </xf>
    <xf numFmtId="0" fontId="23" fillId="0" borderId="0" xfId="6" applyFont="1" applyAlignment="1">
      <alignment vertical="center"/>
    </xf>
    <xf numFmtId="0" fontId="22" fillId="0" borderId="0" xfId="6" applyFont="1"/>
    <xf numFmtId="2" fontId="24" fillId="0" borderId="0" xfId="6" applyNumberFormat="1" applyFont="1" applyAlignment="1">
      <alignment horizontal="left"/>
    </xf>
    <xf numFmtId="0" fontId="20" fillId="0" borderId="0" xfId="5"/>
    <xf numFmtId="0" fontId="25" fillId="0" borderId="0" xfId="5" applyFont="1"/>
    <xf numFmtId="4" fontId="8" fillId="0" borderId="0" xfId="6" applyNumberFormat="1" applyFont="1" applyAlignment="1">
      <alignment horizontal="left" vertical="center"/>
    </xf>
    <xf numFmtId="0" fontId="24" fillId="0" borderId="0" xfId="6" applyFont="1" applyAlignment="1">
      <alignment horizontal="center"/>
    </xf>
    <xf numFmtId="0" fontId="24" fillId="0" borderId="0" xfId="6" applyFont="1"/>
    <xf numFmtId="166" fontId="26" fillId="0" borderId="4" xfId="7" applyNumberFormat="1" applyFont="1" applyBorder="1" applyAlignment="1">
      <alignment horizontal="left"/>
    </xf>
    <xf numFmtId="0" fontId="26" fillId="0" borderId="5" xfId="7" applyFont="1" applyBorder="1" applyAlignment="1">
      <alignment horizontal="left"/>
    </xf>
    <xf numFmtId="0" fontId="25" fillId="0" borderId="5" xfId="7" applyFont="1" applyBorder="1" applyAlignment="1">
      <alignment horizontal="left"/>
    </xf>
    <xf numFmtId="0" fontId="27" fillId="0" borderId="5" xfId="7" applyFont="1" applyBorder="1" applyAlignment="1">
      <alignment horizontal="left"/>
    </xf>
    <xf numFmtId="0" fontId="28" fillId="0" borderId="5" xfId="7" applyFont="1" applyBorder="1" applyAlignment="1">
      <alignment horizontal="left" wrapText="1" readingOrder="1"/>
    </xf>
    <xf numFmtId="0" fontId="27" fillId="0" borderId="5" xfId="7" applyFont="1" applyBorder="1" applyAlignment="1">
      <alignment horizontal="left" wrapText="1"/>
    </xf>
    <xf numFmtId="0" fontId="29" fillId="0" borderId="5" xfId="7" applyFont="1" applyBorder="1" applyAlignment="1">
      <alignment horizontal="left" wrapText="1"/>
    </xf>
    <xf numFmtId="17" fontId="30" fillId="0" borderId="5" xfId="7" quotePrefix="1" applyNumberFormat="1" applyFont="1" applyBorder="1" applyAlignment="1">
      <alignment horizontal="left"/>
    </xf>
    <xf numFmtId="0" fontId="24" fillId="0" borderId="5" xfId="7" applyFont="1" applyBorder="1" applyAlignment="1">
      <alignment horizontal="left"/>
    </xf>
    <xf numFmtId="49" fontId="31" fillId="0" borderId="6" xfId="7" quotePrefix="1" applyNumberFormat="1" applyFont="1" applyBorder="1" applyAlignment="1">
      <alignment horizontal="left"/>
    </xf>
    <xf numFmtId="0" fontId="21" fillId="0" borderId="0" xfId="0" applyFont="1"/>
    <xf numFmtId="166" fontId="26" fillId="0" borderId="7" xfId="7" applyNumberFormat="1" applyFont="1" applyBorder="1" applyAlignment="1">
      <alignment horizontal="left"/>
    </xf>
    <xf numFmtId="0" fontId="26" fillId="0" borderId="0" xfId="7" applyFont="1" applyAlignment="1">
      <alignment horizontal="left"/>
    </xf>
    <xf numFmtId="0" fontId="25" fillId="0" borderId="0" xfId="7" applyFont="1" applyAlignment="1">
      <alignment horizontal="left"/>
    </xf>
    <xf numFmtId="0" fontId="25" fillId="0" borderId="8" xfId="7" applyFont="1" applyBorder="1" applyAlignment="1">
      <alignment horizontal="left"/>
    </xf>
    <xf numFmtId="166" fontId="32" fillId="0" borderId="9" xfId="7" applyNumberFormat="1" applyFont="1" applyBorder="1" applyAlignment="1">
      <alignment horizontal="left"/>
    </xf>
    <xf numFmtId="0" fontId="25" fillId="0" borderId="10" xfId="7" applyFont="1" applyBorder="1" applyAlignment="1">
      <alignment horizontal="left"/>
    </xf>
    <xf numFmtId="0" fontId="25" fillId="0" borderId="11" xfId="7" applyFont="1" applyBorder="1" applyAlignment="1">
      <alignment horizontal="left"/>
    </xf>
    <xf numFmtId="0" fontId="34" fillId="5" borderId="2" xfId="4" applyNumberFormat="1" applyFont="1" applyFill="1" applyBorder="1"/>
    <xf numFmtId="0" fontId="35" fillId="0" borderId="3" xfId="3" applyFont="1" applyBorder="1"/>
    <xf numFmtId="0" fontId="35" fillId="0" borderId="0" xfId="0" applyFont="1"/>
    <xf numFmtId="0" fontId="35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right"/>
    </xf>
    <xf numFmtId="0" fontId="35" fillId="0" borderId="0" xfId="0" applyFont="1" applyAlignment="1">
      <alignment horizontal="right"/>
    </xf>
    <xf numFmtId="0" fontId="35" fillId="0" borderId="0" xfId="0" applyFont="1" applyAlignment="1">
      <alignment wrapText="1"/>
    </xf>
    <xf numFmtId="0" fontId="35" fillId="0" borderId="0" xfId="5" applyFont="1" applyAlignment="1">
      <alignment horizontal="center"/>
    </xf>
    <xf numFmtId="0" fontId="35" fillId="0" borderId="0" xfId="5" applyFont="1"/>
    <xf numFmtId="2" fontId="35" fillId="0" borderId="0" xfId="5" applyNumberFormat="1" applyFont="1"/>
    <xf numFmtId="1" fontId="35" fillId="0" borderId="0" xfId="5" applyNumberFormat="1" applyFont="1" applyAlignment="1">
      <alignment horizontal="center"/>
    </xf>
    <xf numFmtId="0" fontId="37" fillId="0" borderId="0" xfId="9" applyFont="1"/>
    <xf numFmtId="0" fontId="1" fillId="0" borderId="0" xfId="14"/>
    <xf numFmtId="4" fontId="4" fillId="0" borderId="0" xfId="14" applyNumberFormat="1" applyFont="1"/>
    <xf numFmtId="0" fontId="5" fillId="0" borderId="0" xfId="14" applyFont="1" applyAlignment="1">
      <alignment vertical="center"/>
    </xf>
    <xf numFmtId="2" fontId="1" fillId="0" borderId="0" xfId="14" applyNumberFormat="1" applyAlignment="1">
      <alignment horizontal="left"/>
    </xf>
    <xf numFmtId="0" fontId="1" fillId="0" borderId="0" xfId="14" applyAlignment="1">
      <alignment horizontal="left"/>
    </xf>
    <xf numFmtId="43" fontId="1" fillId="0" borderId="0" xfId="15" applyFont="1" applyFill="1"/>
    <xf numFmtId="0" fontId="38" fillId="0" borderId="0" xfId="14" applyFont="1"/>
    <xf numFmtId="4" fontId="8" fillId="0" borderId="0" xfId="14" applyNumberFormat="1" applyFont="1" applyAlignment="1">
      <alignment horizontal="left" vertical="center"/>
    </xf>
    <xf numFmtId="0" fontId="24" fillId="0" borderId="0" xfId="9"/>
    <xf numFmtId="17" fontId="1" fillId="0" borderId="0" xfId="14" quotePrefix="1" applyNumberFormat="1"/>
    <xf numFmtId="17" fontId="38" fillId="0" borderId="0" xfId="14" quotePrefix="1" applyNumberFormat="1" applyFont="1"/>
    <xf numFmtId="0" fontId="39" fillId="7" borderId="14" xfId="14" applyFont="1" applyFill="1" applyBorder="1" applyAlignment="1">
      <alignment horizontal="center" wrapText="1"/>
    </xf>
    <xf numFmtId="0" fontId="40" fillId="7" borderId="14" xfId="9" applyFont="1" applyFill="1" applyBorder="1" applyAlignment="1">
      <alignment horizontal="left" wrapText="1"/>
    </xf>
    <xf numFmtId="43" fontId="40" fillId="7" borderId="14" xfId="15" applyFont="1" applyFill="1" applyBorder="1" applyAlignment="1">
      <alignment horizontal="left" wrapText="1"/>
    </xf>
    <xf numFmtId="0" fontId="40" fillId="7" borderId="14" xfId="9" applyFont="1" applyFill="1" applyBorder="1" applyAlignment="1">
      <alignment horizontal="center" wrapText="1"/>
    </xf>
    <xf numFmtId="0" fontId="40" fillId="7" borderId="0" xfId="9" applyFont="1" applyFill="1" applyAlignment="1">
      <alignment horizontal="left" wrapText="1"/>
    </xf>
    <xf numFmtId="0" fontId="39" fillId="7" borderId="14" xfId="9" applyFont="1" applyFill="1" applyBorder="1" applyAlignment="1">
      <alignment horizontal="left" wrapText="1"/>
    </xf>
    <xf numFmtId="0" fontId="17" fillId="0" borderId="0" xfId="14" applyFont="1" applyAlignment="1">
      <alignment horizontal="right"/>
    </xf>
    <xf numFmtId="0" fontId="42" fillId="0" borderId="0" xfId="9" applyFont="1"/>
    <xf numFmtId="14" fontId="17" fillId="0" borderId="16" xfId="14" applyNumberFormat="1" applyFont="1" applyBorder="1" applyAlignment="1">
      <alignment horizontal="left"/>
    </xf>
    <xf numFmtId="0" fontId="17" fillId="0" borderId="11" xfId="14" applyFont="1" applyBorder="1" applyAlignment="1">
      <alignment horizontal="left" vertical="center"/>
    </xf>
    <xf numFmtId="0" fontId="17" fillId="0" borderId="10" xfId="14" applyFont="1" applyBorder="1" applyAlignment="1">
      <alignment horizontal="left"/>
    </xf>
    <xf numFmtId="0" fontId="17" fillId="0" borderId="16" xfId="14" applyFont="1" applyBorder="1" applyAlignment="1">
      <alignment horizontal="left"/>
    </xf>
    <xf numFmtId="0" fontId="17" fillId="0" borderId="16" xfId="14" applyFont="1" applyBorder="1"/>
    <xf numFmtId="0" fontId="17" fillId="0" borderId="16" xfId="14" quotePrefix="1" applyFont="1" applyBorder="1" applyAlignment="1">
      <alignment horizontal="left"/>
    </xf>
    <xf numFmtId="14" fontId="17" fillId="0" borderId="10" xfId="14" applyNumberFormat="1" applyFont="1" applyBorder="1" applyAlignment="1">
      <alignment horizontal="left" vertical="center"/>
    </xf>
    <xf numFmtId="14" fontId="17" fillId="0" borderId="9" xfId="14" applyNumberFormat="1" applyFont="1" applyBorder="1" applyAlignment="1">
      <alignment horizontal="left" vertical="center"/>
    </xf>
    <xf numFmtId="14" fontId="17" fillId="0" borderId="16" xfId="14" applyNumberFormat="1" applyFont="1" applyBorder="1" applyAlignment="1">
      <alignment horizontal="left" vertical="center"/>
    </xf>
    <xf numFmtId="0" fontId="17" fillId="0" borderId="16" xfId="14" applyFont="1" applyBorder="1" applyAlignment="1">
      <alignment horizontal="left" vertical="center"/>
    </xf>
    <xf numFmtId="0" fontId="17" fillId="0" borderId="10" xfId="14" applyFont="1" applyBorder="1" applyAlignment="1">
      <alignment horizontal="left" vertical="center"/>
    </xf>
    <xf numFmtId="43" fontId="17" fillId="0" borderId="10" xfId="15" applyFont="1" applyBorder="1"/>
    <xf numFmtId="43" fontId="17" fillId="0" borderId="16" xfId="15" applyFont="1" applyBorder="1" applyAlignment="1">
      <alignment horizontal="left" vertical="center"/>
    </xf>
    <xf numFmtId="0" fontId="17" fillId="0" borderId="16" xfId="14" quotePrefix="1" applyFont="1" applyBorder="1" applyAlignment="1">
      <alignment horizontal="left" vertical="center"/>
    </xf>
    <xf numFmtId="0" fontId="41" fillId="0" borderId="11" xfId="13" applyFont="1" applyBorder="1" applyAlignment="1">
      <alignment horizontal="left" vertical="center"/>
    </xf>
    <xf numFmtId="14" fontId="17" fillId="0" borderId="15" xfId="14" applyNumberFormat="1" applyFont="1" applyBorder="1" applyAlignment="1">
      <alignment horizontal="left"/>
    </xf>
    <xf numFmtId="0" fontId="17" fillId="0" borderId="15" xfId="14" applyFont="1" applyBorder="1" applyAlignment="1">
      <alignment horizontal="left" vertical="center"/>
    </xf>
    <xf numFmtId="0" fontId="17" fillId="0" borderId="15" xfId="14" applyFont="1" applyBorder="1" applyAlignment="1">
      <alignment horizontal="left"/>
    </xf>
    <xf numFmtId="0" fontId="17" fillId="0" borderId="15" xfId="14" quotePrefix="1" applyFont="1" applyBorder="1" applyAlignment="1">
      <alignment horizontal="left"/>
    </xf>
    <xf numFmtId="14" fontId="17" fillId="0" borderId="15" xfId="14" applyNumberFormat="1" applyFont="1" applyBorder="1" applyAlignment="1">
      <alignment horizontal="left" vertical="center"/>
    </xf>
    <xf numFmtId="43" fontId="17" fillId="0" borderId="15" xfId="15" applyFont="1" applyBorder="1"/>
    <xf numFmtId="43" fontId="17" fillId="0" borderId="15" xfId="15" applyFont="1" applyBorder="1" applyAlignment="1">
      <alignment horizontal="left" vertical="center"/>
    </xf>
    <xf numFmtId="0" fontId="17" fillId="0" borderId="15" xfId="14" quotePrefix="1" applyFont="1" applyBorder="1" applyAlignment="1">
      <alignment horizontal="left" vertical="center"/>
    </xf>
    <xf numFmtId="0" fontId="43" fillId="0" borderId="0" xfId="0" applyFont="1" applyAlignment="1">
      <alignment vertical="center"/>
    </xf>
    <xf numFmtId="0" fontId="44" fillId="0" borderId="0" xfId="0" applyFont="1"/>
    <xf numFmtId="0" fontId="45" fillId="0" borderId="17" xfId="0" applyFont="1" applyBorder="1" applyAlignment="1">
      <alignment vertical="center"/>
    </xf>
    <xf numFmtId="43" fontId="0" fillId="0" borderId="0" xfId="0" applyNumberFormat="1"/>
    <xf numFmtId="0" fontId="12" fillId="0" borderId="0" xfId="0" quotePrefix="1" applyFont="1"/>
    <xf numFmtId="0" fontId="47" fillId="7" borderId="14" xfId="0" applyFont="1" applyFill="1" applyBorder="1" applyAlignment="1">
      <alignment horizontal="center" wrapText="1"/>
    </xf>
    <xf numFmtId="0" fontId="47" fillId="7" borderId="14" xfId="0" applyFont="1" applyFill="1" applyBorder="1" applyAlignment="1">
      <alignment wrapText="1"/>
    </xf>
    <xf numFmtId="0" fontId="47" fillId="7" borderId="14" xfId="0" applyFont="1" applyFill="1" applyBorder="1" applyAlignment="1">
      <alignment horizontal="center" vertical="center" wrapText="1"/>
    </xf>
    <xf numFmtId="0" fontId="47" fillId="7" borderId="18" xfId="0" applyFont="1" applyFill="1" applyBorder="1" applyAlignment="1">
      <alignment wrapText="1"/>
    </xf>
    <xf numFmtId="0" fontId="47" fillId="7" borderId="18" xfId="0" applyFont="1" applyFill="1" applyBorder="1" applyAlignment="1">
      <alignment horizontal="center" wrapText="1"/>
    </xf>
    <xf numFmtId="17" fontId="46" fillId="0" borderId="0" xfId="0" quotePrefix="1" applyNumberFormat="1" applyFont="1" applyAlignment="1">
      <alignment horizontal="left"/>
    </xf>
    <xf numFmtId="0" fontId="37" fillId="0" borderId="0" xfId="0" applyFont="1"/>
    <xf numFmtId="0" fontId="30" fillId="0" borderId="0" xfId="17" applyFont="1"/>
    <xf numFmtId="4" fontId="30" fillId="0" borderId="0" xfId="17" applyNumberFormat="1" applyFont="1"/>
    <xf numFmtId="0" fontId="25" fillId="0" borderId="0" xfId="17" applyFont="1"/>
    <xf numFmtId="0" fontId="24" fillId="0" borderId="0" xfId="17"/>
    <xf numFmtId="49" fontId="24" fillId="0" borderId="0" xfId="17" applyNumberFormat="1"/>
    <xf numFmtId="17" fontId="30" fillId="0" borderId="0" xfId="17" quotePrefix="1" applyNumberFormat="1" applyFont="1"/>
    <xf numFmtId="4" fontId="25" fillId="0" borderId="0" xfId="17" applyNumberFormat="1" applyFont="1"/>
    <xf numFmtId="0" fontId="37" fillId="0" borderId="0" xfId="17" applyFont="1"/>
    <xf numFmtId="4" fontId="4" fillId="0" borderId="0" xfId="17" applyNumberFormat="1" applyFont="1"/>
    <xf numFmtId="0" fontId="38" fillId="0" borderId="0" xfId="8" applyFont="1"/>
    <xf numFmtId="49" fontId="38" fillId="0" borderId="0" xfId="8" applyNumberFormat="1" applyFont="1"/>
    <xf numFmtId="0" fontId="5" fillId="0" borderId="0" xfId="17" applyFont="1" applyAlignment="1">
      <alignment vertical="center"/>
    </xf>
    <xf numFmtId="2" fontId="24" fillId="0" borderId="0" xfId="17" applyNumberFormat="1" applyAlignment="1">
      <alignment horizontal="left"/>
    </xf>
    <xf numFmtId="4" fontId="8" fillId="0" borderId="0" xfId="17" applyNumberFormat="1" applyFont="1" applyAlignment="1">
      <alignment horizontal="left" vertical="center"/>
    </xf>
    <xf numFmtId="0" fontId="39" fillId="7" borderId="14" xfId="18" applyFont="1" applyFill="1" applyBorder="1" applyAlignment="1">
      <alignment wrapText="1"/>
    </xf>
    <xf numFmtId="0" fontId="49" fillId="7" borderId="14" xfId="18" applyFont="1" applyFill="1" applyBorder="1" applyAlignment="1">
      <alignment wrapText="1"/>
    </xf>
    <xf numFmtId="49" fontId="39" fillId="7" borderId="14" xfId="18" applyNumberFormat="1" applyFont="1" applyFill="1" applyBorder="1" applyAlignment="1">
      <alignment wrapText="1"/>
    </xf>
    <xf numFmtId="164" fontId="50" fillId="0" borderId="2" xfId="0" applyNumberFormat="1" applyFont="1" applyBorder="1" applyAlignment="1">
      <alignment horizontal="left"/>
    </xf>
    <xf numFmtId="0" fontId="50" fillId="0" borderId="2" xfId="0" applyFont="1" applyBorder="1"/>
    <xf numFmtId="0" fontId="50" fillId="0" borderId="2" xfId="0" applyFont="1" applyBorder="1" applyAlignment="1">
      <alignment horizontal="center" vertical="center"/>
    </xf>
    <xf numFmtId="2" fontId="50" fillId="0" borderId="2" xfId="0" applyNumberFormat="1" applyFont="1" applyBorder="1" applyAlignment="1">
      <alignment horizontal="left"/>
    </xf>
    <xf numFmtId="0" fontId="50" fillId="0" borderId="2" xfId="0" quotePrefix="1" applyFont="1" applyBorder="1" applyAlignment="1">
      <alignment horizontal="left" vertical="center"/>
    </xf>
    <xf numFmtId="49" fontId="50" fillId="0" borderId="2" xfId="0" applyNumberFormat="1" applyFont="1" applyBorder="1" applyAlignment="1">
      <alignment horizontal="left"/>
    </xf>
    <xf numFmtId="14" fontId="50" fillId="0" borderId="2" xfId="0" applyNumberFormat="1" applyFont="1" applyBorder="1" applyAlignment="1">
      <alignment horizontal="left"/>
    </xf>
    <xf numFmtId="1" fontId="50" fillId="0" borderId="2" xfId="0" applyNumberFormat="1" applyFont="1" applyBorder="1"/>
    <xf numFmtId="2" fontId="50" fillId="8" borderId="2" xfId="0" applyNumberFormat="1" applyFont="1" applyFill="1" applyBorder="1" applyAlignment="1">
      <alignment horizontal="right"/>
    </xf>
    <xf numFmtId="2" fontId="50" fillId="0" borderId="2" xfId="0" applyNumberFormat="1" applyFont="1" applyBorder="1" applyAlignment="1">
      <alignment horizontal="center"/>
    </xf>
    <xf numFmtId="49" fontId="50" fillId="0" borderId="2" xfId="0" applyNumberFormat="1" applyFont="1" applyBorder="1"/>
    <xf numFmtId="165" fontId="50" fillId="0" borderId="2" xfId="0" applyNumberFormat="1" applyFont="1" applyBorder="1" applyAlignment="1">
      <alignment horizontal="center"/>
    </xf>
    <xf numFmtId="2" fontId="0" fillId="0" borderId="0" xfId="0" applyNumberFormat="1"/>
    <xf numFmtId="0" fontId="51" fillId="7" borderId="1" xfId="8" applyFont="1" applyFill="1" applyBorder="1" applyAlignment="1">
      <alignment horizontal="center" wrapText="1"/>
    </xf>
    <xf numFmtId="0" fontId="52" fillId="7" borderId="1" xfId="0" applyFont="1" applyFill="1" applyBorder="1" applyAlignment="1">
      <alignment horizontal="center" vertical="center" wrapText="1"/>
    </xf>
    <xf numFmtId="0" fontId="52" fillId="7" borderId="1" xfId="0" applyFont="1" applyFill="1" applyBorder="1" applyAlignment="1">
      <alignment vertical="center" wrapText="1"/>
    </xf>
    <xf numFmtId="0" fontId="2" fillId="5" borderId="2" xfId="19" applyNumberFormat="1" applyFill="1" applyBorder="1"/>
    <xf numFmtId="0" fontId="35" fillId="0" borderId="0" xfId="3" applyFont="1"/>
    <xf numFmtId="0" fontId="2" fillId="0" borderId="15" xfId="19" applyBorder="1" applyAlignment="1">
      <alignment horizontal="left" vertical="center"/>
    </xf>
    <xf numFmtId="0" fontId="0" fillId="0" borderId="0" xfId="14" applyFont="1"/>
    <xf numFmtId="0" fontId="53" fillId="0" borderId="0" xfId="0" applyFont="1" applyAlignment="1">
      <alignment horizontal="left"/>
    </xf>
    <xf numFmtId="4" fontId="54" fillId="0" borderId="0" xfId="0" applyNumberFormat="1" applyFont="1"/>
    <xf numFmtId="0" fontId="55" fillId="0" borderId="0" xfId="0" applyFont="1" applyAlignment="1">
      <alignment horizontal="left" vertical="center"/>
    </xf>
    <xf numFmtId="0" fontId="56" fillId="0" borderId="0" xfId="0" applyFont="1"/>
    <xf numFmtId="2" fontId="53" fillId="0" borderId="0" xfId="0" applyNumberFormat="1" applyFont="1" applyAlignment="1">
      <alignment horizontal="left"/>
    </xf>
    <xf numFmtId="0" fontId="53" fillId="0" borderId="0" xfId="0" applyFont="1" applyAlignment="1">
      <alignment horizontal="right"/>
    </xf>
    <xf numFmtId="0" fontId="57" fillId="0" borderId="0" xfId="0" applyFont="1"/>
    <xf numFmtId="49" fontId="57" fillId="0" borderId="0" xfId="0" applyNumberFormat="1" applyFont="1" applyAlignment="1">
      <alignment horizontal="left"/>
    </xf>
    <xf numFmtId="1" fontId="53" fillId="0" borderId="0" xfId="0" applyNumberFormat="1" applyFont="1"/>
    <xf numFmtId="2" fontId="58" fillId="0" borderId="0" xfId="0" applyNumberFormat="1" applyFont="1" applyAlignment="1">
      <alignment horizontal="right"/>
    </xf>
    <xf numFmtId="0" fontId="53" fillId="0" borderId="0" xfId="0" applyFont="1" applyAlignment="1">
      <alignment horizontal="center"/>
    </xf>
    <xf numFmtId="4" fontId="59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/>
    </xf>
    <xf numFmtId="49" fontId="53" fillId="0" borderId="0" xfId="0" applyNumberFormat="1" applyFont="1"/>
    <xf numFmtId="0" fontId="60" fillId="0" borderId="0" xfId="0" applyFont="1" applyAlignment="1">
      <alignment horizontal="left"/>
    </xf>
    <xf numFmtId="17" fontId="58" fillId="0" borderId="0" xfId="0" applyNumberFormat="1" applyFont="1" applyAlignment="1">
      <alignment horizontal="left"/>
    </xf>
    <xf numFmtId="0" fontId="61" fillId="3" borderId="19" xfId="0" applyFont="1" applyFill="1" applyBorder="1" applyAlignment="1">
      <alignment horizontal="left" vertical="center" wrapText="1"/>
    </xf>
    <xf numFmtId="1" fontId="61" fillId="3" borderId="19" xfId="0" applyNumberFormat="1" applyFont="1" applyFill="1" applyBorder="1" applyAlignment="1">
      <alignment horizontal="left" vertical="center" wrapText="1"/>
    </xf>
    <xf numFmtId="2" fontId="61" fillId="3" borderId="19" xfId="0" applyNumberFormat="1" applyFont="1" applyFill="1" applyBorder="1" applyAlignment="1">
      <alignment horizontal="left" vertical="center" wrapText="1"/>
    </xf>
    <xf numFmtId="0" fontId="61" fillId="3" borderId="20" xfId="0" applyFont="1" applyFill="1" applyBorder="1" applyAlignment="1">
      <alignment horizontal="left" vertical="center" wrapText="1"/>
    </xf>
    <xf numFmtId="0" fontId="61" fillId="3" borderId="21" xfId="0" applyFont="1" applyFill="1" applyBorder="1" applyAlignment="1">
      <alignment horizontal="left" vertical="center" wrapText="1"/>
    </xf>
    <xf numFmtId="14" fontId="62" fillId="9" borderId="22" xfId="0" applyNumberFormat="1" applyFont="1" applyFill="1" applyBorder="1" applyAlignment="1">
      <alignment horizontal="left" vertical="center"/>
    </xf>
    <xf numFmtId="49" fontId="62" fillId="9" borderId="22" xfId="0" applyNumberFormat="1" applyFont="1" applyFill="1" applyBorder="1" applyAlignment="1">
      <alignment horizontal="left" vertical="center"/>
    </xf>
    <xf numFmtId="0" fontId="62" fillId="9" borderId="22" xfId="0" applyFont="1" applyFill="1" applyBorder="1" applyAlignment="1">
      <alignment horizontal="left" vertical="center"/>
    </xf>
    <xf numFmtId="2" fontId="62" fillId="9" borderId="22" xfId="0" applyNumberFormat="1" applyFont="1" applyFill="1" applyBorder="1" applyAlignment="1">
      <alignment horizontal="left" vertical="center"/>
    </xf>
    <xf numFmtId="0" fontId="62" fillId="10" borderId="22" xfId="0" applyFont="1" applyFill="1" applyBorder="1" applyAlignment="1">
      <alignment horizontal="left" vertical="center"/>
    </xf>
    <xf numFmtId="14" fontId="2" fillId="9" borderId="22" xfId="19" applyNumberFormat="1" applyFill="1" applyBorder="1" applyAlignment="1">
      <alignment horizontal="left" vertical="center"/>
    </xf>
    <xf numFmtId="0" fontId="50" fillId="5" borderId="15" xfId="0" applyFont="1" applyFill="1" applyBorder="1" applyAlignment="1">
      <alignment horizontal="center" vertical="center"/>
    </xf>
    <xf numFmtId="0" fontId="36" fillId="0" borderId="0" xfId="9" applyFont="1" applyAlignment="1">
      <alignment vertical="center"/>
    </xf>
    <xf numFmtId="0" fontId="35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14" fontId="36" fillId="0" borderId="2" xfId="10" applyNumberFormat="1" applyFont="1" applyBorder="1" applyAlignment="1">
      <alignment vertical="center" wrapText="1"/>
    </xf>
    <xf numFmtId="14" fontId="36" fillId="0" borderId="2" xfId="10" applyNumberFormat="1" applyFont="1" applyBorder="1" applyAlignment="1">
      <alignment horizontal="left" vertical="center" wrapText="1"/>
    </xf>
    <xf numFmtId="0" fontId="36" fillId="0" borderId="2" xfId="10" applyFont="1" applyBorder="1" applyAlignment="1">
      <alignment horizontal="center" vertical="center" wrapText="1"/>
    </xf>
    <xf numFmtId="0" fontId="36" fillId="0" borderId="2" xfId="10" applyFont="1" applyBorder="1" applyAlignment="1">
      <alignment horizontal="left" vertical="center" wrapText="1"/>
    </xf>
    <xf numFmtId="0" fontId="36" fillId="0" borderId="12" xfId="10" applyFont="1" applyBorder="1" applyAlignment="1">
      <alignment vertical="center" wrapText="1"/>
    </xf>
    <xf numFmtId="0" fontId="36" fillId="0" borderId="2" xfId="10" quotePrefix="1" applyFont="1" applyBorder="1" applyAlignment="1">
      <alignment horizontal="left" vertical="center" wrapText="1"/>
    </xf>
    <xf numFmtId="1" fontId="36" fillId="0" borderId="2" xfId="11" quotePrefix="1" applyNumberFormat="1" applyFont="1" applyBorder="1" applyAlignment="1">
      <alignment horizontal="left" vertical="center"/>
    </xf>
    <xf numFmtId="43" fontId="36" fillId="0" borderId="2" xfId="12" applyFont="1" applyBorder="1" applyAlignment="1">
      <alignment vertical="center"/>
    </xf>
    <xf numFmtId="43" fontId="36" fillId="0" borderId="2" xfId="12" quotePrefix="1" applyFont="1" applyBorder="1" applyAlignment="1">
      <alignment horizontal="left" vertical="center"/>
    </xf>
    <xf numFmtId="43" fontId="2" fillId="0" borderId="13" xfId="19" applyNumberFormat="1" applyBorder="1" applyAlignment="1">
      <alignment horizontal="left" vertical="center"/>
    </xf>
    <xf numFmtId="0" fontId="35" fillId="0" borderId="0" xfId="0" applyFont="1" applyAlignment="1">
      <alignment horizontal="right" vertical="center"/>
    </xf>
    <xf numFmtId="2" fontId="35" fillId="0" borderId="0" xfId="5" applyNumberFormat="1" applyFont="1" applyAlignment="1">
      <alignment vertical="center"/>
    </xf>
    <xf numFmtId="0" fontId="35" fillId="0" borderId="0" xfId="5" applyFont="1" applyAlignment="1">
      <alignment vertical="center"/>
    </xf>
    <xf numFmtId="0" fontId="35" fillId="0" borderId="0" xfId="0" applyFont="1" applyAlignment="1">
      <alignment vertical="center" wrapText="1"/>
    </xf>
    <xf numFmtId="0" fontId="35" fillId="0" borderId="0" xfId="0" applyFont="1" applyAlignment="1">
      <alignment horizontal="center" vertical="center"/>
    </xf>
    <xf numFmtId="0" fontId="35" fillId="0" borderId="1" xfId="0" applyFont="1" applyBorder="1" applyAlignment="1">
      <alignment vertical="center"/>
    </xf>
    <xf numFmtId="0" fontId="35" fillId="8" borderId="1" xfId="0" applyFont="1" applyFill="1" applyBorder="1" applyAlignment="1">
      <alignment vertical="center"/>
    </xf>
    <xf numFmtId="49" fontId="18" fillId="8" borderId="1" xfId="0" applyNumberFormat="1" applyFont="1" applyFill="1" applyBorder="1" applyAlignment="1">
      <alignment horizontal="center"/>
    </xf>
    <xf numFmtId="49" fontId="2" fillId="0" borderId="2" xfId="19" applyNumberFormat="1" applyBorder="1"/>
    <xf numFmtId="0" fontId="2" fillId="0" borderId="11" xfId="19" applyBorder="1" applyAlignment="1">
      <alignment horizontal="left" vertical="center"/>
    </xf>
    <xf numFmtId="0" fontId="14" fillId="0" borderId="2" xfId="3" applyFont="1" applyBorder="1" applyAlignment="1">
      <alignment horizontal="center"/>
    </xf>
    <xf numFmtId="0" fontId="35" fillId="10" borderId="22" xfId="0" applyFont="1" applyFill="1" applyBorder="1" applyAlignment="1">
      <alignment horizontal="left" vertical="center"/>
    </xf>
    <xf numFmtId="14" fontId="35" fillId="9" borderId="22" xfId="0" applyNumberFormat="1" applyFont="1" applyFill="1" applyBorder="1" applyAlignment="1">
      <alignment horizontal="left" vertical="center"/>
    </xf>
    <xf numFmtId="43" fontId="35" fillId="0" borderId="0" xfId="0" applyNumberFormat="1" applyFont="1" applyAlignment="1">
      <alignment vertical="center"/>
    </xf>
    <xf numFmtId="0" fontId="64" fillId="8" borderId="15" xfId="21" applyFont="1" applyFill="1" applyBorder="1" applyAlignment="1">
      <alignment horizontal="left"/>
    </xf>
    <xf numFmtId="0" fontId="65" fillId="5" borderId="2" xfId="4" applyNumberFormat="1" applyFont="1" applyFill="1" applyBorder="1"/>
    <xf numFmtId="0" fontId="50" fillId="8" borderId="2" xfId="0" applyFont="1" applyFill="1" applyBorder="1"/>
    <xf numFmtId="164" fontId="66" fillId="8" borderId="14" xfId="20" applyNumberFormat="1" applyFont="1" applyFill="1" applyBorder="1" applyAlignment="1">
      <alignment horizontal="left" wrapText="1"/>
    </xf>
    <xf numFmtId="0" fontId="66" fillId="8" borderId="14" xfId="20" applyFont="1" applyFill="1" applyBorder="1" applyAlignment="1">
      <alignment horizontal="left" wrapText="1"/>
    </xf>
    <xf numFmtId="49" fontId="66" fillId="8" borderId="4" xfId="20" applyNumberFormat="1" applyFont="1" applyFill="1" applyBorder="1" applyAlignment="1">
      <alignment horizontal="left" wrapText="1"/>
    </xf>
    <xf numFmtId="0" fontId="66" fillId="8" borderId="6" xfId="20" applyFont="1" applyFill="1" applyBorder="1" applyAlignment="1">
      <alignment horizontal="left" wrapText="1"/>
    </xf>
    <xf numFmtId="0" fontId="66" fillId="8" borderId="4" xfId="20" applyFont="1" applyFill="1" applyBorder="1" applyAlignment="1">
      <alignment horizontal="left" wrapText="1"/>
    </xf>
    <xf numFmtId="49" fontId="66" fillId="8" borderId="6" xfId="20" applyNumberFormat="1" applyFont="1" applyFill="1" applyBorder="1" applyAlignment="1">
      <alignment horizontal="left" wrapText="1"/>
    </xf>
    <xf numFmtId="49" fontId="66" fillId="8" borderId="14" xfId="20" applyNumberFormat="1" applyFont="1" applyFill="1" applyBorder="1" applyAlignment="1">
      <alignment horizontal="left" wrapText="1"/>
    </xf>
    <xf numFmtId="168" fontId="66" fillId="8" borderId="6" xfId="20" applyNumberFormat="1" applyFont="1" applyFill="1" applyBorder="1" applyAlignment="1" applyProtection="1">
      <alignment horizontal="left" wrapText="1"/>
      <protection locked="0"/>
    </xf>
    <xf numFmtId="0" fontId="66" fillId="8" borderId="14" xfId="0" applyFont="1" applyFill="1" applyBorder="1" applyAlignment="1">
      <alignment horizontal="left" wrapText="1"/>
    </xf>
    <xf numFmtId="164" fontId="66" fillId="8" borderId="18" xfId="20" applyNumberFormat="1" applyFont="1" applyFill="1" applyBorder="1" applyAlignment="1">
      <alignment horizontal="left" wrapText="1"/>
    </xf>
    <xf numFmtId="0" fontId="66" fillId="8" borderId="18" xfId="20" applyFont="1" applyFill="1" applyBorder="1" applyAlignment="1">
      <alignment horizontal="left" wrapText="1"/>
    </xf>
    <xf numFmtId="49" fontId="66" fillId="8" borderId="7" xfId="20" applyNumberFormat="1" applyFont="1" applyFill="1" applyBorder="1" applyAlignment="1">
      <alignment horizontal="left" wrapText="1"/>
    </xf>
    <xf numFmtId="0" fontId="66" fillId="8" borderId="8" xfId="20" applyFont="1" applyFill="1" applyBorder="1" applyAlignment="1">
      <alignment horizontal="left" wrapText="1"/>
    </xf>
    <xf numFmtId="0" fontId="66" fillId="8" borderId="7" xfId="20" applyFont="1" applyFill="1" applyBorder="1" applyAlignment="1">
      <alignment horizontal="left" wrapText="1"/>
    </xf>
    <xf numFmtId="49" fontId="66" fillId="8" borderId="8" xfId="20" applyNumberFormat="1" applyFont="1" applyFill="1" applyBorder="1" applyAlignment="1">
      <alignment horizontal="left" wrapText="1"/>
    </xf>
    <xf numFmtId="49" fontId="66" fillId="8" borderId="18" xfId="20" applyNumberFormat="1" applyFont="1" applyFill="1" applyBorder="1" applyAlignment="1">
      <alignment horizontal="left" wrapText="1"/>
    </xf>
    <xf numFmtId="168" fontId="66" fillId="8" borderId="8" xfId="20" applyNumberFormat="1" applyFont="1" applyFill="1" applyBorder="1" applyAlignment="1" applyProtection="1">
      <alignment horizontal="left" wrapText="1"/>
      <protection locked="0"/>
    </xf>
    <xf numFmtId="0" fontId="66" fillId="8" borderId="18" xfId="0" applyFont="1" applyFill="1" applyBorder="1" applyAlignment="1">
      <alignment horizontal="left" wrapText="1"/>
    </xf>
    <xf numFmtId="0" fontId="35" fillId="8" borderId="1" xfId="0" applyFont="1" applyFill="1" applyBorder="1" applyAlignment="1">
      <alignment horizontal="left"/>
    </xf>
    <xf numFmtId="49" fontId="66" fillId="8" borderId="1" xfId="20" applyNumberFormat="1" applyFont="1" applyFill="1" applyBorder="1" applyAlignment="1">
      <alignment horizontal="left" wrapText="1"/>
    </xf>
    <xf numFmtId="0" fontId="35" fillId="9" borderId="22" xfId="0" applyFont="1" applyFill="1" applyBorder="1" applyAlignment="1">
      <alignment horizontal="left" vertical="center"/>
    </xf>
    <xf numFmtId="49" fontId="35" fillId="9" borderId="22" xfId="0" applyNumberFormat="1" applyFont="1" applyFill="1" applyBorder="1" applyAlignment="1">
      <alignment horizontal="left" vertical="center"/>
    </xf>
    <xf numFmtId="14" fontId="67" fillId="9" borderId="22" xfId="19" applyNumberFormat="1" applyFont="1" applyFill="1" applyBorder="1" applyAlignment="1">
      <alignment horizontal="left" vertical="center"/>
    </xf>
    <xf numFmtId="0" fontId="35" fillId="8" borderId="4" xfId="0" applyFont="1" applyFill="1" applyBorder="1" applyAlignment="1">
      <alignment horizontal="left" wrapText="1"/>
    </xf>
    <xf numFmtId="164" fontId="66" fillId="8" borderId="5" xfId="20" applyNumberFormat="1" applyFont="1" applyFill="1" applyBorder="1" applyAlignment="1">
      <alignment horizontal="left"/>
    </xf>
    <xf numFmtId="0" fontId="66" fillId="8" borderId="5" xfId="20" applyFont="1" applyFill="1" applyBorder="1" applyAlignment="1">
      <alignment horizontal="left" wrapText="1"/>
    </xf>
    <xf numFmtId="49" fontId="66" fillId="8" borderId="5" xfId="20" applyNumberFormat="1" applyFont="1" applyFill="1" applyBorder="1" applyAlignment="1">
      <alignment horizontal="left" wrapText="1"/>
    </xf>
    <xf numFmtId="0" fontId="35" fillId="8" borderId="5" xfId="20" applyFont="1" applyFill="1" applyBorder="1" applyAlignment="1">
      <alignment horizontal="left" wrapText="1"/>
    </xf>
    <xf numFmtId="164" fontId="35" fillId="8" borderId="5" xfId="20" applyNumberFormat="1" applyFont="1" applyFill="1" applyBorder="1" applyAlignment="1">
      <alignment horizontal="left" wrapText="1"/>
    </xf>
    <xf numFmtId="49" fontId="35" fillId="8" borderId="5" xfId="20" applyNumberFormat="1" applyFont="1" applyFill="1" applyBorder="1" applyAlignment="1">
      <alignment horizontal="left" wrapText="1"/>
    </xf>
    <xf numFmtId="168" fontId="35" fillId="8" borderId="5" xfId="0" applyNumberFormat="1" applyFont="1" applyFill="1" applyBorder="1" applyAlignment="1">
      <alignment horizontal="left" wrapText="1"/>
    </xf>
    <xf numFmtId="0" fontId="35" fillId="8" borderId="5" xfId="0" applyFont="1" applyFill="1" applyBorder="1" applyAlignment="1">
      <alignment horizontal="left" wrapText="1"/>
    </xf>
    <xf numFmtId="0" fontId="35" fillId="8" borderId="7" xfId="0" applyFont="1" applyFill="1" applyBorder="1" applyAlignment="1">
      <alignment horizontal="left" wrapText="1"/>
    </xf>
    <xf numFmtId="164" fontId="66" fillId="8" borderId="0" xfId="20" applyNumberFormat="1" applyFont="1" applyFill="1" applyAlignment="1">
      <alignment horizontal="left"/>
    </xf>
    <xf numFmtId="0" fontId="66" fillId="8" borderId="0" xfId="20" applyFont="1" applyFill="1" applyAlignment="1">
      <alignment horizontal="left" wrapText="1"/>
    </xf>
    <xf numFmtId="49" fontId="66" fillId="8" borderId="0" xfId="20" applyNumberFormat="1" applyFont="1" applyFill="1" applyAlignment="1">
      <alignment horizontal="left" wrapText="1"/>
    </xf>
    <xf numFmtId="0" fontId="35" fillId="8" borderId="0" xfId="20" applyFont="1" applyFill="1" applyAlignment="1">
      <alignment horizontal="left" wrapText="1"/>
    </xf>
    <xf numFmtId="164" fontId="35" fillId="8" borderId="0" xfId="20" applyNumberFormat="1" applyFont="1" applyFill="1" applyAlignment="1">
      <alignment horizontal="left" wrapText="1"/>
    </xf>
    <xf numFmtId="49" fontId="35" fillId="8" borderId="0" xfId="20" applyNumberFormat="1" applyFont="1" applyFill="1" applyAlignment="1">
      <alignment horizontal="left" wrapText="1"/>
    </xf>
    <xf numFmtId="168" fontId="35" fillId="8" borderId="0" xfId="20" applyNumberFormat="1" applyFont="1" applyFill="1" applyAlignment="1">
      <alignment horizontal="left" wrapText="1"/>
    </xf>
    <xf numFmtId="0" fontId="35" fillId="8" borderId="0" xfId="0" applyFont="1" applyFill="1" applyAlignment="1">
      <alignment horizontal="left" wrapText="1"/>
    </xf>
    <xf numFmtId="0" fontId="35" fillId="8" borderId="7" xfId="0" applyFont="1" applyFill="1" applyBorder="1" applyAlignment="1">
      <alignment horizontal="right" wrapText="1"/>
    </xf>
    <xf numFmtId="0" fontId="63" fillId="8" borderId="0" xfId="0" applyFont="1" applyFill="1" applyAlignment="1">
      <alignment horizontal="left"/>
    </xf>
    <xf numFmtId="14" fontId="35" fillId="9" borderId="1" xfId="0" applyNumberFormat="1" applyFont="1" applyFill="1" applyBorder="1" applyAlignment="1">
      <alignment horizontal="left" vertical="center"/>
    </xf>
    <xf numFmtId="0" fontId="35" fillId="9" borderId="1" xfId="0" applyFont="1" applyFill="1" applyBorder="1" applyAlignment="1">
      <alignment horizontal="left" vertical="center"/>
    </xf>
    <xf numFmtId="49" fontId="35" fillId="9" borderId="1" xfId="0" applyNumberFormat="1" applyFont="1" applyFill="1" applyBorder="1" applyAlignment="1">
      <alignment horizontal="left" vertical="center"/>
    </xf>
    <xf numFmtId="0" fontId="14" fillId="8" borderId="1" xfId="21" applyFont="1" applyFill="1" applyBorder="1" applyAlignment="1">
      <alignment horizontal="left"/>
    </xf>
    <xf numFmtId="0" fontId="68" fillId="8" borderId="1" xfId="4" applyNumberFormat="1" applyFont="1" applyFill="1" applyBorder="1" applyAlignment="1">
      <alignment horizontal="right"/>
    </xf>
    <xf numFmtId="0" fontId="68" fillId="8" borderId="1" xfId="4" applyNumberFormat="1" applyFont="1" applyFill="1" applyBorder="1" applyAlignment="1">
      <alignment horizontal="left"/>
    </xf>
    <xf numFmtId="0" fontId="68" fillId="10" borderId="1" xfId="0" applyFont="1" applyFill="1" applyBorder="1" applyAlignment="1">
      <alignment horizontal="left" vertical="center"/>
    </xf>
    <xf numFmtId="0" fontId="68" fillId="8" borderId="1" xfId="0" applyFont="1" applyFill="1" applyBorder="1" applyAlignment="1">
      <alignment horizontal="left"/>
    </xf>
    <xf numFmtId="49" fontId="35" fillId="8" borderId="1" xfId="0" applyNumberFormat="1" applyFont="1" applyFill="1" applyBorder="1" applyAlignment="1">
      <alignment horizontal="left"/>
    </xf>
    <xf numFmtId="14" fontId="68" fillId="9" borderId="1" xfId="19" applyNumberFormat="1" applyFont="1" applyFill="1" applyBorder="1" applyAlignment="1">
      <alignment horizontal="left" vertical="center"/>
    </xf>
    <xf numFmtId="0" fontId="36" fillId="8" borderId="1" xfId="20" applyFont="1" applyFill="1" applyBorder="1" applyAlignment="1">
      <alignment horizontal="left" wrapText="1"/>
    </xf>
    <xf numFmtId="0" fontId="0" fillId="8" borderId="0" xfId="0" applyFill="1"/>
    <xf numFmtId="0" fontId="63" fillId="8" borderId="5" xfId="0" applyFont="1" applyFill="1" applyBorder="1" applyAlignment="1">
      <alignment horizontal="left"/>
    </xf>
    <xf numFmtId="14" fontId="14" fillId="8" borderId="1" xfId="3" applyNumberFormat="1" applyFont="1" applyFill="1" applyBorder="1" applyAlignment="1">
      <alignment horizontal="left"/>
    </xf>
    <xf numFmtId="1" fontId="14" fillId="8" borderId="1" xfId="3" applyNumberFormat="1" applyFont="1" applyFill="1" applyBorder="1" applyAlignment="1">
      <alignment horizontal="left"/>
    </xf>
    <xf numFmtId="0" fontId="14" fillId="8" borderId="1" xfId="3" applyFont="1" applyFill="1" applyBorder="1" applyAlignment="1">
      <alignment horizontal="left"/>
    </xf>
    <xf numFmtId="164" fontId="14" fillId="8" borderId="1" xfId="3" applyNumberFormat="1" applyFont="1" applyFill="1" applyBorder="1" applyAlignment="1">
      <alignment horizontal="left"/>
    </xf>
    <xf numFmtId="0" fontId="14" fillId="8" borderId="1" xfId="3" applyFont="1" applyFill="1" applyBorder="1" applyAlignment="1">
      <alignment horizontal="left" vertical="center"/>
    </xf>
    <xf numFmtId="0" fontId="35" fillId="8" borderId="1" xfId="3" applyFont="1" applyFill="1" applyBorder="1" applyAlignment="1">
      <alignment horizontal="left" vertical="center"/>
    </xf>
    <xf numFmtId="0" fontId="68" fillId="8" borderId="1" xfId="19" applyNumberFormat="1" applyFont="1" applyFill="1" applyBorder="1" applyAlignment="1">
      <alignment horizontal="left"/>
    </xf>
    <xf numFmtId="14" fontId="36" fillId="8" borderId="1" xfId="10" applyNumberFormat="1" applyFont="1" applyFill="1" applyBorder="1" applyAlignment="1">
      <alignment horizontal="left" vertical="center" wrapText="1"/>
    </xf>
    <xf numFmtId="0" fontId="36" fillId="8" borderId="1" xfId="10" applyFont="1" applyFill="1" applyBorder="1" applyAlignment="1">
      <alignment horizontal="left" vertical="center" wrapText="1"/>
    </xf>
    <xf numFmtId="14" fontId="35" fillId="8" borderId="1" xfId="14" applyNumberFormat="1" applyFont="1" applyFill="1" applyBorder="1" applyAlignment="1">
      <alignment horizontal="left"/>
    </xf>
    <xf numFmtId="0" fontId="35" fillId="8" borderId="1" xfId="14" applyFont="1" applyFill="1" applyBorder="1" applyAlignment="1">
      <alignment horizontal="left" vertical="center"/>
    </xf>
    <xf numFmtId="0" fontId="35" fillId="8" borderId="1" xfId="14" applyFont="1" applyFill="1" applyBorder="1" applyAlignment="1">
      <alignment horizontal="left"/>
    </xf>
    <xf numFmtId="14" fontId="14" fillId="8" borderId="1" xfId="0" applyNumberFormat="1" applyFont="1" applyFill="1" applyBorder="1" applyAlignment="1">
      <alignment horizontal="left"/>
    </xf>
    <xf numFmtId="1" fontId="14" fillId="8" borderId="1" xfId="0" applyNumberFormat="1" applyFont="1" applyFill="1" applyBorder="1" applyAlignment="1">
      <alignment horizontal="left"/>
    </xf>
    <xf numFmtId="0" fontId="14" fillId="8" borderId="1" xfId="0" applyFont="1" applyFill="1" applyBorder="1" applyAlignment="1">
      <alignment horizontal="left"/>
    </xf>
    <xf numFmtId="164" fontId="14" fillId="8" borderId="1" xfId="0" applyNumberFormat="1" applyFont="1" applyFill="1" applyBorder="1" applyAlignment="1">
      <alignment horizontal="left"/>
    </xf>
    <xf numFmtId="0" fontId="14" fillId="8" borderId="1" xfId="0" applyFont="1" applyFill="1" applyBorder="1" applyAlignment="1">
      <alignment horizontal="left" vertical="center"/>
    </xf>
    <xf numFmtId="2" fontId="14" fillId="8" borderId="1" xfId="0" applyNumberFormat="1" applyFont="1" applyFill="1" applyBorder="1" applyAlignment="1">
      <alignment horizontal="left"/>
    </xf>
    <xf numFmtId="49" fontId="14" fillId="8" borderId="1" xfId="0" applyNumberFormat="1" applyFont="1" applyFill="1" applyBorder="1" applyAlignment="1">
      <alignment horizontal="left"/>
    </xf>
    <xf numFmtId="49" fontId="68" fillId="8" borderId="1" xfId="19" applyNumberFormat="1" applyFont="1" applyFill="1" applyBorder="1" applyAlignment="1">
      <alignment horizontal="left"/>
    </xf>
    <xf numFmtId="14" fontId="35" fillId="8" borderId="1" xfId="14" applyNumberFormat="1" applyFont="1" applyFill="1" applyBorder="1" applyAlignment="1">
      <alignment horizontal="left" vertical="center"/>
    </xf>
    <xf numFmtId="0" fontId="68" fillId="8" borderId="1" xfId="19" applyFont="1" applyFill="1" applyBorder="1" applyAlignment="1">
      <alignment horizontal="left" vertical="center"/>
    </xf>
    <xf numFmtId="0" fontId="68" fillId="8" borderId="1" xfId="14" quotePrefix="1" applyFont="1" applyFill="1" applyBorder="1" applyAlignment="1">
      <alignment horizontal="left" vertical="center"/>
    </xf>
    <xf numFmtId="0" fontId="35" fillId="8" borderId="1" xfId="3" applyFont="1" applyFill="1" applyBorder="1" applyAlignment="1">
      <alignment horizontal="left"/>
    </xf>
    <xf numFmtId="0" fontId="63" fillId="8" borderId="7" xfId="0" applyFont="1" applyFill="1" applyBorder="1" applyAlignment="1">
      <alignment horizontal="left"/>
    </xf>
    <xf numFmtId="0" fontId="69" fillId="8" borderId="0" xfId="0" applyFont="1" applyFill="1" applyAlignment="1">
      <alignment horizontal="left"/>
    </xf>
    <xf numFmtId="0" fontId="35" fillId="8" borderId="10" xfId="14" applyFont="1" applyFill="1" applyBorder="1" applyAlignment="1">
      <alignment horizontal="left"/>
    </xf>
    <xf numFmtId="0" fontId="68" fillId="8" borderId="16" xfId="14" quotePrefix="1" applyFont="1" applyFill="1" applyBorder="1" applyAlignment="1">
      <alignment horizontal="left" vertical="center"/>
    </xf>
    <xf numFmtId="0" fontId="68" fillId="10" borderId="22" xfId="0" applyFont="1" applyFill="1" applyBorder="1" applyAlignment="1">
      <alignment horizontal="left" vertical="center"/>
    </xf>
    <xf numFmtId="164" fontId="14" fillId="5" borderId="2" xfId="3" applyNumberFormat="1" applyFont="1" applyFill="1" applyBorder="1" applyAlignment="1">
      <alignment horizontal="center" vertical="center"/>
    </xf>
  </cellXfs>
  <cellStyles count="22">
    <cellStyle name="Hipervínculo" xfId="19" builtinId="8"/>
    <cellStyle name="Hipervínculo 2 5" xfId="13" xr:uid="{00000000-0005-0000-0000-000001000000}"/>
    <cellStyle name="Hipervínculo 6" xfId="4" xr:uid="{00000000-0005-0000-0000-000002000000}"/>
    <cellStyle name="Millares 10 15 9" xfId="12" xr:uid="{00000000-0005-0000-0000-000003000000}"/>
    <cellStyle name="Millares 10 19 37" xfId="15" xr:uid="{00000000-0005-0000-0000-000004000000}"/>
    <cellStyle name="Millares 39 2" xfId="11" xr:uid="{00000000-0005-0000-0000-000005000000}"/>
    <cellStyle name="Normal" xfId="0" builtinId="0"/>
    <cellStyle name="Normal 10 2" xfId="9" xr:uid="{00000000-0005-0000-0000-000007000000}"/>
    <cellStyle name="Normal 104" xfId="7" xr:uid="{00000000-0005-0000-0000-000008000000}"/>
    <cellStyle name="Normal 104 5" xfId="21" xr:uid="{00000000-0005-0000-0000-000009000000}"/>
    <cellStyle name="Normal 18" xfId="5" xr:uid="{00000000-0005-0000-0000-00000A000000}"/>
    <cellStyle name="Normal 2" xfId="17" xr:uid="{00000000-0005-0000-0000-00000B000000}"/>
    <cellStyle name="Normal 2 2 2" xfId="20" xr:uid="{00000000-0005-0000-0000-00000C000000}"/>
    <cellStyle name="Normal 2 2 2 2" xfId="16" xr:uid="{00000000-0005-0000-0000-00000D000000}"/>
    <cellStyle name="Normal 27" xfId="3" xr:uid="{00000000-0005-0000-0000-00000E000000}"/>
    <cellStyle name="Normal 30" xfId="18" xr:uid="{00000000-0005-0000-0000-00000F000000}"/>
    <cellStyle name="Normal 34 5 8" xfId="8" xr:uid="{00000000-0005-0000-0000-000010000000}"/>
    <cellStyle name="Normal 34 5 8 2 2" xfId="10" xr:uid="{00000000-0005-0000-0000-000011000000}"/>
    <cellStyle name="Normal 34 5 8 4 2" xfId="14" xr:uid="{00000000-0005-0000-0000-000012000000}"/>
    <cellStyle name="Normal 34 5 8 5" xfId="1" xr:uid="{00000000-0005-0000-0000-000013000000}"/>
    <cellStyle name="Normal 38 4 7" xfId="6" xr:uid="{00000000-0005-0000-0000-000014000000}"/>
    <cellStyle name="Normal 4 2" xfId="2" xr:uid="{00000000-0005-0000-0000-00001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133350</xdr:rowOff>
    </xdr:from>
    <xdr:to>
      <xdr:col>1</xdr:col>
      <xdr:colOff>628650</xdr:colOff>
      <xdr:row>3</xdr:row>
      <xdr:rowOff>168384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F0B9567C-F8BB-4DD5-A55A-73D7494B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8471475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230443</xdr:colOff>
      <xdr:row>1</xdr:row>
      <xdr:rowOff>69134</xdr:rowOff>
    </xdr:from>
    <xdr:to>
      <xdr:col>1</xdr:col>
      <xdr:colOff>780861</xdr:colOff>
      <xdr:row>3</xdr:row>
      <xdr:rowOff>71754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C4540AE8-65E7-404E-9748-E3C6E8F8153C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63843" y="3041201609"/>
          <a:ext cx="550418" cy="3836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57150</xdr:rowOff>
    </xdr:from>
    <xdr:to>
      <xdr:col>1</xdr:col>
      <xdr:colOff>666750</xdr:colOff>
      <xdr:row>3</xdr:row>
      <xdr:rowOff>92184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3CB4DED9-BD78-4DFB-B071-EA16D19A6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7150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76200</xdr:rowOff>
    </xdr:from>
    <xdr:to>
      <xdr:col>1</xdr:col>
      <xdr:colOff>676275</xdr:colOff>
      <xdr:row>4</xdr:row>
      <xdr:rowOff>111234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DFEDF2DF-B860-4873-B623-C928EA1CB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86400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121242</xdr:colOff>
      <xdr:row>2</xdr:row>
      <xdr:rowOff>114301</xdr:rowOff>
    </xdr:from>
    <xdr:to>
      <xdr:col>1</xdr:col>
      <xdr:colOff>654642</xdr:colOff>
      <xdr:row>4</xdr:row>
      <xdr:rowOff>156277</xdr:rowOff>
    </xdr:to>
    <xdr:pic>
      <xdr:nvPicPr>
        <xdr:cNvPr id="3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4B793AFA-A79F-48DA-8F38-BEC74D92D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242" y="495301"/>
          <a:ext cx="533400" cy="42297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mobi.hongli@gmail.com" TargetMode="External"/><Relationship Id="rId18" Type="http://schemas.openxmlformats.org/officeDocument/2006/relationships/hyperlink" Target="mailto:iciandino@gmail.com" TargetMode="External"/><Relationship Id="rId26" Type="http://schemas.openxmlformats.org/officeDocument/2006/relationships/hyperlink" Target="mailto:tamarabernal5@icloud.com" TargetMode="External"/><Relationship Id="rId39" Type="http://schemas.openxmlformats.org/officeDocument/2006/relationships/hyperlink" Target="mailto:machadob@hotmail.com" TargetMode="External"/><Relationship Id="rId21" Type="http://schemas.openxmlformats.org/officeDocument/2006/relationships/hyperlink" Target="mailto:franrojas12c@hotmail.com" TargetMode="External"/><Relationship Id="rId34" Type="http://schemas.openxmlformats.org/officeDocument/2006/relationships/hyperlink" Target="mailto:alfrlopez708@gmail.com" TargetMode="External"/><Relationship Id="rId42" Type="http://schemas.openxmlformats.org/officeDocument/2006/relationships/hyperlink" Target="mailto:nattygalindo@hotmail.com" TargetMode="External"/><Relationship Id="rId7" Type="http://schemas.openxmlformats.org/officeDocument/2006/relationships/hyperlink" Target="mailto:acchabla@yahoo.com" TargetMode="External"/><Relationship Id="rId2" Type="http://schemas.openxmlformats.org/officeDocument/2006/relationships/hyperlink" Target="mailto:pabloemendoza@hotmail.com" TargetMode="External"/><Relationship Id="rId16" Type="http://schemas.openxmlformats.org/officeDocument/2006/relationships/hyperlink" Target="mailto:clara.avila.s@outlook.es" TargetMode="External"/><Relationship Id="rId29" Type="http://schemas.openxmlformats.org/officeDocument/2006/relationships/hyperlink" Target="mailto:feny_30@hotmail.com" TargetMode="External"/><Relationship Id="rId1" Type="http://schemas.openxmlformats.org/officeDocument/2006/relationships/hyperlink" Target="mailto:pabloemendoza@hotmail.com" TargetMode="External"/><Relationship Id="rId6" Type="http://schemas.openxmlformats.org/officeDocument/2006/relationships/hyperlink" Target="mailto:acchabla@yahoo.com" TargetMode="External"/><Relationship Id="rId11" Type="http://schemas.openxmlformats.org/officeDocument/2006/relationships/hyperlink" Target="mailto:maraisd104@yahoo.com" TargetMode="External"/><Relationship Id="rId24" Type="http://schemas.openxmlformats.org/officeDocument/2006/relationships/hyperlink" Target="mailto:tamarabernal5@icloud.com" TargetMode="External"/><Relationship Id="rId32" Type="http://schemas.openxmlformats.org/officeDocument/2006/relationships/hyperlink" Target="mailto:nalvarezv69@cuenca.gob.ec" TargetMode="External"/><Relationship Id="rId37" Type="http://schemas.openxmlformats.org/officeDocument/2006/relationships/hyperlink" Target="mailto:vidiego@hotmail.com" TargetMode="External"/><Relationship Id="rId40" Type="http://schemas.openxmlformats.org/officeDocument/2006/relationships/hyperlink" Target="mailto:machadob@hotmail.com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mailto:anilva33@hotmail.com" TargetMode="External"/><Relationship Id="rId15" Type="http://schemas.openxmlformats.org/officeDocument/2006/relationships/hyperlink" Target="mailto:clara.avila.s@outlook.es" TargetMode="External"/><Relationship Id="rId23" Type="http://schemas.openxmlformats.org/officeDocument/2006/relationships/hyperlink" Target="mailto:danielacarolinasilvatorres@gmail.com" TargetMode="External"/><Relationship Id="rId28" Type="http://schemas.openxmlformats.org/officeDocument/2006/relationships/hyperlink" Target="mailto:jekacn@hotmail.com" TargetMode="External"/><Relationship Id="rId36" Type="http://schemas.openxmlformats.org/officeDocument/2006/relationships/hyperlink" Target="mailto:jdmendez100@gmail.com" TargetMode="External"/><Relationship Id="rId10" Type="http://schemas.openxmlformats.org/officeDocument/2006/relationships/hyperlink" Target="mailto:nancysantos1950@hotmail.com" TargetMode="External"/><Relationship Id="rId19" Type="http://schemas.openxmlformats.org/officeDocument/2006/relationships/hyperlink" Target="mailto:iciandino@gmail.com" TargetMode="External"/><Relationship Id="rId31" Type="http://schemas.openxmlformats.org/officeDocument/2006/relationships/hyperlink" Target="mailto:nalvarezv69@cuenca.gob.ec" TargetMode="External"/><Relationship Id="rId44" Type="http://schemas.openxmlformats.org/officeDocument/2006/relationships/hyperlink" Target="mailto:magalycor11@gmail.com" TargetMode="External"/><Relationship Id="rId4" Type="http://schemas.openxmlformats.org/officeDocument/2006/relationships/hyperlink" Target="mailto:anilva33@hotmail.com" TargetMode="External"/><Relationship Id="rId9" Type="http://schemas.openxmlformats.org/officeDocument/2006/relationships/hyperlink" Target="mailto:nancysantos1950@hotmail.com" TargetMode="External"/><Relationship Id="rId14" Type="http://schemas.openxmlformats.org/officeDocument/2006/relationships/hyperlink" Target="mailto:mobi.hongli@gmail.com" TargetMode="External"/><Relationship Id="rId22" Type="http://schemas.openxmlformats.org/officeDocument/2006/relationships/hyperlink" Target="mailto:danielacarolinasilvatorres@gmail.com" TargetMode="External"/><Relationship Id="rId27" Type="http://schemas.openxmlformats.org/officeDocument/2006/relationships/hyperlink" Target="mailto:jekacn@hotmail.com" TargetMode="External"/><Relationship Id="rId30" Type="http://schemas.openxmlformats.org/officeDocument/2006/relationships/hyperlink" Target="mailto:feny_30@hotmail.com" TargetMode="External"/><Relationship Id="rId35" Type="http://schemas.openxmlformats.org/officeDocument/2006/relationships/hyperlink" Target="mailto:jdmendez100@gmail.com" TargetMode="External"/><Relationship Id="rId43" Type="http://schemas.openxmlformats.org/officeDocument/2006/relationships/hyperlink" Target="mailto:nattygalindo@hotmail.com" TargetMode="External"/><Relationship Id="rId8" Type="http://schemas.openxmlformats.org/officeDocument/2006/relationships/hyperlink" Target="mailto:nancysantos1950@hotmail.com" TargetMode="External"/><Relationship Id="rId3" Type="http://schemas.openxmlformats.org/officeDocument/2006/relationships/hyperlink" Target="mailto:pabloemendoza@hotmail.com" TargetMode="External"/><Relationship Id="rId12" Type="http://schemas.openxmlformats.org/officeDocument/2006/relationships/hyperlink" Target="mailto:maraisd104@yahoo.com" TargetMode="External"/><Relationship Id="rId17" Type="http://schemas.openxmlformats.org/officeDocument/2006/relationships/hyperlink" Target="mailto:clara.avila.s@outlook.es" TargetMode="External"/><Relationship Id="rId25" Type="http://schemas.openxmlformats.org/officeDocument/2006/relationships/hyperlink" Target="mailto:tamarabernal5@icloud.com" TargetMode="External"/><Relationship Id="rId33" Type="http://schemas.openxmlformats.org/officeDocument/2006/relationships/hyperlink" Target="mailto:alfrlopez708@gmail.com" TargetMode="External"/><Relationship Id="rId38" Type="http://schemas.openxmlformats.org/officeDocument/2006/relationships/hyperlink" Target="mailto:vidiego@hotmail.com" TargetMode="External"/><Relationship Id="rId46" Type="http://schemas.openxmlformats.org/officeDocument/2006/relationships/drawing" Target="../drawings/drawing1.xml"/><Relationship Id="rId20" Type="http://schemas.openxmlformats.org/officeDocument/2006/relationships/hyperlink" Target="mailto:franrojas12c@hotmail.com" TargetMode="External"/><Relationship Id="rId41" Type="http://schemas.openxmlformats.org/officeDocument/2006/relationships/hyperlink" Target="mailto:nattygalindo@hotmail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freddyn@kywi.com.ec" TargetMode="External"/><Relationship Id="rId13" Type="http://schemas.openxmlformats.org/officeDocument/2006/relationships/drawing" Target="../drawings/drawing2.xml"/><Relationship Id="rId3" Type="http://schemas.openxmlformats.org/officeDocument/2006/relationships/hyperlink" Target="mailto:marymar30@gmail.com" TargetMode="External"/><Relationship Id="rId7" Type="http://schemas.openxmlformats.org/officeDocument/2006/relationships/hyperlink" Target="mailto:facturas@easysoft.com.ec" TargetMode="External"/><Relationship Id="rId12" Type="http://schemas.openxmlformats.org/officeDocument/2006/relationships/printerSettings" Target="../printerSettings/printerSettings2.bin"/><Relationship Id="rId2" Type="http://schemas.openxmlformats.org/officeDocument/2006/relationships/hyperlink" Target="mailto:susy_borja@yahoo.com" TargetMode="External"/><Relationship Id="rId1" Type="http://schemas.openxmlformats.org/officeDocument/2006/relationships/hyperlink" Target="mailto:gerencia@fegoauto.com.ec" TargetMode="External"/><Relationship Id="rId6" Type="http://schemas.openxmlformats.org/officeDocument/2006/relationships/hyperlink" Target="mailto:sofiaandino@gmail.com" TargetMode="External"/><Relationship Id="rId11" Type="http://schemas.openxmlformats.org/officeDocument/2006/relationships/hyperlink" Target="mailto:tamarabernal5@icloud.com" TargetMode="External"/><Relationship Id="rId5" Type="http://schemas.openxmlformats.org/officeDocument/2006/relationships/hyperlink" Target="mailto:suan_cabrera@gmail.com" TargetMode="External"/><Relationship Id="rId10" Type="http://schemas.openxmlformats.org/officeDocument/2006/relationships/hyperlink" Target="mailto:om_dental@hotmail.com" TargetMode="External"/><Relationship Id="rId4" Type="http://schemas.openxmlformats.org/officeDocument/2006/relationships/hyperlink" Target="mailto:jcnaula@hotmail.com" TargetMode="External"/><Relationship Id="rId9" Type="http://schemas.openxmlformats.org/officeDocument/2006/relationships/hyperlink" Target="mailto:jofecico@gmail.co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galycor11@gmail.com" TargetMode="External"/><Relationship Id="rId2" Type="http://schemas.openxmlformats.org/officeDocument/2006/relationships/hyperlink" Target="mailto:kriss_garcia_b@hotmail.com" TargetMode="External"/><Relationship Id="rId1" Type="http://schemas.openxmlformats.org/officeDocument/2006/relationships/hyperlink" Target="mailto:zandramolinap@gmail.com" TargetMode="External"/><Relationship Id="rId4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lcaceres510@gmail.com" TargetMode="External"/><Relationship Id="rId13" Type="http://schemas.openxmlformats.org/officeDocument/2006/relationships/hyperlink" Target="mailto:lcaceres510@gmail.com" TargetMode="External"/><Relationship Id="rId18" Type="http://schemas.openxmlformats.org/officeDocument/2006/relationships/hyperlink" Target="mailto:lcaceres510@gmail.com" TargetMode="External"/><Relationship Id="rId3" Type="http://schemas.openxmlformats.org/officeDocument/2006/relationships/hyperlink" Target="mailto:lcaceres510@gmail.com" TargetMode="External"/><Relationship Id="rId21" Type="http://schemas.openxmlformats.org/officeDocument/2006/relationships/hyperlink" Target="mailto:lcaceres510@gmail.com" TargetMode="External"/><Relationship Id="rId7" Type="http://schemas.openxmlformats.org/officeDocument/2006/relationships/hyperlink" Target="mailto:lcaceres510@gmail.com" TargetMode="External"/><Relationship Id="rId12" Type="http://schemas.openxmlformats.org/officeDocument/2006/relationships/hyperlink" Target="mailto:lcaceres510@gmail.com" TargetMode="External"/><Relationship Id="rId17" Type="http://schemas.openxmlformats.org/officeDocument/2006/relationships/hyperlink" Target="mailto:lcaceres510@gmail.com" TargetMode="External"/><Relationship Id="rId25" Type="http://schemas.openxmlformats.org/officeDocument/2006/relationships/drawing" Target="../drawings/drawing5.xml"/><Relationship Id="rId2" Type="http://schemas.openxmlformats.org/officeDocument/2006/relationships/hyperlink" Target="mailto:lcaceres510@gmail.com" TargetMode="External"/><Relationship Id="rId16" Type="http://schemas.openxmlformats.org/officeDocument/2006/relationships/hyperlink" Target="mailto:lcaceres510@gmail.com" TargetMode="External"/><Relationship Id="rId20" Type="http://schemas.openxmlformats.org/officeDocument/2006/relationships/hyperlink" Target="mailto:lcaceres510@gmail.com" TargetMode="External"/><Relationship Id="rId1" Type="http://schemas.openxmlformats.org/officeDocument/2006/relationships/hyperlink" Target="mailto:lcaceres510@gmail.com" TargetMode="External"/><Relationship Id="rId6" Type="http://schemas.openxmlformats.org/officeDocument/2006/relationships/hyperlink" Target="mailto:lcaceres510@gmail.com" TargetMode="External"/><Relationship Id="rId11" Type="http://schemas.openxmlformats.org/officeDocument/2006/relationships/hyperlink" Target="mailto:lcaceres510@gmail.com" TargetMode="External"/><Relationship Id="rId24" Type="http://schemas.openxmlformats.org/officeDocument/2006/relationships/hyperlink" Target="mailto:lcaceres510@gmail.com" TargetMode="External"/><Relationship Id="rId5" Type="http://schemas.openxmlformats.org/officeDocument/2006/relationships/hyperlink" Target="mailto:lcaceres510@gmail.com" TargetMode="External"/><Relationship Id="rId15" Type="http://schemas.openxmlformats.org/officeDocument/2006/relationships/hyperlink" Target="mailto:lcaceres510@gmail.com" TargetMode="External"/><Relationship Id="rId23" Type="http://schemas.openxmlformats.org/officeDocument/2006/relationships/hyperlink" Target="mailto:lcaceres510@gmail.com" TargetMode="External"/><Relationship Id="rId10" Type="http://schemas.openxmlformats.org/officeDocument/2006/relationships/hyperlink" Target="mailto:lcaceres510@gmail.com" TargetMode="External"/><Relationship Id="rId19" Type="http://schemas.openxmlformats.org/officeDocument/2006/relationships/hyperlink" Target="mailto:lcaceres510@gmail.com" TargetMode="External"/><Relationship Id="rId4" Type="http://schemas.openxmlformats.org/officeDocument/2006/relationships/hyperlink" Target="mailto:lcaceres510@gmail.com" TargetMode="External"/><Relationship Id="rId9" Type="http://schemas.openxmlformats.org/officeDocument/2006/relationships/hyperlink" Target="mailto:lcaceres510@gmail.com" TargetMode="External"/><Relationship Id="rId14" Type="http://schemas.openxmlformats.org/officeDocument/2006/relationships/hyperlink" Target="mailto:lcaceres510@gmail.com" TargetMode="External"/><Relationship Id="rId22" Type="http://schemas.openxmlformats.org/officeDocument/2006/relationships/hyperlink" Target="mailto:lcaceres510@gmail.com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obertopulgarin@gmail.com" TargetMode="External"/><Relationship Id="rId13" Type="http://schemas.openxmlformats.org/officeDocument/2006/relationships/hyperlink" Target="mailto:paulorlandob@gmail.com" TargetMode="External"/><Relationship Id="rId18" Type="http://schemas.openxmlformats.org/officeDocument/2006/relationships/hyperlink" Target="mailto:paolaromeros@hotmail.com" TargetMode="External"/><Relationship Id="rId3" Type="http://schemas.openxmlformats.org/officeDocument/2006/relationships/hyperlink" Target="mailto:sonia_gaibor@yahoo.com" TargetMode="External"/><Relationship Id="rId21" Type="http://schemas.openxmlformats.org/officeDocument/2006/relationships/hyperlink" Target="mailto:yessenia.mazza@ingenieria-soluciones.com" TargetMode="External"/><Relationship Id="rId7" Type="http://schemas.openxmlformats.org/officeDocument/2006/relationships/hyperlink" Target="mailto:s_cevallos_2@hotmail.com" TargetMode="External"/><Relationship Id="rId12" Type="http://schemas.openxmlformats.org/officeDocument/2006/relationships/hyperlink" Target="mailto:ninfisjuntamay@hotmail.com" TargetMode="External"/><Relationship Id="rId17" Type="http://schemas.openxmlformats.org/officeDocument/2006/relationships/hyperlink" Target="mailto:comlm@hotmail.com" TargetMode="External"/><Relationship Id="rId2" Type="http://schemas.openxmlformats.org/officeDocument/2006/relationships/hyperlink" Target="mailto:andreafeo28narvaez@gmail.com" TargetMode="External"/><Relationship Id="rId16" Type="http://schemas.openxmlformats.org/officeDocument/2006/relationships/hyperlink" Target="mailto:pablocrespood@hotmail.com" TargetMode="External"/><Relationship Id="rId20" Type="http://schemas.openxmlformats.org/officeDocument/2006/relationships/hyperlink" Target="mailto:christdaniel86@hotmail.com" TargetMode="External"/><Relationship Id="rId1" Type="http://schemas.openxmlformats.org/officeDocument/2006/relationships/hyperlink" Target="mailto:dianseco@hotmail.com" TargetMode="External"/><Relationship Id="rId6" Type="http://schemas.openxmlformats.org/officeDocument/2006/relationships/hyperlink" Target="mailto:om_dental@hotmail.com" TargetMode="External"/><Relationship Id="rId11" Type="http://schemas.openxmlformats.org/officeDocument/2006/relationships/hyperlink" Target="mailto:carmen77pi&#241;a@hotmail.com" TargetMode="External"/><Relationship Id="rId24" Type="http://schemas.openxmlformats.org/officeDocument/2006/relationships/hyperlink" Target="mailto:joyescudero82@gmail.com" TargetMode="External"/><Relationship Id="rId5" Type="http://schemas.openxmlformats.org/officeDocument/2006/relationships/hyperlink" Target="mailto:liligonzalez1962@hotmail.com" TargetMode="External"/><Relationship Id="rId15" Type="http://schemas.openxmlformats.org/officeDocument/2006/relationships/hyperlink" Target="mailto:jmartinez.borrero@gmail.com" TargetMode="External"/><Relationship Id="rId23" Type="http://schemas.openxmlformats.org/officeDocument/2006/relationships/hyperlink" Target="mailto:j.ochoa_91@hotmail.com" TargetMode="External"/><Relationship Id="rId10" Type="http://schemas.openxmlformats.org/officeDocument/2006/relationships/hyperlink" Target="mailto:perico.p@hotmail.com" TargetMode="External"/><Relationship Id="rId19" Type="http://schemas.openxmlformats.org/officeDocument/2006/relationships/hyperlink" Target="mailto:juliopatcab@gmail.com" TargetMode="External"/><Relationship Id="rId4" Type="http://schemas.openxmlformats.org/officeDocument/2006/relationships/hyperlink" Target="mailto:maurorocha977@gmail.com" TargetMode="External"/><Relationship Id="rId9" Type="http://schemas.openxmlformats.org/officeDocument/2006/relationships/hyperlink" Target="mailto:jofecico@gmail.com" TargetMode="External"/><Relationship Id="rId14" Type="http://schemas.openxmlformats.org/officeDocument/2006/relationships/hyperlink" Target="mailto:josephmma@gmail.com" TargetMode="External"/><Relationship Id="rId22" Type="http://schemas.openxmlformats.org/officeDocument/2006/relationships/hyperlink" Target="mailto:erikajhomendezrojas@gmail.com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tamarabernal5@icloud.com" TargetMode="External"/><Relationship Id="rId21" Type="http://schemas.openxmlformats.org/officeDocument/2006/relationships/hyperlink" Target="mailto:franrojas12c@hotmail.com" TargetMode="External"/><Relationship Id="rId42" Type="http://schemas.openxmlformats.org/officeDocument/2006/relationships/hyperlink" Target="mailto:machadob@hotmail.com" TargetMode="External"/><Relationship Id="rId47" Type="http://schemas.openxmlformats.org/officeDocument/2006/relationships/hyperlink" Target="mailto:juandiegovaz03@gmail.com" TargetMode="External"/><Relationship Id="rId63" Type="http://schemas.openxmlformats.org/officeDocument/2006/relationships/hyperlink" Target="mailto:lcaceres510@gmail.com" TargetMode="External"/><Relationship Id="rId68" Type="http://schemas.openxmlformats.org/officeDocument/2006/relationships/hyperlink" Target="mailto:lcaceres510@gmail.com" TargetMode="External"/><Relationship Id="rId84" Type="http://schemas.openxmlformats.org/officeDocument/2006/relationships/hyperlink" Target="mailto:lcaceres510@gmail.com" TargetMode="External"/><Relationship Id="rId89" Type="http://schemas.openxmlformats.org/officeDocument/2006/relationships/hyperlink" Target="mailto:liligonzalez1962@hotmail.com" TargetMode="External"/><Relationship Id="rId16" Type="http://schemas.openxmlformats.org/officeDocument/2006/relationships/hyperlink" Target="mailto:clara.avila.s@outlook.es" TargetMode="External"/><Relationship Id="rId107" Type="http://schemas.openxmlformats.org/officeDocument/2006/relationships/hyperlink" Target="mailto:tamarabernal5@icloud.com" TargetMode="External"/><Relationship Id="rId11" Type="http://schemas.openxmlformats.org/officeDocument/2006/relationships/hyperlink" Target="mailto:maraisd104@yahoo.com" TargetMode="External"/><Relationship Id="rId32" Type="http://schemas.openxmlformats.org/officeDocument/2006/relationships/hyperlink" Target="mailto:nalvarezv69@cuenca.gob.ec" TargetMode="External"/><Relationship Id="rId37" Type="http://schemas.openxmlformats.org/officeDocument/2006/relationships/hyperlink" Target="mailto:jdmendez100@gmail.com" TargetMode="External"/><Relationship Id="rId53" Type="http://schemas.openxmlformats.org/officeDocument/2006/relationships/hyperlink" Target="mailto:sofyandino@gmail.com" TargetMode="External"/><Relationship Id="rId58" Type="http://schemas.openxmlformats.org/officeDocument/2006/relationships/hyperlink" Target="mailto:zandramolinap@gmail.com" TargetMode="External"/><Relationship Id="rId74" Type="http://schemas.openxmlformats.org/officeDocument/2006/relationships/hyperlink" Target="mailto:lcaceres510@gmail.com" TargetMode="External"/><Relationship Id="rId79" Type="http://schemas.openxmlformats.org/officeDocument/2006/relationships/hyperlink" Target="mailto:lcaceres510@gmail.com" TargetMode="External"/><Relationship Id="rId102" Type="http://schemas.openxmlformats.org/officeDocument/2006/relationships/hyperlink" Target="mailto:christdaniel86@hotmail.com" TargetMode="External"/><Relationship Id="rId5" Type="http://schemas.openxmlformats.org/officeDocument/2006/relationships/hyperlink" Target="mailto:anilva33@hotmail.com" TargetMode="External"/><Relationship Id="rId90" Type="http://schemas.openxmlformats.org/officeDocument/2006/relationships/hyperlink" Target="mailto:om_dental@hotmail.com" TargetMode="External"/><Relationship Id="rId95" Type="http://schemas.openxmlformats.org/officeDocument/2006/relationships/hyperlink" Target="mailto:paulorlandob@gmail.com" TargetMode="External"/><Relationship Id="rId22" Type="http://schemas.openxmlformats.org/officeDocument/2006/relationships/hyperlink" Target="mailto:danielacarolinasilvatorres@gmail.com" TargetMode="External"/><Relationship Id="rId27" Type="http://schemas.openxmlformats.org/officeDocument/2006/relationships/hyperlink" Target="mailto:jekacn@hotmail.com" TargetMode="External"/><Relationship Id="rId43" Type="http://schemas.openxmlformats.org/officeDocument/2006/relationships/hyperlink" Target="mailto:nattygalindo@hotmail.com" TargetMode="External"/><Relationship Id="rId48" Type="http://schemas.openxmlformats.org/officeDocument/2006/relationships/hyperlink" Target="mailto:gerencia@fegoauto.com.ec" TargetMode="External"/><Relationship Id="rId64" Type="http://schemas.openxmlformats.org/officeDocument/2006/relationships/hyperlink" Target="mailto:lcaceres510@gmail.com" TargetMode="External"/><Relationship Id="rId69" Type="http://schemas.openxmlformats.org/officeDocument/2006/relationships/hyperlink" Target="mailto:lcaceres510@gmail.com" TargetMode="External"/><Relationship Id="rId80" Type="http://schemas.openxmlformats.org/officeDocument/2006/relationships/hyperlink" Target="mailto:lcaceres510@gmail.com" TargetMode="External"/><Relationship Id="rId85" Type="http://schemas.openxmlformats.org/officeDocument/2006/relationships/hyperlink" Target="mailto:dianseco@hotmail.com" TargetMode="External"/><Relationship Id="rId12" Type="http://schemas.openxmlformats.org/officeDocument/2006/relationships/hyperlink" Target="mailto:maraisd104@yahoo.com" TargetMode="External"/><Relationship Id="rId17" Type="http://schemas.openxmlformats.org/officeDocument/2006/relationships/hyperlink" Target="mailto:clara.avila.s@outlook.es" TargetMode="External"/><Relationship Id="rId33" Type="http://schemas.openxmlformats.org/officeDocument/2006/relationships/hyperlink" Target="mailto:alfrlopez708@gmail.com" TargetMode="External"/><Relationship Id="rId38" Type="http://schemas.openxmlformats.org/officeDocument/2006/relationships/hyperlink" Target="mailto:jdmendez100@gmail.com" TargetMode="External"/><Relationship Id="rId59" Type="http://schemas.openxmlformats.org/officeDocument/2006/relationships/hyperlink" Target="mailto:kriss_garcia_b@hotmail.com" TargetMode="External"/><Relationship Id="rId103" Type="http://schemas.openxmlformats.org/officeDocument/2006/relationships/hyperlink" Target="mailto:yessenia.mazza@ingenieria-soluciones.com" TargetMode="External"/><Relationship Id="rId108" Type="http://schemas.openxmlformats.org/officeDocument/2006/relationships/hyperlink" Target="mailto:robertopulgarin@gmail.com" TargetMode="External"/><Relationship Id="rId54" Type="http://schemas.openxmlformats.org/officeDocument/2006/relationships/hyperlink" Target="mailto:sacturas@easysoft.com.ec" TargetMode="External"/><Relationship Id="rId70" Type="http://schemas.openxmlformats.org/officeDocument/2006/relationships/hyperlink" Target="mailto:lcaceres510@gmail.com" TargetMode="External"/><Relationship Id="rId75" Type="http://schemas.openxmlformats.org/officeDocument/2006/relationships/hyperlink" Target="mailto:lcaceres510@gmail.com" TargetMode="External"/><Relationship Id="rId91" Type="http://schemas.openxmlformats.org/officeDocument/2006/relationships/hyperlink" Target="mailto:s_cevallos_2@hotmail.com" TargetMode="External"/><Relationship Id="rId96" Type="http://schemas.openxmlformats.org/officeDocument/2006/relationships/hyperlink" Target="mailto:josephmma@gmail.com" TargetMode="External"/><Relationship Id="rId1" Type="http://schemas.openxmlformats.org/officeDocument/2006/relationships/hyperlink" Target="mailto:pabloemendoza@hotmail.com" TargetMode="External"/><Relationship Id="rId6" Type="http://schemas.openxmlformats.org/officeDocument/2006/relationships/hyperlink" Target="mailto:acchabla@yahoo.com" TargetMode="External"/><Relationship Id="rId15" Type="http://schemas.openxmlformats.org/officeDocument/2006/relationships/hyperlink" Target="mailto:clara.avila.s@outlook.es" TargetMode="External"/><Relationship Id="rId23" Type="http://schemas.openxmlformats.org/officeDocument/2006/relationships/hyperlink" Target="mailto:danielacarolinasilvatorres@gmail.com" TargetMode="External"/><Relationship Id="rId28" Type="http://schemas.openxmlformats.org/officeDocument/2006/relationships/hyperlink" Target="mailto:jekacn@hotmail.com" TargetMode="External"/><Relationship Id="rId36" Type="http://schemas.openxmlformats.org/officeDocument/2006/relationships/hyperlink" Target="mailto:jdmendez100@gmail.com" TargetMode="External"/><Relationship Id="rId49" Type="http://schemas.openxmlformats.org/officeDocument/2006/relationships/hyperlink" Target="mailto:susy_borja@yahoo.com" TargetMode="External"/><Relationship Id="rId57" Type="http://schemas.openxmlformats.org/officeDocument/2006/relationships/hyperlink" Target="mailto:om_dental@hotmail.com" TargetMode="External"/><Relationship Id="rId106" Type="http://schemas.openxmlformats.org/officeDocument/2006/relationships/hyperlink" Target="mailto:joyescudero82@gmail.com" TargetMode="External"/><Relationship Id="rId10" Type="http://schemas.openxmlformats.org/officeDocument/2006/relationships/hyperlink" Target="mailto:nancysantos1950@hotmail.com" TargetMode="External"/><Relationship Id="rId31" Type="http://schemas.openxmlformats.org/officeDocument/2006/relationships/hyperlink" Target="mailto:nalvarezv69@cuenca.gob.ec" TargetMode="External"/><Relationship Id="rId44" Type="http://schemas.openxmlformats.org/officeDocument/2006/relationships/hyperlink" Target="mailto:nattygalindo@hotmail.com" TargetMode="External"/><Relationship Id="rId52" Type="http://schemas.openxmlformats.org/officeDocument/2006/relationships/hyperlink" Target="mailto:suan_cabrera@gmail.com" TargetMode="External"/><Relationship Id="rId60" Type="http://schemas.openxmlformats.org/officeDocument/2006/relationships/hyperlink" Target="mailto:magalycor11@gmail.com" TargetMode="External"/><Relationship Id="rId65" Type="http://schemas.openxmlformats.org/officeDocument/2006/relationships/hyperlink" Target="mailto:lcaceres510@gmail.com" TargetMode="External"/><Relationship Id="rId73" Type="http://schemas.openxmlformats.org/officeDocument/2006/relationships/hyperlink" Target="mailto:lcaceres510@gmail.com" TargetMode="External"/><Relationship Id="rId78" Type="http://schemas.openxmlformats.org/officeDocument/2006/relationships/hyperlink" Target="mailto:lcaceres510@gmail.com" TargetMode="External"/><Relationship Id="rId81" Type="http://schemas.openxmlformats.org/officeDocument/2006/relationships/hyperlink" Target="mailto:lcaceres510@gmail.com" TargetMode="External"/><Relationship Id="rId86" Type="http://schemas.openxmlformats.org/officeDocument/2006/relationships/hyperlink" Target="mailto:andreafeo28narvaez@gmail.com" TargetMode="External"/><Relationship Id="rId94" Type="http://schemas.openxmlformats.org/officeDocument/2006/relationships/hyperlink" Target="mailto:ninfisjuntamay@hotmail.com" TargetMode="External"/><Relationship Id="rId99" Type="http://schemas.openxmlformats.org/officeDocument/2006/relationships/hyperlink" Target="mailto:comlm@hotmail.com" TargetMode="External"/><Relationship Id="rId101" Type="http://schemas.openxmlformats.org/officeDocument/2006/relationships/hyperlink" Target="mailto:juliopatcab@gmail.com" TargetMode="External"/><Relationship Id="rId4" Type="http://schemas.openxmlformats.org/officeDocument/2006/relationships/hyperlink" Target="mailto:anilva33@hotmail.com" TargetMode="External"/><Relationship Id="rId9" Type="http://schemas.openxmlformats.org/officeDocument/2006/relationships/hyperlink" Target="mailto:nancysantos1950@hotmail.com" TargetMode="External"/><Relationship Id="rId13" Type="http://schemas.openxmlformats.org/officeDocument/2006/relationships/hyperlink" Target="mailto:mobi.hongli@gmail.com" TargetMode="External"/><Relationship Id="rId18" Type="http://schemas.openxmlformats.org/officeDocument/2006/relationships/hyperlink" Target="mailto:iciandino@gmail.com" TargetMode="External"/><Relationship Id="rId39" Type="http://schemas.openxmlformats.org/officeDocument/2006/relationships/hyperlink" Target="mailto:vidiego@hotmail.com" TargetMode="External"/><Relationship Id="rId109" Type="http://schemas.openxmlformats.org/officeDocument/2006/relationships/hyperlink" Target="mailto:jofecico@gmail.com" TargetMode="External"/><Relationship Id="rId34" Type="http://schemas.openxmlformats.org/officeDocument/2006/relationships/hyperlink" Target="mailto:alfrlopez708@gmail.com" TargetMode="External"/><Relationship Id="rId50" Type="http://schemas.openxmlformats.org/officeDocument/2006/relationships/hyperlink" Target="mailto:maryomar30@gmail.com" TargetMode="External"/><Relationship Id="rId55" Type="http://schemas.openxmlformats.org/officeDocument/2006/relationships/hyperlink" Target="mailto:freddyn@kywi.com.ec" TargetMode="External"/><Relationship Id="rId76" Type="http://schemas.openxmlformats.org/officeDocument/2006/relationships/hyperlink" Target="mailto:lcaceres510@gmail.com" TargetMode="External"/><Relationship Id="rId97" Type="http://schemas.openxmlformats.org/officeDocument/2006/relationships/hyperlink" Target="mailto:jmartinez.borrero@gmail.com" TargetMode="External"/><Relationship Id="rId104" Type="http://schemas.openxmlformats.org/officeDocument/2006/relationships/hyperlink" Target="mailto:erikajhomendezrojas@gmail.com" TargetMode="External"/><Relationship Id="rId7" Type="http://schemas.openxmlformats.org/officeDocument/2006/relationships/hyperlink" Target="mailto:acchabla@yahoo.com" TargetMode="External"/><Relationship Id="rId71" Type="http://schemas.openxmlformats.org/officeDocument/2006/relationships/hyperlink" Target="mailto:lcaceres510@gmail.com" TargetMode="External"/><Relationship Id="rId92" Type="http://schemas.openxmlformats.org/officeDocument/2006/relationships/hyperlink" Target="mailto:robertopulgarin@gmail.com" TargetMode="External"/><Relationship Id="rId2" Type="http://schemas.openxmlformats.org/officeDocument/2006/relationships/hyperlink" Target="mailto:pabloemendoza@hotmail.com" TargetMode="External"/><Relationship Id="rId29" Type="http://schemas.openxmlformats.org/officeDocument/2006/relationships/hyperlink" Target="mailto:feny_30@hotmail.com" TargetMode="External"/><Relationship Id="rId24" Type="http://schemas.openxmlformats.org/officeDocument/2006/relationships/hyperlink" Target="mailto:tamarabernal5@icloud.com" TargetMode="External"/><Relationship Id="rId40" Type="http://schemas.openxmlformats.org/officeDocument/2006/relationships/hyperlink" Target="mailto:vidiego@hotmail.com" TargetMode="External"/><Relationship Id="rId45" Type="http://schemas.openxmlformats.org/officeDocument/2006/relationships/hyperlink" Target="mailto:nattygalindo@hotmail.com" TargetMode="External"/><Relationship Id="rId66" Type="http://schemas.openxmlformats.org/officeDocument/2006/relationships/hyperlink" Target="mailto:lcaceres510@gmail.com" TargetMode="External"/><Relationship Id="rId87" Type="http://schemas.openxmlformats.org/officeDocument/2006/relationships/hyperlink" Target="mailto:sonia_gaibor@yahoo.com" TargetMode="External"/><Relationship Id="rId110" Type="http://schemas.openxmlformats.org/officeDocument/2006/relationships/hyperlink" Target="mailto:perico.p@hotmail.com" TargetMode="External"/><Relationship Id="rId61" Type="http://schemas.openxmlformats.org/officeDocument/2006/relationships/hyperlink" Target="mailto:lcaceres510@gmail.com" TargetMode="External"/><Relationship Id="rId82" Type="http://schemas.openxmlformats.org/officeDocument/2006/relationships/hyperlink" Target="mailto:lcaceres510@gmail.com" TargetMode="External"/><Relationship Id="rId19" Type="http://schemas.openxmlformats.org/officeDocument/2006/relationships/hyperlink" Target="mailto:iciandino@gmail.com" TargetMode="External"/><Relationship Id="rId14" Type="http://schemas.openxmlformats.org/officeDocument/2006/relationships/hyperlink" Target="mailto:mobi.hongli@gmail.com" TargetMode="External"/><Relationship Id="rId30" Type="http://schemas.openxmlformats.org/officeDocument/2006/relationships/hyperlink" Target="mailto:feny_30@hotmail.com" TargetMode="External"/><Relationship Id="rId35" Type="http://schemas.openxmlformats.org/officeDocument/2006/relationships/hyperlink" Target="mailto:jdmendez100@gmail.com" TargetMode="External"/><Relationship Id="rId56" Type="http://schemas.openxmlformats.org/officeDocument/2006/relationships/hyperlink" Target="mailto:jofecico@gmail.com" TargetMode="External"/><Relationship Id="rId77" Type="http://schemas.openxmlformats.org/officeDocument/2006/relationships/hyperlink" Target="mailto:lcaceres510@gmail.com" TargetMode="External"/><Relationship Id="rId100" Type="http://schemas.openxmlformats.org/officeDocument/2006/relationships/hyperlink" Target="mailto:paolaromeros@hotmail.com" TargetMode="External"/><Relationship Id="rId105" Type="http://schemas.openxmlformats.org/officeDocument/2006/relationships/hyperlink" Target="mailto:j.ochoa_91@hotmail.com" TargetMode="External"/><Relationship Id="rId8" Type="http://schemas.openxmlformats.org/officeDocument/2006/relationships/hyperlink" Target="mailto:nancysantos1950@hotmail.com" TargetMode="External"/><Relationship Id="rId51" Type="http://schemas.openxmlformats.org/officeDocument/2006/relationships/hyperlink" Target="mailto:jcnaula@hotmail.com" TargetMode="External"/><Relationship Id="rId72" Type="http://schemas.openxmlformats.org/officeDocument/2006/relationships/hyperlink" Target="mailto:lcaceres510@gmail.com" TargetMode="External"/><Relationship Id="rId93" Type="http://schemas.openxmlformats.org/officeDocument/2006/relationships/hyperlink" Target="mailto:carmen77pi&#241;a@hotmail.com" TargetMode="External"/><Relationship Id="rId98" Type="http://schemas.openxmlformats.org/officeDocument/2006/relationships/hyperlink" Target="mailto:pablocrespood@hotmail.com" TargetMode="External"/><Relationship Id="rId3" Type="http://schemas.openxmlformats.org/officeDocument/2006/relationships/hyperlink" Target="mailto:pabloemendoza@hotmail.com" TargetMode="External"/><Relationship Id="rId25" Type="http://schemas.openxmlformats.org/officeDocument/2006/relationships/hyperlink" Target="mailto:tamarabernal5@icloud.com" TargetMode="External"/><Relationship Id="rId46" Type="http://schemas.openxmlformats.org/officeDocument/2006/relationships/hyperlink" Target="mailto:magalycor11@gmail.com" TargetMode="External"/><Relationship Id="rId67" Type="http://schemas.openxmlformats.org/officeDocument/2006/relationships/hyperlink" Target="mailto:lcaceres510@gmail.com" TargetMode="External"/><Relationship Id="rId20" Type="http://schemas.openxmlformats.org/officeDocument/2006/relationships/hyperlink" Target="mailto:franrojas12c@hotmail.com" TargetMode="External"/><Relationship Id="rId41" Type="http://schemas.openxmlformats.org/officeDocument/2006/relationships/hyperlink" Target="mailto:machadob@hotmail.com" TargetMode="External"/><Relationship Id="rId62" Type="http://schemas.openxmlformats.org/officeDocument/2006/relationships/hyperlink" Target="mailto:lcaceres510@gmail.com" TargetMode="External"/><Relationship Id="rId83" Type="http://schemas.openxmlformats.org/officeDocument/2006/relationships/hyperlink" Target="mailto:lcaceres510@gmail.com" TargetMode="External"/><Relationship Id="rId88" Type="http://schemas.openxmlformats.org/officeDocument/2006/relationships/hyperlink" Target="mailto:maurorocha977@gmail.com" TargetMode="External"/><Relationship Id="rId11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V68"/>
  <sheetViews>
    <sheetView topLeftCell="A52" zoomScale="80" zoomScaleNormal="80" workbookViewId="0">
      <selection activeCell="U11" sqref="U11"/>
    </sheetView>
  </sheetViews>
  <sheetFormatPr baseColWidth="10" defaultRowHeight="15"/>
  <cols>
    <col min="1" max="2" width="11.6640625" bestFit="1" customWidth="1"/>
    <col min="4" max="4" width="11.6640625" bestFit="1" customWidth="1"/>
    <col min="5" max="5" width="18" customWidth="1"/>
    <col min="6" max="6" width="15.1640625" customWidth="1"/>
    <col min="8" max="8" width="11.6640625" bestFit="1" customWidth="1"/>
    <col min="11" max="11" width="14.5" customWidth="1"/>
    <col min="12" max="12" width="17.1640625" customWidth="1"/>
    <col min="13" max="13" width="11.6640625" bestFit="1" customWidth="1"/>
    <col min="14" max="14" width="12.83203125" bestFit="1" customWidth="1"/>
    <col min="15" max="15" width="11.6640625" bestFit="1" customWidth="1"/>
    <col min="16" max="16" width="23.1640625" customWidth="1"/>
    <col min="18" max="18" width="11.6640625" bestFit="1" customWidth="1"/>
    <col min="19" max="19" width="11.1640625" bestFit="1" customWidth="1"/>
    <col min="20" max="20" width="13.1640625" bestFit="1" customWidth="1"/>
  </cols>
  <sheetData>
    <row r="3" spans="1:22">
      <c r="A3" s="1"/>
      <c r="C3" s="2" t="s">
        <v>0</v>
      </c>
      <c r="E3" s="3"/>
      <c r="G3" s="4"/>
      <c r="H3" s="5"/>
      <c r="I3" s="6"/>
      <c r="J3" s="7"/>
      <c r="K3" s="5"/>
      <c r="L3" s="8"/>
      <c r="M3" s="8"/>
      <c r="N3" s="5"/>
      <c r="O3" s="9"/>
    </row>
    <row r="4" spans="1:22" ht="16">
      <c r="A4" s="1"/>
      <c r="C4" s="10" t="s">
        <v>1</v>
      </c>
      <c r="E4" s="5"/>
      <c r="G4" s="11"/>
      <c r="H4" s="12"/>
      <c r="I4" s="13"/>
      <c r="J4" s="14" t="s">
        <v>23</v>
      </c>
      <c r="K4" s="12"/>
      <c r="L4" s="15"/>
      <c r="M4" s="16"/>
      <c r="N4" s="5" t="s">
        <v>142</v>
      </c>
      <c r="O4" s="9"/>
      <c r="P4" s="17"/>
    </row>
    <row r="5" spans="1:22" s="23" customFormat="1" ht="45">
      <c r="A5" s="18"/>
      <c r="B5" s="19" t="s">
        <v>2</v>
      </c>
      <c r="C5" s="19" t="s">
        <v>3</v>
      </c>
      <c r="D5" s="19" t="s">
        <v>4</v>
      </c>
      <c r="E5" s="19" t="s">
        <v>5</v>
      </c>
      <c r="F5" s="20" t="s">
        <v>6</v>
      </c>
      <c r="G5" s="19" t="s">
        <v>7</v>
      </c>
      <c r="H5" s="19" t="s">
        <v>8</v>
      </c>
      <c r="I5" s="19" t="s">
        <v>9</v>
      </c>
      <c r="J5" s="19" t="s">
        <v>10</v>
      </c>
      <c r="K5" s="19" t="s">
        <v>11</v>
      </c>
      <c r="L5" s="21" t="s">
        <v>12</v>
      </c>
      <c r="M5" s="21" t="s">
        <v>13</v>
      </c>
      <c r="N5" s="19" t="s">
        <v>14</v>
      </c>
      <c r="O5" s="22" t="s">
        <v>15</v>
      </c>
      <c r="P5" s="19" t="s">
        <v>16</v>
      </c>
      <c r="Q5" s="19" t="s">
        <v>17</v>
      </c>
      <c r="R5" s="19" t="s">
        <v>18</v>
      </c>
      <c r="S5" s="19" t="s">
        <v>19</v>
      </c>
      <c r="T5" s="19" t="s">
        <v>20</v>
      </c>
      <c r="U5" s="19" t="s">
        <v>21</v>
      </c>
    </row>
    <row r="6" spans="1:22" s="75" customFormat="1" ht="33" customHeight="1">
      <c r="A6" s="24">
        <v>1</v>
      </c>
      <c r="B6" s="25">
        <v>45360</v>
      </c>
      <c r="C6" s="26" t="s">
        <v>91</v>
      </c>
      <c r="D6" s="26" t="s">
        <v>146</v>
      </c>
      <c r="E6" s="27">
        <v>112570126</v>
      </c>
      <c r="F6" s="28" t="s">
        <v>97</v>
      </c>
      <c r="G6" s="29" t="s">
        <v>149</v>
      </c>
      <c r="H6" s="30" t="s">
        <v>42</v>
      </c>
      <c r="I6" s="26" t="s">
        <v>81</v>
      </c>
      <c r="J6" s="29" t="s">
        <v>82</v>
      </c>
      <c r="K6" s="31">
        <v>45371</v>
      </c>
      <c r="L6" s="32" t="s">
        <v>152</v>
      </c>
      <c r="M6" s="32" t="s">
        <v>153</v>
      </c>
      <c r="N6" s="29">
        <v>74025053</v>
      </c>
      <c r="O6" s="33">
        <v>15</v>
      </c>
      <c r="P6" s="26" t="s">
        <v>22</v>
      </c>
      <c r="Q6" s="26" t="s">
        <v>81</v>
      </c>
      <c r="R6" s="34"/>
      <c r="S6" s="35" t="s">
        <v>146</v>
      </c>
      <c r="T6" s="73">
        <v>101657435</v>
      </c>
      <c r="U6" s="172" t="s">
        <v>154</v>
      </c>
      <c r="V6" s="74"/>
    </row>
    <row r="7" spans="1:22" s="75" customFormat="1" ht="33" customHeight="1">
      <c r="A7" s="24">
        <v>2</v>
      </c>
      <c r="B7" s="25">
        <v>45360</v>
      </c>
      <c r="C7" s="26" t="s">
        <v>91</v>
      </c>
      <c r="D7" s="26" t="s">
        <v>146</v>
      </c>
      <c r="E7" s="27">
        <v>41596121</v>
      </c>
      <c r="F7" s="28" t="s">
        <v>147</v>
      </c>
      <c r="G7" s="29" t="s">
        <v>150</v>
      </c>
      <c r="H7" s="30">
        <v>413184</v>
      </c>
      <c r="I7" s="26" t="s">
        <v>81</v>
      </c>
      <c r="J7" s="29" t="s">
        <v>82</v>
      </c>
      <c r="K7" s="31">
        <v>45371</v>
      </c>
      <c r="L7" s="32" t="s">
        <v>152</v>
      </c>
      <c r="M7" s="32" t="s">
        <v>153</v>
      </c>
      <c r="N7" s="29">
        <v>74025053</v>
      </c>
      <c r="O7" s="33">
        <v>15</v>
      </c>
      <c r="P7" s="26" t="s">
        <v>22</v>
      </c>
      <c r="Q7" s="26" t="s">
        <v>81</v>
      </c>
      <c r="R7" s="34"/>
      <c r="S7" s="35" t="s">
        <v>146</v>
      </c>
      <c r="T7" s="73">
        <v>101657435</v>
      </c>
      <c r="U7" s="172" t="s">
        <v>154</v>
      </c>
      <c r="V7" s="173"/>
    </row>
    <row r="8" spans="1:22" s="75" customFormat="1" ht="33" customHeight="1">
      <c r="A8" s="24">
        <v>3</v>
      </c>
      <c r="B8" s="25">
        <v>45360</v>
      </c>
      <c r="C8" s="26" t="s">
        <v>91</v>
      </c>
      <c r="D8" s="26" t="s">
        <v>146</v>
      </c>
      <c r="E8" s="27">
        <v>113430016</v>
      </c>
      <c r="F8" s="28" t="s">
        <v>148</v>
      </c>
      <c r="G8" s="29" t="s">
        <v>151</v>
      </c>
      <c r="H8" s="30" t="s">
        <v>42</v>
      </c>
      <c r="I8" s="26" t="s">
        <v>81</v>
      </c>
      <c r="J8" s="29" t="s">
        <v>82</v>
      </c>
      <c r="K8" s="31">
        <v>45371</v>
      </c>
      <c r="L8" s="32" t="s">
        <v>152</v>
      </c>
      <c r="M8" s="32" t="s">
        <v>153</v>
      </c>
      <c r="N8" s="29">
        <v>74025053</v>
      </c>
      <c r="O8" s="33">
        <v>15</v>
      </c>
      <c r="P8" s="26" t="s">
        <v>22</v>
      </c>
      <c r="Q8" s="26" t="s">
        <v>81</v>
      </c>
      <c r="R8" s="34"/>
      <c r="S8" s="35" t="s">
        <v>146</v>
      </c>
      <c r="T8" s="73">
        <v>101657435</v>
      </c>
      <c r="U8" s="172" t="s">
        <v>154</v>
      </c>
      <c r="V8" s="173"/>
    </row>
    <row r="9" spans="1:22" s="75" customFormat="1" ht="33" customHeight="1">
      <c r="A9" s="24">
        <v>4</v>
      </c>
      <c r="B9" s="25">
        <v>45354</v>
      </c>
      <c r="C9" s="26" t="s">
        <v>137</v>
      </c>
      <c r="D9" s="26" t="s">
        <v>155</v>
      </c>
      <c r="E9" s="27">
        <v>112580017</v>
      </c>
      <c r="F9" s="28" t="s">
        <v>89</v>
      </c>
      <c r="G9" s="29" t="s">
        <v>156</v>
      </c>
      <c r="H9" s="30" t="s">
        <v>42</v>
      </c>
      <c r="I9" s="26" t="s">
        <v>81</v>
      </c>
      <c r="J9" s="29" t="s">
        <v>82</v>
      </c>
      <c r="K9" s="31">
        <v>45371</v>
      </c>
      <c r="L9" s="32" t="s">
        <v>157</v>
      </c>
      <c r="M9" s="32" t="s">
        <v>158</v>
      </c>
      <c r="N9" s="29">
        <v>995872602</v>
      </c>
      <c r="O9" s="33">
        <v>20</v>
      </c>
      <c r="P9" s="26" t="s">
        <v>22</v>
      </c>
      <c r="Q9" s="26" t="s">
        <v>81</v>
      </c>
      <c r="R9" s="34"/>
      <c r="S9" s="26" t="s">
        <v>155</v>
      </c>
      <c r="T9" s="73">
        <v>106424765</v>
      </c>
      <c r="U9" s="172"/>
      <c r="V9" s="173"/>
    </row>
    <row r="10" spans="1:22" s="75" customFormat="1" ht="33" customHeight="1">
      <c r="A10" s="24">
        <v>5</v>
      </c>
      <c r="B10" s="25">
        <v>45354</v>
      </c>
      <c r="C10" s="26" t="s">
        <v>137</v>
      </c>
      <c r="D10" s="26" t="s">
        <v>155</v>
      </c>
      <c r="E10" s="27">
        <v>112580017</v>
      </c>
      <c r="F10" s="28" t="s">
        <v>89</v>
      </c>
      <c r="G10" s="29" t="s">
        <v>156</v>
      </c>
      <c r="H10" s="30" t="s">
        <v>42</v>
      </c>
      <c r="I10" s="26" t="s">
        <v>81</v>
      </c>
      <c r="J10" s="29" t="s">
        <v>82</v>
      </c>
      <c r="K10" s="31">
        <v>45371</v>
      </c>
      <c r="L10" s="32" t="s">
        <v>157</v>
      </c>
      <c r="M10" s="32" t="s">
        <v>158</v>
      </c>
      <c r="N10" s="29">
        <v>995872602</v>
      </c>
      <c r="O10" s="33">
        <v>20</v>
      </c>
      <c r="P10" s="26" t="s">
        <v>22</v>
      </c>
      <c r="Q10" s="26" t="s">
        <v>81</v>
      </c>
      <c r="R10" s="34"/>
      <c r="S10" s="26" t="s">
        <v>155</v>
      </c>
      <c r="T10" s="73">
        <v>106424765</v>
      </c>
      <c r="U10" s="172"/>
      <c r="V10" s="173"/>
    </row>
    <row r="11" spans="1:22" s="75" customFormat="1" ht="33" customHeight="1">
      <c r="A11" s="24">
        <v>6</v>
      </c>
      <c r="B11" s="25">
        <v>45202</v>
      </c>
      <c r="C11" s="26" t="s">
        <v>87</v>
      </c>
      <c r="D11" s="26" t="s">
        <v>422</v>
      </c>
      <c r="E11" s="27">
        <v>112580058</v>
      </c>
      <c r="F11" s="28" t="s">
        <v>95</v>
      </c>
      <c r="G11" s="29" t="s">
        <v>159</v>
      </c>
      <c r="H11" s="30">
        <v>404364</v>
      </c>
      <c r="I11" s="26" t="s">
        <v>81</v>
      </c>
      <c r="J11" s="29" t="s">
        <v>98</v>
      </c>
      <c r="K11" s="31">
        <v>45371</v>
      </c>
      <c r="L11" s="32" t="s">
        <v>162</v>
      </c>
      <c r="M11" s="32" t="s">
        <v>98</v>
      </c>
      <c r="N11" s="29">
        <v>983393143</v>
      </c>
      <c r="O11" s="33">
        <v>20</v>
      </c>
      <c r="P11" s="26" t="s">
        <v>22</v>
      </c>
      <c r="Q11" s="26" t="s">
        <v>81</v>
      </c>
      <c r="R11" s="34"/>
      <c r="S11" s="35"/>
      <c r="T11" s="281">
        <v>1900485598</v>
      </c>
      <c r="U11" s="172"/>
      <c r="V11" s="173"/>
    </row>
    <row r="12" spans="1:22" s="75" customFormat="1" ht="33" customHeight="1">
      <c r="A12" s="24">
        <v>7</v>
      </c>
      <c r="B12" s="25">
        <v>45202</v>
      </c>
      <c r="C12" s="26" t="s">
        <v>87</v>
      </c>
      <c r="D12" s="26" t="s">
        <v>422</v>
      </c>
      <c r="E12" s="27">
        <v>41560142</v>
      </c>
      <c r="F12" s="28" t="s">
        <v>160</v>
      </c>
      <c r="G12" s="29" t="s">
        <v>161</v>
      </c>
      <c r="H12" s="30" t="s">
        <v>42</v>
      </c>
      <c r="I12" s="26" t="s">
        <v>81</v>
      </c>
      <c r="J12" s="29" t="s">
        <v>98</v>
      </c>
      <c r="K12" s="31">
        <v>45371</v>
      </c>
      <c r="L12" s="32" t="s">
        <v>162</v>
      </c>
      <c r="M12" s="32" t="s">
        <v>98</v>
      </c>
      <c r="N12" s="29">
        <v>983393143</v>
      </c>
      <c r="O12" s="33">
        <v>20</v>
      </c>
      <c r="P12" s="26" t="s">
        <v>22</v>
      </c>
      <c r="Q12" s="26" t="s">
        <v>81</v>
      </c>
      <c r="R12" s="34"/>
      <c r="S12" s="35"/>
      <c r="T12" s="281">
        <v>1900485598</v>
      </c>
      <c r="U12" s="172"/>
      <c r="V12" s="173"/>
    </row>
    <row r="13" spans="1:22" s="75" customFormat="1" ht="33" customHeight="1">
      <c r="A13" s="24">
        <v>8</v>
      </c>
      <c r="B13" s="25">
        <v>45358</v>
      </c>
      <c r="C13" s="26" t="s">
        <v>137</v>
      </c>
      <c r="D13" s="26" t="s">
        <v>163</v>
      </c>
      <c r="E13" s="27">
        <v>40466111</v>
      </c>
      <c r="F13" s="28" t="s">
        <v>88</v>
      </c>
      <c r="G13" s="29" t="s">
        <v>165</v>
      </c>
      <c r="H13" s="30" t="s">
        <v>42</v>
      </c>
      <c r="I13" s="26" t="s">
        <v>81</v>
      </c>
      <c r="J13" s="29" t="s">
        <v>82</v>
      </c>
      <c r="K13" s="31">
        <v>45372</v>
      </c>
      <c r="L13" s="32" t="s">
        <v>167</v>
      </c>
      <c r="M13" s="32" t="s">
        <v>168</v>
      </c>
      <c r="N13" s="29">
        <v>988830748</v>
      </c>
      <c r="O13" s="33">
        <v>20</v>
      </c>
      <c r="P13" s="26" t="s">
        <v>22</v>
      </c>
      <c r="Q13" s="26" t="s">
        <v>81</v>
      </c>
      <c r="R13" s="34"/>
      <c r="S13" s="35" t="s">
        <v>169</v>
      </c>
      <c r="T13" s="73">
        <v>102490307</v>
      </c>
      <c r="U13" s="172" t="s">
        <v>170</v>
      </c>
      <c r="V13" s="173"/>
    </row>
    <row r="14" spans="1:22" s="75" customFormat="1" ht="33" customHeight="1">
      <c r="A14" s="24">
        <v>9</v>
      </c>
      <c r="B14" s="25">
        <v>45358</v>
      </c>
      <c r="C14" s="26" t="s">
        <v>137</v>
      </c>
      <c r="D14" s="26" t="s">
        <v>163</v>
      </c>
      <c r="E14" s="27">
        <v>112580058</v>
      </c>
      <c r="F14" s="28" t="s">
        <v>164</v>
      </c>
      <c r="G14" s="29" t="s">
        <v>166</v>
      </c>
      <c r="H14" s="30" t="s">
        <v>42</v>
      </c>
      <c r="I14" s="26" t="s">
        <v>81</v>
      </c>
      <c r="J14" s="29" t="s">
        <v>82</v>
      </c>
      <c r="K14" s="31">
        <v>45372</v>
      </c>
      <c r="L14" s="32" t="s">
        <v>167</v>
      </c>
      <c r="M14" s="32" t="s">
        <v>168</v>
      </c>
      <c r="N14" s="29">
        <v>988830748</v>
      </c>
      <c r="O14" s="33">
        <v>20</v>
      </c>
      <c r="P14" s="26" t="s">
        <v>22</v>
      </c>
      <c r="Q14" s="26" t="s">
        <v>81</v>
      </c>
      <c r="R14" s="34"/>
      <c r="S14" s="35" t="s">
        <v>169</v>
      </c>
      <c r="T14" s="73">
        <v>102490307</v>
      </c>
      <c r="U14" s="172" t="s">
        <v>170</v>
      </c>
      <c r="V14" s="173"/>
    </row>
    <row r="15" spans="1:22" s="75" customFormat="1" ht="33" customHeight="1">
      <c r="A15" s="24">
        <v>10</v>
      </c>
      <c r="B15" s="25">
        <v>45365</v>
      </c>
      <c r="C15" s="26" t="s">
        <v>87</v>
      </c>
      <c r="D15" s="26" t="s">
        <v>171</v>
      </c>
      <c r="E15" s="27">
        <v>112610068</v>
      </c>
      <c r="F15" s="28" t="s">
        <v>172</v>
      </c>
      <c r="G15" s="29" t="s">
        <v>174</v>
      </c>
      <c r="H15" s="30" t="s">
        <v>42</v>
      </c>
      <c r="I15" s="26" t="s">
        <v>81</v>
      </c>
      <c r="J15" s="29" t="s">
        <v>82</v>
      </c>
      <c r="K15" s="31">
        <v>45376</v>
      </c>
      <c r="L15" s="32" t="s">
        <v>176</v>
      </c>
      <c r="M15" s="32" t="s">
        <v>177</v>
      </c>
      <c r="N15" s="29">
        <v>968524304</v>
      </c>
      <c r="O15" s="33">
        <v>20</v>
      </c>
      <c r="P15" s="26" t="s">
        <v>22</v>
      </c>
      <c r="Q15" s="26" t="s">
        <v>81</v>
      </c>
      <c r="R15" s="34"/>
      <c r="S15" s="35" t="s">
        <v>171</v>
      </c>
      <c r="T15" s="73">
        <v>105824304</v>
      </c>
      <c r="U15" s="172" t="s">
        <v>178</v>
      </c>
      <c r="V15" s="173"/>
    </row>
    <row r="16" spans="1:22" s="75" customFormat="1" ht="33" customHeight="1">
      <c r="A16" s="24">
        <v>11</v>
      </c>
      <c r="B16" s="25">
        <v>45365</v>
      </c>
      <c r="C16" s="26" t="s">
        <v>87</v>
      </c>
      <c r="D16" s="26" t="s">
        <v>171</v>
      </c>
      <c r="E16" s="27">
        <v>41596121</v>
      </c>
      <c r="F16" s="28" t="s">
        <v>173</v>
      </c>
      <c r="G16" s="29" t="s">
        <v>175</v>
      </c>
      <c r="H16" s="30" t="s">
        <v>42</v>
      </c>
      <c r="I16" s="26" t="s">
        <v>81</v>
      </c>
      <c r="J16" s="29" t="s">
        <v>82</v>
      </c>
      <c r="K16" s="31">
        <v>45376</v>
      </c>
      <c r="L16" s="32" t="s">
        <v>176</v>
      </c>
      <c r="M16" s="32" t="s">
        <v>177</v>
      </c>
      <c r="N16" s="29">
        <v>968524304</v>
      </c>
      <c r="O16" s="33">
        <v>20</v>
      </c>
      <c r="P16" s="26" t="s">
        <v>22</v>
      </c>
      <c r="Q16" s="26" t="s">
        <v>81</v>
      </c>
      <c r="R16" s="34"/>
      <c r="S16" s="35" t="s">
        <v>171</v>
      </c>
      <c r="T16" s="73">
        <v>105824304</v>
      </c>
      <c r="U16" s="172" t="s">
        <v>178</v>
      </c>
      <c r="V16" s="173"/>
    </row>
    <row r="17" spans="1:22" s="75" customFormat="1" ht="33" customHeight="1">
      <c r="A17" s="24">
        <v>12</v>
      </c>
      <c r="B17" s="25">
        <v>45367</v>
      </c>
      <c r="C17" s="26" t="s">
        <v>91</v>
      </c>
      <c r="D17" s="26" t="s">
        <v>179</v>
      </c>
      <c r="E17" s="27">
        <v>41560151</v>
      </c>
      <c r="F17" s="28" t="s">
        <v>160</v>
      </c>
      <c r="G17" s="29" t="s">
        <v>180</v>
      </c>
      <c r="H17" s="30" t="s">
        <v>42</v>
      </c>
      <c r="I17" s="26" t="s">
        <v>81</v>
      </c>
      <c r="J17" s="29" t="s">
        <v>82</v>
      </c>
      <c r="K17" s="31">
        <v>45376</v>
      </c>
      <c r="L17" s="32" t="s">
        <v>183</v>
      </c>
      <c r="M17" s="32" t="s">
        <v>184</v>
      </c>
      <c r="N17" s="29">
        <v>74109067</v>
      </c>
      <c r="O17" s="33">
        <v>15</v>
      </c>
      <c r="P17" s="26" t="s">
        <v>22</v>
      </c>
      <c r="Q17" s="26" t="s">
        <v>81</v>
      </c>
      <c r="R17" s="34"/>
      <c r="S17" s="26" t="s">
        <v>179</v>
      </c>
      <c r="T17" s="73">
        <v>100868090</v>
      </c>
      <c r="U17" s="172" t="s">
        <v>185</v>
      </c>
      <c r="V17" s="173"/>
    </row>
    <row r="18" spans="1:22" s="75" customFormat="1" ht="33" customHeight="1">
      <c r="A18" s="24">
        <v>13</v>
      </c>
      <c r="B18" s="25">
        <v>45367</v>
      </c>
      <c r="C18" s="26" t="s">
        <v>91</v>
      </c>
      <c r="D18" s="26" t="s">
        <v>179</v>
      </c>
      <c r="E18" s="27">
        <v>113430016</v>
      </c>
      <c r="F18" s="28" t="s">
        <v>148</v>
      </c>
      <c r="G18" s="29" t="s">
        <v>182</v>
      </c>
      <c r="H18" s="30" t="s">
        <v>42</v>
      </c>
      <c r="I18" s="26" t="s">
        <v>81</v>
      </c>
      <c r="J18" s="29" t="s">
        <v>82</v>
      </c>
      <c r="K18" s="31">
        <v>45376</v>
      </c>
      <c r="L18" s="32" t="s">
        <v>183</v>
      </c>
      <c r="M18" s="32" t="s">
        <v>184</v>
      </c>
      <c r="N18" s="29">
        <v>74109067</v>
      </c>
      <c r="O18" s="33">
        <v>15</v>
      </c>
      <c r="P18" s="26" t="s">
        <v>22</v>
      </c>
      <c r="Q18" s="26" t="s">
        <v>81</v>
      </c>
      <c r="R18" s="34"/>
      <c r="S18" s="26" t="s">
        <v>179</v>
      </c>
      <c r="T18" s="73">
        <v>100868090</v>
      </c>
      <c r="U18" s="172" t="s">
        <v>185</v>
      </c>
      <c r="V18" s="173"/>
    </row>
    <row r="19" spans="1:22" s="75" customFormat="1" ht="33" customHeight="1">
      <c r="A19" s="24">
        <v>14</v>
      </c>
      <c r="B19" s="25">
        <v>45367</v>
      </c>
      <c r="C19" s="26" t="s">
        <v>91</v>
      </c>
      <c r="D19" s="26" t="s">
        <v>179</v>
      </c>
      <c r="E19" s="27">
        <v>113430016</v>
      </c>
      <c r="F19" s="28" t="s">
        <v>148</v>
      </c>
      <c r="G19" s="29" t="s">
        <v>181</v>
      </c>
      <c r="H19" s="30" t="s">
        <v>42</v>
      </c>
      <c r="I19" s="26" t="s">
        <v>81</v>
      </c>
      <c r="J19" s="29" t="s">
        <v>82</v>
      </c>
      <c r="K19" s="31">
        <v>45376</v>
      </c>
      <c r="L19" s="32" t="s">
        <v>183</v>
      </c>
      <c r="M19" s="32" t="s">
        <v>184</v>
      </c>
      <c r="N19" s="29">
        <v>74109067</v>
      </c>
      <c r="O19" s="33">
        <v>15</v>
      </c>
      <c r="P19" s="26" t="s">
        <v>22</v>
      </c>
      <c r="Q19" s="26" t="s">
        <v>81</v>
      </c>
      <c r="R19" s="34"/>
      <c r="S19" s="26" t="s">
        <v>179</v>
      </c>
      <c r="T19" s="73">
        <v>100868090</v>
      </c>
      <c r="U19" s="172" t="s">
        <v>185</v>
      </c>
      <c r="V19" s="173"/>
    </row>
    <row r="20" spans="1:22" s="75" customFormat="1" ht="33" customHeight="1">
      <c r="A20" s="24">
        <v>15</v>
      </c>
      <c r="B20" s="25">
        <v>45209</v>
      </c>
      <c r="C20" s="26" t="s">
        <v>90</v>
      </c>
      <c r="D20" s="26" t="s">
        <v>423</v>
      </c>
      <c r="E20" s="27">
        <v>112570124</v>
      </c>
      <c r="F20" s="28" t="s">
        <v>186</v>
      </c>
      <c r="G20" s="29" t="s">
        <v>188</v>
      </c>
      <c r="H20" s="30">
        <v>406396</v>
      </c>
      <c r="I20" s="26" t="s">
        <v>81</v>
      </c>
      <c r="J20" s="29" t="s">
        <v>82</v>
      </c>
      <c r="K20" s="31">
        <v>45379</v>
      </c>
      <c r="L20" s="32" t="s">
        <v>190</v>
      </c>
      <c r="M20" s="32" t="s">
        <v>191</v>
      </c>
      <c r="N20" s="29">
        <v>2867668</v>
      </c>
      <c r="O20" s="33">
        <v>20</v>
      </c>
      <c r="P20" s="26" t="s">
        <v>22</v>
      </c>
      <c r="Q20" s="26" t="s">
        <v>81</v>
      </c>
      <c r="R20" s="34"/>
      <c r="S20" s="35"/>
      <c r="T20" s="73">
        <v>101371722</v>
      </c>
      <c r="U20" s="172" t="s">
        <v>192</v>
      </c>
      <c r="V20" s="173"/>
    </row>
    <row r="21" spans="1:22" s="75" customFormat="1" ht="33" customHeight="1">
      <c r="A21" s="24">
        <v>16</v>
      </c>
      <c r="B21" s="25">
        <v>45209</v>
      </c>
      <c r="C21" s="26" t="s">
        <v>90</v>
      </c>
      <c r="D21" s="26" t="s">
        <v>423</v>
      </c>
      <c r="E21" s="27">
        <v>40461507</v>
      </c>
      <c r="F21" s="28" t="s">
        <v>187</v>
      </c>
      <c r="G21" s="29" t="s">
        <v>189</v>
      </c>
      <c r="H21" s="30" t="s">
        <v>42</v>
      </c>
      <c r="I21" s="26" t="s">
        <v>81</v>
      </c>
      <c r="J21" s="29" t="s">
        <v>82</v>
      </c>
      <c r="K21" s="31">
        <v>45379</v>
      </c>
      <c r="L21" s="32" t="s">
        <v>190</v>
      </c>
      <c r="M21" s="32" t="s">
        <v>191</v>
      </c>
      <c r="N21" s="29">
        <v>2867668</v>
      </c>
      <c r="O21" s="33">
        <v>20</v>
      </c>
      <c r="P21" s="26" t="s">
        <v>22</v>
      </c>
      <c r="Q21" s="26" t="s">
        <v>81</v>
      </c>
      <c r="R21" s="34"/>
      <c r="S21" s="35"/>
      <c r="T21" s="73">
        <v>101371722</v>
      </c>
      <c r="U21" s="172" t="s">
        <v>192</v>
      </c>
      <c r="V21" s="173"/>
    </row>
    <row r="22" spans="1:22" s="75" customFormat="1" ht="33" customHeight="1">
      <c r="A22" s="24">
        <v>17</v>
      </c>
      <c r="B22" s="25">
        <v>45376</v>
      </c>
      <c r="C22" s="26" t="s">
        <v>91</v>
      </c>
      <c r="D22" s="26" t="s">
        <v>193</v>
      </c>
      <c r="E22" s="27">
        <v>113430016</v>
      </c>
      <c r="F22" s="28" t="s">
        <v>148</v>
      </c>
      <c r="G22" s="29" t="s">
        <v>194</v>
      </c>
      <c r="H22" s="30" t="s">
        <v>42</v>
      </c>
      <c r="I22" s="26" t="s">
        <v>81</v>
      </c>
      <c r="J22" s="29" t="s">
        <v>82</v>
      </c>
      <c r="K22" s="31">
        <v>45379</v>
      </c>
      <c r="L22" s="32" t="s">
        <v>196</v>
      </c>
      <c r="M22" s="32" t="s">
        <v>197</v>
      </c>
      <c r="N22" s="29">
        <v>978919872</v>
      </c>
      <c r="O22" s="33">
        <v>20</v>
      </c>
      <c r="P22" s="26" t="s">
        <v>22</v>
      </c>
      <c r="Q22" s="26" t="s">
        <v>81</v>
      </c>
      <c r="R22" s="34"/>
      <c r="S22" s="35" t="s">
        <v>193</v>
      </c>
      <c r="T22" s="73">
        <v>1761729704</v>
      </c>
      <c r="U22" s="172" t="s">
        <v>198</v>
      </c>
      <c r="V22" s="173"/>
    </row>
    <row r="23" spans="1:22" s="75" customFormat="1" ht="33" customHeight="1">
      <c r="A23" s="24">
        <v>18</v>
      </c>
      <c r="B23" s="25">
        <v>45376</v>
      </c>
      <c r="C23" s="26" t="s">
        <v>91</v>
      </c>
      <c r="D23" s="26" t="s">
        <v>193</v>
      </c>
      <c r="E23" s="27">
        <v>40590335</v>
      </c>
      <c r="F23" s="28" t="s">
        <v>135</v>
      </c>
      <c r="G23" s="29" t="s">
        <v>195</v>
      </c>
      <c r="H23" s="30" t="s">
        <v>42</v>
      </c>
      <c r="I23" s="26" t="s">
        <v>81</v>
      </c>
      <c r="J23" s="29" t="s">
        <v>82</v>
      </c>
      <c r="K23" s="31">
        <v>45379</v>
      </c>
      <c r="L23" s="32" t="s">
        <v>196</v>
      </c>
      <c r="M23" s="32" t="s">
        <v>197</v>
      </c>
      <c r="N23" s="29">
        <v>978919872</v>
      </c>
      <c r="O23" s="33">
        <v>20</v>
      </c>
      <c r="P23" s="26" t="s">
        <v>22</v>
      </c>
      <c r="Q23" s="26" t="s">
        <v>81</v>
      </c>
      <c r="R23" s="34"/>
      <c r="S23" s="35" t="s">
        <v>193</v>
      </c>
      <c r="T23" s="73">
        <v>1761729704</v>
      </c>
      <c r="U23" s="172" t="s">
        <v>198</v>
      </c>
      <c r="V23" s="173"/>
    </row>
    <row r="24" spans="1:22" s="75" customFormat="1" ht="33" customHeight="1">
      <c r="A24" s="24">
        <v>19</v>
      </c>
      <c r="B24" s="25">
        <v>45373</v>
      </c>
      <c r="C24" s="26" t="s">
        <v>90</v>
      </c>
      <c r="D24" s="26" t="s">
        <v>199</v>
      </c>
      <c r="E24" s="27">
        <v>112570211</v>
      </c>
      <c r="F24" s="28" t="s">
        <v>200</v>
      </c>
      <c r="G24" s="29" t="s">
        <v>201</v>
      </c>
      <c r="H24" s="30" t="s">
        <v>42</v>
      </c>
      <c r="I24" s="26" t="s">
        <v>81</v>
      </c>
      <c r="J24" s="29" t="s">
        <v>82</v>
      </c>
      <c r="K24" s="31">
        <v>45383</v>
      </c>
      <c r="L24" s="32" t="s">
        <v>204</v>
      </c>
      <c r="M24" s="32" t="s">
        <v>205</v>
      </c>
      <c r="N24" s="29">
        <v>987002015</v>
      </c>
      <c r="O24" s="33">
        <v>15</v>
      </c>
      <c r="P24" s="26" t="s">
        <v>22</v>
      </c>
      <c r="Q24" s="26" t="s">
        <v>81</v>
      </c>
      <c r="R24" s="34"/>
      <c r="S24" s="26" t="s">
        <v>199</v>
      </c>
      <c r="T24" s="73">
        <v>102060357</v>
      </c>
      <c r="U24" s="172" t="s">
        <v>206</v>
      </c>
      <c r="V24" s="173"/>
    </row>
    <row r="25" spans="1:22" s="75" customFormat="1" ht="33" customHeight="1">
      <c r="A25" s="24">
        <v>20</v>
      </c>
      <c r="B25" s="25">
        <v>45373</v>
      </c>
      <c r="C25" s="26" t="s">
        <v>90</v>
      </c>
      <c r="D25" s="26" t="s">
        <v>199</v>
      </c>
      <c r="E25" s="27">
        <v>11100003001</v>
      </c>
      <c r="F25" s="28" t="s">
        <v>650</v>
      </c>
      <c r="G25" s="29" t="s">
        <v>202</v>
      </c>
      <c r="H25" s="30" t="s">
        <v>42</v>
      </c>
      <c r="I25" s="26" t="s">
        <v>81</v>
      </c>
      <c r="J25" s="29" t="s">
        <v>82</v>
      </c>
      <c r="K25" s="31">
        <v>45383</v>
      </c>
      <c r="L25" s="32" t="s">
        <v>204</v>
      </c>
      <c r="M25" s="32" t="s">
        <v>205</v>
      </c>
      <c r="N25" s="29">
        <v>987002015</v>
      </c>
      <c r="O25" s="33">
        <v>15</v>
      </c>
      <c r="P25" s="26" t="s">
        <v>22</v>
      </c>
      <c r="Q25" s="26" t="s">
        <v>81</v>
      </c>
      <c r="R25" s="34"/>
      <c r="S25" s="26" t="s">
        <v>199</v>
      </c>
      <c r="T25" s="73">
        <v>102060357</v>
      </c>
      <c r="U25" s="172" t="s">
        <v>206</v>
      </c>
      <c r="V25" s="173"/>
    </row>
    <row r="26" spans="1:22" s="75" customFormat="1" ht="33" customHeight="1">
      <c r="A26" s="24">
        <v>21</v>
      </c>
      <c r="B26" s="25">
        <v>45373</v>
      </c>
      <c r="C26" s="26" t="s">
        <v>90</v>
      </c>
      <c r="D26" s="26" t="s">
        <v>199</v>
      </c>
      <c r="E26" s="27">
        <v>114270008</v>
      </c>
      <c r="F26" s="28" t="s">
        <v>108</v>
      </c>
      <c r="G26" s="29" t="s">
        <v>203</v>
      </c>
      <c r="H26" s="30" t="s">
        <v>42</v>
      </c>
      <c r="I26" s="26" t="s">
        <v>81</v>
      </c>
      <c r="J26" s="29" t="s">
        <v>82</v>
      </c>
      <c r="K26" s="31">
        <v>45383</v>
      </c>
      <c r="L26" s="32" t="s">
        <v>204</v>
      </c>
      <c r="M26" s="32" t="s">
        <v>205</v>
      </c>
      <c r="N26" s="29">
        <v>987002015</v>
      </c>
      <c r="O26" s="33">
        <v>15</v>
      </c>
      <c r="P26" s="26" t="s">
        <v>22</v>
      </c>
      <c r="Q26" s="26" t="s">
        <v>81</v>
      </c>
      <c r="R26" s="34"/>
      <c r="S26" s="26" t="s">
        <v>199</v>
      </c>
      <c r="T26" s="73">
        <v>102060357</v>
      </c>
      <c r="U26" s="172" t="s">
        <v>206</v>
      </c>
      <c r="V26" s="173"/>
    </row>
    <row r="27" spans="1:22" s="75" customFormat="1" ht="33" customHeight="1">
      <c r="A27" s="24">
        <v>22</v>
      </c>
      <c r="B27" s="25">
        <v>45381</v>
      </c>
      <c r="C27" s="26" t="s">
        <v>90</v>
      </c>
      <c r="D27" s="26" t="s">
        <v>207</v>
      </c>
      <c r="E27" s="27">
        <v>111000051</v>
      </c>
      <c r="F27" s="28" t="s">
        <v>92</v>
      </c>
      <c r="G27" s="29" t="s">
        <v>208</v>
      </c>
      <c r="H27" s="30" t="s">
        <v>42</v>
      </c>
      <c r="I27" s="26" t="s">
        <v>81</v>
      </c>
      <c r="J27" s="29" t="s">
        <v>82</v>
      </c>
      <c r="K27" s="31">
        <v>45384</v>
      </c>
      <c r="L27" s="32" t="s">
        <v>157</v>
      </c>
      <c r="M27" s="32" t="s">
        <v>210</v>
      </c>
      <c r="N27" s="29">
        <v>995872602</v>
      </c>
      <c r="O27" s="33">
        <v>20</v>
      </c>
      <c r="P27" s="26" t="s">
        <v>22</v>
      </c>
      <c r="Q27" s="26" t="s">
        <v>81</v>
      </c>
      <c r="R27" s="34"/>
      <c r="S27" s="35" t="s">
        <v>207</v>
      </c>
      <c r="T27" s="73">
        <v>106424765</v>
      </c>
      <c r="U27" s="172" t="s">
        <v>211</v>
      </c>
      <c r="V27" s="173"/>
    </row>
    <row r="28" spans="1:22" s="75" customFormat="1" ht="33" customHeight="1">
      <c r="A28" s="24">
        <v>23</v>
      </c>
      <c r="B28" s="25">
        <v>45381</v>
      </c>
      <c r="C28" s="26" t="s">
        <v>90</v>
      </c>
      <c r="D28" s="26" t="s">
        <v>207</v>
      </c>
      <c r="E28" s="27">
        <v>40584202</v>
      </c>
      <c r="F28" s="28" t="s">
        <v>99</v>
      </c>
      <c r="G28" s="29" t="s">
        <v>209</v>
      </c>
      <c r="H28" s="30" t="s">
        <v>42</v>
      </c>
      <c r="I28" s="26" t="s">
        <v>81</v>
      </c>
      <c r="J28" s="29" t="s">
        <v>82</v>
      </c>
      <c r="K28" s="31">
        <v>45384</v>
      </c>
      <c r="L28" s="32" t="s">
        <v>157</v>
      </c>
      <c r="M28" s="32" t="s">
        <v>210</v>
      </c>
      <c r="N28" s="29">
        <v>995872602</v>
      </c>
      <c r="O28" s="33">
        <v>20</v>
      </c>
      <c r="P28" s="26" t="s">
        <v>22</v>
      </c>
      <c r="Q28" s="26" t="s">
        <v>81</v>
      </c>
      <c r="R28" s="34"/>
      <c r="S28" s="35" t="s">
        <v>207</v>
      </c>
      <c r="T28" s="73">
        <v>106424765</v>
      </c>
      <c r="U28" s="172" t="s">
        <v>211</v>
      </c>
      <c r="V28" s="173"/>
    </row>
    <row r="29" spans="1:22" s="75" customFormat="1" ht="33" customHeight="1">
      <c r="A29" s="24">
        <v>24</v>
      </c>
      <c r="B29" s="25">
        <v>45370</v>
      </c>
      <c r="C29" s="26" t="s">
        <v>90</v>
      </c>
      <c r="D29" s="26" t="s">
        <v>212</v>
      </c>
      <c r="E29" s="27">
        <v>40461507</v>
      </c>
      <c r="F29" s="28" t="s">
        <v>187</v>
      </c>
      <c r="G29" s="29" t="s">
        <v>213</v>
      </c>
      <c r="H29" s="30" t="s">
        <v>42</v>
      </c>
      <c r="I29" s="26" t="s">
        <v>81</v>
      </c>
      <c r="J29" s="29" t="s">
        <v>82</v>
      </c>
      <c r="K29" s="31">
        <v>45384</v>
      </c>
      <c r="L29" s="32" t="s">
        <v>215</v>
      </c>
      <c r="M29" s="32" t="s">
        <v>216</v>
      </c>
      <c r="N29" s="29">
        <v>996999425</v>
      </c>
      <c r="O29" s="33">
        <v>20</v>
      </c>
      <c r="P29" s="26" t="s">
        <v>22</v>
      </c>
      <c r="Q29" s="26" t="s">
        <v>81</v>
      </c>
      <c r="R29" s="34"/>
      <c r="S29" s="26" t="s">
        <v>212</v>
      </c>
      <c r="T29" s="73">
        <v>1713602934</v>
      </c>
      <c r="U29" s="172" t="s">
        <v>217</v>
      </c>
      <c r="V29" s="173"/>
    </row>
    <row r="30" spans="1:22" s="75" customFormat="1" ht="33" customHeight="1">
      <c r="A30" s="24">
        <v>25</v>
      </c>
      <c r="B30" s="25">
        <v>45370</v>
      </c>
      <c r="C30" s="26" t="s">
        <v>90</v>
      </c>
      <c r="D30" s="26" t="s">
        <v>212</v>
      </c>
      <c r="E30" s="27">
        <v>112520025</v>
      </c>
      <c r="F30" s="28" t="s">
        <v>83</v>
      </c>
      <c r="G30" s="29" t="s">
        <v>214</v>
      </c>
      <c r="H30" s="30" t="s">
        <v>42</v>
      </c>
      <c r="I30" s="26" t="s">
        <v>81</v>
      </c>
      <c r="J30" s="29" t="s">
        <v>82</v>
      </c>
      <c r="K30" s="31">
        <v>45384</v>
      </c>
      <c r="L30" s="32" t="s">
        <v>215</v>
      </c>
      <c r="M30" s="32" t="s">
        <v>216</v>
      </c>
      <c r="N30" s="29">
        <v>996999425</v>
      </c>
      <c r="O30" s="33">
        <v>20</v>
      </c>
      <c r="P30" s="26" t="s">
        <v>22</v>
      </c>
      <c r="Q30" s="26" t="s">
        <v>81</v>
      </c>
      <c r="R30" s="34"/>
      <c r="S30" s="26" t="s">
        <v>212</v>
      </c>
      <c r="T30" s="73">
        <v>1713602934</v>
      </c>
      <c r="U30" s="172" t="s">
        <v>217</v>
      </c>
      <c r="V30" s="173"/>
    </row>
    <row r="31" spans="1:22" s="75" customFormat="1" ht="33" customHeight="1">
      <c r="A31" s="24">
        <v>26</v>
      </c>
      <c r="B31" s="25">
        <v>45275</v>
      </c>
      <c r="C31" s="26" t="s">
        <v>90</v>
      </c>
      <c r="D31" s="26" t="s">
        <v>218</v>
      </c>
      <c r="E31" s="27">
        <v>40584012</v>
      </c>
      <c r="F31" s="28" t="s">
        <v>219</v>
      </c>
      <c r="G31" s="29" t="s">
        <v>220</v>
      </c>
      <c r="H31" s="30" t="s">
        <v>42</v>
      </c>
      <c r="I31" s="26" t="s">
        <v>81</v>
      </c>
      <c r="J31" s="29" t="s">
        <v>96</v>
      </c>
      <c r="K31" s="31">
        <v>45384</v>
      </c>
      <c r="L31" s="32" t="s">
        <v>221</v>
      </c>
      <c r="M31" s="32" t="s">
        <v>96</v>
      </c>
      <c r="N31" s="29">
        <v>983778043</v>
      </c>
      <c r="O31" s="33">
        <v>20</v>
      </c>
      <c r="P31" s="26" t="s">
        <v>22</v>
      </c>
      <c r="Q31" s="26" t="s">
        <v>81</v>
      </c>
      <c r="R31" s="34"/>
      <c r="S31" s="26" t="s">
        <v>218</v>
      </c>
      <c r="T31" s="73">
        <v>300028750</v>
      </c>
      <c r="U31" s="172" t="s">
        <v>222</v>
      </c>
      <c r="V31" s="173"/>
    </row>
    <row r="32" spans="1:22" s="75" customFormat="1" ht="33" customHeight="1">
      <c r="A32" s="24">
        <v>27</v>
      </c>
      <c r="B32" s="25">
        <v>45275</v>
      </c>
      <c r="C32" s="26" t="s">
        <v>90</v>
      </c>
      <c r="D32" s="26" t="s">
        <v>218</v>
      </c>
      <c r="E32" s="27">
        <v>41560041</v>
      </c>
      <c r="F32" s="28" t="s">
        <v>86</v>
      </c>
      <c r="G32" s="29" t="s">
        <v>223</v>
      </c>
      <c r="H32" s="30" t="s">
        <v>42</v>
      </c>
      <c r="I32" s="26" t="s">
        <v>81</v>
      </c>
      <c r="J32" s="29" t="s">
        <v>96</v>
      </c>
      <c r="K32" s="31">
        <v>45384</v>
      </c>
      <c r="L32" s="32" t="s">
        <v>221</v>
      </c>
      <c r="M32" s="32" t="s">
        <v>96</v>
      </c>
      <c r="N32" s="29">
        <v>983778043</v>
      </c>
      <c r="O32" s="33">
        <v>20</v>
      </c>
      <c r="P32" s="26" t="s">
        <v>22</v>
      </c>
      <c r="Q32" s="26" t="s">
        <v>81</v>
      </c>
      <c r="R32" s="34"/>
      <c r="S32" s="26" t="s">
        <v>218</v>
      </c>
      <c r="T32" s="73">
        <v>300028750</v>
      </c>
      <c r="U32" s="172" t="s">
        <v>222</v>
      </c>
      <c r="V32" s="173"/>
    </row>
    <row r="33" spans="1:22" s="75" customFormat="1" ht="33" customHeight="1">
      <c r="A33" s="24">
        <v>28</v>
      </c>
      <c r="B33" s="25">
        <v>45383</v>
      </c>
      <c r="C33" s="26" t="s">
        <v>85</v>
      </c>
      <c r="D33" s="26" t="s">
        <v>224</v>
      </c>
      <c r="E33" s="27">
        <v>111020071</v>
      </c>
      <c r="F33" s="28" t="s">
        <v>225</v>
      </c>
      <c r="G33" s="29" t="s">
        <v>227</v>
      </c>
      <c r="H33" s="30">
        <v>411178</v>
      </c>
      <c r="I33" s="26" t="s">
        <v>81</v>
      </c>
      <c r="J33" s="29" t="s">
        <v>82</v>
      </c>
      <c r="K33" s="31">
        <v>45384</v>
      </c>
      <c r="L33" s="32" t="s">
        <v>230</v>
      </c>
      <c r="M33" s="32" t="s">
        <v>231</v>
      </c>
      <c r="N33" s="29">
        <v>999490199</v>
      </c>
      <c r="O33" s="33">
        <v>15</v>
      </c>
      <c r="P33" s="26" t="s">
        <v>22</v>
      </c>
      <c r="Q33" s="26" t="s">
        <v>81</v>
      </c>
      <c r="R33" s="34"/>
      <c r="S33" s="35" t="s">
        <v>224</v>
      </c>
      <c r="T33" s="73">
        <v>106043268</v>
      </c>
      <c r="U33" s="172" t="s">
        <v>232</v>
      </c>
      <c r="V33" s="173"/>
    </row>
    <row r="34" spans="1:22" s="75" customFormat="1" ht="33" customHeight="1">
      <c r="A34" s="24">
        <v>29</v>
      </c>
      <c r="B34" s="25">
        <v>45383</v>
      </c>
      <c r="C34" s="26" t="s">
        <v>85</v>
      </c>
      <c r="D34" s="26" t="s">
        <v>224</v>
      </c>
      <c r="E34" s="27">
        <v>112520025</v>
      </c>
      <c r="F34" s="28" t="s">
        <v>83</v>
      </c>
      <c r="G34" s="29" t="s">
        <v>228</v>
      </c>
      <c r="H34" s="30">
        <v>412653</v>
      </c>
      <c r="I34" s="26" t="s">
        <v>81</v>
      </c>
      <c r="J34" s="29" t="s">
        <v>82</v>
      </c>
      <c r="K34" s="31">
        <v>45384</v>
      </c>
      <c r="L34" s="32" t="s">
        <v>230</v>
      </c>
      <c r="M34" s="32" t="s">
        <v>231</v>
      </c>
      <c r="N34" s="29">
        <v>999490199</v>
      </c>
      <c r="O34" s="33">
        <v>15</v>
      </c>
      <c r="P34" s="26" t="s">
        <v>22</v>
      </c>
      <c r="Q34" s="26" t="s">
        <v>81</v>
      </c>
      <c r="R34" s="34"/>
      <c r="S34" s="35" t="s">
        <v>224</v>
      </c>
      <c r="T34" s="73">
        <v>106043268</v>
      </c>
      <c r="U34" s="172" t="s">
        <v>232</v>
      </c>
      <c r="V34" s="173"/>
    </row>
    <row r="35" spans="1:22" s="75" customFormat="1" ht="33" customHeight="1">
      <c r="A35" s="24">
        <v>30</v>
      </c>
      <c r="B35" s="25">
        <v>45383</v>
      </c>
      <c r="C35" s="26" t="s">
        <v>85</v>
      </c>
      <c r="D35" s="26" t="s">
        <v>224</v>
      </c>
      <c r="E35" s="27">
        <v>113430018</v>
      </c>
      <c r="F35" s="28" t="s">
        <v>226</v>
      </c>
      <c r="G35" s="29" t="s">
        <v>229</v>
      </c>
      <c r="H35" s="30" t="s">
        <v>42</v>
      </c>
      <c r="I35" s="26" t="s">
        <v>81</v>
      </c>
      <c r="J35" s="29" t="s">
        <v>82</v>
      </c>
      <c r="K35" s="31">
        <v>45384</v>
      </c>
      <c r="L35" s="32" t="s">
        <v>230</v>
      </c>
      <c r="M35" s="32" t="s">
        <v>231</v>
      </c>
      <c r="N35" s="29">
        <v>999490199</v>
      </c>
      <c r="O35" s="33">
        <v>15</v>
      </c>
      <c r="P35" s="26" t="s">
        <v>22</v>
      </c>
      <c r="Q35" s="26" t="s">
        <v>81</v>
      </c>
      <c r="R35" s="34"/>
      <c r="S35" s="35" t="s">
        <v>224</v>
      </c>
      <c r="T35" s="73">
        <v>106043268</v>
      </c>
      <c r="U35" s="172" t="s">
        <v>232</v>
      </c>
      <c r="V35" s="173"/>
    </row>
    <row r="36" spans="1:22" s="75" customFormat="1" ht="33" customHeight="1">
      <c r="A36" s="24">
        <v>31</v>
      </c>
      <c r="B36" s="25">
        <v>45286</v>
      </c>
      <c r="C36" s="26" t="s">
        <v>233</v>
      </c>
      <c r="D36" s="26" t="s">
        <v>234</v>
      </c>
      <c r="E36" s="27">
        <v>111000051</v>
      </c>
      <c r="F36" s="28" t="s">
        <v>92</v>
      </c>
      <c r="G36" s="29" t="s">
        <v>236</v>
      </c>
      <c r="H36" s="30" t="s">
        <v>42</v>
      </c>
      <c r="I36" s="26" t="s">
        <v>81</v>
      </c>
      <c r="J36" s="29" t="s">
        <v>96</v>
      </c>
      <c r="K36" s="31">
        <v>45384</v>
      </c>
      <c r="L36" s="32" t="s">
        <v>239</v>
      </c>
      <c r="M36" s="32" t="s">
        <v>238</v>
      </c>
      <c r="N36" s="29">
        <v>962728369</v>
      </c>
      <c r="O36" s="33">
        <v>20</v>
      </c>
      <c r="P36" s="26" t="s">
        <v>22</v>
      </c>
      <c r="Q36" s="26" t="s">
        <v>81</v>
      </c>
      <c r="R36" s="34"/>
      <c r="S36" s="35" t="s">
        <v>234</v>
      </c>
      <c r="T36" s="73">
        <v>301527172</v>
      </c>
      <c r="U36" s="172" t="s">
        <v>240</v>
      </c>
      <c r="V36" s="173"/>
    </row>
    <row r="37" spans="1:22" s="75" customFormat="1" ht="33" customHeight="1">
      <c r="A37" s="24">
        <v>32</v>
      </c>
      <c r="B37" s="25">
        <v>45286</v>
      </c>
      <c r="C37" s="26" t="s">
        <v>233</v>
      </c>
      <c r="D37" s="26" t="s">
        <v>234</v>
      </c>
      <c r="E37" s="27">
        <v>112580058</v>
      </c>
      <c r="F37" s="28" t="s">
        <v>235</v>
      </c>
      <c r="G37" s="29" t="s">
        <v>237</v>
      </c>
      <c r="H37" s="30" t="s">
        <v>42</v>
      </c>
      <c r="I37" s="26" t="s">
        <v>81</v>
      </c>
      <c r="J37" s="29" t="s">
        <v>96</v>
      </c>
      <c r="K37" s="31">
        <v>45384</v>
      </c>
      <c r="L37" s="32" t="s">
        <v>239</v>
      </c>
      <c r="M37" s="32" t="s">
        <v>238</v>
      </c>
      <c r="N37" s="29">
        <v>962728369</v>
      </c>
      <c r="O37" s="33">
        <v>20</v>
      </c>
      <c r="P37" s="26" t="s">
        <v>22</v>
      </c>
      <c r="Q37" s="26" t="s">
        <v>81</v>
      </c>
      <c r="R37" s="34"/>
      <c r="S37" s="35" t="s">
        <v>234</v>
      </c>
      <c r="T37" s="73">
        <v>301527172</v>
      </c>
      <c r="U37" s="172" t="s">
        <v>240</v>
      </c>
      <c r="V37" s="173"/>
    </row>
    <row r="38" spans="1:22" s="75" customFormat="1" ht="33" customHeight="1">
      <c r="A38" s="24">
        <v>33</v>
      </c>
      <c r="B38" s="25">
        <v>45255</v>
      </c>
      <c r="C38" s="26" t="s">
        <v>90</v>
      </c>
      <c r="D38" s="26" t="s">
        <v>241</v>
      </c>
      <c r="E38" s="27">
        <v>113430016</v>
      </c>
      <c r="F38" s="28" t="s">
        <v>148</v>
      </c>
      <c r="G38" s="29" t="s">
        <v>242</v>
      </c>
      <c r="H38" s="30" t="s">
        <v>42</v>
      </c>
      <c r="I38" s="26" t="s">
        <v>81</v>
      </c>
      <c r="J38" s="29" t="s">
        <v>96</v>
      </c>
      <c r="K38" s="31">
        <v>45384</v>
      </c>
      <c r="L38" s="32" t="s">
        <v>244</v>
      </c>
      <c r="M38" s="32" t="s">
        <v>96</v>
      </c>
      <c r="N38" s="29">
        <v>995980684</v>
      </c>
      <c r="O38" s="33">
        <v>20</v>
      </c>
      <c r="P38" s="26" t="s">
        <v>22</v>
      </c>
      <c r="Q38" s="26" t="s">
        <v>81</v>
      </c>
      <c r="R38" s="34"/>
      <c r="S38" s="35" t="s">
        <v>241</v>
      </c>
      <c r="T38" s="73">
        <v>301410726</v>
      </c>
      <c r="U38" s="172" t="s">
        <v>245</v>
      </c>
      <c r="V38" s="173"/>
    </row>
    <row r="39" spans="1:22" s="75" customFormat="1" ht="33" customHeight="1">
      <c r="A39" s="24">
        <v>34</v>
      </c>
      <c r="B39" s="25">
        <v>45255</v>
      </c>
      <c r="C39" s="26" t="s">
        <v>90</v>
      </c>
      <c r="D39" s="26" t="s">
        <v>241</v>
      </c>
      <c r="E39" s="27">
        <v>112570126</v>
      </c>
      <c r="F39" s="28" t="s">
        <v>97</v>
      </c>
      <c r="G39" s="29" t="s">
        <v>243</v>
      </c>
      <c r="H39" s="30" t="s">
        <v>42</v>
      </c>
      <c r="I39" s="26" t="s">
        <v>81</v>
      </c>
      <c r="J39" s="29" t="s">
        <v>96</v>
      </c>
      <c r="K39" s="31">
        <v>45384</v>
      </c>
      <c r="L39" s="32" t="s">
        <v>244</v>
      </c>
      <c r="M39" s="32" t="s">
        <v>96</v>
      </c>
      <c r="N39" s="29">
        <v>995980684</v>
      </c>
      <c r="O39" s="33">
        <v>20</v>
      </c>
      <c r="P39" s="26" t="s">
        <v>22</v>
      </c>
      <c r="Q39" s="26" t="s">
        <v>81</v>
      </c>
      <c r="R39" s="34"/>
      <c r="S39" s="35" t="s">
        <v>241</v>
      </c>
      <c r="T39" s="73">
        <v>301410726</v>
      </c>
      <c r="U39" s="172" t="s">
        <v>245</v>
      </c>
      <c r="V39" s="173"/>
    </row>
    <row r="40" spans="1:22" s="75" customFormat="1" ht="33" customHeight="1">
      <c r="A40" s="24">
        <v>35</v>
      </c>
      <c r="B40" s="25">
        <v>45376</v>
      </c>
      <c r="C40" s="26" t="s">
        <v>137</v>
      </c>
      <c r="D40" s="26" t="s">
        <v>246</v>
      </c>
      <c r="E40" s="27">
        <v>40466241</v>
      </c>
      <c r="F40" s="28" t="s">
        <v>88</v>
      </c>
      <c r="G40" s="29" t="s">
        <v>247</v>
      </c>
      <c r="H40" s="30" t="s">
        <v>42</v>
      </c>
      <c r="I40" s="26" t="s">
        <v>81</v>
      </c>
      <c r="J40" s="29" t="s">
        <v>82</v>
      </c>
      <c r="K40" s="31">
        <v>45385</v>
      </c>
      <c r="L40" s="32" t="s">
        <v>248</v>
      </c>
      <c r="M40" s="32" t="s">
        <v>249</v>
      </c>
      <c r="N40" s="29">
        <v>984334901</v>
      </c>
      <c r="O40" s="33">
        <v>20</v>
      </c>
      <c r="P40" s="26" t="s">
        <v>22</v>
      </c>
      <c r="Q40" s="26" t="s">
        <v>81</v>
      </c>
      <c r="R40" s="34"/>
      <c r="S40" s="26" t="s">
        <v>246</v>
      </c>
      <c r="T40" s="73">
        <v>1600560856</v>
      </c>
      <c r="U40" s="172"/>
      <c r="V40" s="173"/>
    </row>
    <row r="41" spans="1:22" s="75" customFormat="1" ht="33" customHeight="1">
      <c r="A41" s="24">
        <v>36</v>
      </c>
      <c r="B41" s="25">
        <v>45376</v>
      </c>
      <c r="C41" s="26" t="s">
        <v>137</v>
      </c>
      <c r="D41" s="26" t="s">
        <v>246</v>
      </c>
      <c r="E41" s="27">
        <v>40466241</v>
      </c>
      <c r="F41" s="28" t="s">
        <v>88</v>
      </c>
      <c r="G41" s="29" t="s">
        <v>250</v>
      </c>
      <c r="H41" s="30" t="s">
        <v>42</v>
      </c>
      <c r="I41" s="26" t="s">
        <v>81</v>
      </c>
      <c r="J41" s="29" t="s">
        <v>82</v>
      </c>
      <c r="K41" s="31">
        <v>45385</v>
      </c>
      <c r="L41" s="32" t="s">
        <v>248</v>
      </c>
      <c r="M41" s="32" t="s">
        <v>249</v>
      </c>
      <c r="N41" s="29">
        <v>984334901</v>
      </c>
      <c r="O41" s="33">
        <v>20</v>
      </c>
      <c r="P41" s="26" t="s">
        <v>22</v>
      </c>
      <c r="Q41" s="26" t="s">
        <v>81</v>
      </c>
      <c r="R41" s="34"/>
      <c r="S41" s="26" t="s">
        <v>246</v>
      </c>
      <c r="T41" s="73">
        <v>1600560856</v>
      </c>
      <c r="U41" s="172"/>
      <c r="V41" s="173"/>
    </row>
    <row r="42" spans="1:22" s="75" customFormat="1" ht="33" customHeight="1">
      <c r="A42" s="24">
        <v>37</v>
      </c>
      <c r="B42" s="25">
        <v>45346</v>
      </c>
      <c r="C42" s="26" t="s">
        <v>90</v>
      </c>
      <c r="D42" s="26" t="s">
        <v>251</v>
      </c>
      <c r="E42" s="27">
        <v>40211632</v>
      </c>
      <c r="F42" s="28" t="s">
        <v>134</v>
      </c>
      <c r="G42" s="29" t="s">
        <v>252</v>
      </c>
      <c r="H42" s="30" t="s">
        <v>42</v>
      </c>
      <c r="I42" s="26" t="s">
        <v>81</v>
      </c>
      <c r="J42" s="29" t="s">
        <v>82</v>
      </c>
      <c r="K42" s="31">
        <v>45385</v>
      </c>
      <c r="L42" s="32" t="s">
        <v>254</v>
      </c>
      <c r="M42" s="32" t="s">
        <v>255</v>
      </c>
      <c r="N42" s="29">
        <v>992526510</v>
      </c>
      <c r="O42" s="33">
        <v>20</v>
      </c>
      <c r="P42" s="26" t="s">
        <v>22</v>
      </c>
      <c r="Q42" s="26" t="s">
        <v>81</v>
      </c>
      <c r="R42" s="34"/>
      <c r="S42" s="35" t="s">
        <v>251</v>
      </c>
      <c r="T42" s="73">
        <v>103773586</v>
      </c>
      <c r="U42" s="172" t="s">
        <v>256</v>
      </c>
      <c r="V42" s="173"/>
    </row>
    <row r="43" spans="1:22" s="75" customFormat="1" ht="33" customHeight="1">
      <c r="A43" s="24">
        <v>38</v>
      </c>
      <c r="B43" s="25">
        <v>45346</v>
      </c>
      <c r="C43" s="26" t="s">
        <v>90</v>
      </c>
      <c r="D43" s="26" t="s">
        <v>251</v>
      </c>
      <c r="E43" s="27">
        <v>40466241</v>
      </c>
      <c r="F43" s="28" t="s">
        <v>94</v>
      </c>
      <c r="G43" s="29" t="s">
        <v>253</v>
      </c>
      <c r="H43" s="30" t="s">
        <v>42</v>
      </c>
      <c r="I43" s="26" t="s">
        <v>81</v>
      </c>
      <c r="J43" s="29" t="s">
        <v>82</v>
      </c>
      <c r="K43" s="31">
        <v>45385</v>
      </c>
      <c r="L43" s="32" t="s">
        <v>254</v>
      </c>
      <c r="M43" s="32" t="s">
        <v>255</v>
      </c>
      <c r="N43" s="29">
        <v>992526510</v>
      </c>
      <c r="O43" s="33">
        <v>20</v>
      </c>
      <c r="P43" s="26" t="s">
        <v>22</v>
      </c>
      <c r="Q43" s="26" t="s">
        <v>81</v>
      </c>
      <c r="R43" s="34"/>
      <c r="S43" s="35" t="s">
        <v>251</v>
      </c>
      <c r="T43" s="73">
        <v>103773586</v>
      </c>
      <c r="U43" s="172" t="s">
        <v>256</v>
      </c>
      <c r="V43" s="173"/>
    </row>
    <row r="44" spans="1:22" s="75" customFormat="1" ht="33" customHeight="1">
      <c r="A44" s="24">
        <v>39</v>
      </c>
      <c r="B44" s="25">
        <v>45316</v>
      </c>
      <c r="C44" s="26" t="s">
        <v>137</v>
      </c>
      <c r="D44" s="26" t="s">
        <v>257</v>
      </c>
      <c r="E44" s="27">
        <v>111000051</v>
      </c>
      <c r="F44" s="28" t="s">
        <v>92</v>
      </c>
      <c r="G44" s="29" t="s">
        <v>258</v>
      </c>
      <c r="H44" s="30" t="s">
        <v>42</v>
      </c>
      <c r="I44" s="26" t="s">
        <v>81</v>
      </c>
      <c r="J44" s="29" t="s">
        <v>82</v>
      </c>
      <c r="K44" s="31">
        <v>45385</v>
      </c>
      <c r="L44" s="32" t="s">
        <v>260</v>
      </c>
      <c r="M44" s="32" t="s">
        <v>261</v>
      </c>
      <c r="N44" s="29">
        <v>981879623</v>
      </c>
      <c r="O44" s="33">
        <v>20</v>
      </c>
      <c r="P44" s="26" t="s">
        <v>22</v>
      </c>
      <c r="Q44" s="26" t="s">
        <v>81</v>
      </c>
      <c r="R44" s="34"/>
      <c r="S44" s="35" t="s">
        <v>257</v>
      </c>
      <c r="T44" s="73">
        <v>103143137</v>
      </c>
      <c r="U44" s="172"/>
      <c r="V44" s="173"/>
    </row>
    <row r="45" spans="1:22" s="75" customFormat="1" ht="33" customHeight="1">
      <c r="A45" s="24">
        <v>40</v>
      </c>
      <c r="B45" s="25">
        <v>45316</v>
      </c>
      <c r="C45" s="26" t="s">
        <v>137</v>
      </c>
      <c r="D45" s="26" t="s">
        <v>257</v>
      </c>
      <c r="E45" s="27">
        <v>112570128</v>
      </c>
      <c r="F45" s="28" t="s">
        <v>93</v>
      </c>
      <c r="G45" s="29" t="s">
        <v>259</v>
      </c>
      <c r="H45" s="30" t="s">
        <v>42</v>
      </c>
      <c r="I45" s="26" t="s">
        <v>81</v>
      </c>
      <c r="J45" s="29" t="s">
        <v>82</v>
      </c>
      <c r="K45" s="31">
        <v>45385</v>
      </c>
      <c r="L45" s="32" t="s">
        <v>260</v>
      </c>
      <c r="M45" s="32" t="s">
        <v>261</v>
      </c>
      <c r="N45" s="29">
        <v>981879623</v>
      </c>
      <c r="O45" s="33">
        <v>20</v>
      </c>
      <c r="P45" s="26" t="s">
        <v>22</v>
      </c>
      <c r="Q45" s="26" t="s">
        <v>81</v>
      </c>
      <c r="R45" s="34"/>
      <c r="S45" s="35" t="s">
        <v>257</v>
      </c>
      <c r="T45" s="73">
        <v>103143137</v>
      </c>
      <c r="U45" s="172"/>
      <c r="V45" s="173"/>
    </row>
    <row r="46" spans="1:22" s="75" customFormat="1" ht="33" customHeight="1">
      <c r="A46" s="24">
        <v>41</v>
      </c>
      <c r="B46" s="25">
        <v>45350</v>
      </c>
      <c r="C46" s="26" t="s">
        <v>137</v>
      </c>
      <c r="D46" s="26" t="s">
        <v>262</v>
      </c>
      <c r="E46" s="27">
        <v>40466241</v>
      </c>
      <c r="F46" s="28" t="s">
        <v>88</v>
      </c>
      <c r="G46" s="29" t="s">
        <v>264</v>
      </c>
      <c r="H46" s="30" t="s">
        <v>42</v>
      </c>
      <c r="I46" s="26" t="s">
        <v>81</v>
      </c>
      <c r="J46" s="29" t="s">
        <v>84</v>
      </c>
      <c r="K46" s="31">
        <v>45387</v>
      </c>
      <c r="L46" s="32" t="s">
        <v>265</v>
      </c>
      <c r="M46" s="32" t="s">
        <v>84</v>
      </c>
      <c r="N46" s="29">
        <v>939971919</v>
      </c>
      <c r="O46" s="33">
        <v>20</v>
      </c>
      <c r="P46" s="26" t="s">
        <v>22</v>
      </c>
      <c r="Q46" s="26" t="s">
        <v>81</v>
      </c>
      <c r="R46" s="34"/>
      <c r="S46" s="35" t="s">
        <v>262</v>
      </c>
      <c r="T46" s="73">
        <v>101276368</v>
      </c>
      <c r="U46" s="172" t="s">
        <v>266</v>
      </c>
      <c r="V46" s="173"/>
    </row>
    <row r="47" spans="1:22" s="75" customFormat="1" ht="33" customHeight="1">
      <c r="A47" s="24">
        <v>42</v>
      </c>
      <c r="B47" s="25">
        <v>45350</v>
      </c>
      <c r="C47" s="26" t="s">
        <v>137</v>
      </c>
      <c r="D47" s="26" t="s">
        <v>262</v>
      </c>
      <c r="E47" s="27">
        <v>112610067</v>
      </c>
      <c r="F47" s="28" t="s">
        <v>100</v>
      </c>
      <c r="G47" s="29" t="s">
        <v>263</v>
      </c>
      <c r="H47" s="30" t="s">
        <v>42</v>
      </c>
      <c r="I47" s="26" t="s">
        <v>81</v>
      </c>
      <c r="J47" s="29" t="s">
        <v>82</v>
      </c>
      <c r="K47" s="31">
        <v>45387</v>
      </c>
      <c r="L47" s="32" t="s">
        <v>265</v>
      </c>
      <c r="M47" s="32" t="s">
        <v>84</v>
      </c>
      <c r="N47" s="29">
        <v>939971919</v>
      </c>
      <c r="O47" s="33">
        <v>20</v>
      </c>
      <c r="P47" s="26" t="s">
        <v>22</v>
      </c>
      <c r="Q47" s="26" t="s">
        <v>81</v>
      </c>
      <c r="R47" s="34"/>
      <c r="S47" s="35" t="s">
        <v>262</v>
      </c>
      <c r="T47" s="73">
        <v>101276368</v>
      </c>
      <c r="U47" s="172" t="s">
        <v>266</v>
      </c>
      <c r="V47" s="173"/>
    </row>
    <row r="48" spans="1:22" s="75" customFormat="1" ht="33" customHeight="1">
      <c r="A48" s="24">
        <v>43</v>
      </c>
      <c r="B48" s="25">
        <v>45272</v>
      </c>
      <c r="C48" s="26" t="s">
        <v>80</v>
      </c>
      <c r="D48" s="26" t="s">
        <v>267</v>
      </c>
      <c r="E48" s="27">
        <v>112580027</v>
      </c>
      <c r="F48" s="28" t="s">
        <v>125</v>
      </c>
      <c r="G48" s="29" t="s">
        <v>268</v>
      </c>
      <c r="H48" s="30" t="s">
        <v>42</v>
      </c>
      <c r="I48" s="26" t="s">
        <v>81</v>
      </c>
      <c r="J48" s="29" t="s">
        <v>82</v>
      </c>
      <c r="K48" s="31">
        <v>45391</v>
      </c>
      <c r="L48" s="32" t="s">
        <v>269</v>
      </c>
      <c r="M48" s="32" t="s">
        <v>270</v>
      </c>
      <c r="N48" s="29">
        <v>992313155</v>
      </c>
      <c r="O48" s="33">
        <v>20</v>
      </c>
      <c r="P48" s="26" t="s">
        <v>22</v>
      </c>
      <c r="Q48" s="26" t="s">
        <v>81</v>
      </c>
      <c r="R48" s="34"/>
      <c r="S48" s="35" t="s">
        <v>267</v>
      </c>
      <c r="T48" s="73">
        <v>101702801</v>
      </c>
      <c r="U48" s="172"/>
      <c r="V48" s="173"/>
    </row>
    <row r="49" spans="1:22" s="75" customFormat="1" ht="33" customHeight="1">
      <c r="A49" s="24">
        <v>44</v>
      </c>
      <c r="B49" s="25">
        <v>45272</v>
      </c>
      <c r="C49" s="26" t="s">
        <v>80</v>
      </c>
      <c r="D49" s="26" t="s">
        <v>267</v>
      </c>
      <c r="E49" s="27">
        <v>40467320</v>
      </c>
      <c r="F49" s="28" t="s">
        <v>133</v>
      </c>
      <c r="G49" s="29" t="s">
        <v>271</v>
      </c>
      <c r="H49" s="30" t="s">
        <v>42</v>
      </c>
      <c r="I49" s="26" t="s">
        <v>81</v>
      </c>
      <c r="J49" s="29" t="s">
        <v>82</v>
      </c>
      <c r="K49" s="31">
        <v>45391</v>
      </c>
      <c r="L49" s="32" t="s">
        <v>269</v>
      </c>
      <c r="M49" s="32" t="s">
        <v>270</v>
      </c>
      <c r="N49" s="29">
        <v>992313155</v>
      </c>
      <c r="O49" s="33">
        <v>20</v>
      </c>
      <c r="P49" s="26" t="s">
        <v>22</v>
      </c>
      <c r="Q49" s="26" t="s">
        <v>81</v>
      </c>
      <c r="R49" s="34"/>
      <c r="S49" s="35" t="s">
        <v>267</v>
      </c>
      <c r="T49" s="73">
        <v>101702801</v>
      </c>
      <c r="U49" s="172"/>
      <c r="V49" s="173"/>
    </row>
    <row r="50" spans="1:22" s="75" customFormat="1" ht="33" customHeight="1">
      <c r="A50" s="24">
        <v>45</v>
      </c>
      <c r="B50" s="25">
        <v>45254</v>
      </c>
      <c r="C50" s="26" t="s">
        <v>319</v>
      </c>
      <c r="D50" s="26" t="s">
        <v>320</v>
      </c>
      <c r="E50" s="27">
        <v>41560041</v>
      </c>
      <c r="F50" s="28" t="s">
        <v>321</v>
      </c>
      <c r="G50" s="29" t="s">
        <v>322</v>
      </c>
      <c r="H50" s="30" t="s">
        <v>42</v>
      </c>
      <c r="I50" s="26" t="s">
        <v>81</v>
      </c>
      <c r="J50" s="29" t="s">
        <v>82</v>
      </c>
      <c r="K50" s="31">
        <v>45398</v>
      </c>
      <c r="L50" s="32" t="s">
        <v>323</v>
      </c>
      <c r="M50" s="32" t="s">
        <v>309</v>
      </c>
      <c r="N50" s="29">
        <v>984553666</v>
      </c>
      <c r="O50" s="33">
        <v>20</v>
      </c>
      <c r="P50" s="26" t="s">
        <v>22</v>
      </c>
      <c r="Q50" s="26" t="s">
        <v>81</v>
      </c>
      <c r="R50" s="34"/>
      <c r="S50" s="26" t="s">
        <v>320</v>
      </c>
      <c r="T50" s="73">
        <v>195130523</v>
      </c>
      <c r="U50" s="172" t="s">
        <v>324</v>
      </c>
      <c r="V50" s="173"/>
    </row>
    <row r="51" spans="1:22" s="75" customFormat="1" ht="33" customHeight="1">
      <c r="A51" s="24">
        <v>48</v>
      </c>
      <c r="B51" s="25">
        <v>45386</v>
      </c>
      <c r="C51" s="26" t="s">
        <v>424</v>
      </c>
      <c r="D51" s="26" t="s">
        <v>425</v>
      </c>
      <c r="E51" s="27">
        <v>40584012</v>
      </c>
      <c r="F51" s="28" t="s">
        <v>219</v>
      </c>
      <c r="G51" s="29" t="s">
        <v>329</v>
      </c>
      <c r="H51" s="30" t="s">
        <v>42</v>
      </c>
      <c r="I51" s="26" t="s">
        <v>81</v>
      </c>
      <c r="J51" s="29" t="s">
        <v>82</v>
      </c>
      <c r="K51" s="31">
        <v>45398</v>
      </c>
      <c r="L51" s="32" t="s">
        <v>323</v>
      </c>
      <c r="M51" s="32" t="s">
        <v>309</v>
      </c>
      <c r="N51" s="29">
        <v>984553666</v>
      </c>
      <c r="O51" s="33">
        <v>20</v>
      </c>
      <c r="P51" s="26" t="s">
        <v>22</v>
      </c>
      <c r="Q51" s="26" t="s">
        <v>81</v>
      </c>
      <c r="R51" s="34"/>
      <c r="S51" s="26" t="s">
        <v>320</v>
      </c>
      <c r="T51" s="73">
        <v>195130523</v>
      </c>
      <c r="U51" s="172" t="s">
        <v>324</v>
      </c>
      <c r="V51" s="173"/>
    </row>
    <row r="52" spans="1:22" s="75" customFormat="1" ht="33" customHeight="1">
      <c r="A52" s="24">
        <v>49</v>
      </c>
      <c r="B52" s="25">
        <v>45367</v>
      </c>
      <c r="C52" s="26" t="s">
        <v>91</v>
      </c>
      <c r="D52" s="26" t="s">
        <v>333</v>
      </c>
      <c r="E52" s="27">
        <v>112640068</v>
      </c>
      <c r="F52" s="28" t="s">
        <v>172</v>
      </c>
      <c r="G52" s="29" t="s">
        <v>334</v>
      </c>
      <c r="H52" s="30" t="s">
        <v>42</v>
      </c>
      <c r="I52" s="26" t="s">
        <v>81</v>
      </c>
      <c r="J52" s="29" t="s">
        <v>82</v>
      </c>
      <c r="K52" s="31">
        <v>45398</v>
      </c>
      <c r="L52" s="32" t="s">
        <v>335</v>
      </c>
      <c r="M52" s="32" t="s">
        <v>336</v>
      </c>
      <c r="N52" s="29">
        <v>999765092</v>
      </c>
      <c r="O52" s="33">
        <v>20</v>
      </c>
      <c r="P52" s="26" t="s">
        <v>22</v>
      </c>
      <c r="Q52" s="26" t="s">
        <v>81</v>
      </c>
      <c r="R52" s="34"/>
      <c r="S52" s="26" t="s">
        <v>333</v>
      </c>
      <c r="T52" s="73">
        <v>100697994</v>
      </c>
      <c r="U52" s="172"/>
      <c r="V52" s="173"/>
    </row>
    <row r="53" spans="1:22" s="75" customFormat="1" ht="33" customHeight="1">
      <c r="A53" s="24">
        <v>50</v>
      </c>
      <c r="B53" s="25">
        <v>45367</v>
      </c>
      <c r="C53" s="26" t="s">
        <v>91</v>
      </c>
      <c r="D53" s="26" t="s">
        <v>337</v>
      </c>
      <c r="E53" s="27">
        <v>40467305</v>
      </c>
      <c r="F53" s="28" t="s">
        <v>338</v>
      </c>
      <c r="G53" s="29" t="s">
        <v>339</v>
      </c>
      <c r="H53" s="30" t="s">
        <v>42</v>
      </c>
      <c r="I53" s="26" t="s">
        <v>81</v>
      </c>
      <c r="J53" s="29" t="s">
        <v>82</v>
      </c>
      <c r="K53" s="31">
        <v>45398</v>
      </c>
      <c r="L53" s="32" t="s">
        <v>335</v>
      </c>
      <c r="M53" s="32" t="s">
        <v>336</v>
      </c>
      <c r="N53" s="29">
        <v>999765092</v>
      </c>
      <c r="O53" s="33">
        <v>20</v>
      </c>
      <c r="P53" s="26" t="s">
        <v>22</v>
      </c>
      <c r="Q53" s="26" t="s">
        <v>81</v>
      </c>
      <c r="R53" s="34"/>
      <c r="S53" s="26" t="s">
        <v>333</v>
      </c>
      <c r="T53" s="73">
        <v>100697994</v>
      </c>
      <c r="U53" s="172"/>
    </row>
    <row r="54" spans="1:22" s="75" customFormat="1" ht="33" customHeight="1">
      <c r="A54" s="24">
        <v>51</v>
      </c>
      <c r="B54" s="25">
        <v>45378</v>
      </c>
      <c r="C54" s="26" t="s">
        <v>426</v>
      </c>
      <c r="D54" s="26" t="s">
        <v>427</v>
      </c>
      <c r="E54" s="27">
        <v>4046677</v>
      </c>
      <c r="F54" s="28" t="s">
        <v>88</v>
      </c>
      <c r="G54" s="29" t="s">
        <v>428</v>
      </c>
      <c r="H54" s="30" t="s">
        <v>42</v>
      </c>
      <c r="I54" s="26" t="s">
        <v>81</v>
      </c>
      <c r="J54" s="29" t="s">
        <v>82</v>
      </c>
      <c r="K54" s="31">
        <v>45399</v>
      </c>
      <c r="L54" s="32" t="s">
        <v>429</v>
      </c>
      <c r="M54" s="32" t="s">
        <v>430</v>
      </c>
      <c r="N54" s="29">
        <v>984505545</v>
      </c>
      <c r="O54" s="33">
        <v>20</v>
      </c>
      <c r="P54" s="26" t="s">
        <v>22</v>
      </c>
      <c r="Q54" s="26" t="s">
        <v>81</v>
      </c>
      <c r="R54" s="34"/>
      <c r="S54" s="26" t="s">
        <v>427</v>
      </c>
      <c r="T54" s="73">
        <v>102961778</v>
      </c>
      <c r="U54" s="172" t="s">
        <v>431</v>
      </c>
    </row>
    <row r="55" spans="1:22" s="75" customFormat="1" ht="33" customHeight="1">
      <c r="A55" s="24">
        <v>52</v>
      </c>
      <c r="B55" s="25">
        <v>45378</v>
      </c>
      <c r="C55" s="26" t="s">
        <v>426</v>
      </c>
      <c r="D55" s="26" t="s">
        <v>427</v>
      </c>
      <c r="E55" s="27">
        <v>112580058</v>
      </c>
      <c r="F55" s="28" t="s">
        <v>95</v>
      </c>
      <c r="G55" s="29" t="s">
        <v>432</v>
      </c>
      <c r="H55" s="30" t="s">
        <v>42</v>
      </c>
      <c r="I55" s="26" t="s">
        <v>81</v>
      </c>
      <c r="J55" s="29" t="s">
        <v>82</v>
      </c>
      <c r="K55" s="31">
        <v>45399</v>
      </c>
      <c r="L55" s="32" t="s">
        <v>429</v>
      </c>
      <c r="M55" s="32" t="s">
        <v>430</v>
      </c>
      <c r="N55" s="29">
        <v>984505545</v>
      </c>
      <c r="O55" s="33">
        <v>20</v>
      </c>
      <c r="P55" s="26" t="s">
        <v>22</v>
      </c>
      <c r="Q55" s="26" t="s">
        <v>81</v>
      </c>
      <c r="R55" s="34"/>
      <c r="S55" s="26" t="s">
        <v>427</v>
      </c>
      <c r="T55" s="73">
        <v>102961778</v>
      </c>
      <c r="U55" s="172" t="s">
        <v>431</v>
      </c>
    </row>
    <row r="56" spans="1:22" s="75" customFormat="1" ht="33" customHeight="1">
      <c r="A56" s="24">
        <v>53</v>
      </c>
      <c r="B56" s="25">
        <v>45188</v>
      </c>
      <c r="C56" s="26" t="s">
        <v>415</v>
      </c>
      <c r="D56" s="26" t="s">
        <v>416</v>
      </c>
      <c r="E56" s="27">
        <v>112580027</v>
      </c>
      <c r="F56" s="28" t="s">
        <v>616</v>
      </c>
      <c r="G56" s="29" t="s">
        <v>617</v>
      </c>
      <c r="H56" s="30" t="s">
        <v>42</v>
      </c>
      <c r="I56" s="26" t="s">
        <v>81</v>
      </c>
      <c r="J56" s="29" t="s">
        <v>82</v>
      </c>
      <c r="K56" s="31">
        <v>45400</v>
      </c>
      <c r="L56" s="32" t="s">
        <v>618</v>
      </c>
      <c r="M56" s="32" t="s">
        <v>309</v>
      </c>
      <c r="N56" s="29">
        <v>996787371</v>
      </c>
      <c r="O56" s="33">
        <v>20</v>
      </c>
      <c r="P56" s="26" t="s">
        <v>22</v>
      </c>
      <c r="Q56" s="26" t="s">
        <v>81</v>
      </c>
      <c r="R56" s="34"/>
      <c r="S56" s="26" t="s">
        <v>416</v>
      </c>
      <c r="T56" s="73">
        <v>105608988</v>
      </c>
      <c r="U56" s="172" t="s">
        <v>619</v>
      </c>
    </row>
    <row r="57" spans="1:22" s="75" customFormat="1" ht="33" customHeight="1">
      <c r="A57" s="24">
        <v>54</v>
      </c>
      <c r="B57" s="25">
        <v>45188</v>
      </c>
      <c r="C57" s="26" t="s">
        <v>415</v>
      </c>
      <c r="D57" s="26" t="s">
        <v>416</v>
      </c>
      <c r="E57" s="27">
        <v>40466241</v>
      </c>
      <c r="F57" s="28" t="s">
        <v>94</v>
      </c>
      <c r="G57" s="29" t="s">
        <v>620</v>
      </c>
      <c r="H57" s="30" t="s">
        <v>42</v>
      </c>
      <c r="I57" s="26" t="s">
        <v>81</v>
      </c>
      <c r="J57" s="29" t="s">
        <v>82</v>
      </c>
      <c r="K57" s="31">
        <v>45400</v>
      </c>
      <c r="L57" s="32" t="s">
        <v>618</v>
      </c>
      <c r="M57" s="32" t="s">
        <v>309</v>
      </c>
      <c r="N57" s="29">
        <v>996787371</v>
      </c>
      <c r="O57" s="33">
        <v>20</v>
      </c>
      <c r="P57" s="26" t="s">
        <v>22</v>
      </c>
      <c r="Q57" s="26" t="s">
        <v>81</v>
      </c>
      <c r="R57" s="34"/>
      <c r="S57" s="26" t="s">
        <v>416</v>
      </c>
      <c r="T57" s="73">
        <v>105608988</v>
      </c>
      <c r="U57" s="172" t="s">
        <v>619</v>
      </c>
    </row>
    <row r="58" spans="1:22" s="75" customFormat="1" ht="33" customHeight="1">
      <c r="A58" s="24">
        <v>55</v>
      </c>
      <c r="B58" s="25" t="s">
        <v>621</v>
      </c>
      <c r="C58" s="26" t="s">
        <v>90</v>
      </c>
      <c r="D58" s="26" t="s">
        <v>622</v>
      </c>
      <c r="E58" s="27">
        <v>40584012</v>
      </c>
      <c r="F58" s="28" t="s">
        <v>219</v>
      </c>
      <c r="G58" s="29" t="s">
        <v>625</v>
      </c>
      <c r="H58" s="30" t="s">
        <v>42</v>
      </c>
      <c r="I58" s="26" t="s">
        <v>81</v>
      </c>
      <c r="J58" s="29" t="s">
        <v>82</v>
      </c>
      <c r="K58" s="31">
        <v>45400</v>
      </c>
      <c r="L58" s="32" t="s">
        <v>628</v>
      </c>
      <c r="M58" s="32" t="s">
        <v>629</v>
      </c>
      <c r="N58" s="29">
        <v>959056621</v>
      </c>
      <c r="O58" s="33">
        <v>15</v>
      </c>
      <c r="P58" s="26" t="s">
        <v>22</v>
      </c>
      <c r="Q58" s="26" t="s">
        <v>81</v>
      </c>
      <c r="R58" s="34"/>
      <c r="S58" s="26" t="s">
        <v>622</v>
      </c>
      <c r="T58" s="73">
        <v>103032975</v>
      </c>
      <c r="U58" s="172" t="s">
        <v>630</v>
      </c>
    </row>
    <row r="59" spans="1:22" ht="32.25" customHeight="1">
      <c r="A59" s="24">
        <v>56</v>
      </c>
      <c r="B59" s="25" t="s">
        <v>621</v>
      </c>
      <c r="C59" s="26" t="s">
        <v>90</v>
      </c>
      <c r="D59" s="26" t="s">
        <v>622</v>
      </c>
      <c r="E59" s="227">
        <v>41560041</v>
      </c>
      <c r="F59" s="29" t="s">
        <v>623</v>
      </c>
      <c r="G59" s="30" t="s">
        <v>626</v>
      </c>
      <c r="H59" s="30" t="s">
        <v>42</v>
      </c>
      <c r="I59" s="26" t="s">
        <v>81</v>
      </c>
      <c r="J59" s="29" t="s">
        <v>82</v>
      </c>
      <c r="K59" s="31">
        <v>45400</v>
      </c>
      <c r="L59" s="32" t="s">
        <v>628</v>
      </c>
      <c r="M59" s="32" t="s">
        <v>629</v>
      </c>
      <c r="N59" s="29">
        <v>959056621</v>
      </c>
      <c r="O59" s="33">
        <v>15</v>
      </c>
      <c r="P59" s="26" t="s">
        <v>22</v>
      </c>
      <c r="Q59" s="26" t="s">
        <v>81</v>
      </c>
      <c r="R59" s="34"/>
      <c r="S59" s="26" t="s">
        <v>622</v>
      </c>
      <c r="T59" s="73">
        <v>103032975</v>
      </c>
      <c r="U59" s="172" t="s">
        <v>630</v>
      </c>
    </row>
    <row r="60" spans="1:22" ht="35.25" customHeight="1">
      <c r="A60" s="24">
        <v>57</v>
      </c>
      <c r="B60" s="25" t="s">
        <v>621</v>
      </c>
      <c r="C60" s="26" t="s">
        <v>90</v>
      </c>
      <c r="D60" s="26" t="s">
        <v>622</v>
      </c>
      <c r="E60" s="227">
        <v>112950019</v>
      </c>
      <c r="F60" s="29" t="s">
        <v>624</v>
      </c>
      <c r="G60" s="30" t="s">
        <v>627</v>
      </c>
      <c r="H60" s="30" t="s">
        <v>42</v>
      </c>
      <c r="I60" s="26" t="s">
        <v>81</v>
      </c>
      <c r="J60" s="29" t="s">
        <v>82</v>
      </c>
      <c r="K60" s="31">
        <v>45400</v>
      </c>
      <c r="L60" s="32" t="s">
        <v>628</v>
      </c>
      <c r="M60" s="32" t="s">
        <v>629</v>
      </c>
      <c r="N60" s="29">
        <v>959056621</v>
      </c>
      <c r="O60" s="33">
        <v>15</v>
      </c>
      <c r="P60" s="26" t="s">
        <v>22</v>
      </c>
      <c r="Q60" s="26" t="s">
        <v>81</v>
      </c>
      <c r="R60" s="34"/>
      <c r="S60" s="26" t="s">
        <v>622</v>
      </c>
      <c r="T60" s="73">
        <v>103032975</v>
      </c>
      <c r="U60" s="172" t="s">
        <v>630</v>
      </c>
    </row>
    <row r="61" spans="1:22" ht="31.5" customHeight="1">
      <c r="A61" s="24">
        <v>58</v>
      </c>
      <c r="B61" s="25">
        <v>45000</v>
      </c>
      <c r="C61" s="26" t="s">
        <v>91</v>
      </c>
      <c r="D61" s="26" t="s">
        <v>639</v>
      </c>
      <c r="E61" s="227">
        <v>112610069</v>
      </c>
      <c r="F61" s="29" t="s">
        <v>640</v>
      </c>
      <c r="G61" s="30" t="s">
        <v>641</v>
      </c>
      <c r="H61" s="30" t="s">
        <v>42</v>
      </c>
      <c r="I61" s="26" t="s">
        <v>81</v>
      </c>
      <c r="J61" s="29" t="s">
        <v>82</v>
      </c>
      <c r="K61" s="31">
        <v>45402</v>
      </c>
      <c r="L61" s="32" t="s">
        <v>642</v>
      </c>
      <c r="M61" s="32" t="s">
        <v>643</v>
      </c>
      <c r="N61" s="29">
        <v>992951138</v>
      </c>
      <c r="O61" s="33">
        <v>20</v>
      </c>
      <c r="P61" s="26" t="s">
        <v>22</v>
      </c>
      <c r="Q61" s="26" t="s">
        <v>81</v>
      </c>
      <c r="R61" s="34"/>
      <c r="S61" s="26" t="s">
        <v>639</v>
      </c>
      <c r="T61" s="73">
        <v>101393049</v>
      </c>
      <c r="U61" s="172" t="s">
        <v>644</v>
      </c>
    </row>
    <row r="62" spans="1:22">
      <c r="O62" s="168">
        <f>SUM(O6:O61)</f>
        <v>1045</v>
      </c>
    </row>
    <row r="65" spans="11:13" ht="17">
      <c r="K65" s="75">
        <v>41</v>
      </c>
      <c r="L65" s="75">
        <v>20</v>
      </c>
      <c r="M65" s="75">
        <f>K65*L65</f>
        <v>820</v>
      </c>
    </row>
    <row r="66" spans="11:13" ht="17">
      <c r="K66" s="75">
        <v>15</v>
      </c>
      <c r="L66" s="75">
        <v>15</v>
      </c>
      <c r="M66" s="75">
        <f>K66*L66</f>
        <v>225</v>
      </c>
    </row>
    <row r="67" spans="11:13" ht="17">
      <c r="K67" s="75">
        <v>0</v>
      </c>
      <c r="L67" s="75">
        <v>30</v>
      </c>
      <c r="M67" s="75">
        <f>K67*L67</f>
        <v>0</v>
      </c>
    </row>
    <row r="68" spans="11:13">
      <c r="M68">
        <f>SUM(M65:M67)</f>
        <v>1045</v>
      </c>
    </row>
  </sheetData>
  <hyperlinks>
    <hyperlink ref="U6" r:id="rId1" xr:uid="{00000000-0004-0000-0000-000000000000}"/>
    <hyperlink ref="U7" r:id="rId2" xr:uid="{00000000-0004-0000-0000-000001000000}"/>
    <hyperlink ref="U8" r:id="rId3" xr:uid="{00000000-0004-0000-0000-000002000000}"/>
    <hyperlink ref="U13" r:id="rId4" xr:uid="{00000000-0004-0000-0000-000003000000}"/>
    <hyperlink ref="U14" r:id="rId5" xr:uid="{00000000-0004-0000-0000-000004000000}"/>
    <hyperlink ref="U15" r:id="rId6" xr:uid="{00000000-0004-0000-0000-000005000000}"/>
    <hyperlink ref="U16" r:id="rId7" xr:uid="{00000000-0004-0000-0000-000006000000}"/>
    <hyperlink ref="U17" r:id="rId8" xr:uid="{00000000-0004-0000-0000-000007000000}"/>
    <hyperlink ref="U18" r:id="rId9" xr:uid="{00000000-0004-0000-0000-000008000000}"/>
    <hyperlink ref="U19" r:id="rId10" xr:uid="{00000000-0004-0000-0000-000009000000}"/>
    <hyperlink ref="U20" r:id="rId11" xr:uid="{00000000-0004-0000-0000-00000A000000}"/>
    <hyperlink ref="U21" r:id="rId12" xr:uid="{00000000-0004-0000-0000-00000B000000}"/>
    <hyperlink ref="U22" r:id="rId13" xr:uid="{00000000-0004-0000-0000-00000C000000}"/>
    <hyperlink ref="U23" r:id="rId14" xr:uid="{00000000-0004-0000-0000-00000D000000}"/>
    <hyperlink ref="U24" r:id="rId15" xr:uid="{00000000-0004-0000-0000-00000E000000}"/>
    <hyperlink ref="U25" r:id="rId16" xr:uid="{00000000-0004-0000-0000-00000F000000}"/>
    <hyperlink ref="U26" r:id="rId17" xr:uid="{00000000-0004-0000-0000-000010000000}"/>
    <hyperlink ref="U27" r:id="rId18" xr:uid="{00000000-0004-0000-0000-000011000000}"/>
    <hyperlink ref="U28" r:id="rId19" xr:uid="{00000000-0004-0000-0000-000012000000}"/>
    <hyperlink ref="U29" r:id="rId20" xr:uid="{00000000-0004-0000-0000-000013000000}"/>
    <hyperlink ref="U30" r:id="rId21" xr:uid="{00000000-0004-0000-0000-000014000000}"/>
    <hyperlink ref="U31" r:id="rId22" xr:uid="{00000000-0004-0000-0000-000015000000}"/>
    <hyperlink ref="U32" r:id="rId23" xr:uid="{00000000-0004-0000-0000-000016000000}"/>
    <hyperlink ref="U33" r:id="rId24" xr:uid="{00000000-0004-0000-0000-000017000000}"/>
    <hyperlink ref="U34" r:id="rId25" xr:uid="{00000000-0004-0000-0000-000018000000}"/>
    <hyperlink ref="U35" r:id="rId26" xr:uid="{00000000-0004-0000-0000-000019000000}"/>
    <hyperlink ref="U36" r:id="rId27" xr:uid="{00000000-0004-0000-0000-00001A000000}"/>
    <hyperlink ref="U37" r:id="rId28" xr:uid="{00000000-0004-0000-0000-00001B000000}"/>
    <hyperlink ref="U38" r:id="rId29" xr:uid="{00000000-0004-0000-0000-00001C000000}"/>
    <hyperlink ref="U39" r:id="rId30" xr:uid="{00000000-0004-0000-0000-00001D000000}"/>
    <hyperlink ref="U42" r:id="rId31" xr:uid="{00000000-0004-0000-0000-00001E000000}"/>
    <hyperlink ref="U43" r:id="rId32" xr:uid="{00000000-0004-0000-0000-00001F000000}"/>
    <hyperlink ref="U46" r:id="rId33" xr:uid="{00000000-0004-0000-0000-000020000000}"/>
    <hyperlink ref="U47" r:id="rId34" xr:uid="{00000000-0004-0000-0000-000021000000}"/>
    <hyperlink ref="U50" r:id="rId35" xr:uid="{00000000-0004-0000-0000-000022000000}"/>
    <hyperlink ref="U51" r:id="rId36" xr:uid="{00000000-0004-0000-0000-000023000000}"/>
    <hyperlink ref="U54" r:id="rId37" xr:uid="{00000000-0004-0000-0000-000024000000}"/>
    <hyperlink ref="U55" r:id="rId38" xr:uid="{00000000-0004-0000-0000-000025000000}"/>
    <hyperlink ref="U56" r:id="rId39" xr:uid="{00000000-0004-0000-0000-000026000000}"/>
    <hyperlink ref="U57" r:id="rId40" xr:uid="{00000000-0004-0000-0000-000027000000}"/>
    <hyperlink ref="U58" r:id="rId41" xr:uid="{00000000-0004-0000-0000-000028000000}"/>
    <hyperlink ref="U59" r:id="rId42" xr:uid="{00000000-0004-0000-0000-000029000000}"/>
    <hyperlink ref="U60" r:id="rId43" xr:uid="{00000000-0004-0000-0000-00002A000000}"/>
    <hyperlink ref="U61" r:id="rId44" xr:uid="{00000000-0004-0000-0000-00002B000000}"/>
  </hyperlinks>
  <pageMargins left="0.7" right="0.7" top="0.75" bottom="0.75" header="0.3" footer="0.3"/>
  <pageSetup paperSize="9" orientation="portrait" horizontalDpi="0" verticalDpi="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S34"/>
  <sheetViews>
    <sheetView tabSelected="1" topLeftCell="A4" zoomScale="69" zoomScaleNormal="69" workbookViewId="0">
      <selection activeCell="H34" sqref="H34"/>
    </sheetView>
  </sheetViews>
  <sheetFormatPr baseColWidth="10" defaultRowHeight="15"/>
  <cols>
    <col min="1" max="1" width="11.6640625" bestFit="1" customWidth="1"/>
    <col min="2" max="3" width="13.6640625" bestFit="1" customWidth="1"/>
    <col min="4" max="4" width="11.6640625" bestFit="1" customWidth="1"/>
    <col min="5" max="5" width="17.1640625" customWidth="1"/>
    <col min="6" max="6" width="21" customWidth="1"/>
    <col min="7" max="7" width="12.83203125" bestFit="1" customWidth="1"/>
    <col min="8" max="8" width="28.1640625" customWidth="1"/>
    <col min="9" max="9" width="18.6640625" customWidth="1"/>
    <col min="10" max="10" width="11.6640625" bestFit="1" customWidth="1"/>
    <col min="11" max="11" width="19.6640625" customWidth="1"/>
    <col min="12" max="12" width="21" customWidth="1"/>
    <col min="13" max="13" width="34.1640625" bestFit="1" customWidth="1"/>
    <col min="14" max="14" width="11.6640625" bestFit="1" customWidth="1"/>
    <col min="15" max="15" width="20" bestFit="1" customWidth="1"/>
    <col min="17" max="17" width="11.1640625" bestFit="1" customWidth="1"/>
    <col min="18" max="18" width="11.6640625" bestFit="1" customWidth="1"/>
  </cols>
  <sheetData>
    <row r="2" spans="1:19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9">
      <c r="A3" s="43"/>
      <c r="B3" s="44"/>
      <c r="C3" s="45" t="s">
        <v>0</v>
      </c>
      <c r="D3" s="46"/>
      <c r="E3" s="47"/>
      <c r="F3" s="48"/>
      <c r="G3" s="49"/>
      <c r="H3" s="50"/>
      <c r="I3" s="50"/>
      <c r="J3" s="50"/>
      <c r="K3" s="50"/>
      <c r="L3" s="50"/>
      <c r="M3" s="51"/>
      <c r="N3" s="50"/>
      <c r="O3" s="43"/>
      <c r="P3" s="50"/>
      <c r="Q3" s="50"/>
      <c r="R3" s="50"/>
      <c r="S3" s="50"/>
    </row>
    <row r="4" spans="1:19">
      <c r="A4" s="43"/>
      <c r="B4" s="44"/>
      <c r="C4" s="52" t="s">
        <v>1</v>
      </c>
      <c r="D4" s="53"/>
      <c r="E4" s="54"/>
      <c r="F4" s="54"/>
      <c r="G4" s="49"/>
      <c r="H4" s="50"/>
      <c r="I4" s="50"/>
      <c r="J4" s="50"/>
      <c r="K4" s="50"/>
      <c r="L4" s="50"/>
      <c r="M4" s="51"/>
      <c r="N4" s="50"/>
      <c r="O4" s="43"/>
      <c r="P4" s="50"/>
      <c r="Q4" s="50"/>
      <c r="R4" s="50"/>
      <c r="S4" s="50"/>
    </row>
    <row r="5" spans="1:19" ht="28.5" customHeight="1">
      <c r="B5" s="55" t="s">
        <v>109</v>
      </c>
      <c r="C5" s="56"/>
      <c r="D5" s="57"/>
      <c r="E5" s="58" t="s">
        <v>24</v>
      </c>
      <c r="F5" s="59"/>
      <c r="G5" s="60"/>
      <c r="H5" s="61"/>
      <c r="I5" s="57"/>
      <c r="J5" s="62"/>
      <c r="K5" s="62"/>
      <c r="L5" s="63"/>
      <c r="M5" s="64" t="s">
        <v>144</v>
      </c>
      <c r="O5" s="65"/>
    </row>
    <row r="6" spans="1:19">
      <c r="B6" s="66" t="s">
        <v>25</v>
      </c>
      <c r="C6" s="67"/>
      <c r="D6" s="68"/>
      <c r="E6" s="68"/>
      <c r="F6" s="68"/>
      <c r="G6" s="68"/>
      <c r="H6" s="68"/>
      <c r="I6" s="68"/>
      <c r="J6" s="68"/>
      <c r="K6" s="68"/>
      <c r="L6" s="68"/>
      <c r="M6" s="69"/>
      <c r="O6" s="65"/>
    </row>
    <row r="7" spans="1:19">
      <c r="B7" s="70" t="s">
        <v>143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2"/>
      <c r="O7" s="65"/>
    </row>
    <row r="8" spans="1:19" s="40" customFormat="1" ht="34">
      <c r="A8"/>
      <c r="B8" s="169" t="s">
        <v>26</v>
      </c>
      <c r="C8" s="169" t="s">
        <v>27</v>
      </c>
      <c r="D8" s="169" t="s">
        <v>28</v>
      </c>
      <c r="E8" s="169" t="s">
        <v>29</v>
      </c>
      <c r="F8" s="169" t="s">
        <v>30</v>
      </c>
      <c r="G8" s="169" t="s">
        <v>31</v>
      </c>
      <c r="H8" s="169" t="s">
        <v>32</v>
      </c>
      <c r="I8" s="169" t="s">
        <v>33</v>
      </c>
      <c r="J8" s="169" t="s">
        <v>34</v>
      </c>
      <c r="K8" s="169" t="s">
        <v>35</v>
      </c>
      <c r="L8" s="169" t="s">
        <v>36</v>
      </c>
      <c r="M8" s="169" t="s">
        <v>37</v>
      </c>
      <c r="N8" s="169" t="s">
        <v>38</v>
      </c>
      <c r="O8" s="169" t="s">
        <v>39</v>
      </c>
      <c r="P8" s="169" t="s">
        <v>40</v>
      </c>
      <c r="Q8" s="169" t="s">
        <v>41</v>
      </c>
      <c r="R8" s="170" t="s">
        <v>18</v>
      </c>
      <c r="S8" s="171" t="s">
        <v>19</v>
      </c>
    </row>
    <row r="9" spans="1:19" s="205" customFormat="1" ht="56.25" customHeight="1">
      <c r="A9" s="204">
        <v>1</v>
      </c>
      <c r="B9" s="207">
        <v>44851</v>
      </c>
      <c r="C9" s="208">
        <v>45371</v>
      </c>
      <c r="D9" s="209">
        <v>1</v>
      </c>
      <c r="E9" s="209">
        <v>60803326</v>
      </c>
      <c r="F9" s="76" t="s">
        <v>342</v>
      </c>
      <c r="G9" s="210">
        <v>112500049</v>
      </c>
      <c r="H9" s="211" t="s">
        <v>343</v>
      </c>
      <c r="I9" s="212" t="s">
        <v>344</v>
      </c>
      <c r="J9" s="213" t="s">
        <v>42</v>
      </c>
      <c r="K9" s="210" t="s">
        <v>102</v>
      </c>
      <c r="L9" s="210" t="s">
        <v>345</v>
      </c>
      <c r="M9" s="76" t="s">
        <v>346</v>
      </c>
      <c r="N9" s="214">
        <v>12.5</v>
      </c>
      <c r="O9" s="215">
        <v>1014045877</v>
      </c>
      <c r="P9" s="216"/>
      <c r="Q9" s="223">
        <v>998266693</v>
      </c>
      <c r="R9" s="222"/>
      <c r="S9" s="222" t="s">
        <v>347</v>
      </c>
    </row>
    <row r="10" spans="1:19" s="205" customFormat="1" ht="56.25" customHeight="1">
      <c r="A10" s="204">
        <v>2</v>
      </c>
      <c r="B10" s="207">
        <v>45204</v>
      </c>
      <c r="C10" s="208">
        <v>45371</v>
      </c>
      <c r="D10" s="209"/>
      <c r="E10" s="209"/>
      <c r="F10" s="76" t="s">
        <v>348</v>
      </c>
      <c r="G10" s="210">
        <v>111570002</v>
      </c>
      <c r="H10" s="211" t="s">
        <v>349</v>
      </c>
      <c r="I10" s="212"/>
      <c r="J10" s="213" t="s">
        <v>42</v>
      </c>
      <c r="K10" s="210" t="s">
        <v>102</v>
      </c>
      <c r="L10" s="210" t="s">
        <v>350</v>
      </c>
      <c r="M10" s="76" t="s">
        <v>701</v>
      </c>
      <c r="N10" s="214">
        <v>12.5</v>
      </c>
      <c r="O10" s="215">
        <v>102711256</v>
      </c>
      <c r="P10" s="216" t="s">
        <v>351</v>
      </c>
      <c r="Q10" s="223">
        <v>996155115</v>
      </c>
      <c r="R10" s="222"/>
      <c r="S10" s="222" t="s">
        <v>352</v>
      </c>
    </row>
    <row r="11" spans="1:19" s="205" customFormat="1" ht="56.25" customHeight="1">
      <c r="A11" s="204">
        <v>3</v>
      </c>
      <c r="B11" s="207">
        <v>45366</v>
      </c>
      <c r="C11" s="208">
        <v>45373</v>
      </c>
      <c r="D11" s="209"/>
      <c r="E11" s="209"/>
      <c r="F11" s="76"/>
      <c r="G11" s="210">
        <v>113430016</v>
      </c>
      <c r="H11" s="211" t="s">
        <v>353</v>
      </c>
      <c r="I11" s="212" t="s">
        <v>354</v>
      </c>
      <c r="J11" s="213" t="s">
        <v>42</v>
      </c>
      <c r="K11" s="210" t="s">
        <v>102</v>
      </c>
      <c r="L11" s="210" t="s">
        <v>355</v>
      </c>
      <c r="M11" s="76" t="s">
        <v>703</v>
      </c>
      <c r="N11" s="214">
        <v>18.75</v>
      </c>
      <c r="O11" s="215">
        <v>201509783</v>
      </c>
      <c r="P11" s="216" t="s">
        <v>356</v>
      </c>
      <c r="Q11" s="223">
        <v>997473993</v>
      </c>
      <c r="R11" s="222"/>
      <c r="S11" s="222" t="s">
        <v>357</v>
      </c>
    </row>
    <row r="12" spans="1:19" s="205" customFormat="1" ht="56.25" customHeight="1">
      <c r="A12" s="204">
        <v>4</v>
      </c>
      <c r="B12" s="207">
        <v>45359</v>
      </c>
      <c r="C12" s="208">
        <v>45376</v>
      </c>
      <c r="D12" s="209"/>
      <c r="E12" s="209"/>
      <c r="F12" s="76"/>
      <c r="G12" s="210"/>
      <c r="H12" s="211" t="s">
        <v>358</v>
      </c>
      <c r="I12" s="212"/>
      <c r="J12" s="213" t="s">
        <v>42</v>
      </c>
      <c r="K12" s="210" t="s">
        <v>102</v>
      </c>
      <c r="L12" s="210" t="s">
        <v>359</v>
      </c>
      <c r="M12" s="76" t="s">
        <v>704</v>
      </c>
      <c r="N12" s="214">
        <v>12.5</v>
      </c>
      <c r="O12" s="215">
        <v>103883328</v>
      </c>
      <c r="P12" s="216"/>
      <c r="Q12" s="223">
        <v>2893396</v>
      </c>
      <c r="R12" s="222"/>
      <c r="S12" s="222" t="s">
        <v>360</v>
      </c>
    </row>
    <row r="13" spans="1:19" s="205" customFormat="1" ht="56.25" customHeight="1">
      <c r="A13" s="204">
        <v>6</v>
      </c>
      <c r="B13" s="207">
        <v>45364</v>
      </c>
      <c r="C13" s="208">
        <v>45376</v>
      </c>
      <c r="D13" s="209"/>
      <c r="E13" s="209"/>
      <c r="F13" s="76" t="s">
        <v>367</v>
      </c>
      <c r="G13" s="210">
        <v>113430016</v>
      </c>
      <c r="H13" s="211" t="s">
        <v>353</v>
      </c>
      <c r="I13" s="212" t="s">
        <v>369</v>
      </c>
      <c r="J13" s="213" t="s">
        <v>42</v>
      </c>
      <c r="K13" s="210" t="s">
        <v>102</v>
      </c>
      <c r="L13" s="210" t="s">
        <v>370</v>
      </c>
      <c r="M13" s="76" t="s">
        <v>368</v>
      </c>
      <c r="N13" s="214">
        <v>18.75</v>
      </c>
      <c r="O13" s="215">
        <v>300871357</v>
      </c>
      <c r="P13" s="216"/>
      <c r="Q13" s="223">
        <v>2236356</v>
      </c>
      <c r="R13" s="222"/>
      <c r="S13" s="222" t="s">
        <v>371</v>
      </c>
    </row>
    <row r="14" spans="1:19" s="205" customFormat="1" ht="56.25" customHeight="1">
      <c r="A14" s="204">
        <v>5</v>
      </c>
      <c r="B14" s="207">
        <v>45339</v>
      </c>
      <c r="C14" s="208">
        <v>45377</v>
      </c>
      <c r="D14" s="209"/>
      <c r="E14" s="209"/>
      <c r="F14" s="76" t="s">
        <v>361</v>
      </c>
      <c r="G14" s="210">
        <v>40212501</v>
      </c>
      <c r="H14" s="211" t="s">
        <v>364</v>
      </c>
      <c r="I14" s="212"/>
      <c r="J14" s="213" t="s">
        <v>42</v>
      </c>
      <c r="K14" s="210" t="s">
        <v>102</v>
      </c>
      <c r="L14" s="210" t="s">
        <v>363</v>
      </c>
      <c r="M14" s="76" t="s">
        <v>362</v>
      </c>
      <c r="N14" s="214">
        <v>12.5</v>
      </c>
      <c r="O14" s="215">
        <v>104995238</v>
      </c>
      <c r="P14" s="216" t="s">
        <v>365</v>
      </c>
      <c r="Q14" s="223">
        <v>994518622</v>
      </c>
      <c r="R14" s="222"/>
      <c r="S14" s="222" t="s">
        <v>366</v>
      </c>
    </row>
    <row r="15" spans="1:19" s="205" customFormat="1" ht="56.25" customHeight="1">
      <c r="A15" s="204">
        <v>7</v>
      </c>
      <c r="B15" s="207">
        <v>45175</v>
      </c>
      <c r="C15" s="208">
        <v>45378</v>
      </c>
      <c r="D15" s="209">
        <v>1</v>
      </c>
      <c r="E15" s="209">
        <v>60803270</v>
      </c>
      <c r="F15" s="76" t="s">
        <v>372</v>
      </c>
      <c r="G15" s="210">
        <v>112510035</v>
      </c>
      <c r="H15" s="211" t="s">
        <v>373</v>
      </c>
      <c r="I15" s="212" t="s">
        <v>374</v>
      </c>
      <c r="J15" s="213" t="s">
        <v>42</v>
      </c>
      <c r="K15" s="210" t="s">
        <v>102</v>
      </c>
      <c r="L15" s="210" t="s">
        <v>375</v>
      </c>
      <c r="M15" s="76" t="s">
        <v>376</v>
      </c>
      <c r="N15" s="214">
        <v>12.5</v>
      </c>
      <c r="O15" s="215">
        <v>101445179</v>
      </c>
      <c r="P15" s="216" t="s">
        <v>377</v>
      </c>
      <c r="Q15" s="223">
        <v>960716871</v>
      </c>
      <c r="R15" s="222"/>
      <c r="S15" s="222" t="s">
        <v>378</v>
      </c>
    </row>
    <row r="16" spans="1:19" s="205" customFormat="1" ht="56.25" customHeight="1">
      <c r="A16" s="204">
        <v>8</v>
      </c>
      <c r="B16" s="207">
        <v>44803</v>
      </c>
      <c r="C16" s="208">
        <v>45379</v>
      </c>
      <c r="D16" s="209"/>
      <c r="E16" s="209"/>
      <c r="F16" s="76" t="s">
        <v>379</v>
      </c>
      <c r="G16" s="210">
        <v>112580027</v>
      </c>
      <c r="H16" s="211" t="s">
        <v>380</v>
      </c>
      <c r="I16" s="212" t="s">
        <v>381</v>
      </c>
      <c r="J16" s="213" t="s">
        <v>42</v>
      </c>
      <c r="K16" s="210" t="s">
        <v>102</v>
      </c>
      <c r="L16" s="210" t="s">
        <v>382</v>
      </c>
      <c r="M16" s="76" t="s">
        <v>383</v>
      </c>
      <c r="N16" s="214">
        <v>12.5</v>
      </c>
      <c r="O16" s="215">
        <v>102836616</v>
      </c>
      <c r="P16" s="216" t="s">
        <v>384</v>
      </c>
      <c r="Q16" s="223"/>
      <c r="R16" s="222"/>
      <c r="S16" s="222" t="s">
        <v>385</v>
      </c>
    </row>
    <row r="17" spans="1:19" s="205" customFormat="1" ht="56.25" customHeight="1">
      <c r="A17" s="204">
        <v>9</v>
      </c>
      <c r="B17" s="207">
        <v>45354</v>
      </c>
      <c r="C17" s="208">
        <v>45384</v>
      </c>
      <c r="D17" s="209"/>
      <c r="E17" s="209"/>
      <c r="F17" s="76"/>
      <c r="G17" s="210">
        <v>112580017</v>
      </c>
      <c r="H17" s="211" t="s">
        <v>386</v>
      </c>
      <c r="I17" s="212" t="s">
        <v>387</v>
      </c>
      <c r="J17" s="213" t="s">
        <v>42</v>
      </c>
      <c r="K17" s="210" t="s">
        <v>102</v>
      </c>
      <c r="L17" s="210" t="s">
        <v>388</v>
      </c>
      <c r="M17" s="76" t="s">
        <v>705</v>
      </c>
      <c r="N17" s="214">
        <v>12.5</v>
      </c>
      <c r="O17" s="215">
        <v>104955984</v>
      </c>
      <c r="P17" s="216" t="s">
        <v>389</v>
      </c>
      <c r="Q17" s="223">
        <v>983366695</v>
      </c>
      <c r="R17" s="222"/>
      <c r="S17" s="222" t="s">
        <v>390</v>
      </c>
    </row>
    <row r="18" spans="1:19" s="205" customFormat="1" ht="56.25" customHeight="1">
      <c r="A18" s="204">
        <v>10</v>
      </c>
      <c r="B18" s="207">
        <v>45036</v>
      </c>
      <c r="C18" s="208">
        <v>45385</v>
      </c>
      <c r="D18" s="209"/>
      <c r="E18" s="209"/>
      <c r="F18" s="76" t="s">
        <v>391</v>
      </c>
      <c r="G18" s="210">
        <v>112500049</v>
      </c>
      <c r="H18" s="211" t="s">
        <v>392</v>
      </c>
      <c r="I18" s="212" t="s">
        <v>393</v>
      </c>
      <c r="J18" s="213" t="s">
        <v>42</v>
      </c>
      <c r="K18" s="210" t="s">
        <v>102</v>
      </c>
      <c r="L18" s="210" t="s">
        <v>394</v>
      </c>
      <c r="M18" s="76" t="s">
        <v>702</v>
      </c>
      <c r="N18" s="214">
        <v>12.5</v>
      </c>
      <c r="O18" s="215">
        <v>179182158</v>
      </c>
      <c r="P18" s="216" t="s">
        <v>395</v>
      </c>
      <c r="Q18" s="223">
        <v>994336343</v>
      </c>
      <c r="R18" s="222"/>
      <c r="S18" s="222" t="s">
        <v>396</v>
      </c>
    </row>
    <row r="19" spans="1:19" s="205" customFormat="1" ht="56.25" customHeight="1">
      <c r="A19" s="204">
        <v>11</v>
      </c>
      <c r="B19" s="207">
        <v>45388</v>
      </c>
      <c r="C19" s="208">
        <v>45388</v>
      </c>
      <c r="D19" s="209"/>
      <c r="E19" s="209"/>
      <c r="F19" s="76" t="s">
        <v>397</v>
      </c>
      <c r="G19" s="210">
        <v>114270004</v>
      </c>
      <c r="H19" s="211" t="s">
        <v>398</v>
      </c>
      <c r="I19" s="212" t="s">
        <v>399</v>
      </c>
      <c r="J19" s="213" t="s">
        <v>42</v>
      </c>
      <c r="K19" s="210" t="s">
        <v>102</v>
      </c>
      <c r="L19" s="210" t="s">
        <v>400</v>
      </c>
      <c r="M19" s="76" t="s">
        <v>401</v>
      </c>
      <c r="N19" s="214">
        <v>18.75</v>
      </c>
      <c r="O19" s="215">
        <v>1714494646</v>
      </c>
      <c r="P19" s="216" t="s">
        <v>402</v>
      </c>
      <c r="Q19" s="223">
        <v>963511443</v>
      </c>
      <c r="R19" s="222"/>
      <c r="S19" s="222"/>
    </row>
    <row r="20" spans="1:19" s="205" customFormat="1" ht="56.25" customHeight="1">
      <c r="A20" s="204">
        <v>12</v>
      </c>
      <c r="B20" s="207">
        <v>45359</v>
      </c>
      <c r="C20" s="208">
        <v>45391</v>
      </c>
      <c r="D20" s="209"/>
      <c r="E20" s="209"/>
      <c r="F20" s="76" t="s">
        <v>403</v>
      </c>
      <c r="G20" s="210">
        <v>112500048</v>
      </c>
      <c r="H20" s="211" t="s">
        <v>404</v>
      </c>
      <c r="I20" s="212" t="s">
        <v>405</v>
      </c>
      <c r="J20" s="213" t="s">
        <v>42</v>
      </c>
      <c r="K20" s="210" t="s">
        <v>102</v>
      </c>
      <c r="L20" s="210" t="s">
        <v>406</v>
      </c>
      <c r="M20" s="76" t="s">
        <v>407</v>
      </c>
      <c r="N20" s="214">
        <v>12.5</v>
      </c>
      <c r="O20" s="215">
        <v>190478955</v>
      </c>
      <c r="P20" s="216"/>
      <c r="Q20" s="223">
        <v>992801702</v>
      </c>
      <c r="R20" s="222"/>
      <c r="S20" s="222" t="s">
        <v>408</v>
      </c>
    </row>
    <row r="21" spans="1:19" s="205" customFormat="1" ht="56.25" customHeight="1">
      <c r="A21" s="204">
        <v>14</v>
      </c>
      <c r="B21" s="207">
        <v>44649</v>
      </c>
      <c r="C21" s="208">
        <v>45400</v>
      </c>
      <c r="D21" s="209"/>
      <c r="E21" s="209"/>
      <c r="F21" s="76" t="s">
        <v>409</v>
      </c>
      <c r="G21" s="210">
        <v>40782128</v>
      </c>
      <c r="H21" s="211" t="s">
        <v>418</v>
      </c>
      <c r="I21" s="212" t="s">
        <v>419</v>
      </c>
      <c r="J21" s="213" t="s">
        <v>42</v>
      </c>
      <c r="K21" s="210" t="s">
        <v>102</v>
      </c>
      <c r="L21" s="210" t="s">
        <v>420</v>
      </c>
      <c r="M21" s="76" t="s">
        <v>421</v>
      </c>
      <c r="N21" s="214">
        <v>18.75</v>
      </c>
      <c r="O21" s="215">
        <v>103642708</v>
      </c>
      <c r="P21" s="216"/>
      <c r="Q21" s="223">
        <v>2880278</v>
      </c>
      <c r="R21" s="222"/>
      <c r="S21" s="222" t="s">
        <v>652</v>
      </c>
    </row>
    <row r="22" spans="1:19" s="205" customFormat="1" ht="56.25" customHeight="1">
      <c r="A22" s="204">
        <v>15</v>
      </c>
      <c r="B22" s="207">
        <v>45294</v>
      </c>
      <c r="C22" s="208">
        <v>45401</v>
      </c>
      <c r="D22" s="209"/>
      <c r="E22" s="209"/>
      <c r="F22" s="76" t="s">
        <v>696</v>
      </c>
      <c r="G22" s="210">
        <v>112580058</v>
      </c>
      <c r="H22" s="211" t="s">
        <v>500</v>
      </c>
      <c r="I22" s="229" t="s">
        <v>501</v>
      </c>
      <c r="J22" s="213" t="s">
        <v>42</v>
      </c>
      <c r="K22" s="210" t="s">
        <v>102</v>
      </c>
      <c r="L22" s="210" t="s">
        <v>502</v>
      </c>
      <c r="M22" s="76" t="s">
        <v>697</v>
      </c>
      <c r="N22" s="214">
        <v>12.5</v>
      </c>
      <c r="O22" s="228">
        <v>104894803</v>
      </c>
      <c r="P22" s="216" t="s">
        <v>504</v>
      </c>
      <c r="Q22" s="223">
        <v>984012281</v>
      </c>
      <c r="R22" s="222"/>
      <c r="S22" s="222" t="s">
        <v>498</v>
      </c>
    </row>
    <row r="23" spans="1:19" s="205" customFormat="1" ht="56.25" customHeight="1">
      <c r="A23" s="204">
        <v>16</v>
      </c>
      <c r="B23" s="207">
        <v>45277</v>
      </c>
      <c r="C23" s="208">
        <v>45401</v>
      </c>
      <c r="D23" s="209"/>
      <c r="E23" s="209"/>
      <c r="F23" s="76" t="s">
        <v>698</v>
      </c>
      <c r="G23" s="210">
        <v>112570124</v>
      </c>
      <c r="H23" s="211" t="s">
        <v>473</v>
      </c>
      <c r="I23" s="212" t="s">
        <v>474</v>
      </c>
      <c r="J23" s="213" t="s">
        <v>42</v>
      </c>
      <c r="K23" s="210" t="s">
        <v>102</v>
      </c>
      <c r="L23" s="210" t="s">
        <v>637</v>
      </c>
      <c r="M23" s="76" t="s">
        <v>383</v>
      </c>
      <c r="N23" s="214">
        <v>12.5</v>
      </c>
      <c r="O23" s="215">
        <v>102075298</v>
      </c>
      <c r="P23" s="216" t="s">
        <v>478</v>
      </c>
      <c r="Q23" s="223">
        <v>995350350</v>
      </c>
      <c r="R23" s="222"/>
      <c r="S23" s="222" t="s">
        <v>477</v>
      </c>
    </row>
    <row r="24" spans="1:19" s="205" customFormat="1" ht="56.25" customHeight="1">
      <c r="A24" s="204">
        <v>17</v>
      </c>
      <c r="B24" s="319">
        <v>45383</v>
      </c>
      <c r="C24" s="208">
        <v>45401</v>
      </c>
      <c r="D24" s="209"/>
      <c r="E24" s="209"/>
      <c r="F24" s="76" t="s">
        <v>699</v>
      </c>
      <c r="G24" s="27">
        <v>113430018</v>
      </c>
      <c r="H24" s="211" t="s">
        <v>688</v>
      </c>
      <c r="I24" s="29" t="s">
        <v>229</v>
      </c>
      <c r="J24" s="213" t="s">
        <v>42</v>
      </c>
      <c r="K24" s="210" t="s">
        <v>102</v>
      </c>
      <c r="L24" s="32" t="s">
        <v>230</v>
      </c>
      <c r="M24" s="76" t="s">
        <v>700</v>
      </c>
      <c r="N24" s="214">
        <v>18.75</v>
      </c>
      <c r="O24" s="232">
        <v>106043268</v>
      </c>
      <c r="P24" s="172" t="s">
        <v>232</v>
      </c>
      <c r="Q24" s="29">
        <v>999490199</v>
      </c>
      <c r="R24" s="222"/>
      <c r="S24" s="35" t="s">
        <v>224</v>
      </c>
    </row>
    <row r="25" spans="1:19" s="205" customFormat="1" ht="17">
      <c r="A25" s="206"/>
      <c r="B25" s="217"/>
      <c r="J25" s="218"/>
      <c r="K25" s="219"/>
      <c r="L25" s="219"/>
      <c r="M25" s="220"/>
      <c r="N25" s="230">
        <f>SUM(N9:N24)</f>
        <v>231.25</v>
      </c>
    </row>
    <row r="26" spans="1:19" s="205" customFormat="1" ht="17">
      <c r="A26" s="206"/>
      <c r="B26" s="217"/>
      <c r="J26" s="218"/>
      <c r="K26" s="219"/>
      <c r="L26" s="219"/>
      <c r="M26" s="220"/>
    </row>
    <row r="27" spans="1:19" s="75" customFormat="1" ht="17">
      <c r="A27" s="77"/>
      <c r="B27" s="78"/>
      <c r="F27" s="221">
        <v>2</v>
      </c>
      <c r="G27" s="205" t="s">
        <v>138</v>
      </c>
      <c r="H27" s="205">
        <v>18.75</v>
      </c>
      <c r="I27" s="205">
        <v>37.5</v>
      </c>
      <c r="J27" s="82"/>
      <c r="K27" s="81"/>
      <c r="L27" s="81"/>
      <c r="M27" s="79"/>
    </row>
    <row r="28" spans="1:19" s="75" customFormat="1" ht="17">
      <c r="A28" s="77"/>
      <c r="B28" s="78"/>
      <c r="F28" s="221">
        <v>3</v>
      </c>
      <c r="G28" s="205" t="s">
        <v>136</v>
      </c>
      <c r="H28" s="205">
        <v>18.75</v>
      </c>
      <c r="I28" s="205">
        <f>F28*H28</f>
        <v>56.25</v>
      </c>
      <c r="J28" s="81"/>
      <c r="K28" s="81"/>
      <c r="L28" s="81"/>
      <c r="M28" s="79"/>
    </row>
    <row r="29" spans="1:19" ht="17">
      <c r="F29" s="80">
        <v>9</v>
      </c>
      <c r="G29" s="81" t="s">
        <v>638</v>
      </c>
      <c r="H29" s="82">
        <v>12.5</v>
      </c>
      <c r="I29" s="75">
        <f>F29*H29</f>
        <v>112.5</v>
      </c>
    </row>
    <row r="30" spans="1:19" ht="17">
      <c r="F30" s="80">
        <v>1</v>
      </c>
      <c r="G30" s="81" t="s">
        <v>46</v>
      </c>
      <c r="H30" s="82">
        <v>12.5</v>
      </c>
      <c r="I30" s="82">
        <v>12.5</v>
      </c>
    </row>
    <row r="31" spans="1:19" ht="17">
      <c r="F31" s="80">
        <v>1</v>
      </c>
      <c r="G31" s="81" t="s">
        <v>417</v>
      </c>
      <c r="H31" s="81">
        <v>12.5</v>
      </c>
      <c r="I31" s="82">
        <v>12.5</v>
      </c>
    </row>
    <row r="33" spans="6:9" ht="17">
      <c r="H33" s="81"/>
      <c r="I33" s="81">
        <f>SUM(I27:I31)</f>
        <v>231.25</v>
      </c>
    </row>
    <row r="34" spans="6:9" ht="17">
      <c r="F34" s="83">
        <v>16</v>
      </c>
      <c r="G34" s="81" t="s">
        <v>43</v>
      </c>
    </row>
  </sheetData>
  <hyperlinks>
    <hyperlink ref="P10" r:id="rId1" xr:uid="{00000000-0004-0000-0100-000000000000}"/>
    <hyperlink ref="P11" r:id="rId2" xr:uid="{00000000-0004-0000-0100-000001000000}"/>
    <hyperlink ref="P14" r:id="rId3" xr:uid="{00000000-0004-0000-0100-000002000000}"/>
    <hyperlink ref="P15" r:id="rId4" xr:uid="{00000000-0004-0000-0100-000003000000}"/>
    <hyperlink ref="P16" r:id="rId5" xr:uid="{00000000-0004-0000-0100-000004000000}"/>
    <hyperlink ref="P17" r:id="rId6" xr:uid="{00000000-0004-0000-0100-000005000000}"/>
    <hyperlink ref="P18" r:id="rId7" xr:uid="{00000000-0004-0000-0100-000006000000}"/>
    <hyperlink ref="P19" r:id="rId8" xr:uid="{00000000-0004-0000-0100-000007000000}"/>
    <hyperlink ref="P22" r:id="rId9" xr:uid="{00000000-0004-0000-0100-000008000000}"/>
    <hyperlink ref="P23" r:id="rId10" xr:uid="{00000000-0004-0000-0100-000009000000}"/>
    <hyperlink ref="P24" r:id="rId11" xr:uid="{00000000-0004-0000-0100-00000A000000}"/>
  </hyperlinks>
  <pageMargins left="0.7" right="0.7" top="0.75" bottom="0.75" header="0.3" footer="0.3"/>
  <pageSetup paperSize="9" orientation="portrait" horizontalDpi="0" verticalDpi="0" r:id="rId12"/>
  <drawing r:id="rId1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U14"/>
  <sheetViews>
    <sheetView topLeftCell="H1" workbookViewId="0">
      <selection activeCell="T11" sqref="T11"/>
    </sheetView>
  </sheetViews>
  <sheetFormatPr baseColWidth="10" defaultRowHeight="15"/>
  <cols>
    <col min="2" max="2" width="11.33203125" bestFit="1" customWidth="1"/>
    <col min="5" max="5" width="16.6640625" customWidth="1"/>
    <col min="6" max="6" width="26.1640625" customWidth="1"/>
    <col min="7" max="7" width="16" customWidth="1"/>
    <col min="11" max="11" width="11.33203125" bestFit="1" customWidth="1"/>
    <col min="14" max="14" width="11.1640625" bestFit="1" customWidth="1"/>
    <col min="16" max="16" width="13.33203125" bestFit="1" customWidth="1"/>
    <col min="20" max="20" width="13.83203125" bestFit="1" customWidth="1"/>
  </cols>
  <sheetData>
    <row r="3" spans="1:21">
      <c r="A3" s="84"/>
      <c r="B3" s="85"/>
      <c r="C3" s="86" t="s">
        <v>44</v>
      </c>
      <c r="D3" s="85"/>
      <c r="E3" s="87"/>
      <c r="F3" s="85"/>
      <c r="G3" s="88"/>
      <c r="H3" s="85"/>
      <c r="I3" s="85"/>
      <c r="J3" s="85"/>
      <c r="K3" s="89"/>
      <c r="L3" s="89"/>
      <c r="M3" s="85"/>
      <c r="N3" s="85"/>
      <c r="O3" s="90"/>
      <c r="P3" s="85"/>
      <c r="Q3" s="85"/>
      <c r="R3" s="85"/>
      <c r="S3" s="85"/>
      <c r="T3" s="85"/>
      <c r="U3" s="91"/>
    </row>
    <row r="4" spans="1:21">
      <c r="A4" s="84"/>
      <c r="B4" s="85"/>
      <c r="C4" s="92" t="s">
        <v>45</v>
      </c>
      <c r="D4" s="85"/>
      <c r="E4" s="85"/>
      <c r="F4" s="85"/>
      <c r="G4" s="88"/>
      <c r="H4" s="85"/>
      <c r="I4" s="85" t="s">
        <v>46</v>
      </c>
      <c r="J4" s="85"/>
      <c r="K4" s="89"/>
      <c r="L4" s="89"/>
      <c r="M4" s="175" t="s">
        <v>141</v>
      </c>
      <c r="N4" s="85"/>
      <c r="O4" s="90"/>
      <c r="P4" s="85"/>
      <c r="Q4" s="93"/>
      <c r="R4" s="85"/>
      <c r="S4" s="85"/>
      <c r="T4" s="94"/>
      <c r="U4" s="95">
        <v>45292</v>
      </c>
    </row>
    <row r="5" spans="1:21" ht="37">
      <c r="A5" s="91"/>
      <c r="B5" s="96" t="s">
        <v>2</v>
      </c>
      <c r="C5" s="96" t="s">
        <v>3</v>
      </c>
      <c r="D5" s="96" t="s">
        <v>4</v>
      </c>
      <c r="E5" s="96" t="s">
        <v>5</v>
      </c>
      <c r="F5" s="96" t="s">
        <v>6</v>
      </c>
      <c r="G5" s="96" t="s">
        <v>7</v>
      </c>
      <c r="H5" s="96" t="s">
        <v>8</v>
      </c>
      <c r="I5" s="96" t="s">
        <v>9</v>
      </c>
      <c r="J5" s="96" t="s">
        <v>10</v>
      </c>
      <c r="K5" s="97" t="s">
        <v>47</v>
      </c>
      <c r="L5" s="97" t="s">
        <v>12</v>
      </c>
      <c r="M5" s="97" t="s">
        <v>13</v>
      </c>
      <c r="N5" s="97" t="s">
        <v>14</v>
      </c>
      <c r="O5" s="98" t="s">
        <v>15</v>
      </c>
      <c r="P5" s="97" t="s">
        <v>48</v>
      </c>
      <c r="Q5" s="97" t="s">
        <v>49</v>
      </c>
      <c r="R5" s="99" t="s">
        <v>50</v>
      </c>
      <c r="S5" s="99" t="s">
        <v>19</v>
      </c>
      <c r="T5" s="100" t="s">
        <v>20</v>
      </c>
      <c r="U5" s="101" t="s">
        <v>51</v>
      </c>
    </row>
    <row r="6" spans="1:21" s="39" customFormat="1" ht="23.25" customHeight="1">
      <c r="A6" s="102">
        <v>1</v>
      </c>
      <c r="B6" s="119">
        <v>45377</v>
      </c>
      <c r="C6" s="120" t="s">
        <v>52</v>
      </c>
      <c r="D6" s="106" t="s">
        <v>53</v>
      </c>
      <c r="E6" s="107">
        <v>111570003</v>
      </c>
      <c r="F6" s="108" t="s">
        <v>106</v>
      </c>
      <c r="G6" s="121" t="s">
        <v>649</v>
      </c>
      <c r="H6" s="122" t="s">
        <v>42</v>
      </c>
      <c r="I6" s="123" t="s">
        <v>81</v>
      </c>
      <c r="J6" s="123" t="s">
        <v>82</v>
      </c>
      <c r="K6" s="119">
        <v>45377</v>
      </c>
      <c r="L6" s="120" t="s">
        <v>140</v>
      </c>
      <c r="M6" s="114" t="s">
        <v>107</v>
      </c>
      <c r="N6" s="231">
        <v>987844003</v>
      </c>
      <c r="O6" s="124">
        <v>29</v>
      </c>
      <c r="P6" s="120" t="s">
        <v>54</v>
      </c>
      <c r="Q6" s="120" t="s">
        <v>81</v>
      </c>
      <c r="R6" s="125">
        <v>0</v>
      </c>
      <c r="S6" s="125">
        <v>0</v>
      </c>
      <c r="T6" s="126"/>
      <c r="U6" s="174"/>
    </row>
    <row r="7" spans="1:21" s="39" customFormat="1" ht="18" customHeight="1">
      <c r="A7" s="102">
        <v>2</v>
      </c>
      <c r="B7" s="104">
        <v>45388</v>
      </c>
      <c r="C7" s="105" t="s">
        <v>105</v>
      </c>
      <c r="D7" s="106" t="s">
        <v>53</v>
      </c>
      <c r="E7" s="107">
        <v>111570003</v>
      </c>
      <c r="F7" s="108" t="s">
        <v>106</v>
      </c>
      <c r="G7" s="106" t="s">
        <v>646</v>
      </c>
      <c r="H7" s="109" t="s">
        <v>42</v>
      </c>
      <c r="I7" s="110" t="s">
        <v>81</v>
      </c>
      <c r="J7" s="111" t="s">
        <v>82</v>
      </c>
      <c r="K7" s="104">
        <v>45388</v>
      </c>
      <c r="L7" s="113" t="s">
        <v>105</v>
      </c>
      <c r="M7" s="114" t="s">
        <v>107</v>
      </c>
      <c r="N7" s="231">
        <v>987844003</v>
      </c>
      <c r="O7" s="115">
        <v>29</v>
      </c>
      <c r="P7" s="113" t="s">
        <v>54</v>
      </c>
      <c r="Q7" s="113" t="s">
        <v>81</v>
      </c>
      <c r="R7" s="116">
        <v>0</v>
      </c>
      <c r="S7" s="116">
        <v>0</v>
      </c>
      <c r="T7" s="117"/>
      <c r="U7" s="118"/>
    </row>
    <row r="8" spans="1:21" s="39" customFormat="1" ht="18">
      <c r="A8" s="102">
        <v>3</v>
      </c>
      <c r="B8" s="104">
        <v>45388</v>
      </c>
      <c r="C8" s="105" t="s">
        <v>91</v>
      </c>
      <c r="D8" s="106" t="s">
        <v>53</v>
      </c>
      <c r="E8" s="107">
        <v>111570003</v>
      </c>
      <c r="F8" s="108" t="s">
        <v>106</v>
      </c>
      <c r="G8" s="106" t="s">
        <v>647</v>
      </c>
      <c r="H8" s="109" t="s">
        <v>42</v>
      </c>
      <c r="I8" s="110" t="s">
        <v>81</v>
      </c>
      <c r="J8" s="111" t="s">
        <v>82</v>
      </c>
      <c r="K8" s="112">
        <v>45397</v>
      </c>
      <c r="L8" s="113" t="s">
        <v>330</v>
      </c>
      <c r="M8" s="114" t="s">
        <v>331</v>
      </c>
      <c r="N8" s="113">
        <v>984390534</v>
      </c>
      <c r="O8" s="115">
        <v>29</v>
      </c>
      <c r="P8" s="113" t="s">
        <v>54</v>
      </c>
      <c r="Q8" s="113" t="s">
        <v>81</v>
      </c>
      <c r="R8" s="116">
        <v>0</v>
      </c>
      <c r="S8" s="116">
        <v>0</v>
      </c>
      <c r="T8" s="117">
        <v>1801346915</v>
      </c>
      <c r="U8" s="226" t="s">
        <v>332</v>
      </c>
    </row>
    <row r="9" spans="1:21" s="39" customFormat="1" ht="18">
      <c r="A9" s="102">
        <v>4</v>
      </c>
      <c r="B9" s="104">
        <v>45326</v>
      </c>
      <c r="C9" s="105" t="s">
        <v>52</v>
      </c>
      <c r="D9" s="106" t="s">
        <v>53</v>
      </c>
      <c r="E9" s="107">
        <v>111570002</v>
      </c>
      <c r="F9" s="108" t="s">
        <v>433</v>
      </c>
      <c r="G9" s="106" t="s">
        <v>648</v>
      </c>
      <c r="H9" s="109" t="s">
        <v>42</v>
      </c>
      <c r="I9" s="110" t="s">
        <v>81</v>
      </c>
      <c r="J9" s="111" t="s">
        <v>82</v>
      </c>
      <c r="K9" s="112">
        <v>45400</v>
      </c>
      <c r="L9" s="113" t="s">
        <v>434</v>
      </c>
      <c r="M9" s="114" t="s">
        <v>435</v>
      </c>
      <c r="N9" s="113">
        <v>981047733</v>
      </c>
      <c r="O9" s="115">
        <v>29</v>
      </c>
      <c r="P9" s="113" t="s">
        <v>54</v>
      </c>
      <c r="Q9" s="113" t="s">
        <v>81</v>
      </c>
      <c r="R9" s="116">
        <v>0</v>
      </c>
      <c r="S9" s="116">
        <v>0</v>
      </c>
      <c r="T9" s="117">
        <v>103281093</v>
      </c>
      <c r="U9" s="226" t="s">
        <v>436</v>
      </c>
    </row>
    <row r="10" spans="1:21" ht="18">
      <c r="A10" s="102">
        <v>5</v>
      </c>
      <c r="B10" s="104">
        <v>45326</v>
      </c>
      <c r="C10" s="105" t="s">
        <v>91</v>
      </c>
      <c r="D10" s="106" t="s">
        <v>53</v>
      </c>
      <c r="E10" s="107">
        <v>111570003</v>
      </c>
      <c r="F10" s="108" t="s">
        <v>106</v>
      </c>
      <c r="G10" s="106" t="s">
        <v>645</v>
      </c>
      <c r="H10" s="109" t="s">
        <v>42</v>
      </c>
      <c r="I10" s="110" t="s">
        <v>81</v>
      </c>
      <c r="J10" s="111" t="s">
        <v>82</v>
      </c>
      <c r="K10" s="112">
        <v>45402</v>
      </c>
      <c r="L10" s="113" t="s">
        <v>642</v>
      </c>
      <c r="M10" s="114" t="s">
        <v>643</v>
      </c>
      <c r="N10" s="113">
        <v>992951138</v>
      </c>
      <c r="O10" s="115">
        <v>29</v>
      </c>
      <c r="P10" s="113" t="s">
        <v>54</v>
      </c>
      <c r="Q10" s="113" t="s">
        <v>81</v>
      </c>
      <c r="R10" s="116">
        <v>0</v>
      </c>
      <c r="S10" s="116">
        <v>0</v>
      </c>
      <c r="T10" s="117">
        <v>101393049</v>
      </c>
      <c r="U10" s="226" t="s">
        <v>644</v>
      </c>
    </row>
    <row r="11" spans="1:21" ht="18">
      <c r="A11" s="102">
        <v>6</v>
      </c>
      <c r="B11" s="104">
        <v>45254</v>
      </c>
      <c r="C11" s="105" t="s">
        <v>91</v>
      </c>
      <c r="D11" s="106" t="s">
        <v>53</v>
      </c>
      <c r="E11" s="107">
        <v>111570002</v>
      </c>
      <c r="F11" s="108" t="s">
        <v>689</v>
      </c>
      <c r="G11" s="106" t="s">
        <v>690</v>
      </c>
      <c r="H11" s="109" t="s">
        <v>42</v>
      </c>
      <c r="I11" s="110" t="s">
        <v>81</v>
      </c>
      <c r="J11" s="111" t="s">
        <v>82</v>
      </c>
      <c r="K11" s="112">
        <v>45402</v>
      </c>
      <c r="L11" s="113" t="s">
        <v>691</v>
      </c>
      <c r="M11" s="114" t="s">
        <v>536</v>
      </c>
      <c r="N11" s="113">
        <v>995102169</v>
      </c>
      <c r="O11" s="115">
        <v>29</v>
      </c>
      <c r="P11" s="113" t="s">
        <v>54</v>
      </c>
      <c r="Q11" s="113" t="s">
        <v>81</v>
      </c>
      <c r="R11" s="116">
        <v>0</v>
      </c>
      <c r="S11" s="116">
        <v>0</v>
      </c>
      <c r="T11" s="117">
        <v>190115798</v>
      </c>
      <c r="U11" s="226"/>
    </row>
    <row r="13" spans="1:21" ht="17">
      <c r="I13" s="103">
        <v>6</v>
      </c>
      <c r="J13" t="s">
        <v>46</v>
      </c>
      <c r="K13" s="103">
        <v>29</v>
      </c>
      <c r="L13" s="103">
        <f>I13*K13</f>
        <v>174</v>
      </c>
    </row>
    <row r="14" spans="1:21" ht="17">
      <c r="J14" s="103"/>
      <c r="K14" s="103"/>
      <c r="L14" s="103"/>
    </row>
  </sheetData>
  <hyperlinks>
    <hyperlink ref="U8" r:id="rId1" xr:uid="{00000000-0004-0000-0200-000000000000}"/>
    <hyperlink ref="U9" r:id="rId2" xr:uid="{00000000-0004-0000-0200-000001000000}"/>
    <hyperlink ref="U10" r:id="rId3" xr:uid="{00000000-0004-0000-0200-000002000000}"/>
  </hyperlink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V10"/>
  <sheetViews>
    <sheetView topLeftCell="G3" workbookViewId="0">
      <selection activeCell="P5" sqref="P5"/>
    </sheetView>
  </sheetViews>
  <sheetFormatPr baseColWidth="10" defaultRowHeight="15"/>
  <cols>
    <col min="5" max="5" width="15.33203125" customWidth="1"/>
    <col min="6" max="6" width="39.33203125" bestFit="1" customWidth="1"/>
    <col min="7" max="7" width="15.6640625" bestFit="1" customWidth="1"/>
    <col min="10" max="10" width="15.6640625" customWidth="1"/>
    <col min="11" max="11" width="18.6640625" customWidth="1"/>
    <col min="14" max="14" width="16" customWidth="1"/>
  </cols>
  <sheetData>
    <row r="3" spans="1:2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2">
      <c r="A4" s="5"/>
      <c r="B4" s="5"/>
      <c r="C4" s="127" t="s">
        <v>55</v>
      </c>
      <c r="D4" s="128"/>
      <c r="E4" s="128"/>
      <c r="F4" s="5"/>
      <c r="G4" s="128"/>
      <c r="H4" s="128"/>
      <c r="I4" s="128"/>
      <c r="J4" s="128"/>
      <c r="K4" s="128"/>
      <c r="L4" s="128"/>
      <c r="M4" s="128"/>
      <c r="N4" s="128"/>
      <c r="O4" s="128"/>
      <c r="P4" s="5"/>
    </row>
    <row r="5" spans="1:22" ht="16" thickBot="1">
      <c r="A5" s="5"/>
      <c r="B5" s="128"/>
      <c r="C5" s="129" t="s">
        <v>1</v>
      </c>
      <c r="D5" s="129"/>
      <c r="E5" s="129"/>
      <c r="F5" s="5"/>
      <c r="J5" t="s">
        <v>68</v>
      </c>
      <c r="K5" s="5"/>
      <c r="L5" s="137" t="s">
        <v>110</v>
      </c>
      <c r="P5" s="5"/>
    </row>
    <row r="6" spans="1:22" s="23" customFormat="1" ht="58.5" customHeight="1">
      <c r="A6" s="131"/>
      <c r="B6" s="132" t="s">
        <v>56</v>
      </c>
      <c r="C6" s="133" t="s">
        <v>57</v>
      </c>
      <c r="D6" s="133" t="s">
        <v>4</v>
      </c>
      <c r="E6" s="134" t="s">
        <v>58</v>
      </c>
      <c r="F6" s="133" t="s">
        <v>59</v>
      </c>
      <c r="G6" s="133" t="s">
        <v>60</v>
      </c>
      <c r="H6" s="132" t="s">
        <v>8</v>
      </c>
      <c r="I6" s="133" t="s">
        <v>61</v>
      </c>
      <c r="J6" s="133" t="s">
        <v>62</v>
      </c>
      <c r="K6" s="133" t="s">
        <v>63</v>
      </c>
      <c r="L6" s="133" t="s">
        <v>12</v>
      </c>
      <c r="M6" s="135" t="s">
        <v>64</v>
      </c>
      <c r="N6" s="133" t="s">
        <v>14</v>
      </c>
      <c r="O6" s="136" t="s">
        <v>15</v>
      </c>
      <c r="P6" s="133" t="s">
        <v>65</v>
      </c>
      <c r="Q6" s="135"/>
      <c r="R6" s="135"/>
    </row>
    <row r="7" spans="1:22" s="39" customFormat="1" ht="24" customHeight="1">
      <c r="A7" s="24">
        <v>1</v>
      </c>
      <c r="B7" s="25">
        <v>45390</v>
      </c>
      <c r="C7" s="26" t="s">
        <v>90</v>
      </c>
      <c r="D7" s="26" t="s">
        <v>66</v>
      </c>
      <c r="E7" s="27">
        <v>112950019</v>
      </c>
      <c r="F7" s="28" t="s">
        <v>101</v>
      </c>
      <c r="G7" s="29" t="s">
        <v>680</v>
      </c>
      <c r="H7" s="30" t="s">
        <v>42</v>
      </c>
      <c r="I7" s="26" t="s">
        <v>102</v>
      </c>
      <c r="J7" s="29" t="s">
        <v>103</v>
      </c>
      <c r="K7" s="31">
        <v>45390</v>
      </c>
      <c r="L7" s="32" t="s">
        <v>90</v>
      </c>
      <c r="M7" s="32" t="s">
        <v>104</v>
      </c>
      <c r="N7" s="224">
        <v>987665567</v>
      </c>
      <c r="O7" s="33">
        <v>15</v>
      </c>
      <c r="P7" s="26" t="s">
        <v>67</v>
      </c>
      <c r="Q7" s="26"/>
      <c r="R7" s="34"/>
      <c r="S7" s="35"/>
      <c r="T7" s="36"/>
      <c r="U7" s="37"/>
      <c r="V7" s="38"/>
    </row>
    <row r="8" spans="1:22">
      <c r="O8">
        <v>15</v>
      </c>
    </row>
    <row r="9" spans="1:22">
      <c r="O9" s="130"/>
    </row>
    <row r="10" spans="1:22">
      <c r="K10">
        <v>1</v>
      </c>
      <c r="L10" t="s">
        <v>139</v>
      </c>
      <c r="M10">
        <v>15</v>
      </c>
      <c r="N10">
        <f>K10*M10</f>
        <v>15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43"/>
  <sheetViews>
    <sheetView topLeftCell="A34" workbookViewId="0">
      <selection activeCell="K27" sqref="K27"/>
    </sheetView>
  </sheetViews>
  <sheetFormatPr baseColWidth="10" defaultRowHeight="15"/>
  <cols>
    <col min="3" max="3" width="11.33203125" customWidth="1"/>
    <col min="6" max="6" width="13.33203125" customWidth="1"/>
    <col min="11" max="11" width="20" customWidth="1"/>
  </cols>
  <sheetData>
    <row r="1" spans="1:21">
      <c r="A1" s="138"/>
      <c r="B1" s="139" t="s">
        <v>69</v>
      </c>
      <c r="C1" s="140"/>
      <c r="D1" s="139"/>
      <c r="E1" s="141"/>
      <c r="F1" s="141"/>
      <c r="G1" s="142"/>
      <c r="H1" s="142"/>
      <c r="I1" s="142"/>
      <c r="J1" s="142"/>
      <c r="K1" s="142"/>
      <c r="L1" s="142"/>
      <c r="M1" s="143"/>
      <c r="N1" s="142"/>
      <c r="O1" s="142"/>
      <c r="P1" s="142"/>
    </row>
    <row r="2" spans="1:21">
      <c r="A2" s="138"/>
      <c r="B2" s="144" t="s">
        <v>144</v>
      </c>
      <c r="C2" s="145"/>
      <c r="D2" s="141"/>
      <c r="E2" s="141"/>
      <c r="F2" s="141"/>
      <c r="G2" s="142"/>
      <c r="H2" s="142"/>
      <c r="I2" s="142"/>
      <c r="J2" s="142"/>
      <c r="K2" s="142"/>
      <c r="L2" s="142"/>
      <c r="M2" s="143"/>
      <c r="N2" s="142"/>
      <c r="O2" s="142"/>
      <c r="P2" s="142"/>
    </row>
    <row r="3" spans="1:21">
      <c r="A3" s="138"/>
      <c r="B3" s="146"/>
      <c r="C3" s="147"/>
      <c r="D3" s="146"/>
      <c r="E3" s="146"/>
      <c r="F3" s="146"/>
      <c r="G3" s="146"/>
      <c r="H3" s="146"/>
      <c r="I3" s="148"/>
      <c r="J3" s="146"/>
      <c r="K3" s="141"/>
      <c r="L3" s="141"/>
      <c r="M3" s="149"/>
      <c r="N3" s="142"/>
      <c r="O3" s="142"/>
      <c r="P3" s="146"/>
    </row>
    <row r="4" spans="1:21">
      <c r="A4" s="138"/>
      <c r="B4" s="142"/>
      <c r="C4" s="147" t="s">
        <v>0</v>
      </c>
      <c r="D4" s="142"/>
      <c r="E4" s="150"/>
      <c r="F4" s="142"/>
      <c r="G4" s="151"/>
      <c r="H4" s="142"/>
      <c r="I4" s="142"/>
      <c r="J4" s="142"/>
      <c r="K4" s="141"/>
      <c r="L4" s="145"/>
      <c r="M4" s="143"/>
      <c r="N4" s="142"/>
      <c r="O4" s="142"/>
      <c r="P4" s="142"/>
    </row>
    <row r="5" spans="1:21">
      <c r="A5" s="138"/>
      <c r="B5" s="142"/>
      <c r="C5" s="152" t="s">
        <v>1</v>
      </c>
      <c r="D5" s="152" t="s">
        <v>1</v>
      </c>
      <c r="E5" s="142"/>
      <c r="G5" s="142"/>
      <c r="H5" s="142"/>
      <c r="I5" s="142"/>
      <c r="J5" s="142" t="s">
        <v>79</v>
      </c>
      <c r="K5" s="142"/>
      <c r="L5" s="142"/>
      <c r="M5" s="142" t="s">
        <v>145</v>
      </c>
    </row>
    <row r="6" spans="1:21" ht="37">
      <c r="A6" s="138"/>
      <c r="B6" s="153" t="s">
        <v>2</v>
      </c>
      <c r="C6" s="153" t="s">
        <v>3</v>
      </c>
      <c r="D6" s="153" t="s">
        <v>4</v>
      </c>
      <c r="E6" s="153" t="s">
        <v>5</v>
      </c>
      <c r="F6" s="154" t="s">
        <v>6</v>
      </c>
      <c r="G6" s="153" t="s">
        <v>7</v>
      </c>
      <c r="H6" s="153" t="s">
        <v>8</v>
      </c>
      <c r="I6" s="153" t="s">
        <v>9</v>
      </c>
      <c r="J6" s="153" t="s">
        <v>10</v>
      </c>
      <c r="K6" s="153" t="s">
        <v>11</v>
      </c>
      <c r="L6" s="153" t="s">
        <v>71</v>
      </c>
      <c r="M6" s="155" t="s">
        <v>72</v>
      </c>
      <c r="N6" s="153" t="s">
        <v>73</v>
      </c>
      <c r="O6" s="153" t="s">
        <v>70</v>
      </c>
      <c r="P6" s="153" t="s">
        <v>74</v>
      </c>
      <c r="Q6" s="153" t="s">
        <v>75</v>
      </c>
      <c r="R6" s="153" t="s">
        <v>76</v>
      </c>
      <c r="S6" s="153" t="s">
        <v>77</v>
      </c>
      <c r="T6" s="155" t="s">
        <v>78</v>
      </c>
      <c r="U6" s="153" t="s">
        <v>13</v>
      </c>
    </row>
    <row r="7" spans="1:21" s="40" customFormat="1" ht="24" customHeight="1">
      <c r="A7" s="40">
        <v>1</v>
      </c>
      <c r="B7" s="156">
        <v>45132</v>
      </c>
      <c r="C7" s="157" t="s">
        <v>272</v>
      </c>
      <c r="D7" s="157" t="s">
        <v>273</v>
      </c>
      <c r="E7" s="158">
        <v>40467320</v>
      </c>
      <c r="F7" s="157" t="s">
        <v>133</v>
      </c>
      <c r="G7" s="159" t="s">
        <v>280</v>
      </c>
      <c r="H7" s="160" t="s">
        <v>42</v>
      </c>
      <c r="I7" s="161" t="s">
        <v>274</v>
      </c>
      <c r="J7" s="161" t="s">
        <v>82</v>
      </c>
      <c r="K7" s="162">
        <v>45386</v>
      </c>
      <c r="L7" s="163" t="s">
        <v>275</v>
      </c>
      <c r="M7" s="163">
        <v>995112362</v>
      </c>
      <c r="N7" s="164">
        <v>15</v>
      </c>
      <c r="O7" s="165" t="s">
        <v>276</v>
      </c>
      <c r="P7" s="157">
        <v>104581434</v>
      </c>
      <c r="Q7" s="225" t="s">
        <v>277</v>
      </c>
      <c r="R7" s="167" t="s">
        <v>279</v>
      </c>
      <c r="S7" s="163"/>
      <c r="T7" s="163"/>
      <c r="U7" s="166" t="s">
        <v>278</v>
      </c>
    </row>
    <row r="8" spans="1:21" s="40" customFormat="1" ht="24" customHeight="1">
      <c r="A8" s="40">
        <v>2</v>
      </c>
      <c r="B8" s="156">
        <v>45132</v>
      </c>
      <c r="C8" s="157" t="s">
        <v>272</v>
      </c>
      <c r="D8" s="157" t="s">
        <v>273</v>
      </c>
      <c r="E8" s="158">
        <v>40584012</v>
      </c>
      <c r="F8" s="157" t="s">
        <v>219</v>
      </c>
      <c r="G8" s="159" t="s">
        <v>281</v>
      </c>
      <c r="H8" s="160" t="s">
        <v>42</v>
      </c>
      <c r="I8" s="161" t="s">
        <v>274</v>
      </c>
      <c r="J8" s="161" t="s">
        <v>82</v>
      </c>
      <c r="K8" s="162">
        <v>45386</v>
      </c>
      <c r="L8" s="163" t="s">
        <v>275</v>
      </c>
      <c r="M8" s="163">
        <v>995112362</v>
      </c>
      <c r="N8" s="164">
        <v>15</v>
      </c>
      <c r="O8" s="165" t="s">
        <v>276</v>
      </c>
      <c r="P8" s="157">
        <v>104581434</v>
      </c>
      <c r="Q8" s="225" t="s">
        <v>277</v>
      </c>
      <c r="R8" s="167" t="s">
        <v>279</v>
      </c>
      <c r="S8" s="163"/>
      <c r="T8" s="163"/>
      <c r="U8" s="166" t="s">
        <v>278</v>
      </c>
    </row>
    <row r="9" spans="1:21" s="40" customFormat="1" ht="24" customHeight="1">
      <c r="A9" s="40">
        <v>3</v>
      </c>
      <c r="B9" s="156">
        <v>45132</v>
      </c>
      <c r="C9" s="157" t="s">
        <v>272</v>
      </c>
      <c r="D9" s="157" t="s">
        <v>273</v>
      </c>
      <c r="E9" s="158">
        <v>41560041</v>
      </c>
      <c r="F9" s="157" t="s">
        <v>282</v>
      </c>
      <c r="G9" s="159" t="s">
        <v>283</v>
      </c>
      <c r="H9" s="160" t="s">
        <v>42</v>
      </c>
      <c r="I9" s="161" t="s">
        <v>274</v>
      </c>
      <c r="J9" s="161" t="s">
        <v>82</v>
      </c>
      <c r="K9" s="162">
        <v>45386</v>
      </c>
      <c r="L9" s="163" t="s">
        <v>275</v>
      </c>
      <c r="M9" s="163">
        <v>995112362</v>
      </c>
      <c r="N9" s="164">
        <v>15</v>
      </c>
      <c r="O9" s="165" t="s">
        <v>276</v>
      </c>
      <c r="P9" s="157">
        <v>104581434</v>
      </c>
      <c r="Q9" s="225" t="s">
        <v>277</v>
      </c>
      <c r="R9" s="167" t="s">
        <v>279</v>
      </c>
      <c r="S9" s="163"/>
      <c r="T9" s="163"/>
      <c r="U9" s="166" t="s">
        <v>278</v>
      </c>
    </row>
    <row r="10" spans="1:21" s="40" customFormat="1" ht="24" customHeight="1">
      <c r="A10" s="40">
        <v>4</v>
      </c>
      <c r="B10" s="156">
        <v>45132</v>
      </c>
      <c r="C10" s="157" t="s">
        <v>272</v>
      </c>
      <c r="D10" s="157" t="s">
        <v>273</v>
      </c>
      <c r="E10" s="158">
        <v>40212014</v>
      </c>
      <c r="F10" s="157" t="s">
        <v>284</v>
      </c>
      <c r="G10" s="159" t="s">
        <v>280</v>
      </c>
      <c r="H10" s="160" t="s">
        <v>42</v>
      </c>
      <c r="I10" s="161" t="s">
        <v>274</v>
      </c>
      <c r="J10" s="161" t="s">
        <v>82</v>
      </c>
      <c r="K10" s="162">
        <v>45386</v>
      </c>
      <c r="L10" s="163" t="s">
        <v>275</v>
      </c>
      <c r="M10" s="163">
        <v>995112362</v>
      </c>
      <c r="N10" s="164">
        <v>15</v>
      </c>
      <c r="O10" s="165" t="s">
        <v>276</v>
      </c>
      <c r="P10" s="157">
        <v>104581434</v>
      </c>
      <c r="Q10" s="225" t="s">
        <v>277</v>
      </c>
      <c r="R10" s="167" t="s">
        <v>279</v>
      </c>
      <c r="S10" s="163"/>
      <c r="T10" s="163"/>
      <c r="U10" s="166" t="s">
        <v>278</v>
      </c>
    </row>
    <row r="11" spans="1:21" s="40" customFormat="1" ht="24" customHeight="1">
      <c r="A11" s="40">
        <v>5</v>
      </c>
      <c r="B11" s="156">
        <v>45132</v>
      </c>
      <c r="C11" s="157" t="s">
        <v>272</v>
      </c>
      <c r="D11" s="157" t="s">
        <v>273</v>
      </c>
      <c r="E11" s="158">
        <v>40467320</v>
      </c>
      <c r="F11" s="157" t="s">
        <v>133</v>
      </c>
      <c r="G11" s="159" t="s">
        <v>285</v>
      </c>
      <c r="H11" s="160" t="s">
        <v>42</v>
      </c>
      <c r="I11" s="161" t="s">
        <v>274</v>
      </c>
      <c r="J11" s="161" t="s">
        <v>82</v>
      </c>
      <c r="K11" s="162">
        <v>45386</v>
      </c>
      <c r="L11" s="163" t="s">
        <v>275</v>
      </c>
      <c r="M11" s="163">
        <v>995112362</v>
      </c>
      <c r="N11" s="164">
        <v>15</v>
      </c>
      <c r="O11" s="165" t="s">
        <v>276</v>
      </c>
      <c r="P11" s="157">
        <v>104581434</v>
      </c>
      <c r="Q11" s="225" t="s">
        <v>277</v>
      </c>
      <c r="R11" s="167" t="s">
        <v>289</v>
      </c>
      <c r="S11" s="163"/>
      <c r="T11" s="163"/>
      <c r="U11" s="166" t="s">
        <v>278</v>
      </c>
    </row>
    <row r="12" spans="1:21" s="40" customFormat="1" ht="24" customHeight="1">
      <c r="A12" s="40">
        <v>6</v>
      </c>
      <c r="B12" s="156">
        <v>45132</v>
      </c>
      <c r="C12" s="157" t="s">
        <v>272</v>
      </c>
      <c r="D12" s="157" t="s">
        <v>273</v>
      </c>
      <c r="E12" s="158">
        <v>40584012</v>
      </c>
      <c r="F12" s="157" t="s">
        <v>219</v>
      </c>
      <c r="G12" s="159" t="s">
        <v>286</v>
      </c>
      <c r="H12" s="160" t="s">
        <v>42</v>
      </c>
      <c r="I12" s="161" t="s">
        <v>274</v>
      </c>
      <c r="J12" s="161" t="s">
        <v>82</v>
      </c>
      <c r="K12" s="162">
        <v>45386</v>
      </c>
      <c r="L12" s="163" t="s">
        <v>275</v>
      </c>
      <c r="M12" s="163">
        <v>995112362</v>
      </c>
      <c r="N12" s="164">
        <v>15</v>
      </c>
      <c r="O12" s="165" t="s">
        <v>276</v>
      </c>
      <c r="P12" s="157">
        <v>104581434</v>
      </c>
      <c r="Q12" s="225" t="s">
        <v>277</v>
      </c>
      <c r="R12" s="167" t="s">
        <v>289</v>
      </c>
      <c r="S12" s="163"/>
      <c r="T12" s="163"/>
      <c r="U12" s="166" t="s">
        <v>278</v>
      </c>
    </row>
    <row r="13" spans="1:21" s="40" customFormat="1" ht="24" customHeight="1">
      <c r="A13" s="40">
        <v>7</v>
      </c>
      <c r="B13" s="156">
        <v>45132</v>
      </c>
      <c r="C13" s="157" t="s">
        <v>272</v>
      </c>
      <c r="D13" s="157" t="s">
        <v>273</v>
      </c>
      <c r="E13" s="158">
        <v>41560041</v>
      </c>
      <c r="F13" s="157" t="s">
        <v>282</v>
      </c>
      <c r="G13" s="159" t="s">
        <v>287</v>
      </c>
      <c r="H13" s="160" t="s">
        <v>42</v>
      </c>
      <c r="I13" s="161" t="s">
        <v>274</v>
      </c>
      <c r="J13" s="161" t="s">
        <v>82</v>
      </c>
      <c r="K13" s="162">
        <v>45386</v>
      </c>
      <c r="L13" s="163" t="s">
        <v>275</v>
      </c>
      <c r="M13" s="163">
        <v>995112362</v>
      </c>
      <c r="N13" s="164">
        <v>15</v>
      </c>
      <c r="O13" s="165" t="s">
        <v>276</v>
      </c>
      <c r="P13" s="157">
        <v>104581434</v>
      </c>
      <c r="Q13" s="225" t="s">
        <v>277</v>
      </c>
      <c r="R13" s="167" t="s">
        <v>289</v>
      </c>
      <c r="S13" s="163"/>
      <c r="T13" s="163"/>
      <c r="U13" s="166" t="s">
        <v>278</v>
      </c>
    </row>
    <row r="14" spans="1:21" s="40" customFormat="1" ht="24" customHeight="1">
      <c r="A14" s="40">
        <v>8</v>
      </c>
      <c r="B14" s="156">
        <v>45132</v>
      </c>
      <c r="C14" s="157" t="s">
        <v>272</v>
      </c>
      <c r="D14" s="157" t="s">
        <v>273</v>
      </c>
      <c r="E14" s="158">
        <v>40212014</v>
      </c>
      <c r="F14" s="157" t="s">
        <v>284</v>
      </c>
      <c r="G14" s="159" t="s">
        <v>288</v>
      </c>
      <c r="H14" s="160" t="s">
        <v>42</v>
      </c>
      <c r="I14" s="161" t="s">
        <v>274</v>
      </c>
      <c r="J14" s="161" t="s">
        <v>82</v>
      </c>
      <c r="K14" s="162">
        <v>45386</v>
      </c>
      <c r="L14" s="163" t="s">
        <v>275</v>
      </c>
      <c r="M14" s="163">
        <v>995112362</v>
      </c>
      <c r="N14" s="164">
        <v>15</v>
      </c>
      <c r="O14" s="165" t="s">
        <v>276</v>
      </c>
      <c r="P14" s="157">
        <v>104581434</v>
      </c>
      <c r="Q14" s="225" t="s">
        <v>277</v>
      </c>
      <c r="R14" s="167" t="s">
        <v>289</v>
      </c>
      <c r="S14" s="163"/>
      <c r="T14" s="163"/>
      <c r="U14" s="166" t="s">
        <v>278</v>
      </c>
    </row>
    <row r="15" spans="1:21" s="40" customFormat="1" ht="24" customHeight="1">
      <c r="A15" s="40">
        <v>9</v>
      </c>
      <c r="B15" s="156">
        <v>45132</v>
      </c>
      <c r="C15" s="157" t="s">
        <v>272</v>
      </c>
      <c r="D15" s="157" t="s">
        <v>273</v>
      </c>
      <c r="E15" s="158">
        <v>40467320</v>
      </c>
      <c r="F15" s="157" t="s">
        <v>133</v>
      </c>
      <c r="G15" s="159" t="s">
        <v>291</v>
      </c>
      <c r="H15" s="160" t="s">
        <v>42</v>
      </c>
      <c r="I15" s="161" t="s">
        <v>274</v>
      </c>
      <c r="J15" s="161" t="s">
        <v>82</v>
      </c>
      <c r="K15" s="162">
        <v>45386</v>
      </c>
      <c r="L15" s="163" t="s">
        <v>275</v>
      </c>
      <c r="M15" s="163">
        <v>995112362</v>
      </c>
      <c r="N15" s="164">
        <v>15</v>
      </c>
      <c r="O15" s="165" t="s">
        <v>276</v>
      </c>
      <c r="P15" s="157">
        <v>104581434</v>
      </c>
      <c r="Q15" s="225" t="s">
        <v>277</v>
      </c>
      <c r="R15" s="167" t="s">
        <v>290</v>
      </c>
      <c r="S15" s="163"/>
      <c r="T15" s="163"/>
      <c r="U15" s="166" t="s">
        <v>278</v>
      </c>
    </row>
    <row r="16" spans="1:21" s="40" customFormat="1" ht="24" customHeight="1">
      <c r="A16" s="40">
        <v>10</v>
      </c>
      <c r="B16" s="156">
        <v>45132</v>
      </c>
      <c r="C16" s="157" t="s">
        <v>272</v>
      </c>
      <c r="D16" s="157" t="s">
        <v>273</v>
      </c>
      <c r="E16" s="158">
        <v>40584012</v>
      </c>
      <c r="F16" s="157" t="s">
        <v>219</v>
      </c>
      <c r="G16" s="159" t="s">
        <v>292</v>
      </c>
      <c r="H16" s="160" t="s">
        <v>42</v>
      </c>
      <c r="I16" s="161" t="s">
        <v>274</v>
      </c>
      <c r="J16" s="161" t="s">
        <v>82</v>
      </c>
      <c r="K16" s="162">
        <v>45386</v>
      </c>
      <c r="L16" s="163" t="s">
        <v>275</v>
      </c>
      <c r="M16" s="163">
        <v>995112362</v>
      </c>
      <c r="N16" s="164">
        <v>15</v>
      </c>
      <c r="O16" s="165" t="s">
        <v>276</v>
      </c>
      <c r="P16" s="157">
        <v>104581434</v>
      </c>
      <c r="Q16" s="225" t="s">
        <v>277</v>
      </c>
      <c r="R16" s="167" t="s">
        <v>290</v>
      </c>
      <c r="S16" s="163"/>
      <c r="T16" s="163"/>
      <c r="U16" s="166" t="s">
        <v>278</v>
      </c>
    </row>
    <row r="17" spans="1:21" s="40" customFormat="1" ht="24" customHeight="1">
      <c r="A17" s="40">
        <v>11</v>
      </c>
      <c r="B17" s="156">
        <v>45132</v>
      </c>
      <c r="C17" s="157" t="s">
        <v>272</v>
      </c>
      <c r="D17" s="157" t="s">
        <v>273</v>
      </c>
      <c r="E17" s="158">
        <v>41560041</v>
      </c>
      <c r="F17" s="157" t="s">
        <v>282</v>
      </c>
      <c r="G17" s="159" t="s">
        <v>293</v>
      </c>
      <c r="H17" s="160" t="s">
        <v>42</v>
      </c>
      <c r="I17" s="161" t="s">
        <v>274</v>
      </c>
      <c r="J17" s="161" t="s">
        <v>82</v>
      </c>
      <c r="K17" s="162">
        <v>45386</v>
      </c>
      <c r="L17" s="163" t="s">
        <v>275</v>
      </c>
      <c r="M17" s="163">
        <v>995112362</v>
      </c>
      <c r="N17" s="164">
        <v>15</v>
      </c>
      <c r="O17" s="165" t="s">
        <v>276</v>
      </c>
      <c r="P17" s="157">
        <v>104581434</v>
      </c>
      <c r="Q17" s="225" t="s">
        <v>277</v>
      </c>
      <c r="R17" s="167" t="s">
        <v>290</v>
      </c>
      <c r="S17" s="163"/>
      <c r="T17" s="163"/>
      <c r="U17" s="166" t="s">
        <v>278</v>
      </c>
    </row>
    <row r="18" spans="1:21" s="40" customFormat="1" ht="24" customHeight="1">
      <c r="A18" s="40">
        <v>12</v>
      </c>
      <c r="B18" s="156">
        <v>45132</v>
      </c>
      <c r="C18" s="157" t="s">
        <v>272</v>
      </c>
      <c r="D18" s="157" t="s">
        <v>273</v>
      </c>
      <c r="E18" s="158">
        <v>40212014</v>
      </c>
      <c r="F18" s="157" t="s">
        <v>284</v>
      </c>
      <c r="G18" s="159" t="s">
        <v>294</v>
      </c>
      <c r="H18" s="160" t="s">
        <v>42</v>
      </c>
      <c r="I18" s="161" t="s">
        <v>274</v>
      </c>
      <c r="J18" s="161" t="s">
        <v>82</v>
      </c>
      <c r="K18" s="162">
        <v>45386</v>
      </c>
      <c r="L18" s="163" t="s">
        <v>275</v>
      </c>
      <c r="M18" s="163">
        <v>995112362</v>
      </c>
      <c r="N18" s="164">
        <v>15</v>
      </c>
      <c r="O18" s="165" t="s">
        <v>276</v>
      </c>
      <c r="P18" s="157">
        <v>104581434</v>
      </c>
      <c r="Q18" s="225" t="s">
        <v>277</v>
      </c>
      <c r="R18" s="167" t="s">
        <v>290</v>
      </c>
      <c r="S18" s="163"/>
      <c r="T18" s="163"/>
      <c r="U18" s="166" t="s">
        <v>278</v>
      </c>
    </row>
    <row r="19" spans="1:21" s="40" customFormat="1" ht="24" customHeight="1">
      <c r="A19" s="40">
        <v>13</v>
      </c>
      <c r="B19" s="156">
        <v>45132</v>
      </c>
      <c r="C19" s="157" t="s">
        <v>272</v>
      </c>
      <c r="D19" s="157" t="s">
        <v>273</v>
      </c>
      <c r="E19" s="158">
        <v>40467320</v>
      </c>
      <c r="F19" s="157" t="s">
        <v>133</v>
      </c>
      <c r="G19" s="159" t="s">
        <v>291</v>
      </c>
      <c r="H19" s="160" t="s">
        <v>42</v>
      </c>
      <c r="I19" s="161" t="s">
        <v>274</v>
      </c>
      <c r="J19" s="161" t="s">
        <v>82</v>
      </c>
      <c r="K19" s="162">
        <v>45386</v>
      </c>
      <c r="L19" s="163" t="s">
        <v>275</v>
      </c>
      <c r="M19" s="163">
        <v>995112362</v>
      </c>
      <c r="N19" s="164">
        <v>15</v>
      </c>
      <c r="O19" s="165" t="s">
        <v>276</v>
      </c>
      <c r="P19" s="157">
        <v>104581434</v>
      </c>
      <c r="Q19" s="225" t="s">
        <v>277</v>
      </c>
      <c r="R19" s="167" t="s">
        <v>295</v>
      </c>
      <c r="S19" s="163"/>
      <c r="T19" s="163"/>
      <c r="U19" s="166" t="s">
        <v>278</v>
      </c>
    </row>
    <row r="20" spans="1:21" s="40" customFormat="1" ht="24" customHeight="1">
      <c r="A20" s="40">
        <v>14</v>
      </c>
      <c r="B20" s="156">
        <v>45132</v>
      </c>
      <c r="C20" s="157" t="s">
        <v>272</v>
      </c>
      <c r="D20" s="157" t="s">
        <v>273</v>
      </c>
      <c r="E20" s="158">
        <v>40584012</v>
      </c>
      <c r="F20" s="157" t="s">
        <v>219</v>
      </c>
      <c r="G20" s="159" t="s">
        <v>292</v>
      </c>
      <c r="H20" s="160" t="s">
        <v>42</v>
      </c>
      <c r="I20" s="161" t="s">
        <v>274</v>
      </c>
      <c r="J20" s="161" t="s">
        <v>82</v>
      </c>
      <c r="K20" s="162">
        <v>45386</v>
      </c>
      <c r="L20" s="163" t="s">
        <v>275</v>
      </c>
      <c r="M20" s="163">
        <v>995112362</v>
      </c>
      <c r="N20" s="164">
        <v>15</v>
      </c>
      <c r="O20" s="165" t="s">
        <v>276</v>
      </c>
      <c r="P20" s="157">
        <v>104581434</v>
      </c>
      <c r="Q20" s="225" t="s">
        <v>277</v>
      </c>
      <c r="R20" s="167" t="s">
        <v>295</v>
      </c>
      <c r="S20" s="163"/>
      <c r="T20" s="163"/>
      <c r="U20" s="166" t="s">
        <v>278</v>
      </c>
    </row>
    <row r="21" spans="1:21" s="40" customFormat="1" ht="24" customHeight="1">
      <c r="A21" s="40">
        <v>15</v>
      </c>
      <c r="B21" s="156">
        <v>45132</v>
      </c>
      <c r="C21" s="157" t="s">
        <v>272</v>
      </c>
      <c r="D21" s="157" t="s">
        <v>273</v>
      </c>
      <c r="E21" s="158">
        <v>41560041</v>
      </c>
      <c r="F21" s="157" t="s">
        <v>282</v>
      </c>
      <c r="G21" s="159" t="s">
        <v>293</v>
      </c>
      <c r="H21" s="160" t="s">
        <v>42</v>
      </c>
      <c r="I21" s="161" t="s">
        <v>274</v>
      </c>
      <c r="J21" s="161" t="s">
        <v>82</v>
      </c>
      <c r="K21" s="162">
        <v>45386</v>
      </c>
      <c r="L21" s="163" t="s">
        <v>275</v>
      </c>
      <c r="M21" s="163">
        <v>995112362</v>
      </c>
      <c r="N21" s="164">
        <v>15</v>
      </c>
      <c r="O21" s="165" t="s">
        <v>276</v>
      </c>
      <c r="P21" s="157">
        <v>104581434</v>
      </c>
      <c r="Q21" s="225" t="s">
        <v>277</v>
      </c>
      <c r="R21" s="167" t="s">
        <v>295</v>
      </c>
      <c r="S21" s="163"/>
      <c r="T21" s="163"/>
      <c r="U21" s="166" t="s">
        <v>278</v>
      </c>
    </row>
    <row r="22" spans="1:21" s="40" customFormat="1" ht="24" customHeight="1">
      <c r="A22" s="40">
        <v>16</v>
      </c>
      <c r="B22" s="156">
        <v>45132</v>
      </c>
      <c r="C22" s="157" t="s">
        <v>272</v>
      </c>
      <c r="D22" s="157" t="s">
        <v>273</v>
      </c>
      <c r="E22" s="158">
        <v>40212014</v>
      </c>
      <c r="F22" s="157" t="s">
        <v>284</v>
      </c>
      <c r="G22" s="159" t="s">
        <v>294</v>
      </c>
      <c r="H22" s="160" t="s">
        <v>42</v>
      </c>
      <c r="I22" s="161" t="s">
        <v>274</v>
      </c>
      <c r="J22" s="161" t="s">
        <v>82</v>
      </c>
      <c r="K22" s="162">
        <v>45386</v>
      </c>
      <c r="L22" s="163" t="s">
        <v>275</v>
      </c>
      <c r="M22" s="163">
        <v>995112362</v>
      </c>
      <c r="N22" s="164">
        <v>15</v>
      </c>
      <c r="O22" s="165" t="s">
        <v>276</v>
      </c>
      <c r="P22" s="157">
        <v>104581434</v>
      </c>
      <c r="Q22" s="225" t="s">
        <v>277</v>
      </c>
      <c r="R22" s="167" t="s">
        <v>295</v>
      </c>
      <c r="S22" s="163"/>
      <c r="T22" s="163"/>
      <c r="U22" s="166" t="s">
        <v>278</v>
      </c>
    </row>
    <row r="23" spans="1:21" s="40" customFormat="1" ht="24" customHeight="1">
      <c r="A23" s="40">
        <v>17</v>
      </c>
      <c r="B23" s="156">
        <v>45132</v>
      </c>
      <c r="C23" s="157" t="s">
        <v>272</v>
      </c>
      <c r="D23" s="157" t="s">
        <v>273</v>
      </c>
      <c r="E23" s="158">
        <v>40467320</v>
      </c>
      <c r="F23" s="157" t="s">
        <v>133</v>
      </c>
      <c r="G23" s="159" t="s">
        <v>297</v>
      </c>
      <c r="H23" s="160" t="s">
        <v>42</v>
      </c>
      <c r="I23" s="161" t="s">
        <v>274</v>
      </c>
      <c r="J23" s="161" t="s">
        <v>82</v>
      </c>
      <c r="K23" s="162">
        <v>45386</v>
      </c>
      <c r="L23" s="163" t="s">
        <v>275</v>
      </c>
      <c r="M23" s="163">
        <v>995112362</v>
      </c>
      <c r="N23" s="164">
        <v>15</v>
      </c>
      <c r="O23" s="165" t="s">
        <v>276</v>
      </c>
      <c r="P23" s="157">
        <v>104581434</v>
      </c>
      <c r="Q23" s="225" t="s">
        <v>277</v>
      </c>
      <c r="R23" s="167" t="s">
        <v>296</v>
      </c>
      <c r="S23" s="163"/>
      <c r="T23" s="163"/>
      <c r="U23" s="166" t="s">
        <v>278</v>
      </c>
    </row>
    <row r="24" spans="1:21" s="40" customFormat="1" ht="24" customHeight="1">
      <c r="A24" s="40">
        <v>18</v>
      </c>
      <c r="B24" s="156">
        <v>45132</v>
      </c>
      <c r="C24" s="157" t="s">
        <v>272</v>
      </c>
      <c r="D24" s="157" t="s">
        <v>273</v>
      </c>
      <c r="E24" s="158">
        <v>40584012</v>
      </c>
      <c r="F24" s="157" t="s">
        <v>219</v>
      </c>
      <c r="G24" s="159" t="s">
        <v>298</v>
      </c>
      <c r="H24" s="160" t="s">
        <v>42</v>
      </c>
      <c r="I24" s="161" t="s">
        <v>274</v>
      </c>
      <c r="J24" s="161" t="s">
        <v>82</v>
      </c>
      <c r="K24" s="162">
        <v>45386</v>
      </c>
      <c r="L24" s="163" t="s">
        <v>275</v>
      </c>
      <c r="M24" s="163">
        <v>995112362</v>
      </c>
      <c r="N24" s="164">
        <v>15</v>
      </c>
      <c r="O24" s="165" t="s">
        <v>276</v>
      </c>
      <c r="P24" s="157">
        <v>104581434</v>
      </c>
      <c r="Q24" s="225" t="s">
        <v>277</v>
      </c>
      <c r="R24" s="167" t="s">
        <v>296</v>
      </c>
      <c r="S24" s="163"/>
      <c r="T24" s="163"/>
      <c r="U24" s="166" t="s">
        <v>278</v>
      </c>
    </row>
    <row r="25" spans="1:21" s="40" customFormat="1" ht="24" customHeight="1">
      <c r="A25" s="40">
        <v>19</v>
      </c>
      <c r="B25" s="156">
        <v>45132</v>
      </c>
      <c r="C25" s="157" t="s">
        <v>272</v>
      </c>
      <c r="D25" s="157" t="s">
        <v>273</v>
      </c>
      <c r="E25" s="158">
        <v>41560041</v>
      </c>
      <c r="F25" s="157" t="s">
        <v>282</v>
      </c>
      <c r="G25" s="159" t="s">
        <v>299</v>
      </c>
      <c r="H25" s="160" t="s">
        <v>42</v>
      </c>
      <c r="I25" s="161" t="s">
        <v>274</v>
      </c>
      <c r="J25" s="161" t="s">
        <v>82</v>
      </c>
      <c r="K25" s="162">
        <v>45386</v>
      </c>
      <c r="L25" s="163" t="s">
        <v>275</v>
      </c>
      <c r="M25" s="163">
        <v>995112362</v>
      </c>
      <c r="N25" s="164">
        <v>15</v>
      </c>
      <c r="O25" s="165" t="s">
        <v>276</v>
      </c>
      <c r="P25" s="157">
        <v>104581434</v>
      </c>
      <c r="Q25" s="225" t="s">
        <v>277</v>
      </c>
      <c r="R25" s="167" t="s">
        <v>296</v>
      </c>
      <c r="S25" s="163"/>
      <c r="T25" s="163"/>
      <c r="U25" s="166" t="s">
        <v>278</v>
      </c>
    </row>
    <row r="26" spans="1:21" s="40" customFormat="1" ht="24" customHeight="1">
      <c r="A26" s="40">
        <v>20</v>
      </c>
      <c r="B26" s="156">
        <v>45132</v>
      </c>
      <c r="C26" s="157" t="s">
        <v>272</v>
      </c>
      <c r="D26" s="157" t="s">
        <v>273</v>
      </c>
      <c r="E26" s="158">
        <v>40212014</v>
      </c>
      <c r="F26" s="157" t="s">
        <v>284</v>
      </c>
      <c r="G26" s="159" t="s">
        <v>300</v>
      </c>
      <c r="H26" s="160" t="s">
        <v>42</v>
      </c>
      <c r="I26" s="161" t="s">
        <v>274</v>
      </c>
      <c r="J26" s="161" t="s">
        <v>82</v>
      </c>
      <c r="K26" s="162">
        <v>45386</v>
      </c>
      <c r="L26" s="163" t="s">
        <v>275</v>
      </c>
      <c r="M26" s="163">
        <v>995112362</v>
      </c>
      <c r="N26" s="164">
        <v>15</v>
      </c>
      <c r="O26" s="165" t="s">
        <v>276</v>
      </c>
      <c r="P26" s="157">
        <v>104581434</v>
      </c>
      <c r="Q26" s="225" t="s">
        <v>277</v>
      </c>
      <c r="R26" s="167" t="s">
        <v>296</v>
      </c>
      <c r="S26" s="163"/>
      <c r="T26" s="163"/>
      <c r="U26" s="166" t="s">
        <v>278</v>
      </c>
    </row>
    <row r="27" spans="1:21" s="40" customFormat="1" ht="24" customHeight="1">
      <c r="A27" s="40">
        <v>21</v>
      </c>
      <c r="B27" s="156">
        <v>45132</v>
      </c>
      <c r="C27" s="157" t="s">
        <v>272</v>
      </c>
      <c r="D27" s="157" t="s">
        <v>273</v>
      </c>
      <c r="E27" s="158">
        <v>40467320</v>
      </c>
      <c r="F27" s="157" t="s">
        <v>133</v>
      </c>
      <c r="G27" s="159" t="s">
        <v>301</v>
      </c>
      <c r="H27" s="160" t="s">
        <v>42</v>
      </c>
      <c r="I27" s="161" t="s">
        <v>274</v>
      </c>
      <c r="J27" s="161" t="s">
        <v>82</v>
      </c>
      <c r="K27" s="162">
        <v>45386</v>
      </c>
      <c r="L27" s="163" t="s">
        <v>275</v>
      </c>
      <c r="M27" s="163">
        <v>995112362</v>
      </c>
      <c r="N27" s="164">
        <v>15</v>
      </c>
      <c r="O27" s="165" t="s">
        <v>276</v>
      </c>
      <c r="P27" s="157">
        <v>104581434</v>
      </c>
      <c r="Q27" s="225" t="s">
        <v>277</v>
      </c>
      <c r="R27" s="167" t="s">
        <v>296</v>
      </c>
      <c r="S27" s="163"/>
      <c r="T27" s="163"/>
      <c r="U27" s="166" t="s">
        <v>278</v>
      </c>
    </row>
    <row r="28" spans="1:21" s="40" customFormat="1" ht="24" customHeight="1">
      <c r="A28" s="40">
        <v>22</v>
      </c>
      <c r="B28" s="156">
        <v>45132</v>
      </c>
      <c r="C28" s="157" t="s">
        <v>272</v>
      </c>
      <c r="D28" s="157" t="s">
        <v>273</v>
      </c>
      <c r="E28" s="158">
        <v>40584012</v>
      </c>
      <c r="F28" s="157" t="s">
        <v>219</v>
      </c>
      <c r="G28" s="159" t="s">
        <v>302</v>
      </c>
      <c r="H28" s="160" t="s">
        <v>42</v>
      </c>
      <c r="I28" s="161" t="s">
        <v>274</v>
      </c>
      <c r="J28" s="161" t="s">
        <v>82</v>
      </c>
      <c r="K28" s="162">
        <v>45386</v>
      </c>
      <c r="L28" s="163" t="s">
        <v>275</v>
      </c>
      <c r="M28" s="163">
        <v>995112362</v>
      </c>
      <c r="N28" s="164">
        <v>15</v>
      </c>
      <c r="O28" s="165" t="s">
        <v>276</v>
      </c>
      <c r="P28" s="157">
        <v>104581434</v>
      </c>
      <c r="Q28" s="225" t="s">
        <v>277</v>
      </c>
      <c r="R28" s="167" t="s">
        <v>296</v>
      </c>
      <c r="S28" s="163"/>
      <c r="T28" s="163"/>
      <c r="U28" s="166" t="s">
        <v>278</v>
      </c>
    </row>
    <row r="29" spans="1:21" s="40" customFormat="1" ht="24" customHeight="1">
      <c r="A29" s="40">
        <v>23</v>
      </c>
      <c r="B29" s="156">
        <v>45132</v>
      </c>
      <c r="C29" s="157" t="s">
        <v>272</v>
      </c>
      <c r="D29" s="157" t="s">
        <v>273</v>
      </c>
      <c r="E29" s="158">
        <v>41560041</v>
      </c>
      <c r="F29" s="157" t="s">
        <v>282</v>
      </c>
      <c r="G29" s="159" t="s">
        <v>303</v>
      </c>
      <c r="H29" s="160" t="s">
        <v>42</v>
      </c>
      <c r="I29" s="161" t="s">
        <v>274</v>
      </c>
      <c r="J29" s="161" t="s">
        <v>82</v>
      </c>
      <c r="K29" s="162">
        <v>45386</v>
      </c>
      <c r="L29" s="163" t="s">
        <v>275</v>
      </c>
      <c r="M29" s="163">
        <v>995112362</v>
      </c>
      <c r="N29" s="164">
        <v>15</v>
      </c>
      <c r="O29" s="165" t="s">
        <v>276</v>
      </c>
      <c r="P29" s="157">
        <v>104581434</v>
      </c>
      <c r="Q29" s="225" t="s">
        <v>277</v>
      </c>
      <c r="R29" s="167" t="s">
        <v>296</v>
      </c>
      <c r="S29" s="163"/>
      <c r="T29" s="163"/>
      <c r="U29" s="166" t="s">
        <v>278</v>
      </c>
    </row>
    <row r="30" spans="1:21" s="40" customFormat="1" ht="24" customHeight="1">
      <c r="A30" s="40">
        <v>24</v>
      </c>
      <c r="B30" s="156">
        <v>45132</v>
      </c>
      <c r="C30" s="157" t="s">
        <v>272</v>
      </c>
      <c r="D30" s="157" t="s">
        <v>273</v>
      </c>
      <c r="E30" s="158">
        <v>40212014</v>
      </c>
      <c r="F30" s="157" t="s">
        <v>284</v>
      </c>
      <c r="G30" s="159" t="s">
        <v>294</v>
      </c>
      <c r="H30" s="160" t="s">
        <v>42</v>
      </c>
      <c r="I30" s="161" t="s">
        <v>274</v>
      </c>
      <c r="J30" s="161" t="s">
        <v>82</v>
      </c>
      <c r="K30" s="162">
        <v>45386</v>
      </c>
      <c r="L30" s="163" t="s">
        <v>275</v>
      </c>
      <c r="M30" s="163">
        <v>995112362</v>
      </c>
      <c r="N30" s="164">
        <v>15</v>
      </c>
      <c r="O30" s="165" t="s">
        <v>276</v>
      </c>
      <c r="P30" s="157">
        <v>104581434</v>
      </c>
      <c r="Q30" s="225" t="s">
        <v>277</v>
      </c>
      <c r="R30" s="167" t="s">
        <v>296</v>
      </c>
      <c r="S30" s="163"/>
      <c r="T30" s="163"/>
      <c r="U30" s="166" t="s">
        <v>278</v>
      </c>
    </row>
    <row r="31" spans="1:21" s="40" customFormat="1" ht="24" customHeight="1">
      <c r="A31" s="40">
        <v>25</v>
      </c>
      <c r="B31" s="156">
        <v>45367</v>
      </c>
      <c r="C31" s="157" t="s">
        <v>319</v>
      </c>
      <c r="D31" s="157" t="s">
        <v>340</v>
      </c>
      <c r="E31" s="158">
        <v>112580027</v>
      </c>
      <c r="F31" s="233" t="s">
        <v>125</v>
      </c>
      <c r="G31" s="159" t="s">
        <v>304</v>
      </c>
      <c r="H31" s="160">
        <v>418081</v>
      </c>
      <c r="I31" s="161" t="s">
        <v>274</v>
      </c>
      <c r="J31" s="161" t="s">
        <v>82</v>
      </c>
      <c r="K31" s="162">
        <v>45379</v>
      </c>
      <c r="L31" s="163" t="s">
        <v>308</v>
      </c>
      <c r="M31" s="163">
        <v>999480661</v>
      </c>
      <c r="N31" s="164">
        <v>15</v>
      </c>
      <c r="O31" s="165" t="s">
        <v>276</v>
      </c>
      <c r="P31" s="157">
        <v>190506525</v>
      </c>
      <c r="Q31" s="225"/>
      <c r="R31" s="167"/>
      <c r="S31" s="163"/>
      <c r="T31" s="163"/>
      <c r="U31" s="166" t="s">
        <v>309</v>
      </c>
    </row>
    <row r="32" spans="1:21" s="40" customFormat="1" ht="24" customHeight="1">
      <c r="A32" s="40">
        <v>26</v>
      </c>
      <c r="B32" s="156">
        <v>45367</v>
      </c>
      <c r="C32" s="157" t="s">
        <v>319</v>
      </c>
      <c r="D32" s="157" t="s">
        <v>340</v>
      </c>
      <c r="E32" s="158">
        <v>112580027</v>
      </c>
      <c r="F32" s="233" t="s">
        <v>125</v>
      </c>
      <c r="G32" s="159" t="s">
        <v>305</v>
      </c>
      <c r="H32" s="160" t="s">
        <v>42</v>
      </c>
      <c r="I32" s="161" t="s">
        <v>274</v>
      </c>
      <c r="J32" s="161" t="s">
        <v>82</v>
      </c>
      <c r="K32" s="162">
        <v>45379</v>
      </c>
      <c r="L32" s="163" t="s">
        <v>308</v>
      </c>
      <c r="M32" s="163">
        <v>999480661</v>
      </c>
      <c r="N32" s="164">
        <v>15</v>
      </c>
      <c r="O32" s="165" t="s">
        <v>276</v>
      </c>
      <c r="P32" s="157">
        <v>190506525</v>
      </c>
      <c r="Q32" s="225"/>
      <c r="R32" s="167"/>
      <c r="S32" s="163"/>
      <c r="T32" s="163"/>
      <c r="U32" s="166" t="s">
        <v>309</v>
      </c>
    </row>
    <row r="33" spans="1:21" s="40" customFormat="1" ht="24" customHeight="1">
      <c r="A33" s="40">
        <v>27</v>
      </c>
      <c r="B33" s="156">
        <v>45367</v>
      </c>
      <c r="C33" s="157" t="s">
        <v>319</v>
      </c>
      <c r="D33" s="157" t="s">
        <v>340</v>
      </c>
      <c r="E33" s="158">
        <v>112580027</v>
      </c>
      <c r="F33" s="233" t="s">
        <v>125</v>
      </c>
      <c r="G33" s="159" t="s">
        <v>306</v>
      </c>
      <c r="H33" s="160" t="s">
        <v>42</v>
      </c>
      <c r="I33" s="161" t="s">
        <v>274</v>
      </c>
      <c r="J33" s="161" t="s">
        <v>82</v>
      </c>
      <c r="K33" s="162">
        <v>45379</v>
      </c>
      <c r="L33" s="163" t="s">
        <v>308</v>
      </c>
      <c r="M33" s="163">
        <v>999480661</v>
      </c>
      <c r="N33" s="164">
        <v>15</v>
      </c>
      <c r="O33" s="165" t="s">
        <v>276</v>
      </c>
      <c r="P33" s="157">
        <v>190506525</v>
      </c>
      <c r="Q33" s="225"/>
      <c r="R33" s="167"/>
      <c r="S33" s="163"/>
      <c r="T33" s="163"/>
      <c r="U33" s="166" t="s">
        <v>309</v>
      </c>
    </row>
    <row r="34" spans="1:21" s="40" customFormat="1" ht="24" customHeight="1">
      <c r="A34" s="40">
        <v>28</v>
      </c>
      <c r="B34" s="156">
        <v>45367</v>
      </c>
      <c r="C34" s="157" t="s">
        <v>319</v>
      </c>
      <c r="D34" s="157" t="s">
        <v>340</v>
      </c>
      <c r="E34" s="158">
        <v>40466111</v>
      </c>
      <c r="F34" s="233" t="s">
        <v>341</v>
      </c>
      <c r="G34" s="159" t="s">
        <v>307</v>
      </c>
      <c r="H34" s="160" t="s">
        <v>42</v>
      </c>
      <c r="I34" s="161" t="s">
        <v>274</v>
      </c>
      <c r="J34" s="161" t="s">
        <v>82</v>
      </c>
      <c r="K34" s="162">
        <v>45379</v>
      </c>
      <c r="L34" s="163" t="s">
        <v>308</v>
      </c>
      <c r="M34" s="163">
        <v>999480661</v>
      </c>
      <c r="N34" s="164">
        <v>15</v>
      </c>
      <c r="O34" s="165" t="s">
        <v>276</v>
      </c>
      <c r="P34" s="157">
        <v>190506525</v>
      </c>
      <c r="Q34" s="225"/>
      <c r="R34" s="167"/>
      <c r="S34" s="163"/>
      <c r="T34" s="163"/>
      <c r="U34" s="166" t="s">
        <v>309</v>
      </c>
    </row>
    <row r="35" spans="1:21" s="40" customFormat="1" ht="24" customHeight="1">
      <c r="A35" s="40">
        <v>29</v>
      </c>
      <c r="B35" s="156">
        <v>45367</v>
      </c>
      <c r="C35" s="157" t="s">
        <v>319</v>
      </c>
      <c r="D35" s="157" t="s">
        <v>340</v>
      </c>
      <c r="E35" s="158">
        <v>40466111</v>
      </c>
      <c r="F35" s="233" t="s">
        <v>341</v>
      </c>
      <c r="G35" s="159" t="s">
        <v>310</v>
      </c>
      <c r="H35" s="160" t="s">
        <v>42</v>
      </c>
      <c r="I35" s="161" t="s">
        <v>274</v>
      </c>
      <c r="J35" s="161" t="s">
        <v>82</v>
      </c>
      <c r="K35" s="162">
        <v>45379</v>
      </c>
      <c r="L35" s="163" t="s">
        <v>308</v>
      </c>
      <c r="M35" s="163">
        <v>999480661</v>
      </c>
      <c r="N35" s="164">
        <v>15</v>
      </c>
      <c r="O35" s="165" t="s">
        <v>276</v>
      </c>
      <c r="P35" s="157">
        <v>190506525</v>
      </c>
      <c r="Q35" s="225"/>
      <c r="R35" s="167"/>
      <c r="S35" s="163"/>
      <c r="T35" s="163"/>
      <c r="U35" s="166" t="s">
        <v>309</v>
      </c>
    </row>
    <row r="36" spans="1:21" s="40" customFormat="1" ht="24" customHeight="1">
      <c r="A36" s="40">
        <v>30</v>
      </c>
      <c r="B36" s="156">
        <v>45367</v>
      </c>
      <c r="C36" s="157" t="s">
        <v>319</v>
      </c>
      <c r="D36" s="157" t="s">
        <v>340</v>
      </c>
      <c r="E36" s="158">
        <v>112580027</v>
      </c>
      <c r="F36" s="233" t="s">
        <v>125</v>
      </c>
      <c r="G36" s="159" t="s">
        <v>311</v>
      </c>
      <c r="H36" s="160" t="s">
        <v>42</v>
      </c>
      <c r="I36" s="161" t="s">
        <v>274</v>
      </c>
      <c r="J36" s="161" t="s">
        <v>82</v>
      </c>
      <c r="K36" s="162">
        <v>45379</v>
      </c>
      <c r="L36" s="163" t="s">
        <v>308</v>
      </c>
      <c r="M36" s="163">
        <v>999480661</v>
      </c>
      <c r="N36" s="164">
        <v>15</v>
      </c>
      <c r="O36" s="165" t="s">
        <v>276</v>
      </c>
      <c r="P36" s="157">
        <v>190506525</v>
      </c>
      <c r="Q36" s="225"/>
      <c r="R36" s="167"/>
      <c r="S36" s="163"/>
      <c r="T36" s="163"/>
      <c r="U36" s="166" t="s">
        <v>309</v>
      </c>
    </row>
    <row r="37" spans="1:21" s="40" customFormat="1" ht="24" customHeight="1">
      <c r="A37" s="40">
        <v>31</v>
      </c>
      <c r="B37" s="156">
        <v>45367</v>
      </c>
      <c r="C37" s="157" t="s">
        <v>319</v>
      </c>
      <c r="D37" s="157" t="s">
        <v>340</v>
      </c>
      <c r="E37" s="158">
        <v>40466111</v>
      </c>
      <c r="F37" s="233" t="s">
        <v>341</v>
      </c>
      <c r="G37" s="159" t="s">
        <v>312</v>
      </c>
      <c r="H37" s="160" t="s">
        <v>42</v>
      </c>
      <c r="I37" s="161" t="s">
        <v>274</v>
      </c>
      <c r="J37" s="161" t="s">
        <v>82</v>
      </c>
      <c r="K37" s="162">
        <v>45379</v>
      </c>
      <c r="L37" s="163" t="s">
        <v>308</v>
      </c>
      <c r="M37" s="163">
        <v>999480661</v>
      </c>
      <c r="N37" s="164">
        <v>15</v>
      </c>
      <c r="O37" s="165" t="s">
        <v>276</v>
      </c>
      <c r="P37" s="157">
        <v>190506525</v>
      </c>
      <c r="Q37" s="225"/>
      <c r="R37" s="167"/>
      <c r="S37" s="163"/>
      <c r="T37" s="163"/>
      <c r="U37" s="166" t="s">
        <v>309</v>
      </c>
    </row>
    <row r="38" spans="1:21" s="40" customFormat="1" ht="24" customHeight="1">
      <c r="A38" s="40">
        <v>32</v>
      </c>
      <c r="B38" s="156">
        <v>45121</v>
      </c>
      <c r="C38" s="157" t="s">
        <v>90</v>
      </c>
      <c r="D38" s="157" t="s">
        <v>413</v>
      </c>
      <c r="E38" s="158">
        <v>112580027</v>
      </c>
      <c r="F38" s="233" t="s">
        <v>125</v>
      </c>
      <c r="G38" s="159" t="s">
        <v>313</v>
      </c>
      <c r="H38" s="160" t="s">
        <v>42</v>
      </c>
      <c r="I38" s="161" t="s">
        <v>274</v>
      </c>
      <c r="J38" s="161" t="s">
        <v>82</v>
      </c>
      <c r="K38" s="162">
        <v>45379</v>
      </c>
      <c r="L38" s="163" t="s">
        <v>308</v>
      </c>
      <c r="M38" s="163">
        <v>999480661</v>
      </c>
      <c r="N38" s="164">
        <v>15</v>
      </c>
      <c r="O38" s="165" t="s">
        <v>276</v>
      </c>
      <c r="P38" s="157">
        <v>190506525</v>
      </c>
      <c r="Q38" s="225"/>
      <c r="R38" s="167"/>
      <c r="S38" s="163"/>
      <c r="T38" s="163"/>
      <c r="U38" s="166" t="s">
        <v>309</v>
      </c>
    </row>
    <row r="39" spans="1:21" s="40" customFormat="1" ht="24" customHeight="1">
      <c r="A39" s="40">
        <v>33</v>
      </c>
      <c r="B39" s="156">
        <v>45194</v>
      </c>
      <c r="C39" s="157" t="s">
        <v>91</v>
      </c>
      <c r="D39" s="157" t="s">
        <v>414</v>
      </c>
      <c r="E39" s="158">
        <v>112580027</v>
      </c>
      <c r="F39" s="233" t="s">
        <v>125</v>
      </c>
      <c r="G39" s="159" t="s">
        <v>315</v>
      </c>
      <c r="H39" s="160" t="s">
        <v>42</v>
      </c>
      <c r="I39" s="161" t="s">
        <v>274</v>
      </c>
      <c r="J39" s="161" t="s">
        <v>82</v>
      </c>
      <c r="K39" s="162">
        <v>45379</v>
      </c>
      <c r="L39" s="163" t="s">
        <v>308</v>
      </c>
      <c r="M39" s="163">
        <v>999480661</v>
      </c>
      <c r="N39" s="164">
        <v>15</v>
      </c>
      <c r="O39" s="165" t="s">
        <v>276</v>
      </c>
      <c r="P39" s="157">
        <v>190506525</v>
      </c>
      <c r="Q39" s="225"/>
      <c r="R39" s="167"/>
      <c r="S39" s="163"/>
      <c r="T39" s="163"/>
      <c r="U39" s="166" t="s">
        <v>309</v>
      </c>
    </row>
    <row r="40" spans="1:21" s="40" customFormat="1" ht="24" customHeight="1">
      <c r="A40" s="40">
        <v>34</v>
      </c>
      <c r="B40" s="156">
        <v>45194</v>
      </c>
      <c r="C40" s="157" t="s">
        <v>91</v>
      </c>
      <c r="D40" s="157" t="s">
        <v>414</v>
      </c>
      <c r="E40" s="158">
        <v>112580027</v>
      </c>
      <c r="F40" s="233" t="s">
        <v>125</v>
      </c>
      <c r="G40" s="159" t="s">
        <v>316</v>
      </c>
      <c r="H40" s="160" t="s">
        <v>42</v>
      </c>
      <c r="I40" s="161" t="s">
        <v>274</v>
      </c>
      <c r="J40" s="161" t="s">
        <v>82</v>
      </c>
      <c r="K40" s="162">
        <v>45379</v>
      </c>
      <c r="L40" s="163" t="s">
        <v>308</v>
      </c>
      <c r="M40" s="163">
        <v>999480661</v>
      </c>
      <c r="N40" s="164">
        <v>15</v>
      </c>
      <c r="O40" s="165" t="s">
        <v>276</v>
      </c>
      <c r="P40" s="157">
        <v>190506525</v>
      </c>
      <c r="Q40" s="225"/>
      <c r="R40" s="167"/>
      <c r="S40" s="163"/>
      <c r="T40" s="163"/>
      <c r="U40" s="166" t="s">
        <v>309</v>
      </c>
    </row>
    <row r="41" spans="1:21" s="40" customFormat="1" ht="24" customHeight="1">
      <c r="A41" s="40">
        <v>35</v>
      </c>
      <c r="B41" s="156">
        <v>45188</v>
      </c>
      <c r="C41" s="157" t="s">
        <v>415</v>
      </c>
      <c r="D41" s="157" t="s">
        <v>416</v>
      </c>
      <c r="E41" s="158">
        <v>112580027</v>
      </c>
      <c r="F41" s="233" t="s">
        <v>125</v>
      </c>
      <c r="G41" s="159" t="s">
        <v>317</v>
      </c>
      <c r="H41" s="160" t="s">
        <v>42</v>
      </c>
      <c r="I41" s="161" t="s">
        <v>274</v>
      </c>
      <c r="J41" s="161" t="s">
        <v>82</v>
      </c>
      <c r="K41" s="162">
        <v>45379</v>
      </c>
      <c r="L41" s="163" t="s">
        <v>308</v>
      </c>
      <c r="M41" s="163">
        <v>999480661</v>
      </c>
      <c r="N41" s="164">
        <v>15</v>
      </c>
      <c r="O41" s="165" t="s">
        <v>276</v>
      </c>
      <c r="P41" s="157">
        <v>190506525</v>
      </c>
      <c r="Q41" s="225"/>
      <c r="R41" s="167"/>
      <c r="S41" s="163"/>
      <c r="T41" s="163"/>
      <c r="U41" s="166" t="s">
        <v>309</v>
      </c>
    </row>
    <row r="42" spans="1:21" s="40" customFormat="1" ht="24" customHeight="1">
      <c r="A42" s="40">
        <v>36</v>
      </c>
      <c r="B42" s="156">
        <v>45121</v>
      </c>
      <c r="C42" s="157" t="s">
        <v>90</v>
      </c>
      <c r="D42" s="157" t="s">
        <v>413</v>
      </c>
      <c r="E42" s="158">
        <v>40467305</v>
      </c>
      <c r="F42" s="157" t="s">
        <v>314</v>
      </c>
      <c r="G42" s="159" t="s">
        <v>318</v>
      </c>
      <c r="H42" s="160" t="s">
        <v>42</v>
      </c>
      <c r="I42" s="161" t="s">
        <v>274</v>
      </c>
      <c r="J42" s="161" t="s">
        <v>82</v>
      </c>
      <c r="K42" s="162">
        <v>45379</v>
      </c>
      <c r="L42" s="163" t="s">
        <v>308</v>
      </c>
      <c r="M42" s="163">
        <v>999480661</v>
      </c>
      <c r="N42" s="164">
        <v>15</v>
      </c>
      <c r="O42" s="165" t="s">
        <v>276</v>
      </c>
      <c r="P42" s="157">
        <v>190506525</v>
      </c>
      <c r="Q42" s="225"/>
      <c r="R42" s="167"/>
      <c r="S42" s="163"/>
      <c r="T42" s="163"/>
      <c r="U42" s="166" t="s">
        <v>309</v>
      </c>
    </row>
    <row r="43" spans="1:21">
      <c r="N43" s="168">
        <f>SUM(N7:N42)</f>
        <v>540</v>
      </c>
    </row>
  </sheetData>
  <hyperlinks>
    <hyperlink ref="Q7" r:id="rId1" xr:uid="{00000000-0004-0000-0400-000000000000}"/>
    <hyperlink ref="Q8" r:id="rId2" xr:uid="{00000000-0004-0000-0400-000001000000}"/>
    <hyperlink ref="Q9" r:id="rId3" xr:uid="{00000000-0004-0000-0400-000002000000}"/>
    <hyperlink ref="Q10" r:id="rId4" xr:uid="{00000000-0004-0000-0400-000003000000}"/>
    <hyperlink ref="Q11" r:id="rId5" xr:uid="{00000000-0004-0000-0400-000004000000}"/>
    <hyperlink ref="Q12" r:id="rId6" xr:uid="{00000000-0004-0000-0400-000005000000}"/>
    <hyperlink ref="Q13" r:id="rId7" xr:uid="{00000000-0004-0000-0400-000006000000}"/>
    <hyperlink ref="Q14" r:id="rId8" xr:uid="{00000000-0004-0000-0400-000007000000}"/>
    <hyperlink ref="Q15" r:id="rId9" xr:uid="{00000000-0004-0000-0400-000008000000}"/>
    <hyperlink ref="Q16" r:id="rId10" xr:uid="{00000000-0004-0000-0400-000009000000}"/>
    <hyperlink ref="Q17" r:id="rId11" xr:uid="{00000000-0004-0000-0400-00000A000000}"/>
    <hyperlink ref="Q18" r:id="rId12" xr:uid="{00000000-0004-0000-0400-00000B000000}"/>
    <hyperlink ref="Q19" r:id="rId13" xr:uid="{00000000-0004-0000-0400-00000C000000}"/>
    <hyperlink ref="Q20" r:id="rId14" xr:uid="{00000000-0004-0000-0400-00000D000000}"/>
    <hyperlink ref="Q21" r:id="rId15" xr:uid="{00000000-0004-0000-0400-00000E000000}"/>
    <hyperlink ref="Q22" r:id="rId16" xr:uid="{00000000-0004-0000-0400-00000F000000}"/>
    <hyperlink ref="Q23" r:id="rId17" xr:uid="{00000000-0004-0000-0400-000010000000}"/>
    <hyperlink ref="Q24" r:id="rId18" xr:uid="{00000000-0004-0000-0400-000011000000}"/>
    <hyperlink ref="Q25" r:id="rId19" xr:uid="{00000000-0004-0000-0400-000012000000}"/>
    <hyperlink ref="Q26" r:id="rId20" xr:uid="{00000000-0004-0000-0400-000013000000}"/>
    <hyperlink ref="Q27" r:id="rId21" xr:uid="{00000000-0004-0000-0400-000014000000}"/>
    <hyperlink ref="Q28" r:id="rId22" xr:uid="{00000000-0004-0000-0400-000015000000}"/>
    <hyperlink ref="Q29" r:id="rId23" xr:uid="{00000000-0004-0000-0400-000016000000}"/>
    <hyperlink ref="Q30" r:id="rId24" xr:uid="{00000000-0004-0000-0400-000017000000}"/>
  </hyperlinks>
  <pageMargins left="0.7" right="0.7" top="0.75" bottom="0.75" header="0.3" footer="0.3"/>
  <drawing r:id="rId2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38"/>
  <sheetViews>
    <sheetView zoomScale="110" zoomScaleNormal="110" workbookViewId="0">
      <selection activeCell="D20" sqref="D20"/>
    </sheetView>
  </sheetViews>
  <sheetFormatPr baseColWidth="10" defaultRowHeight="15"/>
  <sheetData>
    <row r="1" spans="1:21" ht="16">
      <c r="G1" s="203"/>
    </row>
    <row r="2" spans="1:21">
      <c r="B2" s="176"/>
      <c r="C2" s="177" t="s">
        <v>0</v>
      </c>
      <c r="F2" s="178"/>
      <c r="G2" s="179"/>
      <c r="H2" s="180"/>
      <c r="I2" s="181"/>
      <c r="J2" s="182"/>
      <c r="K2" s="183"/>
      <c r="L2" s="184"/>
      <c r="M2" s="184"/>
      <c r="N2" s="176"/>
      <c r="O2" s="185"/>
      <c r="T2" s="186"/>
    </row>
    <row r="3" spans="1:21">
      <c r="B3" s="176"/>
      <c r="C3" s="187" t="s">
        <v>1</v>
      </c>
      <c r="F3" s="188"/>
      <c r="G3" s="179"/>
      <c r="H3" s="180"/>
      <c r="I3" s="181"/>
      <c r="J3" s="182" t="s">
        <v>111</v>
      </c>
      <c r="K3" s="183"/>
      <c r="L3" s="184"/>
      <c r="M3" s="189"/>
      <c r="N3" s="190" t="s">
        <v>437</v>
      </c>
      <c r="O3" s="185"/>
      <c r="P3" s="191"/>
      <c r="T3" s="186"/>
    </row>
    <row r="4" spans="1:21" ht="20">
      <c r="B4" s="192" t="s">
        <v>11</v>
      </c>
      <c r="C4" s="192" t="s">
        <v>2</v>
      </c>
      <c r="D4" s="192" t="s">
        <v>3</v>
      </c>
      <c r="E4" s="192" t="s">
        <v>4</v>
      </c>
      <c r="F4" s="192" t="s">
        <v>5</v>
      </c>
      <c r="G4" s="192" t="s">
        <v>6</v>
      </c>
      <c r="H4" s="192" t="s">
        <v>7</v>
      </c>
      <c r="I4" s="192" t="s">
        <v>8</v>
      </c>
      <c r="J4" s="192" t="s">
        <v>9</v>
      </c>
      <c r="K4" s="192" t="s">
        <v>10</v>
      </c>
      <c r="L4" s="193" t="s">
        <v>12</v>
      </c>
      <c r="M4" s="193" t="s">
        <v>13</v>
      </c>
      <c r="N4" s="192" t="s">
        <v>14</v>
      </c>
      <c r="O4" s="194" t="s">
        <v>15</v>
      </c>
      <c r="P4" s="192" t="s">
        <v>16</v>
      </c>
      <c r="Q4" s="192" t="s">
        <v>17</v>
      </c>
      <c r="R4" s="195" t="s">
        <v>18</v>
      </c>
      <c r="S4" s="192" t="s">
        <v>19</v>
      </c>
      <c r="T4" s="192" t="s">
        <v>20</v>
      </c>
      <c r="U4" s="196" t="s">
        <v>21</v>
      </c>
    </row>
    <row r="5" spans="1:21">
      <c r="A5">
        <v>1</v>
      </c>
      <c r="B5" s="197">
        <v>45371</v>
      </c>
      <c r="C5" s="197">
        <v>45369</v>
      </c>
      <c r="D5" s="197" t="s">
        <v>438</v>
      </c>
      <c r="E5" s="197" t="s">
        <v>439</v>
      </c>
      <c r="F5" s="198" t="s">
        <v>440</v>
      </c>
      <c r="G5" s="197" t="s">
        <v>441</v>
      </c>
      <c r="H5" s="197" t="s">
        <v>442</v>
      </c>
      <c r="I5" s="198" t="s">
        <v>443</v>
      </c>
      <c r="J5" s="197" t="s">
        <v>102</v>
      </c>
      <c r="K5" s="197" t="s">
        <v>103</v>
      </c>
      <c r="L5" s="197" t="s">
        <v>444</v>
      </c>
      <c r="M5" s="197" t="s">
        <v>445</v>
      </c>
      <c r="N5" s="199">
        <v>984417225</v>
      </c>
      <c r="O5" s="200">
        <v>29</v>
      </c>
      <c r="P5" s="197" t="s">
        <v>112</v>
      </c>
      <c r="Q5" s="197" t="s">
        <v>102</v>
      </c>
      <c r="R5" s="197"/>
      <c r="S5" s="197" t="s">
        <v>439</v>
      </c>
      <c r="T5" s="201">
        <v>103516738</v>
      </c>
      <c r="U5" s="202" t="s">
        <v>446</v>
      </c>
    </row>
    <row r="6" spans="1:21">
      <c r="A6">
        <v>2</v>
      </c>
      <c r="B6" s="197">
        <v>45371</v>
      </c>
      <c r="C6" s="197">
        <v>45367</v>
      </c>
      <c r="D6" s="197" t="s">
        <v>90</v>
      </c>
      <c r="E6" s="197" t="s">
        <v>447</v>
      </c>
      <c r="F6" s="198" t="s">
        <v>448</v>
      </c>
      <c r="G6" s="197" t="s">
        <v>449</v>
      </c>
      <c r="H6" s="197" t="s">
        <v>450</v>
      </c>
      <c r="I6" s="198" t="s">
        <v>42</v>
      </c>
      <c r="J6" s="197" t="s">
        <v>102</v>
      </c>
      <c r="K6" s="197" t="s">
        <v>103</v>
      </c>
      <c r="L6" s="197" t="s">
        <v>132</v>
      </c>
      <c r="M6" s="197" t="s">
        <v>158</v>
      </c>
      <c r="N6" s="199">
        <v>983846746</v>
      </c>
      <c r="O6" s="200">
        <v>25</v>
      </c>
      <c r="P6" s="197" t="s">
        <v>112</v>
      </c>
      <c r="Q6" s="197" t="s">
        <v>102</v>
      </c>
      <c r="R6" s="197"/>
      <c r="S6" s="197" t="s">
        <v>447</v>
      </c>
      <c r="T6" s="201">
        <v>105223622</v>
      </c>
      <c r="U6" s="202" t="s">
        <v>451</v>
      </c>
    </row>
    <row r="7" spans="1:21">
      <c r="A7">
        <v>3</v>
      </c>
      <c r="B7" s="197">
        <v>45371</v>
      </c>
      <c r="C7" s="197">
        <v>45369</v>
      </c>
      <c r="D7" s="197" t="s">
        <v>438</v>
      </c>
      <c r="E7" s="197" t="s">
        <v>452</v>
      </c>
      <c r="F7" s="198" t="s">
        <v>453</v>
      </c>
      <c r="G7" s="197" t="s">
        <v>89</v>
      </c>
      <c r="H7" s="197" t="s">
        <v>454</v>
      </c>
      <c r="I7" s="198" t="s">
        <v>42</v>
      </c>
      <c r="J7" s="197" t="s">
        <v>102</v>
      </c>
      <c r="K7" s="197" t="s">
        <v>103</v>
      </c>
      <c r="L7" s="197" t="s">
        <v>455</v>
      </c>
      <c r="M7" s="197" t="s">
        <v>456</v>
      </c>
      <c r="N7" s="199">
        <v>4187584</v>
      </c>
      <c r="O7" s="200">
        <v>29</v>
      </c>
      <c r="P7" s="197" t="s">
        <v>112</v>
      </c>
      <c r="Q7" s="197" t="s">
        <v>102</v>
      </c>
      <c r="R7" s="197"/>
      <c r="S7" s="197" t="s">
        <v>452</v>
      </c>
      <c r="T7" s="201">
        <v>101497766</v>
      </c>
      <c r="U7" s="202" t="s">
        <v>457</v>
      </c>
    </row>
    <row r="8" spans="1:21">
      <c r="A8">
        <v>4</v>
      </c>
      <c r="B8" s="197">
        <v>45372</v>
      </c>
      <c r="C8" s="197">
        <v>45367</v>
      </c>
      <c r="D8" s="197" t="s">
        <v>438</v>
      </c>
      <c r="E8" s="197" t="s">
        <v>458</v>
      </c>
      <c r="F8" s="198" t="s">
        <v>459</v>
      </c>
      <c r="G8" s="197" t="s">
        <v>460</v>
      </c>
      <c r="H8" s="197" t="s">
        <v>461</v>
      </c>
      <c r="I8" s="198" t="s">
        <v>42</v>
      </c>
      <c r="J8" s="197" t="s">
        <v>102</v>
      </c>
      <c r="K8" s="197" t="s">
        <v>103</v>
      </c>
      <c r="L8" s="197" t="s">
        <v>462</v>
      </c>
      <c r="M8" s="197" t="s">
        <v>463</v>
      </c>
      <c r="N8" s="199">
        <v>4090980</v>
      </c>
      <c r="O8" s="200">
        <v>15</v>
      </c>
      <c r="P8" s="197" t="s">
        <v>112</v>
      </c>
      <c r="Q8" s="197" t="s">
        <v>102</v>
      </c>
      <c r="R8" s="197"/>
      <c r="S8" s="197" t="s">
        <v>458</v>
      </c>
      <c r="T8" s="201">
        <v>703532069</v>
      </c>
      <c r="U8" s="202" t="s">
        <v>464</v>
      </c>
    </row>
    <row r="9" spans="1:21">
      <c r="A9">
        <v>5</v>
      </c>
      <c r="B9" s="197">
        <v>45372</v>
      </c>
      <c r="C9" s="197">
        <v>45372</v>
      </c>
      <c r="D9" s="197" t="s">
        <v>90</v>
      </c>
      <c r="E9" s="197" t="s">
        <v>465</v>
      </c>
      <c r="F9" s="198" t="s">
        <v>131</v>
      </c>
      <c r="G9" s="197" t="s">
        <v>466</v>
      </c>
      <c r="H9" s="197" t="s">
        <v>467</v>
      </c>
      <c r="I9" s="198" t="s">
        <v>42</v>
      </c>
      <c r="J9" s="197" t="s">
        <v>102</v>
      </c>
      <c r="K9" s="197" t="s">
        <v>103</v>
      </c>
      <c r="L9" s="197" t="s">
        <v>468</v>
      </c>
      <c r="M9" s="197" t="s">
        <v>469</v>
      </c>
      <c r="N9" s="199">
        <v>992024432</v>
      </c>
      <c r="O9" s="200">
        <v>25</v>
      </c>
      <c r="P9" s="197" t="s">
        <v>112</v>
      </c>
      <c r="Q9" s="197" t="s">
        <v>102</v>
      </c>
      <c r="R9" s="197"/>
      <c r="S9" s="197" t="s">
        <v>465</v>
      </c>
      <c r="T9" s="201">
        <v>300819331</v>
      </c>
      <c r="U9" s="202" t="s">
        <v>470</v>
      </c>
    </row>
    <row r="10" spans="1:21">
      <c r="A10">
        <v>6</v>
      </c>
      <c r="B10" s="197">
        <v>45373</v>
      </c>
      <c r="C10" s="197">
        <v>45277</v>
      </c>
      <c r="D10" s="197" t="s">
        <v>91</v>
      </c>
      <c r="E10" s="197" t="s">
        <v>471</v>
      </c>
      <c r="F10" s="198" t="s">
        <v>472</v>
      </c>
      <c r="G10" s="197" t="s">
        <v>473</v>
      </c>
      <c r="H10" s="197" t="s">
        <v>474</v>
      </c>
      <c r="I10" s="198" t="s">
        <v>42</v>
      </c>
      <c r="J10" s="197" t="s">
        <v>102</v>
      </c>
      <c r="K10" s="197" t="s">
        <v>103</v>
      </c>
      <c r="L10" s="197" t="s">
        <v>475</v>
      </c>
      <c r="M10" s="197" t="s">
        <v>476</v>
      </c>
      <c r="N10" s="199">
        <v>995350350</v>
      </c>
      <c r="O10" s="200">
        <v>29</v>
      </c>
      <c r="P10" s="197" t="s">
        <v>112</v>
      </c>
      <c r="Q10" s="197" t="s">
        <v>102</v>
      </c>
      <c r="R10" s="197"/>
      <c r="S10" s="197" t="s">
        <v>471</v>
      </c>
      <c r="T10" s="201">
        <v>102075298</v>
      </c>
      <c r="U10" s="202" t="s">
        <v>478</v>
      </c>
    </row>
    <row r="11" spans="1:21">
      <c r="A11">
        <v>7</v>
      </c>
      <c r="B11" s="197">
        <v>45373</v>
      </c>
      <c r="C11" s="197">
        <v>45367</v>
      </c>
      <c r="D11" s="197" t="s">
        <v>90</v>
      </c>
      <c r="E11" s="197" t="s">
        <v>479</v>
      </c>
      <c r="F11" s="198" t="s">
        <v>480</v>
      </c>
      <c r="G11" s="197" t="s">
        <v>481</v>
      </c>
      <c r="H11" s="197" t="s">
        <v>482</v>
      </c>
      <c r="I11" s="198" t="s">
        <v>42</v>
      </c>
      <c r="J11" s="197" t="s">
        <v>102</v>
      </c>
      <c r="K11" s="197" t="s">
        <v>103</v>
      </c>
      <c r="L11" s="197" t="s">
        <v>483</v>
      </c>
      <c r="M11" s="197" t="s">
        <v>484</v>
      </c>
      <c r="N11" s="199">
        <v>997942105</v>
      </c>
      <c r="O11" s="200">
        <v>25</v>
      </c>
      <c r="P11" s="197" t="s">
        <v>112</v>
      </c>
      <c r="Q11" s="197" t="s">
        <v>102</v>
      </c>
      <c r="R11" s="197"/>
      <c r="S11" s="197" t="s">
        <v>479</v>
      </c>
      <c r="T11" s="201">
        <v>101638807</v>
      </c>
      <c r="U11" s="202" t="s">
        <v>485</v>
      </c>
    </row>
    <row r="12" spans="1:21" s="288" customFormat="1">
      <c r="A12" s="288">
        <v>8</v>
      </c>
      <c r="B12" s="197">
        <v>45374</v>
      </c>
      <c r="C12" s="197">
        <v>45331</v>
      </c>
      <c r="D12" s="197" t="s">
        <v>90</v>
      </c>
      <c r="E12" s="197" t="s">
        <v>486</v>
      </c>
      <c r="F12" s="198" t="s">
        <v>487</v>
      </c>
      <c r="G12" s="197" t="s">
        <v>488</v>
      </c>
      <c r="H12" s="197" t="s">
        <v>489</v>
      </c>
      <c r="I12" s="198" t="s">
        <v>42</v>
      </c>
      <c r="J12" s="197" t="s">
        <v>102</v>
      </c>
      <c r="K12" s="197" t="s">
        <v>103</v>
      </c>
      <c r="L12" s="197" t="s">
        <v>490</v>
      </c>
      <c r="M12" s="197" t="s">
        <v>491</v>
      </c>
      <c r="N12" s="199">
        <v>994594888</v>
      </c>
      <c r="O12" s="200">
        <v>29</v>
      </c>
      <c r="P12" s="197" t="s">
        <v>112</v>
      </c>
      <c r="Q12" s="197" t="s">
        <v>102</v>
      </c>
      <c r="R12" s="197"/>
      <c r="S12" s="197" t="s">
        <v>486</v>
      </c>
      <c r="T12" s="201">
        <v>103888483</v>
      </c>
      <c r="U12" s="202" t="s">
        <v>492</v>
      </c>
    </row>
    <row r="13" spans="1:21" s="288" customFormat="1">
      <c r="A13" s="288">
        <v>9</v>
      </c>
      <c r="B13" s="197">
        <v>45377</v>
      </c>
      <c r="C13" s="197">
        <v>45374</v>
      </c>
      <c r="D13" s="197" t="s">
        <v>438</v>
      </c>
      <c r="E13" s="197" t="s">
        <v>493</v>
      </c>
      <c r="F13" s="198" t="s">
        <v>131</v>
      </c>
      <c r="G13" s="197" t="s">
        <v>494</v>
      </c>
      <c r="H13" s="197" t="s">
        <v>495</v>
      </c>
      <c r="I13" s="198" t="s">
        <v>42</v>
      </c>
      <c r="J13" s="197" t="s">
        <v>102</v>
      </c>
      <c r="K13" s="197" t="s">
        <v>103</v>
      </c>
      <c r="L13" s="197" t="s">
        <v>496</v>
      </c>
      <c r="M13" s="197" t="s">
        <v>497</v>
      </c>
      <c r="N13" s="199">
        <v>2805648</v>
      </c>
      <c r="O13" s="200">
        <v>25</v>
      </c>
      <c r="P13" s="197" t="s">
        <v>112</v>
      </c>
      <c r="Q13" s="197" t="s">
        <v>102</v>
      </c>
      <c r="R13" s="197"/>
      <c r="S13" s="197" t="s">
        <v>493</v>
      </c>
      <c r="T13" s="201">
        <v>100103271</v>
      </c>
      <c r="U13" s="202"/>
    </row>
    <row r="14" spans="1:21" s="288" customFormat="1">
      <c r="A14" s="288">
        <v>10</v>
      </c>
      <c r="B14" s="197">
        <v>45377</v>
      </c>
      <c r="C14" s="197">
        <v>45294</v>
      </c>
      <c r="D14" s="197" t="s">
        <v>90</v>
      </c>
      <c r="E14" s="197" t="s">
        <v>498</v>
      </c>
      <c r="F14" s="198" t="s">
        <v>499</v>
      </c>
      <c r="G14" s="197" t="s">
        <v>500</v>
      </c>
      <c r="H14" s="197" t="s">
        <v>501</v>
      </c>
      <c r="I14" s="198" t="s">
        <v>42</v>
      </c>
      <c r="J14" s="197" t="s">
        <v>102</v>
      </c>
      <c r="K14" s="197" t="s">
        <v>103</v>
      </c>
      <c r="L14" s="197" t="s">
        <v>502</v>
      </c>
      <c r="M14" s="197" t="s">
        <v>503</v>
      </c>
      <c r="N14" s="199">
        <v>104894803</v>
      </c>
      <c r="O14" s="200">
        <v>29</v>
      </c>
      <c r="P14" s="197" t="s">
        <v>112</v>
      </c>
      <c r="Q14" s="197" t="s">
        <v>102</v>
      </c>
      <c r="R14" s="197"/>
      <c r="S14" s="197" t="s">
        <v>498</v>
      </c>
      <c r="T14" s="201">
        <v>104894803</v>
      </c>
      <c r="U14" s="202" t="s">
        <v>504</v>
      </c>
    </row>
    <row r="15" spans="1:21" s="288" customFormat="1">
      <c r="A15" s="288">
        <v>11</v>
      </c>
      <c r="B15" s="197">
        <v>45377</v>
      </c>
      <c r="C15" s="197">
        <v>45372</v>
      </c>
      <c r="D15" s="197" t="s">
        <v>438</v>
      </c>
      <c r="E15" s="197" t="s">
        <v>505</v>
      </c>
      <c r="F15" s="198" t="s">
        <v>506</v>
      </c>
      <c r="G15" s="197" t="s">
        <v>338</v>
      </c>
      <c r="H15" s="197" t="s">
        <v>507</v>
      </c>
      <c r="I15" s="198" t="s">
        <v>42</v>
      </c>
      <c r="J15" s="197" t="s">
        <v>102</v>
      </c>
      <c r="K15" s="197" t="s">
        <v>103</v>
      </c>
      <c r="L15" s="197" t="s">
        <v>508</v>
      </c>
      <c r="M15" s="197" t="s">
        <v>509</v>
      </c>
      <c r="N15" s="199">
        <v>2838059</v>
      </c>
      <c r="O15" s="200">
        <v>15</v>
      </c>
      <c r="P15" s="197" t="s">
        <v>112</v>
      </c>
      <c r="Q15" s="197" t="s">
        <v>102</v>
      </c>
      <c r="R15" s="197"/>
      <c r="S15" s="197" t="s">
        <v>505</v>
      </c>
      <c r="T15" s="201">
        <v>102103736</v>
      </c>
      <c r="U15" s="202" t="s">
        <v>510</v>
      </c>
    </row>
    <row r="16" spans="1:21">
      <c r="A16">
        <v>12</v>
      </c>
      <c r="B16" s="197">
        <v>45377</v>
      </c>
      <c r="C16" s="197">
        <v>45247</v>
      </c>
      <c r="D16" s="197" t="s">
        <v>90</v>
      </c>
      <c r="E16" s="197" t="s">
        <v>685</v>
      </c>
      <c r="F16" s="198" t="s">
        <v>511</v>
      </c>
      <c r="G16" s="197" t="s">
        <v>512</v>
      </c>
      <c r="H16" s="197" t="s">
        <v>513</v>
      </c>
      <c r="I16" s="198" t="s">
        <v>42</v>
      </c>
      <c r="J16" s="197" t="s">
        <v>102</v>
      </c>
      <c r="K16" s="197" t="s">
        <v>103</v>
      </c>
      <c r="L16" s="197" t="s">
        <v>514</v>
      </c>
      <c r="M16" s="197" t="s">
        <v>515</v>
      </c>
      <c r="N16" s="199">
        <v>2823563</v>
      </c>
      <c r="O16" s="200">
        <v>25</v>
      </c>
      <c r="P16" s="197" t="s">
        <v>112</v>
      </c>
      <c r="Q16" s="197" t="s">
        <v>102</v>
      </c>
      <c r="R16" s="197"/>
      <c r="S16" s="197" t="s">
        <v>685</v>
      </c>
      <c r="T16" s="201">
        <v>102434339</v>
      </c>
      <c r="U16" s="202" t="s">
        <v>516</v>
      </c>
    </row>
    <row r="17" spans="1:21">
      <c r="A17">
        <v>13</v>
      </c>
      <c r="B17" s="197">
        <v>45378</v>
      </c>
      <c r="C17" s="197">
        <v>45373</v>
      </c>
      <c r="D17" s="197" t="s">
        <v>438</v>
      </c>
      <c r="E17" s="197" t="s">
        <v>517</v>
      </c>
      <c r="F17" s="198" t="s">
        <v>518</v>
      </c>
      <c r="G17" s="197" t="s">
        <v>519</v>
      </c>
      <c r="H17" s="197" t="s">
        <v>520</v>
      </c>
      <c r="I17" s="198" t="s">
        <v>42</v>
      </c>
      <c r="J17" s="197" t="s">
        <v>102</v>
      </c>
      <c r="K17" s="197" t="s">
        <v>103</v>
      </c>
      <c r="L17" s="197" t="s">
        <v>521</v>
      </c>
      <c r="M17" s="197" t="s">
        <v>522</v>
      </c>
      <c r="N17" s="199">
        <v>99235037</v>
      </c>
      <c r="O17" s="200">
        <v>36</v>
      </c>
      <c r="P17" s="197" t="s">
        <v>112</v>
      </c>
      <c r="Q17" s="197" t="s">
        <v>102</v>
      </c>
      <c r="R17" s="197"/>
      <c r="S17" s="197" t="s">
        <v>517</v>
      </c>
      <c r="T17" s="201">
        <v>603831611</v>
      </c>
      <c r="U17" s="202" t="s">
        <v>523</v>
      </c>
    </row>
    <row r="18" spans="1:21">
      <c r="A18">
        <v>14</v>
      </c>
      <c r="B18" s="197">
        <v>45378</v>
      </c>
      <c r="C18" s="197" t="s">
        <v>686</v>
      </c>
      <c r="D18" s="197" t="s">
        <v>80</v>
      </c>
      <c r="E18" s="197" t="s">
        <v>687</v>
      </c>
      <c r="F18" s="198" t="s">
        <v>524</v>
      </c>
      <c r="G18" s="197" t="s">
        <v>125</v>
      </c>
      <c r="H18" s="197" t="s">
        <v>525</v>
      </c>
      <c r="I18" s="198" t="s">
        <v>42</v>
      </c>
      <c r="J18" s="197" t="s">
        <v>102</v>
      </c>
      <c r="K18" s="197" t="s">
        <v>103</v>
      </c>
      <c r="L18" s="197" t="s">
        <v>526</v>
      </c>
      <c r="M18" s="197" t="s">
        <v>331</v>
      </c>
      <c r="N18" s="199">
        <v>983956424</v>
      </c>
      <c r="O18" s="200">
        <v>29</v>
      </c>
      <c r="P18" s="197" t="s">
        <v>112</v>
      </c>
      <c r="Q18" s="197" t="s">
        <v>102</v>
      </c>
      <c r="R18" s="197"/>
      <c r="S18" s="197" t="s">
        <v>687</v>
      </c>
      <c r="T18" s="201">
        <v>102682598</v>
      </c>
      <c r="U18" s="202"/>
    </row>
    <row r="19" spans="1:21">
      <c r="A19">
        <v>15</v>
      </c>
      <c r="B19" s="197">
        <v>45379</v>
      </c>
      <c r="C19" s="197">
        <v>45371</v>
      </c>
      <c r="D19" s="197" t="s">
        <v>91</v>
      </c>
      <c r="E19" s="197" t="s">
        <v>527</v>
      </c>
      <c r="F19" s="198" t="s">
        <v>528</v>
      </c>
      <c r="G19" s="197" t="s">
        <v>93</v>
      </c>
      <c r="H19" s="197" t="s">
        <v>529</v>
      </c>
      <c r="I19" s="198" t="s">
        <v>42</v>
      </c>
      <c r="J19" s="197" t="s">
        <v>102</v>
      </c>
      <c r="K19" s="197" t="s">
        <v>103</v>
      </c>
      <c r="L19" s="197" t="s">
        <v>530</v>
      </c>
      <c r="M19" s="197" t="s">
        <v>589</v>
      </c>
      <c r="N19" s="199">
        <v>46015830</v>
      </c>
      <c r="O19" s="200">
        <v>29</v>
      </c>
      <c r="P19" s="197" t="s">
        <v>112</v>
      </c>
      <c r="Q19" s="197" t="s">
        <v>102</v>
      </c>
      <c r="R19" s="197"/>
      <c r="S19" s="197" t="s">
        <v>527</v>
      </c>
      <c r="T19" s="201">
        <v>46015830</v>
      </c>
      <c r="U19" s="202"/>
    </row>
    <row r="20" spans="1:21">
      <c r="A20">
        <v>16</v>
      </c>
      <c r="B20" s="197">
        <v>45384</v>
      </c>
      <c r="C20" s="197">
        <v>45382</v>
      </c>
      <c r="D20" s="197" t="s">
        <v>438</v>
      </c>
      <c r="E20" s="197" t="s">
        <v>531</v>
      </c>
      <c r="F20" s="198" t="s">
        <v>532</v>
      </c>
      <c r="G20" s="197" t="s">
        <v>533</v>
      </c>
      <c r="H20" s="197" t="s">
        <v>534</v>
      </c>
      <c r="I20" s="198" t="s">
        <v>42</v>
      </c>
      <c r="J20" s="197" t="s">
        <v>102</v>
      </c>
      <c r="K20" s="197" t="s">
        <v>103</v>
      </c>
      <c r="L20" s="197" t="s">
        <v>535</v>
      </c>
      <c r="M20" s="197" t="s">
        <v>536</v>
      </c>
      <c r="N20" s="199">
        <v>992871054</v>
      </c>
      <c r="O20" s="200">
        <v>36</v>
      </c>
      <c r="P20" s="197" t="s">
        <v>112</v>
      </c>
      <c r="Q20" s="197" t="s">
        <v>102</v>
      </c>
      <c r="R20" s="197"/>
      <c r="S20" s="197" t="s">
        <v>531</v>
      </c>
      <c r="T20" s="201">
        <v>100940105</v>
      </c>
      <c r="U20" s="202" t="s">
        <v>537</v>
      </c>
    </row>
    <row r="21" spans="1:21">
      <c r="A21">
        <v>17</v>
      </c>
      <c r="B21" s="197">
        <v>45384</v>
      </c>
      <c r="C21" s="197">
        <v>45379</v>
      </c>
      <c r="D21" s="197" t="s">
        <v>438</v>
      </c>
      <c r="E21" s="197" t="s">
        <v>538</v>
      </c>
      <c r="F21" s="198" t="s">
        <v>459</v>
      </c>
      <c r="G21" s="197" t="s">
        <v>94</v>
      </c>
      <c r="H21" s="197" t="s">
        <v>539</v>
      </c>
      <c r="I21" s="198" t="s">
        <v>42</v>
      </c>
      <c r="J21" s="197" t="s">
        <v>102</v>
      </c>
      <c r="K21" s="197" t="s">
        <v>103</v>
      </c>
      <c r="L21" s="197" t="s">
        <v>540</v>
      </c>
      <c r="M21" s="197" t="s">
        <v>541</v>
      </c>
      <c r="N21" s="199">
        <v>979976429</v>
      </c>
      <c r="O21" s="200">
        <v>15</v>
      </c>
      <c r="P21" s="197" t="s">
        <v>112</v>
      </c>
      <c r="Q21" s="197" t="s">
        <v>102</v>
      </c>
      <c r="R21" s="197"/>
      <c r="S21" s="197" t="s">
        <v>538</v>
      </c>
      <c r="T21" s="201">
        <v>152136198</v>
      </c>
      <c r="U21" s="202" t="s">
        <v>542</v>
      </c>
    </row>
    <row r="22" spans="1:21">
      <c r="A22">
        <v>18</v>
      </c>
      <c r="B22" s="197">
        <v>45384</v>
      </c>
      <c r="C22" s="197">
        <v>45343</v>
      </c>
      <c r="D22" s="197" t="s">
        <v>85</v>
      </c>
      <c r="E22" s="197" t="s">
        <v>543</v>
      </c>
      <c r="F22" s="198" t="s">
        <v>544</v>
      </c>
      <c r="G22" s="197" t="s">
        <v>545</v>
      </c>
      <c r="H22" s="197" t="s">
        <v>546</v>
      </c>
      <c r="I22" s="198" t="s">
        <v>42</v>
      </c>
      <c r="J22" s="197" t="s">
        <v>102</v>
      </c>
      <c r="K22" s="197" t="s">
        <v>103</v>
      </c>
      <c r="L22" s="197" t="s">
        <v>547</v>
      </c>
      <c r="M22" s="197" t="s">
        <v>548</v>
      </c>
      <c r="N22" s="199">
        <v>74102363</v>
      </c>
      <c r="O22" s="200">
        <v>25</v>
      </c>
      <c r="P22" s="197" t="s">
        <v>112</v>
      </c>
      <c r="Q22" s="197" t="s">
        <v>102</v>
      </c>
      <c r="R22" s="197"/>
      <c r="S22" s="197" t="s">
        <v>543</v>
      </c>
      <c r="T22" s="201">
        <v>11030096001</v>
      </c>
      <c r="U22" s="202" t="s">
        <v>549</v>
      </c>
    </row>
    <row r="23" spans="1:21">
      <c r="A23">
        <v>19</v>
      </c>
      <c r="B23" s="197">
        <v>45385</v>
      </c>
      <c r="C23" s="197">
        <v>45381</v>
      </c>
      <c r="D23" s="197" t="s">
        <v>90</v>
      </c>
      <c r="E23" s="197" t="s">
        <v>550</v>
      </c>
      <c r="F23" s="198" t="s">
        <v>551</v>
      </c>
      <c r="G23" s="197" t="s">
        <v>125</v>
      </c>
      <c r="H23" s="197" t="s">
        <v>552</v>
      </c>
      <c r="I23" s="198" t="s">
        <v>42</v>
      </c>
      <c r="J23" s="197" t="s">
        <v>102</v>
      </c>
      <c r="K23" s="197" t="s">
        <v>103</v>
      </c>
      <c r="L23" s="197" t="s">
        <v>553</v>
      </c>
      <c r="M23" s="197" t="s">
        <v>554</v>
      </c>
      <c r="N23" s="199">
        <v>984255535</v>
      </c>
      <c r="O23" s="200">
        <v>29</v>
      </c>
      <c r="P23" s="197" t="s">
        <v>112</v>
      </c>
      <c r="Q23" s="197" t="s">
        <v>102</v>
      </c>
      <c r="R23" s="197"/>
      <c r="S23" s="197" t="s">
        <v>550</v>
      </c>
      <c r="T23" s="201">
        <v>105471288</v>
      </c>
      <c r="U23" s="202" t="s">
        <v>555</v>
      </c>
    </row>
    <row r="24" spans="1:21">
      <c r="A24">
        <v>20</v>
      </c>
      <c r="B24" s="197">
        <v>45385</v>
      </c>
      <c r="C24" s="197">
        <v>45299</v>
      </c>
      <c r="D24" s="197" t="s">
        <v>438</v>
      </c>
      <c r="E24" s="197" t="s">
        <v>556</v>
      </c>
      <c r="F24" s="198" t="s">
        <v>557</v>
      </c>
      <c r="G24" s="197" t="s">
        <v>558</v>
      </c>
      <c r="H24" s="197" t="s">
        <v>559</v>
      </c>
      <c r="I24" s="198" t="s">
        <v>42</v>
      </c>
      <c r="J24" s="197" t="s">
        <v>102</v>
      </c>
      <c r="K24" s="197" t="s">
        <v>103</v>
      </c>
      <c r="L24" s="197" t="s">
        <v>560</v>
      </c>
      <c r="M24" s="197" t="s">
        <v>561</v>
      </c>
      <c r="N24" s="199">
        <v>994509596</v>
      </c>
      <c r="O24" s="200">
        <v>15</v>
      </c>
      <c r="P24" s="197" t="s">
        <v>112</v>
      </c>
      <c r="Q24" s="197" t="s">
        <v>102</v>
      </c>
      <c r="R24" s="197"/>
      <c r="S24" s="197" t="s">
        <v>556</v>
      </c>
      <c r="T24" s="201"/>
      <c r="U24" s="202" t="s">
        <v>562</v>
      </c>
    </row>
    <row r="25" spans="1:21">
      <c r="A25">
        <v>21</v>
      </c>
      <c r="B25" s="197">
        <v>45385</v>
      </c>
      <c r="C25" s="197">
        <v>45328</v>
      </c>
      <c r="D25" s="197" t="s">
        <v>438</v>
      </c>
      <c r="E25" s="197" t="s">
        <v>563</v>
      </c>
      <c r="F25" s="198" t="s">
        <v>564</v>
      </c>
      <c r="G25" s="197" t="s">
        <v>565</v>
      </c>
      <c r="H25" s="197" t="s">
        <v>566</v>
      </c>
      <c r="I25" s="198" t="s">
        <v>42</v>
      </c>
      <c r="J25" s="197" t="s">
        <v>102</v>
      </c>
      <c r="K25" s="197" t="s">
        <v>103</v>
      </c>
      <c r="L25" s="197" t="s">
        <v>567</v>
      </c>
      <c r="M25" s="197" t="s">
        <v>568</v>
      </c>
      <c r="N25" s="199">
        <v>993147803</v>
      </c>
      <c r="O25" s="200">
        <v>36</v>
      </c>
      <c r="P25" s="197" t="s">
        <v>112</v>
      </c>
      <c r="Q25" s="197" t="s">
        <v>102</v>
      </c>
      <c r="R25" s="197"/>
      <c r="S25" s="197" t="s">
        <v>563</v>
      </c>
      <c r="T25" s="201">
        <v>1400631394</v>
      </c>
      <c r="U25" s="202" t="s">
        <v>569</v>
      </c>
    </row>
    <row r="26" spans="1:21">
      <c r="A26">
        <v>22</v>
      </c>
      <c r="B26" s="197">
        <v>45385</v>
      </c>
      <c r="C26" s="197">
        <v>45383</v>
      </c>
      <c r="D26" s="197" t="s">
        <v>438</v>
      </c>
      <c r="E26" s="197" t="s">
        <v>570</v>
      </c>
      <c r="F26" s="198" t="s">
        <v>551</v>
      </c>
      <c r="G26" s="197" t="s">
        <v>125</v>
      </c>
      <c r="H26" s="197" t="s">
        <v>571</v>
      </c>
      <c r="I26" s="198" t="s">
        <v>42</v>
      </c>
      <c r="J26" s="197" t="s">
        <v>102</v>
      </c>
      <c r="K26" s="197" t="s">
        <v>103</v>
      </c>
      <c r="L26" s="197" t="s">
        <v>572</v>
      </c>
      <c r="M26" s="197" t="s">
        <v>107</v>
      </c>
      <c r="N26" s="199">
        <v>984986481</v>
      </c>
      <c r="O26" s="200">
        <v>29</v>
      </c>
      <c r="P26" s="197" t="s">
        <v>112</v>
      </c>
      <c r="Q26" s="197" t="s">
        <v>102</v>
      </c>
      <c r="R26" s="197"/>
      <c r="S26" s="197" t="s">
        <v>570</v>
      </c>
      <c r="T26" s="201">
        <v>104251574</v>
      </c>
      <c r="U26" s="202"/>
    </row>
    <row r="27" spans="1:21">
      <c r="A27">
        <v>23</v>
      </c>
      <c r="B27" s="197">
        <v>45390</v>
      </c>
      <c r="C27" s="197">
        <v>45378</v>
      </c>
      <c r="D27" s="197" t="s">
        <v>438</v>
      </c>
      <c r="E27" s="197" t="s">
        <v>573</v>
      </c>
      <c r="F27" s="198" t="s">
        <v>453</v>
      </c>
      <c r="G27" s="197" t="s">
        <v>89</v>
      </c>
      <c r="H27" s="197" t="s">
        <v>574</v>
      </c>
      <c r="I27" s="198" t="s">
        <v>42</v>
      </c>
      <c r="J27" s="197" t="s">
        <v>102</v>
      </c>
      <c r="K27" s="197" t="s">
        <v>103</v>
      </c>
      <c r="L27" s="197" t="s">
        <v>575</v>
      </c>
      <c r="M27" s="197" t="s">
        <v>576</v>
      </c>
      <c r="N27" s="199">
        <v>995732869</v>
      </c>
      <c r="O27" s="200">
        <v>29</v>
      </c>
      <c r="P27" s="197" t="s">
        <v>112</v>
      </c>
      <c r="Q27" s="197" t="s">
        <v>102</v>
      </c>
      <c r="R27" s="197"/>
      <c r="S27" s="197" t="s">
        <v>573</v>
      </c>
      <c r="T27" s="201">
        <v>102459450</v>
      </c>
      <c r="U27" s="202" t="s">
        <v>577</v>
      </c>
    </row>
    <row r="28" spans="1:21">
      <c r="A28">
        <v>24</v>
      </c>
      <c r="B28" s="197">
        <v>45390</v>
      </c>
      <c r="C28" s="197">
        <v>45366</v>
      </c>
      <c r="D28" s="197" t="s">
        <v>90</v>
      </c>
      <c r="E28" s="197" t="s">
        <v>578</v>
      </c>
      <c r="F28" s="198" t="s">
        <v>551</v>
      </c>
      <c r="G28" s="197" t="s">
        <v>125</v>
      </c>
      <c r="H28" s="197" t="s">
        <v>579</v>
      </c>
      <c r="I28" s="198" t="s">
        <v>42</v>
      </c>
      <c r="J28" s="197" t="s">
        <v>102</v>
      </c>
      <c r="K28" s="197" t="s">
        <v>103</v>
      </c>
      <c r="L28" s="197" t="s">
        <v>580</v>
      </c>
      <c r="M28" s="197" t="s">
        <v>581</v>
      </c>
      <c r="N28" s="199">
        <v>992952542</v>
      </c>
      <c r="O28" s="200">
        <v>29</v>
      </c>
      <c r="P28" s="197" t="s">
        <v>112</v>
      </c>
      <c r="Q28" s="197" t="s">
        <v>102</v>
      </c>
      <c r="R28" s="197"/>
      <c r="S28" s="197" t="s">
        <v>578</v>
      </c>
      <c r="T28" s="201">
        <v>105273411</v>
      </c>
      <c r="U28" s="202" t="s">
        <v>582</v>
      </c>
    </row>
    <row r="29" spans="1:21">
      <c r="A29">
        <v>25</v>
      </c>
      <c r="B29" s="197">
        <v>45391</v>
      </c>
      <c r="C29" s="197">
        <v>45364</v>
      </c>
      <c r="D29" s="197" t="s">
        <v>438</v>
      </c>
      <c r="E29" s="197" t="s">
        <v>583</v>
      </c>
      <c r="F29" s="198" t="s">
        <v>584</v>
      </c>
      <c r="G29" s="197" t="s">
        <v>353</v>
      </c>
      <c r="H29" s="197" t="s">
        <v>585</v>
      </c>
      <c r="I29" s="198" t="s">
        <v>42</v>
      </c>
      <c r="J29" s="197" t="s">
        <v>102</v>
      </c>
      <c r="K29" s="197" t="s">
        <v>103</v>
      </c>
      <c r="L29" s="197" t="s">
        <v>370</v>
      </c>
      <c r="M29" s="197" t="s">
        <v>586</v>
      </c>
      <c r="N29" s="199">
        <v>987963045</v>
      </c>
      <c r="O29" s="200">
        <v>30</v>
      </c>
      <c r="P29" s="197" t="s">
        <v>112</v>
      </c>
      <c r="Q29" s="197" t="s">
        <v>102</v>
      </c>
      <c r="R29" s="197"/>
      <c r="S29" s="197" t="s">
        <v>583</v>
      </c>
      <c r="T29" s="201">
        <v>300871357</v>
      </c>
      <c r="U29" s="202"/>
    </row>
    <row r="30" spans="1:21">
      <c r="A30">
        <v>26</v>
      </c>
      <c r="B30" s="197">
        <v>45391</v>
      </c>
      <c r="C30" s="197">
        <v>45384</v>
      </c>
      <c r="D30" s="197" t="s">
        <v>438</v>
      </c>
      <c r="E30" s="197" t="s">
        <v>587</v>
      </c>
      <c r="F30" s="198" t="s">
        <v>557</v>
      </c>
      <c r="G30" s="197" t="s">
        <v>410</v>
      </c>
      <c r="H30" s="197" t="s">
        <v>588</v>
      </c>
      <c r="I30" s="198" t="s">
        <v>42</v>
      </c>
      <c r="J30" s="197" t="s">
        <v>102</v>
      </c>
      <c r="K30" s="197" t="s">
        <v>103</v>
      </c>
      <c r="L30" s="197" t="s">
        <v>695</v>
      </c>
      <c r="M30" s="197" t="s">
        <v>589</v>
      </c>
      <c r="N30" s="199">
        <v>995142234</v>
      </c>
      <c r="O30" s="200">
        <v>15</v>
      </c>
      <c r="P30" s="197" t="s">
        <v>112</v>
      </c>
      <c r="Q30" s="197" t="s">
        <v>102</v>
      </c>
      <c r="R30" s="197"/>
      <c r="S30" s="197" t="s">
        <v>587</v>
      </c>
      <c r="T30" s="201">
        <v>103589149001</v>
      </c>
      <c r="U30" s="202" t="s">
        <v>590</v>
      </c>
    </row>
    <row r="31" spans="1:21">
      <c r="A31">
        <v>27</v>
      </c>
      <c r="B31" s="197">
        <v>45392</v>
      </c>
      <c r="C31" s="197">
        <v>45337</v>
      </c>
      <c r="D31" s="197" t="s">
        <v>438</v>
      </c>
      <c r="E31" s="197" t="s">
        <v>591</v>
      </c>
      <c r="F31" s="198" t="s">
        <v>592</v>
      </c>
      <c r="G31" s="197" t="s">
        <v>593</v>
      </c>
      <c r="H31" s="197" t="s">
        <v>594</v>
      </c>
      <c r="I31" s="198" t="s">
        <v>42</v>
      </c>
      <c r="J31" s="197" t="s">
        <v>102</v>
      </c>
      <c r="K31" s="197" t="s">
        <v>103</v>
      </c>
      <c r="L31" s="197" t="s">
        <v>595</v>
      </c>
      <c r="M31" s="197" t="s">
        <v>84</v>
      </c>
      <c r="N31" s="199">
        <v>989434225</v>
      </c>
      <c r="O31" s="200">
        <v>29</v>
      </c>
      <c r="P31" s="197" t="s">
        <v>112</v>
      </c>
      <c r="Q31" s="197" t="s">
        <v>102</v>
      </c>
      <c r="R31" s="197"/>
      <c r="S31" s="197" t="s">
        <v>591</v>
      </c>
      <c r="T31" s="201">
        <v>301999529</v>
      </c>
      <c r="U31" s="202" t="s">
        <v>596</v>
      </c>
    </row>
    <row r="32" spans="1:21">
      <c r="A32">
        <v>28</v>
      </c>
      <c r="B32" s="197">
        <v>45393</v>
      </c>
      <c r="C32" s="197">
        <v>45392</v>
      </c>
      <c r="D32" s="197" t="s">
        <v>90</v>
      </c>
      <c r="E32" s="197" t="s">
        <v>597</v>
      </c>
      <c r="F32" s="198" t="s">
        <v>598</v>
      </c>
      <c r="G32" s="197" t="s">
        <v>599</v>
      </c>
      <c r="H32" s="197" t="s">
        <v>600</v>
      </c>
      <c r="I32" s="198" t="s">
        <v>42</v>
      </c>
      <c r="J32" s="197" t="s">
        <v>102</v>
      </c>
      <c r="K32" s="197" t="s">
        <v>103</v>
      </c>
      <c r="L32" s="197" t="s">
        <v>601</v>
      </c>
      <c r="M32" s="197" t="s">
        <v>602</v>
      </c>
      <c r="N32" s="199">
        <v>983129101</v>
      </c>
      <c r="O32" s="200">
        <v>25</v>
      </c>
      <c r="P32" s="197" t="s">
        <v>112</v>
      </c>
      <c r="Q32" s="197" t="s">
        <v>102</v>
      </c>
      <c r="R32" s="197"/>
      <c r="S32" s="197" t="s">
        <v>597</v>
      </c>
      <c r="T32" s="201">
        <v>104963814</v>
      </c>
      <c r="U32" s="202" t="s">
        <v>603</v>
      </c>
    </row>
    <row r="33" spans="1:21">
      <c r="A33">
        <v>29</v>
      </c>
      <c r="B33" s="197">
        <v>45397</v>
      </c>
      <c r="C33" s="197">
        <v>45375</v>
      </c>
      <c r="D33" s="197" t="s">
        <v>91</v>
      </c>
      <c r="E33" s="197" t="s">
        <v>604</v>
      </c>
      <c r="F33" s="198" t="s">
        <v>605</v>
      </c>
      <c r="G33" s="197" t="s">
        <v>606</v>
      </c>
      <c r="H33" s="197" t="s">
        <v>607</v>
      </c>
      <c r="I33" s="198" t="s">
        <v>42</v>
      </c>
      <c r="J33" s="197" t="s">
        <v>102</v>
      </c>
      <c r="K33" s="197" t="s">
        <v>103</v>
      </c>
      <c r="L33" s="197" t="s">
        <v>694</v>
      </c>
      <c r="M33" s="197" t="s">
        <v>331</v>
      </c>
      <c r="N33" s="199">
        <v>985713576</v>
      </c>
      <c r="O33" s="200">
        <v>29</v>
      </c>
      <c r="P33" s="197" t="s">
        <v>112</v>
      </c>
      <c r="Q33" s="197" t="s">
        <v>102</v>
      </c>
      <c r="R33" s="197"/>
      <c r="S33" s="197" t="s">
        <v>604</v>
      </c>
      <c r="T33" s="201">
        <v>103852794</v>
      </c>
      <c r="U33" s="202"/>
    </row>
    <row r="34" spans="1:21">
      <c r="A34">
        <v>30</v>
      </c>
      <c r="B34" s="197">
        <v>45397</v>
      </c>
      <c r="C34" s="197">
        <v>45378</v>
      </c>
      <c r="D34" s="197" t="s">
        <v>438</v>
      </c>
      <c r="E34" s="197" t="s">
        <v>608</v>
      </c>
      <c r="F34" s="198" t="s">
        <v>551</v>
      </c>
      <c r="G34" s="197" t="s">
        <v>125</v>
      </c>
      <c r="H34" s="197" t="s">
        <v>609</v>
      </c>
      <c r="I34" s="198" t="s">
        <v>42</v>
      </c>
      <c r="J34" s="197" t="s">
        <v>102</v>
      </c>
      <c r="K34" s="197" t="s">
        <v>103</v>
      </c>
      <c r="L34" s="197" t="s">
        <v>610</v>
      </c>
      <c r="M34" s="197" t="s">
        <v>589</v>
      </c>
      <c r="N34" s="199">
        <v>958965275</v>
      </c>
      <c r="O34" s="200">
        <v>29</v>
      </c>
      <c r="P34" s="197" t="s">
        <v>112</v>
      </c>
      <c r="Q34" s="197" t="s">
        <v>102</v>
      </c>
      <c r="R34" s="197"/>
      <c r="S34" s="197" t="s">
        <v>608</v>
      </c>
      <c r="T34" s="201">
        <v>1714662101</v>
      </c>
      <c r="U34" s="202" t="s">
        <v>611</v>
      </c>
    </row>
    <row r="35" spans="1:21">
      <c r="A35">
        <v>31</v>
      </c>
      <c r="B35" s="197">
        <v>45400</v>
      </c>
      <c r="C35" s="197">
        <v>45393</v>
      </c>
      <c r="D35" s="197" t="s">
        <v>438</v>
      </c>
      <c r="E35" s="197" t="s">
        <v>612</v>
      </c>
      <c r="F35" s="198" t="s">
        <v>459</v>
      </c>
      <c r="G35" s="197" t="s">
        <v>94</v>
      </c>
      <c r="H35" s="197" t="s">
        <v>613</v>
      </c>
      <c r="I35" s="198" t="s">
        <v>42</v>
      </c>
      <c r="J35" s="197" t="s">
        <v>102</v>
      </c>
      <c r="K35" s="197" t="s">
        <v>103</v>
      </c>
      <c r="L35" s="197" t="s">
        <v>614</v>
      </c>
      <c r="M35" s="197" t="s">
        <v>615</v>
      </c>
      <c r="N35" s="199">
        <v>3443931</v>
      </c>
      <c r="O35" s="200">
        <v>15</v>
      </c>
      <c r="P35" s="197" t="s">
        <v>112</v>
      </c>
      <c r="Q35" s="197" t="s">
        <v>102</v>
      </c>
      <c r="R35" s="197"/>
      <c r="S35" s="197" t="s">
        <v>612</v>
      </c>
      <c r="T35" s="201">
        <v>103852794</v>
      </c>
      <c r="U35" s="202"/>
    </row>
    <row r="36" spans="1:21">
      <c r="A36">
        <v>32</v>
      </c>
      <c r="B36" s="197">
        <v>45400</v>
      </c>
      <c r="C36" s="197">
        <v>45393</v>
      </c>
      <c r="D36" s="197" t="s">
        <v>438</v>
      </c>
      <c r="E36" s="197" t="s">
        <v>631</v>
      </c>
      <c r="F36" s="198" t="s">
        <v>632</v>
      </c>
      <c r="G36" s="197" t="s">
        <v>633</v>
      </c>
      <c r="H36" s="197" t="s">
        <v>634</v>
      </c>
      <c r="I36" s="198" t="s">
        <v>42</v>
      </c>
      <c r="J36" s="197" t="s">
        <v>102</v>
      </c>
      <c r="K36" s="197" t="s">
        <v>103</v>
      </c>
      <c r="L36" s="197" t="s">
        <v>635</v>
      </c>
      <c r="M36" s="197" t="s">
        <v>636</v>
      </c>
      <c r="N36" s="199">
        <v>939892602</v>
      </c>
      <c r="O36" s="200">
        <v>29</v>
      </c>
      <c r="P36" s="197" t="s">
        <v>112</v>
      </c>
      <c r="Q36" s="197" t="s">
        <v>102</v>
      </c>
      <c r="R36" s="197"/>
      <c r="S36" s="197" t="s">
        <v>631</v>
      </c>
      <c r="T36" s="201">
        <v>300065620</v>
      </c>
      <c r="U36" s="202"/>
    </row>
    <row r="37" spans="1:21">
      <c r="A37">
        <v>34</v>
      </c>
      <c r="B37" s="197"/>
      <c r="C37" s="197"/>
      <c r="D37" s="197"/>
      <c r="E37" s="197"/>
      <c r="F37" s="198"/>
      <c r="G37" s="197"/>
      <c r="H37" s="197"/>
      <c r="I37" s="198"/>
      <c r="J37" s="197" t="s">
        <v>102</v>
      </c>
      <c r="K37" s="197" t="s">
        <v>103</v>
      </c>
      <c r="L37" s="197"/>
      <c r="M37" s="197"/>
      <c r="N37" s="199"/>
      <c r="O37" s="200"/>
      <c r="P37" s="197" t="s">
        <v>112</v>
      </c>
      <c r="Q37" s="197" t="s">
        <v>102</v>
      </c>
      <c r="R37" s="197"/>
      <c r="S37" s="197"/>
      <c r="T37" s="201"/>
      <c r="U37" s="202"/>
    </row>
    <row r="38" spans="1:21">
      <c r="O38" s="168">
        <f>SUM(O5:O37)</f>
        <v>838</v>
      </c>
    </row>
  </sheetData>
  <hyperlinks>
    <hyperlink ref="U5" r:id="rId1" xr:uid="{00000000-0004-0000-0500-000000000000}"/>
    <hyperlink ref="U6" r:id="rId2" xr:uid="{00000000-0004-0000-0500-000001000000}"/>
    <hyperlink ref="U7" r:id="rId3" xr:uid="{00000000-0004-0000-0500-000002000000}"/>
    <hyperlink ref="U8" r:id="rId4" xr:uid="{00000000-0004-0000-0500-000003000000}"/>
    <hyperlink ref="U9" r:id="rId5" xr:uid="{00000000-0004-0000-0500-000004000000}"/>
    <hyperlink ref="U10" r:id="rId6" xr:uid="{00000000-0004-0000-0500-000005000000}"/>
    <hyperlink ref="U11" r:id="rId7" xr:uid="{00000000-0004-0000-0500-000006000000}"/>
    <hyperlink ref="U12" r:id="rId8" xr:uid="{00000000-0004-0000-0500-000007000000}"/>
    <hyperlink ref="U14" r:id="rId9" xr:uid="{00000000-0004-0000-0500-000008000000}"/>
    <hyperlink ref="U15" r:id="rId10" xr:uid="{00000000-0004-0000-0500-000009000000}"/>
    <hyperlink ref="U16" r:id="rId11" xr:uid="{00000000-0004-0000-0500-00000A000000}"/>
    <hyperlink ref="U17" r:id="rId12" xr:uid="{00000000-0004-0000-0500-00000B000000}"/>
    <hyperlink ref="U20" r:id="rId13" xr:uid="{00000000-0004-0000-0500-00000C000000}"/>
    <hyperlink ref="U21" r:id="rId14" xr:uid="{00000000-0004-0000-0500-00000D000000}"/>
    <hyperlink ref="U22" r:id="rId15" xr:uid="{00000000-0004-0000-0500-00000E000000}"/>
    <hyperlink ref="U23" r:id="rId16" xr:uid="{00000000-0004-0000-0500-00000F000000}"/>
    <hyperlink ref="U24" r:id="rId17" xr:uid="{00000000-0004-0000-0500-000010000000}"/>
    <hyperlink ref="U25" r:id="rId18" xr:uid="{00000000-0004-0000-0500-000011000000}"/>
    <hyperlink ref="U27" r:id="rId19" xr:uid="{00000000-0004-0000-0500-000012000000}"/>
    <hyperlink ref="U28" r:id="rId20" xr:uid="{00000000-0004-0000-0500-000013000000}"/>
    <hyperlink ref="U30" r:id="rId21" xr:uid="{00000000-0004-0000-0500-000014000000}"/>
    <hyperlink ref="U31" r:id="rId22" xr:uid="{00000000-0004-0000-0500-000015000000}"/>
    <hyperlink ref="U32" r:id="rId23" xr:uid="{00000000-0004-0000-0500-000016000000}"/>
    <hyperlink ref="U34" r:id="rId24" xr:uid="{00000000-0004-0000-0500-000017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64"/>
  <sheetViews>
    <sheetView topLeftCell="A55" workbookViewId="0">
      <selection activeCell="G111" sqref="G111:G115"/>
    </sheetView>
  </sheetViews>
  <sheetFormatPr baseColWidth="10" defaultColWidth="11" defaultRowHeight="16"/>
  <cols>
    <col min="1" max="1" width="11.1640625" style="314" bestFit="1" customWidth="1"/>
    <col min="2" max="2" width="13.5" style="276" customWidth="1"/>
    <col min="3" max="3" width="25" style="276" customWidth="1"/>
    <col min="4" max="4" width="19.1640625" style="276" customWidth="1"/>
    <col min="5" max="5" width="14.33203125" style="276" customWidth="1"/>
    <col min="6" max="6" width="27" style="276" customWidth="1"/>
    <col min="7" max="7" width="16.1640625" style="276" customWidth="1"/>
    <col min="8" max="8" width="20.5" style="276" customWidth="1"/>
    <col min="9" max="9" width="12" style="276" customWidth="1"/>
    <col min="10" max="10" width="13.5" style="276" bestFit="1" customWidth="1"/>
    <col min="11" max="11" width="11" style="276"/>
    <col min="12" max="12" width="14.1640625" style="276" customWidth="1"/>
    <col min="13" max="13" width="16.5" style="276" customWidth="1"/>
    <col min="14" max="14" width="11" style="276"/>
    <col min="15" max="15" width="20" style="276" customWidth="1"/>
    <col min="16" max="16" width="13.33203125" style="276" customWidth="1"/>
    <col min="17" max="16384" width="11" style="276"/>
  </cols>
  <sheetData>
    <row r="1" spans="1:16" s="289" customFormat="1" ht="17">
      <c r="A1" s="257"/>
      <c r="B1" s="258" t="s">
        <v>55</v>
      </c>
      <c r="C1" s="259"/>
      <c r="D1" s="259"/>
      <c r="E1" s="260"/>
      <c r="F1" s="261"/>
      <c r="G1" s="261"/>
      <c r="H1" s="261"/>
      <c r="I1" s="262"/>
      <c r="J1" s="261"/>
      <c r="K1" s="261"/>
      <c r="L1" s="263"/>
      <c r="M1" s="264"/>
      <c r="N1" s="263"/>
      <c r="O1" s="261"/>
      <c r="P1" s="265"/>
    </row>
    <row r="2" spans="1:16" ht="17">
      <c r="A2" s="266"/>
      <c r="B2" s="267" t="s">
        <v>113</v>
      </c>
      <c r="C2" s="268"/>
      <c r="D2" s="268"/>
      <c r="E2" s="269"/>
      <c r="F2" s="270"/>
      <c r="G2" s="270"/>
      <c r="H2" s="270"/>
      <c r="I2" s="271"/>
      <c r="J2" s="270"/>
      <c r="K2" s="270"/>
      <c r="L2" s="272"/>
      <c r="M2" s="273"/>
      <c r="N2" s="272"/>
      <c r="O2" s="270"/>
      <c r="P2" s="274"/>
    </row>
    <row r="3" spans="1:16" ht="17">
      <c r="A3" s="266"/>
      <c r="B3" s="267" t="s">
        <v>114</v>
      </c>
      <c r="C3" s="268"/>
      <c r="D3" s="268"/>
      <c r="E3" s="269"/>
      <c r="F3" s="270"/>
      <c r="G3" s="270"/>
      <c r="H3" s="270"/>
      <c r="I3" s="271"/>
      <c r="J3" s="270"/>
      <c r="K3" s="270"/>
      <c r="L3" s="272"/>
      <c r="M3" s="273"/>
      <c r="N3" s="272"/>
      <c r="O3" s="270"/>
      <c r="P3" s="274"/>
    </row>
    <row r="4" spans="1:16" ht="18.75" customHeight="1">
      <c r="A4" s="266"/>
      <c r="B4" s="234" t="s">
        <v>115</v>
      </c>
      <c r="C4" s="235" t="s">
        <v>116</v>
      </c>
      <c r="D4" s="235" t="s">
        <v>117</v>
      </c>
      <c r="E4" s="236" t="s">
        <v>129</v>
      </c>
      <c r="F4" s="235" t="s">
        <v>118</v>
      </c>
      <c r="G4" s="237" t="s">
        <v>119</v>
      </c>
      <c r="H4" s="238" t="s">
        <v>130</v>
      </c>
      <c r="I4" s="234" t="s">
        <v>126</v>
      </c>
      <c r="J4" s="239" t="s">
        <v>127</v>
      </c>
      <c r="K4" s="239" t="s">
        <v>61</v>
      </c>
      <c r="L4" s="240" t="s">
        <v>128</v>
      </c>
      <c r="M4" s="241" t="s">
        <v>120</v>
      </c>
      <c r="N4" s="236" t="s">
        <v>121</v>
      </c>
      <c r="O4" s="242" t="s">
        <v>122</v>
      </c>
      <c r="P4" s="242" t="s">
        <v>123</v>
      </c>
    </row>
    <row r="5" spans="1:16" ht="18" hidden="1">
      <c r="A5" s="266"/>
      <c r="B5" s="243"/>
      <c r="C5" s="244"/>
      <c r="D5" s="244"/>
      <c r="E5" s="245"/>
      <c r="F5" s="244"/>
      <c r="G5" s="246"/>
      <c r="H5" s="247" t="s">
        <v>124</v>
      </c>
      <c r="I5" s="243" t="s">
        <v>124</v>
      </c>
      <c r="J5" s="248" t="s">
        <v>61</v>
      </c>
      <c r="K5" s="248"/>
      <c r="L5" s="249"/>
      <c r="M5" s="250"/>
      <c r="N5" s="245"/>
      <c r="O5" s="251"/>
      <c r="P5" s="251"/>
    </row>
    <row r="6" spans="1:16" ht="18">
      <c r="A6" s="275">
        <v>1</v>
      </c>
      <c r="B6" s="290">
        <v>45371</v>
      </c>
      <c r="C6" s="291" t="s">
        <v>152</v>
      </c>
      <c r="D6" s="291" t="s">
        <v>153</v>
      </c>
      <c r="E6" s="292">
        <v>74025053</v>
      </c>
      <c r="F6" s="292" t="s">
        <v>97</v>
      </c>
      <c r="G6" s="287" t="s">
        <v>651</v>
      </c>
      <c r="H6" s="292" t="s">
        <v>91</v>
      </c>
      <c r="I6" s="293">
        <v>45360</v>
      </c>
      <c r="J6" s="294">
        <v>112570126</v>
      </c>
      <c r="K6" s="252" t="s">
        <v>81</v>
      </c>
      <c r="L6" s="295" t="s">
        <v>42</v>
      </c>
      <c r="M6" s="292" t="s">
        <v>149</v>
      </c>
      <c r="N6" s="253"/>
      <c r="O6" s="296" t="s">
        <v>154</v>
      </c>
      <c r="P6" s="282">
        <v>101657435</v>
      </c>
    </row>
    <row r="7" spans="1:16" ht="18">
      <c r="A7" s="275">
        <v>2</v>
      </c>
      <c r="B7" s="290">
        <v>45371</v>
      </c>
      <c r="C7" s="291" t="s">
        <v>152</v>
      </c>
      <c r="D7" s="291" t="s">
        <v>153</v>
      </c>
      <c r="E7" s="292">
        <v>74025053</v>
      </c>
      <c r="F7" s="292" t="s">
        <v>147</v>
      </c>
      <c r="G7" s="287" t="s">
        <v>651</v>
      </c>
      <c r="H7" s="292" t="s">
        <v>91</v>
      </c>
      <c r="I7" s="293">
        <v>45360</v>
      </c>
      <c r="J7" s="294">
        <v>41596121</v>
      </c>
      <c r="K7" s="252" t="s">
        <v>81</v>
      </c>
      <c r="L7" s="295" t="s">
        <v>42</v>
      </c>
      <c r="M7" s="292" t="s">
        <v>150</v>
      </c>
      <c r="N7" s="253"/>
      <c r="O7" s="296" t="s">
        <v>154</v>
      </c>
      <c r="P7" s="282">
        <v>101657435</v>
      </c>
    </row>
    <row r="8" spans="1:16" ht="18">
      <c r="A8" s="275">
        <v>3</v>
      </c>
      <c r="B8" s="290">
        <v>45371</v>
      </c>
      <c r="C8" s="291" t="s">
        <v>152</v>
      </c>
      <c r="D8" s="291" t="s">
        <v>153</v>
      </c>
      <c r="E8" s="292">
        <v>74025053</v>
      </c>
      <c r="F8" s="292" t="s">
        <v>148</v>
      </c>
      <c r="G8" s="287" t="s">
        <v>651</v>
      </c>
      <c r="H8" s="292" t="s">
        <v>91</v>
      </c>
      <c r="I8" s="293">
        <v>45360</v>
      </c>
      <c r="J8" s="294">
        <v>113430016</v>
      </c>
      <c r="K8" s="252" t="s">
        <v>81</v>
      </c>
      <c r="L8" s="295" t="s">
        <v>42</v>
      </c>
      <c r="M8" s="292" t="s">
        <v>151</v>
      </c>
      <c r="N8" s="253"/>
      <c r="O8" s="296" t="s">
        <v>154</v>
      </c>
      <c r="P8" s="282">
        <v>101657435</v>
      </c>
    </row>
    <row r="9" spans="1:16" ht="18">
      <c r="A9" s="275">
        <v>4</v>
      </c>
      <c r="B9" s="290">
        <v>45371</v>
      </c>
      <c r="C9" s="291" t="s">
        <v>157</v>
      </c>
      <c r="D9" s="291" t="s">
        <v>158</v>
      </c>
      <c r="E9" s="292">
        <v>995872602</v>
      </c>
      <c r="F9" s="292" t="s">
        <v>89</v>
      </c>
      <c r="G9" s="287" t="s">
        <v>651</v>
      </c>
      <c r="H9" s="292" t="s">
        <v>137</v>
      </c>
      <c r="I9" s="293">
        <v>45354</v>
      </c>
      <c r="J9" s="294">
        <v>112580017</v>
      </c>
      <c r="K9" s="252" t="s">
        <v>81</v>
      </c>
      <c r="L9" s="295" t="s">
        <v>42</v>
      </c>
      <c r="M9" s="292" t="s">
        <v>156</v>
      </c>
      <c r="N9" s="253"/>
      <c r="O9" s="296"/>
      <c r="P9" s="282">
        <v>106424765</v>
      </c>
    </row>
    <row r="10" spans="1:16" ht="18">
      <c r="A10" s="275">
        <v>5</v>
      </c>
      <c r="B10" s="290">
        <v>45371</v>
      </c>
      <c r="C10" s="291" t="s">
        <v>157</v>
      </c>
      <c r="D10" s="291" t="s">
        <v>158</v>
      </c>
      <c r="E10" s="292">
        <v>995872602</v>
      </c>
      <c r="F10" s="292" t="s">
        <v>89</v>
      </c>
      <c r="G10" s="287" t="s">
        <v>651</v>
      </c>
      <c r="H10" s="292" t="s">
        <v>137</v>
      </c>
      <c r="I10" s="293">
        <v>45354</v>
      </c>
      <c r="J10" s="294">
        <v>112580017</v>
      </c>
      <c r="K10" s="252" t="s">
        <v>81</v>
      </c>
      <c r="L10" s="295" t="s">
        <v>42</v>
      </c>
      <c r="M10" s="292" t="s">
        <v>156</v>
      </c>
      <c r="N10" s="253"/>
      <c r="O10" s="296"/>
      <c r="P10" s="282">
        <v>106424765</v>
      </c>
    </row>
    <row r="11" spans="1:16" ht="18">
      <c r="A11" s="275">
        <v>6</v>
      </c>
      <c r="B11" s="290">
        <v>45371</v>
      </c>
      <c r="C11" s="291" t="s">
        <v>162</v>
      </c>
      <c r="D11" s="291" t="s">
        <v>98</v>
      </c>
      <c r="E11" s="292">
        <v>983393143</v>
      </c>
      <c r="F11" s="292" t="s">
        <v>95</v>
      </c>
      <c r="G11" s="287" t="s">
        <v>651</v>
      </c>
      <c r="H11" s="292" t="s">
        <v>87</v>
      </c>
      <c r="I11" s="293">
        <v>45202</v>
      </c>
      <c r="J11" s="294">
        <v>112580058</v>
      </c>
      <c r="K11" s="252" t="s">
        <v>81</v>
      </c>
      <c r="L11" s="295" t="s">
        <v>42</v>
      </c>
      <c r="M11" s="292" t="s">
        <v>159</v>
      </c>
      <c r="N11" s="253"/>
      <c r="O11" s="296"/>
      <c r="P11" s="282">
        <v>1900485598</v>
      </c>
    </row>
    <row r="12" spans="1:16" ht="18">
      <c r="A12" s="275">
        <v>7</v>
      </c>
      <c r="B12" s="290">
        <v>45371</v>
      </c>
      <c r="C12" s="291" t="s">
        <v>162</v>
      </c>
      <c r="D12" s="291" t="s">
        <v>98</v>
      </c>
      <c r="E12" s="292">
        <v>983393143</v>
      </c>
      <c r="F12" s="292" t="s">
        <v>160</v>
      </c>
      <c r="G12" s="287" t="s">
        <v>651</v>
      </c>
      <c r="H12" s="292" t="s">
        <v>87</v>
      </c>
      <c r="I12" s="293">
        <v>45202</v>
      </c>
      <c r="J12" s="294">
        <v>41560142</v>
      </c>
      <c r="K12" s="252" t="s">
        <v>81</v>
      </c>
      <c r="L12" s="295" t="s">
        <v>42</v>
      </c>
      <c r="M12" s="292" t="s">
        <v>161</v>
      </c>
      <c r="N12" s="253"/>
      <c r="O12" s="296"/>
      <c r="P12" s="282">
        <v>1900485598</v>
      </c>
    </row>
    <row r="13" spans="1:16" ht="18">
      <c r="A13" s="275">
        <v>8</v>
      </c>
      <c r="B13" s="297">
        <v>45371</v>
      </c>
      <c r="C13" s="298" t="s">
        <v>345</v>
      </c>
      <c r="D13" s="291" t="s">
        <v>653</v>
      </c>
      <c r="E13" s="292">
        <v>998266693</v>
      </c>
      <c r="F13" s="292" t="s">
        <v>343</v>
      </c>
      <c r="G13" s="287" t="s">
        <v>654</v>
      </c>
      <c r="H13" s="292" t="s">
        <v>90</v>
      </c>
      <c r="I13" s="293">
        <v>44851</v>
      </c>
      <c r="J13" s="294">
        <v>112500049</v>
      </c>
      <c r="K13" s="252" t="s">
        <v>81</v>
      </c>
      <c r="L13" s="295" t="s">
        <v>42</v>
      </c>
      <c r="M13" s="292" t="s">
        <v>344</v>
      </c>
      <c r="N13" s="253"/>
      <c r="O13" s="296" t="s">
        <v>655</v>
      </c>
      <c r="P13" s="282">
        <v>104045877</v>
      </c>
    </row>
    <row r="14" spans="1:16" ht="18">
      <c r="A14" s="275">
        <v>9</v>
      </c>
      <c r="B14" s="297">
        <v>45371</v>
      </c>
      <c r="C14" s="298" t="s">
        <v>350</v>
      </c>
      <c r="D14" s="291" t="s">
        <v>656</v>
      </c>
      <c r="E14" s="292">
        <v>996155115</v>
      </c>
      <c r="F14" s="292" t="s">
        <v>349</v>
      </c>
      <c r="G14" s="287" t="s">
        <v>654</v>
      </c>
      <c r="H14" s="292" t="s">
        <v>85</v>
      </c>
      <c r="I14" s="293">
        <v>45204</v>
      </c>
      <c r="J14" s="294">
        <v>111570002</v>
      </c>
      <c r="K14" s="252" t="s">
        <v>81</v>
      </c>
      <c r="L14" s="295" t="s">
        <v>42</v>
      </c>
      <c r="M14" s="292" t="s">
        <v>648</v>
      </c>
      <c r="N14" s="253"/>
      <c r="O14" s="296" t="s">
        <v>351</v>
      </c>
      <c r="P14" s="282"/>
    </row>
    <row r="15" spans="1:16" ht="18">
      <c r="A15" s="275">
        <v>10</v>
      </c>
      <c r="B15" s="277">
        <v>45371</v>
      </c>
      <c r="C15" s="277" t="s">
        <v>444</v>
      </c>
      <c r="D15" s="277" t="s">
        <v>445</v>
      </c>
      <c r="E15" s="278">
        <v>984417225</v>
      </c>
      <c r="F15" s="277" t="s">
        <v>441</v>
      </c>
      <c r="G15" s="287" t="s">
        <v>684</v>
      </c>
      <c r="H15" s="277" t="s">
        <v>438</v>
      </c>
      <c r="I15" s="277">
        <v>45369</v>
      </c>
      <c r="J15" s="279" t="s">
        <v>440</v>
      </c>
      <c r="K15" s="252" t="s">
        <v>81</v>
      </c>
      <c r="L15" s="295" t="s">
        <v>42</v>
      </c>
      <c r="M15" s="277" t="s">
        <v>442</v>
      </c>
      <c r="N15" s="253"/>
      <c r="O15" s="286" t="s">
        <v>446</v>
      </c>
      <c r="P15" s="283">
        <v>103516738</v>
      </c>
    </row>
    <row r="16" spans="1:16" ht="18">
      <c r="A16" s="275">
        <v>11</v>
      </c>
      <c r="B16" s="277">
        <v>45371</v>
      </c>
      <c r="C16" s="277" t="s">
        <v>132</v>
      </c>
      <c r="D16" s="277" t="s">
        <v>158</v>
      </c>
      <c r="E16" s="278">
        <v>983846746</v>
      </c>
      <c r="F16" s="277" t="s">
        <v>449</v>
      </c>
      <c r="G16" s="287" t="s">
        <v>684</v>
      </c>
      <c r="H16" s="277" t="s">
        <v>90</v>
      </c>
      <c r="I16" s="277">
        <v>45367</v>
      </c>
      <c r="J16" s="279" t="s">
        <v>448</v>
      </c>
      <c r="K16" s="252" t="s">
        <v>81</v>
      </c>
      <c r="L16" s="295" t="s">
        <v>42</v>
      </c>
      <c r="M16" s="277" t="s">
        <v>450</v>
      </c>
      <c r="N16" s="253"/>
      <c r="O16" s="286" t="s">
        <v>451</v>
      </c>
      <c r="P16" s="283">
        <v>105223622</v>
      </c>
    </row>
    <row r="17" spans="1:16" ht="18">
      <c r="A17" s="275">
        <v>12</v>
      </c>
      <c r="B17" s="277">
        <v>45371</v>
      </c>
      <c r="C17" s="277" t="s">
        <v>455</v>
      </c>
      <c r="D17" s="277" t="s">
        <v>456</v>
      </c>
      <c r="E17" s="278">
        <v>4187584</v>
      </c>
      <c r="F17" s="277" t="s">
        <v>89</v>
      </c>
      <c r="G17" s="287" t="s">
        <v>684</v>
      </c>
      <c r="H17" s="277" t="s">
        <v>438</v>
      </c>
      <c r="I17" s="277">
        <v>45369</v>
      </c>
      <c r="J17" s="279" t="s">
        <v>453</v>
      </c>
      <c r="K17" s="252" t="s">
        <v>81</v>
      </c>
      <c r="L17" s="295" t="s">
        <v>42</v>
      </c>
      <c r="M17" s="277" t="s">
        <v>454</v>
      </c>
      <c r="N17" s="253"/>
      <c r="O17" s="286" t="s">
        <v>457</v>
      </c>
      <c r="P17" s="283">
        <v>101497766</v>
      </c>
    </row>
    <row r="18" spans="1:16" ht="18">
      <c r="A18" s="275">
        <v>13</v>
      </c>
      <c r="B18" s="277">
        <v>45372</v>
      </c>
      <c r="C18" s="277" t="s">
        <v>462</v>
      </c>
      <c r="D18" s="277" t="s">
        <v>463</v>
      </c>
      <c r="E18" s="278">
        <v>4090980</v>
      </c>
      <c r="F18" s="277" t="s">
        <v>460</v>
      </c>
      <c r="G18" s="287" t="s">
        <v>684</v>
      </c>
      <c r="H18" s="277" t="s">
        <v>438</v>
      </c>
      <c r="I18" s="277">
        <v>45367</v>
      </c>
      <c r="J18" s="279" t="s">
        <v>459</v>
      </c>
      <c r="K18" s="252" t="s">
        <v>81</v>
      </c>
      <c r="L18" s="295" t="s">
        <v>42</v>
      </c>
      <c r="M18" s="277" t="s">
        <v>461</v>
      </c>
      <c r="N18" s="253"/>
      <c r="O18" s="286" t="s">
        <v>464</v>
      </c>
      <c r="P18" s="283">
        <v>703532069</v>
      </c>
    </row>
    <row r="19" spans="1:16" ht="18">
      <c r="A19" s="275">
        <v>14</v>
      </c>
      <c r="B19" s="277">
        <v>45372</v>
      </c>
      <c r="C19" s="277" t="s">
        <v>468</v>
      </c>
      <c r="D19" s="277" t="s">
        <v>469</v>
      </c>
      <c r="E19" s="278">
        <v>992024432</v>
      </c>
      <c r="F19" s="277" t="s">
        <v>466</v>
      </c>
      <c r="G19" s="287" t="s">
        <v>684</v>
      </c>
      <c r="H19" s="277" t="s">
        <v>90</v>
      </c>
      <c r="I19" s="277">
        <v>45372</v>
      </c>
      <c r="J19" s="279" t="s">
        <v>131</v>
      </c>
      <c r="K19" s="252" t="s">
        <v>81</v>
      </c>
      <c r="L19" s="295" t="s">
        <v>42</v>
      </c>
      <c r="M19" s="277" t="s">
        <v>467</v>
      </c>
      <c r="N19" s="253"/>
      <c r="O19" s="286" t="s">
        <v>470</v>
      </c>
      <c r="P19" s="283">
        <v>300819331</v>
      </c>
    </row>
    <row r="20" spans="1:16" ht="18">
      <c r="A20" s="275">
        <v>15</v>
      </c>
      <c r="B20" s="290">
        <v>45372</v>
      </c>
      <c r="C20" s="291" t="s">
        <v>167</v>
      </c>
      <c r="D20" s="291" t="s">
        <v>168</v>
      </c>
      <c r="E20" s="292">
        <v>988830748</v>
      </c>
      <c r="F20" s="292" t="s">
        <v>88</v>
      </c>
      <c r="G20" s="287" t="s">
        <v>651</v>
      </c>
      <c r="H20" s="292" t="s">
        <v>137</v>
      </c>
      <c r="I20" s="293">
        <v>45358</v>
      </c>
      <c r="J20" s="294">
        <v>40466111</v>
      </c>
      <c r="K20" s="252" t="s">
        <v>81</v>
      </c>
      <c r="L20" s="295" t="s">
        <v>42</v>
      </c>
      <c r="M20" s="292" t="s">
        <v>165</v>
      </c>
      <c r="N20" s="253"/>
      <c r="O20" s="296" t="s">
        <v>170</v>
      </c>
      <c r="P20" s="282">
        <v>102490307</v>
      </c>
    </row>
    <row r="21" spans="1:16" ht="18">
      <c r="A21" s="275">
        <v>16</v>
      </c>
      <c r="B21" s="290">
        <v>45372</v>
      </c>
      <c r="C21" s="291" t="s">
        <v>167</v>
      </c>
      <c r="D21" s="291" t="s">
        <v>168</v>
      </c>
      <c r="E21" s="292">
        <v>988830748</v>
      </c>
      <c r="F21" s="292" t="s">
        <v>164</v>
      </c>
      <c r="G21" s="287" t="s">
        <v>651</v>
      </c>
      <c r="H21" s="292" t="s">
        <v>137</v>
      </c>
      <c r="I21" s="293">
        <v>45358</v>
      </c>
      <c r="J21" s="294">
        <v>112580058</v>
      </c>
      <c r="K21" s="252" t="s">
        <v>81</v>
      </c>
      <c r="L21" s="295" t="s">
        <v>42</v>
      </c>
      <c r="M21" s="292" t="s">
        <v>166</v>
      </c>
      <c r="N21" s="253"/>
      <c r="O21" s="296" t="s">
        <v>170</v>
      </c>
      <c r="P21" s="282">
        <v>102490307</v>
      </c>
    </row>
    <row r="22" spans="1:16" ht="18">
      <c r="A22" s="275">
        <v>17</v>
      </c>
      <c r="B22" s="290">
        <v>45373</v>
      </c>
      <c r="C22" s="291" t="s">
        <v>355</v>
      </c>
      <c r="D22" s="291" t="s">
        <v>476</v>
      </c>
      <c r="E22" s="292">
        <v>997473993</v>
      </c>
      <c r="F22" s="292" t="s">
        <v>148</v>
      </c>
      <c r="G22" s="287" t="s">
        <v>654</v>
      </c>
      <c r="H22" s="292" t="s">
        <v>85</v>
      </c>
      <c r="I22" s="293">
        <v>45366</v>
      </c>
      <c r="J22" s="294">
        <v>113430016</v>
      </c>
      <c r="K22" s="252" t="s">
        <v>81</v>
      </c>
      <c r="L22" s="295" t="s">
        <v>42</v>
      </c>
      <c r="M22" s="292" t="s">
        <v>354</v>
      </c>
      <c r="N22" s="253"/>
      <c r="O22" s="296" t="s">
        <v>356</v>
      </c>
      <c r="P22" s="282"/>
    </row>
    <row r="23" spans="1:16" ht="18">
      <c r="A23" s="275">
        <v>18</v>
      </c>
      <c r="B23" s="277">
        <v>45373</v>
      </c>
      <c r="C23" s="277" t="s">
        <v>475</v>
      </c>
      <c r="D23" s="277" t="s">
        <v>476</v>
      </c>
      <c r="E23" s="278">
        <v>995350350</v>
      </c>
      <c r="F23" s="277" t="s">
        <v>473</v>
      </c>
      <c r="G23" s="287" t="s">
        <v>684</v>
      </c>
      <c r="H23" s="277" t="s">
        <v>91</v>
      </c>
      <c r="I23" s="277">
        <v>45277</v>
      </c>
      <c r="J23" s="279" t="s">
        <v>472</v>
      </c>
      <c r="K23" s="252" t="s">
        <v>81</v>
      </c>
      <c r="L23" s="295" t="s">
        <v>42</v>
      </c>
      <c r="M23" s="277" t="s">
        <v>474</v>
      </c>
      <c r="N23" s="253"/>
      <c r="O23" s="286" t="s">
        <v>478</v>
      </c>
      <c r="P23" s="283">
        <v>102075298</v>
      </c>
    </row>
    <row r="24" spans="1:16" ht="18">
      <c r="A24" s="275">
        <v>19</v>
      </c>
      <c r="B24" s="277">
        <v>45373</v>
      </c>
      <c r="C24" s="277" t="s">
        <v>483</v>
      </c>
      <c r="D24" s="277" t="s">
        <v>484</v>
      </c>
      <c r="E24" s="278">
        <v>997942105</v>
      </c>
      <c r="F24" s="277" t="s">
        <v>481</v>
      </c>
      <c r="G24" s="287" t="s">
        <v>684</v>
      </c>
      <c r="H24" s="277" t="s">
        <v>90</v>
      </c>
      <c r="I24" s="277">
        <v>45367</v>
      </c>
      <c r="J24" s="279" t="s">
        <v>480</v>
      </c>
      <c r="K24" s="252" t="s">
        <v>81</v>
      </c>
      <c r="L24" s="295" t="s">
        <v>42</v>
      </c>
      <c r="M24" s="277" t="s">
        <v>482</v>
      </c>
      <c r="N24" s="253"/>
      <c r="O24" s="286" t="s">
        <v>485</v>
      </c>
      <c r="P24" s="283">
        <v>101638807</v>
      </c>
    </row>
    <row r="25" spans="1:16" ht="18">
      <c r="A25" s="275">
        <v>20</v>
      </c>
      <c r="B25" s="229">
        <v>45374</v>
      </c>
      <c r="C25" s="229" t="s">
        <v>490</v>
      </c>
      <c r="D25" s="229" t="s">
        <v>491</v>
      </c>
      <c r="E25" s="254">
        <v>994594888</v>
      </c>
      <c r="F25" s="229" t="s">
        <v>488</v>
      </c>
      <c r="G25" s="287" t="s">
        <v>684</v>
      </c>
      <c r="H25" s="229" t="s">
        <v>90</v>
      </c>
      <c r="I25" s="229">
        <v>45331</v>
      </c>
      <c r="J25" s="255" t="s">
        <v>487</v>
      </c>
      <c r="K25" s="252" t="s">
        <v>81</v>
      </c>
      <c r="L25" s="295" t="s">
        <v>42</v>
      </c>
      <c r="M25" s="229" t="s">
        <v>489</v>
      </c>
      <c r="N25" s="253"/>
      <c r="O25" s="256" t="s">
        <v>492</v>
      </c>
      <c r="P25" s="318">
        <v>103888483</v>
      </c>
    </row>
    <row r="26" spans="1:16" ht="18">
      <c r="A26" s="275">
        <v>21</v>
      </c>
      <c r="B26" s="277">
        <v>45374</v>
      </c>
      <c r="C26" s="277" t="s">
        <v>490</v>
      </c>
      <c r="D26" s="277" t="s">
        <v>491</v>
      </c>
      <c r="E26" s="278">
        <v>994594888</v>
      </c>
      <c r="F26" s="277" t="s">
        <v>488</v>
      </c>
      <c r="G26" s="287" t="s">
        <v>684</v>
      </c>
      <c r="H26" s="277" t="s">
        <v>90</v>
      </c>
      <c r="I26" s="277">
        <v>45331</v>
      </c>
      <c r="J26" s="279" t="s">
        <v>487</v>
      </c>
      <c r="K26" s="252" t="s">
        <v>81</v>
      </c>
      <c r="L26" s="295" t="s">
        <v>42</v>
      </c>
      <c r="M26" s="277" t="s">
        <v>489</v>
      </c>
      <c r="N26" s="253"/>
      <c r="O26" s="286" t="s">
        <v>492</v>
      </c>
      <c r="P26" s="283">
        <v>103888483</v>
      </c>
    </row>
    <row r="27" spans="1:16" ht="18">
      <c r="A27" s="275">
        <v>22</v>
      </c>
      <c r="B27" s="290">
        <v>45376</v>
      </c>
      <c r="C27" s="291" t="s">
        <v>176</v>
      </c>
      <c r="D27" s="291" t="s">
        <v>177</v>
      </c>
      <c r="E27" s="292">
        <v>968524304</v>
      </c>
      <c r="F27" s="292" t="s">
        <v>172</v>
      </c>
      <c r="G27" s="287" t="s">
        <v>651</v>
      </c>
      <c r="H27" s="292" t="s">
        <v>87</v>
      </c>
      <c r="I27" s="293">
        <v>45365</v>
      </c>
      <c r="J27" s="294">
        <v>112610068</v>
      </c>
      <c r="K27" s="252" t="s">
        <v>81</v>
      </c>
      <c r="L27" s="295" t="s">
        <v>42</v>
      </c>
      <c r="M27" s="292" t="s">
        <v>174</v>
      </c>
      <c r="N27" s="253"/>
      <c r="O27" s="296" t="s">
        <v>178</v>
      </c>
      <c r="P27" s="282">
        <v>105824304</v>
      </c>
    </row>
    <row r="28" spans="1:16" ht="18">
      <c r="A28" s="275">
        <v>23</v>
      </c>
      <c r="B28" s="290">
        <v>45376</v>
      </c>
      <c r="C28" s="291" t="s">
        <v>176</v>
      </c>
      <c r="D28" s="291" t="s">
        <v>177</v>
      </c>
      <c r="E28" s="292">
        <v>968524304</v>
      </c>
      <c r="F28" s="292" t="s">
        <v>173</v>
      </c>
      <c r="G28" s="287" t="s">
        <v>651</v>
      </c>
      <c r="H28" s="292" t="s">
        <v>87</v>
      </c>
      <c r="I28" s="293">
        <v>45365</v>
      </c>
      <c r="J28" s="294">
        <v>41596121</v>
      </c>
      <c r="K28" s="252" t="s">
        <v>81</v>
      </c>
      <c r="L28" s="295" t="s">
        <v>42</v>
      </c>
      <c r="M28" s="292" t="s">
        <v>175</v>
      </c>
      <c r="N28" s="253"/>
      <c r="O28" s="296" t="s">
        <v>178</v>
      </c>
      <c r="P28" s="282">
        <v>105824304</v>
      </c>
    </row>
    <row r="29" spans="1:16" ht="18">
      <c r="A29" s="275">
        <v>24</v>
      </c>
      <c r="B29" s="290">
        <v>45376</v>
      </c>
      <c r="C29" s="291" t="s">
        <v>183</v>
      </c>
      <c r="D29" s="291" t="s">
        <v>184</v>
      </c>
      <c r="E29" s="292">
        <v>74109067</v>
      </c>
      <c r="F29" s="292" t="s">
        <v>160</v>
      </c>
      <c r="G29" s="287" t="s">
        <v>651</v>
      </c>
      <c r="H29" s="292" t="s">
        <v>91</v>
      </c>
      <c r="I29" s="293">
        <v>45367</v>
      </c>
      <c r="J29" s="294">
        <v>41560151</v>
      </c>
      <c r="K29" s="252" t="s">
        <v>81</v>
      </c>
      <c r="L29" s="295" t="s">
        <v>42</v>
      </c>
      <c r="M29" s="292" t="s">
        <v>180</v>
      </c>
      <c r="N29" s="253"/>
      <c r="O29" s="296" t="s">
        <v>185</v>
      </c>
      <c r="P29" s="282">
        <v>100868090</v>
      </c>
    </row>
    <row r="30" spans="1:16" ht="18">
      <c r="A30" s="275">
        <v>25</v>
      </c>
      <c r="B30" s="290">
        <v>45376</v>
      </c>
      <c r="C30" s="291" t="s">
        <v>183</v>
      </c>
      <c r="D30" s="291" t="s">
        <v>184</v>
      </c>
      <c r="E30" s="292">
        <v>74109067</v>
      </c>
      <c r="F30" s="292" t="s">
        <v>148</v>
      </c>
      <c r="G30" s="287" t="s">
        <v>651</v>
      </c>
      <c r="H30" s="292" t="s">
        <v>91</v>
      </c>
      <c r="I30" s="293">
        <v>45367</v>
      </c>
      <c r="J30" s="294">
        <v>113430016</v>
      </c>
      <c r="K30" s="252" t="s">
        <v>81</v>
      </c>
      <c r="L30" s="295" t="s">
        <v>42</v>
      </c>
      <c r="M30" s="292" t="s">
        <v>182</v>
      </c>
      <c r="N30" s="253"/>
      <c r="O30" s="296" t="s">
        <v>185</v>
      </c>
      <c r="P30" s="282">
        <v>100868090</v>
      </c>
    </row>
    <row r="31" spans="1:16" ht="18">
      <c r="A31" s="275">
        <v>26</v>
      </c>
      <c r="B31" s="290">
        <v>45376</v>
      </c>
      <c r="C31" s="291" t="s">
        <v>183</v>
      </c>
      <c r="D31" s="291" t="s">
        <v>184</v>
      </c>
      <c r="E31" s="292">
        <v>74109067</v>
      </c>
      <c r="F31" s="292" t="s">
        <v>148</v>
      </c>
      <c r="G31" s="287" t="s">
        <v>651</v>
      </c>
      <c r="H31" s="292" t="s">
        <v>91</v>
      </c>
      <c r="I31" s="293">
        <v>45367</v>
      </c>
      <c r="J31" s="294">
        <v>113430016</v>
      </c>
      <c r="K31" s="252" t="s">
        <v>81</v>
      </c>
      <c r="L31" s="295" t="s">
        <v>42</v>
      </c>
      <c r="M31" s="292" t="s">
        <v>181</v>
      </c>
      <c r="N31" s="253"/>
      <c r="O31" s="296" t="s">
        <v>185</v>
      </c>
      <c r="P31" s="282">
        <v>100868090</v>
      </c>
    </row>
    <row r="32" spans="1:16" ht="18">
      <c r="A32" s="275">
        <v>27</v>
      </c>
      <c r="B32" s="297">
        <v>45376</v>
      </c>
      <c r="C32" s="298" t="s">
        <v>359</v>
      </c>
      <c r="D32" s="291" t="s">
        <v>657</v>
      </c>
      <c r="E32" s="292">
        <v>2893396</v>
      </c>
      <c r="F32" s="292" t="s">
        <v>358</v>
      </c>
      <c r="G32" s="287" t="s">
        <v>654</v>
      </c>
      <c r="H32" s="292" t="s">
        <v>87</v>
      </c>
      <c r="I32" s="293">
        <v>45359</v>
      </c>
      <c r="J32" s="294"/>
      <c r="K32" s="252" t="s">
        <v>81</v>
      </c>
      <c r="L32" s="295" t="s">
        <v>42</v>
      </c>
      <c r="M32" s="292"/>
      <c r="N32" s="253"/>
      <c r="O32" s="296"/>
      <c r="P32" s="282">
        <v>103883328</v>
      </c>
    </row>
    <row r="33" spans="1:16" ht="18">
      <c r="A33" s="275">
        <v>28</v>
      </c>
      <c r="B33" s="297">
        <v>45376</v>
      </c>
      <c r="C33" s="298" t="s">
        <v>370</v>
      </c>
      <c r="D33" s="291" t="s">
        <v>586</v>
      </c>
      <c r="E33" s="292">
        <v>2366356</v>
      </c>
      <c r="F33" s="292" t="s">
        <v>148</v>
      </c>
      <c r="G33" s="287" t="s">
        <v>654</v>
      </c>
      <c r="H33" s="292" t="s">
        <v>137</v>
      </c>
      <c r="I33" s="293">
        <v>45364</v>
      </c>
      <c r="J33" s="294">
        <v>113430016</v>
      </c>
      <c r="K33" s="252" t="s">
        <v>81</v>
      </c>
      <c r="L33" s="295" t="s">
        <v>42</v>
      </c>
      <c r="M33" s="292" t="s">
        <v>369</v>
      </c>
      <c r="N33" s="253"/>
      <c r="O33" s="296"/>
      <c r="P33" s="282">
        <v>300871357</v>
      </c>
    </row>
    <row r="34" spans="1:16" ht="18">
      <c r="A34" s="275">
        <v>29</v>
      </c>
      <c r="B34" s="229">
        <v>45377</v>
      </c>
      <c r="C34" s="229" t="s">
        <v>496</v>
      </c>
      <c r="D34" s="229" t="s">
        <v>497</v>
      </c>
      <c r="E34" s="254">
        <v>2805648</v>
      </c>
      <c r="F34" s="229" t="s">
        <v>494</v>
      </c>
      <c r="G34" s="287" t="s">
        <v>684</v>
      </c>
      <c r="H34" s="229" t="s">
        <v>438</v>
      </c>
      <c r="I34" s="229">
        <v>45374</v>
      </c>
      <c r="J34" s="255" t="s">
        <v>131</v>
      </c>
      <c r="K34" s="252" t="s">
        <v>81</v>
      </c>
      <c r="L34" s="295" t="s">
        <v>42</v>
      </c>
      <c r="M34" s="229" t="s">
        <v>495</v>
      </c>
      <c r="N34" s="253"/>
      <c r="O34" s="256"/>
      <c r="P34" s="318">
        <v>100103271</v>
      </c>
    </row>
    <row r="35" spans="1:16" ht="18">
      <c r="A35" s="275">
        <v>30</v>
      </c>
      <c r="B35" s="229">
        <v>45377</v>
      </c>
      <c r="C35" s="229" t="s">
        <v>502</v>
      </c>
      <c r="D35" s="229" t="s">
        <v>503</v>
      </c>
      <c r="E35" s="254">
        <v>104894803</v>
      </c>
      <c r="F35" s="229" t="s">
        <v>500</v>
      </c>
      <c r="G35" s="287" t="s">
        <v>684</v>
      </c>
      <c r="H35" s="229" t="s">
        <v>90</v>
      </c>
      <c r="I35" s="229">
        <v>45294</v>
      </c>
      <c r="J35" s="255" t="s">
        <v>499</v>
      </c>
      <c r="K35" s="252" t="s">
        <v>81</v>
      </c>
      <c r="L35" s="295" t="s">
        <v>42</v>
      </c>
      <c r="M35" s="229" t="s">
        <v>501</v>
      </c>
      <c r="N35" s="253"/>
      <c r="O35" s="256" t="s">
        <v>504</v>
      </c>
      <c r="P35" s="318">
        <v>104894803</v>
      </c>
    </row>
    <row r="36" spans="1:16" ht="18">
      <c r="A36" s="275">
        <v>31</v>
      </c>
      <c r="B36" s="229">
        <v>45377</v>
      </c>
      <c r="C36" s="229" t="s">
        <v>508</v>
      </c>
      <c r="D36" s="229" t="s">
        <v>509</v>
      </c>
      <c r="E36" s="254">
        <v>2838059</v>
      </c>
      <c r="F36" s="229" t="s">
        <v>338</v>
      </c>
      <c r="G36" s="287" t="s">
        <v>684</v>
      </c>
      <c r="H36" s="229" t="s">
        <v>438</v>
      </c>
      <c r="I36" s="229">
        <v>45372</v>
      </c>
      <c r="J36" s="255" t="s">
        <v>506</v>
      </c>
      <c r="K36" s="252" t="s">
        <v>81</v>
      </c>
      <c r="L36" s="295" t="s">
        <v>42</v>
      </c>
      <c r="M36" s="229" t="s">
        <v>507</v>
      </c>
      <c r="N36" s="253"/>
      <c r="O36" s="256" t="s">
        <v>510</v>
      </c>
      <c r="P36" s="318">
        <v>102103736</v>
      </c>
    </row>
    <row r="37" spans="1:16" ht="18">
      <c r="A37" s="275">
        <v>32</v>
      </c>
      <c r="B37" s="297">
        <v>45377</v>
      </c>
      <c r="C37" s="298" t="s">
        <v>363</v>
      </c>
      <c r="D37" s="291" t="s">
        <v>658</v>
      </c>
      <c r="E37" s="292">
        <v>994518622</v>
      </c>
      <c r="F37" s="292" t="s">
        <v>659</v>
      </c>
      <c r="G37" s="287" t="s">
        <v>654</v>
      </c>
      <c r="H37" s="292" t="s">
        <v>90</v>
      </c>
      <c r="I37" s="293">
        <v>45339</v>
      </c>
      <c r="J37" s="294">
        <v>40211501</v>
      </c>
      <c r="K37" s="252" t="s">
        <v>81</v>
      </c>
      <c r="L37" s="295" t="s">
        <v>42</v>
      </c>
      <c r="M37" s="292" t="s">
        <v>660</v>
      </c>
      <c r="N37" s="253"/>
      <c r="O37" s="296" t="s">
        <v>661</v>
      </c>
      <c r="P37" s="282"/>
    </row>
    <row r="38" spans="1:16" ht="18">
      <c r="A38" s="275">
        <v>33</v>
      </c>
      <c r="B38" s="299">
        <v>45377</v>
      </c>
      <c r="C38" s="300" t="s">
        <v>140</v>
      </c>
      <c r="D38" s="300" t="s">
        <v>107</v>
      </c>
      <c r="E38" s="280">
        <v>987844003</v>
      </c>
      <c r="F38" s="301" t="s">
        <v>106</v>
      </c>
      <c r="G38" s="287" t="s">
        <v>679</v>
      </c>
      <c r="H38" s="292" t="s">
        <v>137</v>
      </c>
      <c r="I38" s="293">
        <v>45377</v>
      </c>
      <c r="J38" s="301">
        <v>111570003</v>
      </c>
      <c r="K38" s="252" t="s">
        <v>81</v>
      </c>
      <c r="L38" s="295" t="s">
        <v>42</v>
      </c>
      <c r="M38" s="301" t="s">
        <v>649</v>
      </c>
      <c r="N38" s="253"/>
      <c r="O38" s="296"/>
      <c r="P38" s="282"/>
    </row>
    <row r="39" spans="1:16" ht="18">
      <c r="A39" s="275">
        <v>34</v>
      </c>
      <c r="B39" s="277">
        <v>45377</v>
      </c>
      <c r="C39" s="277" t="s">
        <v>514</v>
      </c>
      <c r="D39" s="277" t="s">
        <v>515</v>
      </c>
      <c r="E39" s="278">
        <v>2823563</v>
      </c>
      <c r="F39" s="277" t="s">
        <v>512</v>
      </c>
      <c r="G39" s="287" t="s">
        <v>684</v>
      </c>
      <c r="H39" s="277" t="s">
        <v>90</v>
      </c>
      <c r="I39" s="277">
        <v>45247</v>
      </c>
      <c r="J39" s="279" t="s">
        <v>511</v>
      </c>
      <c r="K39" s="252" t="s">
        <v>81</v>
      </c>
      <c r="L39" s="295" t="s">
        <v>42</v>
      </c>
      <c r="M39" s="277" t="s">
        <v>513</v>
      </c>
      <c r="N39" s="253"/>
      <c r="O39" s="286" t="s">
        <v>516</v>
      </c>
      <c r="P39" s="283">
        <v>102434339</v>
      </c>
    </row>
    <row r="40" spans="1:16" ht="18">
      <c r="A40" s="275">
        <v>35</v>
      </c>
      <c r="B40" s="277">
        <v>45378</v>
      </c>
      <c r="C40" s="277" t="s">
        <v>521</v>
      </c>
      <c r="D40" s="277" t="s">
        <v>522</v>
      </c>
      <c r="E40" s="278">
        <v>99235037</v>
      </c>
      <c r="F40" s="277" t="s">
        <v>519</v>
      </c>
      <c r="G40" s="287" t="s">
        <v>684</v>
      </c>
      <c r="H40" s="277" t="s">
        <v>438</v>
      </c>
      <c r="I40" s="277">
        <v>45373</v>
      </c>
      <c r="J40" s="279" t="s">
        <v>518</v>
      </c>
      <c r="K40" s="252" t="s">
        <v>81</v>
      </c>
      <c r="L40" s="295" t="s">
        <v>42</v>
      </c>
      <c r="M40" s="277" t="s">
        <v>520</v>
      </c>
      <c r="N40" s="253"/>
      <c r="O40" s="286" t="s">
        <v>523</v>
      </c>
      <c r="P40" s="283">
        <v>603831611</v>
      </c>
    </row>
    <row r="41" spans="1:16" ht="18">
      <c r="A41" s="275">
        <v>36</v>
      </c>
      <c r="B41" s="277">
        <v>45378</v>
      </c>
      <c r="C41" s="277" t="s">
        <v>526</v>
      </c>
      <c r="D41" s="277" t="s">
        <v>331</v>
      </c>
      <c r="E41" s="278">
        <v>983956424</v>
      </c>
      <c r="F41" s="277" t="s">
        <v>125</v>
      </c>
      <c r="G41" s="287" t="s">
        <v>684</v>
      </c>
      <c r="H41" s="277" t="s">
        <v>80</v>
      </c>
      <c r="I41" s="277" t="s">
        <v>686</v>
      </c>
      <c r="J41" s="279" t="s">
        <v>524</v>
      </c>
      <c r="K41" s="252" t="s">
        <v>81</v>
      </c>
      <c r="L41" s="295" t="s">
        <v>42</v>
      </c>
      <c r="M41" s="277" t="s">
        <v>525</v>
      </c>
      <c r="N41" s="253"/>
      <c r="O41" s="286"/>
      <c r="P41" s="283">
        <v>102682598</v>
      </c>
    </row>
    <row r="42" spans="1:16" ht="18">
      <c r="A42" s="275">
        <v>37</v>
      </c>
      <c r="B42" s="297">
        <v>45378</v>
      </c>
      <c r="C42" s="298" t="s">
        <v>375</v>
      </c>
      <c r="D42" s="291" t="s">
        <v>662</v>
      </c>
      <c r="E42" s="292">
        <v>960716871</v>
      </c>
      <c r="F42" s="292" t="s">
        <v>663</v>
      </c>
      <c r="G42" s="287" t="s">
        <v>654</v>
      </c>
      <c r="H42" s="292" t="s">
        <v>87</v>
      </c>
      <c r="I42" s="293">
        <v>45175</v>
      </c>
      <c r="J42" s="294">
        <v>112510035</v>
      </c>
      <c r="K42" s="252" t="s">
        <v>81</v>
      </c>
      <c r="L42" s="295" t="s">
        <v>42</v>
      </c>
      <c r="M42" s="292" t="s">
        <v>374</v>
      </c>
      <c r="N42" s="253"/>
      <c r="O42" s="296" t="s">
        <v>377</v>
      </c>
      <c r="P42" s="282"/>
    </row>
    <row r="43" spans="1:16" ht="18">
      <c r="A43" s="275">
        <v>38</v>
      </c>
      <c r="B43" s="277">
        <v>45379</v>
      </c>
      <c r="C43" s="277" t="s">
        <v>530</v>
      </c>
      <c r="D43" s="277" t="s">
        <v>589</v>
      </c>
      <c r="E43" s="278">
        <v>46015830</v>
      </c>
      <c r="F43" s="277" t="s">
        <v>93</v>
      </c>
      <c r="G43" s="287" t="s">
        <v>684</v>
      </c>
      <c r="H43" s="277" t="s">
        <v>91</v>
      </c>
      <c r="I43" s="277">
        <v>45371</v>
      </c>
      <c r="J43" s="279" t="s">
        <v>528</v>
      </c>
      <c r="K43" s="252" t="s">
        <v>81</v>
      </c>
      <c r="L43" s="295" t="s">
        <v>42</v>
      </c>
      <c r="M43" s="277" t="s">
        <v>529</v>
      </c>
      <c r="N43" s="253"/>
      <c r="O43" s="296"/>
      <c r="P43" s="282"/>
    </row>
    <row r="44" spans="1:16" ht="18">
      <c r="A44" s="275">
        <v>39</v>
      </c>
      <c r="B44" s="290">
        <v>45379</v>
      </c>
      <c r="C44" s="291" t="s">
        <v>190</v>
      </c>
      <c r="D44" s="291" t="s">
        <v>191</v>
      </c>
      <c r="E44" s="292">
        <v>2867668</v>
      </c>
      <c r="F44" s="292" t="s">
        <v>186</v>
      </c>
      <c r="G44" s="287" t="s">
        <v>651</v>
      </c>
      <c r="H44" s="292" t="s">
        <v>90</v>
      </c>
      <c r="I44" s="293">
        <v>45209</v>
      </c>
      <c r="J44" s="294">
        <v>112570124</v>
      </c>
      <c r="K44" s="252" t="s">
        <v>81</v>
      </c>
      <c r="L44" s="295" t="s">
        <v>42</v>
      </c>
      <c r="M44" s="292" t="s">
        <v>188</v>
      </c>
      <c r="N44" s="253"/>
      <c r="O44" s="296" t="s">
        <v>192</v>
      </c>
      <c r="P44" s="282">
        <v>101371722</v>
      </c>
    </row>
    <row r="45" spans="1:16" ht="18">
      <c r="A45" s="275">
        <v>40</v>
      </c>
      <c r="B45" s="290">
        <v>45379</v>
      </c>
      <c r="C45" s="291" t="s">
        <v>190</v>
      </c>
      <c r="D45" s="291" t="s">
        <v>191</v>
      </c>
      <c r="E45" s="292">
        <v>2867668</v>
      </c>
      <c r="F45" s="292" t="s">
        <v>187</v>
      </c>
      <c r="G45" s="287" t="s">
        <v>651</v>
      </c>
      <c r="H45" s="292" t="s">
        <v>90</v>
      </c>
      <c r="I45" s="293">
        <v>45209</v>
      </c>
      <c r="J45" s="294">
        <v>40461507</v>
      </c>
      <c r="K45" s="252" t="s">
        <v>81</v>
      </c>
      <c r="L45" s="295" t="s">
        <v>42</v>
      </c>
      <c r="M45" s="292" t="s">
        <v>189</v>
      </c>
      <c r="N45" s="253"/>
      <c r="O45" s="296" t="s">
        <v>192</v>
      </c>
      <c r="P45" s="282">
        <v>101371722</v>
      </c>
    </row>
    <row r="46" spans="1:16" ht="18">
      <c r="A46" s="275">
        <v>41</v>
      </c>
      <c r="B46" s="290">
        <v>45379</v>
      </c>
      <c r="C46" s="291" t="s">
        <v>196</v>
      </c>
      <c r="D46" s="291" t="s">
        <v>197</v>
      </c>
      <c r="E46" s="292">
        <v>978919872</v>
      </c>
      <c r="F46" s="292" t="s">
        <v>148</v>
      </c>
      <c r="G46" s="287" t="s">
        <v>651</v>
      </c>
      <c r="H46" s="292" t="s">
        <v>91</v>
      </c>
      <c r="I46" s="293">
        <v>45376</v>
      </c>
      <c r="J46" s="294">
        <v>113430016</v>
      </c>
      <c r="K46" s="252" t="s">
        <v>81</v>
      </c>
      <c r="L46" s="295" t="s">
        <v>42</v>
      </c>
      <c r="M46" s="292" t="s">
        <v>194</v>
      </c>
      <c r="N46" s="253"/>
      <c r="O46" s="296" t="s">
        <v>198</v>
      </c>
      <c r="P46" s="282">
        <v>1761729704</v>
      </c>
    </row>
    <row r="47" spans="1:16" ht="18">
      <c r="A47" s="275">
        <v>42</v>
      </c>
      <c r="B47" s="290">
        <v>45379</v>
      </c>
      <c r="C47" s="291" t="s">
        <v>196</v>
      </c>
      <c r="D47" s="291" t="s">
        <v>197</v>
      </c>
      <c r="E47" s="292">
        <v>978919872</v>
      </c>
      <c r="F47" s="292" t="s">
        <v>135</v>
      </c>
      <c r="G47" s="287" t="s">
        <v>651</v>
      </c>
      <c r="H47" s="292" t="s">
        <v>91</v>
      </c>
      <c r="I47" s="293">
        <v>45376</v>
      </c>
      <c r="J47" s="294">
        <v>40590335</v>
      </c>
      <c r="K47" s="252" t="s">
        <v>81</v>
      </c>
      <c r="L47" s="295" t="s">
        <v>42</v>
      </c>
      <c r="M47" s="292" t="s">
        <v>195</v>
      </c>
      <c r="N47" s="253"/>
      <c r="O47" s="296" t="s">
        <v>198</v>
      </c>
      <c r="P47" s="282">
        <v>1761729704</v>
      </c>
    </row>
    <row r="48" spans="1:16" ht="18">
      <c r="A48" s="275">
        <v>43</v>
      </c>
      <c r="B48" s="297">
        <v>45379</v>
      </c>
      <c r="C48" s="291" t="s">
        <v>665</v>
      </c>
      <c r="D48" s="291" t="s">
        <v>666</v>
      </c>
      <c r="E48" s="292">
        <v>997629782</v>
      </c>
      <c r="F48" s="292" t="s">
        <v>125</v>
      </c>
      <c r="G48" s="287" t="s">
        <v>654</v>
      </c>
      <c r="H48" s="292" t="s">
        <v>90</v>
      </c>
      <c r="I48" s="293">
        <v>44803</v>
      </c>
      <c r="J48" s="294">
        <v>112580027</v>
      </c>
      <c r="K48" s="252" t="s">
        <v>81</v>
      </c>
      <c r="L48" s="295" t="s">
        <v>42</v>
      </c>
      <c r="M48" s="292" t="s">
        <v>381</v>
      </c>
      <c r="N48" s="253"/>
      <c r="O48" s="296" t="s">
        <v>384</v>
      </c>
      <c r="P48" s="282"/>
    </row>
    <row r="49" spans="1:16" ht="18">
      <c r="A49" s="275">
        <v>44</v>
      </c>
      <c r="B49" s="302">
        <v>45379</v>
      </c>
      <c r="C49" s="303" t="s">
        <v>308</v>
      </c>
      <c r="D49" s="291" t="s">
        <v>683</v>
      </c>
      <c r="E49" s="303">
        <v>999480661</v>
      </c>
      <c r="F49" s="304" t="s">
        <v>125</v>
      </c>
      <c r="G49" s="287" t="s">
        <v>682</v>
      </c>
      <c r="H49" s="304" t="s">
        <v>319</v>
      </c>
      <c r="I49" s="305">
        <v>45367</v>
      </c>
      <c r="J49" s="306">
        <v>112580027</v>
      </c>
      <c r="K49" s="252" t="s">
        <v>81</v>
      </c>
      <c r="L49" s="295" t="s">
        <v>42</v>
      </c>
      <c r="M49" s="307" t="s">
        <v>304</v>
      </c>
      <c r="N49" s="253"/>
      <c r="O49" s="296"/>
      <c r="P49" s="284">
        <v>190506525</v>
      </c>
    </row>
    <row r="50" spans="1:16" ht="18">
      <c r="A50" s="275">
        <v>45</v>
      </c>
      <c r="B50" s="302">
        <v>45379</v>
      </c>
      <c r="C50" s="303" t="s">
        <v>308</v>
      </c>
      <c r="D50" s="291" t="s">
        <v>683</v>
      </c>
      <c r="E50" s="303">
        <v>999480661</v>
      </c>
      <c r="F50" s="304" t="s">
        <v>125</v>
      </c>
      <c r="G50" s="287" t="s">
        <v>682</v>
      </c>
      <c r="H50" s="304" t="s">
        <v>319</v>
      </c>
      <c r="I50" s="305">
        <v>45367</v>
      </c>
      <c r="J50" s="306">
        <v>112580027</v>
      </c>
      <c r="K50" s="252" t="s">
        <v>81</v>
      </c>
      <c r="L50" s="295" t="s">
        <v>42</v>
      </c>
      <c r="M50" s="307" t="s">
        <v>305</v>
      </c>
      <c r="N50" s="253"/>
      <c r="O50" s="296"/>
      <c r="P50" s="284">
        <v>190506525</v>
      </c>
    </row>
    <row r="51" spans="1:16" ht="18">
      <c r="A51" s="275">
        <v>46</v>
      </c>
      <c r="B51" s="302">
        <v>45379</v>
      </c>
      <c r="C51" s="303" t="s">
        <v>308</v>
      </c>
      <c r="D51" s="291" t="s">
        <v>683</v>
      </c>
      <c r="E51" s="303">
        <v>999480661</v>
      </c>
      <c r="F51" s="304" t="s">
        <v>125</v>
      </c>
      <c r="G51" s="287" t="s">
        <v>682</v>
      </c>
      <c r="H51" s="304" t="s">
        <v>319</v>
      </c>
      <c r="I51" s="305">
        <v>45367</v>
      </c>
      <c r="J51" s="306">
        <v>112580027</v>
      </c>
      <c r="K51" s="252" t="s">
        <v>81</v>
      </c>
      <c r="L51" s="295" t="s">
        <v>42</v>
      </c>
      <c r="M51" s="307" t="s">
        <v>306</v>
      </c>
      <c r="N51" s="253"/>
      <c r="O51" s="296"/>
      <c r="P51" s="284">
        <v>190506525</v>
      </c>
    </row>
    <row r="52" spans="1:16" ht="18">
      <c r="A52" s="275">
        <v>47</v>
      </c>
      <c r="B52" s="302">
        <v>45379</v>
      </c>
      <c r="C52" s="303" t="s">
        <v>308</v>
      </c>
      <c r="D52" s="291" t="s">
        <v>683</v>
      </c>
      <c r="E52" s="303">
        <v>999480661</v>
      </c>
      <c r="F52" s="304" t="s">
        <v>341</v>
      </c>
      <c r="G52" s="287" t="s">
        <v>682</v>
      </c>
      <c r="H52" s="304" t="s">
        <v>319</v>
      </c>
      <c r="I52" s="305">
        <v>45367</v>
      </c>
      <c r="J52" s="306">
        <v>40466111</v>
      </c>
      <c r="K52" s="252" t="s">
        <v>81</v>
      </c>
      <c r="L52" s="295" t="s">
        <v>42</v>
      </c>
      <c r="M52" s="307" t="s">
        <v>307</v>
      </c>
      <c r="N52" s="253"/>
      <c r="O52" s="296"/>
      <c r="P52" s="284">
        <v>190506525</v>
      </c>
    </row>
    <row r="53" spans="1:16" ht="18">
      <c r="A53" s="275">
        <v>48</v>
      </c>
      <c r="B53" s="302">
        <v>45379</v>
      </c>
      <c r="C53" s="303" t="s">
        <v>308</v>
      </c>
      <c r="D53" s="291" t="s">
        <v>683</v>
      </c>
      <c r="E53" s="303">
        <v>999480661</v>
      </c>
      <c r="F53" s="304" t="s">
        <v>341</v>
      </c>
      <c r="G53" s="287" t="s">
        <v>682</v>
      </c>
      <c r="H53" s="304" t="s">
        <v>319</v>
      </c>
      <c r="I53" s="305">
        <v>45367</v>
      </c>
      <c r="J53" s="306">
        <v>40466111</v>
      </c>
      <c r="K53" s="252" t="s">
        <v>81</v>
      </c>
      <c r="L53" s="295" t="s">
        <v>42</v>
      </c>
      <c r="M53" s="307" t="s">
        <v>310</v>
      </c>
      <c r="N53" s="253"/>
      <c r="O53" s="296"/>
      <c r="P53" s="284">
        <v>190506525</v>
      </c>
    </row>
    <row r="54" spans="1:16" ht="18">
      <c r="A54" s="275">
        <v>49</v>
      </c>
      <c r="B54" s="302">
        <v>45379</v>
      </c>
      <c r="C54" s="303" t="s">
        <v>308</v>
      </c>
      <c r="D54" s="291" t="s">
        <v>683</v>
      </c>
      <c r="E54" s="303">
        <v>999480661</v>
      </c>
      <c r="F54" s="304" t="s">
        <v>125</v>
      </c>
      <c r="G54" s="287" t="s">
        <v>682</v>
      </c>
      <c r="H54" s="304" t="s">
        <v>319</v>
      </c>
      <c r="I54" s="305">
        <v>45367</v>
      </c>
      <c r="J54" s="306">
        <v>112580027</v>
      </c>
      <c r="K54" s="252" t="s">
        <v>81</v>
      </c>
      <c r="L54" s="295" t="s">
        <v>42</v>
      </c>
      <c r="M54" s="307" t="s">
        <v>311</v>
      </c>
      <c r="N54" s="253"/>
      <c r="O54" s="296"/>
      <c r="P54" s="284">
        <v>190506525</v>
      </c>
    </row>
    <row r="55" spans="1:16" ht="18">
      <c r="A55" s="275">
        <v>50</v>
      </c>
      <c r="B55" s="302">
        <v>45379</v>
      </c>
      <c r="C55" s="303" t="s">
        <v>308</v>
      </c>
      <c r="D55" s="291" t="s">
        <v>683</v>
      </c>
      <c r="E55" s="303">
        <v>999480661</v>
      </c>
      <c r="F55" s="304" t="s">
        <v>341</v>
      </c>
      <c r="G55" s="287" t="s">
        <v>682</v>
      </c>
      <c r="H55" s="304" t="s">
        <v>319</v>
      </c>
      <c r="I55" s="305">
        <v>45367</v>
      </c>
      <c r="J55" s="306">
        <v>40466111</v>
      </c>
      <c r="K55" s="252" t="s">
        <v>81</v>
      </c>
      <c r="L55" s="295" t="s">
        <v>42</v>
      </c>
      <c r="M55" s="307" t="s">
        <v>312</v>
      </c>
      <c r="N55" s="253"/>
      <c r="O55" s="296"/>
      <c r="P55" s="284">
        <v>190506525</v>
      </c>
    </row>
    <row r="56" spans="1:16" ht="18">
      <c r="A56" s="275">
        <v>51</v>
      </c>
      <c r="B56" s="302">
        <v>45379</v>
      </c>
      <c r="C56" s="303" t="s">
        <v>308</v>
      </c>
      <c r="D56" s="291" t="s">
        <v>683</v>
      </c>
      <c r="E56" s="303">
        <v>999480661</v>
      </c>
      <c r="F56" s="304" t="s">
        <v>125</v>
      </c>
      <c r="G56" s="287" t="s">
        <v>682</v>
      </c>
      <c r="H56" s="304" t="s">
        <v>90</v>
      </c>
      <c r="I56" s="305">
        <v>45121</v>
      </c>
      <c r="J56" s="306">
        <v>112580027</v>
      </c>
      <c r="K56" s="252" t="s">
        <v>81</v>
      </c>
      <c r="L56" s="295" t="s">
        <v>42</v>
      </c>
      <c r="M56" s="307" t="s">
        <v>313</v>
      </c>
      <c r="N56" s="253"/>
      <c r="O56" s="296"/>
      <c r="P56" s="284">
        <v>190506525</v>
      </c>
    </row>
    <row r="57" spans="1:16" ht="18">
      <c r="A57" s="275">
        <v>52</v>
      </c>
      <c r="B57" s="302">
        <v>45379</v>
      </c>
      <c r="C57" s="303" t="s">
        <v>308</v>
      </c>
      <c r="D57" s="291" t="s">
        <v>683</v>
      </c>
      <c r="E57" s="303">
        <v>999480661</v>
      </c>
      <c r="F57" s="304" t="s">
        <v>125</v>
      </c>
      <c r="G57" s="287" t="s">
        <v>682</v>
      </c>
      <c r="H57" s="304" t="s">
        <v>91</v>
      </c>
      <c r="I57" s="305">
        <v>45194</v>
      </c>
      <c r="J57" s="306">
        <v>112580027</v>
      </c>
      <c r="K57" s="252" t="s">
        <v>81</v>
      </c>
      <c r="L57" s="295" t="s">
        <v>42</v>
      </c>
      <c r="M57" s="307" t="s">
        <v>315</v>
      </c>
      <c r="N57" s="253"/>
      <c r="O57" s="296"/>
      <c r="P57" s="284">
        <v>190506525</v>
      </c>
    </row>
    <row r="58" spans="1:16" ht="18">
      <c r="A58" s="275">
        <v>53</v>
      </c>
      <c r="B58" s="302">
        <v>45379</v>
      </c>
      <c r="C58" s="303" t="s">
        <v>308</v>
      </c>
      <c r="D58" s="291" t="s">
        <v>683</v>
      </c>
      <c r="E58" s="303">
        <v>999480661</v>
      </c>
      <c r="F58" s="304" t="s">
        <v>125</v>
      </c>
      <c r="G58" s="287" t="s">
        <v>682</v>
      </c>
      <c r="H58" s="304" t="s">
        <v>91</v>
      </c>
      <c r="I58" s="305">
        <v>45194</v>
      </c>
      <c r="J58" s="306">
        <v>112580027</v>
      </c>
      <c r="K58" s="252" t="s">
        <v>81</v>
      </c>
      <c r="L58" s="295" t="s">
        <v>42</v>
      </c>
      <c r="M58" s="307" t="s">
        <v>316</v>
      </c>
      <c r="N58" s="253"/>
      <c r="O58" s="296"/>
      <c r="P58" s="284">
        <v>190506525</v>
      </c>
    </row>
    <row r="59" spans="1:16" ht="18">
      <c r="A59" s="275">
        <v>54</v>
      </c>
      <c r="B59" s="302">
        <v>45379</v>
      </c>
      <c r="C59" s="303" t="s">
        <v>308</v>
      </c>
      <c r="D59" s="291" t="s">
        <v>683</v>
      </c>
      <c r="E59" s="303">
        <v>999480661</v>
      </c>
      <c r="F59" s="304" t="s">
        <v>125</v>
      </c>
      <c r="G59" s="287" t="s">
        <v>682</v>
      </c>
      <c r="H59" s="304" t="s">
        <v>415</v>
      </c>
      <c r="I59" s="305">
        <v>45188</v>
      </c>
      <c r="J59" s="306">
        <v>112580027</v>
      </c>
      <c r="K59" s="252" t="s">
        <v>81</v>
      </c>
      <c r="L59" s="295" t="s">
        <v>42</v>
      </c>
      <c r="M59" s="307" t="s">
        <v>317</v>
      </c>
      <c r="N59" s="253"/>
      <c r="O59" s="296"/>
      <c r="P59" s="284">
        <v>190506525</v>
      </c>
    </row>
    <row r="60" spans="1:16" ht="18">
      <c r="A60" s="275">
        <v>55</v>
      </c>
      <c r="B60" s="302">
        <v>45379</v>
      </c>
      <c r="C60" s="303" t="s">
        <v>308</v>
      </c>
      <c r="D60" s="291" t="s">
        <v>683</v>
      </c>
      <c r="E60" s="303">
        <v>999480661</v>
      </c>
      <c r="F60" s="304" t="s">
        <v>314</v>
      </c>
      <c r="G60" s="287" t="s">
        <v>682</v>
      </c>
      <c r="H60" s="304" t="s">
        <v>90</v>
      </c>
      <c r="I60" s="305">
        <v>45121</v>
      </c>
      <c r="J60" s="306">
        <v>40467305</v>
      </c>
      <c r="K60" s="252" t="s">
        <v>81</v>
      </c>
      <c r="L60" s="295" t="s">
        <v>42</v>
      </c>
      <c r="M60" s="307" t="s">
        <v>318</v>
      </c>
      <c r="N60" s="253"/>
      <c r="O60" s="296"/>
      <c r="P60" s="284">
        <v>190506525</v>
      </c>
    </row>
    <row r="61" spans="1:16" ht="18">
      <c r="A61" s="275">
        <v>56</v>
      </c>
      <c r="B61" s="290">
        <v>45383</v>
      </c>
      <c r="C61" s="291" t="s">
        <v>664</v>
      </c>
      <c r="D61" s="291" t="s">
        <v>205</v>
      </c>
      <c r="E61" s="292">
        <v>987002015</v>
      </c>
      <c r="F61" s="292" t="s">
        <v>200</v>
      </c>
      <c r="G61" s="287" t="s">
        <v>651</v>
      </c>
      <c r="H61" s="292" t="s">
        <v>90</v>
      </c>
      <c r="I61" s="293">
        <v>45373</v>
      </c>
      <c r="J61" s="294">
        <v>112570211</v>
      </c>
      <c r="K61" s="252" t="s">
        <v>81</v>
      </c>
      <c r="L61" s="295" t="s">
        <v>42</v>
      </c>
      <c r="M61" s="292" t="s">
        <v>201</v>
      </c>
      <c r="N61" s="253"/>
      <c r="O61" s="296" t="s">
        <v>206</v>
      </c>
      <c r="P61" s="282">
        <v>102060357</v>
      </c>
    </row>
    <row r="62" spans="1:16" ht="18">
      <c r="A62" s="275">
        <v>57</v>
      </c>
      <c r="B62" s="290">
        <v>45383</v>
      </c>
      <c r="C62" s="291" t="s">
        <v>664</v>
      </c>
      <c r="D62" s="291" t="s">
        <v>205</v>
      </c>
      <c r="E62" s="292">
        <v>987002015</v>
      </c>
      <c r="F62" s="292" t="s">
        <v>650</v>
      </c>
      <c r="G62" s="287" t="s">
        <v>651</v>
      </c>
      <c r="H62" s="292" t="s">
        <v>90</v>
      </c>
      <c r="I62" s="293">
        <v>45373</v>
      </c>
      <c r="J62" s="294">
        <v>11100003001</v>
      </c>
      <c r="K62" s="252" t="s">
        <v>81</v>
      </c>
      <c r="L62" s="295" t="s">
        <v>42</v>
      </c>
      <c r="M62" s="292" t="s">
        <v>202</v>
      </c>
      <c r="N62" s="253"/>
      <c r="O62" s="296" t="s">
        <v>206</v>
      </c>
      <c r="P62" s="282">
        <v>102060357</v>
      </c>
    </row>
    <row r="63" spans="1:16" ht="18">
      <c r="A63" s="275">
        <v>58</v>
      </c>
      <c r="B63" s="290">
        <v>45383</v>
      </c>
      <c r="C63" s="291" t="s">
        <v>664</v>
      </c>
      <c r="D63" s="291" t="s">
        <v>205</v>
      </c>
      <c r="E63" s="292">
        <v>987002015</v>
      </c>
      <c r="F63" s="292" t="s">
        <v>108</v>
      </c>
      <c r="G63" s="287" t="s">
        <v>651</v>
      </c>
      <c r="H63" s="292" t="s">
        <v>90</v>
      </c>
      <c r="I63" s="293">
        <v>45373</v>
      </c>
      <c r="J63" s="294">
        <v>114270008</v>
      </c>
      <c r="K63" s="252" t="s">
        <v>81</v>
      </c>
      <c r="L63" s="295" t="s">
        <v>42</v>
      </c>
      <c r="M63" s="292" t="s">
        <v>203</v>
      </c>
      <c r="N63" s="253"/>
      <c r="O63" s="296" t="s">
        <v>206</v>
      </c>
      <c r="P63" s="282">
        <v>102060357</v>
      </c>
    </row>
    <row r="64" spans="1:16" ht="18">
      <c r="A64" s="275">
        <v>59</v>
      </c>
      <c r="B64" s="290">
        <v>45384</v>
      </c>
      <c r="C64" s="291" t="s">
        <v>157</v>
      </c>
      <c r="D64" s="291" t="s">
        <v>210</v>
      </c>
      <c r="E64" s="292">
        <v>995872602</v>
      </c>
      <c r="F64" s="292" t="s">
        <v>92</v>
      </c>
      <c r="G64" s="287" t="s">
        <v>651</v>
      </c>
      <c r="H64" s="292" t="s">
        <v>90</v>
      </c>
      <c r="I64" s="293">
        <v>45381</v>
      </c>
      <c r="J64" s="294">
        <v>111000051</v>
      </c>
      <c r="K64" s="252" t="s">
        <v>81</v>
      </c>
      <c r="L64" s="295" t="s">
        <v>42</v>
      </c>
      <c r="M64" s="292" t="s">
        <v>208</v>
      </c>
      <c r="N64" s="253"/>
      <c r="O64" s="296" t="s">
        <v>211</v>
      </c>
      <c r="P64" s="282">
        <v>106424765</v>
      </c>
    </row>
    <row r="65" spans="1:16" ht="18">
      <c r="A65" s="275">
        <v>60</v>
      </c>
      <c r="B65" s="290">
        <v>45384</v>
      </c>
      <c r="C65" s="291" t="s">
        <v>157</v>
      </c>
      <c r="D65" s="291" t="s">
        <v>210</v>
      </c>
      <c r="E65" s="292">
        <v>995872602</v>
      </c>
      <c r="F65" s="292" t="s">
        <v>99</v>
      </c>
      <c r="G65" s="287" t="s">
        <v>651</v>
      </c>
      <c r="H65" s="292" t="s">
        <v>90</v>
      </c>
      <c r="I65" s="293">
        <v>45381</v>
      </c>
      <c r="J65" s="294">
        <v>40584202</v>
      </c>
      <c r="K65" s="252" t="s">
        <v>81</v>
      </c>
      <c r="L65" s="295" t="s">
        <v>42</v>
      </c>
      <c r="M65" s="292" t="s">
        <v>209</v>
      </c>
      <c r="N65" s="253"/>
      <c r="O65" s="296" t="s">
        <v>211</v>
      </c>
      <c r="P65" s="282">
        <v>106424765</v>
      </c>
    </row>
    <row r="66" spans="1:16" ht="18">
      <c r="A66" s="275">
        <v>61</v>
      </c>
      <c r="B66" s="290">
        <v>45384</v>
      </c>
      <c r="C66" s="291" t="s">
        <v>215</v>
      </c>
      <c r="D66" s="291" t="s">
        <v>216</v>
      </c>
      <c r="E66" s="292">
        <v>996999425</v>
      </c>
      <c r="F66" s="292" t="s">
        <v>187</v>
      </c>
      <c r="G66" s="287" t="s">
        <v>651</v>
      </c>
      <c r="H66" s="292" t="s">
        <v>90</v>
      </c>
      <c r="I66" s="293">
        <v>45370</v>
      </c>
      <c r="J66" s="294">
        <v>40461507</v>
      </c>
      <c r="K66" s="252" t="s">
        <v>81</v>
      </c>
      <c r="L66" s="295" t="s">
        <v>42</v>
      </c>
      <c r="M66" s="292" t="s">
        <v>213</v>
      </c>
      <c r="N66" s="253"/>
      <c r="O66" s="296" t="s">
        <v>217</v>
      </c>
      <c r="P66" s="282">
        <v>1713602934</v>
      </c>
    </row>
    <row r="67" spans="1:16" ht="18">
      <c r="A67" s="275">
        <v>62</v>
      </c>
      <c r="B67" s="290">
        <v>45384</v>
      </c>
      <c r="C67" s="291" t="s">
        <v>215</v>
      </c>
      <c r="D67" s="291" t="s">
        <v>216</v>
      </c>
      <c r="E67" s="292">
        <v>996999425</v>
      </c>
      <c r="F67" s="292" t="s">
        <v>83</v>
      </c>
      <c r="G67" s="287" t="s">
        <v>651</v>
      </c>
      <c r="H67" s="292" t="s">
        <v>90</v>
      </c>
      <c r="I67" s="293">
        <v>45370</v>
      </c>
      <c r="J67" s="294">
        <v>112520025</v>
      </c>
      <c r="K67" s="252" t="s">
        <v>81</v>
      </c>
      <c r="L67" s="295" t="s">
        <v>42</v>
      </c>
      <c r="M67" s="292" t="s">
        <v>214</v>
      </c>
      <c r="N67" s="253"/>
      <c r="O67" s="296" t="s">
        <v>217</v>
      </c>
      <c r="P67" s="282">
        <v>1713602934</v>
      </c>
    </row>
    <row r="68" spans="1:16" ht="18">
      <c r="A68" s="275">
        <v>63</v>
      </c>
      <c r="B68" s="290">
        <v>45384</v>
      </c>
      <c r="C68" s="291" t="s">
        <v>221</v>
      </c>
      <c r="D68" s="291" t="s">
        <v>96</v>
      </c>
      <c r="E68" s="292">
        <v>983778043</v>
      </c>
      <c r="F68" s="292" t="s">
        <v>219</v>
      </c>
      <c r="G68" s="287" t="s">
        <v>651</v>
      </c>
      <c r="H68" s="292" t="s">
        <v>90</v>
      </c>
      <c r="I68" s="293">
        <v>45275</v>
      </c>
      <c r="J68" s="294">
        <v>40584012</v>
      </c>
      <c r="K68" s="252" t="s">
        <v>81</v>
      </c>
      <c r="L68" s="295" t="s">
        <v>42</v>
      </c>
      <c r="M68" s="292" t="s">
        <v>220</v>
      </c>
      <c r="N68" s="253"/>
      <c r="O68" s="296" t="s">
        <v>222</v>
      </c>
      <c r="P68" s="282">
        <v>300028750</v>
      </c>
    </row>
    <row r="69" spans="1:16" ht="18">
      <c r="A69" s="275">
        <v>64</v>
      </c>
      <c r="B69" s="290">
        <v>45384</v>
      </c>
      <c r="C69" s="291" t="s">
        <v>221</v>
      </c>
      <c r="D69" s="291" t="s">
        <v>96</v>
      </c>
      <c r="E69" s="292">
        <v>983778043</v>
      </c>
      <c r="F69" s="292" t="s">
        <v>86</v>
      </c>
      <c r="G69" s="287" t="s">
        <v>651</v>
      </c>
      <c r="H69" s="292" t="s">
        <v>90</v>
      </c>
      <c r="I69" s="293">
        <v>45275</v>
      </c>
      <c r="J69" s="294">
        <v>41560041</v>
      </c>
      <c r="K69" s="252" t="s">
        <v>81</v>
      </c>
      <c r="L69" s="295" t="s">
        <v>42</v>
      </c>
      <c r="M69" s="292" t="s">
        <v>223</v>
      </c>
      <c r="N69" s="253"/>
      <c r="O69" s="296" t="s">
        <v>222</v>
      </c>
      <c r="P69" s="282">
        <v>300028750</v>
      </c>
    </row>
    <row r="70" spans="1:16" ht="18">
      <c r="A70" s="275">
        <v>65</v>
      </c>
      <c r="B70" s="290">
        <v>45384</v>
      </c>
      <c r="C70" s="291" t="s">
        <v>230</v>
      </c>
      <c r="D70" s="291" t="s">
        <v>231</v>
      </c>
      <c r="E70" s="292">
        <v>999490199</v>
      </c>
      <c r="F70" s="292" t="s">
        <v>225</v>
      </c>
      <c r="G70" s="287" t="s">
        <v>651</v>
      </c>
      <c r="H70" s="292" t="s">
        <v>85</v>
      </c>
      <c r="I70" s="293">
        <v>45383</v>
      </c>
      <c r="J70" s="294">
        <v>111020071</v>
      </c>
      <c r="K70" s="252" t="s">
        <v>81</v>
      </c>
      <c r="L70" s="295" t="s">
        <v>42</v>
      </c>
      <c r="M70" s="292" t="s">
        <v>227</v>
      </c>
      <c r="N70" s="253"/>
      <c r="O70" s="296" t="s">
        <v>232</v>
      </c>
      <c r="P70" s="282">
        <v>106043268</v>
      </c>
    </row>
    <row r="71" spans="1:16" ht="18">
      <c r="A71" s="275">
        <v>66</v>
      </c>
      <c r="B71" s="290">
        <v>45384</v>
      </c>
      <c r="C71" s="291" t="s">
        <v>230</v>
      </c>
      <c r="D71" s="291" t="s">
        <v>231</v>
      </c>
      <c r="E71" s="292">
        <v>999490199</v>
      </c>
      <c r="F71" s="292" t="s">
        <v>83</v>
      </c>
      <c r="G71" s="287" t="s">
        <v>651</v>
      </c>
      <c r="H71" s="292" t="s">
        <v>85</v>
      </c>
      <c r="I71" s="293">
        <v>45383</v>
      </c>
      <c r="J71" s="294">
        <v>112520025</v>
      </c>
      <c r="K71" s="252" t="s">
        <v>81</v>
      </c>
      <c r="L71" s="295" t="s">
        <v>42</v>
      </c>
      <c r="M71" s="292" t="s">
        <v>228</v>
      </c>
      <c r="N71" s="253"/>
      <c r="O71" s="296" t="s">
        <v>232</v>
      </c>
      <c r="P71" s="282">
        <v>106043268</v>
      </c>
    </row>
    <row r="72" spans="1:16" ht="18">
      <c r="A72" s="275">
        <v>67</v>
      </c>
      <c r="B72" s="290">
        <v>45384</v>
      </c>
      <c r="C72" s="291" t="s">
        <v>230</v>
      </c>
      <c r="D72" s="291" t="s">
        <v>231</v>
      </c>
      <c r="E72" s="292">
        <v>999490199</v>
      </c>
      <c r="F72" s="292" t="s">
        <v>226</v>
      </c>
      <c r="G72" s="287" t="s">
        <v>651</v>
      </c>
      <c r="H72" s="292" t="s">
        <v>85</v>
      </c>
      <c r="I72" s="293">
        <v>45383</v>
      </c>
      <c r="J72" s="294">
        <v>113430018</v>
      </c>
      <c r="K72" s="252" t="s">
        <v>81</v>
      </c>
      <c r="L72" s="295" t="s">
        <v>42</v>
      </c>
      <c r="M72" s="292" t="s">
        <v>229</v>
      </c>
      <c r="N72" s="253"/>
      <c r="O72" s="296" t="s">
        <v>232</v>
      </c>
      <c r="P72" s="282">
        <v>106043268</v>
      </c>
    </row>
    <row r="73" spans="1:16" ht="18">
      <c r="A73" s="275">
        <v>68</v>
      </c>
      <c r="B73" s="290">
        <v>45384</v>
      </c>
      <c r="C73" s="291" t="s">
        <v>239</v>
      </c>
      <c r="D73" s="291" t="s">
        <v>238</v>
      </c>
      <c r="E73" s="292">
        <v>962728369</v>
      </c>
      <c r="F73" s="292" t="s">
        <v>92</v>
      </c>
      <c r="G73" s="287" t="s">
        <v>651</v>
      </c>
      <c r="H73" s="292" t="s">
        <v>233</v>
      </c>
      <c r="I73" s="293">
        <v>45286</v>
      </c>
      <c r="J73" s="294">
        <v>111000051</v>
      </c>
      <c r="K73" s="252" t="s">
        <v>81</v>
      </c>
      <c r="L73" s="295" t="s">
        <v>42</v>
      </c>
      <c r="M73" s="292" t="s">
        <v>236</v>
      </c>
      <c r="N73" s="253"/>
      <c r="O73" s="296" t="s">
        <v>240</v>
      </c>
      <c r="P73" s="282">
        <v>301527172</v>
      </c>
    </row>
    <row r="74" spans="1:16" ht="18">
      <c r="A74" s="275">
        <v>69</v>
      </c>
      <c r="B74" s="290">
        <v>45384</v>
      </c>
      <c r="C74" s="291" t="s">
        <v>239</v>
      </c>
      <c r="D74" s="291" t="s">
        <v>238</v>
      </c>
      <c r="E74" s="292">
        <v>962728369</v>
      </c>
      <c r="F74" s="292" t="s">
        <v>235</v>
      </c>
      <c r="G74" s="287" t="s">
        <v>651</v>
      </c>
      <c r="H74" s="292" t="s">
        <v>233</v>
      </c>
      <c r="I74" s="293">
        <v>45286</v>
      </c>
      <c r="J74" s="294">
        <v>112580058</v>
      </c>
      <c r="K74" s="252" t="s">
        <v>81</v>
      </c>
      <c r="L74" s="295" t="s">
        <v>42</v>
      </c>
      <c r="M74" s="292" t="s">
        <v>237</v>
      </c>
      <c r="N74" s="253"/>
      <c r="O74" s="296" t="s">
        <v>240</v>
      </c>
      <c r="P74" s="282">
        <v>301527172</v>
      </c>
    </row>
    <row r="75" spans="1:16" ht="18">
      <c r="A75" s="275">
        <v>70</v>
      </c>
      <c r="B75" s="290">
        <v>45384</v>
      </c>
      <c r="C75" s="291" t="s">
        <v>244</v>
      </c>
      <c r="D75" s="291" t="s">
        <v>96</v>
      </c>
      <c r="E75" s="292">
        <v>995980684</v>
      </c>
      <c r="F75" s="292" t="s">
        <v>148</v>
      </c>
      <c r="G75" s="287" t="s">
        <v>651</v>
      </c>
      <c r="H75" s="292" t="s">
        <v>90</v>
      </c>
      <c r="I75" s="293">
        <v>45255</v>
      </c>
      <c r="J75" s="294">
        <v>113430016</v>
      </c>
      <c r="K75" s="252" t="s">
        <v>81</v>
      </c>
      <c r="L75" s="295" t="s">
        <v>42</v>
      </c>
      <c r="M75" s="292" t="s">
        <v>242</v>
      </c>
      <c r="N75" s="253"/>
      <c r="O75" s="296" t="s">
        <v>245</v>
      </c>
      <c r="P75" s="282">
        <v>301410726</v>
      </c>
    </row>
    <row r="76" spans="1:16" ht="18">
      <c r="A76" s="275">
        <v>71</v>
      </c>
      <c r="B76" s="290">
        <v>45384</v>
      </c>
      <c r="C76" s="291" t="s">
        <v>244</v>
      </c>
      <c r="D76" s="291" t="s">
        <v>96</v>
      </c>
      <c r="E76" s="292">
        <v>995980684</v>
      </c>
      <c r="F76" s="292" t="s">
        <v>97</v>
      </c>
      <c r="G76" s="287" t="s">
        <v>651</v>
      </c>
      <c r="H76" s="292" t="s">
        <v>90</v>
      </c>
      <c r="I76" s="293">
        <v>45255</v>
      </c>
      <c r="J76" s="294">
        <v>112570126</v>
      </c>
      <c r="K76" s="252" t="s">
        <v>81</v>
      </c>
      <c r="L76" s="295" t="s">
        <v>42</v>
      </c>
      <c r="M76" s="292" t="s">
        <v>243</v>
      </c>
      <c r="N76" s="253"/>
      <c r="O76" s="296" t="s">
        <v>245</v>
      </c>
      <c r="P76" s="282">
        <v>301410726</v>
      </c>
    </row>
    <row r="77" spans="1:16" ht="18">
      <c r="A77" s="275">
        <v>72</v>
      </c>
      <c r="B77" s="297">
        <v>45384</v>
      </c>
      <c r="C77" s="291" t="s">
        <v>388</v>
      </c>
      <c r="D77" s="291" t="s">
        <v>667</v>
      </c>
      <c r="E77" s="292">
        <v>983366695</v>
      </c>
      <c r="F77" s="292" t="s">
        <v>668</v>
      </c>
      <c r="G77" s="287" t="s">
        <v>654</v>
      </c>
      <c r="H77" s="292" t="s">
        <v>137</v>
      </c>
      <c r="I77" s="293">
        <v>45354</v>
      </c>
      <c r="J77" s="294">
        <v>112580017</v>
      </c>
      <c r="K77" s="252" t="s">
        <v>81</v>
      </c>
      <c r="L77" s="295" t="s">
        <v>42</v>
      </c>
      <c r="M77" s="292" t="s">
        <v>387</v>
      </c>
      <c r="N77" s="253"/>
      <c r="O77" s="296" t="s">
        <v>669</v>
      </c>
      <c r="P77" s="282"/>
    </row>
    <row r="78" spans="1:16" ht="18">
      <c r="A78" s="275">
        <v>73</v>
      </c>
      <c r="B78" s="277">
        <v>45384</v>
      </c>
      <c r="C78" s="277" t="s">
        <v>535</v>
      </c>
      <c r="D78" s="277" t="s">
        <v>536</v>
      </c>
      <c r="E78" s="278">
        <v>992871054</v>
      </c>
      <c r="F78" s="277" t="s">
        <v>533</v>
      </c>
      <c r="G78" s="287" t="s">
        <v>684</v>
      </c>
      <c r="H78" s="277" t="s">
        <v>438</v>
      </c>
      <c r="I78" s="277">
        <v>45382</v>
      </c>
      <c r="J78" s="279" t="s">
        <v>532</v>
      </c>
      <c r="K78" s="252" t="s">
        <v>81</v>
      </c>
      <c r="L78" s="295" t="s">
        <v>42</v>
      </c>
      <c r="M78" s="277" t="s">
        <v>534</v>
      </c>
      <c r="N78" s="253"/>
      <c r="O78" s="286" t="s">
        <v>537</v>
      </c>
      <c r="P78" s="283">
        <v>100940105</v>
      </c>
    </row>
    <row r="79" spans="1:16" ht="18">
      <c r="A79" s="275">
        <v>74</v>
      </c>
      <c r="B79" s="277">
        <v>45384</v>
      </c>
      <c r="C79" s="277" t="s">
        <v>540</v>
      </c>
      <c r="D79" s="277" t="s">
        <v>541</v>
      </c>
      <c r="E79" s="278">
        <v>979976429</v>
      </c>
      <c r="F79" s="277" t="s">
        <v>94</v>
      </c>
      <c r="G79" s="287" t="s">
        <v>684</v>
      </c>
      <c r="H79" s="277" t="s">
        <v>438</v>
      </c>
      <c r="I79" s="277">
        <v>45379</v>
      </c>
      <c r="J79" s="279" t="s">
        <v>459</v>
      </c>
      <c r="K79" s="252" t="s">
        <v>81</v>
      </c>
      <c r="L79" s="295" t="s">
        <v>42</v>
      </c>
      <c r="M79" s="277" t="s">
        <v>539</v>
      </c>
      <c r="N79" s="253"/>
      <c r="O79" s="286" t="s">
        <v>542</v>
      </c>
      <c r="P79" s="283">
        <v>152136198</v>
      </c>
    </row>
    <row r="80" spans="1:16" ht="18">
      <c r="A80" s="275">
        <v>75</v>
      </c>
      <c r="B80" s="277">
        <v>45384</v>
      </c>
      <c r="C80" s="277" t="s">
        <v>547</v>
      </c>
      <c r="D80" s="277" t="s">
        <v>548</v>
      </c>
      <c r="E80" s="278">
        <v>74102363</v>
      </c>
      <c r="F80" s="277" t="s">
        <v>545</v>
      </c>
      <c r="G80" s="287" t="s">
        <v>684</v>
      </c>
      <c r="H80" s="277" t="s">
        <v>85</v>
      </c>
      <c r="I80" s="277">
        <v>45343</v>
      </c>
      <c r="J80" s="279" t="s">
        <v>544</v>
      </c>
      <c r="K80" s="252" t="s">
        <v>81</v>
      </c>
      <c r="L80" s="295" t="s">
        <v>42</v>
      </c>
      <c r="M80" s="277" t="s">
        <v>546</v>
      </c>
      <c r="N80" s="253"/>
      <c r="O80" s="286" t="s">
        <v>549</v>
      </c>
      <c r="P80" s="283">
        <v>11030096001</v>
      </c>
    </row>
    <row r="81" spans="1:16" ht="18">
      <c r="A81" s="275">
        <v>76</v>
      </c>
      <c r="B81" s="277">
        <v>45385</v>
      </c>
      <c r="C81" s="277" t="s">
        <v>553</v>
      </c>
      <c r="D81" s="277" t="s">
        <v>554</v>
      </c>
      <c r="E81" s="278">
        <v>984255535</v>
      </c>
      <c r="F81" s="277" t="s">
        <v>125</v>
      </c>
      <c r="G81" s="287" t="s">
        <v>684</v>
      </c>
      <c r="H81" s="277" t="s">
        <v>90</v>
      </c>
      <c r="I81" s="277">
        <v>45381</v>
      </c>
      <c r="J81" s="279" t="s">
        <v>551</v>
      </c>
      <c r="K81" s="252" t="s">
        <v>81</v>
      </c>
      <c r="L81" s="295" t="s">
        <v>42</v>
      </c>
      <c r="M81" s="277" t="s">
        <v>552</v>
      </c>
      <c r="N81" s="253"/>
      <c r="O81" s="286" t="s">
        <v>555</v>
      </c>
      <c r="P81" s="283">
        <v>105471288</v>
      </c>
    </row>
    <row r="82" spans="1:16" ht="18">
      <c r="A82" s="275">
        <v>77</v>
      </c>
      <c r="B82" s="277">
        <v>45385</v>
      </c>
      <c r="C82" s="277" t="s">
        <v>560</v>
      </c>
      <c r="D82" s="277" t="s">
        <v>561</v>
      </c>
      <c r="E82" s="278">
        <v>994509596</v>
      </c>
      <c r="F82" s="277" t="s">
        <v>558</v>
      </c>
      <c r="G82" s="287" t="s">
        <v>684</v>
      </c>
      <c r="H82" s="277" t="s">
        <v>438</v>
      </c>
      <c r="I82" s="277">
        <v>45299</v>
      </c>
      <c r="J82" s="279" t="s">
        <v>557</v>
      </c>
      <c r="K82" s="252" t="s">
        <v>81</v>
      </c>
      <c r="L82" s="295" t="s">
        <v>42</v>
      </c>
      <c r="M82" s="277" t="s">
        <v>559</v>
      </c>
      <c r="N82" s="253"/>
      <c r="O82" s="286" t="s">
        <v>562</v>
      </c>
      <c r="P82" s="283"/>
    </row>
    <row r="83" spans="1:16" ht="18">
      <c r="A83" s="275">
        <v>78</v>
      </c>
      <c r="B83" s="277">
        <v>45385</v>
      </c>
      <c r="C83" s="277" t="s">
        <v>567</v>
      </c>
      <c r="D83" s="277" t="s">
        <v>568</v>
      </c>
      <c r="E83" s="278">
        <v>993147803</v>
      </c>
      <c r="F83" s="277" t="s">
        <v>565</v>
      </c>
      <c r="G83" s="287" t="s">
        <v>684</v>
      </c>
      <c r="H83" s="277" t="s">
        <v>438</v>
      </c>
      <c r="I83" s="277">
        <v>45328</v>
      </c>
      <c r="J83" s="279" t="s">
        <v>564</v>
      </c>
      <c r="K83" s="252" t="s">
        <v>81</v>
      </c>
      <c r="L83" s="295" t="s">
        <v>42</v>
      </c>
      <c r="M83" s="277" t="s">
        <v>566</v>
      </c>
      <c r="N83" s="253"/>
      <c r="O83" s="286" t="s">
        <v>569</v>
      </c>
      <c r="P83" s="283">
        <v>1400631394</v>
      </c>
    </row>
    <row r="84" spans="1:16" ht="18">
      <c r="A84" s="275">
        <v>79</v>
      </c>
      <c r="B84" s="277">
        <v>45385</v>
      </c>
      <c r="C84" s="277" t="s">
        <v>572</v>
      </c>
      <c r="D84" s="277" t="s">
        <v>107</v>
      </c>
      <c r="E84" s="278">
        <v>984986481</v>
      </c>
      <c r="F84" s="277" t="s">
        <v>125</v>
      </c>
      <c r="G84" s="287" t="s">
        <v>684</v>
      </c>
      <c r="H84" s="277" t="s">
        <v>438</v>
      </c>
      <c r="I84" s="277">
        <v>45383</v>
      </c>
      <c r="J84" s="279" t="s">
        <v>551</v>
      </c>
      <c r="K84" s="252" t="s">
        <v>81</v>
      </c>
      <c r="L84" s="295" t="s">
        <v>42</v>
      </c>
      <c r="M84" s="277" t="s">
        <v>571</v>
      </c>
      <c r="N84" s="253"/>
      <c r="O84" s="286"/>
      <c r="P84" s="283">
        <v>104251574</v>
      </c>
    </row>
    <row r="85" spans="1:16" ht="18">
      <c r="A85" s="275">
        <v>80</v>
      </c>
      <c r="B85" s="297">
        <v>45385</v>
      </c>
      <c r="C85" s="291" t="s">
        <v>394</v>
      </c>
      <c r="D85" s="291" t="s">
        <v>670</v>
      </c>
      <c r="E85" s="292">
        <v>994336343</v>
      </c>
      <c r="F85" s="292" t="s">
        <v>392</v>
      </c>
      <c r="G85" s="287" t="s">
        <v>654</v>
      </c>
      <c r="H85" s="292" t="s">
        <v>85</v>
      </c>
      <c r="I85" s="293">
        <v>45036</v>
      </c>
      <c r="J85" s="294">
        <v>112500049</v>
      </c>
      <c r="K85" s="252" t="s">
        <v>81</v>
      </c>
      <c r="L85" s="295" t="s">
        <v>42</v>
      </c>
      <c r="M85" s="292" t="s">
        <v>393</v>
      </c>
      <c r="N85" s="253"/>
      <c r="O85" s="296" t="s">
        <v>671</v>
      </c>
      <c r="P85" s="282"/>
    </row>
    <row r="86" spans="1:16" ht="18">
      <c r="A86" s="275">
        <v>81</v>
      </c>
      <c r="B86" s="290">
        <v>45385</v>
      </c>
      <c r="C86" s="291" t="s">
        <v>248</v>
      </c>
      <c r="D86" s="291" t="s">
        <v>249</v>
      </c>
      <c r="E86" s="292">
        <v>984334901</v>
      </c>
      <c r="F86" s="292" t="s">
        <v>88</v>
      </c>
      <c r="G86" s="287" t="s">
        <v>651</v>
      </c>
      <c r="H86" s="292" t="s">
        <v>137</v>
      </c>
      <c r="I86" s="293">
        <v>45376</v>
      </c>
      <c r="J86" s="294">
        <v>40466241</v>
      </c>
      <c r="K86" s="252" t="s">
        <v>81</v>
      </c>
      <c r="L86" s="295" t="s">
        <v>42</v>
      </c>
      <c r="M86" s="292" t="s">
        <v>247</v>
      </c>
      <c r="N86" s="253"/>
      <c r="O86" s="296"/>
      <c r="P86" s="282">
        <v>1600560856</v>
      </c>
    </row>
    <row r="87" spans="1:16" ht="18">
      <c r="A87" s="275">
        <v>82</v>
      </c>
      <c r="B87" s="290">
        <v>45385</v>
      </c>
      <c r="C87" s="291" t="s">
        <v>248</v>
      </c>
      <c r="D87" s="291" t="s">
        <v>249</v>
      </c>
      <c r="E87" s="292">
        <v>984334901</v>
      </c>
      <c r="F87" s="292" t="s">
        <v>88</v>
      </c>
      <c r="G87" s="287" t="s">
        <v>651</v>
      </c>
      <c r="H87" s="292" t="s">
        <v>137</v>
      </c>
      <c r="I87" s="293">
        <v>45376</v>
      </c>
      <c r="J87" s="294">
        <v>40466241</v>
      </c>
      <c r="K87" s="252" t="s">
        <v>81</v>
      </c>
      <c r="L87" s="295" t="s">
        <v>42</v>
      </c>
      <c r="M87" s="292" t="s">
        <v>250</v>
      </c>
      <c r="N87" s="253"/>
      <c r="O87" s="296"/>
      <c r="P87" s="282">
        <v>1600560856</v>
      </c>
    </row>
    <row r="88" spans="1:16" ht="18">
      <c r="A88" s="275">
        <v>83</v>
      </c>
      <c r="B88" s="290">
        <v>45385</v>
      </c>
      <c r="C88" s="291" t="s">
        <v>254</v>
      </c>
      <c r="D88" s="291" t="s">
        <v>255</v>
      </c>
      <c r="E88" s="292">
        <v>992526510</v>
      </c>
      <c r="F88" s="292" t="s">
        <v>134</v>
      </c>
      <c r="G88" s="287" t="s">
        <v>651</v>
      </c>
      <c r="H88" s="292" t="s">
        <v>90</v>
      </c>
      <c r="I88" s="293">
        <v>45346</v>
      </c>
      <c r="J88" s="294">
        <v>40211632</v>
      </c>
      <c r="K88" s="252" t="s">
        <v>81</v>
      </c>
      <c r="L88" s="295" t="s">
        <v>42</v>
      </c>
      <c r="M88" s="292" t="s">
        <v>252</v>
      </c>
      <c r="N88" s="253"/>
      <c r="O88" s="296" t="s">
        <v>256</v>
      </c>
      <c r="P88" s="282">
        <v>103773586</v>
      </c>
    </row>
    <row r="89" spans="1:16" ht="18">
      <c r="A89" s="275">
        <v>84</v>
      </c>
      <c r="B89" s="290">
        <v>45385</v>
      </c>
      <c r="C89" s="291" t="s">
        <v>254</v>
      </c>
      <c r="D89" s="291" t="s">
        <v>255</v>
      </c>
      <c r="E89" s="292">
        <v>992526510</v>
      </c>
      <c r="F89" s="292" t="s">
        <v>94</v>
      </c>
      <c r="G89" s="287" t="s">
        <v>651</v>
      </c>
      <c r="H89" s="292" t="s">
        <v>90</v>
      </c>
      <c r="I89" s="293">
        <v>45346</v>
      </c>
      <c r="J89" s="294">
        <v>40466241</v>
      </c>
      <c r="K89" s="252" t="s">
        <v>81</v>
      </c>
      <c r="L89" s="295" t="s">
        <v>42</v>
      </c>
      <c r="M89" s="292" t="s">
        <v>253</v>
      </c>
      <c r="N89" s="253"/>
      <c r="O89" s="296" t="s">
        <v>256</v>
      </c>
      <c r="P89" s="282">
        <v>103773586</v>
      </c>
    </row>
    <row r="90" spans="1:16" ht="18">
      <c r="A90" s="275">
        <v>85</v>
      </c>
      <c r="B90" s="290">
        <v>45385</v>
      </c>
      <c r="C90" s="291" t="s">
        <v>260</v>
      </c>
      <c r="D90" s="291" t="s">
        <v>261</v>
      </c>
      <c r="E90" s="292">
        <v>981879623</v>
      </c>
      <c r="F90" s="292" t="s">
        <v>92</v>
      </c>
      <c r="G90" s="287" t="s">
        <v>651</v>
      </c>
      <c r="H90" s="292" t="s">
        <v>137</v>
      </c>
      <c r="I90" s="293">
        <v>45316</v>
      </c>
      <c r="J90" s="294">
        <v>111000051</v>
      </c>
      <c r="K90" s="252" t="s">
        <v>81</v>
      </c>
      <c r="L90" s="295" t="s">
        <v>42</v>
      </c>
      <c r="M90" s="292" t="s">
        <v>258</v>
      </c>
      <c r="N90" s="253"/>
      <c r="O90" s="296"/>
      <c r="P90" s="282">
        <v>103143137</v>
      </c>
    </row>
    <row r="91" spans="1:16" ht="18">
      <c r="A91" s="275">
        <v>86</v>
      </c>
      <c r="B91" s="290">
        <v>45385</v>
      </c>
      <c r="C91" s="291" t="s">
        <v>260</v>
      </c>
      <c r="D91" s="291" t="s">
        <v>261</v>
      </c>
      <c r="E91" s="292">
        <v>981879623</v>
      </c>
      <c r="F91" s="292" t="s">
        <v>93</v>
      </c>
      <c r="G91" s="287" t="s">
        <v>651</v>
      </c>
      <c r="H91" s="292" t="s">
        <v>137</v>
      </c>
      <c r="I91" s="293">
        <v>45316</v>
      </c>
      <c r="J91" s="294">
        <v>112570128</v>
      </c>
      <c r="K91" s="252" t="s">
        <v>81</v>
      </c>
      <c r="L91" s="295" t="s">
        <v>42</v>
      </c>
      <c r="M91" s="292" t="s">
        <v>259</v>
      </c>
      <c r="N91" s="253"/>
      <c r="O91" s="296"/>
      <c r="P91" s="282">
        <v>103143137</v>
      </c>
    </row>
    <row r="92" spans="1:16" ht="18">
      <c r="A92" s="275">
        <v>87</v>
      </c>
      <c r="B92" s="302">
        <v>45386</v>
      </c>
      <c r="C92" s="303" t="s">
        <v>275</v>
      </c>
      <c r="D92" s="308" t="s">
        <v>278</v>
      </c>
      <c r="E92" s="303">
        <v>995112362</v>
      </c>
      <c r="F92" s="304" t="s">
        <v>133</v>
      </c>
      <c r="G92" s="287" t="s">
        <v>682</v>
      </c>
      <c r="H92" s="304" t="s">
        <v>272</v>
      </c>
      <c r="I92" s="305">
        <v>45132</v>
      </c>
      <c r="J92" s="306">
        <v>40467320</v>
      </c>
      <c r="K92" s="252" t="s">
        <v>81</v>
      </c>
      <c r="L92" s="295" t="s">
        <v>42</v>
      </c>
      <c r="M92" s="307" t="s">
        <v>280</v>
      </c>
      <c r="N92" s="253"/>
      <c r="O92" s="309" t="s">
        <v>277</v>
      </c>
      <c r="P92" s="284">
        <v>104581434</v>
      </c>
    </row>
    <row r="93" spans="1:16" ht="18">
      <c r="A93" s="275">
        <v>88</v>
      </c>
      <c r="B93" s="302">
        <v>45386</v>
      </c>
      <c r="C93" s="303" t="s">
        <v>275</v>
      </c>
      <c r="D93" s="308" t="s">
        <v>278</v>
      </c>
      <c r="E93" s="303">
        <v>995112362</v>
      </c>
      <c r="F93" s="304" t="s">
        <v>219</v>
      </c>
      <c r="G93" s="287" t="s">
        <v>682</v>
      </c>
      <c r="H93" s="304" t="s">
        <v>272</v>
      </c>
      <c r="I93" s="305">
        <v>45132</v>
      </c>
      <c r="J93" s="306">
        <v>40584012</v>
      </c>
      <c r="K93" s="252" t="s">
        <v>81</v>
      </c>
      <c r="L93" s="295" t="s">
        <v>42</v>
      </c>
      <c r="M93" s="307" t="s">
        <v>281</v>
      </c>
      <c r="N93" s="253"/>
      <c r="O93" s="309" t="s">
        <v>277</v>
      </c>
      <c r="P93" s="284">
        <v>104581434</v>
      </c>
    </row>
    <row r="94" spans="1:16" ht="18">
      <c r="A94" s="275">
        <v>89</v>
      </c>
      <c r="B94" s="302">
        <v>45386</v>
      </c>
      <c r="C94" s="303" t="s">
        <v>275</v>
      </c>
      <c r="D94" s="308" t="s">
        <v>278</v>
      </c>
      <c r="E94" s="303">
        <v>995112362</v>
      </c>
      <c r="F94" s="304" t="s">
        <v>282</v>
      </c>
      <c r="G94" s="287" t="s">
        <v>682</v>
      </c>
      <c r="H94" s="304" t="s">
        <v>272</v>
      </c>
      <c r="I94" s="305">
        <v>45132</v>
      </c>
      <c r="J94" s="306">
        <v>41560041</v>
      </c>
      <c r="K94" s="252" t="s">
        <v>81</v>
      </c>
      <c r="L94" s="295" t="s">
        <v>42</v>
      </c>
      <c r="M94" s="307" t="s">
        <v>283</v>
      </c>
      <c r="N94" s="253"/>
      <c r="O94" s="309" t="s">
        <v>277</v>
      </c>
      <c r="P94" s="284">
        <v>104581434</v>
      </c>
    </row>
    <row r="95" spans="1:16" ht="18">
      <c r="A95" s="275">
        <v>90</v>
      </c>
      <c r="B95" s="302">
        <v>45386</v>
      </c>
      <c r="C95" s="303" t="s">
        <v>275</v>
      </c>
      <c r="D95" s="308" t="s">
        <v>278</v>
      </c>
      <c r="E95" s="303">
        <v>995112362</v>
      </c>
      <c r="F95" s="304" t="s">
        <v>284</v>
      </c>
      <c r="G95" s="287" t="s">
        <v>682</v>
      </c>
      <c r="H95" s="304" t="s">
        <v>272</v>
      </c>
      <c r="I95" s="305">
        <v>45132</v>
      </c>
      <c r="J95" s="306">
        <v>40212014</v>
      </c>
      <c r="K95" s="252" t="s">
        <v>81</v>
      </c>
      <c r="L95" s="295" t="s">
        <v>42</v>
      </c>
      <c r="M95" s="307" t="s">
        <v>280</v>
      </c>
      <c r="N95" s="253"/>
      <c r="O95" s="309" t="s">
        <v>277</v>
      </c>
      <c r="P95" s="284">
        <v>104581434</v>
      </c>
    </row>
    <row r="96" spans="1:16" ht="18">
      <c r="A96" s="275">
        <v>91</v>
      </c>
      <c r="B96" s="302">
        <v>45386</v>
      </c>
      <c r="C96" s="303" t="s">
        <v>275</v>
      </c>
      <c r="D96" s="308" t="s">
        <v>278</v>
      </c>
      <c r="E96" s="303">
        <v>995112362</v>
      </c>
      <c r="F96" s="304" t="s">
        <v>133</v>
      </c>
      <c r="G96" s="287" t="s">
        <v>682</v>
      </c>
      <c r="H96" s="304" t="s">
        <v>272</v>
      </c>
      <c r="I96" s="305">
        <v>45132</v>
      </c>
      <c r="J96" s="306">
        <v>40467320</v>
      </c>
      <c r="K96" s="252" t="s">
        <v>81</v>
      </c>
      <c r="L96" s="295" t="s">
        <v>42</v>
      </c>
      <c r="M96" s="307" t="s">
        <v>285</v>
      </c>
      <c r="N96" s="253"/>
      <c r="O96" s="309" t="s">
        <v>277</v>
      </c>
      <c r="P96" s="284">
        <v>104581434</v>
      </c>
    </row>
    <row r="97" spans="1:16" ht="18">
      <c r="A97" s="275">
        <v>92</v>
      </c>
      <c r="B97" s="302">
        <v>45386</v>
      </c>
      <c r="C97" s="303" t="s">
        <v>275</v>
      </c>
      <c r="D97" s="308" t="s">
        <v>278</v>
      </c>
      <c r="E97" s="303">
        <v>995112362</v>
      </c>
      <c r="F97" s="304" t="s">
        <v>219</v>
      </c>
      <c r="G97" s="287" t="s">
        <v>682</v>
      </c>
      <c r="H97" s="304" t="s">
        <v>272</v>
      </c>
      <c r="I97" s="305">
        <v>45132</v>
      </c>
      <c r="J97" s="306">
        <v>40584012</v>
      </c>
      <c r="K97" s="252" t="s">
        <v>81</v>
      </c>
      <c r="L97" s="295" t="s">
        <v>42</v>
      </c>
      <c r="M97" s="307" t="s">
        <v>286</v>
      </c>
      <c r="N97" s="253"/>
      <c r="O97" s="309" t="s">
        <v>277</v>
      </c>
      <c r="P97" s="284">
        <v>104581434</v>
      </c>
    </row>
    <row r="98" spans="1:16" ht="18">
      <c r="A98" s="275">
        <v>93</v>
      </c>
      <c r="B98" s="302">
        <v>45386</v>
      </c>
      <c r="C98" s="303" t="s">
        <v>275</v>
      </c>
      <c r="D98" s="308" t="s">
        <v>278</v>
      </c>
      <c r="E98" s="303">
        <v>995112362</v>
      </c>
      <c r="F98" s="304" t="s">
        <v>282</v>
      </c>
      <c r="G98" s="287" t="s">
        <v>682</v>
      </c>
      <c r="H98" s="304" t="s">
        <v>272</v>
      </c>
      <c r="I98" s="305">
        <v>45132</v>
      </c>
      <c r="J98" s="306">
        <v>41560041</v>
      </c>
      <c r="K98" s="252" t="s">
        <v>81</v>
      </c>
      <c r="L98" s="295" t="s">
        <v>42</v>
      </c>
      <c r="M98" s="307" t="s">
        <v>287</v>
      </c>
      <c r="N98" s="253"/>
      <c r="O98" s="309" t="s">
        <v>277</v>
      </c>
      <c r="P98" s="284">
        <v>104581434</v>
      </c>
    </row>
    <row r="99" spans="1:16" ht="18">
      <c r="A99" s="275">
        <v>94</v>
      </c>
      <c r="B99" s="302">
        <v>45386</v>
      </c>
      <c r="C99" s="303" t="s">
        <v>275</v>
      </c>
      <c r="D99" s="308" t="s">
        <v>278</v>
      </c>
      <c r="E99" s="303">
        <v>995112362</v>
      </c>
      <c r="F99" s="304" t="s">
        <v>284</v>
      </c>
      <c r="G99" s="287" t="s">
        <v>682</v>
      </c>
      <c r="H99" s="304" t="s">
        <v>272</v>
      </c>
      <c r="I99" s="305">
        <v>45132</v>
      </c>
      <c r="J99" s="306">
        <v>40212014</v>
      </c>
      <c r="K99" s="252" t="s">
        <v>81</v>
      </c>
      <c r="L99" s="295" t="s">
        <v>42</v>
      </c>
      <c r="M99" s="307" t="s">
        <v>288</v>
      </c>
      <c r="N99" s="253"/>
      <c r="O99" s="309" t="s">
        <v>277</v>
      </c>
      <c r="P99" s="284">
        <v>104581434</v>
      </c>
    </row>
    <row r="100" spans="1:16" ht="18">
      <c r="A100" s="275">
        <v>95</v>
      </c>
      <c r="B100" s="302">
        <v>45386</v>
      </c>
      <c r="C100" s="303" t="s">
        <v>275</v>
      </c>
      <c r="D100" s="308" t="s">
        <v>278</v>
      </c>
      <c r="E100" s="303">
        <v>995112362</v>
      </c>
      <c r="F100" s="304" t="s">
        <v>133</v>
      </c>
      <c r="G100" s="287" t="s">
        <v>682</v>
      </c>
      <c r="H100" s="304" t="s">
        <v>272</v>
      </c>
      <c r="I100" s="305">
        <v>45132</v>
      </c>
      <c r="J100" s="306">
        <v>40467320</v>
      </c>
      <c r="K100" s="252" t="s">
        <v>81</v>
      </c>
      <c r="L100" s="295" t="s">
        <v>42</v>
      </c>
      <c r="M100" s="307" t="s">
        <v>291</v>
      </c>
      <c r="N100" s="253"/>
      <c r="O100" s="309" t="s">
        <v>277</v>
      </c>
      <c r="P100" s="284">
        <v>104581434</v>
      </c>
    </row>
    <row r="101" spans="1:16" ht="18">
      <c r="A101" s="275">
        <v>96</v>
      </c>
      <c r="B101" s="302">
        <v>45386</v>
      </c>
      <c r="C101" s="303" t="s">
        <v>275</v>
      </c>
      <c r="D101" s="308" t="s">
        <v>278</v>
      </c>
      <c r="E101" s="303">
        <v>995112362</v>
      </c>
      <c r="F101" s="304" t="s">
        <v>219</v>
      </c>
      <c r="G101" s="287" t="s">
        <v>682</v>
      </c>
      <c r="H101" s="304" t="s">
        <v>272</v>
      </c>
      <c r="I101" s="305">
        <v>45132</v>
      </c>
      <c r="J101" s="306">
        <v>40584012</v>
      </c>
      <c r="K101" s="252" t="s">
        <v>81</v>
      </c>
      <c r="L101" s="295" t="s">
        <v>42</v>
      </c>
      <c r="M101" s="307" t="s">
        <v>292</v>
      </c>
      <c r="N101" s="253"/>
      <c r="O101" s="309" t="s">
        <v>277</v>
      </c>
      <c r="P101" s="284">
        <v>104581434</v>
      </c>
    </row>
    <row r="102" spans="1:16" ht="18">
      <c r="A102" s="275">
        <v>97</v>
      </c>
      <c r="B102" s="302">
        <v>45386</v>
      </c>
      <c r="C102" s="303" t="s">
        <v>275</v>
      </c>
      <c r="D102" s="308" t="s">
        <v>278</v>
      </c>
      <c r="E102" s="303">
        <v>995112362</v>
      </c>
      <c r="F102" s="304" t="s">
        <v>282</v>
      </c>
      <c r="G102" s="287" t="s">
        <v>682</v>
      </c>
      <c r="H102" s="304" t="s">
        <v>272</v>
      </c>
      <c r="I102" s="305">
        <v>45132</v>
      </c>
      <c r="J102" s="306">
        <v>41560041</v>
      </c>
      <c r="K102" s="252" t="s">
        <v>81</v>
      </c>
      <c r="L102" s="295" t="s">
        <v>42</v>
      </c>
      <c r="M102" s="307" t="s">
        <v>293</v>
      </c>
      <c r="N102" s="253"/>
      <c r="O102" s="309" t="s">
        <v>277</v>
      </c>
      <c r="P102" s="284">
        <v>104581434</v>
      </c>
    </row>
    <row r="103" spans="1:16" ht="18">
      <c r="A103" s="275">
        <v>98</v>
      </c>
      <c r="B103" s="302">
        <v>45386</v>
      </c>
      <c r="C103" s="303" t="s">
        <v>275</v>
      </c>
      <c r="D103" s="308" t="s">
        <v>278</v>
      </c>
      <c r="E103" s="303">
        <v>995112362</v>
      </c>
      <c r="F103" s="304" t="s">
        <v>284</v>
      </c>
      <c r="G103" s="287" t="s">
        <v>682</v>
      </c>
      <c r="H103" s="304" t="s">
        <v>272</v>
      </c>
      <c r="I103" s="305">
        <v>45132</v>
      </c>
      <c r="J103" s="306">
        <v>40212014</v>
      </c>
      <c r="K103" s="252" t="s">
        <v>81</v>
      </c>
      <c r="L103" s="295" t="s">
        <v>42</v>
      </c>
      <c r="M103" s="307" t="s">
        <v>294</v>
      </c>
      <c r="N103" s="253"/>
      <c r="O103" s="309" t="s">
        <v>277</v>
      </c>
      <c r="P103" s="284">
        <v>104581434</v>
      </c>
    </row>
    <row r="104" spans="1:16" ht="18">
      <c r="A104" s="275">
        <v>99</v>
      </c>
      <c r="B104" s="302">
        <v>45386</v>
      </c>
      <c r="C104" s="303" t="s">
        <v>275</v>
      </c>
      <c r="D104" s="308" t="s">
        <v>278</v>
      </c>
      <c r="E104" s="303">
        <v>995112362</v>
      </c>
      <c r="F104" s="304" t="s">
        <v>133</v>
      </c>
      <c r="G104" s="287" t="s">
        <v>682</v>
      </c>
      <c r="H104" s="304" t="s">
        <v>272</v>
      </c>
      <c r="I104" s="305">
        <v>45132</v>
      </c>
      <c r="J104" s="306">
        <v>40467320</v>
      </c>
      <c r="K104" s="252" t="s">
        <v>81</v>
      </c>
      <c r="L104" s="295" t="s">
        <v>42</v>
      </c>
      <c r="M104" s="307" t="s">
        <v>291</v>
      </c>
      <c r="N104" s="253"/>
      <c r="O104" s="309" t="s">
        <v>277</v>
      </c>
      <c r="P104" s="284">
        <v>104581434</v>
      </c>
    </row>
    <row r="105" spans="1:16" ht="18">
      <c r="A105" s="275">
        <v>100</v>
      </c>
      <c r="B105" s="302">
        <v>45386</v>
      </c>
      <c r="C105" s="303" t="s">
        <v>275</v>
      </c>
      <c r="D105" s="308" t="s">
        <v>278</v>
      </c>
      <c r="E105" s="303">
        <v>995112362</v>
      </c>
      <c r="F105" s="304" t="s">
        <v>219</v>
      </c>
      <c r="G105" s="287" t="s">
        <v>682</v>
      </c>
      <c r="H105" s="304" t="s">
        <v>272</v>
      </c>
      <c r="I105" s="305">
        <v>45132</v>
      </c>
      <c r="J105" s="306">
        <v>40584012</v>
      </c>
      <c r="K105" s="252" t="s">
        <v>81</v>
      </c>
      <c r="L105" s="295" t="s">
        <v>42</v>
      </c>
      <c r="M105" s="307" t="s">
        <v>292</v>
      </c>
      <c r="N105" s="253"/>
      <c r="O105" s="309" t="s">
        <v>277</v>
      </c>
      <c r="P105" s="284">
        <v>104581434</v>
      </c>
    </row>
    <row r="106" spans="1:16" ht="18">
      <c r="A106" s="275">
        <v>101</v>
      </c>
      <c r="B106" s="302">
        <v>45386</v>
      </c>
      <c r="C106" s="303" t="s">
        <v>275</v>
      </c>
      <c r="D106" s="308" t="s">
        <v>278</v>
      </c>
      <c r="E106" s="303">
        <v>995112362</v>
      </c>
      <c r="F106" s="304" t="s">
        <v>282</v>
      </c>
      <c r="G106" s="287" t="s">
        <v>682</v>
      </c>
      <c r="H106" s="304" t="s">
        <v>272</v>
      </c>
      <c r="I106" s="305">
        <v>45132</v>
      </c>
      <c r="J106" s="306">
        <v>41560041</v>
      </c>
      <c r="K106" s="252" t="s">
        <v>81</v>
      </c>
      <c r="L106" s="295" t="s">
        <v>42</v>
      </c>
      <c r="M106" s="307" t="s">
        <v>293</v>
      </c>
      <c r="N106" s="253"/>
      <c r="O106" s="309" t="s">
        <v>277</v>
      </c>
      <c r="P106" s="284">
        <v>104581434</v>
      </c>
    </row>
    <row r="107" spans="1:16" ht="18">
      <c r="A107" s="275">
        <v>102</v>
      </c>
      <c r="B107" s="302">
        <v>45386</v>
      </c>
      <c r="C107" s="303" t="s">
        <v>275</v>
      </c>
      <c r="D107" s="308" t="s">
        <v>278</v>
      </c>
      <c r="E107" s="303">
        <v>995112362</v>
      </c>
      <c r="F107" s="304" t="s">
        <v>284</v>
      </c>
      <c r="G107" s="287" t="s">
        <v>682</v>
      </c>
      <c r="H107" s="304" t="s">
        <v>272</v>
      </c>
      <c r="I107" s="305">
        <v>45132</v>
      </c>
      <c r="J107" s="306">
        <v>40212014</v>
      </c>
      <c r="K107" s="252" t="s">
        <v>81</v>
      </c>
      <c r="L107" s="295" t="s">
        <v>42</v>
      </c>
      <c r="M107" s="307" t="s">
        <v>294</v>
      </c>
      <c r="N107" s="253"/>
      <c r="O107" s="309" t="s">
        <v>277</v>
      </c>
      <c r="P107" s="284">
        <v>104581434</v>
      </c>
    </row>
    <row r="108" spans="1:16" ht="18">
      <c r="A108" s="275">
        <v>103</v>
      </c>
      <c r="B108" s="302">
        <v>45386</v>
      </c>
      <c r="C108" s="303" t="s">
        <v>275</v>
      </c>
      <c r="D108" s="308" t="s">
        <v>278</v>
      </c>
      <c r="E108" s="303">
        <v>995112362</v>
      </c>
      <c r="F108" s="304" t="s">
        <v>133</v>
      </c>
      <c r="G108" s="287" t="s">
        <v>682</v>
      </c>
      <c r="H108" s="304" t="s">
        <v>272</v>
      </c>
      <c r="I108" s="305">
        <v>45132</v>
      </c>
      <c r="J108" s="306">
        <v>40467320</v>
      </c>
      <c r="K108" s="252" t="s">
        <v>81</v>
      </c>
      <c r="L108" s="295" t="s">
        <v>42</v>
      </c>
      <c r="M108" s="307" t="s">
        <v>297</v>
      </c>
      <c r="N108" s="253"/>
      <c r="O108" s="309" t="s">
        <v>277</v>
      </c>
      <c r="P108" s="284">
        <v>104581434</v>
      </c>
    </row>
    <row r="109" spans="1:16" ht="18">
      <c r="A109" s="275">
        <v>104</v>
      </c>
      <c r="B109" s="302">
        <v>45386</v>
      </c>
      <c r="C109" s="303" t="s">
        <v>275</v>
      </c>
      <c r="D109" s="308" t="s">
        <v>278</v>
      </c>
      <c r="E109" s="303">
        <v>995112362</v>
      </c>
      <c r="F109" s="304" t="s">
        <v>219</v>
      </c>
      <c r="G109" s="287" t="s">
        <v>682</v>
      </c>
      <c r="H109" s="304" t="s">
        <v>272</v>
      </c>
      <c r="I109" s="305">
        <v>45132</v>
      </c>
      <c r="J109" s="306">
        <v>40584012</v>
      </c>
      <c r="K109" s="252" t="s">
        <v>81</v>
      </c>
      <c r="L109" s="295" t="s">
        <v>42</v>
      </c>
      <c r="M109" s="307" t="s">
        <v>298</v>
      </c>
      <c r="N109" s="253"/>
      <c r="O109" s="309" t="s">
        <v>277</v>
      </c>
      <c r="P109" s="284">
        <v>104581434</v>
      </c>
    </row>
    <row r="110" spans="1:16" ht="18">
      <c r="A110" s="275">
        <v>105</v>
      </c>
      <c r="B110" s="302">
        <v>45386</v>
      </c>
      <c r="C110" s="303" t="s">
        <v>275</v>
      </c>
      <c r="D110" s="308" t="s">
        <v>278</v>
      </c>
      <c r="E110" s="303">
        <v>995112362</v>
      </c>
      <c r="F110" s="304" t="s">
        <v>282</v>
      </c>
      <c r="G110" s="287" t="s">
        <v>682</v>
      </c>
      <c r="H110" s="304" t="s">
        <v>272</v>
      </c>
      <c r="I110" s="305">
        <v>45132</v>
      </c>
      <c r="J110" s="306">
        <v>41560041</v>
      </c>
      <c r="K110" s="252" t="s">
        <v>81</v>
      </c>
      <c r="L110" s="295" t="s">
        <v>42</v>
      </c>
      <c r="M110" s="307" t="s">
        <v>299</v>
      </c>
      <c r="N110" s="253"/>
      <c r="O110" s="309" t="s">
        <v>277</v>
      </c>
      <c r="P110" s="284">
        <v>104581434</v>
      </c>
    </row>
    <row r="111" spans="1:16" ht="18">
      <c r="A111" s="275">
        <v>106</v>
      </c>
      <c r="B111" s="302">
        <v>45386</v>
      </c>
      <c r="C111" s="303" t="s">
        <v>275</v>
      </c>
      <c r="D111" s="308" t="s">
        <v>278</v>
      </c>
      <c r="E111" s="303">
        <v>995112362</v>
      </c>
      <c r="F111" s="304" t="s">
        <v>284</v>
      </c>
      <c r="G111" s="287" t="s">
        <v>682</v>
      </c>
      <c r="H111" s="304" t="s">
        <v>272</v>
      </c>
      <c r="I111" s="305">
        <v>45132</v>
      </c>
      <c r="J111" s="306">
        <v>40212014</v>
      </c>
      <c r="K111" s="252" t="s">
        <v>81</v>
      </c>
      <c r="L111" s="295" t="s">
        <v>42</v>
      </c>
      <c r="M111" s="307" t="s">
        <v>300</v>
      </c>
      <c r="N111" s="253"/>
      <c r="O111" s="309" t="s">
        <v>277</v>
      </c>
      <c r="P111" s="284">
        <v>104581434</v>
      </c>
    </row>
    <row r="112" spans="1:16" ht="18">
      <c r="A112" s="275">
        <v>107</v>
      </c>
      <c r="B112" s="302">
        <v>45386</v>
      </c>
      <c r="C112" s="303" t="s">
        <v>275</v>
      </c>
      <c r="D112" s="308" t="s">
        <v>278</v>
      </c>
      <c r="E112" s="303">
        <v>995112362</v>
      </c>
      <c r="F112" s="304" t="s">
        <v>133</v>
      </c>
      <c r="G112" s="287" t="s">
        <v>682</v>
      </c>
      <c r="H112" s="304" t="s">
        <v>272</v>
      </c>
      <c r="I112" s="305">
        <v>45132</v>
      </c>
      <c r="J112" s="306">
        <v>40467320</v>
      </c>
      <c r="K112" s="252" t="s">
        <v>81</v>
      </c>
      <c r="L112" s="295" t="s">
        <v>42</v>
      </c>
      <c r="M112" s="307" t="s">
        <v>301</v>
      </c>
      <c r="N112" s="253"/>
      <c r="O112" s="309" t="s">
        <v>277</v>
      </c>
      <c r="P112" s="284">
        <v>104581434</v>
      </c>
    </row>
    <row r="113" spans="1:16" ht="18">
      <c r="A113" s="275">
        <v>108</v>
      </c>
      <c r="B113" s="302">
        <v>45386</v>
      </c>
      <c r="C113" s="303" t="s">
        <v>275</v>
      </c>
      <c r="D113" s="308" t="s">
        <v>278</v>
      </c>
      <c r="E113" s="303">
        <v>995112362</v>
      </c>
      <c r="F113" s="304" t="s">
        <v>219</v>
      </c>
      <c r="G113" s="287" t="s">
        <v>682</v>
      </c>
      <c r="H113" s="304" t="s">
        <v>272</v>
      </c>
      <c r="I113" s="305">
        <v>45132</v>
      </c>
      <c r="J113" s="306">
        <v>40584012</v>
      </c>
      <c r="K113" s="252" t="s">
        <v>81</v>
      </c>
      <c r="L113" s="295" t="s">
        <v>42</v>
      </c>
      <c r="M113" s="307" t="s">
        <v>302</v>
      </c>
      <c r="N113" s="253"/>
      <c r="O113" s="309" t="s">
        <v>277</v>
      </c>
      <c r="P113" s="284">
        <v>104581434</v>
      </c>
    </row>
    <row r="114" spans="1:16" ht="18">
      <c r="A114" s="275">
        <v>109</v>
      </c>
      <c r="B114" s="302">
        <v>45386</v>
      </c>
      <c r="C114" s="303" t="s">
        <v>275</v>
      </c>
      <c r="D114" s="308" t="s">
        <v>278</v>
      </c>
      <c r="E114" s="303">
        <v>995112362</v>
      </c>
      <c r="F114" s="304" t="s">
        <v>282</v>
      </c>
      <c r="G114" s="287" t="s">
        <v>682</v>
      </c>
      <c r="H114" s="304" t="s">
        <v>272</v>
      </c>
      <c r="I114" s="305">
        <v>45132</v>
      </c>
      <c r="J114" s="306">
        <v>41560041</v>
      </c>
      <c r="K114" s="252" t="s">
        <v>81</v>
      </c>
      <c r="L114" s="295" t="s">
        <v>42</v>
      </c>
      <c r="M114" s="307" t="s">
        <v>303</v>
      </c>
      <c r="N114" s="253"/>
      <c r="O114" s="309" t="s">
        <v>277</v>
      </c>
      <c r="P114" s="284">
        <v>104581434</v>
      </c>
    </row>
    <row r="115" spans="1:16" ht="18">
      <c r="A115" s="275">
        <v>110</v>
      </c>
      <c r="B115" s="302">
        <v>45386</v>
      </c>
      <c r="C115" s="303" t="s">
        <v>275</v>
      </c>
      <c r="D115" s="308" t="s">
        <v>278</v>
      </c>
      <c r="E115" s="303">
        <v>995112362</v>
      </c>
      <c r="F115" s="304" t="s">
        <v>284</v>
      </c>
      <c r="G115" s="287" t="s">
        <v>682</v>
      </c>
      <c r="H115" s="304" t="s">
        <v>272</v>
      </c>
      <c r="I115" s="305">
        <v>45132</v>
      </c>
      <c r="J115" s="306">
        <v>40212014</v>
      </c>
      <c r="K115" s="252" t="s">
        <v>81</v>
      </c>
      <c r="L115" s="295" t="s">
        <v>42</v>
      </c>
      <c r="M115" s="307" t="s">
        <v>294</v>
      </c>
      <c r="N115" s="253"/>
      <c r="O115" s="309" t="s">
        <v>277</v>
      </c>
      <c r="P115" s="284">
        <v>104581434</v>
      </c>
    </row>
    <row r="116" spans="1:16" ht="18">
      <c r="A116" s="275">
        <v>111</v>
      </c>
      <c r="B116" s="290">
        <v>45387</v>
      </c>
      <c r="C116" s="291" t="s">
        <v>265</v>
      </c>
      <c r="D116" s="291" t="s">
        <v>84</v>
      </c>
      <c r="E116" s="292">
        <v>939971919</v>
      </c>
      <c r="F116" s="292" t="s">
        <v>88</v>
      </c>
      <c r="G116" s="287" t="s">
        <v>651</v>
      </c>
      <c r="H116" s="292" t="s">
        <v>137</v>
      </c>
      <c r="I116" s="293">
        <v>45350</v>
      </c>
      <c r="J116" s="294">
        <v>40466241</v>
      </c>
      <c r="K116" s="252" t="s">
        <v>81</v>
      </c>
      <c r="L116" s="295" t="s">
        <v>42</v>
      </c>
      <c r="M116" s="292" t="s">
        <v>264</v>
      </c>
      <c r="N116" s="253"/>
      <c r="O116" s="296" t="s">
        <v>266</v>
      </c>
      <c r="P116" s="282">
        <v>101276368</v>
      </c>
    </row>
    <row r="117" spans="1:16" ht="18">
      <c r="A117" s="275">
        <v>112</v>
      </c>
      <c r="B117" s="290">
        <v>45387</v>
      </c>
      <c r="C117" s="291" t="s">
        <v>265</v>
      </c>
      <c r="D117" s="291" t="s">
        <v>84</v>
      </c>
      <c r="E117" s="292">
        <v>939971919</v>
      </c>
      <c r="F117" s="292" t="s">
        <v>100</v>
      </c>
      <c r="G117" s="287" t="s">
        <v>651</v>
      </c>
      <c r="H117" s="292" t="s">
        <v>137</v>
      </c>
      <c r="I117" s="293">
        <v>45350</v>
      </c>
      <c r="J117" s="294">
        <v>112610067</v>
      </c>
      <c r="K117" s="252" t="s">
        <v>81</v>
      </c>
      <c r="L117" s="295" t="s">
        <v>42</v>
      </c>
      <c r="M117" s="292" t="s">
        <v>263</v>
      </c>
      <c r="N117" s="253"/>
      <c r="O117" s="296" t="s">
        <v>266</v>
      </c>
      <c r="P117" s="282">
        <v>101276368</v>
      </c>
    </row>
    <row r="118" spans="1:16" ht="18">
      <c r="A118" s="275">
        <v>113</v>
      </c>
      <c r="B118" s="290">
        <v>45388</v>
      </c>
      <c r="C118" s="291" t="s">
        <v>672</v>
      </c>
      <c r="D118" s="291" t="s">
        <v>107</v>
      </c>
      <c r="E118" s="292">
        <v>963511443</v>
      </c>
      <c r="F118" s="292" t="s">
        <v>673</v>
      </c>
      <c r="G118" s="287" t="s">
        <v>654</v>
      </c>
      <c r="H118" s="292" t="s">
        <v>137</v>
      </c>
      <c r="I118" s="293">
        <v>45388</v>
      </c>
      <c r="J118" s="294">
        <v>114270004</v>
      </c>
      <c r="K118" s="252" t="s">
        <v>81</v>
      </c>
      <c r="L118" s="295" t="s">
        <v>42</v>
      </c>
      <c r="M118" s="292" t="s">
        <v>399</v>
      </c>
      <c r="N118" s="253"/>
      <c r="O118" s="296" t="s">
        <v>402</v>
      </c>
      <c r="P118" s="282"/>
    </row>
    <row r="119" spans="1:16" ht="18">
      <c r="A119" s="275">
        <v>114</v>
      </c>
      <c r="B119" s="299">
        <v>45388</v>
      </c>
      <c r="C119" s="300" t="s">
        <v>105</v>
      </c>
      <c r="D119" s="300" t="s">
        <v>107</v>
      </c>
      <c r="E119" s="280">
        <v>987844003</v>
      </c>
      <c r="F119" s="301" t="s">
        <v>106</v>
      </c>
      <c r="G119" s="287" t="s">
        <v>679</v>
      </c>
      <c r="H119" s="292" t="s">
        <v>91</v>
      </c>
      <c r="I119" s="293">
        <v>45388</v>
      </c>
      <c r="J119" s="301">
        <v>111570003</v>
      </c>
      <c r="K119" s="252" t="s">
        <v>81</v>
      </c>
      <c r="L119" s="295" t="s">
        <v>42</v>
      </c>
      <c r="M119" s="301" t="s">
        <v>646</v>
      </c>
      <c r="N119" s="253"/>
      <c r="O119" s="296"/>
      <c r="P119" s="282"/>
    </row>
    <row r="120" spans="1:16" ht="18.75" customHeight="1">
      <c r="A120" s="275">
        <v>115</v>
      </c>
      <c r="B120" s="290">
        <v>45390</v>
      </c>
      <c r="C120" s="291" t="s">
        <v>90</v>
      </c>
      <c r="D120" s="291" t="s">
        <v>104</v>
      </c>
      <c r="E120" s="285">
        <v>987665567</v>
      </c>
      <c r="F120" s="292" t="s">
        <v>101</v>
      </c>
      <c r="G120" s="287" t="s">
        <v>681</v>
      </c>
      <c r="H120" s="292" t="s">
        <v>90</v>
      </c>
      <c r="I120" s="293">
        <v>45390</v>
      </c>
      <c r="J120" s="294">
        <v>112950019</v>
      </c>
      <c r="K120" s="252" t="s">
        <v>81</v>
      </c>
      <c r="L120" s="295" t="s">
        <v>42</v>
      </c>
      <c r="M120" s="292" t="s">
        <v>680</v>
      </c>
      <c r="N120" s="253"/>
      <c r="O120" s="296"/>
      <c r="P120" s="282"/>
    </row>
    <row r="121" spans="1:16" ht="18">
      <c r="A121" s="275">
        <v>116</v>
      </c>
      <c r="B121" s="277">
        <v>45390</v>
      </c>
      <c r="C121" s="277" t="s">
        <v>575</v>
      </c>
      <c r="D121" s="277" t="s">
        <v>576</v>
      </c>
      <c r="E121" s="278">
        <v>995732869</v>
      </c>
      <c r="F121" s="277" t="s">
        <v>89</v>
      </c>
      <c r="G121" s="287" t="s">
        <v>684</v>
      </c>
      <c r="H121" s="277" t="s">
        <v>438</v>
      </c>
      <c r="I121" s="277">
        <v>45378</v>
      </c>
      <c r="J121" s="279" t="s">
        <v>453</v>
      </c>
      <c r="K121" s="252" t="s">
        <v>81</v>
      </c>
      <c r="L121" s="295" t="s">
        <v>42</v>
      </c>
      <c r="M121" s="277" t="s">
        <v>574</v>
      </c>
      <c r="N121" s="253"/>
      <c r="O121" s="286" t="s">
        <v>577</v>
      </c>
      <c r="P121" s="283">
        <v>102459450</v>
      </c>
    </row>
    <row r="122" spans="1:16" ht="18">
      <c r="A122" s="275">
        <v>117</v>
      </c>
      <c r="B122" s="277">
        <v>45390</v>
      </c>
      <c r="C122" s="277" t="s">
        <v>580</v>
      </c>
      <c r="D122" s="277" t="s">
        <v>581</v>
      </c>
      <c r="E122" s="278">
        <v>992952542</v>
      </c>
      <c r="F122" s="277" t="s">
        <v>125</v>
      </c>
      <c r="G122" s="287" t="s">
        <v>684</v>
      </c>
      <c r="H122" s="277" t="s">
        <v>90</v>
      </c>
      <c r="I122" s="277">
        <v>45366</v>
      </c>
      <c r="J122" s="279" t="s">
        <v>551</v>
      </c>
      <c r="K122" s="252" t="s">
        <v>81</v>
      </c>
      <c r="L122" s="295" t="s">
        <v>42</v>
      </c>
      <c r="M122" s="277" t="s">
        <v>579</v>
      </c>
      <c r="N122" s="253"/>
      <c r="O122" s="286" t="s">
        <v>582</v>
      </c>
      <c r="P122" s="283">
        <v>105273411</v>
      </c>
    </row>
    <row r="123" spans="1:16" ht="18">
      <c r="A123" s="275">
        <v>118</v>
      </c>
      <c r="B123" s="277">
        <v>45391</v>
      </c>
      <c r="C123" s="277" t="s">
        <v>370</v>
      </c>
      <c r="D123" s="277" t="s">
        <v>586</v>
      </c>
      <c r="E123" s="278">
        <v>987963045</v>
      </c>
      <c r="F123" s="277" t="s">
        <v>353</v>
      </c>
      <c r="G123" s="287" t="s">
        <v>684</v>
      </c>
      <c r="H123" s="277" t="s">
        <v>438</v>
      </c>
      <c r="I123" s="277">
        <v>45364</v>
      </c>
      <c r="J123" s="279" t="s">
        <v>584</v>
      </c>
      <c r="K123" s="252" t="s">
        <v>81</v>
      </c>
      <c r="L123" s="295" t="s">
        <v>42</v>
      </c>
      <c r="M123" s="277" t="s">
        <v>585</v>
      </c>
      <c r="N123" s="253"/>
      <c r="O123" s="286"/>
      <c r="P123" s="283">
        <v>300871357</v>
      </c>
    </row>
    <row r="124" spans="1:16" ht="18">
      <c r="A124" s="275">
        <v>119</v>
      </c>
      <c r="B124" s="277">
        <v>45391</v>
      </c>
      <c r="C124" s="277" t="s">
        <v>695</v>
      </c>
      <c r="D124" s="277" t="s">
        <v>589</v>
      </c>
      <c r="E124" s="278">
        <v>995142234</v>
      </c>
      <c r="F124" s="277" t="s">
        <v>410</v>
      </c>
      <c r="G124" s="287" t="s">
        <v>684</v>
      </c>
      <c r="H124" s="277" t="s">
        <v>438</v>
      </c>
      <c r="I124" s="277">
        <v>45384</v>
      </c>
      <c r="J124" s="279" t="s">
        <v>557</v>
      </c>
      <c r="K124" s="252" t="s">
        <v>81</v>
      </c>
      <c r="L124" s="295" t="s">
        <v>42</v>
      </c>
      <c r="M124" s="277" t="s">
        <v>588</v>
      </c>
      <c r="N124" s="253"/>
      <c r="O124" s="286" t="s">
        <v>590</v>
      </c>
      <c r="P124" s="283">
        <v>103589149001</v>
      </c>
    </row>
    <row r="125" spans="1:16" ht="18">
      <c r="A125" s="275">
        <v>120</v>
      </c>
      <c r="B125" s="290">
        <v>45391</v>
      </c>
      <c r="C125" s="291" t="s">
        <v>406</v>
      </c>
      <c r="D125" s="291" t="s">
        <v>636</v>
      </c>
      <c r="E125" s="292">
        <v>992801702</v>
      </c>
      <c r="F125" s="292" t="s">
        <v>404</v>
      </c>
      <c r="G125" s="287" t="s">
        <v>654</v>
      </c>
      <c r="H125" s="292" t="s">
        <v>80</v>
      </c>
      <c r="I125" s="293">
        <v>45359</v>
      </c>
      <c r="J125" s="294">
        <v>112500048</v>
      </c>
      <c r="K125" s="252" t="s">
        <v>81</v>
      </c>
      <c r="L125" s="295" t="s">
        <v>42</v>
      </c>
      <c r="M125" s="292" t="s">
        <v>405</v>
      </c>
      <c r="N125" s="253"/>
      <c r="O125" s="296"/>
      <c r="P125" s="282"/>
    </row>
    <row r="126" spans="1:16" ht="18">
      <c r="A126" s="275">
        <v>121</v>
      </c>
      <c r="B126" s="290">
        <v>45391</v>
      </c>
      <c r="C126" s="291" t="s">
        <v>269</v>
      </c>
      <c r="D126" s="291" t="s">
        <v>270</v>
      </c>
      <c r="E126" s="292">
        <v>992313155</v>
      </c>
      <c r="F126" s="292" t="s">
        <v>125</v>
      </c>
      <c r="G126" s="287" t="s">
        <v>651</v>
      </c>
      <c r="H126" s="292" t="s">
        <v>80</v>
      </c>
      <c r="I126" s="293">
        <v>45272</v>
      </c>
      <c r="J126" s="294">
        <v>112580027</v>
      </c>
      <c r="K126" s="252" t="s">
        <v>81</v>
      </c>
      <c r="L126" s="295" t="s">
        <v>42</v>
      </c>
      <c r="M126" s="292" t="s">
        <v>268</v>
      </c>
      <c r="N126" s="253"/>
      <c r="O126" s="296"/>
      <c r="P126" s="282">
        <v>101702801</v>
      </c>
    </row>
    <row r="127" spans="1:16" ht="18">
      <c r="A127" s="275">
        <v>122</v>
      </c>
      <c r="B127" s="290">
        <v>45391</v>
      </c>
      <c r="C127" s="291" t="s">
        <v>269</v>
      </c>
      <c r="D127" s="291" t="s">
        <v>270</v>
      </c>
      <c r="E127" s="292">
        <v>992313155</v>
      </c>
      <c r="F127" s="292" t="s">
        <v>133</v>
      </c>
      <c r="G127" s="287" t="s">
        <v>651</v>
      </c>
      <c r="H127" s="292" t="s">
        <v>80</v>
      </c>
      <c r="I127" s="293">
        <v>45272</v>
      </c>
      <c r="J127" s="294">
        <v>40467320</v>
      </c>
      <c r="K127" s="252" t="s">
        <v>81</v>
      </c>
      <c r="L127" s="295" t="s">
        <v>42</v>
      </c>
      <c r="M127" s="292" t="s">
        <v>271</v>
      </c>
      <c r="N127" s="253"/>
      <c r="O127" s="296"/>
      <c r="P127" s="282">
        <v>101702801</v>
      </c>
    </row>
    <row r="128" spans="1:16" ht="18">
      <c r="A128" s="275">
        <v>123</v>
      </c>
      <c r="B128" s="290">
        <v>45392</v>
      </c>
      <c r="C128" s="291" t="s">
        <v>412</v>
      </c>
      <c r="D128" s="291" t="s">
        <v>674</v>
      </c>
      <c r="E128" s="292">
        <v>998697065</v>
      </c>
      <c r="F128" s="292" t="s">
        <v>558</v>
      </c>
      <c r="G128" s="287" t="s">
        <v>654</v>
      </c>
      <c r="H128" s="292" t="s">
        <v>137</v>
      </c>
      <c r="I128" s="293">
        <v>45254</v>
      </c>
      <c r="J128" s="294">
        <v>40446712</v>
      </c>
      <c r="K128" s="252" t="s">
        <v>81</v>
      </c>
      <c r="L128" s="295" t="s">
        <v>42</v>
      </c>
      <c r="M128" s="292" t="s">
        <v>411</v>
      </c>
      <c r="N128" s="253"/>
      <c r="O128" s="296"/>
      <c r="P128" s="282"/>
    </row>
    <row r="129" spans="1:16" ht="18">
      <c r="A129" s="275">
        <v>124</v>
      </c>
      <c r="B129" s="277">
        <v>45392</v>
      </c>
      <c r="C129" s="277" t="s">
        <v>595</v>
      </c>
      <c r="D129" s="277" t="s">
        <v>84</v>
      </c>
      <c r="E129" s="278">
        <v>989434225</v>
      </c>
      <c r="F129" s="277" t="s">
        <v>593</v>
      </c>
      <c r="G129" s="287" t="s">
        <v>684</v>
      </c>
      <c r="H129" s="277" t="s">
        <v>438</v>
      </c>
      <c r="I129" s="277">
        <v>45337</v>
      </c>
      <c r="J129" s="279" t="s">
        <v>592</v>
      </c>
      <c r="K129" s="252" t="s">
        <v>81</v>
      </c>
      <c r="L129" s="295" t="s">
        <v>42</v>
      </c>
      <c r="M129" s="277" t="s">
        <v>594</v>
      </c>
      <c r="N129" s="253"/>
      <c r="O129" s="286" t="s">
        <v>596</v>
      </c>
      <c r="P129" s="283">
        <v>301999529</v>
      </c>
    </row>
    <row r="130" spans="1:16" ht="18">
      <c r="A130" s="275">
        <v>125</v>
      </c>
      <c r="B130" s="277">
        <v>45393</v>
      </c>
      <c r="C130" s="277" t="s">
        <v>601</v>
      </c>
      <c r="D130" s="277" t="s">
        <v>602</v>
      </c>
      <c r="E130" s="278">
        <v>983129101</v>
      </c>
      <c r="F130" s="277" t="s">
        <v>599</v>
      </c>
      <c r="G130" s="287" t="s">
        <v>684</v>
      </c>
      <c r="H130" s="277" t="s">
        <v>90</v>
      </c>
      <c r="I130" s="277">
        <v>45392</v>
      </c>
      <c r="J130" s="279" t="s">
        <v>598</v>
      </c>
      <c r="K130" s="252" t="s">
        <v>81</v>
      </c>
      <c r="L130" s="295" t="s">
        <v>42</v>
      </c>
      <c r="M130" s="277" t="s">
        <v>600</v>
      </c>
      <c r="N130" s="253"/>
      <c r="O130" s="286" t="s">
        <v>603</v>
      </c>
      <c r="P130" s="283">
        <v>104963814</v>
      </c>
    </row>
    <row r="131" spans="1:16" ht="18">
      <c r="A131" s="275">
        <v>126</v>
      </c>
      <c r="B131" s="277">
        <v>45397</v>
      </c>
      <c r="C131" s="277" t="s">
        <v>694</v>
      </c>
      <c r="D131" s="277" t="s">
        <v>331</v>
      </c>
      <c r="E131" s="278">
        <v>985713576</v>
      </c>
      <c r="F131" s="277" t="s">
        <v>606</v>
      </c>
      <c r="G131" s="287" t="s">
        <v>684</v>
      </c>
      <c r="H131" s="277" t="s">
        <v>91</v>
      </c>
      <c r="I131" s="277">
        <v>45375</v>
      </c>
      <c r="J131" s="279" t="s">
        <v>605</v>
      </c>
      <c r="K131" s="252" t="s">
        <v>81</v>
      </c>
      <c r="L131" s="295" t="s">
        <v>42</v>
      </c>
      <c r="M131" s="277" t="s">
        <v>607</v>
      </c>
      <c r="N131" s="253"/>
      <c r="O131" s="286"/>
      <c r="P131" s="283">
        <v>103852794</v>
      </c>
    </row>
    <row r="132" spans="1:16" ht="18">
      <c r="A132" s="275">
        <v>127</v>
      </c>
      <c r="B132" s="277">
        <v>45397</v>
      </c>
      <c r="C132" s="277" t="s">
        <v>610</v>
      </c>
      <c r="D132" s="277" t="s">
        <v>589</v>
      </c>
      <c r="E132" s="278">
        <v>958965275</v>
      </c>
      <c r="F132" s="277" t="s">
        <v>125</v>
      </c>
      <c r="G132" s="287" t="s">
        <v>684</v>
      </c>
      <c r="H132" s="277" t="s">
        <v>438</v>
      </c>
      <c r="I132" s="277">
        <v>45378</v>
      </c>
      <c r="J132" s="279" t="s">
        <v>551</v>
      </c>
      <c r="K132" s="252" t="s">
        <v>81</v>
      </c>
      <c r="L132" s="295" t="s">
        <v>42</v>
      </c>
      <c r="M132" s="277" t="s">
        <v>609</v>
      </c>
      <c r="N132" s="253"/>
      <c r="O132" s="286" t="s">
        <v>611</v>
      </c>
      <c r="P132" s="283">
        <v>1714662101</v>
      </c>
    </row>
    <row r="133" spans="1:16" ht="18">
      <c r="A133" s="275">
        <v>128</v>
      </c>
      <c r="B133" s="310">
        <v>45397</v>
      </c>
      <c r="C133" s="300" t="s">
        <v>330</v>
      </c>
      <c r="D133" s="300" t="s">
        <v>331</v>
      </c>
      <c r="E133" s="300">
        <v>984390534</v>
      </c>
      <c r="F133" s="301" t="s">
        <v>106</v>
      </c>
      <c r="G133" s="287" t="s">
        <v>679</v>
      </c>
      <c r="H133" s="300" t="s">
        <v>91</v>
      </c>
      <c r="I133" s="299">
        <v>45388</v>
      </c>
      <c r="J133" s="301">
        <v>111570003</v>
      </c>
      <c r="K133" s="252" t="s">
        <v>81</v>
      </c>
      <c r="L133" s="295" t="s">
        <v>42</v>
      </c>
      <c r="M133" s="301" t="s">
        <v>647</v>
      </c>
      <c r="N133" s="253"/>
      <c r="O133" s="311" t="s">
        <v>332</v>
      </c>
      <c r="P133" s="312">
        <v>1801346915</v>
      </c>
    </row>
    <row r="134" spans="1:16" ht="18">
      <c r="A134" s="275">
        <v>129</v>
      </c>
      <c r="B134" s="290">
        <v>45398</v>
      </c>
      <c r="C134" s="291" t="s">
        <v>323</v>
      </c>
      <c r="D134" s="291" t="s">
        <v>309</v>
      </c>
      <c r="E134" s="292">
        <v>984553666</v>
      </c>
      <c r="F134" s="292" t="s">
        <v>321</v>
      </c>
      <c r="G134" s="287" t="s">
        <v>651</v>
      </c>
      <c r="H134" s="292" t="s">
        <v>319</v>
      </c>
      <c r="I134" s="293">
        <v>45254</v>
      </c>
      <c r="J134" s="294">
        <v>41560041</v>
      </c>
      <c r="K134" s="252" t="s">
        <v>81</v>
      </c>
      <c r="L134" s="295" t="s">
        <v>42</v>
      </c>
      <c r="M134" s="292" t="s">
        <v>322</v>
      </c>
      <c r="N134" s="253"/>
      <c r="O134" s="296" t="s">
        <v>324</v>
      </c>
      <c r="P134" s="282">
        <v>195130523</v>
      </c>
    </row>
    <row r="135" spans="1:16" ht="18">
      <c r="A135" s="275">
        <v>130</v>
      </c>
      <c r="B135" s="290">
        <v>45398</v>
      </c>
      <c r="C135" s="291" t="s">
        <v>323</v>
      </c>
      <c r="D135" s="291" t="s">
        <v>309</v>
      </c>
      <c r="E135" s="292">
        <v>984553666</v>
      </c>
      <c r="F135" s="292" t="s">
        <v>326</v>
      </c>
      <c r="G135" s="287" t="s">
        <v>651</v>
      </c>
      <c r="H135" s="292" t="s">
        <v>325</v>
      </c>
      <c r="I135" s="293">
        <v>45093</v>
      </c>
      <c r="J135" s="294">
        <v>40483101</v>
      </c>
      <c r="K135" s="252" t="s">
        <v>81</v>
      </c>
      <c r="L135" s="295" t="s">
        <v>42</v>
      </c>
      <c r="M135" s="292" t="s">
        <v>327</v>
      </c>
      <c r="N135" s="253"/>
      <c r="O135" s="296" t="s">
        <v>324</v>
      </c>
      <c r="P135" s="282">
        <v>195130523</v>
      </c>
    </row>
    <row r="136" spans="1:16" ht="18">
      <c r="A136" s="275">
        <v>131</v>
      </c>
      <c r="B136" s="290">
        <v>45398</v>
      </c>
      <c r="C136" s="291" t="s">
        <v>323</v>
      </c>
      <c r="D136" s="291" t="s">
        <v>309</v>
      </c>
      <c r="E136" s="292">
        <v>984553666</v>
      </c>
      <c r="F136" s="292" t="s">
        <v>125</v>
      </c>
      <c r="G136" s="287" t="s">
        <v>651</v>
      </c>
      <c r="H136" s="292"/>
      <c r="I136" s="293"/>
      <c r="J136" s="294">
        <v>112580027</v>
      </c>
      <c r="K136" s="252" t="s">
        <v>81</v>
      </c>
      <c r="L136" s="295" t="s">
        <v>42</v>
      </c>
      <c r="M136" s="292" t="s">
        <v>328</v>
      </c>
      <c r="N136" s="253"/>
      <c r="O136" s="296" t="s">
        <v>324</v>
      </c>
      <c r="P136" s="282">
        <v>195130523</v>
      </c>
    </row>
    <row r="137" spans="1:16" ht="18">
      <c r="A137" s="275">
        <v>132</v>
      </c>
      <c r="B137" s="290">
        <v>45398</v>
      </c>
      <c r="C137" s="291" t="s">
        <v>323</v>
      </c>
      <c r="D137" s="291" t="s">
        <v>309</v>
      </c>
      <c r="E137" s="292">
        <v>984553666</v>
      </c>
      <c r="F137" s="292" t="s">
        <v>219</v>
      </c>
      <c r="G137" s="287" t="s">
        <v>651</v>
      </c>
      <c r="H137" s="292" t="s">
        <v>424</v>
      </c>
      <c r="I137" s="293">
        <v>45386</v>
      </c>
      <c r="J137" s="294">
        <v>40584012</v>
      </c>
      <c r="K137" s="252" t="s">
        <v>81</v>
      </c>
      <c r="L137" s="295" t="s">
        <v>42</v>
      </c>
      <c r="M137" s="292" t="s">
        <v>329</v>
      </c>
      <c r="N137" s="253"/>
      <c r="O137" s="296" t="s">
        <v>324</v>
      </c>
      <c r="P137" s="282">
        <v>195130523</v>
      </c>
    </row>
    <row r="138" spans="1:16" ht="18">
      <c r="A138" s="275">
        <v>133</v>
      </c>
      <c r="B138" s="290">
        <v>45398</v>
      </c>
      <c r="C138" s="291" t="s">
        <v>335</v>
      </c>
      <c r="D138" s="291" t="s">
        <v>336</v>
      </c>
      <c r="E138" s="292">
        <v>999765092</v>
      </c>
      <c r="F138" s="292" t="s">
        <v>172</v>
      </c>
      <c r="G138" s="287" t="s">
        <v>651</v>
      </c>
      <c r="H138" s="292" t="s">
        <v>91</v>
      </c>
      <c r="I138" s="293">
        <v>45367</v>
      </c>
      <c r="J138" s="294">
        <v>112640068</v>
      </c>
      <c r="K138" s="252" t="s">
        <v>81</v>
      </c>
      <c r="L138" s="295" t="s">
        <v>42</v>
      </c>
      <c r="M138" s="292" t="s">
        <v>334</v>
      </c>
      <c r="N138" s="253"/>
      <c r="O138" s="296"/>
      <c r="P138" s="282">
        <v>100697994</v>
      </c>
    </row>
    <row r="139" spans="1:16" ht="18">
      <c r="A139" s="275">
        <v>134</v>
      </c>
      <c r="B139" s="290">
        <v>45398</v>
      </c>
      <c r="C139" s="291" t="s">
        <v>335</v>
      </c>
      <c r="D139" s="291" t="s">
        <v>336</v>
      </c>
      <c r="E139" s="292">
        <v>999765092</v>
      </c>
      <c r="F139" s="292" t="s">
        <v>338</v>
      </c>
      <c r="G139" s="287" t="s">
        <v>651</v>
      </c>
      <c r="H139" s="292" t="s">
        <v>91</v>
      </c>
      <c r="I139" s="293">
        <v>45367</v>
      </c>
      <c r="J139" s="294">
        <v>40467305</v>
      </c>
      <c r="K139" s="252" t="s">
        <v>81</v>
      </c>
      <c r="L139" s="295" t="s">
        <v>42</v>
      </c>
      <c r="M139" s="292" t="s">
        <v>339</v>
      </c>
      <c r="N139" s="253"/>
      <c r="O139" s="296"/>
      <c r="P139" s="282">
        <v>100697994</v>
      </c>
    </row>
    <row r="140" spans="1:16" ht="18">
      <c r="A140" s="275">
        <v>135</v>
      </c>
      <c r="B140" s="290">
        <v>45399</v>
      </c>
      <c r="C140" s="291" t="s">
        <v>429</v>
      </c>
      <c r="D140" s="291" t="s">
        <v>430</v>
      </c>
      <c r="E140" s="292">
        <v>984505545</v>
      </c>
      <c r="F140" s="292" t="s">
        <v>88</v>
      </c>
      <c r="G140" s="287" t="s">
        <v>651</v>
      </c>
      <c r="H140" s="292" t="s">
        <v>426</v>
      </c>
      <c r="I140" s="293">
        <v>45378</v>
      </c>
      <c r="J140" s="294">
        <v>4046677</v>
      </c>
      <c r="K140" s="252" t="s">
        <v>81</v>
      </c>
      <c r="L140" s="295" t="s">
        <v>42</v>
      </c>
      <c r="M140" s="292" t="s">
        <v>428</v>
      </c>
      <c r="N140" s="253"/>
      <c r="O140" s="296" t="s">
        <v>431</v>
      </c>
      <c r="P140" s="282">
        <v>102961778</v>
      </c>
    </row>
    <row r="141" spans="1:16" ht="18">
      <c r="A141" s="275">
        <v>136</v>
      </c>
      <c r="B141" s="290">
        <v>45399</v>
      </c>
      <c r="C141" s="291" t="s">
        <v>429</v>
      </c>
      <c r="D141" s="291" t="s">
        <v>430</v>
      </c>
      <c r="E141" s="292">
        <v>984505545</v>
      </c>
      <c r="F141" s="292" t="s">
        <v>95</v>
      </c>
      <c r="G141" s="287" t="s">
        <v>651</v>
      </c>
      <c r="H141" s="292" t="s">
        <v>426</v>
      </c>
      <c r="I141" s="293">
        <v>45378</v>
      </c>
      <c r="J141" s="294">
        <v>112580058</v>
      </c>
      <c r="K141" s="252" t="s">
        <v>81</v>
      </c>
      <c r="L141" s="295" t="s">
        <v>42</v>
      </c>
      <c r="M141" s="292" t="s">
        <v>432</v>
      </c>
      <c r="N141" s="253"/>
      <c r="O141" s="296" t="s">
        <v>431</v>
      </c>
      <c r="P141" s="282">
        <v>102961778</v>
      </c>
    </row>
    <row r="142" spans="1:16" ht="18">
      <c r="A142" s="275">
        <v>137</v>
      </c>
      <c r="B142" s="290">
        <v>45400</v>
      </c>
      <c r="C142" s="291" t="s">
        <v>618</v>
      </c>
      <c r="D142" s="291" t="s">
        <v>309</v>
      </c>
      <c r="E142" s="292">
        <v>996787371</v>
      </c>
      <c r="F142" s="292" t="s">
        <v>616</v>
      </c>
      <c r="G142" s="287" t="s">
        <v>651</v>
      </c>
      <c r="H142" s="292" t="s">
        <v>415</v>
      </c>
      <c r="I142" s="293">
        <v>45188</v>
      </c>
      <c r="J142" s="294">
        <v>112580027</v>
      </c>
      <c r="K142" s="252" t="s">
        <v>81</v>
      </c>
      <c r="L142" s="295" t="s">
        <v>42</v>
      </c>
      <c r="M142" s="292" t="s">
        <v>617</v>
      </c>
      <c r="N142" s="253"/>
      <c r="O142" s="296" t="s">
        <v>619</v>
      </c>
      <c r="P142" s="282">
        <v>105608988</v>
      </c>
    </row>
    <row r="143" spans="1:16" ht="18">
      <c r="A143" s="275">
        <v>138</v>
      </c>
      <c r="B143" s="290">
        <v>45400</v>
      </c>
      <c r="C143" s="291" t="s">
        <v>618</v>
      </c>
      <c r="D143" s="291" t="s">
        <v>309</v>
      </c>
      <c r="E143" s="292">
        <v>996787371</v>
      </c>
      <c r="F143" s="292" t="s">
        <v>94</v>
      </c>
      <c r="G143" s="287" t="s">
        <v>651</v>
      </c>
      <c r="H143" s="292" t="s">
        <v>415</v>
      </c>
      <c r="I143" s="293">
        <v>45188</v>
      </c>
      <c r="J143" s="294">
        <v>40466241</v>
      </c>
      <c r="K143" s="252" t="s">
        <v>81</v>
      </c>
      <c r="L143" s="295" t="s">
        <v>42</v>
      </c>
      <c r="M143" s="292" t="s">
        <v>620</v>
      </c>
      <c r="N143" s="253"/>
      <c r="O143" s="296" t="s">
        <v>619</v>
      </c>
      <c r="P143" s="282">
        <v>105608988</v>
      </c>
    </row>
    <row r="144" spans="1:16" ht="18">
      <c r="A144" s="275">
        <v>139</v>
      </c>
      <c r="B144" s="290">
        <v>45400</v>
      </c>
      <c r="C144" s="291" t="s">
        <v>628</v>
      </c>
      <c r="D144" s="291" t="s">
        <v>629</v>
      </c>
      <c r="E144" s="292">
        <v>959056621</v>
      </c>
      <c r="F144" s="292" t="s">
        <v>219</v>
      </c>
      <c r="G144" s="287" t="s">
        <v>651</v>
      </c>
      <c r="H144" s="292" t="s">
        <v>90</v>
      </c>
      <c r="I144" s="293" t="s">
        <v>621</v>
      </c>
      <c r="J144" s="294">
        <v>40584012</v>
      </c>
      <c r="K144" s="252" t="s">
        <v>81</v>
      </c>
      <c r="L144" s="295" t="s">
        <v>42</v>
      </c>
      <c r="M144" s="292" t="s">
        <v>625</v>
      </c>
      <c r="N144" s="253"/>
      <c r="O144" s="296" t="s">
        <v>630</v>
      </c>
      <c r="P144" s="282">
        <v>103032975</v>
      </c>
    </row>
    <row r="145" spans="1:16" ht="18">
      <c r="A145" s="275">
        <v>140</v>
      </c>
      <c r="B145" s="290">
        <v>45400</v>
      </c>
      <c r="C145" s="291" t="s">
        <v>628</v>
      </c>
      <c r="D145" s="291" t="s">
        <v>629</v>
      </c>
      <c r="E145" s="292">
        <v>959056621</v>
      </c>
      <c r="F145" s="292" t="s">
        <v>623</v>
      </c>
      <c r="G145" s="287" t="s">
        <v>651</v>
      </c>
      <c r="H145" s="292" t="s">
        <v>90</v>
      </c>
      <c r="I145" s="293" t="s">
        <v>621</v>
      </c>
      <c r="J145" s="292">
        <v>41560041</v>
      </c>
      <c r="K145" s="252" t="s">
        <v>81</v>
      </c>
      <c r="L145" s="295" t="s">
        <v>42</v>
      </c>
      <c r="M145" s="294" t="s">
        <v>626</v>
      </c>
      <c r="N145" s="253"/>
      <c r="O145" s="296" t="s">
        <v>630</v>
      </c>
      <c r="P145" s="282">
        <v>103032975</v>
      </c>
    </row>
    <row r="146" spans="1:16" ht="18">
      <c r="A146" s="275">
        <v>141</v>
      </c>
      <c r="B146" s="290">
        <v>45400</v>
      </c>
      <c r="C146" s="291" t="s">
        <v>628</v>
      </c>
      <c r="D146" s="291" t="s">
        <v>629</v>
      </c>
      <c r="E146" s="292">
        <v>959056621</v>
      </c>
      <c r="F146" s="292" t="s">
        <v>624</v>
      </c>
      <c r="G146" s="287" t="s">
        <v>651</v>
      </c>
      <c r="H146" s="292" t="s">
        <v>90</v>
      </c>
      <c r="I146" s="293" t="s">
        <v>621</v>
      </c>
      <c r="J146" s="292">
        <v>112950019</v>
      </c>
      <c r="K146" s="252" t="s">
        <v>81</v>
      </c>
      <c r="L146" s="295" t="s">
        <v>42</v>
      </c>
      <c r="M146" s="294" t="s">
        <v>627</v>
      </c>
      <c r="N146" s="253"/>
      <c r="O146" s="296" t="s">
        <v>630</v>
      </c>
      <c r="P146" s="282">
        <v>103032975</v>
      </c>
    </row>
    <row r="147" spans="1:16" ht="18">
      <c r="A147" s="275">
        <v>142</v>
      </c>
      <c r="B147" s="297">
        <v>45400</v>
      </c>
      <c r="C147" s="298" t="s">
        <v>420</v>
      </c>
      <c r="D147" s="291" t="s">
        <v>675</v>
      </c>
      <c r="E147" s="292">
        <v>2880278</v>
      </c>
      <c r="F147" s="292" t="s">
        <v>676</v>
      </c>
      <c r="G147" s="287" t="s">
        <v>654</v>
      </c>
      <c r="H147" s="292" t="s">
        <v>90</v>
      </c>
      <c r="I147" s="293">
        <v>44649</v>
      </c>
      <c r="J147" s="292">
        <v>40782128</v>
      </c>
      <c r="K147" s="252" t="s">
        <v>81</v>
      </c>
      <c r="L147" s="295" t="s">
        <v>42</v>
      </c>
      <c r="M147" s="294" t="s">
        <v>419</v>
      </c>
      <c r="N147" s="253"/>
      <c r="O147" s="296"/>
      <c r="P147" s="282"/>
    </row>
    <row r="148" spans="1:16" ht="18">
      <c r="A148" s="275">
        <v>143</v>
      </c>
      <c r="B148" s="310">
        <v>45400</v>
      </c>
      <c r="C148" s="300" t="s">
        <v>434</v>
      </c>
      <c r="D148" s="300" t="s">
        <v>435</v>
      </c>
      <c r="E148" s="300">
        <v>981047733</v>
      </c>
      <c r="F148" s="301" t="s">
        <v>433</v>
      </c>
      <c r="G148" s="287" t="s">
        <v>679</v>
      </c>
      <c r="H148" s="300" t="s">
        <v>52</v>
      </c>
      <c r="I148" s="299">
        <v>45326</v>
      </c>
      <c r="J148" s="301">
        <v>111570002</v>
      </c>
      <c r="K148" s="252" t="s">
        <v>81</v>
      </c>
      <c r="L148" s="295" t="s">
        <v>42</v>
      </c>
      <c r="M148" s="301" t="s">
        <v>648</v>
      </c>
      <c r="N148" s="253"/>
      <c r="O148" s="311" t="s">
        <v>436</v>
      </c>
      <c r="P148" s="312">
        <v>103281093</v>
      </c>
    </row>
    <row r="149" spans="1:16" ht="18">
      <c r="A149" s="275">
        <v>144</v>
      </c>
      <c r="B149" s="277">
        <v>45400</v>
      </c>
      <c r="C149" s="277" t="s">
        <v>614</v>
      </c>
      <c r="D149" s="277" t="s">
        <v>615</v>
      </c>
      <c r="E149" s="278">
        <v>3443931</v>
      </c>
      <c r="F149" s="277" t="s">
        <v>94</v>
      </c>
      <c r="G149" s="287" t="s">
        <v>684</v>
      </c>
      <c r="H149" s="277" t="s">
        <v>438</v>
      </c>
      <c r="I149" s="277">
        <v>45393</v>
      </c>
      <c r="J149" s="279" t="s">
        <v>459</v>
      </c>
      <c r="K149" s="252" t="s">
        <v>81</v>
      </c>
      <c r="L149" s="295" t="s">
        <v>42</v>
      </c>
      <c r="M149" s="277" t="s">
        <v>613</v>
      </c>
      <c r="N149" s="253"/>
      <c r="O149" s="311"/>
      <c r="P149" s="283">
        <v>103852794</v>
      </c>
    </row>
    <row r="150" spans="1:16" ht="18">
      <c r="A150" s="275">
        <v>145</v>
      </c>
      <c r="B150" s="277">
        <v>45400</v>
      </c>
      <c r="C150" s="277" t="s">
        <v>635</v>
      </c>
      <c r="D150" s="277" t="s">
        <v>636</v>
      </c>
      <c r="E150" s="278">
        <v>939892602</v>
      </c>
      <c r="F150" s="277" t="s">
        <v>633</v>
      </c>
      <c r="G150" s="287" t="s">
        <v>684</v>
      </c>
      <c r="H150" s="277" t="s">
        <v>438</v>
      </c>
      <c r="I150" s="277">
        <v>45393</v>
      </c>
      <c r="J150" s="279" t="s">
        <v>632</v>
      </c>
      <c r="K150" s="252" t="s">
        <v>81</v>
      </c>
      <c r="L150" s="295" t="s">
        <v>42</v>
      </c>
      <c r="M150" s="277" t="s">
        <v>634</v>
      </c>
      <c r="N150" s="253"/>
      <c r="O150" s="311"/>
      <c r="P150" s="283">
        <v>300065620</v>
      </c>
    </row>
    <row r="151" spans="1:16" ht="18">
      <c r="A151" s="275">
        <v>146</v>
      </c>
      <c r="B151" s="277">
        <v>45400</v>
      </c>
      <c r="C151" s="277" t="s">
        <v>230</v>
      </c>
      <c r="D151" s="277" t="s">
        <v>231</v>
      </c>
      <c r="E151" s="278">
        <v>999490199</v>
      </c>
      <c r="F151" s="277" t="s">
        <v>692</v>
      </c>
      <c r="G151" s="287" t="s">
        <v>654</v>
      </c>
      <c r="H151" s="277" t="s">
        <v>85</v>
      </c>
      <c r="I151" s="277">
        <v>45383</v>
      </c>
      <c r="J151" s="279" t="s">
        <v>693</v>
      </c>
      <c r="K151" s="252" t="s">
        <v>81</v>
      </c>
      <c r="L151" s="295" t="s">
        <v>42</v>
      </c>
      <c r="M151" s="277" t="s">
        <v>229</v>
      </c>
      <c r="N151" s="253"/>
      <c r="O151" s="311" t="s">
        <v>232</v>
      </c>
      <c r="P151" s="283">
        <v>106043268</v>
      </c>
    </row>
    <row r="152" spans="1:16" ht="18">
      <c r="A152" s="275">
        <v>147</v>
      </c>
      <c r="B152" s="297">
        <v>45401</v>
      </c>
      <c r="C152" s="298" t="s">
        <v>502</v>
      </c>
      <c r="D152" s="291" t="s">
        <v>677</v>
      </c>
      <c r="E152" s="292">
        <v>984012281</v>
      </c>
      <c r="F152" s="292" t="s">
        <v>95</v>
      </c>
      <c r="G152" s="287" t="s">
        <v>654</v>
      </c>
      <c r="H152" s="292" t="s">
        <v>90</v>
      </c>
      <c r="I152" s="293">
        <v>45290</v>
      </c>
      <c r="J152" s="292">
        <v>112580058</v>
      </c>
      <c r="K152" s="252" t="s">
        <v>81</v>
      </c>
      <c r="L152" s="295" t="s">
        <v>42</v>
      </c>
      <c r="M152" s="294" t="s">
        <v>501</v>
      </c>
      <c r="N152" s="253"/>
      <c r="O152" s="296" t="s">
        <v>504</v>
      </c>
      <c r="P152" s="282"/>
    </row>
    <row r="153" spans="1:16" ht="18">
      <c r="A153" s="275">
        <v>148</v>
      </c>
      <c r="B153" s="297">
        <v>45401</v>
      </c>
      <c r="C153" s="298" t="s">
        <v>637</v>
      </c>
      <c r="D153" s="291" t="s">
        <v>678</v>
      </c>
      <c r="E153" s="292">
        <v>995350350</v>
      </c>
      <c r="F153" s="292" t="s">
        <v>473</v>
      </c>
      <c r="G153" s="287" t="s">
        <v>654</v>
      </c>
      <c r="H153" s="292" t="s">
        <v>91</v>
      </c>
      <c r="I153" s="293">
        <v>45277</v>
      </c>
      <c r="J153" s="292">
        <v>11257124</v>
      </c>
      <c r="K153" s="252" t="s">
        <v>81</v>
      </c>
      <c r="L153" s="295" t="s">
        <v>42</v>
      </c>
      <c r="M153" s="294" t="s">
        <v>474</v>
      </c>
      <c r="N153" s="253"/>
      <c r="O153" s="296" t="s">
        <v>478</v>
      </c>
      <c r="P153" s="282"/>
    </row>
    <row r="154" spans="1:16" ht="18">
      <c r="A154" s="275">
        <v>149</v>
      </c>
      <c r="B154" s="290">
        <v>45402</v>
      </c>
      <c r="C154" s="291" t="s">
        <v>642</v>
      </c>
      <c r="D154" s="291" t="s">
        <v>643</v>
      </c>
      <c r="E154" s="292">
        <v>992951138</v>
      </c>
      <c r="F154" s="292" t="s">
        <v>640</v>
      </c>
      <c r="G154" s="287" t="s">
        <v>651</v>
      </c>
      <c r="H154" s="292" t="s">
        <v>91</v>
      </c>
      <c r="I154" s="293">
        <v>45000</v>
      </c>
      <c r="J154" s="292">
        <v>112610069</v>
      </c>
      <c r="K154" s="252" t="s">
        <v>81</v>
      </c>
      <c r="L154" s="295" t="s">
        <v>42</v>
      </c>
      <c r="M154" s="294" t="s">
        <v>641</v>
      </c>
      <c r="N154" s="253"/>
      <c r="O154" s="296" t="s">
        <v>644</v>
      </c>
      <c r="P154" s="282">
        <v>101393049</v>
      </c>
    </row>
    <row r="155" spans="1:16" ht="18">
      <c r="A155" s="275">
        <v>150</v>
      </c>
      <c r="B155" s="310">
        <v>45402</v>
      </c>
      <c r="C155" s="300" t="s">
        <v>642</v>
      </c>
      <c r="D155" s="300" t="s">
        <v>643</v>
      </c>
      <c r="E155" s="300">
        <v>992951138</v>
      </c>
      <c r="F155" s="301" t="s">
        <v>106</v>
      </c>
      <c r="G155" s="287" t="s">
        <v>679</v>
      </c>
      <c r="H155" s="313" t="s">
        <v>91</v>
      </c>
      <c r="I155" s="299">
        <v>45326</v>
      </c>
      <c r="J155" s="301">
        <v>111570003</v>
      </c>
      <c r="K155" s="252" t="s">
        <v>81</v>
      </c>
      <c r="L155" s="295" t="s">
        <v>42</v>
      </c>
      <c r="M155" s="301" t="s">
        <v>645</v>
      </c>
      <c r="N155" s="253"/>
      <c r="O155" s="311" t="s">
        <v>644</v>
      </c>
      <c r="P155" s="312">
        <v>101393049</v>
      </c>
    </row>
    <row r="156" spans="1:16" ht="18">
      <c r="A156" s="275">
        <v>151</v>
      </c>
      <c r="B156" s="310">
        <v>45402</v>
      </c>
      <c r="C156" s="300" t="s">
        <v>691</v>
      </c>
      <c r="D156" s="300" t="s">
        <v>536</v>
      </c>
      <c r="E156" s="300">
        <v>995102169</v>
      </c>
      <c r="F156" s="301" t="s">
        <v>689</v>
      </c>
      <c r="G156" s="287" t="s">
        <v>679</v>
      </c>
      <c r="H156" s="313" t="s">
        <v>91</v>
      </c>
      <c r="I156" s="299">
        <v>45284</v>
      </c>
      <c r="J156" s="301">
        <v>111570002</v>
      </c>
      <c r="K156" s="252" t="s">
        <v>81</v>
      </c>
      <c r="L156" s="295" t="s">
        <v>42</v>
      </c>
      <c r="M156" s="316" t="s">
        <v>690</v>
      </c>
      <c r="N156" s="253"/>
      <c r="O156" s="311"/>
      <c r="P156" s="317">
        <v>190115798</v>
      </c>
    </row>
    <row r="157" spans="1:16">
      <c r="G157" s="315"/>
    </row>
    <row r="158" spans="1:16">
      <c r="G158" s="315"/>
    </row>
    <row r="159" spans="1:16">
      <c r="G159" s="315"/>
    </row>
    <row r="160" spans="1:16">
      <c r="G160" s="315"/>
    </row>
    <row r="161" spans="7:7">
      <c r="G161" s="315"/>
    </row>
    <row r="162" spans="7:7">
      <c r="G162" s="315"/>
    </row>
    <row r="163" spans="7:7">
      <c r="G163" s="315"/>
    </row>
    <row r="164" spans="7:7">
      <c r="G164" s="315"/>
    </row>
  </sheetData>
  <hyperlinks>
    <hyperlink ref="O6" r:id="rId1" xr:uid="{00000000-0004-0000-0600-000000000000}"/>
    <hyperlink ref="O7" r:id="rId2" xr:uid="{00000000-0004-0000-0600-000001000000}"/>
    <hyperlink ref="O8" r:id="rId3" xr:uid="{00000000-0004-0000-0600-000002000000}"/>
    <hyperlink ref="O20" r:id="rId4" xr:uid="{00000000-0004-0000-0600-000003000000}"/>
    <hyperlink ref="O21" r:id="rId5" xr:uid="{00000000-0004-0000-0600-000004000000}"/>
    <hyperlink ref="O27" r:id="rId6" xr:uid="{00000000-0004-0000-0600-000005000000}"/>
    <hyperlink ref="O28" r:id="rId7" xr:uid="{00000000-0004-0000-0600-000006000000}"/>
    <hyperlink ref="O29" r:id="rId8" xr:uid="{00000000-0004-0000-0600-000007000000}"/>
    <hyperlink ref="O30" r:id="rId9" xr:uid="{00000000-0004-0000-0600-000008000000}"/>
    <hyperlink ref="O31" r:id="rId10" xr:uid="{00000000-0004-0000-0600-000009000000}"/>
    <hyperlink ref="O44" r:id="rId11" xr:uid="{00000000-0004-0000-0600-00000A000000}"/>
    <hyperlink ref="O45" r:id="rId12" xr:uid="{00000000-0004-0000-0600-00000B000000}"/>
    <hyperlink ref="O46" r:id="rId13" xr:uid="{00000000-0004-0000-0600-00000C000000}"/>
    <hyperlink ref="O47" r:id="rId14" xr:uid="{00000000-0004-0000-0600-00000D000000}"/>
    <hyperlink ref="O61" r:id="rId15" xr:uid="{00000000-0004-0000-0600-00000E000000}"/>
    <hyperlink ref="O62" r:id="rId16" xr:uid="{00000000-0004-0000-0600-00000F000000}"/>
    <hyperlink ref="O63" r:id="rId17" xr:uid="{00000000-0004-0000-0600-000010000000}"/>
    <hyperlink ref="O64" r:id="rId18" xr:uid="{00000000-0004-0000-0600-000011000000}"/>
    <hyperlink ref="O65" r:id="rId19" xr:uid="{00000000-0004-0000-0600-000012000000}"/>
    <hyperlink ref="O66" r:id="rId20" xr:uid="{00000000-0004-0000-0600-000013000000}"/>
    <hyperlink ref="O67" r:id="rId21" xr:uid="{00000000-0004-0000-0600-000014000000}"/>
    <hyperlink ref="O68" r:id="rId22" xr:uid="{00000000-0004-0000-0600-000015000000}"/>
    <hyperlink ref="O69" r:id="rId23" xr:uid="{00000000-0004-0000-0600-000016000000}"/>
    <hyperlink ref="O70" r:id="rId24" xr:uid="{00000000-0004-0000-0600-000017000000}"/>
    <hyperlink ref="O71" r:id="rId25" xr:uid="{00000000-0004-0000-0600-000018000000}"/>
    <hyperlink ref="O72" r:id="rId26" xr:uid="{00000000-0004-0000-0600-000019000000}"/>
    <hyperlink ref="O73" r:id="rId27" xr:uid="{00000000-0004-0000-0600-00001A000000}"/>
    <hyperlink ref="O74" r:id="rId28" xr:uid="{00000000-0004-0000-0600-00001B000000}"/>
    <hyperlink ref="O75" r:id="rId29" xr:uid="{00000000-0004-0000-0600-00001C000000}"/>
    <hyperlink ref="O76" r:id="rId30" xr:uid="{00000000-0004-0000-0600-00001D000000}"/>
    <hyperlink ref="O88" r:id="rId31" xr:uid="{00000000-0004-0000-0600-00001E000000}"/>
    <hyperlink ref="O89" r:id="rId32" xr:uid="{00000000-0004-0000-0600-00001F000000}"/>
    <hyperlink ref="O116" r:id="rId33" xr:uid="{00000000-0004-0000-0600-000020000000}"/>
    <hyperlink ref="O117" r:id="rId34" xr:uid="{00000000-0004-0000-0600-000021000000}"/>
    <hyperlink ref="O134" r:id="rId35" xr:uid="{00000000-0004-0000-0600-000022000000}"/>
    <hyperlink ref="O135" r:id="rId36" xr:uid="{00000000-0004-0000-0600-000023000000}"/>
    <hyperlink ref="O136" r:id="rId37" xr:uid="{00000000-0004-0000-0600-000024000000}"/>
    <hyperlink ref="O137" r:id="rId38" xr:uid="{00000000-0004-0000-0600-000025000000}"/>
    <hyperlink ref="O140" r:id="rId39" xr:uid="{00000000-0004-0000-0600-000026000000}"/>
    <hyperlink ref="O141" r:id="rId40" xr:uid="{00000000-0004-0000-0600-000027000000}"/>
    <hyperlink ref="O142" r:id="rId41" xr:uid="{00000000-0004-0000-0600-000028000000}"/>
    <hyperlink ref="O143" r:id="rId42" xr:uid="{00000000-0004-0000-0600-000029000000}"/>
    <hyperlink ref="O144" r:id="rId43" xr:uid="{00000000-0004-0000-0600-00002A000000}"/>
    <hyperlink ref="O145" r:id="rId44" xr:uid="{00000000-0004-0000-0600-00002B000000}"/>
    <hyperlink ref="O146" r:id="rId45" xr:uid="{00000000-0004-0000-0600-00002C000000}"/>
    <hyperlink ref="O154" r:id="rId46" xr:uid="{00000000-0004-0000-0600-00002D000000}"/>
    <hyperlink ref="O13" r:id="rId47" xr:uid="{00000000-0004-0000-0600-00002E000000}"/>
    <hyperlink ref="O14" r:id="rId48" xr:uid="{00000000-0004-0000-0600-00002F000000}"/>
    <hyperlink ref="O22" r:id="rId49" xr:uid="{00000000-0004-0000-0600-000030000000}"/>
    <hyperlink ref="O37" r:id="rId50" xr:uid="{00000000-0004-0000-0600-000031000000}"/>
    <hyperlink ref="O42" r:id="rId51" xr:uid="{00000000-0004-0000-0600-000032000000}"/>
    <hyperlink ref="O48" r:id="rId52" xr:uid="{00000000-0004-0000-0600-000033000000}"/>
    <hyperlink ref="O77" r:id="rId53" xr:uid="{00000000-0004-0000-0600-000034000000}"/>
    <hyperlink ref="O85" r:id="rId54" xr:uid="{00000000-0004-0000-0600-000035000000}"/>
    <hyperlink ref="O118" r:id="rId55" xr:uid="{00000000-0004-0000-0600-000036000000}"/>
    <hyperlink ref="O152" r:id="rId56" xr:uid="{00000000-0004-0000-0600-000037000000}"/>
    <hyperlink ref="O153" r:id="rId57" xr:uid="{00000000-0004-0000-0600-000038000000}"/>
    <hyperlink ref="O133" r:id="rId58" xr:uid="{00000000-0004-0000-0600-000039000000}"/>
    <hyperlink ref="O148" r:id="rId59" xr:uid="{00000000-0004-0000-0600-00003A000000}"/>
    <hyperlink ref="O155" r:id="rId60" xr:uid="{00000000-0004-0000-0600-00003B000000}"/>
    <hyperlink ref="O92" r:id="rId61" xr:uid="{00000000-0004-0000-0600-00003C000000}"/>
    <hyperlink ref="O93" r:id="rId62" xr:uid="{00000000-0004-0000-0600-00003D000000}"/>
    <hyperlink ref="O94" r:id="rId63" xr:uid="{00000000-0004-0000-0600-00003E000000}"/>
    <hyperlink ref="O95" r:id="rId64" xr:uid="{00000000-0004-0000-0600-00003F000000}"/>
    <hyperlink ref="O96" r:id="rId65" xr:uid="{00000000-0004-0000-0600-000040000000}"/>
    <hyperlink ref="O97" r:id="rId66" xr:uid="{00000000-0004-0000-0600-000041000000}"/>
    <hyperlink ref="O98" r:id="rId67" xr:uid="{00000000-0004-0000-0600-000042000000}"/>
    <hyperlink ref="O99" r:id="rId68" xr:uid="{00000000-0004-0000-0600-000043000000}"/>
    <hyperlink ref="O100" r:id="rId69" xr:uid="{00000000-0004-0000-0600-000044000000}"/>
    <hyperlink ref="O101" r:id="rId70" xr:uid="{00000000-0004-0000-0600-000045000000}"/>
    <hyperlink ref="O102" r:id="rId71" xr:uid="{00000000-0004-0000-0600-000046000000}"/>
    <hyperlink ref="O103" r:id="rId72" xr:uid="{00000000-0004-0000-0600-000047000000}"/>
    <hyperlink ref="O104" r:id="rId73" xr:uid="{00000000-0004-0000-0600-000048000000}"/>
    <hyperlink ref="O105" r:id="rId74" xr:uid="{00000000-0004-0000-0600-000049000000}"/>
    <hyperlink ref="O106" r:id="rId75" xr:uid="{00000000-0004-0000-0600-00004A000000}"/>
    <hyperlink ref="O107" r:id="rId76" xr:uid="{00000000-0004-0000-0600-00004B000000}"/>
    <hyperlink ref="O108" r:id="rId77" xr:uid="{00000000-0004-0000-0600-00004C000000}"/>
    <hyperlink ref="O109" r:id="rId78" xr:uid="{00000000-0004-0000-0600-00004D000000}"/>
    <hyperlink ref="O110" r:id="rId79" xr:uid="{00000000-0004-0000-0600-00004E000000}"/>
    <hyperlink ref="O111" r:id="rId80" xr:uid="{00000000-0004-0000-0600-00004F000000}"/>
    <hyperlink ref="O112" r:id="rId81" xr:uid="{00000000-0004-0000-0600-000050000000}"/>
    <hyperlink ref="O113" r:id="rId82" xr:uid="{00000000-0004-0000-0600-000051000000}"/>
    <hyperlink ref="O114" r:id="rId83" xr:uid="{00000000-0004-0000-0600-000052000000}"/>
    <hyperlink ref="O115" r:id="rId84" xr:uid="{00000000-0004-0000-0600-000053000000}"/>
    <hyperlink ref="O15" r:id="rId85" xr:uid="{00000000-0004-0000-0600-000054000000}"/>
    <hyperlink ref="O16" r:id="rId86" xr:uid="{00000000-0004-0000-0600-000055000000}"/>
    <hyperlink ref="O17" r:id="rId87" xr:uid="{00000000-0004-0000-0600-000056000000}"/>
    <hyperlink ref="O18" r:id="rId88" xr:uid="{00000000-0004-0000-0600-000057000000}"/>
    <hyperlink ref="O19" r:id="rId89" xr:uid="{00000000-0004-0000-0600-000058000000}"/>
    <hyperlink ref="O23" r:id="rId90" xr:uid="{00000000-0004-0000-0600-000059000000}"/>
    <hyperlink ref="O24" r:id="rId91" xr:uid="{00000000-0004-0000-0600-00005A000000}"/>
    <hyperlink ref="O26" r:id="rId92" xr:uid="{00000000-0004-0000-0600-00005B000000}"/>
    <hyperlink ref="O39" r:id="rId93" xr:uid="{00000000-0004-0000-0600-00005C000000}"/>
    <hyperlink ref="O40" r:id="rId94" xr:uid="{00000000-0004-0000-0600-00005D000000}"/>
    <hyperlink ref="O78" r:id="rId95" xr:uid="{00000000-0004-0000-0600-00005E000000}"/>
    <hyperlink ref="O79" r:id="rId96" xr:uid="{00000000-0004-0000-0600-00005F000000}"/>
    <hyperlink ref="O80" r:id="rId97" xr:uid="{00000000-0004-0000-0600-000060000000}"/>
    <hyperlink ref="O81" r:id="rId98" xr:uid="{00000000-0004-0000-0600-000061000000}"/>
    <hyperlink ref="O82" r:id="rId99" xr:uid="{00000000-0004-0000-0600-000062000000}"/>
    <hyperlink ref="O83" r:id="rId100" xr:uid="{00000000-0004-0000-0600-000063000000}"/>
    <hyperlink ref="O121" r:id="rId101" xr:uid="{00000000-0004-0000-0600-000064000000}"/>
    <hyperlink ref="O122" r:id="rId102" xr:uid="{00000000-0004-0000-0600-000065000000}"/>
    <hyperlink ref="O124" r:id="rId103" xr:uid="{00000000-0004-0000-0600-000066000000}"/>
    <hyperlink ref="O129" r:id="rId104" xr:uid="{00000000-0004-0000-0600-000067000000}"/>
    <hyperlink ref="O130" r:id="rId105" xr:uid="{00000000-0004-0000-0600-000068000000}"/>
    <hyperlink ref="O132" r:id="rId106" xr:uid="{00000000-0004-0000-0600-000069000000}"/>
    <hyperlink ref="O151" r:id="rId107" xr:uid="{00000000-0004-0000-0600-00006A000000}"/>
    <hyperlink ref="O25" r:id="rId108" xr:uid="{00000000-0004-0000-0600-00006B000000}"/>
    <hyperlink ref="O35" r:id="rId109" xr:uid="{00000000-0004-0000-0600-00006C000000}"/>
    <hyperlink ref="O36" r:id="rId110" xr:uid="{00000000-0004-0000-0600-00006D000000}"/>
  </hyperlinks>
  <pageMargins left="0.7" right="0.7" top="0.75" bottom="0.75" header="0.3" footer="0.3"/>
  <pageSetup paperSize="9" orientation="portrait" horizontalDpi="0" verticalDpi="0" r:id="rId1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PROMOCION</vt:lpstr>
      <vt:lpstr>GARANTIA</vt:lpstr>
      <vt:lpstr>BBQ</vt:lpstr>
      <vt:lpstr>ALMACENES </vt:lpstr>
      <vt:lpstr>PROYECTO </vt:lpstr>
      <vt:lpstr>1 PRODUCTO</vt:lpstr>
      <vt:lpstr>CONSOLIDADO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Marcia Navarrete</dc:creator>
  <cp:lastModifiedBy>Andres Cardenas</cp:lastModifiedBy>
  <dcterms:created xsi:type="dcterms:W3CDTF">2024-01-22T20:29:31Z</dcterms:created>
  <dcterms:modified xsi:type="dcterms:W3CDTF">2024-12-23T21:05:09Z</dcterms:modified>
</cp:coreProperties>
</file>