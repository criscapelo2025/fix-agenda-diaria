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5"/>
  </bookViews>
  <sheets>
    <sheet name="ALMACEN" sheetId="1" r:id="rId1"/>
    <sheet name="BBQ" sheetId="2" r:id="rId2"/>
    <sheet name="1 PRODUCTO" sheetId="3" r:id="rId3"/>
    <sheet name="PROMOCION" sheetId="4" r:id="rId4"/>
    <sheet name="GARANTIAS" sheetId="5" r:id="rId5"/>
    <sheet name="CONSOLIDADO" sheetId="6" r:id="rId6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5" l="1"/>
  <c r="J25" i="5" l="1"/>
  <c r="O45" i="4" l="1"/>
</calcChain>
</file>

<file path=xl/sharedStrings.xml><?xml version="1.0" encoding="utf-8"?>
<sst xmlns="http://schemas.openxmlformats.org/spreadsheetml/2006/main" count="1337" uniqueCount="396">
  <si>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</si>
  <si>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</si>
  <si>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</si>
  <si>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</si>
  <si>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</si>
  <si>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</si>
  <si>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</si>
  <si>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</si>
  <si>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</si>
  <si>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</si>
  <si>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</si>
  <si>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</si>
  <si>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</si>
  <si>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</si>
  <si>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</si>
  <si>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</si>
  <si>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</si>
  <si>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</si>
  <si>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</si>
  <si>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</si>
  <si>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</si>
  <si>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</si>
  <si>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Correo</t>
  </si>
  <si>
    <t>Capelo</t>
  </si>
  <si>
    <t>SAP</t>
  </si>
  <si>
    <t>BBQ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</si>
  <si>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</si>
  <si>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</si>
  <si>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</si>
  <si>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</si>
  <si>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</si>
  <si>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</si>
  <si>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</si>
  <si>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</si>
  <si>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</si>
  <si>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</si>
  <si>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</si>
  <si>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</si>
  <si>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</si>
  <si>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</si>
  <si>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</si>
  <si>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</si>
  <si>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</si>
  <si>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</si>
  <si>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PROMOCION</t>
  </si>
  <si>
    <t>Cliente final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</si>
  <si>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</si>
  <si>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</si>
  <si>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</si>
  <si>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</si>
  <si>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</si>
  <si>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</si>
  <si>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</si>
  <si>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</si>
  <si>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</si>
  <si>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</si>
  <si>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</si>
  <si>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</si>
  <si>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</si>
  <si>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</si>
  <si>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</si>
  <si>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telefono del cliente</t>
  </si>
  <si>
    <t xml:space="preserve">Clientes Visitados </t>
  </si>
  <si>
    <t xml:space="preserve">FECHA </t>
  </si>
  <si>
    <t>LUGAR</t>
  </si>
  <si>
    <t>CÓDIGO</t>
  </si>
  <si>
    <t xml:space="preserve"> NUMERO </t>
  </si>
  <si>
    <t xml:space="preserve">CLIENTE </t>
  </si>
  <si>
    <t>DIRECCIÓN</t>
  </si>
  <si>
    <t>TELÉFONO</t>
  </si>
  <si>
    <t xml:space="preserve">ASUNTO </t>
  </si>
  <si>
    <t>ESTADO</t>
  </si>
  <si>
    <t xml:space="preserve">DE </t>
  </si>
  <si>
    <t>DE</t>
  </si>
  <si>
    <t>GARANTÍA</t>
  </si>
  <si>
    <t>SERIE</t>
  </si>
  <si>
    <t>Vr.</t>
  </si>
  <si>
    <t>CORREO</t>
  </si>
  <si>
    <t>CEDULA</t>
  </si>
  <si>
    <t>OBSERVACIONES</t>
  </si>
  <si>
    <t>COMPRA</t>
  </si>
  <si>
    <t>ADHESIVO</t>
  </si>
  <si>
    <t>LLAMADA</t>
  </si>
  <si>
    <t>CUENCA</t>
  </si>
  <si>
    <t>Cocinas</t>
  </si>
  <si>
    <t>Microondas</t>
  </si>
  <si>
    <t>Técnico:  Cristian Capelo</t>
  </si>
  <si>
    <t>Kywi</t>
  </si>
  <si>
    <t>De Christian Capelo</t>
  </si>
  <si>
    <t>Cedula</t>
  </si>
  <si>
    <t>Cocina GBC 95030 KBB</t>
  </si>
  <si>
    <t>Campana C 710</t>
  </si>
  <si>
    <t>Boyaca</t>
  </si>
  <si>
    <t>Sukasa</t>
  </si>
  <si>
    <t>Alm. España</t>
  </si>
  <si>
    <t>Luna Pazmiño</t>
  </si>
  <si>
    <t>Campana C7310</t>
  </si>
  <si>
    <t>Cocina GBC 75030 KBB</t>
  </si>
  <si>
    <t>Horno HLB 840 SS</t>
  </si>
  <si>
    <t>Lavavajillas LP8 850 M</t>
  </si>
  <si>
    <t>Microondas ML 820 BIS</t>
  </si>
  <si>
    <t>Promocion</t>
  </si>
  <si>
    <t>Garantia</t>
  </si>
  <si>
    <t>Novimbre 2023</t>
  </si>
  <si>
    <t>CAPELO NOVIEMBRE 2023</t>
  </si>
  <si>
    <t>CAPELO - NOVIEMBRE 2023</t>
  </si>
  <si>
    <t>CAPELO Noviembre 2023</t>
  </si>
  <si>
    <t>Noviembre 2023</t>
  </si>
  <si>
    <t>001-500-000054687</t>
  </si>
  <si>
    <t>ZP234301043</t>
  </si>
  <si>
    <t>Isabel Wilches</t>
  </si>
  <si>
    <t>Vista Linda</t>
  </si>
  <si>
    <t>0100068477</t>
  </si>
  <si>
    <t>iswilches@yahoo.com</t>
  </si>
  <si>
    <t>Microondas MS 620 BIS</t>
  </si>
  <si>
    <t>TP232T000602</t>
  </si>
  <si>
    <t>001-500-000055575</t>
  </si>
  <si>
    <t>ZP235800049</t>
  </si>
  <si>
    <t>Esteba Esquivel</t>
  </si>
  <si>
    <t>Azogues- Charasol</t>
  </si>
  <si>
    <t>0302261888</t>
  </si>
  <si>
    <t>junioresquivelio@hotmail.com</t>
  </si>
  <si>
    <t>Campana DVT PRO 98660 TRL BK</t>
  </si>
  <si>
    <t>M20920230037738</t>
  </si>
  <si>
    <t>001-500-000055294</t>
  </si>
  <si>
    <t>Cocina IZC 32310 MSP BK</t>
  </si>
  <si>
    <t>ZP236N00003</t>
  </si>
  <si>
    <t>Patricio Vasconez</t>
  </si>
  <si>
    <t>Honorato Vasquez 1-71</t>
  </si>
  <si>
    <t>0102365111</t>
  </si>
  <si>
    <t>pvasconez7@gmail.com</t>
  </si>
  <si>
    <t>001-500-000054976</t>
  </si>
  <si>
    <t>ZP225C00048</t>
  </si>
  <si>
    <t>001-500-000047319</t>
  </si>
  <si>
    <t>Cocina JZC 63312 ABB</t>
  </si>
  <si>
    <t>ZP212F00016</t>
  </si>
  <si>
    <t>Matilde Moncayo</t>
  </si>
  <si>
    <t>Calicuchima 4-95</t>
  </si>
  <si>
    <t>0101862522</t>
  </si>
  <si>
    <t>KYWI</t>
  </si>
  <si>
    <t>016-905-000184468</t>
  </si>
  <si>
    <t>Campana GFH 73</t>
  </si>
  <si>
    <t>TP21AR00278</t>
  </si>
  <si>
    <t>001-500-000051202</t>
  </si>
  <si>
    <t>ZP22B600146</t>
  </si>
  <si>
    <t>Santiago Matovelle</t>
  </si>
  <si>
    <t>Mayancela</t>
  </si>
  <si>
    <t>0104708383</t>
  </si>
  <si>
    <t>sanmato83@hotmail.com</t>
  </si>
  <si>
    <t>TP22C502976</t>
  </si>
  <si>
    <t>008-501-000007249</t>
  </si>
  <si>
    <t>ZP235800024</t>
  </si>
  <si>
    <t>Jenny Pesantez</t>
  </si>
  <si>
    <t>0301204095</t>
  </si>
  <si>
    <t>priscilaruizalvarado@yahoo.com</t>
  </si>
  <si>
    <t>008-501-000007167</t>
  </si>
  <si>
    <t>Horno HLB 760 G</t>
  </si>
  <si>
    <t>TZ226U30446</t>
  </si>
  <si>
    <t>001-500-000056890</t>
  </si>
  <si>
    <t>Olga Peralta</t>
  </si>
  <si>
    <t>3 Puentes</t>
  </si>
  <si>
    <t>0102550431</t>
  </si>
  <si>
    <t>olgatris28@hotmail.com</t>
  </si>
  <si>
    <t>Cocina EFX 70.1 5GAIALDRCI</t>
  </si>
  <si>
    <t>ZP222R00003</t>
  </si>
  <si>
    <t>001-500-000050677</t>
  </si>
  <si>
    <t>TP22CD04351</t>
  </si>
  <si>
    <t>Cecilia Astudillo</t>
  </si>
  <si>
    <t>Av. Ordoñez Lazo</t>
  </si>
  <si>
    <t>0101304137</t>
  </si>
  <si>
    <t>cec ilita_astudillo@hotmail.com</t>
  </si>
  <si>
    <t>TZ223N26873</t>
  </si>
  <si>
    <t>Cocina GZC 95320 XBB</t>
  </si>
  <si>
    <t>ZP225000038</t>
  </si>
  <si>
    <t>002-103-000007181</t>
  </si>
  <si>
    <t>MD22BL00393</t>
  </si>
  <si>
    <t>Refrigeradora RLF 74920 SS</t>
  </si>
  <si>
    <t>MC226L00043</t>
  </si>
  <si>
    <t>001-500-000055638</t>
  </si>
  <si>
    <t>ZP235800082</t>
  </si>
  <si>
    <t>Gustavo Cordero</t>
  </si>
  <si>
    <t>Condominio San Jose</t>
  </si>
  <si>
    <t>gustavoe.cordero@gmail.com</t>
  </si>
  <si>
    <t>Cocina JZF 6444 MPSBK</t>
  </si>
  <si>
    <t>ZP22BG00042</t>
  </si>
  <si>
    <t>Estefania Aguilar</t>
  </si>
  <si>
    <t>Antonio Neumane</t>
  </si>
  <si>
    <t>estefaniaaguilarsamaniego@gmail.com</t>
  </si>
  <si>
    <t>Triturador TR 510.1</t>
  </si>
  <si>
    <t>230710AF1923</t>
  </si>
  <si>
    <t>001-500-000055201</t>
  </si>
  <si>
    <t>TP231T11216</t>
  </si>
  <si>
    <t>Jorge Rios</t>
  </si>
  <si>
    <t>CDLA. Roberto Crespo</t>
  </si>
  <si>
    <t>0102424181</t>
  </si>
  <si>
    <t>jorgeeduardorios.arq@gmail.com</t>
  </si>
  <si>
    <t>Cocina GBC 75030KBB</t>
  </si>
  <si>
    <t>ZP22BG00137</t>
  </si>
  <si>
    <t>Daniela Malo</t>
  </si>
  <si>
    <t>Chaullabamba</t>
  </si>
  <si>
    <t>dmaloarizaga@hotmail.com</t>
  </si>
  <si>
    <t>016-903-000436945</t>
  </si>
  <si>
    <t>Horno HSB 750G</t>
  </si>
  <si>
    <t>TZ229D13372</t>
  </si>
  <si>
    <t>Catalina Cordero</t>
  </si>
  <si>
    <t>Rio Amarillo</t>
  </si>
  <si>
    <t>mcajas@megahierro.com</t>
  </si>
  <si>
    <t>002-103-000009389</t>
  </si>
  <si>
    <t>40782128</t>
  </si>
  <si>
    <t>Lavavajillas DW8 57 FIM-D</t>
  </si>
  <si>
    <t>MD22BL00500</t>
  </si>
  <si>
    <t>0395760</t>
  </si>
  <si>
    <t>Patricia Salazar</t>
  </si>
  <si>
    <t>Infanta Maria y Felipe II</t>
  </si>
  <si>
    <t>pachysy@hotmail.com</t>
  </si>
  <si>
    <t>002-101-000093494</t>
  </si>
  <si>
    <t>112510035</t>
  </si>
  <si>
    <t>Cocina IZF 6444 MPS BK</t>
  </si>
  <si>
    <t>ZP22CD00084</t>
  </si>
  <si>
    <t>Ivan Yunga</t>
  </si>
  <si>
    <t>Turi</t>
  </si>
  <si>
    <t>iyungad@gmail.com</t>
  </si>
  <si>
    <t>007-006-000122750</t>
  </si>
  <si>
    <t>40197255</t>
  </si>
  <si>
    <t>Triturador TR 710.1</t>
  </si>
  <si>
    <t>230710AF1889</t>
  </si>
  <si>
    <t>0407494</t>
  </si>
  <si>
    <t>Guillermo Velez</t>
  </si>
  <si>
    <t>Remigio Crespo</t>
  </si>
  <si>
    <t>gveleznarvaez@gmail.com</t>
  </si>
  <si>
    <t>001-500-000056501</t>
  </si>
  <si>
    <t>40467320</t>
  </si>
  <si>
    <t>TP236K01361</t>
  </si>
  <si>
    <t>0406969</t>
  </si>
  <si>
    <t>Geovanny Morocho</t>
  </si>
  <si>
    <t>Juan Leon Mera 2-54</t>
  </si>
  <si>
    <t>waltmor@gmail.com</t>
  </si>
  <si>
    <t>Bandeja</t>
  </si>
  <si>
    <t>Horno HLB 8416 BK</t>
  </si>
  <si>
    <t>TZ233A10146</t>
  </si>
  <si>
    <t>Monica Alvarez</t>
  </si>
  <si>
    <t>Cambio Repuesto</t>
  </si>
  <si>
    <t>monavaco@gmail.com</t>
  </si>
  <si>
    <t>Microondas ML 822 BIS L</t>
  </si>
  <si>
    <t>TP219100079</t>
  </si>
  <si>
    <t>Viviana Ochoa</t>
  </si>
  <si>
    <t>Ruido al funcionar</t>
  </si>
  <si>
    <t>Transformador de alta Flojo, Se reajusta transformador y base del magnetron</t>
  </si>
  <si>
    <t>No enciende</t>
  </si>
  <si>
    <t>Campana DPL ISLA 1180</t>
  </si>
  <si>
    <t>PX223300013</t>
  </si>
  <si>
    <t>Blanca Tacuri</t>
  </si>
  <si>
    <t>Fusible Quemado, Cambio de Fusible</t>
  </si>
  <si>
    <t>Quemador no enciende</t>
  </si>
  <si>
    <t>Cocina EX 90.1 AIDRLEFT</t>
  </si>
  <si>
    <t>ZP221M00029</t>
  </si>
  <si>
    <t>Viviana Molina</t>
  </si>
  <si>
    <t>Sensor Termopar fuera de posicion</t>
  </si>
  <si>
    <t>No seca, no lava</t>
  </si>
  <si>
    <t>Lavavajillas LP8</t>
  </si>
  <si>
    <t>MD 225L02844</t>
  </si>
  <si>
    <t>Hernan Delgado</t>
  </si>
  <si>
    <t>Calentador de Agua, terminal falso contacto</t>
  </si>
  <si>
    <t>bettydd1944@gmail.com</t>
  </si>
  <si>
    <t>TP21AD00645</t>
  </si>
  <si>
    <t>TZ222Q34715</t>
  </si>
  <si>
    <t>ZP224900003</t>
  </si>
  <si>
    <t>Juan Fernando Zamora</t>
  </si>
  <si>
    <t>Edf. Alameda</t>
  </si>
  <si>
    <t>0102419736</t>
  </si>
  <si>
    <t>jfzamoraq@hotmail.com</t>
  </si>
  <si>
    <t>TP231G00685</t>
  </si>
  <si>
    <t>TZ234K16105</t>
  </si>
  <si>
    <t>ZP23K100387</t>
  </si>
  <si>
    <t>TP233207870</t>
  </si>
  <si>
    <t>Cocina JZC 64322 ABB</t>
  </si>
  <si>
    <t>Horno HLB 8416</t>
  </si>
  <si>
    <t>Microondas MLC 844</t>
  </si>
  <si>
    <t>Campana DPL 980 T</t>
  </si>
  <si>
    <t>Jocelyne Auquilla</t>
  </si>
  <si>
    <t>0104073093</t>
  </si>
  <si>
    <t>fabianoscuenca@gmail.com</t>
  </si>
  <si>
    <t>Cocina JZC 95314 ABB</t>
  </si>
  <si>
    <t>Horno HSB 635</t>
  </si>
  <si>
    <t>ZP234K00418</t>
  </si>
  <si>
    <t>TP232T00609</t>
  </si>
  <si>
    <t>TZ229F15397</t>
  </si>
  <si>
    <t>Jeferson Barzallo</t>
  </si>
  <si>
    <t>Cocina JZC 95314ABB</t>
  </si>
  <si>
    <t>Horno HLB 830</t>
  </si>
  <si>
    <t>ZP224900012</t>
  </si>
  <si>
    <t>TZ231L15310</t>
  </si>
  <si>
    <t>Juana Peralta</t>
  </si>
  <si>
    <t>Av. Ordoñez Lazo Edf. Rubik dep 301</t>
  </si>
  <si>
    <t>0105596571</t>
  </si>
  <si>
    <t>magdalenaperalta458@gmail.com</t>
  </si>
  <si>
    <t>017-901-000083009</t>
  </si>
  <si>
    <t>017-901-000083093</t>
  </si>
  <si>
    <t>002-103-000008131</t>
  </si>
  <si>
    <t>Chordeleg</t>
  </si>
  <si>
    <t>001-001-00017017</t>
  </si>
  <si>
    <t>Calle Amsterdam</t>
  </si>
  <si>
    <t>008-501-000007093</t>
  </si>
  <si>
    <t>016-907-000174232</t>
  </si>
  <si>
    <t>0102644820</t>
  </si>
  <si>
    <t>Campana C 910</t>
  </si>
  <si>
    <t>Cocina IZS 97630 MST BK</t>
  </si>
  <si>
    <t>Horno HLF 940</t>
  </si>
  <si>
    <t>TP237R02108</t>
  </si>
  <si>
    <t>ZP227L00056</t>
  </si>
  <si>
    <t>TZ2224O8781</t>
  </si>
  <si>
    <t>Emiliano Sanchez</t>
  </si>
  <si>
    <t>Los Gorriones y los Colibries</t>
  </si>
  <si>
    <t>014-004-000053896</t>
  </si>
  <si>
    <t>Cocina GZC 75330</t>
  </si>
  <si>
    <t>TP232A10315</t>
  </si>
  <si>
    <t>TZ235G15564</t>
  </si>
  <si>
    <t>ZP234L00280</t>
  </si>
  <si>
    <t>Mayra Condo</t>
  </si>
  <si>
    <t>Paute</t>
  </si>
  <si>
    <t>0103599734</t>
  </si>
  <si>
    <t>victorbp04@hotmail.com</t>
  </si>
  <si>
    <t>016-906-000101174</t>
  </si>
  <si>
    <t>0102172996</t>
  </si>
  <si>
    <t>Conjunto Modulo Induccion</t>
  </si>
  <si>
    <t>Cocina IZC 64010 MSSBK</t>
  </si>
  <si>
    <t>ZP21A400037</t>
  </si>
  <si>
    <t>Simon Espinoza</t>
  </si>
  <si>
    <t xml:space="preserve">Cambio Tarjeta </t>
  </si>
  <si>
    <t>Campana Isla</t>
  </si>
  <si>
    <t>Lavavajillas</t>
  </si>
  <si>
    <t>Hornos Electrico</t>
  </si>
  <si>
    <t>001-500-000055618</t>
  </si>
  <si>
    <t>007-007-000026179</t>
  </si>
  <si>
    <t>002-111-000021955</t>
  </si>
  <si>
    <t>ZP231H00005</t>
  </si>
  <si>
    <t>0399988</t>
  </si>
  <si>
    <t>Freddy Ortiz</t>
  </si>
  <si>
    <t>Av. Tejar y Racar</t>
  </si>
  <si>
    <t>001-500-000057077</t>
  </si>
  <si>
    <t>111030002</t>
  </si>
  <si>
    <t>TZ237U22110</t>
  </si>
  <si>
    <t>0406898</t>
  </si>
  <si>
    <t>Patricio Ortiz</t>
  </si>
  <si>
    <t>Calle de la Verbena</t>
  </si>
  <si>
    <t>sanchezsimba@hotmail.com</t>
  </si>
  <si>
    <t>001-500-000057023</t>
  </si>
  <si>
    <t>ZP22B600002</t>
  </si>
  <si>
    <t>03940007</t>
  </si>
  <si>
    <t>Maribel Vanegas</t>
  </si>
  <si>
    <t>Luis Moscoso y C Cañuelas</t>
  </si>
  <si>
    <t>mvanegasleon@hotmail.com</t>
  </si>
  <si>
    <t>Canton Loreto y Camino viejo a Baños</t>
  </si>
  <si>
    <t>Reparado</t>
  </si>
  <si>
    <t>0102131559</t>
  </si>
  <si>
    <t>Paseo 3 de Noviembre</t>
  </si>
  <si>
    <t>TP19100079</t>
  </si>
  <si>
    <t>vivinaochoavilla@gmail.com</t>
  </si>
  <si>
    <t>0104693002</t>
  </si>
  <si>
    <t>Instalado</t>
  </si>
  <si>
    <t>Av. Loja y Don Bosco</t>
  </si>
  <si>
    <t>0101099968</t>
  </si>
  <si>
    <t>Timoleon Carrera y Av. Pichincha</t>
  </si>
  <si>
    <t>Home Vegsa</t>
  </si>
  <si>
    <t>0103778387</t>
  </si>
  <si>
    <t>laboratoriovm@hotmail.com</t>
  </si>
  <si>
    <t>Fray Luis de Leon</t>
  </si>
  <si>
    <t>Edf. Santa Fe</t>
  </si>
  <si>
    <t>MD225L02844</t>
  </si>
  <si>
    <t>BETTYDD1944@GMAIL.COM</t>
  </si>
  <si>
    <t>0100301472</t>
  </si>
  <si>
    <t>Misicata</t>
  </si>
  <si>
    <t>0105729222</t>
  </si>
  <si>
    <t>Magnetron 800w</t>
  </si>
  <si>
    <t>Microondas MS 622 BIS L</t>
  </si>
  <si>
    <t>TP18C400151</t>
  </si>
  <si>
    <t xml:space="preserve">Manuel Escandon </t>
  </si>
  <si>
    <t>maeso52@hotmail.com</t>
  </si>
  <si>
    <t>Al 20 de Noviembre del 2023</t>
  </si>
  <si>
    <t>Sujetador, del separador de platos fuera de lugar</t>
  </si>
  <si>
    <t>Lavavajillas DW 857 FIM D</t>
  </si>
  <si>
    <t>MD217L01017</t>
  </si>
  <si>
    <t>Marcia Arce</t>
  </si>
  <si>
    <t xml:space="preserve">Se coloca todo en su posicion </t>
  </si>
  <si>
    <t>ZP208600039</t>
  </si>
  <si>
    <t>Veronica Ordoñez</t>
  </si>
  <si>
    <t>Modulo de Encenddo roba corriente, se aisla modulo</t>
  </si>
  <si>
    <t>veronica.ordonez.a@gmail.com</t>
  </si>
  <si>
    <t>Manuel Escandon</t>
  </si>
  <si>
    <t>Via a Nulti</t>
  </si>
  <si>
    <t>0100885933</t>
  </si>
  <si>
    <t>Av. Loja 5-700</t>
  </si>
  <si>
    <t>Mercard</t>
  </si>
  <si>
    <t>0103417820</t>
  </si>
  <si>
    <t>ixina</t>
  </si>
  <si>
    <t>0100980838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</si>
</sst>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_ * #,##0.00_ ;_ * \-#,##0.00_ ;_ * &quot;-&quot;??_ ;_ @_ "/>
    <numFmt numFmtId="171" formatCode="00"/>
    <numFmt numFmtId="172" formatCode="#,##0.00_ ;\-#,##0.00\ 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u/>
      <sz val="12.65"/>
      <color theme="10"/>
      <name val="Calibri"/>
      <family val="2"/>
    </font>
    <font>
      <sz val="11"/>
      <color theme="9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1"/>
      <name val="Arial Black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1"/>
      <color theme="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CECEC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0" fontId="3" fillId="4" borderId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170" fontId="47" fillId="0" borderId="0" applyFont="0" applyFill="0" applyBorder="0" applyAlignment="0" applyProtection="0"/>
    <xf numFmtId="0" fontId="47" fillId="0" borderId="0"/>
    <xf numFmtId="0" fontId="58" fillId="0" borderId="0" applyNumberFormat="0" applyFill="0" applyBorder="0" applyAlignment="0" applyProtection="0">
      <alignment vertical="top"/>
      <protection locked="0"/>
    </xf>
  </cellStyleXfs>
  <cellXfs count="264">
    <xf numFmtId="0" fontId="0" fillId="0" borderId="0" xfId="0"/>
    <xf numFmtId="0" fontId="3" fillId="0" borderId="0" xfId="2" applyAlignment="1">
      <alignment horizontal="left"/>
    </xf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1" xfId="2" applyFont="1" applyBorder="1" applyAlignment="1">
      <alignment vertical="center"/>
    </xf>
    <xf numFmtId="0" fontId="7" fillId="0" borderId="0" xfId="2" applyFont="1" applyAlignment="1">
      <alignment horizontal="left"/>
    </xf>
    <xf numFmtId="0" fontId="3" fillId="0" borderId="0" xfId="2"/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10" fillId="0" borderId="0" xfId="0" applyFont="1"/>
    <xf numFmtId="164" fontId="10" fillId="3" borderId="5" xfId="0" applyNumberFormat="1" applyFont="1" applyFill="1" applyBorder="1" applyAlignment="1">
      <alignment horizontal="left" wrapText="1"/>
    </xf>
    <xf numFmtId="165" fontId="10" fillId="3" borderId="5" xfId="0" applyNumberFormat="1" applyFont="1" applyFill="1" applyBorder="1" applyAlignment="1">
      <alignment wrapText="1"/>
    </xf>
    <xf numFmtId="3" fontId="10" fillId="3" borderId="5" xfId="0" applyNumberFormat="1" applyFont="1" applyFill="1" applyBorder="1"/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4" fontId="11" fillId="3" borderId="5" xfId="0" applyNumberFormat="1" applyFont="1" applyFill="1" applyBorder="1" applyAlignment="1">
      <alignment horizontal="right" wrapText="1"/>
    </xf>
    <xf numFmtId="49" fontId="10" fillId="3" borderId="5" xfId="0" applyNumberFormat="1" applyFont="1" applyFill="1" applyBorder="1" applyAlignment="1">
      <alignment wrapText="1"/>
    </xf>
    <xf numFmtId="0" fontId="10" fillId="0" borderId="5" xfId="0" applyFont="1" applyBorder="1"/>
    <xf numFmtId="49" fontId="10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 applyProtection="1"/>
    <xf numFmtId="4" fontId="0" fillId="0" borderId="0" xfId="0" applyNumberFormat="1"/>
    <xf numFmtId="166" fontId="14" fillId="0" borderId="0" xfId="3" applyNumberFormat="1" applyFont="1"/>
    <xf numFmtId="167" fontId="3" fillId="4" borderId="0" xfId="4" applyNumberFormat="1">
      <alignment horizontal="left"/>
    </xf>
    <xf numFmtId="0" fontId="3" fillId="4" borderId="0" xfId="4">
      <alignment horizontal="left"/>
    </xf>
    <xf numFmtId="14" fontId="3" fillId="4" borderId="0" xfId="4" applyNumberFormat="1">
      <alignment horizontal="left"/>
    </xf>
    <xf numFmtId="2" fontId="3" fillId="4" borderId="0" xfId="4" applyNumberFormat="1">
      <alignment horizontal="left"/>
    </xf>
    <xf numFmtId="0" fontId="15" fillId="4" borderId="0" xfId="4" applyFont="1" applyAlignment="1">
      <alignment vertical="center"/>
    </xf>
    <xf numFmtId="0" fontId="16" fillId="4" borderId="0" xfId="4" applyFont="1" applyAlignment="1"/>
    <xf numFmtId="14" fontId="16" fillId="4" borderId="0" xfId="4" applyNumberFormat="1" applyFont="1">
      <alignment horizontal="left"/>
    </xf>
    <xf numFmtId="2" fontId="16" fillId="4" borderId="0" xfId="4" applyNumberFormat="1" applyFont="1">
      <alignment horizontal="left"/>
    </xf>
    <xf numFmtId="167" fontId="16" fillId="4" borderId="0" xfId="4" applyNumberFormat="1" applyFont="1">
      <alignment horizontal="left"/>
    </xf>
    <xf numFmtId="0" fontId="17" fillId="4" borderId="0" xfId="4" applyFont="1" applyAlignment="1">
      <alignment vertical="center"/>
    </xf>
    <xf numFmtId="0" fontId="3" fillId="4" borderId="0" xfId="4" applyAlignment="1"/>
    <xf numFmtId="0" fontId="18" fillId="4" borderId="0" xfId="4" applyFont="1" applyAlignment="1"/>
    <xf numFmtId="0" fontId="19" fillId="4" borderId="0" xfId="4" applyFont="1">
      <alignment horizontal="left"/>
    </xf>
    <xf numFmtId="167" fontId="20" fillId="5" borderId="7" xfId="4" applyNumberFormat="1" applyFont="1" applyFill="1" applyBorder="1" applyAlignment="1">
      <alignment horizontal="left" vertical="center" wrapText="1"/>
    </xf>
    <xf numFmtId="0" fontId="20" fillId="5" borderId="7" xfId="4" applyFont="1" applyFill="1" applyBorder="1" applyAlignment="1">
      <alignment horizontal="left" vertical="center" wrapText="1"/>
    </xf>
    <xf numFmtId="0" fontId="21" fillId="5" borderId="7" xfId="4" applyFont="1" applyFill="1" applyBorder="1" applyAlignment="1">
      <alignment horizontal="left" vertical="center" wrapText="1"/>
    </xf>
    <xf numFmtId="2" fontId="21" fillId="5" borderId="7" xfId="4" applyNumberFormat="1" applyFont="1" applyFill="1" applyBorder="1" applyAlignment="1">
      <alignment horizontal="left" vertical="center" wrapText="1"/>
    </xf>
    <xf numFmtId="0" fontId="22" fillId="0" borderId="0" xfId="2" applyFont="1"/>
    <xf numFmtId="0" fontId="22" fillId="0" borderId="5" xfId="2" applyFont="1" applyBorder="1" applyAlignment="1">
      <alignment horizontal="left"/>
    </xf>
    <xf numFmtId="0" fontId="24" fillId="0" borderId="0" xfId="2" applyFont="1"/>
    <xf numFmtId="0" fontId="25" fillId="0" borderId="0" xfId="0" applyFont="1" applyAlignment="1">
      <alignment horizontal="left"/>
    </xf>
    <xf numFmtId="4" fontId="26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2" fontId="25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" fontId="25" fillId="0" borderId="0" xfId="0" applyNumberFormat="1" applyFont="1"/>
    <xf numFmtId="2" fontId="30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4" fontId="3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49" fontId="25" fillId="0" borderId="0" xfId="0" applyNumberFormat="1" applyFont="1"/>
    <xf numFmtId="0" fontId="32" fillId="0" borderId="0" xfId="0" applyFont="1" applyAlignment="1">
      <alignment horizontal="left"/>
    </xf>
    <xf numFmtId="17" fontId="30" fillId="0" borderId="0" xfId="0" applyNumberFormat="1" applyFont="1" applyAlignment="1">
      <alignment horizontal="left"/>
    </xf>
    <xf numFmtId="0" fontId="33" fillId="6" borderId="8" xfId="0" applyFont="1" applyFill="1" applyBorder="1" applyAlignment="1">
      <alignment horizontal="left" vertical="center" wrapText="1"/>
    </xf>
    <xf numFmtId="1" fontId="33" fillId="6" borderId="8" xfId="0" applyNumberFormat="1" applyFont="1" applyFill="1" applyBorder="1" applyAlignment="1">
      <alignment horizontal="left" vertical="center" wrapText="1"/>
    </xf>
    <xf numFmtId="2" fontId="33" fillId="6" borderId="8" xfId="0" applyNumberFormat="1" applyFont="1" applyFill="1" applyBorder="1" applyAlignment="1">
      <alignment horizontal="left" vertical="center" wrapText="1"/>
    </xf>
    <xf numFmtId="0" fontId="33" fillId="6" borderId="9" xfId="0" applyFont="1" applyFill="1" applyBorder="1" applyAlignment="1">
      <alignment horizontal="left" vertical="center" wrapText="1"/>
    </xf>
    <xf numFmtId="0" fontId="33" fillId="6" borderId="10" xfId="0" applyFont="1" applyFill="1" applyBorder="1" applyAlignment="1">
      <alignment horizontal="left" vertical="center" wrapText="1"/>
    </xf>
    <xf numFmtId="0" fontId="34" fillId="0" borderId="0" xfId="0" applyFont="1"/>
    <xf numFmtId="14" fontId="35" fillId="7" borderId="11" xfId="0" applyNumberFormat="1" applyFont="1" applyFill="1" applyBorder="1" applyAlignment="1">
      <alignment horizontal="center" vertical="center"/>
    </xf>
    <xf numFmtId="0" fontId="35" fillId="7" borderId="11" xfId="0" applyFont="1" applyFill="1" applyBorder="1" applyAlignment="1">
      <alignment horizontal="center" vertical="center"/>
    </xf>
    <xf numFmtId="2" fontId="35" fillId="7" borderId="11" xfId="0" applyNumberFormat="1" applyFont="1" applyFill="1" applyBorder="1" applyAlignment="1">
      <alignment horizontal="center" vertical="center"/>
    </xf>
    <xf numFmtId="0" fontId="35" fillId="9" borderId="1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6" fillId="0" borderId="0" xfId="0" applyFont="1" applyAlignment="1">
      <alignment horizontal="right"/>
    </xf>
    <xf numFmtId="4" fontId="37" fillId="0" borderId="0" xfId="0" applyNumberFormat="1" applyFont="1"/>
    <xf numFmtId="0" fontId="3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49" fontId="39" fillId="0" borderId="0" xfId="0" applyNumberFormat="1" applyFont="1" applyAlignment="1">
      <alignment horizontal="left"/>
    </xf>
    <xf numFmtId="1" fontId="0" fillId="0" borderId="0" xfId="0" applyNumberFormat="1"/>
    <xf numFmtId="2" fontId="40" fillId="0" borderId="0" xfId="0" applyNumberFormat="1" applyFont="1" applyAlignment="1">
      <alignment horizontal="right" indent="1"/>
    </xf>
    <xf numFmtId="4" fontId="41" fillId="0" borderId="0" xfId="0" applyNumberFormat="1" applyFont="1" applyAlignment="1">
      <alignment horizontal="left" vertical="center"/>
    </xf>
    <xf numFmtId="0" fontId="42" fillId="0" borderId="0" xfId="5" applyFont="1"/>
    <xf numFmtId="0" fontId="24" fillId="4" borderId="0" xfId="4" applyFont="1" applyAlignment="1">
      <alignment horizontal="center" vertical="center"/>
    </xf>
    <xf numFmtId="1" fontId="24" fillId="4" borderId="0" xfId="4" applyNumberFormat="1" applyFont="1" applyAlignment="1">
      <alignment horizontal="right" vertical="center"/>
    </xf>
    <xf numFmtId="1" fontId="24" fillId="4" borderId="0" xfId="4" applyNumberFormat="1" applyFont="1" applyAlignment="1">
      <alignment horizontal="center" vertical="center"/>
    </xf>
    <xf numFmtId="2" fontId="24" fillId="4" borderId="0" xfId="4" applyNumberFormat="1" applyFont="1" applyAlignment="1">
      <alignment vertical="center"/>
    </xf>
    <xf numFmtId="49" fontId="0" fillId="0" borderId="0" xfId="0" quotePrefix="1" applyNumberFormat="1"/>
    <xf numFmtId="17" fontId="40" fillId="0" borderId="0" xfId="0" quotePrefix="1" applyNumberFormat="1" applyFont="1" applyAlignment="1">
      <alignment horizontal="left"/>
    </xf>
    <xf numFmtId="0" fontId="40" fillId="0" borderId="0" xfId="0" applyFont="1" applyAlignment="1">
      <alignment horizontal="right"/>
    </xf>
    <xf numFmtId="0" fontId="43" fillId="10" borderId="13" xfId="0" applyFont="1" applyFill="1" applyBorder="1" applyAlignment="1">
      <alignment horizontal="center" vertical="center" wrapText="1"/>
    </xf>
    <xf numFmtId="0" fontId="43" fillId="10" borderId="13" xfId="0" applyFont="1" applyFill="1" applyBorder="1" applyAlignment="1">
      <alignment vertical="center" wrapText="1"/>
    </xf>
    <xf numFmtId="0" fontId="43" fillId="10" borderId="13" xfId="0" applyFont="1" applyFill="1" applyBorder="1" applyAlignment="1">
      <alignment horizontal="left" vertical="center" wrapText="1"/>
    </xf>
    <xf numFmtId="1" fontId="43" fillId="10" borderId="13" xfId="0" applyNumberFormat="1" applyFont="1" applyFill="1" applyBorder="1" applyAlignment="1">
      <alignment vertical="center" wrapText="1"/>
    </xf>
    <xf numFmtId="2" fontId="43" fillId="10" borderId="13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22" fillId="0" borderId="0" xfId="0" applyFont="1" applyAlignment="1">
      <alignment horizontal="right"/>
    </xf>
    <xf numFmtId="164" fontId="22" fillId="11" borderId="5" xfId="0" applyNumberFormat="1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left"/>
    </xf>
    <xf numFmtId="49" fontId="22" fillId="11" borderId="5" xfId="0" applyNumberFormat="1" applyFont="1" applyFill="1" applyBorder="1" applyAlignment="1">
      <alignment horizontal="center"/>
    </xf>
    <xf numFmtId="1" fontId="22" fillId="11" borderId="5" xfId="0" applyNumberFormat="1" applyFont="1" applyFill="1" applyBorder="1" applyAlignment="1">
      <alignment horizontal="left"/>
    </xf>
    <xf numFmtId="2" fontId="22" fillId="11" borderId="5" xfId="0" applyNumberFormat="1" applyFont="1" applyFill="1" applyBorder="1"/>
    <xf numFmtId="168" fontId="22" fillId="11" borderId="5" xfId="0" applyNumberFormat="1" applyFont="1" applyFill="1" applyBorder="1" applyAlignment="1">
      <alignment horizontal="center"/>
    </xf>
    <xf numFmtId="49" fontId="28" fillId="3" borderId="0" xfId="0" applyNumberFormat="1" applyFont="1" applyFill="1" applyAlignment="1">
      <alignment horizontal="left" wrapText="1"/>
    </xf>
    <xf numFmtId="49" fontId="2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1" fillId="0" borderId="0" xfId="6" applyNumberFormat="1" applyFont="1" applyAlignment="1">
      <alignment horizontal="left"/>
    </xf>
    <xf numFmtId="0" fontId="45" fillId="0" borderId="0" xfId="6" applyFont="1" applyAlignment="1">
      <alignment horizontal="center"/>
    </xf>
    <xf numFmtId="0" fontId="46" fillId="0" borderId="0" xfId="6" applyFont="1" applyAlignment="1">
      <alignment vertical="center"/>
    </xf>
    <xf numFmtId="0" fontId="45" fillId="0" borderId="0" xfId="6" applyFont="1"/>
    <xf numFmtId="2" fontId="47" fillId="0" borderId="0" xfId="6" applyNumberFormat="1" applyFont="1" applyAlignment="1">
      <alignment horizontal="left"/>
    </xf>
    <xf numFmtId="0" fontId="48" fillId="0" borderId="0" xfId="0" applyFont="1"/>
    <xf numFmtId="4" fontId="41" fillId="0" borderId="0" xfId="6" applyNumberFormat="1" applyFont="1" applyAlignment="1">
      <alignment horizontal="left" vertical="center"/>
    </xf>
    <xf numFmtId="0" fontId="47" fillId="0" borderId="0" xfId="6" applyFont="1" applyAlignment="1">
      <alignment horizontal="center"/>
    </xf>
    <xf numFmtId="0" fontId="47" fillId="0" borderId="0" xfId="6" applyFont="1"/>
    <xf numFmtId="169" fontId="48" fillId="0" borderId="14" xfId="7" applyNumberFormat="1" applyFont="1" applyBorder="1" applyAlignment="1">
      <alignment horizontal="left"/>
    </xf>
    <xf numFmtId="0" fontId="48" fillId="0" borderId="15" xfId="7" applyFont="1" applyBorder="1" applyAlignment="1">
      <alignment horizontal="left"/>
    </xf>
    <xf numFmtId="0" fontId="49" fillId="0" borderId="15" xfId="7" applyFont="1" applyBorder="1" applyAlignment="1">
      <alignment horizontal="left"/>
    </xf>
    <xf numFmtId="0" fontId="50" fillId="0" borderId="15" xfId="7" applyFont="1" applyBorder="1" applyAlignment="1">
      <alignment horizontal="left" readingOrder="1"/>
    </xf>
    <xf numFmtId="0" fontId="51" fillId="0" borderId="15" xfId="7" applyFont="1" applyBorder="1" applyAlignment="1">
      <alignment horizontal="left"/>
    </xf>
    <xf numFmtId="17" fontId="52" fillId="0" borderId="15" xfId="7" applyNumberFormat="1" applyFont="1" applyBorder="1" applyAlignment="1">
      <alignment horizontal="left"/>
    </xf>
    <xf numFmtId="0" fontId="47" fillId="0" borderId="15" xfId="7" applyFont="1" applyBorder="1" applyAlignment="1">
      <alignment horizontal="left"/>
    </xf>
    <xf numFmtId="49" fontId="45" fillId="0" borderId="16" xfId="7" applyNumberFormat="1" applyFont="1" applyBorder="1" applyAlignment="1">
      <alignment horizontal="left"/>
    </xf>
    <xf numFmtId="169" fontId="48" fillId="0" borderId="17" xfId="7" applyNumberFormat="1" applyFont="1" applyBorder="1" applyAlignment="1">
      <alignment horizontal="left"/>
    </xf>
    <xf numFmtId="0" fontId="48" fillId="0" borderId="0" xfId="7" applyFont="1" applyAlignment="1">
      <alignment horizontal="left"/>
    </xf>
    <xf numFmtId="0" fontId="48" fillId="0" borderId="18" xfId="7" applyFont="1" applyBorder="1" applyAlignment="1">
      <alignment horizontal="left"/>
    </xf>
    <xf numFmtId="169" fontId="48" fillId="0" borderId="19" xfId="7" applyNumberFormat="1" applyFont="1" applyBorder="1" applyAlignment="1">
      <alignment horizontal="left"/>
    </xf>
    <xf numFmtId="0" fontId="48" fillId="0" borderId="20" xfId="7" applyFont="1" applyBorder="1" applyAlignment="1">
      <alignment horizontal="left"/>
    </xf>
    <xf numFmtId="0" fontId="48" fillId="0" borderId="21" xfId="7" applyFont="1" applyBorder="1" applyAlignment="1">
      <alignment horizontal="left"/>
    </xf>
    <xf numFmtId="0" fontId="53" fillId="12" borderId="7" xfId="8" applyFont="1" applyFill="1" applyBorder="1" applyAlignment="1">
      <alignment horizontal="center" wrapText="1"/>
    </xf>
    <xf numFmtId="0" fontId="11" fillId="0" borderId="0" xfId="8" applyFont="1" applyAlignment="1">
      <alignment horizontal="right" vertical="top"/>
    </xf>
    <xf numFmtId="14" fontId="11" fillId="0" borderId="5" xfId="8" applyNumberFormat="1" applyFont="1" applyBorder="1" applyAlignment="1">
      <alignment horizontal="left" vertical="top"/>
    </xf>
    <xf numFmtId="0" fontId="11" fillId="0" borderId="5" xfId="8" applyFont="1" applyBorder="1" applyAlignment="1">
      <alignment horizontal="center" vertical="top"/>
    </xf>
    <xf numFmtId="0" fontId="11" fillId="0" borderId="5" xfId="8" applyFont="1" applyBorder="1" applyAlignment="1">
      <alignment horizontal="left" vertical="top"/>
    </xf>
    <xf numFmtId="0" fontId="11" fillId="0" borderId="5" xfId="8" applyFont="1" applyBorder="1" applyAlignment="1">
      <alignment vertical="top"/>
    </xf>
    <xf numFmtId="0" fontId="11" fillId="0" borderId="5" xfId="8" quotePrefix="1" applyFont="1" applyBorder="1" applyAlignment="1">
      <alignment horizontal="left" vertical="top"/>
    </xf>
    <xf numFmtId="14" fontId="11" fillId="0" borderId="6" xfId="8" applyNumberFormat="1" applyFont="1" applyBorder="1" applyAlignment="1">
      <alignment horizontal="left" vertical="top"/>
    </xf>
    <xf numFmtId="0" fontId="11" fillId="0" borderId="6" xfId="8" applyFont="1" applyBorder="1" applyAlignment="1">
      <alignment horizontal="center" vertical="top"/>
    </xf>
    <xf numFmtId="0" fontId="11" fillId="0" borderId="6" xfId="8" applyFont="1" applyBorder="1" applyAlignment="1">
      <alignment horizontal="left" vertical="top"/>
    </xf>
    <xf numFmtId="0" fontId="11" fillId="0" borderId="6" xfId="8" applyFont="1" applyBorder="1" applyAlignment="1">
      <alignment vertical="top"/>
    </xf>
    <xf numFmtId="0" fontId="11" fillId="0" borderId="6" xfId="8" quotePrefix="1" applyFont="1" applyBorder="1" applyAlignment="1">
      <alignment horizontal="left" vertical="top"/>
    </xf>
    <xf numFmtId="0" fontId="11" fillId="0" borderId="0" xfId="8" applyFont="1" applyAlignment="1">
      <alignment horizontal="center" vertical="top"/>
    </xf>
    <xf numFmtId="0" fontId="11" fillId="0" borderId="0" xfId="8" applyFont="1" applyAlignment="1">
      <alignment horizontal="left" vertical="top"/>
    </xf>
    <xf numFmtId="0" fontId="9" fillId="2" borderId="0" xfId="2" applyFont="1" applyFill="1" applyBorder="1" applyAlignment="1">
      <alignment vertical="center" wrapText="1"/>
    </xf>
    <xf numFmtId="49" fontId="22" fillId="11" borderId="5" xfId="0" applyNumberFormat="1" applyFont="1" applyFill="1" applyBorder="1" applyAlignment="1">
      <alignment horizontal="left"/>
    </xf>
    <xf numFmtId="49" fontId="2" fillId="11" borderId="5" xfId="1" applyNumberFormat="1" applyFill="1" applyBorder="1" applyAlignment="1">
      <alignment horizontal="center"/>
    </xf>
    <xf numFmtId="0" fontId="2" fillId="0" borderId="5" xfId="1" applyBorder="1" applyAlignment="1">
      <alignment horizontal="left" vertical="top"/>
    </xf>
    <xf numFmtId="0" fontId="2" fillId="0" borderId="6" xfId="1" applyBorder="1" applyAlignment="1">
      <alignment horizontal="left" vertical="top"/>
    </xf>
    <xf numFmtId="0" fontId="59" fillId="0" borderId="0" xfId="0" applyFont="1"/>
    <xf numFmtId="0" fontId="11" fillId="0" borderId="0" xfId="8" applyFont="1" applyFill="1" applyBorder="1" applyAlignment="1">
      <alignment horizontal="left" vertical="top"/>
    </xf>
    <xf numFmtId="167" fontId="22" fillId="0" borderId="11" xfId="2" applyNumberFormat="1" applyFont="1" applyBorder="1" applyAlignment="1">
      <alignment horizontal="left"/>
    </xf>
    <xf numFmtId="0" fontId="22" fillId="0" borderId="11" xfId="2" applyFont="1" applyBorder="1" applyAlignment="1">
      <alignment horizontal="left"/>
    </xf>
    <xf numFmtId="0" fontId="23" fillId="0" borderId="11" xfId="2" applyFont="1" applyBorder="1" applyAlignment="1">
      <alignment horizontal="left"/>
    </xf>
    <xf numFmtId="0" fontId="23" fillId="3" borderId="11" xfId="2" applyFont="1" applyFill="1" applyBorder="1" applyAlignment="1">
      <alignment horizontal="left"/>
    </xf>
    <xf numFmtId="2" fontId="22" fillId="0" borderId="11" xfId="2" applyNumberFormat="1" applyFont="1" applyBorder="1" applyAlignment="1">
      <alignment horizontal="left"/>
    </xf>
    <xf numFmtId="0" fontId="60" fillId="0" borderId="0" xfId="0" applyFont="1"/>
    <xf numFmtId="14" fontId="11" fillId="3" borderId="6" xfId="8" applyNumberFormat="1" applyFont="1" applyFill="1" applyBorder="1" applyAlignment="1">
      <alignment horizontal="left" vertical="top"/>
    </xf>
    <xf numFmtId="14" fontId="2" fillId="7" borderId="11" xfId="1" applyNumberFormat="1" applyFill="1" applyBorder="1" applyAlignment="1">
      <alignment horizontal="center" vertical="center"/>
    </xf>
    <xf numFmtId="170" fontId="11" fillId="0" borderId="0" xfId="9" applyFont="1" applyBorder="1" applyAlignment="1">
      <alignment horizontal="left" vertical="top"/>
    </xf>
    <xf numFmtId="14" fontId="11" fillId="3" borderId="5" xfId="8" applyNumberFormat="1" applyFont="1" applyFill="1" applyBorder="1" applyAlignment="1">
      <alignment horizontal="left" vertical="top"/>
    </xf>
    <xf numFmtId="0" fontId="11" fillId="0" borderId="0" xfId="8" applyFont="1" applyFill="1" applyAlignment="1">
      <alignment horizontal="center" vertical="top"/>
    </xf>
    <xf numFmtId="164" fontId="22" fillId="3" borderId="5" xfId="0" applyNumberFormat="1" applyFont="1" applyFill="1" applyBorder="1" applyAlignment="1">
      <alignment horizontal="center"/>
    </xf>
    <xf numFmtId="14" fontId="22" fillId="3" borderId="5" xfId="2" applyNumberFormat="1" applyFont="1" applyFill="1" applyBorder="1" applyAlignment="1">
      <alignment horizontal="left"/>
    </xf>
    <xf numFmtId="0" fontId="62" fillId="0" borderId="0" xfId="0" applyFont="1"/>
    <xf numFmtId="49" fontId="35" fillId="7" borderId="11" xfId="0" applyNumberFormat="1" applyFont="1" applyFill="1" applyBorder="1" applyAlignment="1">
      <alignment horizontal="center" vertical="center"/>
    </xf>
    <xf numFmtId="0" fontId="35" fillId="7" borderId="11" xfId="0" applyNumberFormat="1" applyFont="1" applyFill="1" applyBorder="1" applyAlignment="1">
      <alignment horizontal="center" vertical="center"/>
    </xf>
    <xf numFmtId="172" fontId="35" fillId="7" borderId="11" xfId="0" applyNumberFormat="1" applyFont="1" applyFill="1" applyBorder="1" applyAlignment="1">
      <alignment horizontal="center" vertical="center"/>
    </xf>
    <xf numFmtId="0" fontId="11" fillId="3" borderId="6" xfId="8" applyFont="1" applyFill="1" applyBorder="1" applyAlignment="1">
      <alignment horizontal="left" vertical="top"/>
    </xf>
    <xf numFmtId="49" fontId="63" fillId="3" borderId="7" xfId="1" applyNumberFormat="1" applyFont="1" applyFill="1" applyBorder="1" applyAlignment="1">
      <alignment horizontal="left"/>
    </xf>
    <xf numFmtId="14" fontId="64" fillId="3" borderId="6" xfId="8" applyNumberFormat="1" applyFont="1" applyFill="1" applyBorder="1" applyAlignment="1">
      <alignment horizontal="left" vertical="top"/>
    </xf>
    <xf numFmtId="1" fontId="65" fillId="3" borderId="7" xfId="0" applyNumberFormat="1" applyFont="1" applyFill="1" applyBorder="1" applyAlignment="1">
      <alignment horizontal="left"/>
    </xf>
    <xf numFmtId="0" fontId="65" fillId="3" borderId="7" xfId="0" applyFont="1" applyFill="1" applyBorder="1" applyAlignment="1">
      <alignment horizontal="left"/>
    </xf>
    <xf numFmtId="0" fontId="65" fillId="8" borderId="7" xfId="0" applyFont="1" applyFill="1" applyBorder="1" applyAlignment="1">
      <alignment horizontal="left" vertical="center"/>
    </xf>
    <xf numFmtId="0" fontId="65" fillId="3" borderId="7" xfId="0" applyFont="1" applyFill="1" applyBorder="1" applyAlignment="1">
      <alignment horizontal="left" wrapText="1"/>
    </xf>
    <xf numFmtId="164" fontId="65" fillId="3" borderId="7" xfId="0" applyNumberFormat="1" applyFont="1" applyFill="1" applyBorder="1" applyAlignment="1">
      <alignment horizontal="left"/>
    </xf>
    <xf numFmtId="0" fontId="65" fillId="7" borderId="7" xfId="0" quotePrefix="1" applyFont="1" applyFill="1" applyBorder="1" applyAlignment="1">
      <alignment horizontal="left" vertical="center"/>
    </xf>
    <xf numFmtId="49" fontId="65" fillId="3" borderId="7" xfId="0" applyNumberFormat="1" applyFont="1" applyFill="1" applyBorder="1" applyAlignment="1">
      <alignment horizontal="left"/>
    </xf>
    <xf numFmtId="0" fontId="65" fillId="3" borderId="7" xfId="0" quotePrefix="1" applyFont="1" applyFill="1" applyBorder="1" applyAlignment="1">
      <alignment horizontal="left" wrapText="1"/>
    </xf>
    <xf numFmtId="14" fontId="65" fillId="7" borderId="7" xfId="0" applyNumberFormat="1" applyFont="1" applyFill="1" applyBorder="1" applyAlignment="1">
      <alignment horizontal="left" vertical="center"/>
    </xf>
    <xf numFmtId="14" fontId="64" fillId="3" borderId="5" xfId="8" applyNumberFormat="1" applyFont="1" applyFill="1" applyBorder="1" applyAlignment="1">
      <alignment horizontal="left" vertical="top"/>
    </xf>
    <xf numFmtId="49" fontId="67" fillId="3" borderId="7" xfId="1" applyNumberFormat="1" applyFont="1" applyFill="1" applyBorder="1" applyAlignment="1">
      <alignment horizontal="left"/>
    </xf>
    <xf numFmtId="0" fontId="54" fillId="3" borderId="0" xfId="0" applyFont="1" applyFill="1" applyAlignment="1">
      <alignment wrapText="1"/>
    </xf>
    <xf numFmtId="164" fontId="45" fillId="3" borderId="0" xfId="10" applyNumberFormat="1" applyFont="1" applyFill="1" applyAlignment="1">
      <alignment horizontal="left"/>
    </xf>
    <xf numFmtId="0" fontId="45" fillId="3" borderId="0" xfId="10" applyFont="1" applyFill="1" applyAlignment="1">
      <alignment horizontal="left" wrapText="1"/>
    </xf>
    <xf numFmtId="49" fontId="45" fillId="3" borderId="0" xfId="10" applyNumberFormat="1" applyFont="1" applyFill="1" applyAlignment="1">
      <alignment horizontal="left" wrapText="1"/>
    </xf>
    <xf numFmtId="0" fontId="47" fillId="3" borderId="0" xfId="10" applyFill="1" applyAlignment="1">
      <alignment horizontal="left" wrapText="1"/>
    </xf>
    <xf numFmtId="0" fontId="47" fillId="3" borderId="0" xfId="10" applyFill="1" applyAlignment="1">
      <alignment wrapText="1"/>
    </xf>
    <xf numFmtId="164" fontId="47" fillId="3" borderId="0" xfId="10" applyNumberFormat="1" applyFill="1" applyAlignment="1">
      <alignment horizontal="left" wrapText="1"/>
    </xf>
    <xf numFmtId="0" fontId="47" fillId="3" borderId="0" xfId="10" applyFill="1" applyAlignment="1">
      <alignment horizontal="center" wrapText="1"/>
    </xf>
    <xf numFmtId="49" fontId="47" fillId="3" borderId="0" xfId="10" applyNumberFormat="1" applyFill="1" applyAlignment="1">
      <alignment horizontal="left" wrapText="1"/>
    </xf>
    <xf numFmtId="171" fontId="54" fillId="3" borderId="0" xfId="0" applyNumberFormat="1" applyFont="1" applyFill="1" applyAlignment="1">
      <alignment horizontal="left" wrapText="1"/>
    </xf>
    <xf numFmtId="171" fontId="47" fillId="3" borderId="0" xfId="10" applyNumberFormat="1" applyFill="1" applyAlignment="1">
      <alignment horizontal="left" wrapText="1"/>
    </xf>
    <xf numFmtId="164" fontId="55" fillId="3" borderId="13" xfId="10" applyNumberFormat="1" applyFont="1" applyFill="1" applyBorder="1" applyAlignment="1">
      <alignment horizontal="left" wrapText="1"/>
    </xf>
    <xf numFmtId="0" fontId="55" fillId="3" borderId="13" xfId="10" applyFont="1" applyFill="1" applyBorder="1" applyAlignment="1">
      <alignment horizontal="left" wrapText="1"/>
    </xf>
    <xf numFmtId="49" fontId="55" fillId="3" borderId="14" xfId="10" applyNumberFormat="1" applyFont="1" applyFill="1" applyBorder="1" applyAlignment="1">
      <alignment horizontal="left" wrapText="1"/>
    </xf>
    <xf numFmtId="0" fontId="56" fillId="3" borderId="13" xfId="10" applyFont="1" applyFill="1" applyBorder="1" applyAlignment="1">
      <alignment horizontal="center" wrapText="1"/>
    </xf>
    <xf numFmtId="0" fontId="55" fillId="3" borderId="16" xfId="10" applyFont="1" applyFill="1" applyBorder="1" applyAlignment="1">
      <alignment wrapText="1"/>
    </xf>
    <xf numFmtId="0" fontId="55" fillId="3" borderId="14" xfId="10" applyFont="1" applyFill="1" applyBorder="1" applyAlignment="1">
      <alignment horizontal="center" wrapText="1"/>
    </xf>
    <xf numFmtId="164" fontId="55" fillId="3" borderId="13" xfId="10" applyNumberFormat="1" applyFont="1" applyFill="1" applyBorder="1" applyAlignment="1">
      <alignment horizontal="center" wrapText="1"/>
    </xf>
    <xf numFmtId="49" fontId="55" fillId="3" borderId="16" xfId="10" applyNumberFormat="1" applyFont="1" applyFill="1" applyBorder="1" applyAlignment="1">
      <alignment horizontal="center" wrapText="1"/>
    </xf>
    <xf numFmtId="49" fontId="55" fillId="3" borderId="13" xfId="10" applyNumberFormat="1" applyFont="1" applyFill="1" applyBorder="1" applyAlignment="1">
      <alignment horizontal="left" wrapText="1"/>
    </xf>
    <xf numFmtId="171" fontId="55" fillId="3" borderId="16" xfId="10" applyNumberFormat="1" applyFont="1" applyFill="1" applyBorder="1" applyAlignment="1" applyProtection="1">
      <alignment horizontal="left" wrapText="1"/>
      <protection locked="0"/>
    </xf>
    <xf numFmtId="0" fontId="57" fillId="3" borderId="13" xfId="0" applyFont="1" applyFill="1" applyBorder="1" applyAlignment="1">
      <alignment wrapText="1"/>
    </xf>
    <xf numFmtId="0" fontId="55" fillId="3" borderId="16" xfId="10" applyFont="1" applyFill="1" applyBorder="1" applyAlignment="1">
      <alignment horizontal="center" wrapText="1"/>
    </xf>
    <xf numFmtId="164" fontId="55" fillId="3" borderId="12" xfId="10" applyNumberFormat="1" applyFont="1" applyFill="1" applyBorder="1" applyAlignment="1">
      <alignment horizontal="left" wrapText="1"/>
    </xf>
    <xf numFmtId="0" fontId="55" fillId="3" borderId="12" xfId="10" applyFont="1" applyFill="1" applyBorder="1" applyAlignment="1">
      <alignment horizontal="left" wrapText="1"/>
    </xf>
    <xf numFmtId="49" fontId="55" fillId="3" borderId="17" xfId="10" applyNumberFormat="1" applyFont="1" applyFill="1" applyBorder="1" applyAlignment="1">
      <alignment horizontal="left" wrapText="1"/>
    </xf>
    <xf numFmtId="0" fontId="55" fillId="3" borderId="12" xfId="10" applyFont="1" applyFill="1" applyBorder="1" applyAlignment="1">
      <alignment horizontal="center" wrapText="1"/>
    </xf>
    <xf numFmtId="0" fontId="55" fillId="3" borderId="18" xfId="10" applyFont="1" applyFill="1" applyBorder="1" applyAlignment="1">
      <alignment wrapText="1"/>
    </xf>
    <xf numFmtId="0" fontId="55" fillId="3" borderId="17" xfId="10" applyFont="1" applyFill="1" applyBorder="1" applyAlignment="1">
      <alignment horizontal="center" wrapText="1"/>
    </xf>
    <xf numFmtId="164" fontId="55" fillId="3" borderId="12" xfId="10" applyNumberFormat="1" applyFont="1" applyFill="1" applyBorder="1" applyAlignment="1">
      <alignment horizontal="center" wrapText="1"/>
    </xf>
    <xf numFmtId="49" fontId="55" fillId="3" borderId="18" xfId="10" applyNumberFormat="1" applyFont="1" applyFill="1" applyBorder="1" applyAlignment="1">
      <alignment horizontal="center" wrapText="1"/>
    </xf>
    <xf numFmtId="49" fontId="55" fillId="3" borderId="12" xfId="10" applyNumberFormat="1" applyFont="1" applyFill="1" applyBorder="1" applyAlignment="1">
      <alignment horizontal="left" wrapText="1"/>
    </xf>
    <xf numFmtId="171" fontId="55" fillId="3" borderId="18" xfId="10" applyNumberFormat="1" applyFont="1" applyFill="1" applyBorder="1" applyAlignment="1" applyProtection="1">
      <alignment horizontal="left" wrapText="1"/>
      <protection locked="0"/>
    </xf>
    <xf numFmtId="0" fontId="55" fillId="3" borderId="12" xfId="0" applyFont="1" applyFill="1" applyBorder="1" applyAlignment="1">
      <alignment wrapText="1"/>
    </xf>
    <xf numFmtId="0" fontId="55" fillId="3" borderId="18" xfId="10" applyFont="1" applyFill="1" applyBorder="1" applyAlignment="1">
      <alignment horizontal="center" wrapText="1"/>
    </xf>
    <xf numFmtId="164" fontId="55" fillId="3" borderId="22" xfId="10" applyNumberFormat="1" applyFont="1" applyFill="1" applyBorder="1" applyAlignment="1">
      <alignment horizontal="left" wrapText="1"/>
    </xf>
    <xf numFmtId="0" fontId="55" fillId="3" borderId="22" xfId="10" applyFont="1" applyFill="1" applyBorder="1" applyAlignment="1">
      <alignment horizontal="left" wrapText="1"/>
    </xf>
    <xf numFmtId="49" fontId="55" fillId="3" borderId="19" xfId="10" applyNumberFormat="1" applyFont="1" applyFill="1" applyBorder="1" applyAlignment="1">
      <alignment horizontal="left" wrapText="1"/>
    </xf>
    <xf numFmtId="0" fontId="56" fillId="3" borderId="22" xfId="10" applyFont="1" applyFill="1" applyBorder="1" applyAlignment="1">
      <alignment horizontal="center" wrapText="1"/>
    </xf>
    <xf numFmtId="0" fontId="55" fillId="3" borderId="21" xfId="10" applyFont="1" applyFill="1" applyBorder="1" applyAlignment="1">
      <alignment wrapText="1"/>
    </xf>
    <xf numFmtId="0" fontId="55" fillId="3" borderId="19" xfId="10" applyFont="1" applyFill="1" applyBorder="1" applyAlignment="1">
      <alignment horizontal="center" wrapText="1"/>
    </xf>
    <xf numFmtId="164" fontId="55" fillId="3" borderId="22" xfId="10" applyNumberFormat="1" applyFont="1" applyFill="1" applyBorder="1" applyAlignment="1">
      <alignment horizontal="center" wrapText="1"/>
    </xf>
    <xf numFmtId="49" fontId="55" fillId="3" borderId="21" xfId="10" applyNumberFormat="1" applyFont="1" applyFill="1" applyBorder="1" applyAlignment="1">
      <alignment horizontal="center" wrapText="1"/>
    </xf>
    <xf numFmtId="49" fontId="55" fillId="3" borderId="22" xfId="10" applyNumberFormat="1" applyFont="1" applyFill="1" applyBorder="1" applyAlignment="1">
      <alignment horizontal="left" wrapText="1"/>
    </xf>
    <xf numFmtId="171" fontId="55" fillId="3" borderId="21" xfId="10" applyNumberFormat="1" applyFont="1" applyFill="1" applyBorder="1" applyAlignment="1" applyProtection="1">
      <alignment horizontal="left" wrapText="1"/>
      <protection locked="0"/>
    </xf>
    <xf numFmtId="0" fontId="57" fillId="3" borderId="22" xfId="0" applyFont="1" applyFill="1" applyBorder="1" applyAlignment="1">
      <alignment wrapText="1"/>
    </xf>
    <xf numFmtId="0" fontId="55" fillId="3" borderId="21" xfId="10" applyFont="1" applyFill="1" applyBorder="1" applyAlignment="1">
      <alignment horizontal="center" wrapText="1"/>
    </xf>
    <xf numFmtId="0" fontId="61" fillId="3" borderId="0" xfId="0" applyFont="1" applyFill="1" applyAlignment="1">
      <alignment wrapText="1"/>
    </xf>
    <xf numFmtId="0" fontId="64" fillId="3" borderId="6" xfId="8" applyFont="1" applyFill="1" applyBorder="1" applyAlignment="1">
      <alignment horizontal="left" vertical="top"/>
    </xf>
    <xf numFmtId="164" fontId="66" fillId="3" borderId="5" xfId="0" applyNumberFormat="1" applyFont="1" applyFill="1" applyBorder="1" applyAlignment="1">
      <alignment horizontal="left"/>
    </xf>
    <xf numFmtId="1" fontId="66" fillId="3" borderId="5" xfId="0" applyNumberFormat="1" applyFont="1" applyFill="1" applyBorder="1" applyAlignment="1">
      <alignment horizontal="left"/>
    </xf>
    <xf numFmtId="0" fontId="66" fillId="3" borderId="5" xfId="0" applyFont="1" applyFill="1" applyBorder="1" applyAlignment="1">
      <alignment horizontal="left"/>
    </xf>
    <xf numFmtId="49" fontId="66" fillId="3" borderId="5" xfId="0" applyNumberFormat="1" applyFont="1" applyFill="1" applyBorder="1" applyAlignment="1">
      <alignment horizontal="left"/>
    </xf>
    <xf numFmtId="49" fontId="63" fillId="3" borderId="5" xfId="1" applyNumberFormat="1" applyFont="1" applyFill="1" applyBorder="1" applyAlignment="1">
      <alignment horizontal="left"/>
    </xf>
    <xf numFmtId="0" fontId="64" fillId="3" borderId="5" xfId="8" applyFont="1" applyFill="1" applyBorder="1" applyAlignment="1">
      <alignment horizontal="left" vertical="top"/>
    </xf>
    <xf numFmtId="0" fontId="0" fillId="3" borderId="0" xfId="0" applyFill="1"/>
    <xf numFmtId="0" fontId="11" fillId="3" borderId="12" xfId="8" applyFont="1" applyFill="1" applyBorder="1" applyAlignment="1">
      <alignment horizontal="left" wrapText="1"/>
    </xf>
    <xf numFmtId="14" fontId="11" fillId="3" borderId="12" xfId="8" applyNumberFormat="1" applyFont="1" applyFill="1" applyBorder="1" applyAlignment="1">
      <alignment horizontal="left" wrapText="1"/>
    </xf>
    <xf numFmtId="0" fontId="11" fillId="3" borderId="13" xfId="8" applyFont="1" applyFill="1" applyBorder="1" applyAlignment="1">
      <alignment horizontal="left" wrapText="1"/>
    </xf>
    <xf numFmtId="0" fontId="12" fillId="3" borderId="12" xfId="1" applyFont="1" applyFill="1" applyBorder="1" applyAlignment="1">
      <alignment horizontal="left" wrapText="1"/>
    </xf>
    <xf numFmtId="14" fontId="11" fillId="0" borderId="11" xfId="8" applyNumberFormat="1" applyFont="1" applyBorder="1" applyAlignment="1">
      <alignment horizontal="left" vertical="top"/>
    </xf>
    <xf numFmtId="14" fontId="11" fillId="3" borderId="11" xfId="8" applyNumberFormat="1" applyFont="1" applyFill="1" applyBorder="1" applyAlignment="1">
      <alignment horizontal="left" vertical="top"/>
    </xf>
    <xf numFmtId="0" fontId="11" fillId="0" borderId="11" xfId="8" applyFont="1" applyBorder="1" applyAlignment="1">
      <alignment horizontal="center" vertical="top"/>
    </xf>
    <xf numFmtId="0" fontId="11" fillId="0" borderId="11" xfId="8" applyFont="1" applyBorder="1" applyAlignment="1">
      <alignment horizontal="left" vertical="top"/>
    </xf>
    <xf numFmtId="0" fontId="11" fillId="0" borderId="11" xfId="8" applyFont="1" applyBorder="1" applyAlignment="1">
      <alignment vertical="top"/>
    </xf>
    <xf numFmtId="0" fontId="11" fillId="0" borderId="11" xfId="8" quotePrefix="1" applyFont="1" applyBorder="1" applyAlignment="1">
      <alignment horizontal="left" vertical="top"/>
    </xf>
    <xf numFmtId="0" fontId="2" fillId="0" borderId="11" xfId="1" applyBorder="1" applyAlignment="1">
      <alignment horizontal="left" vertical="top"/>
    </xf>
    <xf numFmtId="0" fontId="64" fillId="3" borderId="12" xfId="8" applyFont="1" applyFill="1" applyBorder="1" applyAlignment="1">
      <alignment horizontal="left" vertical="top"/>
    </xf>
    <xf numFmtId="49" fontId="2" fillId="3" borderId="7" xfId="1" applyNumberFormat="1" applyFill="1" applyBorder="1" applyAlignment="1">
      <alignment horizontal="left"/>
    </xf>
    <xf numFmtId="1" fontId="65" fillId="3" borderId="13" xfId="0" applyNumberFormat="1" applyFont="1" applyFill="1" applyBorder="1" applyAlignment="1">
      <alignment horizontal="left"/>
    </xf>
    <xf numFmtId="0" fontId="65" fillId="3" borderId="13" xfId="0" applyFont="1" applyFill="1" applyBorder="1" applyAlignment="1">
      <alignment horizontal="left"/>
    </xf>
    <xf numFmtId="0" fontId="65" fillId="8" borderId="13" xfId="0" applyFont="1" applyFill="1" applyBorder="1" applyAlignment="1">
      <alignment horizontal="left" vertical="center"/>
    </xf>
    <xf numFmtId="14" fontId="11" fillId="3" borderId="7" xfId="8" applyNumberFormat="1" applyFont="1" applyFill="1" applyBorder="1" applyAlignment="1">
      <alignment horizontal="left" wrapText="1"/>
    </xf>
    <xf numFmtId="0" fontId="64" fillId="3" borderId="7" xfId="8" applyFont="1" applyFill="1" applyBorder="1" applyAlignment="1">
      <alignment horizontal="left" vertical="top"/>
    </xf>
    <xf numFmtId="164" fontId="65" fillId="3" borderId="13" xfId="0" applyNumberFormat="1" applyFont="1" applyFill="1" applyBorder="1" applyAlignment="1">
      <alignment horizontal="left"/>
    </xf>
    <xf numFmtId="49" fontId="65" fillId="3" borderId="13" xfId="0" applyNumberFormat="1" applyFont="1" applyFill="1" applyBorder="1" applyAlignment="1">
      <alignment horizontal="left"/>
    </xf>
    <xf numFmtId="14" fontId="65" fillId="7" borderId="13" xfId="0" applyNumberFormat="1" applyFont="1" applyFill="1" applyBorder="1" applyAlignment="1">
      <alignment horizontal="left" vertical="center"/>
    </xf>
    <xf numFmtId="49" fontId="63" fillId="3" borderId="13" xfId="1" applyNumberFormat="1" applyFont="1" applyFill="1" applyBorder="1" applyAlignment="1">
      <alignment horizontal="left"/>
    </xf>
  </cellXfs>
  <cellStyles count="12">
    <cellStyle name="Hipervínculo" xfId="1" builtinId="8"/>
    <cellStyle name="Hipervínculo 3" xfId="11"/>
    <cellStyle name="Millares 10 15" xfId="9"/>
    <cellStyle name="Normal" xfId="0" builtinId="0"/>
    <cellStyle name="Normal 104" xfId="7"/>
    <cellStyle name="Normal 104 5" xfId="2"/>
    <cellStyle name="Normal 2 2 2" xfId="10"/>
    <cellStyle name="Normal 2 2 2 2" xfId="3"/>
    <cellStyle name="Normal 34 5 8" xfId="8"/>
    <cellStyle name="Normal 34 5 8 5" xfId="5"/>
    <cellStyle name="Normal 38 4 7" xfId="6"/>
    <cellStyle name="Normal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="" xmlns:a16="http://schemas.microsoft.com/office/drawing/2014/main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="" xmlns:a16="http://schemas.microsoft.com/office/drawing/2014/main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="" xmlns:a16="http://schemas.microsoft.com/office/drawing/2014/main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109408</xdr:colOff>
      <xdr:row>0</xdr:row>
      <xdr:rowOff>173767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8" y="3703551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waltmor@gmail.com" TargetMode="External"/><Relationship Id="rId3" Type="http://schemas.openxmlformats.org/officeDocument/2006/relationships/hyperlink" Target="mailto:dmaloarizaga@hotmail.com" TargetMode="External"/><Relationship Id="rId7" Type="http://schemas.openxmlformats.org/officeDocument/2006/relationships/hyperlink" Target="mailto:gveleznarvaez@gmail.com" TargetMode="External"/><Relationship Id="rId2" Type="http://schemas.openxmlformats.org/officeDocument/2006/relationships/hyperlink" Target="mailto:estefaniaaguilarsamaniego@gmail.com" TargetMode="External"/><Relationship Id="rId1" Type="http://schemas.openxmlformats.org/officeDocument/2006/relationships/hyperlink" Target="mailto:gustavoe.cordero@gmail.com" TargetMode="External"/><Relationship Id="rId6" Type="http://schemas.openxmlformats.org/officeDocument/2006/relationships/hyperlink" Target="mailto:iyungad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achysy@hotmail.com" TargetMode="External"/><Relationship Id="rId10" Type="http://schemas.openxmlformats.org/officeDocument/2006/relationships/hyperlink" Target="mailto:mvanegasleon@hotmail.com" TargetMode="External"/><Relationship Id="rId4" Type="http://schemas.openxmlformats.org/officeDocument/2006/relationships/hyperlink" Target="mailto:mcajas@megahierro.com" TargetMode="External"/><Relationship Id="rId9" Type="http://schemas.openxmlformats.org/officeDocument/2006/relationships/hyperlink" Target="mailto:sanchezsimba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nmato83@hotmail.com" TargetMode="External"/><Relationship Id="rId13" Type="http://schemas.openxmlformats.org/officeDocument/2006/relationships/hyperlink" Target="mailto:jfzamoraq@hotmail.com" TargetMode="External"/><Relationship Id="rId18" Type="http://schemas.openxmlformats.org/officeDocument/2006/relationships/hyperlink" Target="mailto:victorbp04@hotmail.com" TargetMode="External"/><Relationship Id="rId26" Type="http://schemas.openxmlformats.org/officeDocument/2006/relationships/hyperlink" Target="mailto:fabianoscuenca@gmail.com" TargetMode="External"/><Relationship Id="rId3" Type="http://schemas.openxmlformats.org/officeDocument/2006/relationships/hyperlink" Target="mailto:junioresquivelio@hotmail.com" TargetMode="External"/><Relationship Id="rId21" Type="http://schemas.openxmlformats.org/officeDocument/2006/relationships/hyperlink" Target="mailto:olgatris28@hotmail.com" TargetMode="External"/><Relationship Id="rId7" Type="http://schemas.openxmlformats.org/officeDocument/2006/relationships/hyperlink" Target="mailto:sanmato83@hotmail.com" TargetMode="External"/><Relationship Id="rId12" Type="http://schemas.openxmlformats.org/officeDocument/2006/relationships/hyperlink" Target="mailto:jorgeeduardorios.arq@gmail.com" TargetMode="External"/><Relationship Id="rId17" Type="http://schemas.openxmlformats.org/officeDocument/2006/relationships/hyperlink" Target="mailto:magdalenaperalta458@gmail.com" TargetMode="External"/><Relationship Id="rId25" Type="http://schemas.openxmlformats.org/officeDocument/2006/relationships/hyperlink" Target="mailto:fabianoscuenca@gmail.com" TargetMode="External"/><Relationship Id="rId2" Type="http://schemas.openxmlformats.org/officeDocument/2006/relationships/hyperlink" Target="mailto:iswilches@yahoo.com" TargetMode="External"/><Relationship Id="rId16" Type="http://schemas.openxmlformats.org/officeDocument/2006/relationships/hyperlink" Target="mailto:magdalenaperalta458@gmail.com" TargetMode="External"/><Relationship Id="rId20" Type="http://schemas.openxmlformats.org/officeDocument/2006/relationships/hyperlink" Target="mailto:victorbp04@hotmail.com" TargetMode="External"/><Relationship Id="rId1" Type="http://schemas.openxmlformats.org/officeDocument/2006/relationships/hyperlink" Target="mailto:iswilches@yahoo.com" TargetMode="External"/><Relationship Id="rId6" Type="http://schemas.openxmlformats.org/officeDocument/2006/relationships/hyperlink" Target="mailto:pvasconez7@gmail.com" TargetMode="External"/><Relationship Id="rId11" Type="http://schemas.openxmlformats.org/officeDocument/2006/relationships/hyperlink" Target="mailto:jorgeeduardorios.arq@gmail.com" TargetMode="External"/><Relationship Id="rId24" Type="http://schemas.openxmlformats.org/officeDocument/2006/relationships/hyperlink" Target="mailto:fabianoscuenca@gmail.com" TargetMode="External"/><Relationship Id="rId5" Type="http://schemas.openxmlformats.org/officeDocument/2006/relationships/hyperlink" Target="mailto:pvasconez7@gmail.com" TargetMode="External"/><Relationship Id="rId15" Type="http://schemas.openxmlformats.org/officeDocument/2006/relationships/hyperlink" Target="mailto:jfzamoraq@hotmail.com" TargetMode="External"/><Relationship Id="rId23" Type="http://schemas.openxmlformats.org/officeDocument/2006/relationships/hyperlink" Target="mailto:fabianoscuenca@gmail.com" TargetMode="External"/><Relationship Id="rId28" Type="http://schemas.openxmlformats.org/officeDocument/2006/relationships/drawing" Target="../drawings/drawing3.xml"/><Relationship Id="rId10" Type="http://schemas.openxmlformats.org/officeDocument/2006/relationships/hyperlink" Target="mailto:priscilaruizalvarado@yahoo.com" TargetMode="External"/><Relationship Id="rId19" Type="http://schemas.openxmlformats.org/officeDocument/2006/relationships/hyperlink" Target="mailto:victorbp04@hotmail.com" TargetMode="External"/><Relationship Id="rId4" Type="http://schemas.openxmlformats.org/officeDocument/2006/relationships/hyperlink" Target="mailto:junioresquivelio@hotmail.com" TargetMode="External"/><Relationship Id="rId9" Type="http://schemas.openxmlformats.org/officeDocument/2006/relationships/hyperlink" Target="mailto:priscilaruizalvarado@yahoo.com" TargetMode="External"/><Relationship Id="rId14" Type="http://schemas.openxmlformats.org/officeDocument/2006/relationships/hyperlink" Target="mailto:jfzamoraq@hotmail.com" TargetMode="External"/><Relationship Id="rId22" Type="http://schemas.openxmlformats.org/officeDocument/2006/relationships/hyperlink" Target="mailto:olgatris28@hotmail.com" TargetMode="External"/><Relationship Id="rId27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aeso52@hotmail.com" TargetMode="External"/><Relationship Id="rId2" Type="http://schemas.openxmlformats.org/officeDocument/2006/relationships/hyperlink" Target="mailto:bettydd1944@gmail.com" TargetMode="External"/><Relationship Id="rId1" Type="http://schemas.openxmlformats.org/officeDocument/2006/relationships/hyperlink" Target="mailto:monavaco@gmail.com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veronica.ordonez.a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anmato83@hotmail.com" TargetMode="External"/><Relationship Id="rId13" Type="http://schemas.openxmlformats.org/officeDocument/2006/relationships/hyperlink" Target="mailto:olgatris28@hotmail.com" TargetMode="External"/><Relationship Id="rId18" Type="http://schemas.openxmlformats.org/officeDocument/2006/relationships/hyperlink" Target="mailto:jfzamoraq@hotmail.com" TargetMode="External"/><Relationship Id="rId26" Type="http://schemas.openxmlformats.org/officeDocument/2006/relationships/hyperlink" Target="mailto:fabianoscuenca@gmail.com" TargetMode="External"/><Relationship Id="rId3" Type="http://schemas.openxmlformats.org/officeDocument/2006/relationships/hyperlink" Target="mailto:iswilches@yahoo.com" TargetMode="External"/><Relationship Id="rId21" Type="http://schemas.openxmlformats.org/officeDocument/2006/relationships/hyperlink" Target="mailto:magdalenaperalta458@gmail.com" TargetMode="External"/><Relationship Id="rId7" Type="http://schemas.openxmlformats.org/officeDocument/2006/relationships/hyperlink" Target="mailto:pvasconez7@gmail.com" TargetMode="External"/><Relationship Id="rId12" Type="http://schemas.openxmlformats.org/officeDocument/2006/relationships/hyperlink" Target="mailto:priscilaruizalvarado@yahoo.com" TargetMode="External"/><Relationship Id="rId17" Type="http://schemas.openxmlformats.org/officeDocument/2006/relationships/hyperlink" Target="mailto:jorgeeduardorios.arq@gmail.com" TargetMode="External"/><Relationship Id="rId25" Type="http://schemas.openxmlformats.org/officeDocument/2006/relationships/hyperlink" Target="mailto:fabianoscuenca@gmail.com" TargetMode="External"/><Relationship Id="rId33" Type="http://schemas.openxmlformats.org/officeDocument/2006/relationships/printerSettings" Target="../printerSettings/printerSettings4.bin"/><Relationship Id="rId2" Type="http://schemas.openxmlformats.org/officeDocument/2006/relationships/hyperlink" Target="mailto:iswilches@yahoo.com" TargetMode="External"/><Relationship Id="rId16" Type="http://schemas.openxmlformats.org/officeDocument/2006/relationships/hyperlink" Target="mailto:jorgeeduardorios.arq@gmail.com" TargetMode="External"/><Relationship Id="rId20" Type="http://schemas.openxmlformats.org/officeDocument/2006/relationships/hyperlink" Target="mailto:jfzamoraq@hotmail.com" TargetMode="External"/><Relationship Id="rId29" Type="http://schemas.openxmlformats.org/officeDocument/2006/relationships/hyperlink" Target="mailto:victorbp04@hotmail.com" TargetMode="External"/><Relationship Id="rId1" Type="http://schemas.openxmlformats.org/officeDocument/2006/relationships/hyperlink" Target="mailto:monavaco@gmail.com" TargetMode="External"/><Relationship Id="rId6" Type="http://schemas.openxmlformats.org/officeDocument/2006/relationships/hyperlink" Target="mailto:pvasconez7@gmail.com" TargetMode="External"/><Relationship Id="rId11" Type="http://schemas.openxmlformats.org/officeDocument/2006/relationships/hyperlink" Target="mailto:priscilaruizalvarado@yahoo.com" TargetMode="External"/><Relationship Id="rId24" Type="http://schemas.openxmlformats.org/officeDocument/2006/relationships/hyperlink" Target="mailto:fabianoscuenca@gmail.com" TargetMode="External"/><Relationship Id="rId32" Type="http://schemas.openxmlformats.org/officeDocument/2006/relationships/hyperlink" Target="mailto:veronica.ordonez.a@gmail.com" TargetMode="External"/><Relationship Id="rId5" Type="http://schemas.openxmlformats.org/officeDocument/2006/relationships/hyperlink" Target="mailto:junioresquivelio@hotmail.com" TargetMode="External"/><Relationship Id="rId15" Type="http://schemas.openxmlformats.org/officeDocument/2006/relationships/hyperlink" Target="mailto:BETTYDD1944@GMAIL.COM" TargetMode="External"/><Relationship Id="rId23" Type="http://schemas.openxmlformats.org/officeDocument/2006/relationships/hyperlink" Target="mailto:fabianoscuenca@gmail.com" TargetMode="External"/><Relationship Id="rId28" Type="http://schemas.openxmlformats.org/officeDocument/2006/relationships/hyperlink" Target="mailto:victorbp04@hotmail.com" TargetMode="External"/><Relationship Id="rId10" Type="http://schemas.openxmlformats.org/officeDocument/2006/relationships/hyperlink" Target="mailto:laboratoriovm@hotmail.com" TargetMode="External"/><Relationship Id="rId19" Type="http://schemas.openxmlformats.org/officeDocument/2006/relationships/hyperlink" Target="mailto:jfzamoraq@hotmail.com" TargetMode="External"/><Relationship Id="rId31" Type="http://schemas.openxmlformats.org/officeDocument/2006/relationships/hyperlink" Target="mailto:vivinaochoavilla@gmail.com" TargetMode="External"/><Relationship Id="rId4" Type="http://schemas.openxmlformats.org/officeDocument/2006/relationships/hyperlink" Target="mailto:junioresquivelio@hotmail.com" TargetMode="External"/><Relationship Id="rId9" Type="http://schemas.openxmlformats.org/officeDocument/2006/relationships/hyperlink" Target="mailto:sanmato83@hotmail.com" TargetMode="External"/><Relationship Id="rId14" Type="http://schemas.openxmlformats.org/officeDocument/2006/relationships/hyperlink" Target="mailto:olgatris28@hotmail.com" TargetMode="External"/><Relationship Id="rId22" Type="http://schemas.openxmlformats.org/officeDocument/2006/relationships/hyperlink" Target="mailto:magdalenaperalta458@gmail.com" TargetMode="External"/><Relationship Id="rId27" Type="http://schemas.openxmlformats.org/officeDocument/2006/relationships/hyperlink" Target="mailto:victorbp04@hotmail.com" TargetMode="External"/><Relationship Id="rId30" Type="http://schemas.openxmlformats.org/officeDocument/2006/relationships/hyperlink" Target="mailto:maeso5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"/>
  <sheetViews>
    <sheetView workbookViewId="0">
      <selection activeCell="L14" sqref="L14"/>
    </sheetView>
  </sheetViews>
  <sheetFormatPr baseColWidth="10" defaultRowHeight="15"/>
  <sheetData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22" ht="15.75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5" t="s">
        <v>103</v>
      </c>
      <c r="M4" s="6"/>
      <c r="N4" s="6"/>
      <c r="O4" s="6"/>
      <c r="P4" s="1"/>
    </row>
    <row r="5" spans="1:22" ht="33.75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148"/>
      <c r="T5" s="148" t="s">
        <v>77</v>
      </c>
    </row>
    <row r="6" spans="1:22" ht="15.75">
      <c r="A6" s="11">
        <v>1</v>
      </c>
      <c r="B6" s="12"/>
      <c r="C6" s="13"/>
      <c r="D6" s="14"/>
      <c r="E6" s="15"/>
      <c r="F6" s="16"/>
      <c r="G6" s="15"/>
      <c r="H6" s="17" t="s">
        <v>24</v>
      </c>
      <c r="I6" s="17" t="s">
        <v>20</v>
      </c>
      <c r="J6" s="18" t="s">
        <v>21</v>
      </c>
      <c r="K6" s="12"/>
      <c r="L6" s="16"/>
      <c r="M6" s="16"/>
      <c r="N6" s="45"/>
      <c r="O6" s="20"/>
      <c r="P6" s="19" t="s">
        <v>22</v>
      </c>
      <c r="Q6" s="21" t="s">
        <v>23</v>
      </c>
      <c r="R6" s="22"/>
      <c r="S6" s="23"/>
      <c r="T6" s="24"/>
      <c r="U6" s="11"/>
      <c r="V6" s="11"/>
    </row>
    <row r="7" spans="1:22">
      <c r="O7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"/>
  <sheetViews>
    <sheetView topLeftCell="D1" workbookViewId="0">
      <selection activeCell="O8" sqref="O8"/>
    </sheetView>
  </sheetViews>
  <sheetFormatPr baseColWidth="10" defaultRowHeight="15"/>
  <cols>
    <col min="3" max="3" width="18.5703125" customWidth="1"/>
    <col min="7" max="7" width="14.85546875" customWidth="1"/>
    <col min="11" max="11" width="11.85546875" bestFit="1" customWidth="1"/>
    <col min="16" max="16" width="17.85546875" customWidth="1"/>
  </cols>
  <sheetData>
    <row r="2" spans="1:16">
      <c r="A2" s="26"/>
      <c r="B2" s="27"/>
      <c r="C2" s="28"/>
      <c r="D2" s="28"/>
      <c r="E2" s="28"/>
      <c r="F2" s="28"/>
      <c r="G2" s="28"/>
      <c r="H2" s="28"/>
      <c r="I2" s="28"/>
      <c r="J2" s="28"/>
      <c r="K2" s="29"/>
      <c r="L2" s="28"/>
      <c r="M2" s="28"/>
      <c r="N2" s="28"/>
      <c r="O2" s="30"/>
      <c r="P2" s="28"/>
    </row>
    <row r="3" spans="1:16">
      <c r="A3" s="28"/>
      <c r="B3" s="27"/>
      <c r="C3" s="31" t="s">
        <v>0</v>
      </c>
      <c r="D3" s="32"/>
      <c r="E3" s="32"/>
      <c r="F3" s="28"/>
      <c r="G3" s="32"/>
      <c r="H3" s="32"/>
      <c r="I3" s="32"/>
      <c r="J3" s="32"/>
      <c r="K3" s="33"/>
      <c r="L3" s="32"/>
      <c r="M3" s="32"/>
      <c r="N3" s="32"/>
      <c r="O3" s="34"/>
      <c r="P3" s="28"/>
    </row>
    <row r="4" spans="1:16" ht="15.75">
      <c r="A4" s="28"/>
      <c r="B4" s="35"/>
      <c r="C4" s="36" t="s">
        <v>1</v>
      </c>
      <c r="D4" s="36"/>
      <c r="E4" s="36"/>
      <c r="F4" s="28"/>
      <c r="G4" s="28"/>
      <c r="H4" s="37"/>
      <c r="I4" s="38" t="s">
        <v>25</v>
      </c>
      <c r="J4" s="37"/>
      <c r="K4" s="29"/>
      <c r="L4" s="39" t="s">
        <v>104</v>
      </c>
      <c r="M4" s="37"/>
      <c r="N4" s="37"/>
      <c r="O4" s="30"/>
      <c r="P4" s="28"/>
    </row>
    <row r="5" spans="1:16" ht="33.75">
      <c r="A5" s="28"/>
      <c r="B5" s="40" t="s">
        <v>4</v>
      </c>
      <c r="C5" s="41" t="s">
        <v>5</v>
      </c>
      <c r="D5" s="41" t="s">
        <v>6</v>
      </c>
      <c r="E5" s="41" t="s">
        <v>7</v>
      </c>
      <c r="F5" s="41" t="s">
        <v>8</v>
      </c>
      <c r="G5" s="41" t="s">
        <v>9</v>
      </c>
      <c r="H5" s="41" t="s">
        <v>10</v>
      </c>
      <c r="I5" s="41" t="s">
        <v>11</v>
      </c>
      <c r="J5" s="41" t="s">
        <v>12</v>
      </c>
      <c r="K5" s="42" t="s">
        <v>13</v>
      </c>
      <c r="L5" s="42" t="s">
        <v>14</v>
      </c>
      <c r="M5" s="42" t="s">
        <v>15</v>
      </c>
      <c r="N5" s="42" t="s">
        <v>16</v>
      </c>
      <c r="O5" s="43" t="s">
        <v>17</v>
      </c>
      <c r="P5" s="42" t="s">
        <v>18</v>
      </c>
    </row>
    <row r="6" spans="1:16" ht="15.75">
      <c r="A6" s="44">
        <v>2</v>
      </c>
      <c r="B6" s="155"/>
      <c r="C6" s="156"/>
      <c r="D6" s="156"/>
      <c r="E6" s="156"/>
      <c r="F6" s="157"/>
      <c r="G6" s="158"/>
      <c r="H6" s="156" t="s">
        <v>24</v>
      </c>
      <c r="I6" s="45" t="s">
        <v>3</v>
      </c>
      <c r="J6" s="45" t="s">
        <v>83</v>
      </c>
      <c r="K6" s="167"/>
      <c r="L6" s="45"/>
      <c r="M6" s="45"/>
      <c r="N6" s="45"/>
      <c r="O6" s="159"/>
      <c r="P6" s="45"/>
    </row>
    <row r="7" spans="1:16" ht="15.75">
      <c r="A7" s="44">
        <v>3</v>
      </c>
      <c r="B7" s="155"/>
      <c r="C7" s="156"/>
      <c r="D7" s="156"/>
      <c r="E7" s="156"/>
      <c r="F7" s="157"/>
      <c r="G7" s="158"/>
      <c r="H7" s="156" t="s">
        <v>24</v>
      </c>
      <c r="I7" s="45" t="s">
        <v>3</v>
      </c>
      <c r="J7" s="45" t="s">
        <v>83</v>
      </c>
      <c r="K7" s="167"/>
      <c r="L7" s="45"/>
      <c r="M7" s="45"/>
      <c r="N7" s="45"/>
      <c r="O7" s="159"/>
      <c r="P7" s="45"/>
    </row>
    <row r="8" spans="1:16" ht="15.75">
      <c r="A8" s="44">
        <v>4</v>
      </c>
      <c r="B8" s="155"/>
      <c r="C8" s="156"/>
      <c r="D8" s="156"/>
      <c r="E8" s="156"/>
      <c r="F8" s="157"/>
      <c r="G8" s="158"/>
      <c r="H8" s="156" t="s">
        <v>24</v>
      </c>
      <c r="I8" s="45" t="s">
        <v>3</v>
      </c>
      <c r="J8" s="45" t="s">
        <v>83</v>
      </c>
      <c r="K8" s="167"/>
      <c r="L8" s="45"/>
      <c r="M8" s="45"/>
      <c r="N8" s="45"/>
      <c r="O8" s="159">
        <v>29</v>
      </c>
      <c r="P8" s="45"/>
    </row>
    <row r="11" spans="1:16" ht="15.75">
      <c r="H11" s="4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0"/>
  <sheetViews>
    <sheetView topLeftCell="A7" workbookViewId="0">
      <selection activeCell="C16" sqref="C16"/>
    </sheetView>
  </sheetViews>
  <sheetFormatPr baseColWidth="10" defaultRowHeight="15"/>
  <cols>
    <col min="5" max="5" width="16.140625" customWidth="1"/>
    <col min="6" max="6" width="12.5703125" customWidth="1"/>
    <col min="7" max="7" width="18.7109375" customWidth="1"/>
    <col min="9" max="9" width="8.42578125" customWidth="1"/>
    <col min="14" max="14" width="15.85546875" customWidth="1"/>
    <col min="18" max="18" width="9.42578125" customWidth="1"/>
    <col min="19" max="19" width="17.140625" customWidth="1"/>
    <col min="21" max="21" width="27.28515625" customWidth="1"/>
  </cols>
  <sheetData>
    <row r="2" spans="1:21">
      <c r="B2" s="47"/>
      <c r="C2" s="48" t="s">
        <v>26</v>
      </c>
      <c r="F2" s="49"/>
      <c r="G2" s="50"/>
      <c r="H2" s="51"/>
      <c r="I2" s="52"/>
      <c r="J2" s="53"/>
      <c r="K2" s="54"/>
      <c r="L2" s="55"/>
      <c r="M2" s="55"/>
      <c r="N2" s="47"/>
      <c r="O2" s="56"/>
      <c r="T2" s="57"/>
    </row>
    <row r="3" spans="1:21">
      <c r="B3" s="47"/>
      <c r="C3" s="58" t="s">
        <v>1</v>
      </c>
      <c r="F3" s="59"/>
      <c r="G3" s="50"/>
      <c r="H3" s="51"/>
      <c r="I3" s="52"/>
      <c r="J3" s="53" t="s">
        <v>27</v>
      </c>
      <c r="K3" s="54"/>
      <c r="L3" s="55"/>
      <c r="M3" s="60"/>
      <c r="N3" s="61" t="s">
        <v>105</v>
      </c>
      <c r="O3" s="56"/>
      <c r="P3" s="62"/>
      <c r="T3" s="57"/>
    </row>
    <row r="4" spans="1:21" ht="24.75">
      <c r="B4" s="63" t="s">
        <v>28</v>
      </c>
      <c r="C4" s="63" t="s">
        <v>29</v>
      </c>
      <c r="D4" s="63" t="s">
        <v>30</v>
      </c>
      <c r="E4" s="63" t="s">
        <v>6</v>
      </c>
      <c r="F4" s="63" t="s">
        <v>31</v>
      </c>
      <c r="G4" s="63" t="s">
        <v>32</v>
      </c>
      <c r="H4" s="63" t="s">
        <v>33</v>
      </c>
      <c r="I4" s="63" t="s">
        <v>10</v>
      </c>
      <c r="J4" s="63" t="s">
        <v>34</v>
      </c>
      <c r="K4" s="63" t="s">
        <v>35</v>
      </c>
      <c r="L4" s="64" t="s">
        <v>14</v>
      </c>
      <c r="M4" s="64" t="s">
        <v>36</v>
      </c>
      <c r="N4" s="63" t="s">
        <v>16</v>
      </c>
      <c r="O4" s="65" t="s">
        <v>17</v>
      </c>
      <c r="P4" s="63" t="s">
        <v>37</v>
      </c>
      <c r="Q4" s="63" t="s">
        <v>38</v>
      </c>
      <c r="R4" s="66" t="s">
        <v>39</v>
      </c>
      <c r="S4" s="63" t="s">
        <v>40</v>
      </c>
      <c r="T4" s="63" t="s">
        <v>41</v>
      </c>
      <c r="U4" s="67" t="s">
        <v>42</v>
      </c>
    </row>
    <row r="5" spans="1:21">
      <c r="A5" s="68"/>
      <c r="B5" s="69">
        <v>45219</v>
      </c>
      <c r="C5" s="69">
        <v>45178</v>
      </c>
      <c r="D5" s="69" t="s">
        <v>19</v>
      </c>
      <c r="E5" s="69" t="s">
        <v>178</v>
      </c>
      <c r="F5" s="169">
        <v>112580058</v>
      </c>
      <c r="G5" s="69" t="s">
        <v>90</v>
      </c>
      <c r="H5" s="69" t="s">
        <v>179</v>
      </c>
      <c r="I5" s="169">
        <v>403537</v>
      </c>
      <c r="J5" s="69" t="s">
        <v>3</v>
      </c>
      <c r="K5" s="69" t="s">
        <v>83</v>
      </c>
      <c r="L5" s="69" t="s">
        <v>180</v>
      </c>
      <c r="M5" s="69" t="s">
        <v>181</v>
      </c>
      <c r="N5" s="70">
        <v>984847779</v>
      </c>
      <c r="O5" s="71">
        <v>29</v>
      </c>
      <c r="P5" s="69" t="s">
        <v>43</v>
      </c>
      <c r="Q5" s="69" t="s">
        <v>3</v>
      </c>
      <c r="R5" s="69"/>
      <c r="S5" s="69" t="s">
        <v>178</v>
      </c>
      <c r="T5" s="72">
        <v>104130091</v>
      </c>
      <c r="U5" s="162" t="s">
        <v>182</v>
      </c>
    </row>
    <row r="6" spans="1:21">
      <c r="B6" s="69">
        <v>45219</v>
      </c>
      <c r="C6" s="69">
        <v>45178</v>
      </c>
      <c r="D6" s="69" t="s">
        <v>19</v>
      </c>
      <c r="E6" s="69" t="s">
        <v>332</v>
      </c>
      <c r="F6" s="169">
        <v>112510035</v>
      </c>
      <c r="G6" s="69" t="s">
        <v>183</v>
      </c>
      <c r="H6" s="69" t="s">
        <v>184</v>
      </c>
      <c r="I6" s="169">
        <v>394007</v>
      </c>
      <c r="J6" s="69" t="s">
        <v>3</v>
      </c>
      <c r="K6" s="69" t="s">
        <v>83</v>
      </c>
      <c r="L6" s="69" t="s">
        <v>185</v>
      </c>
      <c r="M6" s="69" t="s">
        <v>186</v>
      </c>
      <c r="N6" s="70">
        <v>958940881</v>
      </c>
      <c r="O6" s="171">
        <v>25</v>
      </c>
      <c r="P6" s="69" t="s">
        <v>43</v>
      </c>
      <c r="Q6" s="69" t="s">
        <v>3</v>
      </c>
      <c r="R6" s="69"/>
      <c r="S6" s="69"/>
      <c r="T6" s="72">
        <v>104555404</v>
      </c>
      <c r="U6" s="162" t="s">
        <v>187</v>
      </c>
    </row>
    <row r="7" spans="1:21">
      <c r="B7" s="69">
        <v>45222</v>
      </c>
      <c r="C7" s="69">
        <v>45217</v>
      </c>
      <c r="D7" s="69" t="s">
        <v>92</v>
      </c>
      <c r="E7" s="69" t="s">
        <v>333</v>
      </c>
      <c r="F7" s="170">
        <v>40197155</v>
      </c>
      <c r="G7" s="69" t="s">
        <v>188</v>
      </c>
      <c r="H7" s="69" t="s">
        <v>189</v>
      </c>
      <c r="I7" s="170">
        <v>407493</v>
      </c>
      <c r="J7" s="69" t="s">
        <v>3</v>
      </c>
      <c r="K7" s="69" t="s">
        <v>83</v>
      </c>
      <c r="L7" s="69" t="s">
        <v>198</v>
      </c>
      <c r="M7" s="69" t="s">
        <v>199</v>
      </c>
      <c r="N7" s="70">
        <v>994070760</v>
      </c>
      <c r="O7" s="171">
        <v>15</v>
      </c>
      <c r="P7" s="69" t="s">
        <v>43</v>
      </c>
      <c r="Q7" s="69" t="s">
        <v>3</v>
      </c>
      <c r="R7" s="69"/>
      <c r="S7" s="69"/>
      <c r="T7" s="72">
        <v>103416983</v>
      </c>
      <c r="U7" s="162" t="s">
        <v>200</v>
      </c>
    </row>
    <row r="8" spans="1:21">
      <c r="B8" s="69">
        <v>45223</v>
      </c>
      <c r="C8" s="69">
        <v>44970</v>
      </c>
      <c r="D8" s="69" t="s">
        <v>87</v>
      </c>
      <c r="E8" s="69" t="s">
        <v>201</v>
      </c>
      <c r="F8" s="170">
        <v>111040006</v>
      </c>
      <c r="G8" s="69" t="s">
        <v>202</v>
      </c>
      <c r="H8" s="69" t="s">
        <v>203</v>
      </c>
      <c r="I8" s="169" t="s">
        <v>24</v>
      </c>
      <c r="J8" s="69" t="s">
        <v>3</v>
      </c>
      <c r="K8" s="69" t="s">
        <v>83</v>
      </c>
      <c r="L8" s="69" t="s">
        <v>204</v>
      </c>
      <c r="M8" s="69" t="s">
        <v>205</v>
      </c>
      <c r="N8" s="70">
        <v>992173389</v>
      </c>
      <c r="O8" s="71">
        <v>29</v>
      </c>
      <c r="P8" s="69" t="s">
        <v>43</v>
      </c>
      <c r="Q8" s="69" t="s">
        <v>3</v>
      </c>
      <c r="R8" s="69"/>
      <c r="S8" s="69" t="s">
        <v>201</v>
      </c>
      <c r="T8" s="72">
        <v>101676161</v>
      </c>
      <c r="U8" s="162" t="s">
        <v>206</v>
      </c>
    </row>
    <row r="9" spans="1:21">
      <c r="B9" s="69">
        <v>45224</v>
      </c>
      <c r="C9" s="69">
        <v>45221</v>
      </c>
      <c r="D9" s="69" t="s">
        <v>93</v>
      </c>
      <c r="E9" s="69" t="s">
        <v>207</v>
      </c>
      <c r="F9" s="169" t="s">
        <v>208</v>
      </c>
      <c r="G9" s="69" t="s">
        <v>209</v>
      </c>
      <c r="H9" s="69" t="s">
        <v>210</v>
      </c>
      <c r="I9" s="169" t="s">
        <v>211</v>
      </c>
      <c r="J9" s="69" t="s">
        <v>3</v>
      </c>
      <c r="K9" s="69" t="s">
        <v>83</v>
      </c>
      <c r="L9" s="69" t="s">
        <v>212</v>
      </c>
      <c r="M9" s="69" t="s">
        <v>213</v>
      </c>
      <c r="N9" s="70">
        <v>999268678</v>
      </c>
      <c r="O9" s="71">
        <v>25</v>
      </c>
      <c r="P9" s="69" t="s">
        <v>43</v>
      </c>
      <c r="Q9" s="69" t="s">
        <v>3</v>
      </c>
      <c r="R9" s="69"/>
      <c r="S9" s="69" t="s">
        <v>207</v>
      </c>
      <c r="T9" s="72">
        <v>101953594</v>
      </c>
      <c r="U9" s="162" t="s">
        <v>214</v>
      </c>
    </row>
    <row r="10" spans="1:21">
      <c r="B10" s="69">
        <v>45225</v>
      </c>
      <c r="C10" s="69">
        <v>45211</v>
      </c>
      <c r="D10" s="69" t="s">
        <v>95</v>
      </c>
      <c r="E10" s="69" t="s">
        <v>215</v>
      </c>
      <c r="F10" s="169" t="s">
        <v>216</v>
      </c>
      <c r="G10" s="69" t="s">
        <v>217</v>
      </c>
      <c r="H10" s="69" t="s">
        <v>218</v>
      </c>
      <c r="I10" s="169" t="s">
        <v>24</v>
      </c>
      <c r="J10" s="69" t="s">
        <v>3</v>
      </c>
      <c r="K10" s="69" t="s">
        <v>83</v>
      </c>
      <c r="L10" s="69" t="s">
        <v>219</v>
      </c>
      <c r="M10" s="69" t="s">
        <v>220</v>
      </c>
      <c r="N10" s="70">
        <v>9908882486</v>
      </c>
      <c r="O10" s="71">
        <v>25</v>
      </c>
      <c r="P10" s="69" t="s">
        <v>43</v>
      </c>
      <c r="Q10" s="69" t="s">
        <v>3</v>
      </c>
      <c r="R10" s="69"/>
      <c r="S10" s="69" t="s">
        <v>215</v>
      </c>
      <c r="T10" s="72">
        <v>106841000</v>
      </c>
      <c r="U10" s="162" t="s">
        <v>221</v>
      </c>
    </row>
    <row r="11" spans="1:21">
      <c r="B11" s="69">
        <v>45225</v>
      </c>
      <c r="C11" s="69">
        <v>45219</v>
      </c>
      <c r="D11" s="69" t="s">
        <v>92</v>
      </c>
      <c r="E11" s="69" t="s">
        <v>222</v>
      </c>
      <c r="F11" s="169" t="s">
        <v>223</v>
      </c>
      <c r="G11" s="69" t="s">
        <v>224</v>
      </c>
      <c r="H11" s="69" t="s">
        <v>225</v>
      </c>
      <c r="I11" s="169" t="s">
        <v>226</v>
      </c>
      <c r="J11" s="69" t="s">
        <v>3</v>
      </c>
      <c r="K11" s="69" t="s">
        <v>83</v>
      </c>
      <c r="L11" s="69" t="s">
        <v>227</v>
      </c>
      <c r="M11" s="69" t="s">
        <v>228</v>
      </c>
      <c r="N11" s="70">
        <v>2811471</v>
      </c>
      <c r="O11" s="71">
        <v>15</v>
      </c>
      <c r="P11" s="69" t="s">
        <v>43</v>
      </c>
      <c r="Q11" s="69" t="s">
        <v>3</v>
      </c>
      <c r="R11" s="69"/>
      <c r="S11" s="69" t="s">
        <v>222</v>
      </c>
      <c r="T11" s="72">
        <v>100007780</v>
      </c>
      <c r="U11" s="162" t="s">
        <v>229</v>
      </c>
    </row>
    <row r="12" spans="1:21">
      <c r="B12" s="69">
        <v>45226</v>
      </c>
      <c r="C12" s="69">
        <v>45212</v>
      </c>
      <c r="D12" s="69" t="s">
        <v>19</v>
      </c>
      <c r="E12" s="69" t="s">
        <v>230</v>
      </c>
      <c r="F12" s="169" t="s">
        <v>231</v>
      </c>
      <c r="G12" s="69" t="s">
        <v>96</v>
      </c>
      <c r="H12" s="69" t="s">
        <v>232</v>
      </c>
      <c r="I12" s="169" t="s">
        <v>233</v>
      </c>
      <c r="J12" s="69" t="s">
        <v>3</v>
      </c>
      <c r="K12" s="69" t="s">
        <v>83</v>
      </c>
      <c r="L12" s="69" t="s">
        <v>234</v>
      </c>
      <c r="M12" s="69" t="s">
        <v>235</v>
      </c>
      <c r="N12" s="70">
        <v>994423082</v>
      </c>
      <c r="O12" s="71">
        <v>15</v>
      </c>
      <c r="P12" s="69" t="s">
        <v>43</v>
      </c>
      <c r="Q12" s="69" t="s">
        <v>3</v>
      </c>
      <c r="R12" s="69"/>
      <c r="S12" s="69" t="s">
        <v>230</v>
      </c>
      <c r="T12" s="72">
        <v>104448725</v>
      </c>
      <c r="U12" s="162" t="s">
        <v>236</v>
      </c>
    </row>
    <row r="13" spans="1:21">
      <c r="B13" s="69">
        <v>45240</v>
      </c>
      <c r="C13" s="69">
        <v>45191</v>
      </c>
      <c r="D13" s="69" t="s">
        <v>93</v>
      </c>
      <c r="E13" s="69" t="s">
        <v>334</v>
      </c>
      <c r="F13" s="169" t="s">
        <v>216</v>
      </c>
      <c r="G13" s="69" t="s">
        <v>217</v>
      </c>
      <c r="H13" s="69" t="s">
        <v>335</v>
      </c>
      <c r="I13" s="169" t="s">
        <v>336</v>
      </c>
      <c r="J13" s="69" t="s">
        <v>3</v>
      </c>
      <c r="K13" s="69" t="s">
        <v>83</v>
      </c>
      <c r="L13" s="69" t="s">
        <v>337</v>
      </c>
      <c r="M13" s="69" t="s">
        <v>338</v>
      </c>
      <c r="N13" s="70">
        <v>722658298</v>
      </c>
      <c r="O13" s="71">
        <v>25</v>
      </c>
      <c r="P13" s="69" t="s">
        <v>43</v>
      </c>
      <c r="Q13" s="69" t="s">
        <v>3</v>
      </c>
      <c r="R13" s="69"/>
      <c r="S13" s="69" t="s">
        <v>334</v>
      </c>
      <c r="T13" s="72">
        <v>102361540</v>
      </c>
      <c r="U13" s="69"/>
    </row>
    <row r="14" spans="1:21">
      <c r="B14" s="69">
        <v>45240</v>
      </c>
      <c r="C14" s="69">
        <v>45239</v>
      </c>
      <c r="D14" s="69" t="s">
        <v>19</v>
      </c>
      <c r="E14" s="69" t="s">
        <v>339</v>
      </c>
      <c r="F14" s="169" t="s">
        <v>340</v>
      </c>
      <c r="G14" s="69" t="s">
        <v>156</v>
      </c>
      <c r="H14" s="69" t="s">
        <v>341</v>
      </c>
      <c r="I14" s="169" t="s">
        <v>342</v>
      </c>
      <c r="J14" s="69" t="s">
        <v>3</v>
      </c>
      <c r="K14" s="69" t="s">
        <v>83</v>
      </c>
      <c r="L14" s="69" t="s">
        <v>343</v>
      </c>
      <c r="M14" s="69" t="s">
        <v>344</v>
      </c>
      <c r="N14" s="70">
        <v>995371535</v>
      </c>
      <c r="O14" s="71">
        <v>29</v>
      </c>
      <c r="P14" s="69" t="s">
        <v>43</v>
      </c>
      <c r="Q14" s="69" t="s">
        <v>3</v>
      </c>
      <c r="R14" s="69"/>
      <c r="S14" s="69" t="s">
        <v>339</v>
      </c>
      <c r="T14" s="72">
        <v>1720958774</v>
      </c>
      <c r="U14" s="162" t="s">
        <v>345</v>
      </c>
    </row>
    <row r="15" spans="1:21">
      <c r="B15" s="69">
        <v>45240</v>
      </c>
      <c r="C15" s="69">
        <v>45236</v>
      </c>
      <c r="D15" s="69" t="s">
        <v>19</v>
      </c>
      <c r="E15" s="69" t="s">
        <v>346</v>
      </c>
      <c r="F15" s="169" t="s">
        <v>216</v>
      </c>
      <c r="G15" s="69" t="s">
        <v>217</v>
      </c>
      <c r="H15" s="69" t="s">
        <v>347</v>
      </c>
      <c r="I15" s="169" t="s">
        <v>348</v>
      </c>
      <c r="J15" s="69" t="s">
        <v>3</v>
      </c>
      <c r="K15" s="69" t="s">
        <v>83</v>
      </c>
      <c r="L15" s="69" t="s">
        <v>349</v>
      </c>
      <c r="M15" s="69" t="s">
        <v>350</v>
      </c>
      <c r="N15" s="70">
        <v>984745385</v>
      </c>
      <c r="O15" s="71">
        <v>25</v>
      </c>
      <c r="P15" s="69" t="s">
        <v>43</v>
      </c>
      <c r="Q15" s="69" t="s">
        <v>3</v>
      </c>
      <c r="R15" s="69"/>
      <c r="S15" s="69" t="s">
        <v>346</v>
      </c>
      <c r="T15" s="72">
        <v>103767612</v>
      </c>
      <c r="U15" s="162" t="s">
        <v>351</v>
      </c>
    </row>
    <row r="16" spans="1:21">
      <c r="B16" s="69"/>
      <c r="C16" s="69"/>
      <c r="D16" s="69"/>
      <c r="E16" s="69"/>
      <c r="F16" s="169"/>
      <c r="G16" s="69"/>
      <c r="H16" s="69"/>
      <c r="I16" s="169"/>
      <c r="J16" s="69" t="s">
        <v>3</v>
      </c>
      <c r="K16" s="69" t="s">
        <v>83</v>
      </c>
      <c r="L16" s="69"/>
      <c r="M16" s="69"/>
      <c r="N16" s="70"/>
      <c r="O16" s="71"/>
      <c r="P16" s="69" t="s">
        <v>43</v>
      </c>
      <c r="Q16" s="69" t="s">
        <v>3</v>
      </c>
      <c r="R16" s="69"/>
      <c r="S16" s="69"/>
      <c r="T16" s="72"/>
      <c r="U16" s="69"/>
    </row>
    <row r="17" spans="2:21">
      <c r="B17" s="69"/>
      <c r="C17" s="69"/>
      <c r="D17" s="69"/>
      <c r="E17" s="69"/>
      <c r="F17" s="169"/>
      <c r="G17" s="69"/>
      <c r="H17" s="69"/>
      <c r="I17" s="169"/>
      <c r="J17" s="69" t="s">
        <v>3</v>
      </c>
      <c r="K17" s="69" t="s">
        <v>83</v>
      </c>
      <c r="L17" s="69"/>
      <c r="M17" s="69"/>
      <c r="N17" s="70"/>
      <c r="O17" s="71"/>
      <c r="P17" s="69" t="s">
        <v>43</v>
      </c>
      <c r="Q17" s="69" t="s">
        <v>3</v>
      </c>
      <c r="R17" s="69"/>
      <c r="S17" s="69"/>
      <c r="T17" s="72"/>
      <c r="U17" s="69"/>
    </row>
    <row r="18" spans="2:21">
      <c r="B18" s="69"/>
      <c r="C18" s="69"/>
      <c r="D18" s="69"/>
      <c r="E18" s="69"/>
      <c r="F18" s="169"/>
      <c r="G18" s="69"/>
      <c r="H18" s="69"/>
      <c r="I18" s="169"/>
      <c r="J18" s="69" t="s">
        <v>3</v>
      </c>
      <c r="K18" s="69" t="s">
        <v>83</v>
      </c>
      <c r="L18" s="69"/>
      <c r="M18" s="69"/>
      <c r="N18" s="70"/>
      <c r="O18" s="71"/>
      <c r="P18" s="69" t="s">
        <v>43</v>
      </c>
      <c r="Q18" s="69" t="s">
        <v>3</v>
      </c>
      <c r="R18" s="69"/>
      <c r="S18" s="69"/>
      <c r="T18" s="72"/>
      <c r="U18" s="69"/>
    </row>
    <row r="19" spans="2:21">
      <c r="B19" s="69"/>
      <c r="C19" s="69"/>
      <c r="D19" s="69"/>
      <c r="E19" s="69"/>
      <c r="F19" s="169"/>
      <c r="G19" s="69"/>
      <c r="H19" s="69"/>
      <c r="I19" s="169"/>
      <c r="J19" s="69" t="s">
        <v>3</v>
      </c>
      <c r="K19" s="69" t="s">
        <v>83</v>
      </c>
      <c r="L19" s="69"/>
      <c r="M19" s="69"/>
      <c r="N19" s="70"/>
      <c r="O19" s="71"/>
      <c r="P19" s="69" t="s">
        <v>43</v>
      </c>
      <c r="Q19" s="69" t="s">
        <v>3</v>
      </c>
      <c r="R19" s="69"/>
      <c r="S19" s="69"/>
      <c r="T19" s="72"/>
      <c r="U19" s="69"/>
    </row>
    <row r="20" spans="2:21">
      <c r="B20" s="168"/>
    </row>
  </sheetData>
  <hyperlinks>
    <hyperlink ref="U5" r:id="rId1"/>
    <hyperlink ref="U6" r:id="rId2"/>
    <hyperlink ref="U7" r:id="rId3"/>
    <hyperlink ref="U8" r:id="rId4"/>
    <hyperlink ref="U9" r:id="rId5"/>
    <hyperlink ref="U10" r:id="rId6"/>
    <hyperlink ref="U11" r:id="rId7"/>
    <hyperlink ref="U12" r:id="rId8"/>
    <hyperlink ref="U14" r:id="rId9"/>
    <hyperlink ref="U15" r:id="rId10"/>
  </hyperlinks>
  <pageMargins left="0.7" right="0.7" top="0.75" bottom="0.75" header="0.3" footer="0.3"/>
  <pageSetup paperSize="9" orientation="portrait" horizontalDpi="0" verticalDpi="0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opLeftCell="F10" workbookViewId="0">
      <selection activeCell="M25" sqref="M25"/>
    </sheetView>
  </sheetViews>
  <sheetFormatPr baseColWidth="10" defaultRowHeight="15"/>
  <cols>
    <col min="2" max="2" width="11.85546875" bestFit="1" customWidth="1"/>
    <col min="3" max="3" width="17.5703125" customWidth="1"/>
    <col min="4" max="4" width="20.28515625" customWidth="1"/>
    <col min="6" max="6" width="26.28515625" customWidth="1"/>
    <col min="7" max="7" width="16.42578125" customWidth="1"/>
    <col min="12" max="12" width="19.85546875" customWidth="1"/>
    <col min="13" max="13" width="24.85546875" customWidth="1"/>
    <col min="14" max="14" width="12.42578125" bestFit="1" customWidth="1"/>
    <col min="15" max="15" width="14.7109375" customWidth="1"/>
    <col min="16" max="16" width="15.28515625" customWidth="1"/>
    <col min="19" max="19" width="18.85546875" customWidth="1"/>
    <col min="20" max="20" width="15" customWidth="1"/>
    <col min="21" max="21" width="29.42578125" customWidth="1"/>
  </cols>
  <sheetData>
    <row r="1" spans="1:22">
      <c r="A1" s="73"/>
    </row>
    <row r="2" spans="1:22">
      <c r="A2" s="73"/>
    </row>
    <row r="3" spans="1:22">
      <c r="A3" s="74"/>
      <c r="C3" s="75" t="s">
        <v>26</v>
      </c>
      <c r="E3" s="76"/>
      <c r="G3" s="77"/>
      <c r="H3" s="78"/>
      <c r="I3" s="79"/>
      <c r="J3" s="80"/>
      <c r="K3" s="78"/>
      <c r="L3" s="81"/>
      <c r="M3" s="81"/>
      <c r="N3" s="78"/>
      <c r="O3" s="82"/>
    </row>
    <row r="4" spans="1:22" ht="15.75">
      <c r="A4" s="74"/>
      <c r="C4" s="83" t="s">
        <v>1</v>
      </c>
      <c r="E4" s="78"/>
      <c r="G4" s="84" t="s">
        <v>44</v>
      </c>
      <c r="H4" s="85"/>
      <c r="I4" s="86"/>
      <c r="J4" s="87"/>
      <c r="K4" s="85"/>
      <c r="L4" s="88"/>
      <c r="M4" s="89"/>
      <c r="N4" s="78" t="s">
        <v>106</v>
      </c>
      <c r="O4" s="82"/>
      <c r="P4" s="90"/>
    </row>
    <row r="5" spans="1:22" ht="22.5">
      <c r="A5" s="91"/>
      <c r="B5" s="92" t="s">
        <v>29</v>
      </c>
      <c r="C5" s="93" t="s">
        <v>30</v>
      </c>
      <c r="D5" s="93" t="s">
        <v>6</v>
      </c>
      <c r="E5" s="94" t="s">
        <v>31</v>
      </c>
      <c r="F5" s="93" t="s">
        <v>32</v>
      </c>
      <c r="G5" s="94" t="s">
        <v>33</v>
      </c>
      <c r="H5" s="94" t="s">
        <v>10</v>
      </c>
      <c r="I5" s="93" t="s">
        <v>34</v>
      </c>
      <c r="J5" s="94" t="s">
        <v>35</v>
      </c>
      <c r="K5" s="93" t="s">
        <v>28</v>
      </c>
      <c r="L5" s="95" t="s">
        <v>14</v>
      </c>
      <c r="M5" s="95" t="s">
        <v>36</v>
      </c>
      <c r="N5" s="94" t="s">
        <v>16</v>
      </c>
      <c r="O5" s="96" t="s">
        <v>17</v>
      </c>
      <c r="P5" s="93" t="s">
        <v>37</v>
      </c>
      <c r="Q5" s="93" t="s">
        <v>38</v>
      </c>
      <c r="R5" s="92" t="s">
        <v>39</v>
      </c>
      <c r="S5" s="93" t="s">
        <v>40</v>
      </c>
      <c r="T5" s="92" t="s">
        <v>41</v>
      </c>
      <c r="U5" s="92" t="s">
        <v>42</v>
      </c>
      <c r="V5" s="97"/>
    </row>
    <row r="6" spans="1:22" ht="15.75">
      <c r="A6" s="98">
        <v>1</v>
      </c>
      <c r="B6" s="99">
        <v>45143</v>
      </c>
      <c r="C6" s="100" t="s">
        <v>19</v>
      </c>
      <c r="D6" s="100" t="s">
        <v>108</v>
      </c>
      <c r="E6" s="101">
        <v>112580058</v>
      </c>
      <c r="F6" s="102" t="s">
        <v>90</v>
      </c>
      <c r="G6" s="103" t="s">
        <v>109</v>
      </c>
      <c r="H6" s="100">
        <v>400230</v>
      </c>
      <c r="I6" s="100" t="s">
        <v>23</v>
      </c>
      <c r="J6" s="103" t="s">
        <v>21</v>
      </c>
      <c r="K6" s="166">
        <v>45224</v>
      </c>
      <c r="L6" s="104" t="s">
        <v>110</v>
      </c>
      <c r="M6" s="104" t="s">
        <v>111</v>
      </c>
      <c r="N6" s="100">
        <v>2886160</v>
      </c>
      <c r="O6" s="105">
        <v>20</v>
      </c>
      <c r="P6" s="103" t="s">
        <v>45</v>
      </c>
      <c r="Q6" s="103" t="s">
        <v>23</v>
      </c>
      <c r="R6" s="106"/>
      <c r="S6" s="100" t="s">
        <v>108</v>
      </c>
      <c r="T6" s="149" t="s">
        <v>112</v>
      </c>
      <c r="U6" s="150" t="s">
        <v>113</v>
      </c>
      <c r="V6" s="11"/>
    </row>
    <row r="7" spans="1:22" ht="15.75">
      <c r="A7" s="98">
        <v>2</v>
      </c>
      <c r="B7" s="99">
        <v>45143</v>
      </c>
      <c r="C7" s="100" t="s">
        <v>19</v>
      </c>
      <c r="D7" s="100" t="s">
        <v>108</v>
      </c>
      <c r="E7" s="101">
        <v>40584012</v>
      </c>
      <c r="F7" s="102" t="s">
        <v>114</v>
      </c>
      <c r="G7" s="103" t="s">
        <v>115</v>
      </c>
      <c r="H7" s="100" t="s">
        <v>24</v>
      </c>
      <c r="I7" s="100" t="s">
        <v>23</v>
      </c>
      <c r="J7" s="103" t="s">
        <v>21</v>
      </c>
      <c r="K7" s="166">
        <v>45224</v>
      </c>
      <c r="L7" s="104" t="s">
        <v>110</v>
      </c>
      <c r="M7" s="104" t="s">
        <v>111</v>
      </c>
      <c r="N7" s="100">
        <v>2886160</v>
      </c>
      <c r="O7" s="105">
        <v>20</v>
      </c>
      <c r="P7" s="103" t="s">
        <v>45</v>
      </c>
      <c r="Q7" s="103" t="s">
        <v>23</v>
      </c>
      <c r="R7" s="106"/>
      <c r="S7" s="100" t="s">
        <v>108</v>
      </c>
      <c r="T7" s="149" t="s">
        <v>112</v>
      </c>
      <c r="U7" s="150" t="s">
        <v>113</v>
      </c>
      <c r="V7" s="11"/>
    </row>
    <row r="8" spans="1:22" ht="15.75">
      <c r="A8" s="98">
        <v>3</v>
      </c>
      <c r="B8" s="99">
        <v>45176</v>
      </c>
      <c r="C8" s="100" t="s">
        <v>19</v>
      </c>
      <c r="D8" s="100" t="s">
        <v>116</v>
      </c>
      <c r="E8" s="101">
        <v>112580058</v>
      </c>
      <c r="F8" s="102" t="s">
        <v>90</v>
      </c>
      <c r="G8" s="103" t="s">
        <v>117</v>
      </c>
      <c r="H8" s="100">
        <v>403531</v>
      </c>
      <c r="I8" s="100" t="s">
        <v>23</v>
      </c>
      <c r="J8" s="103" t="s">
        <v>21</v>
      </c>
      <c r="K8" s="166">
        <v>45224</v>
      </c>
      <c r="L8" s="104" t="s">
        <v>118</v>
      </c>
      <c r="M8" s="104" t="s">
        <v>119</v>
      </c>
      <c r="N8" s="100">
        <v>992985777</v>
      </c>
      <c r="O8" s="105">
        <v>20</v>
      </c>
      <c r="P8" s="103" t="s">
        <v>45</v>
      </c>
      <c r="Q8" s="103" t="s">
        <v>23</v>
      </c>
      <c r="R8" s="106"/>
      <c r="S8" s="100" t="s">
        <v>116</v>
      </c>
      <c r="T8" s="149" t="s">
        <v>120</v>
      </c>
      <c r="U8" s="150" t="s">
        <v>121</v>
      </c>
      <c r="V8" s="11"/>
    </row>
    <row r="9" spans="1:22" ht="15.75">
      <c r="A9" s="98">
        <v>4</v>
      </c>
      <c r="B9" s="99">
        <v>45176</v>
      </c>
      <c r="C9" s="100" t="s">
        <v>19</v>
      </c>
      <c r="D9" s="100" t="s">
        <v>116</v>
      </c>
      <c r="E9" s="101">
        <v>112930047</v>
      </c>
      <c r="F9" s="102" t="s">
        <v>122</v>
      </c>
      <c r="G9" s="103" t="s">
        <v>123</v>
      </c>
      <c r="H9" s="100">
        <v>406814</v>
      </c>
      <c r="I9" s="100" t="s">
        <v>23</v>
      </c>
      <c r="J9" s="103" t="s">
        <v>21</v>
      </c>
      <c r="K9" s="166">
        <v>45224</v>
      </c>
      <c r="L9" s="104" t="s">
        <v>118</v>
      </c>
      <c r="M9" s="104" t="s">
        <v>119</v>
      </c>
      <c r="N9" s="100">
        <v>992985777</v>
      </c>
      <c r="O9" s="105">
        <v>20</v>
      </c>
      <c r="P9" s="103" t="s">
        <v>45</v>
      </c>
      <c r="Q9" s="103" t="s">
        <v>23</v>
      </c>
      <c r="R9" s="106"/>
      <c r="S9" s="100" t="s">
        <v>116</v>
      </c>
      <c r="T9" s="149" t="s">
        <v>120</v>
      </c>
      <c r="U9" s="150" t="s">
        <v>121</v>
      </c>
      <c r="V9" s="11"/>
    </row>
    <row r="10" spans="1:22" ht="15.75">
      <c r="A10" s="98">
        <v>5</v>
      </c>
      <c r="B10" s="99">
        <v>45166</v>
      </c>
      <c r="C10" s="100" t="s">
        <v>19</v>
      </c>
      <c r="D10" s="100" t="s">
        <v>124</v>
      </c>
      <c r="E10" s="101">
        <v>112510036</v>
      </c>
      <c r="F10" s="102" t="s">
        <v>125</v>
      </c>
      <c r="G10" s="103" t="s">
        <v>126</v>
      </c>
      <c r="H10" s="100">
        <v>403124</v>
      </c>
      <c r="I10" s="100" t="s">
        <v>23</v>
      </c>
      <c r="J10" s="103" t="s">
        <v>21</v>
      </c>
      <c r="K10" s="166">
        <v>45229</v>
      </c>
      <c r="L10" s="104" t="s">
        <v>127</v>
      </c>
      <c r="M10" s="104" t="s">
        <v>128</v>
      </c>
      <c r="N10" s="100">
        <v>979264297</v>
      </c>
      <c r="O10" s="105">
        <v>20</v>
      </c>
      <c r="P10" s="103" t="s">
        <v>45</v>
      </c>
      <c r="Q10" s="103" t="s">
        <v>23</v>
      </c>
      <c r="R10" s="106"/>
      <c r="S10" s="100" t="s">
        <v>124</v>
      </c>
      <c r="T10" s="149" t="s">
        <v>129</v>
      </c>
      <c r="U10" s="150" t="s">
        <v>130</v>
      </c>
      <c r="V10" s="11"/>
    </row>
    <row r="11" spans="1:22" ht="15.75">
      <c r="A11" s="98">
        <v>6</v>
      </c>
      <c r="B11" s="99">
        <v>45154</v>
      </c>
      <c r="C11" s="100" t="s">
        <v>19</v>
      </c>
      <c r="D11" s="100" t="s">
        <v>131</v>
      </c>
      <c r="E11" s="101">
        <v>112580027</v>
      </c>
      <c r="F11" s="102" t="s">
        <v>97</v>
      </c>
      <c r="G11" s="103" t="s">
        <v>132</v>
      </c>
      <c r="H11" s="100">
        <v>390893</v>
      </c>
      <c r="I11" s="100" t="s">
        <v>23</v>
      </c>
      <c r="J11" s="103" t="s">
        <v>21</v>
      </c>
      <c r="K11" s="166">
        <v>45229</v>
      </c>
      <c r="L11" s="104" t="s">
        <v>127</v>
      </c>
      <c r="M11" s="104" t="s">
        <v>128</v>
      </c>
      <c r="N11" s="100">
        <v>979264297</v>
      </c>
      <c r="O11" s="105">
        <v>20</v>
      </c>
      <c r="P11" s="103" t="s">
        <v>45</v>
      </c>
      <c r="Q11" s="103" t="s">
        <v>23</v>
      </c>
      <c r="R11" s="106"/>
      <c r="S11" s="100" t="s">
        <v>131</v>
      </c>
      <c r="T11" s="149" t="s">
        <v>129</v>
      </c>
      <c r="U11" s="150" t="s">
        <v>130</v>
      </c>
      <c r="V11" s="11"/>
    </row>
    <row r="12" spans="1:22" ht="15.75">
      <c r="A12" s="98">
        <v>7</v>
      </c>
      <c r="B12" s="99">
        <v>44891</v>
      </c>
      <c r="C12" s="100" t="s">
        <v>19</v>
      </c>
      <c r="D12" s="100" t="s">
        <v>133</v>
      </c>
      <c r="E12" s="101">
        <v>112570123</v>
      </c>
      <c r="F12" s="102" t="s">
        <v>134</v>
      </c>
      <c r="G12" s="103" t="s">
        <v>135</v>
      </c>
      <c r="H12" s="100" t="s">
        <v>24</v>
      </c>
      <c r="I12" s="100" t="s">
        <v>23</v>
      </c>
      <c r="J12" s="103" t="s">
        <v>21</v>
      </c>
      <c r="K12" s="166">
        <v>45230</v>
      </c>
      <c r="L12" s="104" t="s">
        <v>136</v>
      </c>
      <c r="M12" s="104" t="s">
        <v>137</v>
      </c>
      <c r="N12" s="100">
        <v>2804852</v>
      </c>
      <c r="O12" s="105">
        <v>20</v>
      </c>
      <c r="P12" s="103" t="s">
        <v>45</v>
      </c>
      <c r="Q12" s="103" t="s">
        <v>23</v>
      </c>
      <c r="R12" s="106"/>
      <c r="S12" s="100" t="s">
        <v>133</v>
      </c>
      <c r="T12" s="149" t="s">
        <v>138</v>
      </c>
      <c r="U12" s="150"/>
      <c r="V12" s="11"/>
    </row>
    <row r="13" spans="1:22" ht="15.75">
      <c r="A13" s="98">
        <v>8</v>
      </c>
      <c r="B13" s="99">
        <v>44614</v>
      </c>
      <c r="C13" s="100" t="s">
        <v>139</v>
      </c>
      <c r="D13" s="100" t="s">
        <v>140</v>
      </c>
      <c r="E13" s="101">
        <v>40446712</v>
      </c>
      <c r="F13" s="102" t="s">
        <v>141</v>
      </c>
      <c r="G13" s="103" t="s">
        <v>142</v>
      </c>
      <c r="H13" s="100">
        <v>363161</v>
      </c>
      <c r="I13" s="100" t="s">
        <v>23</v>
      </c>
      <c r="J13" s="103" t="s">
        <v>21</v>
      </c>
      <c r="K13" s="166">
        <v>45230</v>
      </c>
      <c r="L13" s="104" t="s">
        <v>136</v>
      </c>
      <c r="M13" s="104" t="s">
        <v>137</v>
      </c>
      <c r="N13" s="100">
        <v>2804852</v>
      </c>
      <c r="O13" s="105">
        <v>20</v>
      </c>
      <c r="P13" s="103" t="s">
        <v>45</v>
      </c>
      <c r="Q13" s="103" t="s">
        <v>23</v>
      </c>
      <c r="R13" s="106"/>
      <c r="S13" s="100" t="s">
        <v>140</v>
      </c>
      <c r="T13" s="149" t="s">
        <v>138</v>
      </c>
      <c r="U13" s="150"/>
      <c r="V13" s="11"/>
    </row>
    <row r="14" spans="1:22" ht="15.75">
      <c r="A14" s="98">
        <v>9</v>
      </c>
      <c r="B14" s="99">
        <v>45026</v>
      </c>
      <c r="C14" s="100" t="s">
        <v>19</v>
      </c>
      <c r="D14" s="100" t="s">
        <v>143</v>
      </c>
      <c r="E14" s="101">
        <v>112580027</v>
      </c>
      <c r="F14" s="102" t="s">
        <v>97</v>
      </c>
      <c r="G14" s="103" t="s">
        <v>144</v>
      </c>
      <c r="H14" s="100" t="s">
        <v>24</v>
      </c>
      <c r="I14" s="100" t="s">
        <v>23</v>
      </c>
      <c r="J14" s="103" t="s">
        <v>21</v>
      </c>
      <c r="K14" s="166">
        <v>45231</v>
      </c>
      <c r="L14" s="104" t="s">
        <v>145</v>
      </c>
      <c r="M14" s="104" t="s">
        <v>146</v>
      </c>
      <c r="N14" s="100">
        <v>992530846</v>
      </c>
      <c r="O14" s="105">
        <v>20</v>
      </c>
      <c r="P14" s="103" t="s">
        <v>45</v>
      </c>
      <c r="Q14" s="103" t="s">
        <v>23</v>
      </c>
      <c r="R14" s="106"/>
      <c r="S14" s="100" t="s">
        <v>143</v>
      </c>
      <c r="T14" s="149" t="s">
        <v>147</v>
      </c>
      <c r="U14" s="150" t="s">
        <v>148</v>
      </c>
      <c r="V14" s="11"/>
    </row>
    <row r="15" spans="1:22" ht="15.75">
      <c r="A15" s="98">
        <v>10</v>
      </c>
      <c r="B15" s="99">
        <v>45026</v>
      </c>
      <c r="C15" s="100" t="s">
        <v>19</v>
      </c>
      <c r="D15" s="100" t="s">
        <v>143</v>
      </c>
      <c r="E15" s="101">
        <v>40467305</v>
      </c>
      <c r="F15" s="102" t="s">
        <v>91</v>
      </c>
      <c r="G15" s="103" t="s">
        <v>149</v>
      </c>
      <c r="H15" s="100" t="s">
        <v>24</v>
      </c>
      <c r="I15" s="100" t="s">
        <v>23</v>
      </c>
      <c r="J15" s="103" t="s">
        <v>21</v>
      </c>
      <c r="K15" s="166">
        <v>45231</v>
      </c>
      <c r="L15" s="104" t="s">
        <v>145</v>
      </c>
      <c r="M15" s="104" t="s">
        <v>146</v>
      </c>
      <c r="N15" s="100">
        <v>992530846</v>
      </c>
      <c r="O15" s="105">
        <v>20</v>
      </c>
      <c r="P15" s="103" t="s">
        <v>45</v>
      </c>
      <c r="Q15" s="103" t="s">
        <v>23</v>
      </c>
      <c r="R15" s="106"/>
      <c r="S15" s="100" t="s">
        <v>143</v>
      </c>
      <c r="T15" s="149" t="s">
        <v>147</v>
      </c>
      <c r="U15" s="150" t="s">
        <v>148</v>
      </c>
      <c r="V15" s="11"/>
    </row>
    <row r="16" spans="1:22" ht="15.75">
      <c r="A16" s="98">
        <v>11</v>
      </c>
      <c r="B16" s="99">
        <v>45229</v>
      </c>
      <c r="C16" s="100" t="s">
        <v>19</v>
      </c>
      <c r="D16" s="100" t="s">
        <v>158</v>
      </c>
      <c r="E16" s="101">
        <v>111030002</v>
      </c>
      <c r="F16" s="102" t="s">
        <v>156</v>
      </c>
      <c r="G16" s="103" t="s">
        <v>157</v>
      </c>
      <c r="H16" s="100">
        <v>405837</v>
      </c>
      <c r="I16" s="100" t="s">
        <v>23</v>
      </c>
      <c r="J16" s="103" t="s">
        <v>21</v>
      </c>
      <c r="K16" s="166">
        <v>45237</v>
      </c>
      <c r="L16" s="104" t="s">
        <v>159</v>
      </c>
      <c r="M16" s="104" t="s">
        <v>160</v>
      </c>
      <c r="N16" s="100">
        <v>995750070</v>
      </c>
      <c r="O16" s="105">
        <v>20</v>
      </c>
      <c r="P16" s="103" t="s">
        <v>45</v>
      </c>
      <c r="Q16" s="103" t="s">
        <v>23</v>
      </c>
      <c r="R16" s="106"/>
      <c r="S16" s="100" t="s">
        <v>158</v>
      </c>
      <c r="T16" s="149" t="s">
        <v>161</v>
      </c>
      <c r="U16" s="150" t="s">
        <v>162</v>
      </c>
      <c r="V16" s="11"/>
    </row>
    <row r="17" spans="1:22" ht="15.75">
      <c r="A17" s="98">
        <v>12</v>
      </c>
      <c r="B17" s="99">
        <v>45229</v>
      </c>
      <c r="C17" s="100" t="s">
        <v>19</v>
      </c>
      <c r="D17" s="100" t="s">
        <v>158</v>
      </c>
      <c r="E17" s="101">
        <v>40211501</v>
      </c>
      <c r="F17" s="102" t="s">
        <v>163</v>
      </c>
      <c r="G17" s="103" t="s">
        <v>164</v>
      </c>
      <c r="H17" s="100">
        <v>372987</v>
      </c>
      <c r="I17" s="100" t="s">
        <v>23</v>
      </c>
      <c r="J17" s="103" t="s">
        <v>21</v>
      </c>
      <c r="K17" s="166">
        <v>45237</v>
      </c>
      <c r="L17" s="104" t="s">
        <v>159</v>
      </c>
      <c r="M17" s="104" t="s">
        <v>160</v>
      </c>
      <c r="N17" s="100">
        <v>995750070</v>
      </c>
      <c r="O17" s="105">
        <v>20</v>
      </c>
      <c r="P17" s="103" t="s">
        <v>45</v>
      </c>
      <c r="Q17" s="103" t="s">
        <v>23</v>
      </c>
      <c r="R17" s="106"/>
      <c r="S17" s="100" t="s">
        <v>158</v>
      </c>
      <c r="T17" s="149" t="s">
        <v>161</v>
      </c>
      <c r="U17" s="150" t="s">
        <v>162</v>
      </c>
      <c r="V17" s="11"/>
    </row>
    <row r="18" spans="1:22" ht="15.75">
      <c r="A18" s="98">
        <v>13</v>
      </c>
      <c r="B18" s="99">
        <v>45177</v>
      </c>
      <c r="C18" s="100" t="s">
        <v>94</v>
      </c>
      <c r="D18" s="100" t="s">
        <v>150</v>
      </c>
      <c r="E18" s="101">
        <v>112580055</v>
      </c>
      <c r="F18" s="102" t="s">
        <v>90</v>
      </c>
      <c r="G18" s="103" t="s">
        <v>151</v>
      </c>
      <c r="H18" s="100" t="s">
        <v>24</v>
      </c>
      <c r="I18" s="100" t="s">
        <v>23</v>
      </c>
      <c r="J18" s="103" t="s">
        <v>21</v>
      </c>
      <c r="K18" s="166">
        <v>45238</v>
      </c>
      <c r="L18" s="104" t="s">
        <v>152</v>
      </c>
      <c r="M18" s="104" t="s">
        <v>366</v>
      </c>
      <c r="N18" s="100">
        <v>987545172</v>
      </c>
      <c r="O18" s="105">
        <v>20</v>
      </c>
      <c r="P18" s="103" t="s">
        <v>45</v>
      </c>
      <c r="Q18" s="103" t="s">
        <v>23</v>
      </c>
      <c r="R18" s="106"/>
      <c r="S18" s="100" t="s">
        <v>150</v>
      </c>
      <c r="T18" s="149" t="s">
        <v>153</v>
      </c>
      <c r="U18" s="150" t="s">
        <v>154</v>
      </c>
      <c r="V18" s="11"/>
    </row>
    <row r="19" spans="1:22" ht="15.75">
      <c r="A19" s="98">
        <v>14</v>
      </c>
      <c r="B19" s="99">
        <v>45156</v>
      </c>
      <c r="C19" s="100" t="s">
        <v>94</v>
      </c>
      <c r="D19" s="100" t="s">
        <v>155</v>
      </c>
      <c r="E19" s="101">
        <v>111030002</v>
      </c>
      <c r="F19" s="102" t="s">
        <v>156</v>
      </c>
      <c r="G19" s="103" t="s">
        <v>157</v>
      </c>
      <c r="H19" s="100" t="s">
        <v>24</v>
      </c>
      <c r="I19" s="100" t="s">
        <v>23</v>
      </c>
      <c r="J19" s="103" t="s">
        <v>21</v>
      </c>
      <c r="K19" s="166">
        <v>45238</v>
      </c>
      <c r="L19" s="104" t="s">
        <v>152</v>
      </c>
      <c r="M19" s="104" t="s">
        <v>366</v>
      </c>
      <c r="N19" s="100">
        <v>987545172</v>
      </c>
      <c r="O19" s="105">
        <v>20</v>
      </c>
      <c r="P19" s="103" t="s">
        <v>45</v>
      </c>
      <c r="Q19" s="103" t="s">
        <v>23</v>
      </c>
      <c r="R19" s="106"/>
      <c r="S19" s="100" t="s">
        <v>155</v>
      </c>
      <c r="T19" s="149" t="s">
        <v>153</v>
      </c>
      <c r="U19" s="150" t="s">
        <v>154</v>
      </c>
      <c r="V19" s="11"/>
    </row>
    <row r="20" spans="1:22" ht="15.75">
      <c r="A20" s="98">
        <v>15</v>
      </c>
      <c r="B20" s="99">
        <v>45006</v>
      </c>
      <c r="C20" s="100" t="s">
        <v>19</v>
      </c>
      <c r="D20" s="100" t="s">
        <v>165</v>
      </c>
      <c r="E20" s="101">
        <v>40584202</v>
      </c>
      <c r="F20" s="102" t="s">
        <v>100</v>
      </c>
      <c r="G20" s="103" t="s">
        <v>166</v>
      </c>
      <c r="H20" s="100" t="s">
        <v>24</v>
      </c>
      <c r="I20" s="100" t="s">
        <v>23</v>
      </c>
      <c r="J20" s="103" t="s">
        <v>21</v>
      </c>
      <c r="K20" s="166">
        <v>45239</v>
      </c>
      <c r="L20" s="104" t="s">
        <v>167</v>
      </c>
      <c r="M20" s="104" t="s">
        <v>168</v>
      </c>
      <c r="N20" s="100">
        <v>999858688</v>
      </c>
      <c r="O20" s="105">
        <v>15</v>
      </c>
      <c r="P20" s="103" t="s">
        <v>45</v>
      </c>
      <c r="Q20" s="103" t="s">
        <v>23</v>
      </c>
      <c r="R20" s="106"/>
      <c r="S20" s="100" t="s">
        <v>165</v>
      </c>
      <c r="T20" s="149" t="s">
        <v>169</v>
      </c>
      <c r="U20" s="150" t="s">
        <v>170</v>
      </c>
      <c r="V20" s="11"/>
    </row>
    <row r="21" spans="1:22" ht="15.75">
      <c r="A21" s="98">
        <v>16</v>
      </c>
      <c r="B21" s="99">
        <v>45006</v>
      </c>
      <c r="C21" s="100" t="s">
        <v>19</v>
      </c>
      <c r="D21" s="100" t="s">
        <v>165</v>
      </c>
      <c r="E21" s="101">
        <v>41560074</v>
      </c>
      <c r="F21" s="102" t="s">
        <v>98</v>
      </c>
      <c r="G21" s="103" t="s">
        <v>171</v>
      </c>
      <c r="H21" s="100" t="s">
        <v>24</v>
      </c>
      <c r="I21" s="100" t="s">
        <v>23</v>
      </c>
      <c r="J21" s="103" t="s">
        <v>21</v>
      </c>
      <c r="K21" s="166">
        <v>45239</v>
      </c>
      <c r="L21" s="104" t="s">
        <v>167</v>
      </c>
      <c r="M21" s="104" t="s">
        <v>168</v>
      </c>
      <c r="N21" s="100">
        <v>999858688</v>
      </c>
      <c r="O21" s="105">
        <v>15</v>
      </c>
      <c r="P21" s="103" t="s">
        <v>45</v>
      </c>
      <c r="Q21" s="103" t="s">
        <v>23</v>
      </c>
      <c r="R21" s="106"/>
      <c r="S21" s="100" t="s">
        <v>165</v>
      </c>
      <c r="T21" s="149" t="s">
        <v>169</v>
      </c>
      <c r="U21" s="150" t="s">
        <v>170</v>
      </c>
      <c r="V21" s="11"/>
    </row>
    <row r="22" spans="1:22" ht="15.75">
      <c r="A22" s="98">
        <v>17</v>
      </c>
      <c r="B22" s="99">
        <v>45006</v>
      </c>
      <c r="C22" s="100" t="s">
        <v>19</v>
      </c>
      <c r="D22" s="100" t="s">
        <v>165</v>
      </c>
      <c r="E22" s="101">
        <v>112570068</v>
      </c>
      <c r="F22" s="102" t="s">
        <v>172</v>
      </c>
      <c r="G22" s="103" t="s">
        <v>173</v>
      </c>
      <c r="H22" s="100">
        <v>380620</v>
      </c>
      <c r="I22" s="100" t="s">
        <v>23</v>
      </c>
      <c r="J22" s="103" t="s">
        <v>21</v>
      </c>
      <c r="K22" s="166">
        <v>45239</v>
      </c>
      <c r="L22" s="104" t="s">
        <v>167</v>
      </c>
      <c r="M22" s="104" t="s">
        <v>168</v>
      </c>
      <c r="N22" s="100">
        <v>999858688</v>
      </c>
      <c r="O22" s="105">
        <v>15</v>
      </c>
      <c r="P22" s="103" t="s">
        <v>45</v>
      </c>
      <c r="Q22" s="103" t="s">
        <v>23</v>
      </c>
      <c r="R22" s="106"/>
      <c r="S22" s="100" t="s">
        <v>165</v>
      </c>
      <c r="T22" s="149" t="s">
        <v>169</v>
      </c>
      <c r="U22" s="150" t="s">
        <v>170</v>
      </c>
      <c r="V22" s="11"/>
    </row>
    <row r="23" spans="1:22" ht="15.75">
      <c r="A23" s="98">
        <v>18</v>
      </c>
      <c r="B23" s="99">
        <v>45008</v>
      </c>
      <c r="C23" s="100" t="s">
        <v>93</v>
      </c>
      <c r="D23" s="100" t="s">
        <v>174</v>
      </c>
      <c r="E23" s="101">
        <v>40782510</v>
      </c>
      <c r="F23" s="102" t="s">
        <v>99</v>
      </c>
      <c r="G23" s="103" t="s">
        <v>175</v>
      </c>
      <c r="H23" s="100">
        <v>388554</v>
      </c>
      <c r="I23" s="100" t="s">
        <v>23</v>
      </c>
      <c r="J23" s="103" t="s">
        <v>21</v>
      </c>
      <c r="K23" s="166">
        <v>45239</v>
      </c>
      <c r="L23" s="104" t="s">
        <v>167</v>
      </c>
      <c r="M23" s="104" t="s">
        <v>168</v>
      </c>
      <c r="N23" s="100">
        <v>999858688</v>
      </c>
      <c r="O23" s="105">
        <v>15</v>
      </c>
      <c r="P23" s="103" t="s">
        <v>45</v>
      </c>
      <c r="Q23" s="103" t="s">
        <v>23</v>
      </c>
      <c r="R23" s="106"/>
      <c r="S23" s="100" t="s">
        <v>165</v>
      </c>
      <c r="T23" s="149" t="s">
        <v>169</v>
      </c>
      <c r="U23" s="150" t="s">
        <v>170</v>
      </c>
      <c r="V23" s="11"/>
    </row>
    <row r="24" spans="1:22" ht="15.75">
      <c r="A24" s="98">
        <v>19</v>
      </c>
      <c r="B24" s="99">
        <v>45008</v>
      </c>
      <c r="C24" s="100" t="s">
        <v>93</v>
      </c>
      <c r="D24" s="100" t="s">
        <v>174</v>
      </c>
      <c r="E24" s="101">
        <v>113430018</v>
      </c>
      <c r="F24" s="102" t="s">
        <v>176</v>
      </c>
      <c r="G24" s="103" t="s">
        <v>177</v>
      </c>
      <c r="H24" s="100">
        <v>388094</v>
      </c>
      <c r="I24" s="100" t="s">
        <v>23</v>
      </c>
      <c r="J24" s="103" t="s">
        <v>21</v>
      </c>
      <c r="K24" s="166">
        <v>45239</v>
      </c>
      <c r="L24" s="104" t="s">
        <v>167</v>
      </c>
      <c r="M24" s="104" t="s">
        <v>168</v>
      </c>
      <c r="N24" s="100">
        <v>999858688</v>
      </c>
      <c r="O24" s="105">
        <v>15</v>
      </c>
      <c r="P24" s="103" t="s">
        <v>45</v>
      </c>
      <c r="Q24" s="103" t="s">
        <v>23</v>
      </c>
      <c r="R24" s="106"/>
      <c r="S24" s="100" t="s">
        <v>165</v>
      </c>
      <c r="T24" s="149" t="s">
        <v>169</v>
      </c>
      <c r="U24" s="150" t="s">
        <v>170</v>
      </c>
    </row>
    <row r="25" spans="1:22" ht="15.75">
      <c r="A25" s="98">
        <v>25</v>
      </c>
      <c r="B25" s="99">
        <v>45093</v>
      </c>
      <c r="C25" s="100" t="s">
        <v>93</v>
      </c>
      <c r="D25" s="100" t="s">
        <v>298</v>
      </c>
      <c r="E25" s="101">
        <v>40584401</v>
      </c>
      <c r="F25" s="102" t="s">
        <v>277</v>
      </c>
      <c r="G25" s="102" t="s">
        <v>271</v>
      </c>
      <c r="H25" s="100" t="s">
        <v>24</v>
      </c>
      <c r="I25" s="100" t="s">
        <v>23</v>
      </c>
      <c r="J25" s="103" t="s">
        <v>21</v>
      </c>
      <c r="K25" s="166">
        <v>45240</v>
      </c>
      <c r="L25" s="104" t="s">
        <v>279</v>
      </c>
      <c r="M25" s="104" t="s">
        <v>199</v>
      </c>
      <c r="N25" s="100">
        <v>995570421</v>
      </c>
      <c r="O25" s="105">
        <v>15</v>
      </c>
      <c r="P25" s="103" t="s">
        <v>45</v>
      </c>
      <c r="Q25" s="103" t="s">
        <v>23</v>
      </c>
      <c r="R25" s="106"/>
      <c r="S25" s="100" t="s">
        <v>298</v>
      </c>
      <c r="T25" s="149" t="s">
        <v>280</v>
      </c>
      <c r="U25" s="150" t="s">
        <v>281</v>
      </c>
    </row>
    <row r="26" spans="1:22" ht="15.75">
      <c r="A26" s="98">
        <v>26</v>
      </c>
      <c r="B26" s="99">
        <v>45093</v>
      </c>
      <c r="C26" s="100" t="s">
        <v>93</v>
      </c>
      <c r="D26" s="100" t="s">
        <v>298</v>
      </c>
      <c r="E26" s="101">
        <v>11100051</v>
      </c>
      <c r="F26" s="102" t="s">
        <v>238</v>
      </c>
      <c r="G26" s="102" t="s">
        <v>272</v>
      </c>
      <c r="H26" s="100" t="s">
        <v>24</v>
      </c>
      <c r="I26" s="100" t="s">
        <v>23</v>
      </c>
      <c r="J26" s="103" t="s">
        <v>21</v>
      </c>
      <c r="K26" s="166">
        <v>45240</v>
      </c>
      <c r="L26" s="104" t="s">
        <v>279</v>
      </c>
      <c r="M26" s="104" t="s">
        <v>199</v>
      </c>
      <c r="N26" s="100">
        <v>995570421</v>
      </c>
      <c r="O26" s="105">
        <v>15</v>
      </c>
      <c r="P26" s="103" t="s">
        <v>45</v>
      </c>
      <c r="Q26" s="103" t="s">
        <v>23</v>
      </c>
      <c r="R26" s="106"/>
      <c r="S26" s="100" t="s">
        <v>298</v>
      </c>
      <c r="T26" s="149" t="s">
        <v>280</v>
      </c>
      <c r="U26" s="150" t="s">
        <v>281</v>
      </c>
    </row>
    <row r="27" spans="1:22" ht="15.75">
      <c r="A27" s="98">
        <v>27</v>
      </c>
      <c r="B27" s="99">
        <v>45093</v>
      </c>
      <c r="C27" s="100" t="s">
        <v>93</v>
      </c>
      <c r="D27" s="100" t="s">
        <v>298</v>
      </c>
      <c r="E27" s="101">
        <v>112570068</v>
      </c>
      <c r="F27" s="102" t="s">
        <v>172</v>
      </c>
      <c r="G27" s="102" t="s">
        <v>273</v>
      </c>
      <c r="H27" s="100" t="s">
        <v>24</v>
      </c>
      <c r="I27" s="100" t="s">
        <v>23</v>
      </c>
      <c r="J27" s="103" t="s">
        <v>21</v>
      </c>
      <c r="K27" s="166">
        <v>45240</v>
      </c>
      <c r="L27" s="104" t="s">
        <v>279</v>
      </c>
      <c r="M27" s="104" t="s">
        <v>199</v>
      </c>
      <c r="N27" s="100">
        <v>995570421</v>
      </c>
      <c r="O27" s="105">
        <v>15</v>
      </c>
      <c r="P27" s="103" t="s">
        <v>45</v>
      </c>
      <c r="Q27" s="103" t="s">
        <v>23</v>
      </c>
      <c r="R27" s="106"/>
      <c r="S27" s="100" t="s">
        <v>298</v>
      </c>
      <c r="T27" s="149" t="s">
        <v>280</v>
      </c>
      <c r="U27" s="150" t="s">
        <v>281</v>
      </c>
    </row>
    <row r="28" spans="1:22" ht="15.75">
      <c r="A28" s="98">
        <v>28</v>
      </c>
      <c r="B28" s="99">
        <v>45093</v>
      </c>
      <c r="C28" s="100" t="s">
        <v>93</v>
      </c>
      <c r="D28" s="100" t="s">
        <v>298</v>
      </c>
      <c r="E28" s="101">
        <v>112960004</v>
      </c>
      <c r="F28" s="102" t="s">
        <v>278</v>
      </c>
      <c r="G28" s="102" t="s">
        <v>274</v>
      </c>
      <c r="H28" s="100" t="s">
        <v>24</v>
      </c>
      <c r="I28" s="100" t="s">
        <v>23</v>
      </c>
      <c r="J28" s="103" t="s">
        <v>21</v>
      </c>
      <c r="K28" s="166">
        <v>45240</v>
      </c>
      <c r="L28" s="104" t="s">
        <v>279</v>
      </c>
      <c r="M28" s="104" t="s">
        <v>199</v>
      </c>
      <c r="N28" s="100">
        <v>995570421</v>
      </c>
      <c r="O28" s="105">
        <v>15</v>
      </c>
      <c r="P28" s="103" t="s">
        <v>45</v>
      </c>
      <c r="Q28" s="103" t="s">
        <v>23</v>
      </c>
      <c r="R28" s="106"/>
      <c r="S28" s="100" t="s">
        <v>298</v>
      </c>
      <c r="T28" s="149" t="s">
        <v>280</v>
      </c>
      <c r="U28" s="150" t="s">
        <v>281</v>
      </c>
    </row>
    <row r="29" spans="1:22" ht="15.75">
      <c r="A29" s="98">
        <v>20</v>
      </c>
      <c r="B29" s="99">
        <v>45162</v>
      </c>
      <c r="C29" s="100" t="s">
        <v>19</v>
      </c>
      <c r="D29" s="100" t="s">
        <v>190</v>
      </c>
      <c r="E29" s="101">
        <v>40467305</v>
      </c>
      <c r="F29" s="102" t="s">
        <v>91</v>
      </c>
      <c r="G29" s="103" t="s">
        <v>191</v>
      </c>
      <c r="H29" s="100">
        <v>398063</v>
      </c>
      <c r="I29" s="100" t="s">
        <v>23</v>
      </c>
      <c r="J29" s="103" t="s">
        <v>21</v>
      </c>
      <c r="K29" s="166">
        <v>45243</v>
      </c>
      <c r="L29" s="104" t="s">
        <v>192</v>
      </c>
      <c r="M29" s="104" t="s">
        <v>193</v>
      </c>
      <c r="N29" s="100">
        <v>981097895</v>
      </c>
      <c r="O29" s="105">
        <v>20</v>
      </c>
      <c r="P29" s="103" t="s">
        <v>45</v>
      </c>
      <c r="Q29" s="103" t="s">
        <v>23</v>
      </c>
      <c r="R29" s="106"/>
      <c r="S29" s="100" t="s">
        <v>190</v>
      </c>
      <c r="T29" s="149" t="s">
        <v>194</v>
      </c>
      <c r="U29" s="150" t="s">
        <v>195</v>
      </c>
    </row>
    <row r="30" spans="1:22" ht="15.75">
      <c r="A30" s="98">
        <v>21</v>
      </c>
      <c r="B30" s="99">
        <v>45162</v>
      </c>
      <c r="C30" s="100" t="s">
        <v>19</v>
      </c>
      <c r="D30" s="100" t="s">
        <v>190</v>
      </c>
      <c r="E30" s="101">
        <v>112580027</v>
      </c>
      <c r="F30" s="102" t="s">
        <v>196</v>
      </c>
      <c r="G30" s="103" t="s">
        <v>197</v>
      </c>
      <c r="H30" s="100">
        <v>390895</v>
      </c>
      <c r="I30" s="100" t="s">
        <v>23</v>
      </c>
      <c r="J30" s="103" t="s">
        <v>21</v>
      </c>
      <c r="K30" s="166">
        <v>45243</v>
      </c>
      <c r="L30" s="104" t="s">
        <v>192</v>
      </c>
      <c r="M30" s="104" t="s">
        <v>193</v>
      </c>
      <c r="N30" s="100">
        <v>981097895</v>
      </c>
      <c r="O30" s="105">
        <v>20</v>
      </c>
      <c r="P30" s="103" t="s">
        <v>45</v>
      </c>
      <c r="Q30" s="103" t="s">
        <v>23</v>
      </c>
      <c r="R30" s="106"/>
      <c r="S30" s="100" t="s">
        <v>190</v>
      </c>
      <c r="T30" s="149" t="s">
        <v>194</v>
      </c>
      <c r="U30" s="150" t="s">
        <v>195</v>
      </c>
    </row>
    <row r="31" spans="1:22" ht="15.75">
      <c r="A31" s="98">
        <v>22</v>
      </c>
      <c r="B31" s="99">
        <v>44900</v>
      </c>
      <c r="C31" s="100" t="s">
        <v>299</v>
      </c>
      <c r="D31" s="100" t="s">
        <v>300</v>
      </c>
      <c r="E31" s="101">
        <v>40584202</v>
      </c>
      <c r="F31" s="102" t="s">
        <v>100</v>
      </c>
      <c r="G31" s="103" t="s">
        <v>264</v>
      </c>
      <c r="H31" s="100" t="s">
        <v>24</v>
      </c>
      <c r="I31" s="100" t="s">
        <v>23</v>
      </c>
      <c r="J31" s="103" t="s">
        <v>21</v>
      </c>
      <c r="K31" s="166">
        <v>45245</v>
      </c>
      <c r="L31" s="104" t="s">
        <v>267</v>
      </c>
      <c r="M31" s="104" t="s">
        <v>268</v>
      </c>
      <c r="N31" s="100">
        <v>992737834</v>
      </c>
      <c r="O31" s="105">
        <v>15</v>
      </c>
      <c r="P31" s="103" t="s">
        <v>45</v>
      </c>
      <c r="Q31" s="103" t="s">
        <v>23</v>
      </c>
      <c r="R31" s="106"/>
      <c r="S31" s="100" t="s">
        <v>300</v>
      </c>
      <c r="T31" s="149" t="s">
        <v>269</v>
      </c>
      <c r="U31" s="150" t="s">
        <v>270</v>
      </c>
    </row>
    <row r="32" spans="1:22" ht="15.75">
      <c r="A32" s="98">
        <v>23</v>
      </c>
      <c r="B32" s="99">
        <v>44895</v>
      </c>
      <c r="C32" s="100" t="s">
        <v>139</v>
      </c>
      <c r="D32" s="100" t="s">
        <v>296</v>
      </c>
      <c r="E32" s="101">
        <v>111000051</v>
      </c>
      <c r="F32" s="102" t="s">
        <v>276</v>
      </c>
      <c r="G32" s="103" t="s">
        <v>265</v>
      </c>
      <c r="H32" s="100" t="s">
        <v>24</v>
      </c>
      <c r="I32" s="100" t="s">
        <v>23</v>
      </c>
      <c r="J32" s="103" t="s">
        <v>21</v>
      </c>
      <c r="K32" s="166">
        <v>45245</v>
      </c>
      <c r="L32" s="104" t="s">
        <v>267</v>
      </c>
      <c r="M32" s="104" t="s">
        <v>268</v>
      </c>
      <c r="N32" s="100">
        <v>992737834</v>
      </c>
      <c r="O32" s="105">
        <v>15</v>
      </c>
      <c r="P32" s="103" t="s">
        <v>45</v>
      </c>
      <c r="Q32" s="103" t="s">
        <v>23</v>
      </c>
      <c r="R32" s="106"/>
      <c r="S32" s="100" t="s">
        <v>296</v>
      </c>
      <c r="T32" s="149" t="s">
        <v>269</v>
      </c>
      <c r="U32" s="150" t="s">
        <v>270</v>
      </c>
    </row>
    <row r="33" spans="1:21" ht="15.75">
      <c r="A33" s="98">
        <v>24</v>
      </c>
      <c r="B33" s="99">
        <v>44897</v>
      </c>
      <c r="C33" s="100" t="s">
        <v>139</v>
      </c>
      <c r="D33" s="100" t="s">
        <v>297</v>
      </c>
      <c r="E33" s="101">
        <v>112570124</v>
      </c>
      <c r="F33" s="102" t="s">
        <v>275</v>
      </c>
      <c r="G33" s="103" t="s">
        <v>266</v>
      </c>
      <c r="H33" s="100" t="s">
        <v>24</v>
      </c>
      <c r="I33" s="100" t="s">
        <v>23</v>
      </c>
      <c r="J33" s="103" t="s">
        <v>21</v>
      </c>
      <c r="K33" s="166">
        <v>45245</v>
      </c>
      <c r="L33" s="104" t="s">
        <v>267</v>
      </c>
      <c r="M33" s="104" t="s">
        <v>268</v>
      </c>
      <c r="N33" s="100">
        <v>992737834</v>
      </c>
      <c r="O33" s="105">
        <v>15</v>
      </c>
      <c r="P33" s="103" t="s">
        <v>45</v>
      </c>
      <c r="Q33" s="103" t="s">
        <v>23</v>
      </c>
      <c r="R33" s="106"/>
      <c r="S33" s="100" t="s">
        <v>297</v>
      </c>
      <c r="T33" s="149" t="s">
        <v>269</v>
      </c>
      <c r="U33" s="150" t="s">
        <v>270</v>
      </c>
    </row>
    <row r="34" spans="1:21" ht="15.75">
      <c r="A34" s="98">
        <v>29</v>
      </c>
      <c r="B34" s="99">
        <v>45173</v>
      </c>
      <c r="C34" s="100" t="s">
        <v>139</v>
      </c>
      <c r="D34" s="100" t="s">
        <v>303</v>
      </c>
      <c r="E34" s="101">
        <v>112570125</v>
      </c>
      <c r="F34" s="102" t="s">
        <v>282</v>
      </c>
      <c r="G34" s="103" t="s">
        <v>284</v>
      </c>
      <c r="H34" s="100" t="s">
        <v>24</v>
      </c>
      <c r="I34" s="100" t="s">
        <v>23</v>
      </c>
      <c r="J34" s="103" t="s">
        <v>21</v>
      </c>
      <c r="K34" s="166">
        <v>45245</v>
      </c>
      <c r="L34" s="104" t="s">
        <v>287</v>
      </c>
      <c r="M34" s="104" t="s">
        <v>301</v>
      </c>
      <c r="N34" s="100">
        <v>968805901</v>
      </c>
      <c r="O34" s="105">
        <v>15</v>
      </c>
      <c r="P34" s="103" t="s">
        <v>45</v>
      </c>
      <c r="Q34" s="103" t="s">
        <v>23</v>
      </c>
      <c r="R34" s="106"/>
      <c r="S34" s="100" t="s">
        <v>303</v>
      </c>
      <c r="T34" s="149" t="s">
        <v>304</v>
      </c>
      <c r="U34" s="150"/>
    </row>
    <row r="35" spans="1:21" ht="15.75">
      <c r="A35" s="98">
        <v>30</v>
      </c>
      <c r="B35" s="99">
        <v>45173</v>
      </c>
      <c r="C35" s="100" t="s">
        <v>139</v>
      </c>
      <c r="D35" s="100" t="s">
        <v>303</v>
      </c>
      <c r="E35" s="101">
        <v>40584012</v>
      </c>
      <c r="F35" s="102" t="s">
        <v>114</v>
      </c>
      <c r="G35" s="103" t="s">
        <v>285</v>
      </c>
      <c r="H35" s="100" t="s">
        <v>24</v>
      </c>
      <c r="I35" s="100" t="s">
        <v>23</v>
      </c>
      <c r="J35" s="103" t="s">
        <v>21</v>
      </c>
      <c r="K35" s="166">
        <v>45245</v>
      </c>
      <c r="L35" s="104" t="s">
        <v>287</v>
      </c>
      <c r="M35" s="104" t="s">
        <v>301</v>
      </c>
      <c r="N35" s="100">
        <v>968805901</v>
      </c>
      <c r="O35" s="105">
        <v>15</v>
      </c>
      <c r="P35" s="103" t="s">
        <v>45</v>
      </c>
      <c r="Q35" s="103" t="s">
        <v>23</v>
      </c>
      <c r="R35" s="106"/>
      <c r="S35" s="100" t="s">
        <v>303</v>
      </c>
      <c r="T35" s="149" t="s">
        <v>304</v>
      </c>
      <c r="U35" s="150"/>
    </row>
    <row r="36" spans="1:21" ht="15.75">
      <c r="A36" s="98">
        <v>31</v>
      </c>
      <c r="B36" s="99">
        <v>45173</v>
      </c>
      <c r="C36" s="100" t="s">
        <v>139</v>
      </c>
      <c r="D36" s="100" t="s">
        <v>303</v>
      </c>
      <c r="E36" s="101">
        <v>41560142</v>
      </c>
      <c r="F36" s="102" t="s">
        <v>283</v>
      </c>
      <c r="G36" s="103" t="s">
        <v>286</v>
      </c>
      <c r="H36" s="100" t="s">
        <v>24</v>
      </c>
      <c r="I36" s="100" t="s">
        <v>23</v>
      </c>
      <c r="J36" s="103" t="s">
        <v>21</v>
      </c>
      <c r="K36" s="166">
        <v>45245</v>
      </c>
      <c r="L36" s="104" t="s">
        <v>287</v>
      </c>
      <c r="M36" s="104" t="s">
        <v>301</v>
      </c>
      <c r="N36" s="100">
        <v>968805901</v>
      </c>
      <c r="O36" s="105">
        <v>15</v>
      </c>
      <c r="P36" s="103" t="s">
        <v>45</v>
      </c>
      <c r="Q36" s="103" t="s">
        <v>23</v>
      </c>
      <c r="R36" s="106"/>
      <c r="S36" s="100" t="s">
        <v>303</v>
      </c>
      <c r="T36" s="149" t="s">
        <v>304</v>
      </c>
      <c r="U36" s="150"/>
    </row>
    <row r="37" spans="1:21" ht="15.75">
      <c r="A37" s="98">
        <v>32</v>
      </c>
      <c r="B37" s="99">
        <v>45136</v>
      </c>
      <c r="C37" s="100" t="s">
        <v>94</v>
      </c>
      <c r="D37" s="100" t="s">
        <v>302</v>
      </c>
      <c r="E37" s="101">
        <v>112570125</v>
      </c>
      <c r="F37" s="102" t="s">
        <v>288</v>
      </c>
      <c r="G37" s="103" t="s">
        <v>290</v>
      </c>
      <c r="H37" s="100" t="s">
        <v>24</v>
      </c>
      <c r="I37" s="100" t="s">
        <v>23</v>
      </c>
      <c r="J37" s="103" t="s">
        <v>21</v>
      </c>
      <c r="K37" s="166">
        <v>45245</v>
      </c>
      <c r="L37" s="104" t="s">
        <v>292</v>
      </c>
      <c r="M37" s="104" t="s">
        <v>293</v>
      </c>
      <c r="N37" s="100">
        <v>979282590</v>
      </c>
      <c r="O37" s="105">
        <v>20</v>
      </c>
      <c r="P37" s="103" t="s">
        <v>45</v>
      </c>
      <c r="Q37" s="103" t="s">
        <v>23</v>
      </c>
      <c r="R37" s="106"/>
      <c r="S37" s="100" t="s">
        <v>302</v>
      </c>
      <c r="T37" s="149" t="s">
        <v>294</v>
      </c>
      <c r="U37" s="150" t="s">
        <v>295</v>
      </c>
    </row>
    <row r="38" spans="1:21" ht="15.75">
      <c r="A38" s="98">
        <v>33</v>
      </c>
      <c r="B38" s="99">
        <v>45136</v>
      </c>
      <c r="C38" s="100" t="s">
        <v>94</v>
      </c>
      <c r="D38" s="100" t="s">
        <v>302</v>
      </c>
      <c r="E38" s="101">
        <v>41560061</v>
      </c>
      <c r="F38" s="102" t="s">
        <v>289</v>
      </c>
      <c r="G38" s="103" t="s">
        <v>291</v>
      </c>
      <c r="H38" s="100">
        <v>403154</v>
      </c>
      <c r="I38" s="100" t="s">
        <v>23</v>
      </c>
      <c r="J38" s="103" t="s">
        <v>21</v>
      </c>
      <c r="K38" s="166">
        <v>45245</v>
      </c>
      <c r="L38" s="104" t="s">
        <v>292</v>
      </c>
      <c r="M38" s="104" t="s">
        <v>293</v>
      </c>
      <c r="N38" s="100">
        <v>979282590</v>
      </c>
      <c r="O38" s="105">
        <v>20</v>
      </c>
      <c r="P38" s="103" t="s">
        <v>45</v>
      </c>
      <c r="Q38" s="103" t="s">
        <v>23</v>
      </c>
      <c r="R38" s="106"/>
      <c r="S38" s="100" t="s">
        <v>302</v>
      </c>
      <c r="T38" s="149" t="s">
        <v>294</v>
      </c>
      <c r="U38" s="150" t="s">
        <v>295</v>
      </c>
    </row>
    <row r="39" spans="1:21" ht="15.75">
      <c r="A39" s="98">
        <v>34</v>
      </c>
      <c r="B39" s="99">
        <v>45217</v>
      </c>
      <c r="C39" s="100" t="s">
        <v>139</v>
      </c>
      <c r="D39" s="100" t="s">
        <v>322</v>
      </c>
      <c r="E39" s="101">
        <v>40466111</v>
      </c>
      <c r="F39" s="102" t="s">
        <v>305</v>
      </c>
      <c r="G39" s="103" t="s">
        <v>308</v>
      </c>
      <c r="H39" s="100" t="s">
        <v>24</v>
      </c>
      <c r="I39" s="100" t="s">
        <v>23</v>
      </c>
      <c r="J39" s="103" t="s">
        <v>21</v>
      </c>
      <c r="K39" s="166">
        <v>45246</v>
      </c>
      <c r="L39" s="104" t="s">
        <v>311</v>
      </c>
      <c r="M39" s="104" t="s">
        <v>312</v>
      </c>
      <c r="N39" s="100">
        <v>998439595</v>
      </c>
      <c r="O39" s="105">
        <v>15</v>
      </c>
      <c r="P39" s="103" t="s">
        <v>45</v>
      </c>
      <c r="Q39" s="103" t="s">
        <v>23</v>
      </c>
      <c r="R39" s="106"/>
      <c r="S39" s="100" t="s">
        <v>322</v>
      </c>
      <c r="T39" s="149" t="s">
        <v>323</v>
      </c>
      <c r="U39" s="150"/>
    </row>
    <row r="40" spans="1:21" ht="15.75">
      <c r="A40" s="98">
        <v>35</v>
      </c>
      <c r="B40" s="99">
        <v>45217</v>
      </c>
      <c r="C40" s="100" t="s">
        <v>139</v>
      </c>
      <c r="D40" s="100" t="s">
        <v>322</v>
      </c>
      <c r="E40" s="101">
        <v>112500048</v>
      </c>
      <c r="F40" s="102" t="s">
        <v>306</v>
      </c>
      <c r="G40" s="103" t="s">
        <v>309</v>
      </c>
      <c r="H40" s="100" t="s">
        <v>24</v>
      </c>
      <c r="I40" s="100" t="s">
        <v>23</v>
      </c>
      <c r="J40" s="103" t="s">
        <v>21</v>
      </c>
      <c r="K40" s="166">
        <v>45246</v>
      </c>
      <c r="L40" s="104" t="s">
        <v>311</v>
      </c>
      <c r="M40" s="104" t="s">
        <v>312</v>
      </c>
      <c r="N40" s="100">
        <v>998439595</v>
      </c>
      <c r="O40" s="105">
        <v>15</v>
      </c>
      <c r="P40" s="103" t="s">
        <v>45</v>
      </c>
      <c r="Q40" s="103" t="s">
        <v>23</v>
      </c>
      <c r="R40" s="106"/>
      <c r="S40" s="100" t="s">
        <v>322</v>
      </c>
      <c r="T40" s="149" t="s">
        <v>323</v>
      </c>
      <c r="U40" s="150"/>
    </row>
    <row r="41" spans="1:21" ht="15.75">
      <c r="A41" s="98">
        <v>36</v>
      </c>
      <c r="B41" s="99">
        <v>45217</v>
      </c>
      <c r="C41" s="100" t="s">
        <v>139</v>
      </c>
      <c r="D41" s="100" t="s">
        <v>322</v>
      </c>
      <c r="E41" s="101">
        <v>41592227</v>
      </c>
      <c r="F41" s="102" t="s">
        <v>307</v>
      </c>
      <c r="G41" s="103" t="s">
        <v>310</v>
      </c>
      <c r="H41" s="100" t="s">
        <v>24</v>
      </c>
      <c r="I41" s="100" t="s">
        <v>23</v>
      </c>
      <c r="J41" s="103" t="s">
        <v>21</v>
      </c>
      <c r="K41" s="166">
        <v>45246</v>
      </c>
      <c r="L41" s="104" t="s">
        <v>311</v>
      </c>
      <c r="M41" s="104" t="s">
        <v>312</v>
      </c>
      <c r="N41" s="100">
        <v>998439595</v>
      </c>
      <c r="O41" s="105">
        <v>15</v>
      </c>
      <c r="P41" s="103" t="s">
        <v>45</v>
      </c>
      <c r="Q41" s="103" t="s">
        <v>23</v>
      </c>
      <c r="R41" s="106"/>
      <c r="S41" s="100" t="s">
        <v>322</v>
      </c>
      <c r="T41" s="149" t="s">
        <v>323</v>
      </c>
      <c r="U41" s="150"/>
    </row>
    <row r="42" spans="1:21" ht="15.75">
      <c r="A42" s="98">
        <v>37</v>
      </c>
      <c r="B42" s="99">
        <v>45219</v>
      </c>
      <c r="C42" s="100" t="s">
        <v>92</v>
      </c>
      <c r="D42" s="100" t="s">
        <v>313</v>
      </c>
      <c r="E42" s="101">
        <v>40584202</v>
      </c>
      <c r="F42" s="102" t="s">
        <v>100</v>
      </c>
      <c r="G42" s="103" t="s">
        <v>315</v>
      </c>
      <c r="H42" s="100">
        <v>407636</v>
      </c>
      <c r="I42" s="100" t="s">
        <v>23</v>
      </c>
      <c r="J42" s="103" t="s">
        <v>21</v>
      </c>
      <c r="K42" s="166">
        <v>45248</v>
      </c>
      <c r="L42" s="104" t="s">
        <v>318</v>
      </c>
      <c r="M42" s="104" t="s">
        <v>319</v>
      </c>
      <c r="N42" s="100">
        <v>988302510</v>
      </c>
      <c r="O42" s="105">
        <v>15</v>
      </c>
      <c r="P42" s="103" t="s">
        <v>45</v>
      </c>
      <c r="Q42" s="103" t="s">
        <v>23</v>
      </c>
      <c r="R42" s="106"/>
      <c r="S42" s="100" t="s">
        <v>313</v>
      </c>
      <c r="T42" s="149" t="s">
        <v>320</v>
      </c>
      <c r="U42" s="150" t="s">
        <v>321</v>
      </c>
    </row>
    <row r="43" spans="1:21" ht="15.75">
      <c r="A43" s="98">
        <v>38</v>
      </c>
      <c r="B43" s="99">
        <v>45219</v>
      </c>
      <c r="C43" s="100" t="s">
        <v>92</v>
      </c>
      <c r="D43" s="100" t="s">
        <v>313</v>
      </c>
      <c r="E43" s="101">
        <v>111000051</v>
      </c>
      <c r="F43" s="102" t="s">
        <v>276</v>
      </c>
      <c r="G43" s="103" t="s">
        <v>316</v>
      </c>
      <c r="H43" s="100" t="s">
        <v>24</v>
      </c>
      <c r="I43" s="100" t="s">
        <v>23</v>
      </c>
      <c r="J43" s="103" t="s">
        <v>21</v>
      </c>
      <c r="K43" s="166">
        <v>45248</v>
      </c>
      <c r="L43" s="104" t="s">
        <v>318</v>
      </c>
      <c r="M43" s="104" t="s">
        <v>319</v>
      </c>
      <c r="N43" s="100">
        <v>988302510</v>
      </c>
      <c r="O43" s="105">
        <v>15</v>
      </c>
      <c r="P43" s="103" t="s">
        <v>45</v>
      </c>
      <c r="Q43" s="103" t="s">
        <v>23</v>
      </c>
      <c r="R43" s="106"/>
      <c r="S43" s="100" t="s">
        <v>313</v>
      </c>
      <c r="T43" s="149" t="s">
        <v>320</v>
      </c>
      <c r="U43" s="150" t="s">
        <v>321</v>
      </c>
    </row>
    <row r="44" spans="1:21" ht="15.75">
      <c r="A44" s="98">
        <v>39</v>
      </c>
      <c r="B44" s="99">
        <v>45219</v>
      </c>
      <c r="C44" s="100" t="s">
        <v>92</v>
      </c>
      <c r="D44" s="100" t="s">
        <v>313</v>
      </c>
      <c r="E44" s="101">
        <v>112570093</v>
      </c>
      <c r="F44" s="102" t="s">
        <v>314</v>
      </c>
      <c r="G44" s="103" t="s">
        <v>317</v>
      </c>
      <c r="H44" s="100">
        <v>406462</v>
      </c>
      <c r="I44" s="100" t="s">
        <v>23</v>
      </c>
      <c r="J44" s="103" t="s">
        <v>21</v>
      </c>
      <c r="K44" s="166">
        <v>45248</v>
      </c>
      <c r="L44" s="104" t="s">
        <v>318</v>
      </c>
      <c r="M44" s="104" t="s">
        <v>319</v>
      </c>
      <c r="N44" s="100">
        <v>988302510</v>
      </c>
      <c r="O44" s="105">
        <v>15</v>
      </c>
      <c r="P44" s="103" t="s">
        <v>45</v>
      </c>
      <c r="Q44" s="103" t="s">
        <v>23</v>
      </c>
      <c r="R44" s="106"/>
      <c r="S44" s="100" t="s">
        <v>313</v>
      </c>
      <c r="T44" s="149" t="s">
        <v>320</v>
      </c>
      <c r="U44" s="150" t="s">
        <v>321</v>
      </c>
    </row>
    <row r="45" spans="1:21">
      <c r="O45" s="110">
        <f>SUM(O6:O44)</f>
        <v>675</v>
      </c>
    </row>
  </sheetData>
  <hyperlinks>
    <hyperlink ref="U6" r:id="rId1"/>
    <hyperlink ref="U7" r:id="rId2"/>
    <hyperlink ref="U8" r:id="rId3"/>
    <hyperlink ref="U9" r:id="rId4"/>
    <hyperlink ref="U10" r:id="rId5"/>
    <hyperlink ref="U11" r:id="rId6"/>
    <hyperlink ref="U14" r:id="rId7"/>
    <hyperlink ref="U15" r:id="rId8"/>
    <hyperlink ref="U18" r:id="rId9"/>
    <hyperlink ref="U19" r:id="rId10"/>
    <hyperlink ref="U29" r:id="rId11"/>
    <hyperlink ref="U30" r:id="rId12"/>
    <hyperlink ref="U31" r:id="rId13"/>
    <hyperlink ref="U32" r:id="rId14"/>
    <hyperlink ref="U33" r:id="rId15"/>
    <hyperlink ref="U37" r:id="rId16"/>
    <hyperlink ref="U38" r:id="rId17"/>
    <hyperlink ref="U42" r:id="rId18"/>
    <hyperlink ref="U43" r:id="rId19"/>
    <hyperlink ref="U44" r:id="rId20"/>
    <hyperlink ref="U16" r:id="rId21"/>
    <hyperlink ref="U17" r:id="rId22"/>
    <hyperlink ref="U25" r:id="rId23"/>
    <hyperlink ref="U26" r:id="rId24"/>
    <hyperlink ref="U27" r:id="rId25"/>
    <hyperlink ref="U28" r:id="rId26"/>
  </hyperlinks>
  <pageMargins left="0.7" right="0.7" top="0.75" bottom="0.75" header="0.3" footer="0.3"/>
  <pageSetup paperSize="9" orientation="portrait" horizontalDpi="0" verticalDpi="0" r:id="rId27"/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7" workbookViewId="0">
      <selection activeCell="C10" sqref="C10"/>
    </sheetView>
  </sheetViews>
  <sheetFormatPr baseColWidth="10" defaultRowHeight="15"/>
  <cols>
    <col min="1" max="2" width="11.85546875" bestFit="1" customWidth="1"/>
    <col min="3" max="3" width="12.140625" bestFit="1" customWidth="1"/>
    <col min="6" max="6" width="34.7109375" customWidth="1"/>
    <col min="8" max="8" width="27.28515625" customWidth="1"/>
    <col min="9" max="9" width="16.140625" customWidth="1"/>
    <col min="10" max="10" width="11.85546875" bestFit="1" customWidth="1"/>
    <col min="12" max="12" width="23.42578125" customWidth="1"/>
    <col min="13" max="13" width="19.5703125" customWidth="1"/>
  </cols>
  <sheetData>
    <row r="1" spans="1:18">
      <c r="A1" s="68"/>
      <c r="C1" s="107"/>
      <c r="D1" s="108"/>
      <c r="I1" s="109"/>
      <c r="K1" s="110"/>
      <c r="L1" s="110"/>
    </row>
    <row r="2" spans="1:18">
      <c r="A2" s="68"/>
      <c r="B2" s="73"/>
      <c r="C2" s="111" t="s">
        <v>26</v>
      </c>
      <c r="D2" s="112"/>
      <c r="E2" s="113"/>
      <c r="F2" s="114"/>
      <c r="G2" s="115"/>
      <c r="M2" s="116"/>
    </row>
    <row r="3" spans="1:18">
      <c r="A3" s="68"/>
      <c r="B3" s="73"/>
      <c r="C3" s="117" t="s">
        <v>1</v>
      </c>
      <c r="D3" s="118"/>
      <c r="E3" s="119"/>
      <c r="F3" s="119"/>
      <c r="G3" s="115"/>
      <c r="M3" s="116"/>
    </row>
    <row r="4" spans="1:18" ht="19.5">
      <c r="A4" s="68"/>
      <c r="B4" s="120" t="s">
        <v>88</v>
      </c>
      <c r="C4" s="121"/>
      <c r="D4" s="121"/>
      <c r="E4" s="122" t="s">
        <v>46</v>
      </c>
      <c r="F4" s="123"/>
      <c r="G4" s="122"/>
      <c r="H4" s="124"/>
      <c r="I4" s="121"/>
      <c r="J4" s="125"/>
      <c r="K4" s="125"/>
      <c r="L4" s="126"/>
      <c r="M4" s="127" t="s">
        <v>107</v>
      </c>
    </row>
    <row r="5" spans="1:18">
      <c r="A5" s="68"/>
      <c r="B5" s="128" t="s">
        <v>47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8">
      <c r="A6" s="68"/>
      <c r="B6" s="131" t="s">
        <v>378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3"/>
    </row>
    <row r="7" spans="1:18" ht="23.25">
      <c r="A7" s="68"/>
      <c r="B7" s="134" t="s">
        <v>48</v>
      </c>
      <c r="C7" s="134" t="s">
        <v>49</v>
      </c>
      <c r="D7" s="134" t="s">
        <v>50</v>
      </c>
      <c r="E7" s="134" t="s">
        <v>51</v>
      </c>
      <c r="F7" s="134" t="s">
        <v>52</v>
      </c>
      <c r="G7" s="134" t="s">
        <v>53</v>
      </c>
      <c r="H7" s="134" t="s">
        <v>54</v>
      </c>
      <c r="I7" s="134" t="s">
        <v>55</v>
      </c>
      <c r="J7" s="134" t="s">
        <v>56</v>
      </c>
      <c r="K7" s="134" t="s">
        <v>57</v>
      </c>
      <c r="L7" s="134" t="s">
        <v>58</v>
      </c>
      <c r="M7" s="134" t="s">
        <v>59</v>
      </c>
      <c r="N7" s="134" t="s">
        <v>60</v>
      </c>
      <c r="O7" s="134" t="s">
        <v>89</v>
      </c>
      <c r="P7" s="134" t="s">
        <v>22</v>
      </c>
      <c r="Q7" s="134" t="s">
        <v>61</v>
      </c>
    </row>
    <row r="8" spans="1:18" s="241" customFormat="1" ht="17.25" customHeight="1">
      <c r="A8" s="135">
        <v>1</v>
      </c>
      <c r="B8" s="243">
        <v>44749</v>
      </c>
      <c r="C8" s="243">
        <v>45217</v>
      </c>
      <c r="D8" s="242">
        <v>1</v>
      </c>
      <c r="E8" s="242">
        <v>93172200</v>
      </c>
      <c r="F8" s="242" t="s">
        <v>373</v>
      </c>
      <c r="G8" s="242">
        <v>40584105</v>
      </c>
      <c r="H8" s="242" t="s">
        <v>374</v>
      </c>
      <c r="I8" s="242" t="s">
        <v>375</v>
      </c>
      <c r="J8" s="242" t="s">
        <v>24</v>
      </c>
      <c r="K8" s="244" t="s">
        <v>3</v>
      </c>
      <c r="L8" s="242" t="s">
        <v>376</v>
      </c>
      <c r="M8" s="242" t="s">
        <v>241</v>
      </c>
      <c r="N8" s="242">
        <v>15</v>
      </c>
      <c r="O8" s="242">
        <v>100883933</v>
      </c>
      <c r="P8" s="245" t="s">
        <v>377</v>
      </c>
      <c r="Q8" s="242">
        <v>989465567</v>
      </c>
    </row>
    <row r="9" spans="1:18" ht="15.75">
      <c r="A9" s="135">
        <v>2</v>
      </c>
      <c r="B9" s="141">
        <v>45135</v>
      </c>
      <c r="C9" s="161">
        <v>45217</v>
      </c>
      <c r="D9" s="142">
        <v>1</v>
      </c>
      <c r="E9" s="143">
        <v>82430708</v>
      </c>
      <c r="F9" s="144" t="s">
        <v>237</v>
      </c>
      <c r="G9" s="143">
        <v>111000051</v>
      </c>
      <c r="H9" s="145" t="s">
        <v>238</v>
      </c>
      <c r="I9" s="141" t="s">
        <v>239</v>
      </c>
      <c r="J9" s="141" t="s">
        <v>24</v>
      </c>
      <c r="K9" s="136" t="s">
        <v>3</v>
      </c>
      <c r="L9" s="143" t="s">
        <v>240</v>
      </c>
      <c r="M9" s="143" t="s">
        <v>241</v>
      </c>
      <c r="N9" s="143">
        <v>15</v>
      </c>
      <c r="O9" s="143">
        <v>102131559</v>
      </c>
      <c r="P9" s="152" t="s">
        <v>242</v>
      </c>
      <c r="Q9" s="143">
        <v>959595335</v>
      </c>
    </row>
    <row r="10" spans="1:18" ht="15.75">
      <c r="A10" s="135">
        <v>3</v>
      </c>
      <c r="B10" s="246">
        <v>44923</v>
      </c>
      <c r="C10" s="247">
        <v>45219</v>
      </c>
      <c r="D10" s="248"/>
      <c r="E10" s="249"/>
      <c r="F10" s="250" t="s">
        <v>248</v>
      </c>
      <c r="G10" s="249">
        <v>112580025</v>
      </c>
      <c r="H10" s="251" t="s">
        <v>97</v>
      </c>
      <c r="I10" s="246" t="s">
        <v>384</v>
      </c>
      <c r="J10" s="246" t="s">
        <v>24</v>
      </c>
      <c r="K10" s="136" t="s">
        <v>3</v>
      </c>
      <c r="L10" s="249" t="s">
        <v>385</v>
      </c>
      <c r="M10" s="249" t="s">
        <v>386</v>
      </c>
      <c r="N10" s="249">
        <v>12.5</v>
      </c>
      <c r="O10" s="249">
        <v>103417820</v>
      </c>
      <c r="P10" s="252" t="s">
        <v>387</v>
      </c>
      <c r="Q10" s="249">
        <v>998171741</v>
      </c>
    </row>
    <row r="11" spans="1:18" ht="15.75">
      <c r="A11" s="135">
        <v>4</v>
      </c>
      <c r="B11" s="136">
        <v>44523</v>
      </c>
      <c r="C11" s="164">
        <v>45222</v>
      </c>
      <c r="D11" s="137">
        <v>1</v>
      </c>
      <c r="E11" s="138"/>
      <c r="F11" s="139" t="s">
        <v>246</v>
      </c>
      <c r="G11" s="138">
        <v>40584305</v>
      </c>
      <c r="H11" s="140" t="s">
        <v>243</v>
      </c>
      <c r="I11" s="136" t="s">
        <v>244</v>
      </c>
      <c r="J11" s="136" t="s">
        <v>24</v>
      </c>
      <c r="K11" s="136" t="s">
        <v>3</v>
      </c>
      <c r="L11" s="138" t="s">
        <v>245</v>
      </c>
      <c r="M11" s="138" t="s">
        <v>247</v>
      </c>
      <c r="N11" s="138">
        <v>15</v>
      </c>
      <c r="O11" s="138">
        <v>103668398</v>
      </c>
      <c r="P11" s="151"/>
      <c r="Q11" s="138">
        <v>995469189</v>
      </c>
      <c r="R11" s="163"/>
    </row>
    <row r="12" spans="1:18" ht="15.75">
      <c r="A12" s="135">
        <v>5</v>
      </c>
      <c r="B12" s="246">
        <v>44911</v>
      </c>
      <c r="C12" s="247">
        <v>45223</v>
      </c>
      <c r="D12" s="248">
        <v>1</v>
      </c>
      <c r="E12" s="249"/>
      <c r="F12" s="250" t="s">
        <v>379</v>
      </c>
      <c r="G12" s="249">
        <v>40782128</v>
      </c>
      <c r="H12" s="251" t="s">
        <v>380</v>
      </c>
      <c r="I12" s="246" t="s">
        <v>381</v>
      </c>
      <c r="J12" s="246" t="s">
        <v>24</v>
      </c>
      <c r="K12" s="136" t="s">
        <v>3</v>
      </c>
      <c r="L12" s="249" t="s">
        <v>382</v>
      </c>
      <c r="M12" s="249" t="s">
        <v>383</v>
      </c>
      <c r="N12" s="249">
        <v>18.75</v>
      </c>
      <c r="O12" s="249">
        <v>100980838</v>
      </c>
      <c r="P12" s="252"/>
      <c r="Q12" s="249">
        <v>987375264</v>
      </c>
      <c r="R12" s="163"/>
    </row>
    <row r="13" spans="1:18" ht="15.75">
      <c r="A13" s="135">
        <v>6</v>
      </c>
      <c r="B13" s="141">
        <v>44729</v>
      </c>
      <c r="C13" s="161">
        <v>45237</v>
      </c>
      <c r="D13" s="142">
        <v>1</v>
      </c>
      <c r="E13" s="143"/>
      <c r="F13" s="144" t="s">
        <v>248</v>
      </c>
      <c r="G13" s="172">
        <v>40483182</v>
      </c>
      <c r="H13" s="145" t="s">
        <v>249</v>
      </c>
      <c r="I13" s="141" t="s">
        <v>250</v>
      </c>
      <c r="J13" s="141" t="s">
        <v>24</v>
      </c>
      <c r="K13" s="136" t="s">
        <v>3</v>
      </c>
      <c r="L13" s="143" t="s">
        <v>251</v>
      </c>
      <c r="M13" s="143" t="s">
        <v>252</v>
      </c>
      <c r="N13" s="143">
        <v>15</v>
      </c>
      <c r="O13" s="143">
        <v>101099968</v>
      </c>
      <c r="P13" s="152"/>
      <c r="Q13" s="143">
        <v>72816200</v>
      </c>
      <c r="R13" s="163"/>
    </row>
    <row r="14" spans="1:18" ht="15.75">
      <c r="A14" s="135">
        <v>7</v>
      </c>
      <c r="B14" s="136">
        <v>45044</v>
      </c>
      <c r="C14" s="164">
        <v>45237</v>
      </c>
      <c r="D14" s="137">
        <v>1</v>
      </c>
      <c r="E14" s="138"/>
      <c r="F14" s="139" t="s">
        <v>253</v>
      </c>
      <c r="G14" s="138">
        <v>40212070</v>
      </c>
      <c r="H14" s="140" t="s">
        <v>254</v>
      </c>
      <c r="I14" s="136" t="s">
        <v>255</v>
      </c>
      <c r="J14" s="136" t="s">
        <v>24</v>
      </c>
      <c r="K14" s="136" t="s">
        <v>3</v>
      </c>
      <c r="L14" s="138" t="s">
        <v>256</v>
      </c>
      <c r="M14" s="138" t="s">
        <v>257</v>
      </c>
      <c r="N14" s="138">
        <v>12.5</v>
      </c>
      <c r="O14" s="138">
        <v>103778387</v>
      </c>
      <c r="P14" s="151"/>
      <c r="Q14" s="138"/>
      <c r="R14" s="163"/>
    </row>
    <row r="15" spans="1:18" ht="15.75">
      <c r="A15" s="135">
        <v>8</v>
      </c>
      <c r="B15" s="141">
        <v>44823</v>
      </c>
      <c r="C15" s="161">
        <v>45239</v>
      </c>
      <c r="D15" s="142">
        <v>1</v>
      </c>
      <c r="E15" s="143"/>
      <c r="F15" s="144" t="s">
        <v>258</v>
      </c>
      <c r="G15" s="143">
        <v>40782510</v>
      </c>
      <c r="H15" s="145" t="s">
        <v>259</v>
      </c>
      <c r="I15" s="141" t="s">
        <v>260</v>
      </c>
      <c r="J15" s="141" t="s">
        <v>24</v>
      </c>
      <c r="K15" s="136" t="s">
        <v>3</v>
      </c>
      <c r="L15" s="143" t="s">
        <v>261</v>
      </c>
      <c r="M15" s="143" t="s">
        <v>262</v>
      </c>
      <c r="N15" s="143">
        <v>18.75</v>
      </c>
      <c r="O15" s="143">
        <v>100301472</v>
      </c>
      <c r="P15" s="152" t="s">
        <v>263</v>
      </c>
      <c r="Q15" s="143">
        <v>72831794</v>
      </c>
      <c r="R15" s="163"/>
    </row>
    <row r="16" spans="1:18" ht="15.75">
      <c r="A16" s="135">
        <v>9</v>
      </c>
      <c r="B16" s="136">
        <v>44803</v>
      </c>
      <c r="C16" s="164">
        <v>45245</v>
      </c>
      <c r="D16" s="137">
        <v>1</v>
      </c>
      <c r="E16" s="138">
        <v>60803252</v>
      </c>
      <c r="F16" s="139" t="s">
        <v>324</v>
      </c>
      <c r="G16" s="138">
        <v>112520025</v>
      </c>
      <c r="H16" s="140" t="s">
        <v>325</v>
      </c>
      <c r="I16" s="136" t="s">
        <v>326</v>
      </c>
      <c r="J16" s="136" t="s">
        <v>24</v>
      </c>
      <c r="K16" s="136" t="s">
        <v>3</v>
      </c>
      <c r="L16" s="138" t="s">
        <v>327</v>
      </c>
      <c r="M16" s="138" t="s">
        <v>328</v>
      </c>
      <c r="N16" s="138">
        <v>12.5</v>
      </c>
      <c r="O16" s="138">
        <v>105729222</v>
      </c>
      <c r="P16" s="151"/>
      <c r="Q16" s="138">
        <v>984396086</v>
      </c>
    </row>
    <row r="17" spans="1:17" ht="15.75">
      <c r="A17" s="135">
        <v>10</v>
      </c>
      <c r="B17" s="136"/>
      <c r="C17" s="164"/>
      <c r="D17" s="137"/>
      <c r="E17" s="138"/>
      <c r="F17" s="139"/>
      <c r="G17" s="138"/>
      <c r="H17" s="140"/>
      <c r="I17" s="136"/>
      <c r="J17" s="136" t="s">
        <v>24</v>
      </c>
      <c r="K17" s="136" t="s">
        <v>3</v>
      </c>
      <c r="L17" s="138"/>
      <c r="M17" s="138"/>
      <c r="N17" s="138"/>
      <c r="O17" s="138"/>
      <c r="P17" s="151"/>
      <c r="Q17" s="138"/>
    </row>
    <row r="18" spans="1:17" ht="15.75">
      <c r="A18" s="135">
        <v>11</v>
      </c>
      <c r="B18" s="136"/>
      <c r="C18" s="164"/>
      <c r="D18" s="137"/>
      <c r="E18" s="138"/>
      <c r="F18" s="139"/>
      <c r="G18" s="138"/>
      <c r="H18" s="140"/>
      <c r="I18" s="136"/>
      <c r="J18" s="136" t="s">
        <v>24</v>
      </c>
      <c r="K18" s="136" t="s">
        <v>3</v>
      </c>
      <c r="L18" s="138"/>
      <c r="M18" s="138"/>
      <c r="N18" s="138"/>
      <c r="O18" s="138"/>
      <c r="P18" s="151"/>
      <c r="Q18" s="138"/>
    </row>
    <row r="19" spans="1:17" ht="15.75">
      <c r="B19" s="136"/>
      <c r="C19" s="164"/>
      <c r="D19" s="137"/>
      <c r="E19" s="138"/>
      <c r="F19" s="139"/>
      <c r="G19" s="138"/>
      <c r="H19" s="140"/>
      <c r="I19" s="136"/>
      <c r="J19" s="136" t="s">
        <v>24</v>
      </c>
      <c r="K19" s="136" t="s">
        <v>3</v>
      </c>
      <c r="L19" s="138"/>
      <c r="M19" s="138"/>
      <c r="N19" s="138"/>
      <c r="O19" s="138"/>
      <c r="P19" s="151"/>
      <c r="Q19" s="138"/>
    </row>
    <row r="20" spans="1:17" ht="15.75">
      <c r="G20" s="146"/>
      <c r="H20" s="147" t="s">
        <v>84</v>
      </c>
      <c r="I20">
        <v>2</v>
      </c>
      <c r="J20">
        <v>37.5</v>
      </c>
      <c r="N20">
        <f>SUM(N8:N19)</f>
        <v>135</v>
      </c>
    </row>
    <row r="21" spans="1:17" ht="15.75">
      <c r="G21" s="146"/>
      <c r="H21" s="154" t="s">
        <v>85</v>
      </c>
      <c r="I21">
        <v>2</v>
      </c>
      <c r="J21">
        <v>30</v>
      </c>
    </row>
    <row r="22" spans="1:17" ht="15.75">
      <c r="G22" s="146"/>
      <c r="H22" s="154" t="s">
        <v>331</v>
      </c>
      <c r="I22">
        <v>1</v>
      </c>
      <c r="J22">
        <v>15</v>
      </c>
    </row>
    <row r="23" spans="1:17" ht="15.75">
      <c r="G23" s="146"/>
      <c r="H23" s="154" t="s">
        <v>329</v>
      </c>
      <c r="I23">
        <v>1</v>
      </c>
      <c r="J23">
        <v>15</v>
      </c>
    </row>
    <row r="24" spans="1:17" ht="15.75">
      <c r="G24" s="165"/>
      <c r="H24" s="154" t="s">
        <v>330</v>
      </c>
      <c r="I24">
        <v>2</v>
      </c>
      <c r="J24">
        <v>37.5</v>
      </c>
    </row>
    <row r="25" spans="1:17">
      <c r="J25">
        <f>SUM(J20:J24)</f>
        <v>135</v>
      </c>
    </row>
  </sheetData>
  <hyperlinks>
    <hyperlink ref="P9" r:id="rId1"/>
    <hyperlink ref="P15" r:id="rId2"/>
    <hyperlink ref="P8" r:id="rId3"/>
    <hyperlink ref="P10" r:id="rId4"/>
  </hyperlinks>
  <pageMargins left="0.7" right="0.7" top="0.75" bottom="0.75" header="0.3" footer="0.3"/>
  <pageSetup paperSize="9" orientation="portrait" horizontalDpi="0" verticalDpi="0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topLeftCell="A13" zoomScale="83" zoomScaleNormal="83" workbookViewId="0">
      <selection activeCell="A35" sqref="A35"/>
    </sheetView>
  </sheetViews>
  <sheetFormatPr baseColWidth="10" defaultRowHeight="15"/>
  <cols>
    <col min="2" max="2" width="15.7109375" customWidth="1"/>
    <col min="3" max="3" width="22.140625" customWidth="1"/>
    <col min="4" max="4" width="37.85546875" customWidth="1"/>
    <col min="5" max="5" width="15.28515625" customWidth="1"/>
    <col min="6" max="6" width="34.7109375" customWidth="1"/>
    <col min="7" max="7" width="19.42578125" customWidth="1"/>
    <col min="8" max="8" width="14.140625" customWidth="1"/>
    <col min="9" max="9" width="13.42578125" customWidth="1"/>
    <col min="13" max="13" width="17.85546875" customWidth="1"/>
    <col min="15" max="15" width="14.7109375" customWidth="1"/>
    <col min="16" max="16" width="32" customWidth="1"/>
    <col min="17" max="17" width="34.140625" customWidth="1"/>
    <col min="18" max="18" width="49.5703125" customWidth="1"/>
  </cols>
  <sheetData>
    <row r="1" spans="1:18">
      <c r="A1" s="186"/>
      <c r="B1" s="187" t="s">
        <v>0</v>
      </c>
      <c r="C1" s="188"/>
      <c r="D1" s="188"/>
      <c r="E1" s="189"/>
      <c r="F1" s="190"/>
      <c r="G1" s="191"/>
      <c r="H1" s="191"/>
      <c r="I1" s="192"/>
      <c r="J1" s="193"/>
      <c r="K1" s="194"/>
      <c r="L1" s="194"/>
      <c r="M1" s="195"/>
      <c r="N1" s="194"/>
      <c r="O1" s="192"/>
      <c r="P1" s="191"/>
      <c r="Q1" s="186"/>
      <c r="R1" s="186"/>
    </row>
    <row r="2" spans="1:18">
      <c r="A2" s="186"/>
      <c r="B2" s="187" t="s">
        <v>86</v>
      </c>
      <c r="C2" s="188"/>
      <c r="D2" s="188"/>
      <c r="E2" s="189"/>
      <c r="F2" s="190"/>
      <c r="G2" s="191"/>
      <c r="H2" s="191"/>
      <c r="I2" s="192"/>
      <c r="J2" s="193"/>
      <c r="K2" s="194"/>
      <c r="L2" s="194"/>
      <c r="M2" s="196"/>
      <c r="N2" s="194"/>
      <c r="O2" s="192"/>
      <c r="P2" s="191"/>
      <c r="Q2" s="186"/>
      <c r="R2" s="186"/>
    </row>
    <row r="3" spans="1:18">
      <c r="A3" s="186"/>
      <c r="B3" s="187" t="s">
        <v>62</v>
      </c>
      <c r="C3" s="188"/>
      <c r="D3" s="188"/>
      <c r="E3" s="189"/>
      <c r="F3" s="190"/>
      <c r="G3" s="191"/>
      <c r="H3" s="191"/>
      <c r="I3" s="192"/>
      <c r="J3" s="193"/>
      <c r="K3" s="194"/>
      <c r="L3" s="194"/>
      <c r="M3" s="196"/>
      <c r="N3" s="194"/>
      <c r="O3" s="192"/>
      <c r="P3" s="191"/>
      <c r="Q3" s="186"/>
      <c r="R3" s="186"/>
    </row>
    <row r="4" spans="1:18">
      <c r="A4" s="186"/>
      <c r="B4" s="197" t="s">
        <v>63</v>
      </c>
      <c r="C4" s="198"/>
      <c r="D4" s="198"/>
      <c r="E4" s="199"/>
      <c r="F4" s="200"/>
      <c r="G4" s="201"/>
      <c r="H4" s="202" t="s">
        <v>64</v>
      </c>
      <c r="I4" s="203" t="s">
        <v>63</v>
      </c>
      <c r="J4" s="204" t="s">
        <v>65</v>
      </c>
      <c r="K4" s="199" t="s">
        <v>66</v>
      </c>
      <c r="L4" s="205"/>
      <c r="M4" s="206"/>
      <c r="N4" s="199"/>
      <c r="O4" s="197" t="s">
        <v>63</v>
      </c>
      <c r="P4" s="207"/>
      <c r="Q4" s="207"/>
      <c r="R4" s="208"/>
    </row>
    <row r="5" spans="1:18">
      <c r="A5" s="186"/>
      <c r="B5" s="209"/>
      <c r="C5" s="210" t="s">
        <v>67</v>
      </c>
      <c r="D5" s="210" t="s">
        <v>68</v>
      </c>
      <c r="E5" s="211" t="s">
        <v>69</v>
      </c>
      <c r="F5" s="212" t="s">
        <v>70</v>
      </c>
      <c r="G5" s="213" t="s">
        <v>71</v>
      </c>
      <c r="H5" s="214" t="s">
        <v>72</v>
      </c>
      <c r="I5" s="215" t="s">
        <v>72</v>
      </c>
      <c r="J5" s="216" t="s">
        <v>73</v>
      </c>
      <c r="K5" s="211" t="s">
        <v>73</v>
      </c>
      <c r="L5" s="217" t="s">
        <v>74</v>
      </c>
      <c r="M5" s="218" t="s">
        <v>75</v>
      </c>
      <c r="N5" s="211" t="s">
        <v>76</v>
      </c>
      <c r="O5" s="209" t="s">
        <v>72</v>
      </c>
      <c r="P5" s="219" t="s">
        <v>77</v>
      </c>
      <c r="Q5" s="219" t="s">
        <v>78</v>
      </c>
      <c r="R5" s="220" t="s">
        <v>79</v>
      </c>
    </row>
    <row r="6" spans="1:18">
      <c r="A6" s="186"/>
      <c r="B6" s="221"/>
      <c r="C6" s="222"/>
      <c r="D6" s="222"/>
      <c r="E6" s="223"/>
      <c r="F6" s="224"/>
      <c r="G6" s="225"/>
      <c r="H6" s="226" t="s">
        <v>80</v>
      </c>
      <c r="I6" s="227" t="s">
        <v>80</v>
      </c>
      <c r="J6" s="228" t="s">
        <v>11</v>
      </c>
      <c r="K6" s="223" t="s">
        <v>81</v>
      </c>
      <c r="L6" s="229"/>
      <c r="M6" s="230"/>
      <c r="N6" s="223"/>
      <c r="O6" s="221" t="s">
        <v>82</v>
      </c>
      <c r="P6" s="231"/>
      <c r="Q6" s="231"/>
      <c r="R6" s="232"/>
    </row>
    <row r="7" spans="1:18" s="160" customFormat="1" ht="19.5" customHeight="1">
      <c r="A7" s="233">
        <v>1</v>
      </c>
      <c r="B7" s="174">
        <v>45217</v>
      </c>
      <c r="C7" s="234" t="s">
        <v>240</v>
      </c>
      <c r="D7" s="175" t="s">
        <v>352</v>
      </c>
      <c r="E7" s="176">
        <v>959595335</v>
      </c>
      <c r="F7" s="177" t="s">
        <v>102</v>
      </c>
      <c r="G7" s="178" t="s">
        <v>353</v>
      </c>
      <c r="H7" s="176" t="s">
        <v>19</v>
      </c>
      <c r="I7" s="179">
        <v>45135</v>
      </c>
      <c r="J7" s="178"/>
      <c r="K7" s="178"/>
      <c r="L7" s="180" t="s">
        <v>24</v>
      </c>
      <c r="M7" s="181" t="s">
        <v>239</v>
      </c>
      <c r="N7" s="182"/>
      <c r="O7" s="183">
        <v>45217</v>
      </c>
      <c r="P7" s="173" t="s">
        <v>242</v>
      </c>
      <c r="Q7" s="181" t="s">
        <v>354</v>
      </c>
      <c r="R7" s="178"/>
    </row>
    <row r="8" spans="1:18" s="160" customFormat="1" ht="19.5" customHeight="1">
      <c r="A8" s="233">
        <v>2</v>
      </c>
      <c r="B8" s="243">
        <v>45217</v>
      </c>
      <c r="C8" s="253" t="s">
        <v>388</v>
      </c>
      <c r="D8" s="255" t="s">
        <v>389</v>
      </c>
      <c r="E8" s="256">
        <v>989465567</v>
      </c>
      <c r="F8" s="257" t="s">
        <v>102</v>
      </c>
      <c r="G8" s="178" t="s">
        <v>353</v>
      </c>
      <c r="H8" s="176" t="s">
        <v>87</v>
      </c>
      <c r="I8" s="179">
        <v>44749</v>
      </c>
      <c r="J8" s="178"/>
      <c r="K8" s="178"/>
      <c r="L8" s="180" t="s">
        <v>24</v>
      </c>
      <c r="M8" s="181" t="s">
        <v>375</v>
      </c>
      <c r="N8" s="182"/>
      <c r="O8" s="183">
        <v>45217</v>
      </c>
      <c r="P8" s="254" t="s">
        <v>377</v>
      </c>
      <c r="Q8" s="181" t="s">
        <v>390</v>
      </c>
      <c r="R8" s="178"/>
    </row>
    <row r="9" spans="1:18" s="160" customFormat="1" ht="19.5" customHeight="1">
      <c r="A9" s="233">
        <v>3</v>
      </c>
      <c r="B9" s="258">
        <v>45219</v>
      </c>
      <c r="C9" s="259" t="s">
        <v>385</v>
      </c>
      <c r="D9" s="175" t="s">
        <v>391</v>
      </c>
      <c r="E9" s="176">
        <v>998171741</v>
      </c>
      <c r="F9" s="177" t="s">
        <v>102</v>
      </c>
      <c r="G9" s="178" t="s">
        <v>353</v>
      </c>
      <c r="H9" s="176" t="s">
        <v>392</v>
      </c>
      <c r="I9" s="179">
        <v>44923</v>
      </c>
      <c r="J9" s="178"/>
      <c r="K9" s="178"/>
      <c r="L9" s="180" t="s">
        <v>24</v>
      </c>
      <c r="M9" s="181" t="s">
        <v>384</v>
      </c>
      <c r="N9" s="182"/>
      <c r="O9" s="183">
        <v>45219</v>
      </c>
      <c r="P9" s="254" t="s">
        <v>387</v>
      </c>
      <c r="Q9" s="181" t="s">
        <v>393</v>
      </c>
      <c r="R9" s="178"/>
    </row>
    <row r="10" spans="1:18" s="160" customFormat="1" ht="18.75" customHeight="1">
      <c r="A10" s="233">
        <v>4</v>
      </c>
      <c r="B10" s="184">
        <v>45222</v>
      </c>
      <c r="C10" s="175" t="s">
        <v>245</v>
      </c>
      <c r="D10" s="175" t="s">
        <v>355</v>
      </c>
      <c r="E10" s="176">
        <v>995469179</v>
      </c>
      <c r="F10" s="177" t="s">
        <v>102</v>
      </c>
      <c r="G10" s="178" t="s">
        <v>353</v>
      </c>
      <c r="H10" s="176" t="s">
        <v>87</v>
      </c>
      <c r="I10" s="179">
        <v>44523</v>
      </c>
      <c r="J10" s="178"/>
      <c r="K10" s="178"/>
      <c r="L10" s="180" t="s">
        <v>24</v>
      </c>
      <c r="M10" s="181" t="s">
        <v>356</v>
      </c>
      <c r="N10" s="182"/>
      <c r="O10" s="183">
        <v>45222</v>
      </c>
      <c r="P10" s="173" t="s">
        <v>357</v>
      </c>
      <c r="Q10" s="181" t="s">
        <v>358</v>
      </c>
      <c r="R10" s="178"/>
    </row>
    <row r="11" spans="1:18" s="160" customFormat="1" ht="18.75" customHeight="1">
      <c r="A11" s="233"/>
      <c r="B11" s="184">
        <v>45223</v>
      </c>
      <c r="C11" s="255" t="s">
        <v>382</v>
      </c>
      <c r="D11" s="255" t="s">
        <v>205</v>
      </c>
      <c r="E11" s="256">
        <v>987375264</v>
      </c>
      <c r="F11" s="177" t="s">
        <v>102</v>
      </c>
      <c r="G11" s="178" t="s">
        <v>353</v>
      </c>
      <c r="H11" s="256" t="s">
        <v>394</v>
      </c>
      <c r="I11" s="260">
        <v>44911</v>
      </c>
      <c r="J11" s="178"/>
      <c r="K11" s="178"/>
      <c r="L11" s="180" t="s">
        <v>24</v>
      </c>
      <c r="M11" s="261" t="s">
        <v>381</v>
      </c>
      <c r="N11" s="182"/>
      <c r="O11" s="262">
        <v>45223</v>
      </c>
      <c r="P11" s="263"/>
      <c r="Q11" s="261" t="s">
        <v>395</v>
      </c>
      <c r="R11" s="178"/>
    </row>
    <row r="12" spans="1:18" s="160" customFormat="1" ht="18.75" customHeight="1">
      <c r="A12" s="233">
        <v>5</v>
      </c>
      <c r="B12" s="235">
        <v>45224</v>
      </c>
      <c r="C12" s="236" t="s">
        <v>110</v>
      </c>
      <c r="D12" s="236" t="s">
        <v>111</v>
      </c>
      <c r="E12" s="237">
        <v>2886160</v>
      </c>
      <c r="F12" s="177" t="s">
        <v>101</v>
      </c>
      <c r="G12" s="178" t="s">
        <v>359</v>
      </c>
      <c r="H12" s="237" t="s">
        <v>19</v>
      </c>
      <c r="I12" s="235">
        <v>45143</v>
      </c>
      <c r="J12" s="178"/>
      <c r="K12" s="178"/>
      <c r="L12" s="180" t="s">
        <v>24</v>
      </c>
      <c r="M12" s="238" t="s">
        <v>109</v>
      </c>
      <c r="N12" s="182"/>
      <c r="O12" s="235">
        <v>45224</v>
      </c>
      <c r="P12" s="239" t="s">
        <v>113</v>
      </c>
      <c r="Q12" s="238" t="s">
        <v>112</v>
      </c>
      <c r="R12" s="178"/>
    </row>
    <row r="13" spans="1:18" s="160" customFormat="1" ht="19.5" customHeight="1">
      <c r="A13" s="233">
        <v>6</v>
      </c>
      <c r="B13" s="235">
        <v>45224</v>
      </c>
      <c r="C13" s="236" t="s">
        <v>110</v>
      </c>
      <c r="D13" s="236" t="s">
        <v>111</v>
      </c>
      <c r="E13" s="237">
        <v>2886160</v>
      </c>
      <c r="F13" s="177" t="s">
        <v>101</v>
      </c>
      <c r="G13" s="178" t="s">
        <v>359</v>
      </c>
      <c r="H13" s="237" t="s">
        <v>19</v>
      </c>
      <c r="I13" s="235">
        <v>45143</v>
      </c>
      <c r="J13" s="178"/>
      <c r="K13" s="178"/>
      <c r="L13" s="180" t="s">
        <v>24</v>
      </c>
      <c r="M13" s="238" t="s">
        <v>115</v>
      </c>
      <c r="N13" s="182"/>
      <c r="O13" s="235">
        <v>45224</v>
      </c>
      <c r="P13" s="239" t="s">
        <v>113</v>
      </c>
      <c r="Q13" s="238" t="s">
        <v>112</v>
      </c>
      <c r="R13" s="178"/>
    </row>
    <row r="14" spans="1:18" s="160" customFormat="1" ht="20.25" customHeight="1">
      <c r="A14" s="233">
        <v>7</v>
      </c>
      <c r="B14" s="235">
        <v>45224</v>
      </c>
      <c r="C14" s="236" t="s">
        <v>118</v>
      </c>
      <c r="D14" s="236" t="s">
        <v>119</v>
      </c>
      <c r="E14" s="237">
        <v>992985777</v>
      </c>
      <c r="F14" s="177" t="s">
        <v>101</v>
      </c>
      <c r="G14" s="178" t="s">
        <v>359</v>
      </c>
      <c r="H14" s="237" t="s">
        <v>19</v>
      </c>
      <c r="I14" s="235">
        <v>45176</v>
      </c>
      <c r="J14" s="178"/>
      <c r="K14" s="178"/>
      <c r="L14" s="180" t="s">
        <v>24</v>
      </c>
      <c r="M14" s="238" t="s">
        <v>117</v>
      </c>
      <c r="N14" s="182"/>
      <c r="O14" s="235">
        <v>45224</v>
      </c>
      <c r="P14" s="239" t="s">
        <v>121</v>
      </c>
      <c r="Q14" s="238" t="s">
        <v>120</v>
      </c>
      <c r="R14" s="178"/>
    </row>
    <row r="15" spans="1:18" s="160" customFormat="1" ht="21" customHeight="1">
      <c r="A15" s="233">
        <v>8</v>
      </c>
      <c r="B15" s="235">
        <v>45224</v>
      </c>
      <c r="C15" s="236" t="s">
        <v>118</v>
      </c>
      <c r="D15" s="236" t="s">
        <v>119</v>
      </c>
      <c r="E15" s="237">
        <v>992985777</v>
      </c>
      <c r="F15" s="177" t="s">
        <v>101</v>
      </c>
      <c r="G15" s="178" t="s">
        <v>359</v>
      </c>
      <c r="H15" s="237" t="s">
        <v>19</v>
      </c>
      <c r="I15" s="235">
        <v>45176</v>
      </c>
      <c r="J15" s="178"/>
      <c r="K15" s="178"/>
      <c r="L15" s="180" t="s">
        <v>24</v>
      </c>
      <c r="M15" s="238" t="s">
        <v>123</v>
      </c>
      <c r="N15" s="182"/>
      <c r="O15" s="235">
        <v>45224</v>
      </c>
      <c r="P15" s="239" t="s">
        <v>121</v>
      </c>
      <c r="Q15" s="238" t="s">
        <v>120</v>
      </c>
      <c r="R15" s="178"/>
    </row>
    <row r="16" spans="1:18" s="160" customFormat="1" ht="21.75" customHeight="1">
      <c r="A16" s="233">
        <v>9</v>
      </c>
      <c r="B16" s="235">
        <v>45229</v>
      </c>
      <c r="C16" s="236" t="s">
        <v>127</v>
      </c>
      <c r="D16" s="236" t="s">
        <v>128</v>
      </c>
      <c r="E16" s="237">
        <v>979264297</v>
      </c>
      <c r="F16" s="177" t="s">
        <v>101</v>
      </c>
      <c r="G16" s="178" t="s">
        <v>359</v>
      </c>
      <c r="H16" s="237" t="s">
        <v>19</v>
      </c>
      <c r="I16" s="235">
        <v>45166</v>
      </c>
      <c r="J16" s="178"/>
      <c r="K16" s="178"/>
      <c r="L16" s="180" t="s">
        <v>24</v>
      </c>
      <c r="M16" s="238" t="s">
        <v>126</v>
      </c>
      <c r="N16" s="182"/>
      <c r="O16" s="235">
        <v>45229</v>
      </c>
      <c r="P16" s="239" t="s">
        <v>130</v>
      </c>
      <c r="Q16" s="238" t="s">
        <v>129</v>
      </c>
      <c r="R16" s="178"/>
    </row>
    <row r="17" spans="1:18" s="160" customFormat="1" ht="21" customHeight="1">
      <c r="A17" s="233">
        <v>10</v>
      </c>
      <c r="B17" s="235">
        <v>45229</v>
      </c>
      <c r="C17" s="236" t="s">
        <v>127</v>
      </c>
      <c r="D17" s="236" t="s">
        <v>128</v>
      </c>
      <c r="E17" s="237">
        <v>979264297</v>
      </c>
      <c r="F17" s="177" t="s">
        <v>101</v>
      </c>
      <c r="G17" s="178" t="s">
        <v>359</v>
      </c>
      <c r="H17" s="237" t="s">
        <v>19</v>
      </c>
      <c r="I17" s="235">
        <v>45154</v>
      </c>
      <c r="J17" s="178"/>
      <c r="K17" s="178"/>
      <c r="L17" s="180" t="s">
        <v>24</v>
      </c>
      <c r="M17" s="238" t="s">
        <v>132</v>
      </c>
      <c r="N17" s="182"/>
      <c r="O17" s="235">
        <v>45229</v>
      </c>
      <c r="P17" s="239" t="s">
        <v>130</v>
      </c>
      <c r="Q17" s="238" t="s">
        <v>129</v>
      </c>
      <c r="R17" s="178"/>
    </row>
    <row r="18" spans="1:18" s="160" customFormat="1" ht="19.5" customHeight="1">
      <c r="A18" s="233">
        <v>11</v>
      </c>
      <c r="B18" s="235">
        <v>45230</v>
      </c>
      <c r="C18" s="236" t="s">
        <v>136</v>
      </c>
      <c r="D18" s="236" t="s">
        <v>137</v>
      </c>
      <c r="E18" s="237">
        <v>2804852</v>
      </c>
      <c r="F18" s="177" t="s">
        <v>101</v>
      </c>
      <c r="G18" s="178" t="s">
        <v>359</v>
      </c>
      <c r="H18" s="237" t="s">
        <v>19</v>
      </c>
      <c r="I18" s="235">
        <v>44891</v>
      </c>
      <c r="J18" s="178"/>
      <c r="K18" s="178"/>
      <c r="L18" s="180" t="s">
        <v>24</v>
      </c>
      <c r="M18" s="238" t="s">
        <v>135</v>
      </c>
      <c r="N18" s="182"/>
      <c r="O18" s="235">
        <v>45230</v>
      </c>
      <c r="P18" s="239"/>
      <c r="Q18" s="238" t="s">
        <v>138</v>
      </c>
      <c r="R18" s="178"/>
    </row>
    <row r="19" spans="1:18" s="160" customFormat="1" ht="21.75" customHeight="1">
      <c r="A19" s="233">
        <v>12</v>
      </c>
      <c r="B19" s="235">
        <v>45230</v>
      </c>
      <c r="C19" s="236" t="s">
        <v>136</v>
      </c>
      <c r="D19" s="236" t="s">
        <v>137</v>
      </c>
      <c r="E19" s="237">
        <v>2804852</v>
      </c>
      <c r="F19" s="177" t="s">
        <v>101</v>
      </c>
      <c r="G19" s="178" t="s">
        <v>359</v>
      </c>
      <c r="H19" s="237" t="s">
        <v>139</v>
      </c>
      <c r="I19" s="235">
        <v>44614</v>
      </c>
      <c r="J19" s="178"/>
      <c r="K19" s="178"/>
      <c r="L19" s="180" t="s">
        <v>24</v>
      </c>
      <c r="M19" s="238" t="s">
        <v>142</v>
      </c>
      <c r="N19" s="182"/>
      <c r="O19" s="235">
        <v>45230</v>
      </c>
      <c r="P19" s="239"/>
      <c r="Q19" s="238" t="s">
        <v>138</v>
      </c>
      <c r="R19" s="178"/>
    </row>
    <row r="20" spans="1:18" s="160" customFormat="1" ht="29.25" customHeight="1">
      <c r="A20" s="233">
        <v>13</v>
      </c>
      <c r="B20" s="235">
        <v>45231</v>
      </c>
      <c r="C20" s="236" t="s">
        <v>145</v>
      </c>
      <c r="D20" s="236" t="s">
        <v>146</v>
      </c>
      <c r="E20" s="237">
        <v>992530846</v>
      </c>
      <c r="F20" s="177" t="s">
        <v>101</v>
      </c>
      <c r="G20" s="178" t="s">
        <v>359</v>
      </c>
      <c r="H20" s="237" t="s">
        <v>19</v>
      </c>
      <c r="I20" s="235">
        <v>45026</v>
      </c>
      <c r="J20" s="178"/>
      <c r="K20" s="178"/>
      <c r="L20" s="180" t="s">
        <v>24</v>
      </c>
      <c r="M20" s="238" t="s">
        <v>144</v>
      </c>
      <c r="N20" s="182"/>
      <c r="O20" s="235">
        <v>45231</v>
      </c>
      <c r="P20" s="239" t="s">
        <v>148</v>
      </c>
      <c r="Q20" s="238" t="s">
        <v>147</v>
      </c>
      <c r="R20" s="178"/>
    </row>
    <row r="21" spans="1:18" s="160" customFormat="1" ht="21" customHeight="1">
      <c r="A21" s="233">
        <v>14</v>
      </c>
      <c r="B21" s="235">
        <v>45231</v>
      </c>
      <c r="C21" s="236" t="s">
        <v>145</v>
      </c>
      <c r="D21" s="236" t="s">
        <v>146</v>
      </c>
      <c r="E21" s="237">
        <v>992530846</v>
      </c>
      <c r="F21" s="177" t="s">
        <v>101</v>
      </c>
      <c r="G21" s="178" t="s">
        <v>359</v>
      </c>
      <c r="H21" s="237" t="s">
        <v>19</v>
      </c>
      <c r="I21" s="235">
        <v>45026</v>
      </c>
      <c r="J21" s="178"/>
      <c r="K21" s="178"/>
      <c r="L21" s="180" t="s">
        <v>24</v>
      </c>
      <c r="M21" s="238" t="s">
        <v>149</v>
      </c>
      <c r="N21" s="182"/>
      <c r="O21" s="235">
        <v>45231</v>
      </c>
      <c r="P21" s="239" t="s">
        <v>148</v>
      </c>
      <c r="Q21" s="238" t="s">
        <v>147</v>
      </c>
      <c r="R21" s="178"/>
    </row>
    <row r="22" spans="1:18" s="160" customFormat="1" ht="21.75" customHeight="1">
      <c r="A22" s="233">
        <v>15</v>
      </c>
      <c r="B22" s="174">
        <v>45237</v>
      </c>
      <c r="C22" s="234" t="s">
        <v>251</v>
      </c>
      <c r="D22" s="175" t="s">
        <v>360</v>
      </c>
      <c r="E22" s="176">
        <v>72816200</v>
      </c>
      <c r="F22" s="177" t="s">
        <v>102</v>
      </c>
      <c r="G22" s="178" t="s">
        <v>353</v>
      </c>
      <c r="H22" s="176" t="s">
        <v>93</v>
      </c>
      <c r="I22" s="179">
        <v>44729</v>
      </c>
      <c r="J22" s="178"/>
      <c r="K22" s="178"/>
      <c r="L22" s="180" t="s">
        <v>24</v>
      </c>
      <c r="M22" s="181" t="s">
        <v>250</v>
      </c>
      <c r="N22" s="182"/>
      <c r="O22" s="183">
        <v>45237</v>
      </c>
      <c r="P22" s="185"/>
      <c r="Q22" s="181" t="s">
        <v>361</v>
      </c>
      <c r="R22" s="178"/>
    </row>
    <row r="23" spans="1:18" s="160" customFormat="1" ht="21" customHeight="1">
      <c r="A23" s="233">
        <v>16</v>
      </c>
      <c r="B23" s="184">
        <v>45237</v>
      </c>
      <c r="C23" s="240" t="s">
        <v>256</v>
      </c>
      <c r="D23" s="175" t="s">
        <v>362</v>
      </c>
      <c r="E23" s="176">
        <v>999762583</v>
      </c>
      <c r="F23" s="177" t="s">
        <v>102</v>
      </c>
      <c r="G23" s="178" t="s">
        <v>353</v>
      </c>
      <c r="H23" s="176" t="s">
        <v>363</v>
      </c>
      <c r="I23" s="179">
        <v>45044</v>
      </c>
      <c r="J23" s="178"/>
      <c r="K23" s="178"/>
      <c r="L23" s="180" t="s">
        <v>24</v>
      </c>
      <c r="M23" s="181" t="s">
        <v>255</v>
      </c>
      <c r="N23" s="182"/>
      <c r="O23" s="183">
        <v>45237</v>
      </c>
      <c r="P23" s="173" t="s">
        <v>365</v>
      </c>
      <c r="Q23" s="181" t="s">
        <v>364</v>
      </c>
      <c r="R23" s="178"/>
    </row>
    <row r="24" spans="1:18" s="160" customFormat="1" ht="19.5" customHeight="1">
      <c r="A24" s="233">
        <v>17</v>
      </c>
      <c r="B24" s="235">
        <v>45237</v>
      </c>
      <c r="C24" s="236" t="s">
        <v>159</v>
      </c>
      <c r="D24" s="236" t="s">
        <v>160</v>
      </c>
      <c r="E24" s="237">
        <v>995750070</v>
      </c>
      <c r="F24" s="177" t="s">
        <v>101</v>
      </c>
      <c r="G24" s="178" t="s">
        <v>359</v>
      </c>
      <c r="H24" s="237" t="s">
        <v>19</v>
      </c>
      <c r="I24" s="235">
        <v>45229</v>
      </c>
      <c r="J24" s="178"/>
      <c r="K24" s="178"/>
      <c r="L24" s="180" t="s">
        <v>24</v>
      </c>
      <c r="M24" s="238" t="s">
        <v>157</v>
      </c>
      <c r="N24" s="182"/>
      <c r="O24" s="235">
        <v>45237</v>
      </c>
      <c r="P24" s="239" t="s">
        <v>162</v>
      </c>
      <c r="Q24" s="238" t="s">
        <v>161</v>
      </c>
      <c r="R24" s="178"/>
    </row>
    <row r="25" spans="1:18" s="160" customFormat="1" ht="17.25" customHeight="1">
      <c r="A25" s="233">
        <v>18</v>
      </c>
      <c r="B25" s="235">
        <v>45237</v>
      </c>
      <c r="C25" s="236" t="s">
        <v>159</v>
      </c>
      <c r="D25" s="236" t="s">
        <v>160</v>
      </c>
      <c r="E25" s="237">
        <v>995750070</v>
      </c>
      <c r="F25" s="177" t="s">
        <v>101</v>
      </c>
      <c r="G25" s="178" t="s">
        <v>359</v>
      </c>
      <c r="H25" s="237" t="s">
        <v>19</v>
      </c>
      <c r="I25" s="235">
        <v>45229</v>
      </c>
      <c r="J25" s="178"/>
      <c r="K25" s="178"/>
      <c r="L25" s="180" t="s">
        <v>24</v>
      </c>
      <c r="M25" s="238" t="s">
        <v>164</v>
      </c>
      <c r="N25" s="182"/>
      <c r="O25" s="235">
        <v>45237</v>
      </c>
      <c r="P25" s="239" t="s">
        <v>162</v>
      </c>
      <c r="Q25" s="238" t="s">
        <v>161</v>
      </c>
      <c r="R25" s="178"/>
    </row>
    <row r="26" spans="1:18" s="160" customFormat="1" ht="24.75" customHeight="1">
      <c r="A26" s="233">
        <v>19</v>
      </c>
      <c r="B26" s="235">
        <v>45238</v>
      </c>
      <c r="C26" s="236" t="s">
        <v>152</v>
      </c>
      <c r="D26" s="236" t="s">
        <v>366</v>
      </c>
      <c r="E26" s="237">
        <v>987545172</v>
      </c>
      <c r="F26" s="177" t="s">
        <v>101</v>
      </c>
      <c r="G26" s="178" t="s">
        <v>359</v>
      </c>
      <c r="H26" s="237" t="s">
        <v>94</v>
      </c>
      <c r="I26" s="235">
        <v>45177</v>
      </c>
      <c r="J26" s="178"/>
      <c r="K26" s="178"/>
      <c r="L26" s="180" t="s">
        <v>24</v>
      </c>
      <c r="M26" s="238" t="s">
        <v>151</v>
      </c>
      <c r="N26" s="182"/>
      <c r="O26" s="235">
        <v>45238</v>
      </c>
      <c r="P26" s="239" t="s">
        <v>154</v>
      </c>
      <c r="Q26" s="238" t="s">
        <v>153</v>
      </c>
      <c r="R26" s="178"/>
    </row>
    <row r="27" spans="1:18" s="160" customFormat="1" ht="19.5" customHeight="1">
      <c r="A27" s="233">
        <v>20</v>
      </c>
      <c r="B27" s="235">
        <v>45238</v>
      </c>
      <c r="C27" s="236" t="s">
        <v>152</v>
      </c>
      <c r="D27" s="236" t="s">
        <v>366</v>
      </c>
      <c r="E27" s="237">
        <v>987545172</v>
      </c>
      <c r="F27" s="177" t="s">
        <v>101</v>
      </c>
      <c r="G27" s="178" t="s">
        <v>359</v>
      </c>
      <c r="H27" s="237" t="s">
        <v>94</v>
      </c>
      <c r="I27" s="235">
        <v>45156</v>
      </c>
      <c r="J27" s="178"/>
      <c r="K27" s="178"/>
      <c r="L27" s="180" t="s">
        <v>24</v>
      </c>
      <c r="M27" s="238" t="s">
        <v>157</v>
      </c>
      <c r="N27" s="182"/>
      <c r="O27" s="235">
        <v>45238</v>
      </c>
      <c r="P27" s="239" t="s">
        <v>154</v>
      </c>
      <c r="Q27" s="238" t="s">
        <v>153</v>
      </c>
      <c r="R27" s="178"/>
    </row>
    <row r="28" spans="1:18" s="160" customFormat="1" ht="21" customHeight="1">
      <c r="A28" s="233">
        <v>21</v>
      </c>
      <c r="B28" s="235">
        <v>45239</v>
      </c>
      <c r="C28" s="236" t="s">
        <v>167</v>
      </c>
      <c r="D28" s="236" t="s">
        <v>168</v>
      </c>
      <c r="E28" s="237">
        <v>999858688</v>
      </c>
      <c r="F28" s="177" t="s">
        <v>101</v>
      </c>
      <c r="G28" s="178" t="s">
        <v>359</v>
      </c>
      <c r="H28" s="237" t="s">
        <v>19</v>
      </c>
      <c r="I28" s="235">
        <v>45006</v>
      </c>
      <c r="J28" s="178"/>
      <c r="K28" s="178"/>
      <c r="L28" s="180" t="s">
        <v>24</v>
      </c>
      <c r="M28" s="238" t="s">
        <v>166</v>
      </c>
      <c r="N28" s="182"/>
      <c r="O28" s="235">
        <v>45239</v>
      </c>
      <c r="P28" s="239" t="s">
        <v>170</v>
      </c>
      <c r="Q28" s="238" t="s">
        <v>169</v>
      </c>
      <c r="R28" s="178"/>
    </row>
    <row r="29" spans="1:18" s="160" customFormat="1" ht="20.25" customHeight="1">
      <c r="A29" s="233">
        <v>22</v>
      </c>
      <c r="B29" s="235">
        <v>45239</v>
      </c>
      <c r="C29" s="236" t="s">
        <v>167</v>
      </c>
      <c r="D29" s="236" t="s">
        <v>168</v>
      </c>
      <c r="E29" s="237">
        <v>999858688</v>
      </c>
      <c r="F29" s="177" t="s">
        <v>101</v>
      </c>
      <c r="G29" s="178" t="s">
        <v>359</v>
      </c>
      <c r="H29" s="237" t="s">
        <v>19</v>
      </c>
      <c r="I29" s="235">
        <v>45006</v>
      </c>
      <c r="J29" s="178"/>
      <c r="K29" s="178"/>
      <c r="L29" s="180" t="s">
        <v>24</v>
      </c>
      <c r="M29" s="238" t="s">
        <v>171</v>
      </c>
      <c r="N29" s="182"/>
      <c r="O29" s="235">
        <v>45239</v>
      </c>
      <c r="P29" s="239" t="s">
        <v>170</v>
      </c>
      <c r="Q29" s="238" t="s">
        <v>169</v>
      </c>
      <c r="R29" s="178"/>
    </row>
    <row r="30" spans="1:18" s="160" customFormat="1" ht="20.25" customHeight="1">
      <c r="A30" s="233">
        <v>23</v>
      </c>
      <c r="B30" s="235">
        <v>45239</v>
      </c>
      <c r="C30" s="236" t="s">
        <v>167</v>
      </c>
      <c r="D30" s="236" t="s">
        <v>168</v>
      </c>
      <c r="E30" s="237">
        <v>999858688</v>
      </c>
      <c r="F30" s="177" t="s">
        <v>101</v>
      </c>
      <c r="G30" s="178" t="s">
        <v>359</v>
      </c>
      <c r="H30" s="237" t="s">
        <v>19</v>
      </c>
      <c r="I30" s="235">
        <v>45006</v>
      </c>
      <c r="J30" s="178"/>
      <c r="K30" s="178"/>
      <c r="L30" s="180" t="s">
        <v>24</v>
      </c>
      <c r="M30" s="238" t="s">
        <v>173</v>
      </c>
      <c r="N30" s="182"/>
      <c r="O30" s="235">
        <v>45239</v>
      </c>
      <c r="P30" s="239" t="s">
        <v>170</v>
      </c>
      <c r="Q30" s="238" t="s">
        <v>169</v>
      </c>
      <c r="R30" s="178"/>
    </row>
    <row r="31" spans="1:18" s="153" customFormat="1" ht="15.75">
      <c r="A31" s="233">
        <v>24</v>
      </c>
      <c r="B31" s="235">
        <v>45239</v>
      </c>
      <c r="C31" s="236" t="s">
        <v>167</v>
      </c>
      <c r="D31" s="236" t="s">
        <v>168</v>
      </c>
      <c r="E31" s="237">
        <v>999858688</v>
      </c>
      <c r="F31" s="177" t="s">
        <v>101</v>
      </c>
      <c r="G31" s="178" t="s">
        <v>359</v>
      </c>
      <c r="H31" s="237" t="s">
        <v>93</v>
      </c>
      <c r="I31" s="235">
        <v>45008</v>
      </c>
      <c r="J31" s="178"/>
      <c r="K31" s="178"/>
      <c r="L31" s="180" t="s">
        <v>24</v>
      </c>
      <c r="M31" s="238" t="s">
        <v>175</v>
      </c>
      <c r="N31" s="182"/>
      <c r="O31" s="235">
        <v>45239</v>
      </c>
      <c r="P31" s="239" t="s">
        <v>170</v>
      </c>
      <c r="Q31" s="238" t="s">
        <v>169</v>
      </c>
      <c r="R31" s="178"/>
    </row>
    <row r="32" spans="1:18" s="153" customFormat="1" ht="15.75">
      <c r="A32" s="233">
        <v>25</v>
      </c>
      <c r="B32" s="235">
        <v>45239</v>
      </c>
      <c r="C32" s="236" t="s">
        <v>167</v>
      </c>
      <c r="D32" s="236" t="s">
        <v>168</v>
      </c>
      <c r="E32" s="237">
        <v>999858688</v>
      </c>
      <c r="F32" s="177" t="s">
        <v>101</v>
      </c>
      <c r="G32" s="178" t="s">
        <v>359</v>
      </c>
      <c r="H32" s="237" t="s">
        <v>93</v>
      </c>
      <c r="I32" s="235">
        <v>45008</v>
      </c>
      <c r="J32" s="178"/>
      <c r="K32" s="178"/>
      <c r="L32" s="180" t="s">
        <v>24</v>
      </c>
      <c r="M32" s="238" t="s">
        <v>177</v>
      </c>
      <c r="N32" s="182"/>
      <c r="O32" s="235">
        <v>45239</v>
      </c>
      <c r="P32" s="239" t="s">
        <v>170</v>
      </c>
      <c r="Q32" s="238" t="s">
        <v>169</v>
      </c>
      <c r="R32" s="178"/>
    </row>
    <row r="33" spans="1:18" s="153" customFormat="1" ht="15.75">
      <c r="A33" s="233">
        <v>26</v>
      </c>
      <c r="B33" s="174">
        <v>45239</v>
      </c>
      <c r="C33" s="234" t="s">
        <v>261</v>
      </c>
      <c r="D33" s="175" t="s">
        <v>367</v>
      </c>
      <c r="E33" s="176">
        <v>72831794</v>
      </c>
      <c r="F33" s="177" t="s">
        <v>102</v>
      </c>
      <c r="G33" s="178" t="s">
        <v>353</v>
      </c>
      <c r="H33" s="176" t="s">
        <v>93</v>
      </c>
      <c r="I33" s="179">
        <v>44823</v>
      </c>
      <c r="J33" s="178"/>
      <c r="K33" s="178"/>
      <c r="L33" s="180" t="s">
        <v>24</v>
      </c>
      <c r="M33" s="181" t="s">
        <v>368</v>
      </c>
      <c r="N33" s="182"/>
      <c r="O33" s="183">
        <v>45239</v>
      </c>
      <c r="P33" s="173" t="s">
        <v>369</v>
      </c>
      <c r="Q33" s="181" t="s">
        <v>370</v>
      </c>
      <c r="R33" s="178"/>
    </row>
    <row r="34" spans="1:18" s="153" customFormat="1" ht="15.75">
      <c r="A34" s="233">
        <v>27</v>
      </c>
      <c r="B34" s="235">
        <v>45240</v>
      </c>
      <c r="C34" s="236" t="s">
        <v>279</v>
      </c>
      <c r="D34" s="236" t="s">
        <v>199</v>
      </c>
      <c r="E34" s="237">
        <v>995570421</v>
      </c>
      <c r="F34" s="177" t="s">
        <v>101</v>
      </c>
      <c r="G34" s="178" t="s">
        <v>359</v>
      </c>
      <c r="H34" s="237" t="s">
        <v>93</v>
      </c>
      <c r="I34" s="235">
        <v>45093</v>
      </c>
      <c r="J34" s="178"/>
      <c r="K34" s="178"/>
      <c r="L34" s="180" t="s">
        <v>24</v>
      </c>
      <c r="M34" s="237" t="s">
        <v>271</v>
      </c>
      <c r="N34" s="182"/>
      <c r="O34" s="235">
        <v>45240</v>
      </c>
      <c r="P34" s="239" t="s">
        <v>281</v>
      </c>
      <c r="Q34" s="238" t="s">
        <v>280</v>
      </c>
      <c r="R34" s="178"/>
    </row>
    <row r="35" spans="1:18" s="153" customFormat="1" ht="15.75">
      <c r="A35" s="233">
        <v>28</v>
      </c>
      <c r="B35" s="235">
        <v>45240</v>
      </c>
      <c r="C35" s="236" t="s">
        <v>279</v>
      </c>
      <c r="D35" s="236" t="s">
        <v>199</v>
      </c>
      <c r="E35" s="237">
        <v>995570421</v>
      </c>
      <c r="F35" s="177" t="s">
        <v>101</v>
      </c>
      <c r="G35" s="178" t="s">
        <v>359</v>
      </c>
      <c r="H35" s="237" t="s">
        <v>93</v>
      </c>
      <c r="I35" s="235">
        <v>45093</v>
      </c>
      <c r="J35" s="178"/>
      <c r="K35" s="178"/>
      <c r="L35" s="180" t="s">
        <v>24</v>
      </c>
      <c r="M35" s="237" t="s">
        <v>272</v>
      </c>
      <c r="N35" s="182"/>
      <c r="O35" s="235">
        <v>45240</v>
      </c>
      <c r="P35" s="239" t="s">
        <v>281</v>
      </c>
      <c r="Q35" s="238" t="s">
        <v>280</v>
      </c>
      <c r="R35" s="178"/>
    </row>
    <row r="36" spans="1:18" s="153" customFormat="1" ht="15.75">
      <c r="A36" s="233">
        <v>29</v>
      </c>
      <c r="B36" s="235">
        <v>45240</v>
      </c>
      <c r="C36" s="236" t="s">
        <v>279</v>
      </c>
      <c r="D36" s="236" t="s">
        <v>199</v>
      </c>
      <c r="E36" s="237">
        <v>995570421</v>
      </c>
      <c r="F36" s="177" t="s">
        <v>101</v>
      </c>
      <c r="G36" s="178" t="s">
        <v>359</v>
      </c>
      <c r="H36" s="237" t="s">
        <v>93</v>
      </c>
      <c r="I36" s="235">
        <v>45093</v>
      </c>
      <c r="J36" s="178"/>
      <c r="K36" s="178"/>
      <c r="L36" s="180" t="s">
        <v>24</v>
      </c>
      <c r="M36" s="237" t="s">
        <v>273</v>
      </c>
      <c r="N36" s="182"/>
      <c r="O36" s="235">
        <v>45240</v>
      </c>
      <c r="P36" s="239" t="s">
        <v>281</v>
      </c>
      <c r="Q36" s="238" t="s">
        <v>280</v>
      </c>
      <c r="R36" s="178"/>
    </row>
    <row r="37" spans="1:18" s="153" customFormat="1" ht="15.75">
      <c r="A37" s="233">
        <v>30</v>
      </c>
      <c r="B37" s="235">
        <v>45240</v>
      </c>
      <c r="C37" s="236" t="s">
        <v>279</v>
      </c>
      <c r="D37" s="236" t="s">
        <v>199</v>
      </c>
      <c r="E37" s="237">
        <v>995570421</v>
      </c>
      <c r="F37" s="177" t="s">
        <v>101</v>
      </c>
      <c r="G37" s="178" t="s">
        <v>359</v>
      </c>
      <c r="H37" s="237" t="s">
        <v>93</v>
      </c>
      <c r="I37" s="235">
        <v>45093</v>
      </c>
      <c r="J37" s="178"/>
      <c r="K37" s="178"/>
      <c r="L37" s="180" t="s">
        <v>24</v>
      </c>
      <c r="M37" s="237" t="s">
        <v>274</v>
      </c>
      <c r="N37" s="182"/>
      <c r="O37" s="235">
        <v>45240</v>
      </c>
      <c r="P37" s="239" t="s">
        <v>281</v>
      </c>
      <c r="Q37" s="238" t="s">
        <v>280</v>
      </c>
      <c r="R37" s="178"/>
    </row>
    <row r="38" spans="1:18" s="153" customFormat="1" ht="15.75">
      <c r="A38" s="233">
        <v>31</v>
      </c>
      <c r="B38" s="235">
        <v>45243</v>
      </c>
      <c r="C38" s="236" t="s">
        <v>192</v>
      </c>
      <c r="D38" s="236" t="s">
        <v>193</v>
      </c>
      <c r="E38" s="237">
        <v>981097895</v>
      </c>
      <c r="F38" s="177" t="s">
        <v>101</v>
      </c>
      <c r="G38" s="178" t="s">
        <v>359</v>
      </c>
      <c r="H38" s="237" t="s">
        <v>19</v>
      </c>
      <c r="I38" s="235">
        <v>45162</v>
      </c>
      <c r="J38" s="178"/>
      <c r="K38" s="178"/>
      <c r="L38" s="180" t="s">
        <v>24</v>
      </c>
      <c r="M38" s="238" t="s">
        <v>191</v>
      </c>
      <c r="N38" s="182"/>
      <c r="O38" s="235">
        <v>45243</v>
      </c>
      <c r="P38" s="239" t="s">
        <v>195</v>
      </c>
      <c r="Q38" s="238" t="s">
        <v>194</v>
      </c>
      <c r="R38" s="178"/>
    </row>
    <row r="39" spans="1:18" s="153" customFormat="1" ht="15.75">
      <c r="A39" s="233">
        <v>32</v>
      </c>
      <c r="B39" s="235">
        <v>45243</v>
      </c>
      <c r="C39" s="236" t="s">
        <v>192</v>
      </c>
      <c r="D39" s="236" t="s">
        <v>193</v>
      </c>
      <c r="E39" s="237">
        <v>981097895</v>
      </c>
      <c r="F39" s="177" t="s">
        <v>101</v>
      </c>
      <c r="G39" s="178" t="s">
        <v>359</v>
      </c>
      <c r="H39" s="237" t="s">
        <v>19</v>
      </c>
      <c r="I39" s="235">
        <v>45162</v>
      </c>
      <c r="J39" s="178"/>
      <c r="K39" s="178"/>
      <c r="L39" s="180" t="s">
        <v>24</v>
      </c>
      <c r="M39" s="238" t="s">
        <v>197</v>
      </c>
      <c r="N39" s="182"/>
      <c r="O39" s="235">
        <v>45243</v>
      </c>
      <c r="P39" s="239" t="s">
        <v>195</v>
      </c>
      <c r="Q39" s="238" t="s">
        <v>194</v>
      </c>
      <c r="R39" s="178"/>
    </row>
    <row r="40" spans="1:18" s="153" customFormat="1" ht="15.75">
      <c r="A40" s="233">
        <v>33</v>
      </c>
      <c r="B40" s="235">
        <v>45245</v>
      </c>
      <c r="C40" s="236" t="s">
        <v>267</v>
      </c>
      <c r="D40" s="236" t="s">
        <v>268</v>
      </c>
      <c r="E40" s="237">
        <v>992737834</v>
      </c>
      <c r="F40" s="177" t="s">
        <v>101</v>
      </c>
      <c r="G40" s="178" t="s">
        <v>359</v>
      </c>
      <c r="H40" s="237" t="s">
        <v>299</v>
      </c>
      <c r="I40" s="235">
        <v>44900</v>
      </c>
      <c r="J40" s="178"/>
      <c r="K40" s="178"/>
      <c r="L40" s="180" t="s">
        <v>24</v>
      </c>
      <c r="M40" s="238" t="s">
        <v>264</v>
      </c>
      <c r="N40" s="182"/>
      <c r="O40" s="235">
        <v>45245</v>
      </c>
      <c r="P40" s="239" t="s">
        <v>270</v>
      </c>
      <c r="Q40" s="238" t="s">
        <v>269</v>
      </c>
      <c r="R40" s="178"/>
    </row>
    <row r="41" spans="1:18" s="153" customFormat="1" ht="15.75">
      <c r="A41" s="233">
        <v>34</v>
      </c>
      <c r="B41" s="235">
        <v>45245</v>
      </c>
      <c r="C41" s="236" t="s">
        <v>267</v>
      </c>
      <c r="D41" s="236" t="s">
        <v>268</v>
      </c>
      <c r="E41" s="237">
        <v>992737834</v>
      </c>
      <c r="F41" s="177" t="s">
        <v>101</v>
      </c>
      <c r="G41" s="178" t="s">
        <v>359</v>
      </c>
      <c r="H41" s="237" t="s">
        <v>139</v>
      </c>
      <c r="I41" s="235">
        <v>44895</v>
      </c>
      <c r="J41" s="178"/>
      <c r="K41" s="178"/>
      <c r="L41" s="180" t="s">
        <v>24</v>
      </c>
      <c r="M41" s="238" t="s">
        <v>265</v>
      </c>
      <c r="N41" s="182"/>
      <c r="O41" s="235">
        <v>45245</v>
      </c>
      <c r="P41" s="239" t="s">
        <v>270</v>
      </c>
      <c r="Q41" s="238" t="s">
        <v>269</v>
      </c>
      <c r="R41" s="178"/>
    </row>
    <row r="42" spans="1:18" s="153" customFormat="1" ht="15.75">
      <c r="A42" s="233">
        <v>35</v>
      </c>
      <c r="B42" s="235">
        <v>45245</v>
      </c>
      <c r="C42" s="236" t="s">
        <v>267</v>
      </c>
      <c r="D42" s="236" t="s">
        <v>268</v>
      </c>
      <c r="E42" s="237">
        <v>992737834</v>
      </c>
      <c r="F42" s="177" t="s">
        <v>101</v>
      </c>
      <c r="G42" s="178" t="s">
        <v>359</v>
      </c>
      <c r="H42" s="237" t="s">
        <v>139</v>
      </c>
      <c r="I42" s="235">
        <v>44897</v>
      </c>
      <c r="J42" s="178"/>
      <c r="K42" s="178"/>
      <c r="L42" s="180" t="s">
        <v>24</v>
      </c>
      <c r="M42" s="238" t="s">
        <v>266</v>
      </c>
      <c r="N42" s="182"/>
      <c r="O42" s="235">
        <v>45245</v>
      </c>
      <c r="P42" s="239" t="s">
        <v>270</v>
      </c>
      <c r="Q42" s="238" t="s">
        <v>269</v>
      </c>
      <c r="R42" s="178"/>
    </row>
    <row r="43" spans="1:18" ht="15.75">
      <c r="A43" s="233">
        <v>36</v>
      </c>
      <c r="B43" s="235">
        <v>45245</v>
      </c>
      <c r="C43" s="236" t="s">
        <v>287</v>
      </c>
      <c r="D43" s="236" t="s">
        <v>301</v>
      </c>
      <c r="E43" s="237">
        <v>968805901</v>
      </c>
      <c r="F43" s="177" t="s">
        <v>101</v>
      </c>
      <c r="G43" s="178" t="s">
        <v>359</v>
      </c>
      <c r="H43" s="237" t="s">
        <v>139</v>
      </c>
      <c r="I43" s="235">
        <v>45173</v>
      </c>
      <c r="J43" s="178"/>
      <c r="K43" s="178"/>
      <c r="L43" s="180" t="s">
        <v>24</v>
      </c>
      <c r="M43" s="238" t="s">
        <v>284</v>
      </c>
      <c r="N43" s="182"/>
      <c r="O43" s="235">
        <v>45245</v>
      </c>
      <c r="P43" s="239"/>
      <c r="Q43" s="238" t="s">
        <v>304</v>
      </c>
      <c r="R43" s="178"/>
    </row>
    <row r="44" spans="1:18" ht="15.75">
      <c r="A44" s="233">
        <v>37</v>
      </c>
      <c r="B44" s="235">
        <v>45245</v>
      </c>
      <c r="C44" s="236" t="s">
        <v>287</v>
      </c>
      <c r="D44" s="236" t="s">
        <v>301</v>
      </c>
      <c r="E44" s="237">
        <v>968805901</v>
      </c>
      <c r="F44" s="177" t="s">
        <v>101</v>
      </c>
      <c r="G44" s="178" t="s">
        <v>359</v>
      </c>
      <c r="H44" s="237" t="s">
        <v>139</v>
      </c>
      <c r="I44" s="235">
        <v>45173</v>
      </c>
      <c r="J44" s="178"/>
      <c r="K44" s="178"/>
      <c r="L44" s="180" t="s">
        <v>24</v>
      </c>
      <c r="M44" s="238" t="s">
        <v>285</v>
      </c>
      <c r="N44" s="182"/>
      <c r="O44" s="235">
        <v>45245</v>
      </c>
      <c r="P44" s="239"/>
      <c r="Q44" s="238" t="s">
        <v>304</v>
      </c>
      <c r="R44" s="178"/>
    </row>
    <row r="45" spans="1:18" ht="15.75">
      <c r="A45" s="233">
        <v>38</v>
      </c>
      <c r="B45" s="235">
        <v>45245</v>
      </c>
      <c r="C45" s="236" t="s">
        <v>287</v>
      </c>
      <c r="D45" s="236" t="s">
        <v>301</v>
      </c>
      <c r="E45" s="237">
        <v>968805901</v>
      </c>
      <c r="F45" s="177" t="s">
        <v>101</v>
      </c>
      <c r="G45" s="178" t="s">
        <v>359</v>
      </c>
      <c r="H45" s="237" t="s">
        <v>139</v>
      </c>
      <c r="I45" s="235">
        <v>45173</v>
      </c>
      <c r="J45" s="178"/>
      <c r="K45" s="178"/>
      <c r="L45" s="180" t="s">
        <v>24</v>
      </c>
      <c r="M45" s="238" t="s">
        <v>286</v>
      </c>
      <c r="N45" s="182"/>
      <c r="O45" s="235">
        <v>45245</v>
      </c>
      <c r="P45" s="239"/>
      <c r="Q45" s="238" t="s">
        <v>304</v>
      </c>
      <c r="R45" s="178"/>
    </row>
    <row r="46" spans="1:18" ht="15.75">
      <c r="A46" s="233">
        <v>39</v>
      </c>
      <c r="B46" s="235">
        <v>45245</v>
      </c>
      <c r="C46" s="236" t="s">
        <v>292</v>
      </c>
      <c r="D46" s="236" t="s">
        <v>293</v>
      </c>
      <c r="E46" s="237">
        <v>979282590</v>
      </c>
      <c r="F46" s="177" t="s">
        <v>101</v>
      </c>
      <c r="G46" s="178" t="s">
        <v>359</v>
      </c>
      <c r="H46" s="237" t="s">
        <v>94</v>
      </c>
      <c r="I46" s="235">
        <v>45136</v>
      </c>
      <c r="J46" s="178"/>
      <c r="K46" s="178"/>
      <c r="L46" s="180" t="s">
        <v>24</v>
      </c>
      <c r="M46" s="238" t="s">
        <v>290</v>
      </c>
      <c r="N46" s="182"/>
      <c r="O46" s="235">
        <v>45245</v>
      </c>
      <c r="P46" s="239" t="s">
        <v>295</v>
      </c>
      <c r="Q46" s="238" t="s">
        <v>294</v>
      </c>
      <c r="R46" s="178"/>
    </row>
    <row r="47" spans="1:18" ht="15.75">
      <c r="A47" s="233">
        <v>40</v>
      </c>
      <c r="B47" s="235">
        <v>45245</v>
      </c>
      <c r="C47" s="236" t="s">
        <v>292</v>
      </c>
      <c r="D47" s="236" t="s">
        <v>293</v>
      </c>
      <c r="E47" s="237">
        <v>979282590</v>
      </c>
      <c r="F47" s="177" t="s">
        <v>101</v>
      </c>
      <c r="G47" s="178" t="s">
        <v>359</v>
      </c>
      <c r="H47" s="237" t="s">
        <v>94</v>
      </c>
      <c r="I47" s="235">
        <v>45136</v>
      </c>
      <c r="J47" s="178"/>
      <c r="K47" s="178"/>
      <c r="L47" s="180" t="s">
        <v>24</v>
      </c>
      <c r="M47" s="238" t="s">
        <v>291</v>
      </c>
      <c r="N47" s="182"/>
      <c r="O47" s="235">
        <v>45245</v>
      </c>
      <c r="P47" s="239" t="s">
        <v>295</v>
      </c>
      <c r="Q47" s="238" t="s">
        <v>294</v>
      </c>
      <c r="R47" s="178"/>
    </row>
    <row r="48" spans="1:18" ht="15.75">
      <c r="A48" s="233">
        <v>41</v>
      </c>
      <c r="B48" s="184">
        <v>45245</v>
      </c>
      <c r="C48" s="175" t="s">
        <v>327</v>
      </c>
      <c r="D48" s="175" t="s">
        <v>371</v>
      </c>
      <c r="E48" s="176">
        <v>984396086</v>
      </c>
      <c r="F48" s="177" t="s">
        <v>102</v>
      </c>
      <c r="G48" s="178" t="s">
        <v>353</v>
      </c>
      <c r="H48" s="176" t="s">
        <v>19</v>
      </c>
      <c r="I48" s="179">
        <v>44749</v>
      </c>
      <c r="J48" s="178"/>
      <c r="K48" s="178"/>
      <c r="L48" s="180" t="s">
        <v>24</v>
      </c>
      <c r="M48" s="181" t="s">
        <v>326</v>
      </c>
      <c r="N48" s="182"/>
      <c r="O48" s="183">
        <v>45245</v>
      </c>
      <c r="P48" s="185"/>
      <c r="Q48" s="181" t="s">
        <v>372</v>
      </c>
      <c r="R48" s="178"/>
    </row>
    <row r="49" spans="1:18" ht="15.75">
      <c r="A49" s="233">
        <v>42</v>
      </c>
      <c r="B49" s="235">
        <v>45246</v>
      </c>
      <c r="C49" s="236" t="s">
        <v>311</v>
      </c>
      <c r="D49" s="236" t="s">
        <v>312</v>
      </c>
      <c r="E49" s="237">
        <v>998439595</v>
      </c>
      <c r="F49" s="177" t="s">
        <v>101</v>
      </c>
      <c r="G49" s="178" t="s">
        <v>359</v>
      </c>
      <c r="H49" s="237" t="s">
        <v>139</v>
      </c>
      <c r="I49" s="235">
        <v>45217</v>
      </c>
      <c r="J49" s="178"/>
      <c r="K49" s="178"/>
      <c r="L49" s="180" t="s">
        <v>24</v>
      </c>
      <c r="M49" s="238" t="s">
        <v>308</v>
      </c>
      <c r="N49" s="182"/>
      <c r="O49" s="235">
        <v>45246</v>
      </c>
      <c r="P49" s="239"/>
      <c r="Q49" s="181" t="s">
        <v>323</v>
      </c>
      <c r="R49" s="178"/>
    </row>
    <row r="50" spans="1:18" ht="15.75">
      <c r="A50" s="233">
        <v>43</v>
      </c>
      <c r="B50" s="235">
        <v>45246</v>
      </c>
      <c r="C50" s="236" t="s">
        <v>311</v>
      </c>
      <c r="D50" s="236" t="s">
        <v>312</v>
      </c>
      <c r="E50" s="237">
        <v>998439595</v>
      </c>
      <c r="F50" s="177" t="s">
        <v>101</v>
      </c>
      <c r="G50" s="178" t="s">
        <v>359</v>
      </c>
      <c r="H50" s="237" t="s">
        <v>139</v>
      </c>
      <c r="I50" s="235">
        <v>45217</v>
      </c>
      <c r="J50" s="178"/>
      <c r="K50" s="178"/>
      <c r="L50" s="180" t="s">
        <v>24</v>
      </c>
      <c r="M50" s="238" t="s">
        <v>309</v>
      </c>
      <c r="N50" s="182"/>
      <c r="O50" s="235">
        <v>45246</v>
      </c>
      <c r="P50" s="239"/>
      <c r="Q50" s="181" t="s">
        <v>323</v>
      </c>
      <c r="R50" s="178"/>
    </row>
    <row r="51" spans="1:18" ht="15.75">
      <c r="A51" s="233">
        <v>44</v>
      </c>
      <c r="B51" s="235">
        <v>45246</v>
      </c>
      <c r="C51" s="236" t="s">
        <v>311</v>
      </c>
      <c r="D51" s="236" t="s">
        <v>312</v>
      </c>
      <c r="E51" s="237">
        <v>998439595</v>
      </c>
      <c r="F51" s="177" t="s">
        <v>101</v>
      </c>
      <c r="G51" s="178" t="s">
        <v>359</v>
      </c>
      <c r="H51" s="237" t="s">
        <v>139</v>
      </c>
      <c r="I51" s="235">
        <v>45217</v>
      </c>
      <c r="J51" s="178"/>
      <c r="K51" s="178"/>
      <c r="L51" s="180" t="s">
        <v>24</v>
      </c>
      <c r="M51" s="238" t="s">
        <v>310</v>
      </c>
      <c r="N51" s="182"/>
      <c r="O51" s="235">
        <v>45246</v>
      </c>
      <c r="P51" s="239"/>
      <c r="Q51" s="181" t="s">
        <v>323</v>
      </c>
      <c r="R51" s="178"/>
    </row>
    <row r="52" spans="1:18" ht="15.75">
      <c r="A52" s="233">
        <v>45</v>
      </c>
      <c r="B52" s="235">
        <v>45248</v>
      </c>
      <c r="C52" s="236" t="s">
        <v>318</v>
      </c>
      <c r="D52" s="236" t="s">
        <v>319</v>
      </c>
      <c r="E52" s="237">
        <v>988302510</v>
      </c>
      <c r="F52" s="177" t="s">
        <v>101</v>
      </c>
      <c r="G52" s="178" t="s">
        <v>359</v>
      </c>
      <c r="H52" s="237" t="s">
        <v>92</v>
      </c>
      <c r="I52" s="235">
        <v>45219</v>
      </c>
      <c r="J52" s="178"/>
      <c r="K52" s="178"/>
      <c r="L52" s="180" t="s">
        <v>24</v>
      </c>
      <c r="M52" s="238" t="s">
        <v>315</v>
      </c>
      <c r="N52" s="182"/>
      <c r="O52" s="235">
        <v>45248</v>
      </c>
      <c r="P52" s="239" t="s">
        <v>321</v>
      </c>
      <c r="Q52" s="181" t="s">
        <v>320</v>
      </c>
      <c r="R52" s="178"/>
    </row>
    <row r="53" spans="1:18" ht="15.75">
      <c r="A53" s="233">
        <v>46</v>
      </c>
      <c r="B53" s="235">
        <v>45248</v>
      </c>
      <c r="C53" s="236" t="s">
        <v>318</v>
      </c>
      <c r="D53" s="236" t="s">
        <v>319</v>
      </c>
      <c r="E53" s="237">
        <v>988302510</v>
      </c>
      <c r="F53" s="177" t="s">
        <v>101</v>
      </c>
      <c r="G53" s="178" t="s">
        <v>359</v>
      </c>
      <c r="H53" s="237" t="s">
        <v>92</v>
      </c>
      <c r="I53" s="235">
        <v>45219</v>
      </c>
      <c r="J53" s="178"/>
      <c r="K53" s="178"/>
      <c r="L53" s="180" t="s">
        <v>24</v>
      </c>
      <c r="M53" s="238" t="s">
        <v>316</v>
      </c>
      <c r="N53" s="182"/>
      <c r="O53" s="235">
        <v>45248</v>
      </c>
      <c r="P53" s="239" t="s">
        <v>321</v>
      </c>
      <c r="Q53" s="181" t="s">
        <v>320</v>
      </c>
      <c r="R53" s="178"/>
    </row>
    <row r="54" spans="1:18" ht="15.75">
      <c r="A54" s="233">
        <v>47</v>
      </c>
      <c r="B54" s="235">
        <v>45248</v>
      </c>
      <c r="C54" s="236" t="s">
        <v>318</v>
      </c>
      <c r="D54" s="236" t="s">
        <v>319</v>
      </c>
      <c r="E54" s="237">
        <v>988302510</v>
      </c>
      <c r="F54" s="177" t="s">
        <v>101</v>
      </c>
      <c r="G54" s="178" t="s">
        <v>359</v>
      </c>
      <c r="H54" s="237" t="s">
        <v>92</v>
      </c>
      <c r="I54" s="235">
        <v>45219</v>
      </c>
      <c r="J54" s="178"/>
      <c r="K54" s="178"/>
      <c r="L54" s="180" t="s">
        <v>24</v>
      </c>
      <c r="M54" s="238" t="s">
        <v>317</v>
      </c>
      <c r="N54" s="182"/>
      <c r="O54" s="235">
        <v>45248</v>
      </c>
      <c r="P54" s="239" t="s">
        <v>321</v>
      </c>
      <c r="Q54" s="181" t="s">
        <v>320</v>
      </c>
      <c r="R54" s="178"/>
    </row>
  </sheetData>
  <hyperlinks>
    <hyperlink ref="P7" r:id="rId1"/>
    <hyperlink ref="P12" r:id="rId2"/>
    <hyperlink ref="P13" r:id="rId3"/>
    <hyperlink ref="P14" r:id="rId4"/>
    <hyperlink ref="P15" r:id="rId5"/>
    <hyperlink ref="P16" r:id="rId6"/>
    <hyperlink ref="P17" r:id="rId7"/>
    <hyperlink ref="P20" r:id="rId8"/>
    <hyperlink ref="P21" r:id="rId9"/>
    <hyperlink ref="P23" r:id="rId10"/>
    <hyperlink ref="P26" r:id="rId11"/>
    <hyperlink ref="P27" r:id="rId12"/>
    <hyperlink ref="P24" r:id="rId13"/>
    <hyperlink ref="P25" r:id="rId14"/>
    <hyperlink ref="P33" r:id="rId15"/>
    <hyperlink ref="P38" r:id="rId16"/>
    <hyperlink ref="P39" r:id="rId17"/>
    <hyperlink ref="P40" r:id="rId18"/>
    <hyperlink ref="P41" r:id="rId19"/>
    <hyperlink ref="P42" r:id="rId20"/>
    <hyperlink ref="P46" r:id="rId21"/>
    <hyperlink ref="P47" r:id="rId22"/>
    <hyperlink ref="P34" r:id="rId23"/>
    <hyperlink ref="P35" r:id="rId24"/>
    <hyperlink ref="P36" r:id="rId25"/>
    <hyperlink ref="P37" r:id="rId26"/>
    <hyperlink ref="P52" r:id="rId27"/>
    <hyperlink ref="P53" r:id="rId28"/>
    <hyperlink ref="P54" r:id="rId29"/>
    <hyperlink ref="P8" r:id="rId30"/>
    <hyperlink ref="P10" r:id="rId31"/>
    <hyperlink ref="P9" r:id="rId32"/>
  </hyperlinks>
  <pageMargins left="0.7" right="0.7" top="0.75" bottom="0.75" header="0.3" footer="0.3"/>
  <pageSetup paperSize="9" orientation="portrait" horizontalDpi="0" verticalDpi="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</vt:lpstr>
      <vt:lpstr>BBQ</vt:lpstr>
      <vt:lpstr>1 PRODUCTO</vt:lpstr>
      <vt:lpstr>PROMOCION</vt:lpstr>
      <vt:lpstr>GARANTIAS</vt:lpstr>
      <vt:lpstr>CONSOLIDADO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mariela</cp:lastModifiedBy>
  <dcterms:created xsi:type="dcterms:W3CDTF">2023-08-18T15:37:10Z</dcterms:created>
  <dcterms:modified xsi:type="dcterms:W3CDTF">2023-11-20T00:49:38Z</dcterms:modified>
</cp:coreProperties>
</file>