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19"/>
  <workbookPr/>
  <mc:AlternateContent xmlns:mc="http://schemas.openxmlformats.org/markup-compatibility/2006">
    <mc:Choice Requires="x15">
      <x15ac:absPath xmlns:x15ac="http://schemas.microsoft.com/office/spreadsheetml/2010/11/ac" url="/Users/olivercapelo/Desktop/REPORTES 2025/"/>
    </mc:Choice>
  </mc:AlternateContent>
  <xr:revisionPtr revIDLastSave="0" documentId="13_ncr:1_{A614BB5F-646C-DF47-9D4C-41D45E515FBB}" xr6:coauthVersionLast="47" xr6:coauthVersionMax="47" xr10:uidLastSave="{00000000-0000-0000-0000-000000000000}"/>
  <bookViews>
    <workbookView xWindow="0" yWindow="500" windowWidth="44800" windowHeight="23000" xr2:uid="{00000000-000D-0000-FFFF-FFFF00000000}"/>
  </bookViews>
  <sheets>
    <sheet name="PROMOCION" sheetId="1" r:id="rId1"/>
    <sheet name="GARANTIA" sheetId="2" r:id="rId2"/>
    <sheet name="BBQ" sheetId="3" r:id="rId3"/>
    <sheet name="ALMACENES " sheetId="4" r:id="rId4"/>
    <sheet name="PROYECTO " sheetId="5" r:id="rId5"/>
    <sheet name="1 PRODUCTO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44" i="1" l="1"/>
  <c r="S43" i="1"/>
  <c r="S42" i="1"/>
  <c r="S41" i="1"/>
  <c r="S40" i="1"/>
  <c r="S33" i="1"/>
  <c r="S32" i="1"/>
  <c r="O11" i="4"/>
  <c r="S66" i="1"/>
  <c r="S65" i="1"/>
  <c r="O14" i="3"/>
  <c r="S13" i="3"/>
  <c r="S12" i="3"/>
  <c r="S11" i="3"/>
  <c r="S64" i="1"/>
  <c r="S63" i="1"/>
  <c r="S62" i="1"/>
  <c r="S61" i="1"/>
  <c r="S60" i="1"/>
  <c r="S59" i="1"/>
  <c r="S58" i="1"/>
  <c r="S57" i="1"/>
  <c r="S56" i="1"/>
  <c r="S55" i="1"/>
  <c r="S54" i="1"/>
  <c r="S53" i="1"/>
  <c r="S52" i="1"/>
  <c r="S51" i="1"/>
  <c r="S50" i="1"/>
  <c r="S49" i="1"/>
  <c r="O32" i="6"/>
  <c r="S48" i="1"/>
  <c r="S47" i="1"/>
  <c r="S46" i="1"/>
  <c r="S45" i="1"/>
  <c r="S39" i="1"/>
  <c r="S38" i="1"/>
  <c r="S37" i="1"/>
  <c r="S36" i="1"/>
  <c r="S35" i="1"/>
  <c r="S34" i="1"/>
  <c r="S9" i="3"/>
  <c r="S8" i="3" l="1"/>
  <c r="S31" i="6"/>
  <c r="S30" i="6"/>
  <c r="S29" i="6"/>
  <c r="S28" i="6"/>
  <c r="S27" i="6"/>
  <c r="S26" i="6"/>
  <c r="S25" i="6"/>
  <c r="S24" i="6"/>
  <c r="S23" i="6"/>
  <c r="S22" i="6"/>
  <c r="S21" i="6"/>
  <c r="S20" i="6"/>
  <c r="S18" i="6"/>
  <c r="S31" i="1"/>
  <c r="S30" i="1"/>
  <c r="S29" i="1"/>
  <c r="S28" i="1"/>
  <c r="S27" i="1"/>
  <c r="S26" i="1"/>
  <c r="S20" i="1"/>
  <c r="S25" i="1"/>
  <c r="S24" i="1"/>
  <c r="S23" i="1"/>
  <c r="S22" i="1"/>
  <c r="S21" i="1"/>
  <c r="S19" i="1"/>
  <c r="S7" i="1"/>
  <c r="S8" i="1"/>
  <c r="S9" i="1"/>
  <c r="S10" i="1"/>
  <c r="S11" i="1"/>
  <c r="S12" i="1"/>
  <c r="S13" i="1"/>
  <c r="S14" i="1"/>
  <c r="S15" i="1"/>
  <c r="S16" i="1"/>
  <c r="S17" i="1"/>
  <c r="S18" i="1"/>
  <c r="S6" i="1"/>
  <c r="S7" i="6" l="1"/>
  <c r="S8" i="6"/>
  <c r="S9" i="6"/>
  <c r="S10" i="6"/>
  <c r="S11" i="6"/>
  <c r="S12" i="6"/>
  <c r="S13" i="6"/>
  <c r="S14" i="6"/>
  <c r="S15" i="6"/>
  <c r="S16" i="6"/>
  <c r="S17" i="6"/>
  <c r="S19" i="6"/>
  <c r="S6" i="6"/>
  <c r="S5" i="6"/>
  <c r="N16" i="2"/>
  <c r="M21" i="2"/>
  <c r="M20" i="2"/>
  <c r="M19" i="2"/>
  <c r="M18" i="2"/>
  <c r="O67" i="1"/>
  <c r="M23" i="2" l="1"/>
  <c r="M68" i="1"/>
  <c r="M70" i="1" l="1"/>
  <c r="M69" i="1"/>
  <c r="M71" i="1" l="1"/>
</calcChain>
</file>

<file path=xl/sharedStrings.xml><?xml version="1.0" encoding="utf-8"?>
<sst xmlns="http://schemas.openxmlformats.org/spreadsheetml/2006/main" count="1514" uniqueCount="626">
  <si>
    <t xml:space="preserve">TEKA ECUADOR S.A. </t>
  </si>
  <si>
    <t>Registro Único de Contribuyente: 1791883144001</t>
  </si>
  <si>
    <t xml:space="preserve">FECHA DE COMPRA </t>
  </si>
  <si>
    <t xml:space="preserve">LUGAR DE COMRPA </t>
  </si>
  <si>
    <t>NUMERO DE FACTURA DE COMPRA</t>
  </si>
  <si>
    <t xml:space="preserve">CODIGO DEL PRODUCTO </t>
  </si>
  <si>
    <t xml:space="preserve">DESCRIPCION DE PRODUCTO </t>
  </si>
  <si>
    <t xml:space="preserve">SERIE DEL EQUIPO </t>
  </si>
  <si>
    <t>GARANTIA DEL EQUIPO</t>
  </si>
  <si>
    <t xml:space="preserve">TECNICO </t>
  </si>
  <si>
    <t xml:space="preserve">CIUDAD </t>
  </si>
  <si>
    <t xml:space="preserve">FECHA DE INSTALACION </t>
  </si>
  <si>
    <t>NOMBRE DEL CLIENTE</t>
  </si>
  <si>
    <t xml:space="preserve">DIRECCION INSTALACION </t>
  </si>
  <si>
    <t>CELULAR DEL CLIENTE</t>
  </si>
  <si>
    <t>PRECIO</t>
  </si>
  <si>
    <t xml:space="preserve">COMO LLEGO LA INFORMACION </t>
  </si>
  <si>
    <t>TÉCNICO QUE ATENDIÓ</t>
  </si>
  <si>
    <t xml:space="preserve">VIÁTICO </t>
  </si>
  <si>
    <t>FACTURA NUMERO</t>
  </si>
  <si>
    <t>CEDULA O RUC</t>
  </si>
  <si>
    <t xml:space="preserve">CORREO DEL CLIENTE </t>
  </si>
  <si>
    <t>Cliente final</t>
  </si>
  <si>
    <t xml:space="preserve">PROMOCION </t>
  </si>
  <si>
    <t xml:space="preserve">                  TRABAJOS EN GARANTÍAS</t>
  </si>
  <si>
    <t>Para Ing. Fernández</t>
  </si>
  <si>
    <t>Fecha de Compra</t>
  </si>
  <si>
    <t>Fecha de Intervención</t>
  </si>
  <si>
    <t>Cantidad</t>
  </si>
  <si>
    <t>Código del repuesto</t>
  </si>
  <si>
    <t>Descripción del Repuesto</t>
  </si>
  <si>
    <t xml:space="preserve">Codigo del Producto </t>
  </si>
  <si>
    <t>Descripción del Producto</t>
  </si>
  <si>
    <t>Serie</t>
  </si>
  <si>
    <t>Garantía</t>
  </si>
  <si>
    <t xml:space="preserve">Técnico </t>
  </si>
  <si>
    <t>Cliente</t>
  </si>
  <si>
    <t>Observación</t>
  </si>
  <si>
    <t xml:space="preserve">valor a pagar </t>
  </si>
  <si>
    <t>Cédula</t>
  </si>
  <si>
    <t>Correo</t>
  </si>
  <si>
    <t>telefono del cliente</t>
  </si>
  <si>
    <t>SAP</t>
  </si>
  <si>
    <t xml:space="preserve">     TEKA ECUADOR S.A. </t>
  </si>
  <si>
    <t xml:space="preserve">    Registro Único de Contribuyente: 1791883144001</t>
  </si>
  <si>
    <t>BBQ</t>
  </si>
  <si>
    <t xml:space="preserve">FECHA INSTALACION </t>
  </si>
  <si>
    <t xml:space="preserve">COMO LLEGO INFORMACION </t>
  </si>
  <si>
    <t>TECNICO QUE ATENDIO</t>
  </si>
  <si>
    <t>VIATICOS</t>
  </si>
  <si>
    <t>CORREO DEL CLIENTE</t>
  </si>
  <si>
    <t>TEKA ECUADOR S.A.</t>
  </si>
  <si>
    <t>FECHA DE COMPRA</t>
  </si>
  <si>
    <t>LUGAR DE COMRPA</t>
  </si>
  <si>
    <t>CODIGO DEL PRODUCTO</t>
  </si>
  <si>
    <t>DESCRIPCION DE PRODUCTO</t>
  </si>
  <si>
    <t>SERIE DEL EQUIPO</t>
  </si>
  <si>
    <t>TECNICO</t>
  </si>
  <si>
    <t>CIUDAD</t>
  </si>
  <si>
    <t>FECHA INSTALACION</t>
  </si>
  <si>
    <t>DIRECCION INSTALACION</t>
  </si>
  <si>
    <t>COMO LLEGO INFORMACION</t>
  </si>
  <si>
    <t xml:space="preserve">ALMACENES </t>
  </si>
  <si>
    <t>DETALLE DE PRODUCTOS INSTALADOS EN PROYECTO</t>
  </si>
  <si>
    <t xml:space="preserve">COMO NOS LLEGO LA INFORMACION </t>
  </si>
  <si>
    <t>Nombre de cliente</t>
  </si>
  <si>
    <t xml:space="preserve">Celular cliente </t>
  </si>
  <si>
    <t>VALOR</t>
  </si>
  <si>
    <t>RUC O CEDULA DUEÑO DE CASA</t>
  </si>
  <si>
    <t xml:space="preserve">CORREO DEL DUEÑO DE CASA </t>
  </si>
  <si>
    <t>DPTO.</t>
  </si>
  <si>
    <t>RECIBIDO POR</t>
  </si>
  <si>
    <t>CÉDULA</t>
  </si>
  <si>
    <t xml:space="preserve">PROYECTO </t>
  </si>
  <si>
    <t>Capelo</t>
  </si>
  <si>
    <t>Cuenca</t>
  </si>
  <si>
    <t>CAPELO</t>
  </si>
  <si>
    <t>CUENCA</t>
  </si>
  <si>
    <t>Barbacoa a Gas T-BBQ 4100 SS</t>
  </si>
  <si>
    <t>De Cristian Capelo</t>
  </si>
  <si>
    <t>UN SOLO PRODUCTO</t>
  </si>
  <si>
    <t>CLIENTE FINAL</t>
  </si>
  <si>
    <t>CORREO ELECTRONICO</t>
  </si>
  <si>
    <t xml:space="preserve"> </t>
  </si>
  <si>
    <t>Cristian Capelo</t>
  </si>
  <si>
    <t>Cocinas</t>
  </si>
  <si>
    <t>Horno</t>
  </si>
  <si>
    <t>KYWI</t>
  </si>
  <si>
    <t>40466241</t>
  </si>
  <si>
    <t>CAMPANA C9510</t>
  </si>
  <si>
    <t>TP24AR07834</t>
  </si>
  <si>
    <t>GUSTAVO BAUTISTA</t>
  </si>
  <si>
    <t>CAPELO - FEBRERO 2025</t>
  </si>
  <si>
    <t>RICAURTE</t>
  </si>
  <si>
    <t>01055514681</t>
  </si>
  <si>
    <t>gustavobautista1988@hotmail.com</t>
  </si>
  <si>
    <t>COMERCIAL SOLIS</t>
  </si>
  <si>
    <t>01055514682</t>
  </si>
  <si>
    <t>01055514683</t>
  </si>
  <si>
    <t>01055514684</t>
  </si>
  <si>
    <t>01055514685</t>
  </si>
  <si>
    <t>01055514686</t>
  </si>
  <si>
    <t>001-500-000070305</t>
  </si>
  <si>
    <t>016-902-000494155</t>
  </si>
  <si>
    <t>40390830</t>
  </si>
  <si>
    <t>MICROONDAS MWG IIX</t>
  </si>
  <si>
    <t>MW247A00030</t>
  </si>
  <si>
    <t>LAURO CAÑIZARES</t>
  </si>
  <si>
    <t>MONAY, MARTINA DE OLBA 2</t>
  </si>
  <si>
    <t>oswaldo1958@yahoo.com</t>
  </si>
  <si>
    <t>COM. LUNA PAZMIÑO</t>
  </si>
  <si>
    <t>002-201-00004019</t>
  </si>
  <si>
    <t>40455334</t>
  </si>
  <si>
    <t>CAMPANA NC 980</t>
  </si>
  <si>
    <t>PX222E00105</t>
  </si>
  <si>
    <t>MARIA ORELLANA</t>
  </si>
  <si>
    <t>UNIDAD NACIONAL</t>
  </si>
  <si>
    <t>0991675266</t>
  </si>
  <si>
    <t>0989729145</t>
  </si>
  <si>
    <t>0993838468</t>
  </si>
  <si>
    <t>a.azuayas@gmail.com</t>
  </si>
  <si>
    <t>MERCARD</t>
  </si>
  <si>
    <t>001-101-000003219</t>
  </si>
  <si>
    <t>HORNO HLB 8416 BK</t>
  </si>
  <si>
    <t>ELSA JARA</t>
  </si>
  <si>
    <t>PRADOS DE SAN JOSE</t>
  </si>
  <si>
    <t>jossmedrchan@hotmail.com</t>
  </si>
  <si>
    <t>MICROONDAS ML B20 BIS</t>
  </si>
  <si>
    <t>TZ23BF14520</t>
  </si>
  <si>
    <t>TP241Q04899</t>
  </si>
  <si>
    <t>ZP213R00015</t>
  </si>
  <si>
    <t>AW233800488</t>
  </si>
  <si>
    <t>COMOHOGAR</t>
  </si>
  <si>
    <t>040-103-000006905</t>
  </si>
  <si>
    <t>040-103-000009707</t>
  </si>
  <si>
    <t>COCINA JZC 63312 ABB</t>
  </si>
  <si>
    <t>LAVAVAJILLAS DFI 46950</t>
  </si>
  <si>
    <t>HORNO HCF 824 C</t>
  </si>
  <si>
    <t>JZC 96324 ABB</t>
  </si>
  <si>
    <t>CUERPO DPL ISLA 1180</t>
  </si>
  <si>
    <t>TZ248U36099</t>
  </si>
  <si>
    <t>ZP243P00592</t>
  </si>
  <si>
    <t>PX2461400049</t>
  </si>
  <si>
    <t>FERNANDO NARVAEZ</t>
  </si>
  <si>
    <t>0999488767</t>
  </si>
  <si>
    <t>CDLA JACARANDA</t>
  </si>
  <si>
    <t>0998697511</t>
  </si>
  <si>
    <t>agustinajara74@hotmail.com</t>
  </si>
  <si>
    <t>CAPELO FEBRERO 2025</t>
  </si>
  <si>
    <t>FEBRERO 2025</t>
  </si>
  <si>
    <t>Capelo FEBRERO 2025</t>
  </si>
  <si>
    <t>001-101-000002847</t>
  </si>
  <si>
    <t>001-500-000070264</t>
  </si>
  <si>
    <t>COCINA GBC 95030 KBB</t>
  </si>
  <si>
    <t>MICROONDAS ML 8220 BIS</t>
  </si>
  <si>
    <t>CAMPANA GFM 73</t>
  </si>
  <si>
    <t>ZP247H00663</t>
  </si>
  <si>
    <t>TP24SE04581</t>
  </si>
  <si>
    <t>TZ244JL9302</t>
  </si>
  <si>
    <t>TP249505015</t>
  </si>
  <si>
    <t xml:space="preserve">JOSE VAZQUEZ </t>
  </si>
  <si>
    <t>AZOGUES</t>
  </si>
  <si>
    <t>0992615314</t>
  </si>
  <si>
    <t>prillav58Qgmail.com</t>
  </si>
  <si>
    <t>040-103-000009042</t>
  </si>
  <si>
    <t>LAVAVAJILLAS DWB 57FIM-D</t>
  </si>
  <si>
    <t>MD247L00261</t>
  </si>
  <si>
    <t>TZ247202315</t>
  </si>
  <si>
    <t>XAVIER BARRERA</t>
  </si>
  <si>
    <t>CONDOMINIO VIENA</t>
  </si>
  <si>
    <t>0998164417</t>
  </si>
  <si>
    <t>txavierbarrera@hotmail.com</t>
  </si>
  <si>
    <t>001-500-000068460</t>
  </si>
  <si>
    <t>HOME VEGA</t>
  </si>
  <si>
    <t>006-002-00015677</t>
  </si>
  <si>
    <t>112500048</t>
  </si>
  <si>
    <t>ZP243N00403</t>
  </si>
  <si>
    <t>COCINA IZ597630MST BK</t>
  </si>
  <si>
    <t>MAURICIO ULLOA</t>
  </si>
  <si>
    <t>EDIFICIO TERRA</t>
  </si>
  <si>
    <t>0995422469</t>
  </si>
  <si>
    <t>mauroulloa90@hotmail.com</t>
  </si>
  <si>
    <t>006-002-000157093</t>
  </si>
  <si>
    <t>11260067</t>
  </si>
  <si>
    <t>COCINA GSC96320 SBA IX</t>
  </si>
  <si>
    <t>ZP246400565</t>
  </si>
  <si>
    <t>MILTON SERRANO</t>
  </si>
  <si>
    <t>0995318050</t>
  </si>
  <si>
    <t>gata_serrano@hotmail.com</t>
  </si>
  <si>
    <t>BOYACA</t>
  </si>
  <si>
    <t>007-006-000132846</t>
  </si>
  <si>
    <t>VINERA RVU20046 GKB</t>
  </si>
  <si>
    <t>REFRIGERADOR RFO77820 GKB</t>
  </si>
  <si>
    <t>COCINA GZC 95320 XBB</t>
  </si>
  <si>
    <t>NS244P00023</t>
  </si>
  <si>
    <t>MC234000029</t>
  </si>
  <si>
    <t>ZP23AQ00097</t>
  </si>
  <si>
    <t>TZ249P116585</t>
  </si>
  <si>
    <t>TP249900024</t>
  </si>
  <si>
    <t>MICROONDAS ML 822 BIS L</t>
  </si>
  <si>
    <t>008-501-000007944</t>
  </si>
  <si>
    <t>ALMAESPAÑA</t>
  </si>
  <si>
    <t>KENY MOSCOSO</t>
  </si>
  <si>
    <t>EDIFICIO NAVARRA</t>
  </si>
  <si>
    <t>0998094121</t>
  </si>
  <si>
    <t>kennymoscosomiranda@gmail.com</t>
  </si>
  <si>
    <t>001-500-000068937</t>
  </si>
  <si>
    <t>COCINA GBC 75-G1-GBA BM</t>
  </si>
  <si>
    <t>HORNO HLB 85-61 PBM</t>
  </si>
  <si>
    <t>ZP246K00193</t>
  </si>
  <si>
    <t>TZ246502069</t>
  </si>
  <si>
    <t>GABRIEL ENDERICA</t>
  </si>
  <si>
    <t>SAN JOAQUIN</t>
  </si>
  <si>
    <t>0992836075</t>
  </si>
  <si>
    <t>contabilidad@euroagroec.com</t>
  </si>
  <si>
    <t>SUKASA</t>
  </si>
  <si>
    <t>Barbacoa a Gas T-BBQ 3100 GBK SS</t>
  </si>
  <si>
    <t>CO249E00819</t>
  </si>
  <si>
    <t>CO249E00225</t>
  </si>
  <si>
    <t>DORIS MORA</t>
  </si>
  <si>
    <t>WAYRA PLAZA</t>
  </si>
  <si>
    <t>1790746119001</t>
  </si>
  <si>
    <t>skwayra@sukasa.com</t>
  </si>
  <si>
    <t>043-905-000054256</t>
  </si>
  <si>
    <t>40466111</t>
  </si>
  <si>
    <t>TP244K11615</t>
  </si>
  <si>
    <t>CAMPANA C910</t>
  </si>
  <si>
    <t>FREDDY ARIZAGA</t>
  </si>
  <si>
    <t>BANOS LA UNION ALTA</t>
  </si>
  <si>
    <t>0999273823</t>
  </si>
  <si>
    <t>patoarizaga13@gmail.com</t>
  </si>
  <si>
    <t>016-907-000235881</t>
  </si>
  <si>
    <t>112950021</t>
  </si>
  <si>
    <t>CAMPANA DVN 94030 TCL BK</t>
  </si>
  <si>
    <t>EK 244200050</t>
  </si>
  <si>
    <t>YULI MOROCHO</t>
  </si>
  <si>
    <t>BARRIO EL QUINCHI</t>
  </si>
  <si>
    <t>0968663061</t>
  </si>
  <si>
    <t>0105824064</t>
  </si>
  <si>
    <t>mabel2.morocho@gmail.com</t>
  </si>
  <si>
    <t>MACAOFERTAS</t>
  </si>
  <si>
    <t>001-501-000003442</t>
  </si>
  <si>
    <t>40446712</t>
  </si>
  <si>
    <t>TP249505050</t>
  </si>
  <si>
    <t>CAMPANA GFH 73</t>
  </si>
  <si>
    <t>GABRIELA SINCHI</t>
  </si>
  <si>
    <t>SOL DE BURGOS</t>
  </si>
  <si>
    <t>0995465919</t>
  </si>
  <si>
    <t>0195096988</t>
  </si>
  <si>
    <t>orellanaconstructores@hotmail.com</t>
  </si>
  <si>
    <t>001-500-000070579</t>
  </si>
  <si>
    <t>40590835</t>
  </si>
  <si>
    <t>MICROONDAS MWG 14X</t>
  </si>
  <si>
    <t>MW247A00600</t>
  </si>
  <si>
    <t>ANA ALBARRACIN</t>
  </si>
  <si>
    <t>RICAURTE LA UNION</t>
  </si>
  <si>
    <t>0980105713</t>
  </si>
  <si>
    <t>0101395267</t>
  </si>
  <si>
    <t>anicecyalba1957@gmail.com</t>
  </si>
  <si>
    <t>001-500-000070452</t>
  </si>
  <si>
    <t>COCINA GBC 75 G1GBA BM</t>
  </si>
  <si>
    <t>ZP246400599</t>
  </si>
  <si>
    <t>TZ247C12564</t>
  </si>
  <si>
    <t>YH22BR00076</t>
  </si>
  <si>
    <t>MARLENE PAUTA</t>
  </si>
  <si>
    <t>BENIGNO MALO 11 98</t>
  </si>
  <si>
    <t>0987206773</t>
  </si>
  <si>
    <t>marlenebravo96@gmail.com</t>
  </si>
  <si>
    <t>HORNO HLB 760 G LPG</t>
  </si>
  <si>
    <t>VINERA RVF 10032 GBK</t>
  </si>
  <si>
    <t>001-500-000068660</t>
  </si>
  <si>
    <t>HORNO HLB 8400 FBK</t>
  </si>
  <si>
    <t>COCINA GBC 75030 KBB</t>
  </si>
  <si>
    <t>TZ246A06409</t>
  </si>
  <si>
    <t>ZP49T00126</t>
  </si>
  <si>
    <t>TP246E08438</t>
  </si>
  <si>
    <t>ANDRES PALOMEQUE</t>
  </si>
  <si>
    <t>ZHULLIN</t>
  </si>
  <si>
    <t>0992060130</t>
  </si>
  <si>
    <t>andresmks15@gmail.com</t>
  </si>
  <si>
    <t>001-500-000069604</t>
  </si>
  <si>
    <t>EK246100063</t>
  </si>
  <si>
    <t>ZP247H00678</t>
  </si>
  <si>
    <t>SILVIA MURILLO</t>
  </si>
  <si>
    <t>CAÑAR</t>
  </si>
  <si>
    <t>0983218931</t>
  </si>
  <si>
    <t>crisocho32@yahoo.es</t>
  </si>
  <si>
    <t>006-0001589946</t>
  </si>
  <si>
    <t>CAMPANA DVT PRO 88660 TRL BK</t>
  </si>
  <si>
    <t>MICROOONDAS ML B22BIS L</t>
  </si>
  <si>
    <t>HORNO IOVEN</t>
  </si>
  <si>
    <t>REFRI RMF 77960 GBK MX</t>
  </si>
  <si>
    <t>PX24SE00033</t>
  </si>
  <si>
    <t>ZP249T00085</t>
  </si>
  <si>
    <t>TP249900027</t>
  </si>
  <si>
    <t>TZ249C08079</t>
  </si>
  <si>
    <t>TKAZC4618520015</t>
  </si>
  <si>
    <t>JORGE ENCALADA</t>
  </si>
  <si>
    <t>098790720</t>
  </si>
  <si>
    <t>jorgeluis350000@hotmail.com</t>
  </si>
  <si>
    <t>043-903-000050370</t>
  </si>
  <si>
    <t>112580058</t>
  </si>
  <si>
    <t>ZP247H00643</t>
  </si>
  <si>
    <t>JHONATHAN RIVERA</t>
  </si>
  <si>
    <t>CRUCE DEL CARMEN</t>
  </si>
  <si>
    <t>0958610363</t>
  </si>
  <si>
    <t>0107165128</t>
  </si>
  <si>
    <t>jhonnathanmr@gmail.com</t>
  </si>
  <si>
    <t>006-002-000157310</t>
  </si>
  <si>
    <t>111010028</t>
  </si>
  <si>
    <t>HORNO HSB 696 SS</t>
  </si>
  <si>
    <t>TZ24A806844</t>
  </si>
  <si>
    <t>RUTH MORA</t>
  </si>
  <si>
    <t>EDIFICION ALTAVISTA 3</t>
  </si>
  <si>
    <t>0984975555</t>
  </si>
  <si>
    <t>0101547990</t>
  </si>
  <si>
    <t>boodoko25@yahoo.com</t>
  </si>
  <si>
    <t>COMO HOGAR</t>
  </si>
  <si>
    <t>040-104-000004319</t>
  </si>
  <si>
    <t>1129347</t>
  </si>
  <si>
    <t>CAMPANA DVT PRO 98660 TRL</t>
  </si>
  <si>
    <t>PX246500212</t>
  </si>
  <si>
    <t>JULIO MENESES</t>
  </si>
  <si>
    <t>URBANIZACION ALVARADO</t>
  </si>
  <si>
    <t>0999200775</t>
  </si>
  <si>
    <t>0100948488</t>
  </si>
  <si>
    <t>martinamiotto@gmail.com</t>
  </si>
  <si>
    <t>044-013-000012807</t>
  </si>
  <si>
    <t>111020071</t>
  </si>
  <si>
    <t xml:space="preserve">HORNO HBB 510 BK </t>
  </si>
  <si>
    <t>TZ24AU21965</t>
  </si>
  <si>
    <t>VERONICA ORDOÑEZ</t>
  </si>
  <si>
    <t xml:space="preserve">JARDIN YANUNCAY </t>
  </si>
  <si>
    <t>0998171791</t>
  </si>
  <si>
    <t>0103417820</t>
  </si>
  <si>
    <t>veronica.ordoñez.a@gmail.com</t>
  </si>
  <si>
    <t>001-001-000020457</t>
  </si>
  <si>
    <t>COCINA BBC 75030 KBB</t>
  </si>
  <si>
    <t>ZP24480027</t>
  </si>
  <si>
    <t>ANDREA ESPINOZA</t>
  </si>
  <si>
    <t>andre.18.ae@gmail.com</t>
  </si>
  <si>
    <t>043-905-000050733</t>
  </si>
  <si>
    <t>111000051</t>
  </si>
  <si>
    <t>TZ245Q24041</t>
  </si>
  <si>
    <t>WALTER MORA</t>
  </si>
  <si>
    <t>0962987653</t>
  </si>
  <si>
    <t>0102747516001</t>
  </si>
  <si>
    <t>jonnathansba1200@gmail.com</t>
  </si>
  <si>
    <t>COCINA IZF99700 MTS BK</t>
  </si>
  <si>
    <t>ZP244900393</t>
  </si>
  <si>
    <t>040-105-000001748</t>
  </si>
  <si>
    <t>09999200775</t>
  </si>
  <si>
    <t>0101773992</t>
  </si>
  <si>
    <t>distagrg@hotmail.com</t>
  </si>
  <si>
    <t>001-500-000070569</t>
  </si>
  <si>
    <t>40782127</t>
  </si>
  <si>
    <t>LAVAVAJILLAS DW8 57 FIM</t>
  </si>
  <si>
    <t>MD249205995</t>
  </si>
  <si>
    <t>GABRIEL CORREA</t>
  </si>
  <si>
    <t>CHALLUABAMBA</t>
  </si>
  <si>
    <t>0987235504</t>
  </si>
  <si>
    <t>0101251429</t>
  </si>
  <si>
    <t>mbarzallo65@hotmail.com</t>
  </si>
  <si>
    <t>040-103-000011676</t>
  </si>
  <si>
    <t>112610063</t>
  </si>
  <si>
    <t>COCINA GSC 95330 SBA IX</t>
  </si>
  <si>
    <t>ZP24BN00489</t>
  </si>
  <si>
    <t>MARCO RIVERA</t>
  </si>
  <si>
    <t>SANTIAGO CARRASCO 4 128</t>
  </si>
  <si>
    <t>0999543108</t>
  </si>
  <si>
    <t>0104235890</t>
  </si>
  <si>
    <t>mriverol@hotmail.com</t>
  </si>
  <si>
    <t>007-006-00013564</t>
  </si>
  <si>
    <t>40467320</t>
  </si>
  <si>
    <t>CAMPANA C7310</t>
  </si>
  <si>
    <t>TP249A01868</t>
  </si>
  <si>
    <t>ADRIANA ASTUDILLO</t>
  </si>
  <si>
    <t>AV DEL MIGRANTE</t>
  </si>
  <si>
    <t>0999726617</t>
  </si>
  <si>
    <t>0103871356</t>
  </si>
  <si>
    <t>adrianaastudillo@hotmail.com</t>
  </si>
  <si>
    <t>AV DON BOSCO</t>
  </si>
  <si>
    <t>043-905-000048978</t>
  </si>
  <si>
    <t>CO249E00546</t>
  </si>
  <si>
    <t>RAIZA GAVILANEZ</t>
  </si>
  <si>
    <t>boris.tipan.barros@gmail.com</t>
  </si>
  <si>
    <t>CO249E00989</t>
  </si>
  <si>
    <t>MONICA SINCHI</t>
  </si>
  <si>
    <t>YANAHUURCO</t>
  </si>
  <si>
    <t>040-104-000008328</t>
  </si>
  <si>
    <t>pkbluejean@hotmail.com</t>
  </si>
  <si>
    <t>CO225R00077</t>
  </si>
  <si>
    <t>ISRAEL PALACIOS</t>
  </si>
  <si>
    <t>LAMAR</t>
  </si>
  <si>
    <t>ventas@comercialsolis.com.ec</t>
  </si>
  <si>
    <t>043-904-000026432</t>
  </si>
  <si>
    <t>HORNO HSB 646 SS</t>
  </si>
  <si>
    <t>MICROONDAS MS 620 BIS</t>
  </si>
  <si>
    <t>TRITURADOR TR 710.1</t>
  </si>
  <si>
    <t>TZ2431032669</t>
  </si>
  <si>
    <t>TP243KO4143</t>
  </si>
  <si>
    <t>ZP242500145</t>
  </si>
  <si>
    <t>230710AF1807</t>
  </si>
  <si>
    <t>ALFREDO TOSI</t>
  </si>
  <si>
    <t>alfredotosimurillo@gmail.com</t>
  </si>
  <si>
    <t>001-500-000070416</t>
  </si>
  <si>
    <t>ZP245H00399</t>
  </si>
  <si>
    <t>TP246B02142</t>
  </si>
  <si>
    <t>JHONATHAN SACA</t>
  </si>
  <si>
    <t>EL CEBOLLAR</t>
  </si>
  <si>
    <t>LUNA PAZMINO</t>
  </si>
  <si>
    <t>002-201-00004403</t>
  </si>
  <si>
    <t>40466110</t>
  </si>
  <si>
    <t>EXTRACTOR C910</t>
  </si>
  <si>
    <t>TP241F00381</t>
  </si>
  <si>
    <t>MARIBEL URGILES</t>
  </si>
  <si>
    <t>GONZALES SUAREZ</t>
  </si>
  <si>
    <t>0997041502</t>
  </si>
  <si>
    <t>0301020541</t>
  </si>
  <si>
    <t>urgilescu@gmail.com</t>
  </si>
  <si>
    <t>RONALD GUAMAN</t>
  </si>
  <si>
    <t>043-903-000053369</t>
  </si>
  <si>
    <t>111010040</t>
  </si>
  <si>
    <t>HORNO HSB 610</t>
  </si>
  <si>
    <t>TZ243K19021</t>
  </si>
  <si>
    <t>AV AMERICAS</t>
  </si>
  <si>
    <t>0997347579</t>
  </si>
  <si>
    <t>1400658611</t>
  </si>
  <si>
    <t>ronald.msg@outlook.com</t>
  </si>
  <si>
    <t>043-904-000057136</t>
  </si>
  <si>
    <t>112570126</t>
  </si>
  <si>
    <t>COCINA JZC 96324</t>
  </si>
  <si>
    <t>JZC9624ABB</t>
  </si>
  <si>
    <t>ALEXIS CRESPO</t>
  </si>
  <si>
    <t>LAS ORQUIDEAS</t>
  </si>
  <si>
    <t>0106080203</t>
  </si>
  <si>
    <t>0986886433</t>
  </si>
  <si>
    <t>kathisamis@gmail.com</t>
  </si>
  <si>
    <t>044-013-000013285</t>
  </si>
  <si>
    <t>40297052</t>
  </si>
  <si>
    <t>COCINA FS3RL966666X</t>
  </si>
  <si>
    <t>ROBERT BURTON</t>
  </si>
  <si>
    <t>TUTUPALI</t>
  </si>
  <si>
    <t>0985672412</t>
  </si>
  <si>
    <t>1751454396</t>
  </si>
  <si>
    <t>robertoburton@gmail.com</t>
  </si>
  <si>
    <t>jonnathans35@hotmail.com</t>
  </si>
  <si>
    <t>TZ245Q24127</t>
  </si>
  <si>
    <t>AV HURTADO DE MENDOZA</t>
  </si>
  <si>
    <t>pjarabluejeans@hotmail.com</t>
  </si>
  <si>
    <t>040-104-000008609</t>
  </si>
  <si>
    <t>NS244100037</t>
  </si>
  <si>
    <t>001-500-000065243</t>
  </si>
  <si>
    <t>COCINA GBC 95030 KBBBK</t>
  </si>
  <si>
    <t>ZP242P00820</t>
  </si>
  <si>
    <t>TP245002379</t>
  </si>
  <si>
    <t>CAMPANA C710</t>
  </si>
  <si>
    <t>PRISCILA ORTIZ</t>
  </si>
  <si>
    <t>dp.ortizc@hotmail.com</t>
  </si>
  <si>
    <t>dp.ortiz@hotmail.com</t>
  </si>
  <si>
    <t>PLACA POTENCIA I100 DERECHA 2B M7 LAYOUT</t>
  </si>
  <si>
    <t>COCINA JZS86630 MTS BK</t>
  </si>
  <si>
    <t>ZP22BG00039</t>
  </si>
  <si>
    <t>LA PLACA DE POTENCIA ESTA QUEMADA, SE CAMBIA PLACA</t>
  </si>
  <si>
    <t>franctapia13@hotmail.com</t>
  </si>
  <si>
    <t>043-904-000013141</t>
  </si>
  <si>
    <t>001-500-000068295</t>
  </si>
  <si>
    <t>COCINA IZF 6444OMSPBK</t>
  </si>
  <si>
    <t>ZP243600233</t>
  </si>
  <si>
    <t>TZ243K19023</t>
  </si>
  <si>
    <t>JUAN COELLAR</t>
  </si>
  <si>
    <t>DELEG</t>
  </si>
  <si>
    <t>jcoellar66@gmail.com</t>
  </si>
  <si>
    <t>043-903-000055308</t>
  </si>
  <si>
    <t>111000050</t>
  </si>
  <si>
    <t>HORNO 8510P</t>
  </si>
  <si>
    <t>TZ246009813</t>
  </si>
  <si>
    <t>GABRIEL LOJA</t>
  </si>
  <si>
    <t>AV 10 DE AGOSTO</t>
  </si>
  <si>
    <t>0984811012</t>
  </si>
  <si>
    <t>0105365829001</t>
  </si>
  <si>
    <t>gabolr94@gmail.com</t>
  </si>
  <si>
    <t>043-903-000030579</t>
  </si>
  <si>
    <t>112580027</t>
  </si>
  <si>
    <t>ZP244800197</t>
  </si>
  <si>
    <t>FERNANDA HIDALGO</t>
  </si>
  <si>
    <t>CHARASOL</t>
  </si>
  <si>
    <t>0978853442</t>
  </si>
  <si>
    <t>0302470752</t>
  </si>
  <si>
    <t>maferhidalgo73@hotmail.com</t>
  </si>
  <si>
    <t>001-001-000000522</t>
  </si>
  <si>
    <t>HORNO ML 820 BIS(SA)</t>
  </si>
  <si>
    <t>LAVAJILLAS DW8 57 FIN-D</t>
  </si>
  <si>
    <t>HORNO HBB 510 BK</t>
  </si>
  <si>
    <t>COCINA G2C 96310 XBB</t>
  </si>
  <si>
    <t>TP247JO7129</t>
  </si>
  <si>
    <t>MD247L00356</t>
  </si>
  <si>
    <t>TZ245V29034</t>
  </si>
  <si>
    <t>ZP24AQ00069</t>
  </si>
  <si>
    <t>YUNGUILLA</t>
  </si>
  <si>
    <t>0104795125</t>
  </si>
  <si>
    <t>byronl8@yahoo.es</t>
  </si>
  <si>
    <t>MARCELO FIGUEROA</t>
  </si>
  <si>
    <t>001-001-000000521</t>
  </si>
  <si>
    <t>001-500-000046179</t>
  </si>
  <si>
    <t>COCINA GSC 963205BA IX</t>
  </si>
  <si>
    <t>CAMPANA C9310</t>
  </si>
  <si>
    <t>MICROONDA MWG IIX</t>
  </si>
  <si>
    <t>ZP244F00088</t>
  </si>
  <si>
    <t>TP24AR07876</t>
  </si>
  <si>
    <t>MW247A00151</t>
  </si>
  <si>
    <t>TZ249519428</t>
  </si>
  <si>
    <t>FABIOLA ANCHUNDIA</t>
  </si>
  <si>
    <t>DULCAMARA Y ORD. LASSO</t>
  </si>
  <si>
    <t>1305883959</t>
  </si>
  <si>
    <t>janchundiaheredia@gmail.com</t>
  </si>
  <si>
    <t>IMP. VEGA</t>
  </si>
  <si>
    <t>006-002-000156802</t>
  </si>
  <si>
    <t>ZP243R00043</t>
  </si>
  <si>
    <t>PAUL MACANCELA</t>
  </si>
  <si>
    <t>paulmacancelasant@gmail.com</t>
  </si>
  <si>
    <t>TKAZC4G1852001</t>
  </si>
  <si>
    <t>TZ247202314</t>
  </si>
  <si>
    <t>TP243N09665</t>
  </si>
  <si>
    <t>001-500-000070163</t>
  </si>
  <si>
    <t>TP246H03229</t>
  </si>
  <si>
    <t>MICAELA CHALCO</t>
  </si>
  <si>
    <t>JARDINES DE BALZAY</t>
  </si>
  <si>
    <t>mikachales@hotmail.com</t>
  </si>
  <si>
    <t>COCINA GBC 75030KBB</t>
  </si>
  <si>
    <t>ZP249T00121</t>
  </si>
  <si>
    <t>001-101-000003637</t>
  </si>
  <si>
    <t>TZ245B29075</t>
  </si>
  <si>
    <t>TEFA SACOTO</t>
  </si>
  <si>
    <t>0995963017</t>
  </si>
  <si>
    <t>0302046779</t>
  </si>
  <si>
    <t>fabiancrespo16@gmail.com</t>
  </si>
  <si>
    <t>040-104-000009831</t>
  </si>
  <si>
    <t>NICOLAS CORTAZAR</t>
  </si>
  <si>
    <t>rosichica30@hotmail.com</t>
  </si>
  <si>
    <t>CO249E00483</t>
  </si>
  <si>
    <t>PAOLA SERPENTEGUI</t>
  </si>
  <si>
    <t>EDIFICIO AYER</t>
  </si>
  <si>
    <t>paulinasemperteguiv@hotmail.com</t>
  </si>
  <si>
    <t>043-104-000005458</t>
  </si>
  <si>
    <t>CO249E00905</t>
  </si>
  <si>
    <t xml:space="preserve">                              </t>
  </si>
  <si>
    <t xml:space="preserve">              </t>
  </si>
  <si>
    <t xml:space="preserve">                                                   </t>
  </si>
  <si>
    <t>040-104-000009848</t>
  </si>
  <si>
    <t>CO249E00109</t>
  </si>
  <si>
    <t>ANDRES VERA</t>
  </si>
  <si>
    <t>AV RICARDO DURAN</t>
  </si>
  <si>
    <t>abg.andresverar@hotmail.com</t>
  </si>
  <si>
    <t>001-500-000070769</t>
  </si>
  <si>
    <t>40467305</t>
  </si>
  <si>
    <t>CAMPANA C 710</t>
  </si>
  <si>
    <t>TP246H03238</t>
  </si>
  <si>
    <t>CRISTIAN COLLAGUAZO</t>
  </si>
  <si>
    <t>MARISCAL LAMAR 3 27</t>
  </si>
  <si>
    <t>0959228217</t>
  </si>
  <si>
    <t>0704266170</t>
  </si>
  <si>
    <t>bayu1582@gmail.com</t>
  </si>
  <si>
    <t>CAMPANA LED 3W DPL 90</t>
  </si>
  <si>
    <t>CAMPANA DG 780</t>
  </si>
  <si>
    <t>PX100P00063</t>
  </si>
  <si>
    <t>JUAN JOSE ARTEAGA</t>
  </si>
  <si>
    <t>SE DEBE REALIZAR EL CAMBIO DE LA CAMPANA LED QUEMADA</t>
  </si>
  <si>
    <t>0101384519</t>
  </si>
  <si>
    <t>jjarteaga58@gmail.co</t>
  </si>
  <si>
    <t>002-109-000026485</t>
  </si>
  <si>
    <t>CONJUNTO ELECTRON CC40 INOX (100V/60HZ)</t>
  </si>
  <si>
    <t>CAMPANA CC480</t>
  </si>
  <si>
    <t>PX22BH00690</t>
  </si>
  <si>
    <t>FERNANDO VINTIMILLA</t>
  </si>
  <si>
    <t>CIRCUITO ELECTRONICO DE POTENCIA RECIBE ALIMENTACION PERO NO ENCIENDE.</t>
  </si>
  <si>
    <t>fernandojsev86gmail.com</t>
  </si>
  <si>
    <t>008-501-000006875</t>
  </si>
  <si>
    <t>RELOJ TC HLB 8510P</t>
  </si>
  <si>
    <t>HORNO HLB 8510 P BK</t>
  </si>
  <si>
    <t>TZ227V24051</t>
  </si>
  <si>
    <t>FERNANDO VASQUEZ</t>
  </si>
  <si>
    <t>EL RELOJ DIGITAL TIENE SEGMENTOS INCOMPLETOS</t>
  </si>
  <si>
    <t>0102298866</t>
  </si>
  <si>
    <t>fervazcal@hotmail.com</t>
  </si>
  <si>
    <t>001-500-000060717</t>
  </si>
  <si>
    <t>REFRIGERADOR RFL 74920 SS BSS</t>
  </si>
  <si>
    <t>ENRIQUE TAPIA</t>
  </si>
  <si>
    <t xml:space="preserve">NO ENFRIA POR FALTA DE GAS, SE REALIZA CAMBIO DE PRODUCTO </t>
  </si>
  <si>
    <t>091064873</t>
  </si>
  <si>
    <t>enaltos@gmail.com</t>
  </si>
  <si>
    <t>001-001-000000153</t>
  </si>
  <si>
    <t>campana</t>
  </si>
  <si>
    <t>refrigerador</t>
  </si>
  <si>
    <t>COCINA IZF 99700 MST BK</t>
  </si>
  <si>
    <t>ZP23BW00554</t>
  </si>
  <si>
    <t>URB. ALVARADO</t>
  </si>
  <si>
    <t>martinomiotto43@gmail.com</t>
  </si>
  <si>
    <t>TP243PO6809</t>
  </si>
  <si>
    <t>016-907-000239058</t>
  </si>
  <si>
    <t>016-904-000185084</t>
  </si>
  <si>
    <t>TP232006290</t>
  </si>
  <si>
    <t>MANUEL GARNICA</t>
  </si>
  <si>
    <t>0987107662</t>
  </si>
  <si>
    <t>010150753</t>
  </si>
  <si>
    <t>churostiti@hotmail.com</t>
  </si>
  <si>
    <t>LAVAVAJILLAS DW8 57 FIM D</t>
  </si>
  <si>
    <t>MC23R00088</t>
  </si>
  <si>
    <t>MD247100250</t>
  </si>
  <si>
    <t>PEDRO CABRERA</t>
  </si>
  <si>
    <t>FILTRA AGUA POR LA JUNTA DE LA BOMBA DE DRENADO, SE SOLUCIONA</t>
  </si>
  <si>
    <t>EL SENSOR TERMOPAR ESTA FUERA DE POSICION, SE  SOLUCIONA</t>
  </si>
  <si>
    <t>0103784335</t>
  </si>
  <si>
    <t>facturaspedroc@gmail.com</t>
  </si>
  <si>
    <t>001-001-000003382</t>
  </si>
  <si>
    <t>lavavajillas</t>
  </si>
  <si>
    <t>FREGADREO-E60 950.510 1B1D</t>
  </si>
  <si>
    <t>TK244F60263</t>
  </si>
  <si>
    <t>TK23C591887</t>
  </si>
  <si>
    <t>TK23C560138</t>
  </si>
  <si>
    <t>TK23C591869</t>
  </si>
  <si>
    <t>BODEGA SECTOR CHAULLAYACU</t>
  </si>
  <si>
    <t>0984651354</t>
  </si>
  <si>
    <t>al 01 de Febrero del 2025</t>
  </si>
  <si>
    <t>COMERCIAL KYWI</t>
  </si>
  <si>
    <t>FRANK TAPIA X SUSANA MERCHAN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</si>
</sst>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dd\-mm\-yy;@"/>
    <numFmt numFmtId="165" formatCode="&quot;$&quot;#,##0.00"/>
    <numFmt numFmtId="166" formatCode="dd/mm/yy;@"/>
    <numFmt numFmtId="167" formatCode="_-* #,##0.00\ _€_-;\-* #,##0.00\ _€_-;_-* &quot;-&quot;??\ _€_-;_-@_-"/>
    <numFmt numFmtId="168" formatCode="dd/mm/yyyy;@"/>
  </numFmts>
  <fonts count="67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7"/>
      <name val="Calibri"/>
      <family val="2"/>
    </font>
    <font>
      <sz val="9"/>
      <name val="Franklin Gothic Book"/>
      <family val="2"/>
    </font>
    <font>
      <sz val="11"/>
      <name val="Calibri"/>
      <family val="2"/>
    </font>
    <font>
      <sz val="7"/>
      <color indexed="8"/>
      <name val="Calibri"/>
      <family val="2"/>
    </font>
    <font>
      <sz val="8"/>
      <color indexed="8"/>
      <name val="Calibri"/>
      <family val="2"/>
    </font>
    <font>
      <b/>
      <sz val="9"/>
      <name val="Franklin Gothic Book"/>
      <family val="2"/>
    </font>
    <font>
      <sz val="11"/>
      <color indexed="8"/>
      <name val="Calibri"/>
      <family val="2"/>
      <charset val="1"/>
    </font>
    <font>
      <sz val="11"/>
      <name val="Calibri"/>
      <family val="2"/>
      <charset val="1"/>
    </font>
    <font>
      <sz val="12"/>
      <color indexed="8"/>
      <name val="Calibri"/>
      <family val="2"/>
      <charset val="1"/>
    </font>
    <font>
      <sz val="10"/>
      <color theme="1"/>
      <name val="Aptos Narrow"/>
      <family val="2"/>
      <scheme val="minor"/>
    </font>
    <font>
      <b/>
      <sz val="10"/>
      <color rgb="FFFFFFFF"/>
      <name val="Calibri"/>
      <family val="2"/>
    </font>
    <font>
      <sz val="13"/>
      <color indexed="8"/>
      <name val="Calibri"/>
      <family val="2"/>
    </font>
    <font>
      <u/>
      <sz val="13"/>
      <color theme="4"/>
      <name val="Aptos Narrow"/>
      <family val="2"/>
      <scheme val="minor"/>
    </font>
    <font>
      <u/>
      <sz val="13"/>
      <color theme="10"/>
      <name val="Aptos Narrow"/>
      <family val="2"/>
      <scheme val="minor"/>
    </font>
    <font>
      <sz val="13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color rgb="FF000000"/>
      <name val="Calibri"/>
      <family val="2"/>
      <charset val="1"/>
    </font>
    <font>
      <sz val="11"/>
      <color theme="1"/>
      <name val="Aptos Narrow"/>
      <scheme val="minor"/>
    </font>
    <font>
      <sz val="7"/>
      <color theme="1"/>
      <name val="Aptos Narrow"/>
      <family val="2"/>
      <scheme val="minor"/>
    </font>
    <font>
      <b/>
      <sz val="10"/>
      <name val="Arial"/>
      <family val="2"/>
    </font>
    <font>
      <b/>
      <sz val="11"/>
      <name val="Calibri"/>
      <family val="2"/>
    </font>
    <font>
      <sz val="10"/>
      <name val="Arial"/>
      <family val="2"/>
    </font>
    <font>
      <sz val="7"/>
      <name val="Aptos Narrow"/>
      <family val="2"/>
      <scheme val="minor"/>
    </font>
    <font>
      <sz val="9"/>
      <name val="Calibri"/>
      <family val="2"/>
    </font>
    <font>
      <b/>
      <sz val="18"/>
      <name val="Aptos Narrow"/>
      <family val="2"/>
      <scheme val="minor"/>
    </font>
    <font>
      <b/>
      <sz val="18"/>
      <color indexed="8"/>
      <name val="Aptos Narrow"/>
      <family val="2"/>
      <scheme val="minor"/>
    </font>
    <font>
      <sz val="15"/>
      <name val="Aptos Narrow"/>
      <family val="2"/>
      <scheme val="minor"/>
    </font>
    <font>
      <b/>
      <sz val="7"/>
      <name val="Aptos Narrow"/>
      <family val="2"/>
      <scheme val="minor"/>
    </font>
    <font>
      <b/>
      <sz val="15"/>
      <name val="Arial"/>
      <family val="2"/>
    </font>
    <font>
      <sz val="10"/>
      <name val="Aptos Narrow"/>
      <family val="2"/>
      <scheme val="minor"/>
    </font>
    <font>
      <u/>
      <sz val="10"/>
      <color theme="10"/>
      <name val="Arial"/>
      <family val="2"/>
    </font>
    <font>
      <u/>
      <sz val="13"/>
      <color theme="4"/>
      <name val="Calibri"/>
      <family val="2"/>
    </font>
    <font>
      <sz val="13"/>
      <color theme="1"/>
      <name val="Calibri"/>
      <family val="2"/>
    </font>
    <font>
      <sz val="13"/>
      <name val="Calibri"/>
      <family val="2"/>
    </font>
    <font>
      <sz val="8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b/>
      <sz val="7"/>
      <color theme="0"/>
      <name val="Aptos Narrow"/>
      <family val="2"/>
      <scheme val="minor"/>
    </font>
    <font>
      <sz val="9"/>
      <color rgb="FF1D2228"/>
      <name val="Gothic sans-serif"/>
      <charset val="1"/>
    </font>
    <font>
      <sz val="10"/>
      <color rgb="FF1D2228"/>
      <name val="Arial"/>
      <family val="2"/>
      <charset val="1"/>
    </font>
    <font>
      <b/>
      <sz val="9"/>
      <color rgb="FF1D2228"/>
      <name val="Gothic sans-serif"/>
      <charset val="1"/>
    </font>
    <font>
      <b/>
      <sz val="11"/>
      <color rgb="FF000000"/>
      <name val="Calibri"/>
      <family val="2"/>
      <charset val="1"/>
    </font>
    <font>
      <b/>
      <sz val="10"/>
      <color theme="0"/>
      <name val="Aptos Narrow"/>
      <family val="2"/>
      <scheme val="minor"/>
    </font>
    <font>
      <sz val="10"/>
      <name val="Arial"/>
      <family val="2"/>
      <charset val="1"/>
    </font>
    <font>
      <sz val="8"/>
      <color theme="0"/>
      <name val="Aptos Narrow"/>
      <family val="2"/>
      <scheme val="minor"/>
    </font>
    <font>
      <sz val="12"/>
      <color indexed="8"/>
      <name val="Calibri"/>
      <family val="2"/>
    </font>
    <font>
      <b/>
      <sz val="12"/>
      <color theme="0"/>
      <name val="Aptos Narrow"/>
      <family val="2"/>
      <scheme val="minor"/>
    </font>
    <font>
      <b/>
      <sz val="12"/>
      <color theme="0"/>
      <name val="Calibri"/>
      <family val="2"/>
    </font>
    <font>
      <sz val="11"/>
      <color theme="1"/>
      <name val="Calibri"/>
      <family val="2"/>
    </font>
    <font>
      <sz val="9"/>
      <color theme="1"/>
      <name val="Libre Franklin"/>
    </font>
    <font>
      <sz val="9"/>
      <color theme="1"/>
      <name val="Calibri"/>
      <family val="2"/>
    </font>
    <font>
      <sz val="9"/>
      <color theme="1"/>
      <name val="Aptos Narrow"/>
      <family val="2"/>
      <scheme val="minor"/>
    </font>
    <font>
      <sz val="7"/>
      <color rgb="FF000000"/>
      <name val="Calibri"/>
      <family val="2"/>
    </font>
    <font>
      <sz val="8"/>
      <color rgb="FF000000"/>
      <name val="Calibri"/>
      <family val="2"/>
    </font>
    <font>
      <b/>
      <sz val="9"/>
      <color theme="1"/>
      <name val="Libre Franklin"/>
    </font>
    <font>
      <b/>
      <sz val="11"/>
      <color theme="1"/>
      <name val="Calibri"/>
      <family val="2"/>
    </font>
    <font>
      <b/>
      <sz val="6"/>
      <color rgb="FFFFFFFF"/>
      <name val="Calibri"/>
      <family val="2"/>
    </font>
    <font>
      <sz val="8"/>
      <color theme="1"/>
      <name val="Arial"/>
      <family val="2"/>
    </font>
    <font>
      <sz val="12"/>
      <color indexed="8"/>
      <name val="Aptos Narrow"/>
      <family val="2"/>
      <scheme val="minor"/>
    </font>
    <font>
      <sz val="12"/>
      <name val="Calibri"/>
      <family val="2"/>
    </font>
    <font>
      <sz val="13"/>
      <color rgb="FF00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rgb="FF000000"/>
        <bgColor rgb="FF000000"/>
      </patternFill>
    </fill>
    <fill>
      <patternFill patternType="solid">
        <fgColor theme="1"/>
        <bgColor theme="1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FFFFCC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/>
        <bgColor rgb="FFFFFFFF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0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indexed="64"/>
      </right>
      <top style="hair">
        <color indexed="64"/>
      </top>
      <bottom style="hair">
        <color theme="1" tint="0.499984740745262"/>
      </bottom>
      <diagonal/>
    </border>
    <border>
      <left/>
      <right style="thin">
        <color theme="1" tint="0.499984740745262"/>
      </right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thin">
        <color auto="1"/>
      </left>
      <right style="thin">
        <color auto="1"/>
      </right>
      <top style="hair">
        <color indexed="64"/>
      </top>
      <bottom style="hair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  <border>
      <left style="thin">
        <color theme="1" tint="0.499984740745262"/>
      </left>
      <right style="thin">
        <color theme="1" tint="0.499984740745262"/>
      </right>
      <top/>
      <bottom style="hair">
        <color theme="1" tint="0.499984740745262"/>
      </bottom>
      <diagonal/>
    </border>
    <border>
      <left/>
      <right style="thin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thin">
        <color indexed="64"/>
      </left>
      <right style="thin">
        <color theme="1" tint="0.499984740745262"/>
      </right>
      <top style="hair">
        <color indexed="64"/>
      </top>
      <bottom style="hair">
        <color indexed="64"/>
      </bottom>
      <diagonal/>
    </border>
  </borders>
  <cellStyleXfs count="22">
    <xf numFmtId="0" fontId="0" fillId="0" borderId="0"/>
    <xf numFmtId="0" fontId="12" fillId="0" borderId="0"/>
    <xf numFmtId="0" fontId="12" fillId="2" borderId="0">
      <alignment horizontal="left"/>
    </xf>
    <xf numFmtId="0" fontId="4" fillId="0" borderId="0"/>
    <xf numFmtId="0" fontId="5" fillId="0" borderId="0" applyNumberFormat="0" applyFill="0" applyBorder="0" applyAlignment="0" applyProtection="0"/>
    <xf numFmtId="0" fontId="23" fillId="0" borderId="0"/>
    <xf numFmtId="0" fontId="4" fillId="0" borderId="0"/>
    <xf numFmtId="0" fontId="4" fillId="0" borderId="0"/>
    <xf numFmtId="0" fontId="4" fillId="0" borderId="0"/>
    <xf numFmtId="0" fontId="27" fillId="0" borderId="0"/>
    <xf numFmtId="0" fontId="4" fillId="0" borderId="0"/>
    <xf numFmtId="167" fontId="4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36" fillId="0" borderId="0" applyNumberFormat="0" applyFill="0" applyBorder="0" applyAlignment="0" applyProtection="0"/>
    <xf numFmtId="0" fontId="4" fillId="0" borderId="0"/>
    <xf numFmtId="43" fontId="27" fillId="0" borderId="0" applyFont="0" applyFill="0" applyBorder="0" applyAlignment="0" applyProtection="0"/>
    <xf numFmtId="0" fontId="49" fillId="0" borderId="0"/>
    <xf numFmtId="0" fontId="27" fillId="0" borderId="0"/>
    <xf numFmtId="0" fontId="4" fillId="0" borderId="0"/>
    <xf numFmtId="0" fontId="5" fillId="0" borderId="0" applyNumberFormat="0" applyFill="0" applyBorder="0" applyAlignment="0" applyProtection="0"/>
    <xf numFmtId="0" fontId="27" fillId="0" borderId="0"/>
    <xf numFmtId="0" fontId="12" fillId="0" borderId="0"/>
  </cellStyleXfs>
  <cellXfs count="255">
    <xf numFmtId="0" fontId="0" fillId="0" borderId="0" xfId="0"/>
    <xf numFmtId="0" fontId="6" fillId="0" borderId="0" xfId="0" applyFont="1" applyAlignment="1">
      <alignment horizontal="right"/>
    </xf>
    <xf numFmtId="4" fontId="7" fillId="0" borderId="0" xfId="0" applyNumberFormat="1" applyFont="1"/>
    <xf numFmtId="0" fontId="8" fillId="0" borderId="0" xfId="0" applyFont="1" applyAlignment="1">
      <alignment horizontal="left" vertical="center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9" fillId="0" borderId="0" xfId="0" applyFont="1"/>
    <xf numFmtId="49" fontId="9" fillId="0" borderId="0" xfId="0" applyNumberFormat="1" applyFont="1" applyAlignment="1">
      <alignment horizontal="left"/>
    </xf>
    <xf numFmtId="1" fontId="0" fillId="0" borderId="0" xfId="0" applyNumberFormat="1"/>
    <xf numFmtId="2" fontId="10" fillId="0" borderId="0" xfId="0" applyNumberFormat="1" applyFont="1" applyAlignment="1">
      <alignment horizontal="right" indent="1"/>
    </xf>
    <xf numFmtId="4" fontId="11" fillId="0" borderId="0" xfId="0" applyNumberFormat="1" applyFont="1" applyAlignment="1">
      <alignment horizontal="left" vertical="center"/>
    </xf>
    <xf numFmtId="0" fontId="13" fillId="0" borderId="0" xfId="1" applyFont="1"/>
    <xf numFmtId="0" fontId="14" fillId="2" borderId="0" xfId="2" applyFont="1" applyAlignment="1">
      <alignment horizontal="center" vertical="center"/>
    </xf>
    <xf numFmtId="1" fontId="14" fillId="2" borderId="0" xfId="2" applyNumberFormat="1" applyFont="1" applyAlignment="1">
      <alignment horizontal="right" vertical="center"/>
    </xf>
    <xf numFmtId="1" fontId="14" fillId="2" borderId="0" xfId="2" applyNumberFormat="1" applyFont="1" applyAlignment="1">
      <alignment horizontal="center" vertical="center"/>
    </xf>
    <xf numFmtId="2" fontId="14" fillId="2" borderId="0" xfId="2" applyNumberFormat="1" applyFont="1" applyAlignment="1">
      <alignment vertical="center"/>
    </xf>
    <xf numFmtId="49" fontId="0" fillId="0" borderId="0" xfId="0" quotePrefix="1" applyNumberFormat="1"/>
    <xf numFmtId="17" fontId="10" fillId="0" borderId="0" xfId="0" quotePrefix="1" applyNumberFormat="1" applyFont="1" applyAlignment="1">
      <alignment horizontal="left"/>
    </xf>
    <xf numFmtId="0" fontId="15" fillId="0" borderId="0" xfId="0" applyFont="1" applyAlignment="1">
      <alignment horizontal="center" vertical="center"/>
    </xf>
    <xf numFmtId="0" fontId="16" fillId="3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 wrapText="1"/>
    </xf>
    <xf numFmtId="1" fontId="16" fillId="3" borderId="1" xfId="0" applyNumberFormat="1" applyFont="1" applyFill="1" applyBorder="1" applyAlignment="1">
      <alignment horizontal="center" vertical="center" wrapText="1"/>
    </xf>
    <xf numFmtId="2" fontId="16" fillId="3" borderId="1" xfId="0" applyNumberFormat="1" applyFont="1" applyFill="1" applyBorder="1" applyAlignment="1">
      <alignment horizontal="center" vertical="center" wrapText="1"/>
    </xf>
    <xf numFmtId="0" fontId="15" fillId="0" borderId="0" xfId="0" applyFont="1"/>
    <xf numFmtId="0" fontId="17" fillId="0" borderId="0" xfId="3" applyFont="1" applyAlignment="1">
      <alignment horizontal="right"/>
    </xf>
    <xf numFmtId="164" fontId="17" fillId="5" borderId="2" xfId="3" applyNumberFormat="1" applyFont="1" applyFill="1" applyBorder="1" applyAlignment="1">
      <alignment horizontal="left"/>
    </xf>
    <xf numFmtId="0" fontId="17" fillId="5" borderId="2" xfId="3" applyFont="1" applyFill="1" applyBorder="1"/>
    <xf numFmtId="0" fontId="17" fillId="0" borderId="2" xfId="3" applyFont="1" applyBorder="1" applyAlignment="1">
      <alignment horizontal="center" vertical="center"/>
    </xf>
    <xf numFmtId="0" fontId="17" fillId="0" borderId="2" xfId="3" applyFont="1" applyBorder="1"/>
    <xf numFmtId="0" fontId="17" fillId="5" borderId="2" xfId="3" applyFont="1" applyFill="1" applyBorder="1" applyAlignment="1">
      <alignment horizontal="left"/>
    </xf>
    <xf numFmtId="0" fontId="17" fillId="5" borderId="2" xfId="3" applyFont="1" applyFill="1" applyBorder="1" applyAlignment="1">
      <alignment horizontal="left" vertical="center"/>
    </xf>
    <xf numFmtId="14" fontId="17" fillId="5" borderId="2" xfId="3" applyNumberFormat="1" applyFont="1" applyFill="1" applyBorder="1" applyAlignment="1">
      <alignment horizontal="left"/>
    </xf>
    <xf numFmtId="1" fontId="17" fillId="5" borderId="2" xfId="3" applyNumberFormat="1" applyFont="1" applyFill="1" applyBorder="1"/>
    <xf numFmtId="2" fontId="17" fillId="5" borderId="2" xfId="3" applyNumberFormat="1" applyFont="1" applyFill="1" applyBorder="1" applyAlignment="1">
      <alignment horizontal="center"/>
    </xf>
    <xf numFmtId="0" fontId="17" fillId="5" borderId="2" xfId="3" applyFont="1" applyFill="1" applyBorder="1" applyAlignment="1">
      <alignment horizontal="center" vertical="center"/>
    </xf>
    <xf numFmtId="0" fontId="18" fillId="5" borderId="2" xfId="4" applyNumberFormat="1" applyFont="1" applyFill="1" applyBorder="1"/>
    <xf numFmtId="0" fontId="19" fillId="5" borderId="2" xfId="4" applyNumberFormat="1" applyFont="1" applyFill="1" applyBorder="1"/>
    <xf numFmtId="0" fontId="20" fillId="0" borderId="3" xfId="3" applyFont="1" applyBorder="1"/>
    <xf numFmtId="0" fontId="20" fillId="0" borderId="0" xfId="0" applyFont="1"/>
    <xf numFmtId="0" fontId="21" fillId="0" borderId="0" xfId="0" applyFont="1"/>
    <xf numFmtId="0" fontId="0" fillId="0" borderId="0" xfId="0" applyAlignment="1">
      <alignment horizontal="left" vertical="top"/>
    </xf>
    <xf numFmtId="0" fontId="22" fillId="6" borderId="0" xfId="0" applyFont="1" applyFill="1" applyAlignment="1">
      <alignment horizontal="left"/>
    </xf>
    <xf numFmtId="0" fontId="24" fillId="0" borderId="0" xfId="5" applyFont="1"/>
    <xf numFmtId="0" fontId="23" fillId="0" borderId="0" xfId="5" applyAlignment="1">
      <alignment horizontal="right"/>
    </xf>
    <xf numFmtId="4" fontId="11" fillId="0" borderId="0" xfId="6" applyNumberFormat="1" applyFont="1" applyAlignment="1">
      <alignment horizontal="left"/>
    </xf>
    <xf numFmtId="0" fontId="25" fillId="0" borderId="0" xfId="6" applyFont="1" applyAlignment="1">
      <alignment horizontal="center"/>
    </xf>
    <xf numFmtId="0" fontId="26" fillId="0" borderId="0" xfId="6" applyFont="1" applyAlignment="1">
      <alignment vertical="center"/>
    </xf>
    <xf numFmtId="0" fontId="25" fillId="0" borderId="0" xfId="6" applyFont="1"/>
    <xf numFmtId="2" fontId="27" fillId="0" borderId="0" xfId="6" applyNumberFormat="1" applyFont="1" applyAlignment="1">
      <alignment horizontal="left"/>
    </xf>
    <xf numFmtId="0" fontId="23" fillId="0" borderId="0" xfId="5"/>
    <xf numFmtId="0" fontId="28" fillId="0" borderId="0" xfId="5" applyFont="1"/>
    <xf numFmtId="4" fontId="11" fillId="0" borderId="0" xfId="6" applyNumberFormat="1" applyFont="1" applyAlignment="1">
      <alignment horizontal="left" vertical="center"/>
    </xf>
    <xf numFmtId="0" fontId="27" fillId="0" borderId="0" xfId="6" applyFont="1" applyAlignment="1">
      <alignment horizontal="center"/>
    </xf>
    <xf numFmtId="0" fontId="27" fillId="0" borderId="0" xfId="6" applyFont="1"/>
    <xf numFmtId="166" fontId="29" fillId="0" borderId="4" xfId="7" applyNumberFormat="1" applyFont="1" applyBorder="1" applyAlignment="1">
      <alignment horizontal="left"/>
    </xf>
    <xf numFmtId="0" fontId="29" fillId="0" borderId="5" xfId="7" applyFont="1" applyBorder="1" applyAlignment="1">
      <alignment horizontal="left"/>
    </xf>
    <xf numFmtId="0" fontId="28" fillId="0" borderId="5" xfId="7" applyFont="1" applyBorder="1" applyAlignment="1">
      <alignment horizontal="left"/>
    </xf>
    <xf numFmtId="0" fontId="30" fillId="0" borderId="5" xfId="7" applyFont="1" applyBorder="1" applyAlignment="1">
      <alignment horizontal="left"/>
    </xf>
    <xf numFmtId="0" fontId="31" fillId="0" borderId="5" xfId="7" applyFont="1" applyBorder="1" applyAlignment="1">
      <alignment horizontal="left" wrapText="1" readingOrder="1"/>
    </xf>
    <xf numFmtId="0" fontId="30" fillId="0" borderId="5" xfId="7" applyFont="1" applyBorder="1" applyAlignment="1">
      <alignment horizontal="left" wrapText="1"/>
    </xf>
    <xf numFmtId="0" fontId="32" fillId="0" borderId="5" xfId="7" applyFont="1" applyBorder="1" applyAlignment="1">
      <alignment horizontal="left" wrapText="1"/>
    </xf>
    <xf numFmtId="17" fontId="33" fillId="0" borderId="5" xfId="7" quotePrefix="1" applyNumberFormat="1" applyFont="1" applyBorder="1" applyAlignment="1">
      <alignment horizontal="left"/>
    </xf>
    <xf numFmtId="0" fontId="27" fillId="0" borderId="5" xfId="7" applyFont="1" applyBorder="1" applyAlignment="1">
      <alignment horizontal="left"/>
    </xf>
    <xf numFmtId="49" fontId="34" fillId="0" borderId="6" xfId="7" quotePrefix="1" applyNumberFormat="1" applyFont="1" applyBorder="1" applyAlignment="1">
      <alignment horizontal="left"/>
    </xf>
    <xf numFmtId="0" fontId="24" fillId="0" borderId="0" xfId="0" applyFont="1"/>
    <xf numFmtId="166" fontId="29" fillId="0" borderId="7" xfId="7" applyNumberFormat="1" applyFont="1" applyBorder="1" applyAlignment="1">
      <alignment horizontal="left"/>
    </xf>
    <xf numFmtId="0" fontId="29" fillId="0" borderId="0" xfId="7" applyFont="1" applyAlignment="1">
      <alignment horizontal="left"/>
    </xf>
    <xf numFmtId="0" fontId="28" fillId="0" borderId="0" xfId="7" applyFont="1" applyAlignment="1">
      <alignment horizontal="left"/>
    </xf>
    <xf numFmtId="0" fontId="28" fillId="0" borderId="8" xfId="7" applyFont="1" applyBorder="1" applyAlignment="1">
      <alignment horizontal="left"/>
    </xf>
    <xf numFmtId="166" fontId="35" fillId="0" borderId="9" xfId="7" applyNumberFormat="1" applyFont="1" applyBorder="1" applyAlignment="1">
      <alignment horizontal="left"/>
    </xf>
    <xf numFmtId="0" fontId="28" fillId="0" borderId="10" xfId="7" applyFont="1" applyBorder="1" applyAlignment="1">
      <alignment horizontal="left"/>
    </xf>
    <xf numFmtId="0" fontId="28" fillId="0" borderId="11" xfId="7" applyFont="1" applyBorder="1" applyAlignment="1">
      <alignment horizontal="left"/>
    </xf>
    <xf numFmtId="0" fontId="38" fillId="0" borderId="0" xfId="0" applyFont="1"/>
    <xf numFmtId="0" fontId="17" fillId="0" borderId="0" xfId="0" applyFont="1" applyAlignment="1">
      <alignment horizontal="right"/>
    </xf>
    <xf numFmtId="0" fontId="40" fillId="0" borderId="0" xfId="9" applyFont="1"/>
    <xf numFmtId="0" fontId="4" fillId="0" borderId="0" xfId="14"/>
    <xf numFmtId="4" fontId="7" fillId="0" borderId="0" xfId="14" applyNumberFormat="1" applyFont="1"/>
    <xf numFmtId="0" fontId="8" fillId="0" borderId="0" xfId="14" applyFont="1" applyAlignment="1">
      <alignment vertical="center"/>
    </xf>
    <xf numFmtId="2" fontId="4" fillId="0" borderId="0" xfId="14" applyNumberFormat="1" applyAlignment="1">
      <alignment horizontal="left"/>
    </xf>
    <xf numFmtId="0" fontId="4" fillId="0" borderId="0" xfId="14" applyAlignment="1">
      <alignment horizontal="left"/>
    </xf>
    <xf numFmtId="43" fontId="4" fillId="0" borderId="0" xfId="15" applyFont="1" applyFill="1"/>
    <xf numFmtId="0" fontId="41" fillId="0" borderId="0" xfId="14" applyFont="1"/>
    <xf numFmtId="4" fontId="11" fillId="0" borderId="0" xfId="14" applyNumberFormat="1" applyFont="1" applyAlignment="1">
      <alignment horizontal="left" vertical="center"/>
    </xf>
    <xf numFmtId="0" fontId="27" fillId="0" borderId="0" xfId="9"/>
    <xf numFmtId="17" fontId="4" fillId="0" borderId="0" xfId="14" quotePrefix="1" applyNumberFormat="1"/>
    <xf numFmtId="17" fontId="41" fillId="0" borderId="0" xfId="14" quotePrefix="1" applyNumberFormat="1" applyFont="1"/>
    <xf numFmtId="0" fontId="42" fillId="7" borderId="14" xfId="14" applyFont="1" applyFill="1" applyBorder="1" applyAlignment="1">
      <alignment horizontal="center" wrapText="1"/>
    </xf>
    <xf numFmtId="0" fontId="43" fillId="7" borderId="14" xfId="9" applyFont="1" applyFill="1" applyBorder="1" applyAlignment="1">
      <alignment horizontal="left" wrapText="1"/>
    </xf>
    <xf numFmtId="43" fontId="43" fillId="7" borderId="14" xfId="15" applyFont="1" applyFill="1" applyBorder="1" applyAlignment="1">
      <alignment horizontal="left" wrapText="1"/>
    </xf>
    <xf numFmtId="0" fontId="43" fillId="7" borderId="14" xfId="9" applyFont="1" applyFill="1" applyBorder="1" applyAlignment="1">
      <alignment horizontal="center" wrapText="1"/>
    </xf>
    <xf numFmtId="0" fontId="43" fillId="7" borderId="0" xfId="9" applyFont="1" applyFill="1" applyAlignment="1">
      <alignment horizontal="left" wrapText="1"/>
    </xf>
    <xf numFmtId="0" fontId="42" fillId="7" borderId="14" xfId="9" applyFont="1" applyFill="1" applyBorder="1" applyAlignment="1">
      <alignment horizontal="left" wrapText="1"/>
    </xf>
    <xf numFmtId="0" fontId="20" fillId="0" borderId="0" xfId="14" applyFont="1" applyAlignment="1">
      <alignment horizontal="right"/>
    </xf>
    <xf numFmtId="0" fontId="20" fillId="0" borderId="10" xfId="14" applyFont="1" applyBorder="1" applyAlignment="1">
      <alignment horizontal="left"/>
    </xf>
    <xf numFmtId="0" fontId="20" fillId="0" borderId="16" xfId="14" applyFont="1" applyBorder="1" applyAlignment="1">
      <alignment horizontal="left"/>
    </xf>
    <xf numFmtId="0" fontId="20" fillId="0" borderId="16" xfId="14" applyFont="1" applyBorder="1"/>
    <xf numFmtId="0" fontId="20" fillId="0" borderId="10" xfId="14" applyFont="1" applyBorder="1" applyAlignment="1">
      <alignment horizontal="left" vertical="center"/>
    </xf>
    <xf numFmtId="14" fontId="20" fillId="0" borderId="15" xfId="14" applyNumberFormat="1" applyFont="1" applyBorder="1" applyAlignment="1">
      <alignment horizontal="left"/>
    </xf>
    <xf numFmtId="0" fontId="20" fillId="0" borderId="15" xfId="14" applyFont="1" applyBorder="1" applyAlignment="1">
      <alignment horizontal="left" vertical="center"/>
    </xf>
    <xf numFmtId="0" fontId="20" fillId="0" borderId="15" xfId="14" applyFont="1" applyBorder="1" applyAlignment="1">
      <alignment horizontal="left"/>
    </xf>
    <xf numFmtId="0" fontId="20" fillId="0" borderId="15" xfId="14" quotePrefix="1" applyFont="1" applyBorder="1" applyAlignment="1">
      <alignment horizontal="left"/>
    </xf>
    <xf numFmtId="14" fontId="20" fillId="0" borderId="15" xfId="14" applyNumberFormat="1" applyFont="1" applyBorder="1" applyAlignment="1">
      <alignment horizontal="left" vertical="center"/>
    </xf>
    <xf numFmtId="43" fontId="20" fillId="0" borderId="15" xfId="15" applyFont="1" applyBorder="1"/>
    <xf numFmtId="43" fontId="20" fillId="0" borderId="15" xfId="15" applyFont="1" applyBorder="1" applyAlignment="1">
      <alignment horizontal="left" vertical="center"/>
    </xf>
    <xf numFmtId="0" fontId="44" fillId="0" borderId="0" xfId="0" applyFont="1" applyAlignment="1">
      <alignment vertical="center"/>
    </xf>
    <xf numFmtId="0" fontId="45" fillId="0" borderId="0" xfId="0" applyFont="1"/>
    <xf numFmtId="0" fontId="46" fillId="0" borderId="17" xfId="0" applyFont="1" applyBorder="1" applyAlignment="1">
      <alignment vertical="center"/>
    </xf>
    <xf numFmtId="0" fontId="15" fillId="0" borderId="0" xfId="0" quotePrefix="1" applyFont="1"/>
    <xf numFmtId="0" fontId="48" fillId="7" borderId="14" xfId="0" applyFont="1" applyFill="1" applyBorder="1" applyAlignment="1">
      <alignment horizontal="center" wrapText="1"/>
    </xf>
    <xf numFmtId="0" fontId="48" fillId="7" borderId="14" xfId="0" applyFont="1" applyFill="1" applyBorder="1" applyAlignment="1">
      <alignment wrapText="1"/>
    </xf>
    <xf numFmtId="0" fontId="48" fillId="7" borderId="14" xfId="0" applyFont="1" applyFill="1" applyBorder="1" applyAlignment="1">
      <alignment horizontal="center" vertical="center" wrapText="1"/>
    </xf>
    <xf numFmtId="0" fontId="48" fillId="7" borderId="18" xfId="0" applyFont="1" applyFill="1" applyBorder="1" applyAlignment="1">
      <alignment wrapText="1"/>
    </xf>
    <xf numFmtId="0" fontId="48" fillId="7" borderId="18" xfId="0" applyFont="1" applyFill="1" applyBorder="1" applyAlignment="1">
      <alignment horizontal="center" wrapText="1"/>
    </xf>
    <xf numFmtId="17" fontId="47" fillId="0" borderId="0" xfId="0" quotePrefix="1" applyNumberFormat="1" applyFont="1" applyAlignment="1">
      <alignment horizontal="left"/>
    </xf>
    <xf numFmtId="0" fontId="40" fillId="0" borderId="0" xfId="0" applyFont="1"/>
    <xf numFmtId="0" fontId="33" fillId="0" borderId="0" xfId="17" applyFont="1"/>
    <xf numFmtId="4" fontId="33" fillId="0" borderId="0" xfId="17" applyNumberFormat="1" applyFont="1"/>
    <xf numFmtId="0" fontId="28" fillId="0" borderId="0" xfId="17" applyFont="1"/>
    <xf numFmtId="0" fontId="27" fillId="0" borderId="0" xfId="17"/>
    <xf numFmtId="49" fontId="27" fillId="0" borderId="0" xfId="17" applyNumberFormat="1"/>
    <xf numFmtId="17" fontId="33" fillId="0" borderId="0" xfId="17" quotePrefix="1" applyNumberFormat="1" applyFont="1"/>
    <xf numFmtId="4" fontId="28" fillId="0" borderId="0" xfId="17" applyNumberFormat="1" applyFont="1"/>
    <xf numFmtId="0" fontId="40" fillId="0" borderId="0" xfId="17" applyFont="1"/>
    <xf numFmtId="4" fontId="7" fillId="0" borderId="0" xfId="17" applyNumberFormat="1" applyFont="1"/>
    <xf numFmtId="0" fontId="41" fillId="0" borderId="0" xfId="8" applyFont="1"/>
    <xf numFmtId="49" fontId="41" fillId="0" borderId="0" xfId="8" applyNumberFormat="1" applyFont="1"/>
    <xf numFmtId="0" fontId="8" fillId="0" borderId="0" xfId="17" applyFont="1" applyAlignment="1">
      <alignment vertical="center"/>
    </xf>
    <xf numFmtId="2" fontId="27" fillId="0" borderId="0" xfId="17" applyNumberFormat="1" applyAlignment="1">
      <alignment horizontal="left"/>
    </xf>
    <xf numFmtId="4" fontId="11" fillId="0" borderId="0" xfId="17" applyNumberFormat="1" applyFont="1" applyAlignment="1">
      <alignment horizontal="left" vertical="center"/>
    </xf>
    <xf numFmtId="0" fontId="42" fillId="7" borderId="14" xfId="18" applyFont="1" applyFill="1" applyBorder="1" applyAlignment="1">
      <alignment wrapText="1"/>
    </xf>
    <xf numFmtId="0" fontId="50" fillId="7" borderId="14" xfId="18" applyFont="1" applyFill="1" applyBorder="1" applyAlignment="1">
      <alignment wrapText="1"/>
    </xf>
    <xf numFmtId="49" fontId="42" fillId="7" borderId="14" xfId="18" applyNumberFormat="1" applyFont="1" applyFill="1" applyBorder="1" applyAlignment="1">
      <alignment wrapText="1"/>
    </xf>
    <xf numFmtId="2" fontId="0" fillId="0" borderId="0" xfId="0" applyNumberFormat="1"/>
    <xf numFmtId="0" fontId="52" fillId="7" borderId="1" xfId="8" applyFont="1" applyFill="1" applyBorder="1" applyAlignment="1">
      <alignment horizontal="center" wrapText="1"/>
    </xf>
    <xf numFmtId="0" fontId="53" fillId="7" borderId="1" xfId="0" applyFont="1" applyFill="1" applyBorder="1" applyAlignment="1">
      <alignment horizontal="center" vertical="center" wrapText="1"/>
    </xf>
    <xf numFmtId="0" fontId="53" fillId="7" borderId="1" xfId="0" applyFont="1" applyFill="1" applyBorder="1" applyAlignment="1">
      <alignment vertical="center" wrapText="1"/>
    </xf>
    <xf numFmtId="0" fontId="5" fillId="0" borderId="15" xfId="19" applyBorder="1" applyAlignment="1">
      <alignment horizontal="left" vertical="center"/>
    </xf>
    <xf numFmtId="0" fontId="0" fillId="0" borderId="0" xfId="14" applyFont="1"/>
    <xf numFmtId="0" fontId="54" fillId="0" borderId="0" xfId="0" applyFont="1" applyAlignment="1">
      <alignment horizontal="left"/>
    </xf>
    <xf numFmtId="4" fontId="55" fillId="0" borderId="0" xfId="0" applyNumberFormat="1" applyFont="1"/>
    <xf numFmtId="0" fontId="56" fillId="0" borderId="0" xfId="0" applyFont="1" applyAlignment="1">
      <alignment horizontal="left" vertical="center"/>
    </xf>
    <xf numFmtId="0" fontId="57" fillId="0" borderId="0" xfId="0" applyFont="1"/>
    <xf numFmtId="2" fontId="54" fillId="0" borderId="0" xfId="0" applyNumberFormat="1" applyFont="1" applyAlignment="1">
      <alignment horizontal="left"/>
    </xf>
    <xf numFmtId="0" fontId="54" fillId="0" borderId="0" xfId="0" applyFont="1" applyAlignment="1">
      <alignment horizontal="right"/>
    </xf>
    <xf numFmtId="0" fontId="58" fillId="0" borderId="0" xfId="0" applyFont="1"/>
    <xf numFmtId="49" fontId="58" fillId="0" borderId="0" xfId="0" applyNumberFormat="1" applyFont="1" applyAlignment="1">
      <alignment horizontal="left"/>
    </xf>
    <xf numFmtId="1" fontId="54" fillId="0" borderId="0" xfId="0" applyNumberFormat="1" applyFont="1"/>
    <xf numFmtId="2" fontId="59" fillId="0" borderId="0" xfId="0" applyNumberFormat="1" applyFont="1" applyAlignment="1">
      <alignment horizontal="right"/>
    </xf>
    <xf numFmtId="0" fontId="54" fillId="0" borderId="0" xfId="0" applyFont="1" applyAlignment="1">
      <alignment horizontal="center"/>
    </xf>
    <xf numFmtId="4" fontId="60" fillId="0" borderId="0" xfId="0" applyNumberFormat="1" applyFont="1" applyAlignment="1">
      <alignment horizontal="left" vertical="center"/>
    </xf>
    <xf numFmtId="0" fontId="56" fillId="0" borderId="0" xfId="0" applyFont="1" applyAlignment="1">
      <alignment horizontal="left"/>
    </xf>
    <xf numFmtId="49" fontId="54" fillId="0" borderId="0" xfId="0" applyNumberFormat="1" applyFont="1"/>
    <xf numFmtId="0" fontId="61" fillId="0" borderId="0" xfId="0" applyFont="1" applyAlignment="1">
      <alignment horizontal="left"/>
    </xf>
    <xf numFmtId="17" fontId="59" fillId="0" borderId="0" xfId="0" applyNumberFormat="1" applyFont="1" applyAlignment="1">
      <alignment horizontal="left"/>
    </xf>
    <xf numFmtId="0" fontId="62" fillId="3" borderId="19" xfId="0" applyFont="1" applyFill="1" applyBorder="1" applyAlignment="1">
      <alignment horizontal="left" vertical="center" wrapText="1"/>
    </xf>
    <xf numFmtId="1" fontId="62" fillId="3" borderId="19" xfId="0" applyNumberFormat="1" applyFont="1" applyFill="1" applyBorder="1" applyAlignment="1">
      <alignment horizontal="left" vertical="center" wrapText="1"/>
    </xf>
    <xf numFmtId="2" fontId="62" fillId="3" borderId="19" xfId="0" applyNumberFormat="1" applyFont="1" applyFill="1" applyBorder="1" applyAlignment="1">
      <alignment horizontal="left" vertical="center" wrapText="1"/>
    </xf>
    <xf numFmtId="0" fontId="62" fillId="3" borderId="20" xfId="0" applyFont="1" applyFill="1" applyBorder="1" applyAlignment="1">
      <alignment horizontal="left" vertical="center" wrapText="1"/>
    </xf>
    <xf numFmtId="0" fontId="62" fillId="3" borderId="21" xfId="0" applyFont="1" applyFill="1" applyBorder="1" applyAlignment="1">
      <alignment horizontal="left" vertical="center" wrapText="1"/>
    </xf>
    <xf numFmtId="14" fontId="63" fillId="9" borderId="22" xfId="0" applyNumberFormat="1" applyFont="1" applyFill="1" applyBorder="1" applyAlignment="1">
      <alignment horizontal="left" vertical="center"/>
    </xf>
    <xf numFmtId="49" fontId="63" fillId="9" borderId="22" xfId="0" applyNumberFormat="1" applyFont="1" applyFill="1" applyBorder="1" applyAlignment="1">
      <alignment horizontal="left" vertical="center"/>
    </xf>
    <xf numFmtId="2" fontId="63" fillId="9" borderId="22" xfId="0" applyNumberFormat="1" applyFont="1" applyFill="1" applyBorder="1" applyAlignment="1">
      <alignment horizontal="left" vertical="center"/>
    </xf>
    <xf numFmtId="0" fontId="51" fillId="5" borderId="15" xfId="0" applyFont="1" applyFill="1" applyBorder="1" applyAlignment="1">
      <alignment horizontal="center" vertical="center"/>
    </xf>
    <xf numFmtId="0" fontId="38" fillId="0" borderId="0" xfId="0" applyFont="1" applyAlignment="1">
      <alignment vertical="center"/>
    </xf>
    <xf numFmtId="0" fontId="17" fillId="0" borderId="0" xfId="0" applyFont="1" applyAlignment="1">
      <alignment horizontal="right" vertical="center"/>
    </xf>
    <xf numFmtId="0" fontId="38" fillId="8" borderId="1" xfId="0" applyFont="1" applyFill="1" applyBorder="1" applyAlignment="1">
      <alignment vertical="center"/>
    </xf>
    <xf numFmtId="0" fontId="64" fillId="8" borderId="15" xfId="21" applyFont="1" applyFill="1" applyBorder="1" applyAlignment="1">
      <alignment horizontal="left"/>
    </xf>
    <xf numFmtId="165" fontId="5" fillId="5" borderId="2" xfId="19" applyNumberFormat="1" applyFill="1" applyBorder="1" applyAlignment="1">
      <alignment horizontal="left"/>
    </xf>
    <xf numFmtId="0" fontId="39" fillId="8" borderId="0" xfId="9" applyFont="1" applyFill="1" applyAlignment="1">
      <alignment vertical="center"/>
    </xf>
    <xf numFmtId="14" fontId="39" fillId="8" borderId="2" xfId="10" applyNumberFormat="1" applyFont="1" applyFill="1" applyBorder="1" applyAlignment="1">
      <alignment vertical="center" wrapText="1"/>
    </xf>
    <xf numFmtId="14" fontId="39" fillId="8" borderId="2" xfId="10" applyNumberFormat="1" applyFont="1" applyFill="1" applyBorder="1" applyAlignment="1">
      <alignment horizontal="left" vertical="center" wrapText="1"/>
    </xf>
    <xf numFmtId="0" fontId="39" fillId="8" borderId="2" xfId="10" applyFont="1" applyFill="1" applyBorder="1" applyAlignment="1">
      <alignment horizontal="center" vertical="center" wrapText="1"/>
    </xf>
    <xf numFmtId="0" fontId="38" fillId="8" borderId="2" xfId="0" applyFont="1" applyFill="1" applyBorder="1" applyAlignment="1">
      <alignment horizontal="left" vertical="center" wrapText="1"/>
    </xf>
    <xf numFmtId="0" fontId="39" fillId="8" borderId="2" xfId="10" applyFont="1" applyFill="1" applyBorder="1" applyAlignment="1">
      <alignment horizontal="left" vertical="center" wrapText="1"/>
    </xf>
    <xf numFmtId="0" fontId="39" fillId="8" borderId="12" xfId="10" applyFont="1" applyFill="1" applyBorder="1" applyAlignment="1">
      <alignment vertical="center" wrapText="1"/>
    </xf>
    <xf numFmtId="0" fontId="39" fillId="8" borderId="2" xfId="10" quotePrefix="1" applyFont="1" applyFill="1" applyBorder="1" applyAlignment="1">
      <alignment horizontal="left" vertical="center" wrapText="1"/>
    </xf>
    <xf numFmtId="1" fontId="39" fillId="8" borderId="2" xfId="11" quotePrefix="1" applyNumberFormat="1" applyFont="1" applyFill="1" applyBorder="1" applyAlignment="1">
      <alignment horizontal="left" vertical="center"/>
    </xf>
    <xf numFmtId="43" fontId="39" fillId="8" borderId="2" xfId="12" applyFont="1" applyFill="1" applyBorder="1" applyAlignment="1">
      <alignment vertical="center"/>
    </xf>
    <xf numFmtId="43" fontId="5" fillId="8" borderId="13" xfId="19" applyNumberFormat="1" applyFill="1" applyBorder="1" applyAlignment="1">
      <alignment horizontal="left" vertical="center"/>
    </xf>
    <xf numFmtId="0" fontId="5" fillId="8" borderId="0" xfId="19" applyFill="1" applyAlignment="1">
      <alignment vertical="center"/>
    </xf>
    <xf numFmtId="0" fontId="38" fillId="8" borderId="0" xfId="0" applyFont="1" applyFill="1" applyAlignment="1">
      <alignment vertical="center"/>
    </xf>
    <xf numFmtId="43" fontId="0" fillId="0" borderId="0" xfId="0" applyNumberFormat="1"/>
    <xf numFmtId="0" fontId="17" fillId="8" borderId="2" xfId="3" applyFont="1" applyFill="1" applyBorder="1" applyAlignment="1">
      <alignment horizontal="center" vertical="center"/>
    </xf>
    <xf numFmtId="0" fontId="0" fillId="0" borderId="1" xfId="0" applyBorder="1"/>
    <xf numFmtId="2" fontId="0" fillId="0" borderId="1" xfId="0" applyNumberFormat="1" applyBorder="1"/>
    <xf numFmtId="0" fontId="17" fillId="8" borderId="2" xfId="3" applyFont="1" applyFill="1" applyBorder="1" applyAlignment="1">
      <alignment horizontal="left" vertical="center"/>
    </xf>
    <xf numFmtId="168" fontId="38" fillId="9" borderId="22" xfId="0" applyNumberFormat="1" applyFont="1" applyFill="1" applyBorder="1" applyAlignment="1">
      <alignment horizontal="left" vertical="center"/>
    </xf>
    <xf numFmtId="14" fontId="17" fillId="8" borderId="2" xfId="3" applyNumberFormat="1" applyFont="1" applyFill="1" applyBorder="1" applyAlignment="1">
      <alignment horizontal="center" vertical="center"/>
    </xf>
    <xf numFmtId="1" fontId="17" fillId="8" borderId="2" xfId="3" applyNumberFormat="1" applyFont="1" applyFill="1" applyBorder="1" applyAlignment="1">
      <alignment horizontal="left" vertical="center"/>
    </xf>
    <xf numFmtId="2" fontId="17" fillId="8" borderId="2" xfId="3" applyNumberFormat="1" applyFont="1" applyFill="1" applyBorder="1" applyAlignment="1">
      <alignment horizontal="center" vertical="center"/>
    </xf>
    <xf numFmtId="165" fontId="17" fillId="8" borderId="2" xfId="3" applyNumberFormat="1" applyFont="1" applyFill="1" applyBorder="1" applyAlignment="1">
      <alignment horizontal="center" vertical="center"/>
    </xf>
    <xf numFmtId="0" fontId="37" fillId="8" borderId="2" xfId="4" applyNumberFormat="1" applyFont="1" applyFill="1" applyBorder="1" applyAlignment="1">
      <alignment horizontal="center" vertical="center"/>
    </xf>
    <xf numFmtId="0" fontId="5" fillId="8" borderId="2" xfId="19" applyNumberFormat="1" applyFill="1" applyBorder="1" applyAlignment="1">
      <alignment horizontal="left" vertical="center"/>
    </xf>
    <xf numFmtId="0" fontId="5" fillId="10" borderId="22" xfId="19" applyFill="1" applyBorder="1" applyAlignment="1">
      <alignment horizontal="left" vertical="center"/>
    </xf>
    <xf numFmtId="0" fontId="3" fillId="0" borderId="0" xfId="0" applyFont="1"/>
    <xf numFmtId="0" fontId="65" fillId="8" borderId="0" xfId="10" applyFont="1" applyFill="1" applyAlignment="1">
      <alignment horizontal="left" vertical="center" wrapText="1"/>
    </xf>
    <xf numFmtId="0" fontId="3" fillId="0" borderId="0" xfId="0" applyFont="1" applyAlignment="1">
      <alignment horizontal="left"/>
    </xf>
    <xf numFmtId="49" fontId="63" fillId="10" borderId="22" xfId="0" applyNumberFormat="1" applyFont="1" applyFill="1" applyBorder="1" applyAlignment="1">
      <alignment horizontal="left" vertical="center"/>
    </xf>
    <xf numFmtId="0" fontId="66" fillId="11" borderId="2" xfId="0" applyFont="1" applyFill="1" applyBorder="1" applyAlignment="1">
      <alignment horizontal="left" vertical="center"/>
    </xf>
    <xf numFmtId="49" fontId="17" fillId="8" borderId="2" xfId="3" applyNumberFormat="1" applyFont="1" applyFill="1" applyBorder="1" applyAlignment="1">
      <alignment horizontal="left" vertical="center"/>
    </xf>
    <xf numFmtId="17" fontId="27" fillId="0" borderId="0" xfId="17" applyNumberFormat="1"/>
    <xf numFmtId="49" fontId="20" fillId="0" borderId="15" xfId="14" quotePrefix="1" applyNumberFormat="1" applyFont="1" applyBorder="1" applyAlignment="1">
      <alignment horizontal="left" vertical="center"/>
    </xf>
    <xf numFmtId="14" fontId="63" fillId="9" borderId="23" xfId="0" applyNumberFormat="1" applyFont="1" applyFill="1" applyBorder="1" applyAlignment="1">
      <alignment horizontal="left" vertical="center"/>
    </xf>
    <xf numFmtId="49" fontId="63" fillId="9" borderId="24" xfId="0" applyNumberFormat="1" applyFont="1" applyFill="1" applyBorder="1" applyAlignment="1">
      <alignment horizontal="left" vertical="center"/>
    </xf>
    <xf numFmtId="49" fontId="63" fillId="9" borderId="26" xfId="0" applyNumberFormat="1" applyFont="1" applyFill="1" applyBorder="1" applyAlignment="1">
      <alignment horizontal="left" vertical="center"/>
    </xf>
    <xf numFmtId="14" fontId="63" fillId="9" borderId="27" xfId="0" applyNumberFormat="1" applyFont="1" applyFill="1" applyBorder="1" applyAlignment="1">
      <alignment horizontal="left" vertical="center"/>
    </xf>
    <xf numFmtId="14" fontId="63" fillId="9" borderId="28" xfId="0" applyNumberFormat="1" applyFont="1" applyFill="1" applyBorder="1" applyAlignment="1">
      <alignment horizontal="left" vertical="center"/>
    </xf>
    <xf numFmtId="14" fontId="63" fillId="9" borderId="30" xfId="0" applyNumberFormat="1" applyFont="1" applyFill="1" applyBorder="1" applyAlignment="1">
      <alignment horizontal="left" vertical="center"/>
    </xf>
    <xf numFmtId="14" fontId="63" fillId="9" borderId="29" xfId="0" applyNumberFormat="1" applyFont="1" applyFill="1" applyBorder="1" applyAlignment="1">
      <alignment horizontal="left" vertical="center"/>
    </xf>
    <xf numFmtId="14" fontId="63" fillId="9" borderId="31" xfId="0" applyNumberFormat="1" applyFont="1" applyFill="1" applyBorder="1" applyAlignment="1">
      <alignment horizontal="left" vertical="center"/>
    </xf>
    <xf numFmtId="49" fontId="63" fillId="9" borderId="29" xfId="0" applyNumberFormat="1" applyFont="1" applyFill="1" applyBorder="1" applyAlignment="1">
      <alignment horizontal="left" vertical="center"/>
    </xf>
    <xf numFmtId="14" fontId="63" fillId="9" borderId="32" xfId="0" applyNumberFormat="1" applyFont="1" applyFill="1" applyBorder="1" applyAlignment="1">
      <alignment horizontal="left" vertical="center"/>
    </xf>
    <xf numFmtId="14" fontId="63" fillId="9" borderId="33" xfId="0" applyNumberFormat="1" applyFont="1" applyFill="1" applyBorder="1" applyAlignment="1">
      <alignment horizontal="left" vertical="center"/>
    </xf>
    <xf numFmtId="0" fontId="20" fillId="0" borderId="18" xfId="14" applyFont="1" applyBorder="1"/>
    <xf numFmtId="0" fontId="20" fillId="0" borderId="14" xfId="14" applyFont="1" applyBorder="1" applyAlignment="1">
      <alignment horizontal="left"/>
    </xf>
    <xf numFmtId="0" fontId="20" fillId="0" borderId="14" xfId="14" quotePrefix="1" applyFont="1" applyBorder="1" applyAlignment="1">
      <alignment horizontal="left"/>
    </xf>
    <xf numFmtId="14" fontId="20" fillId="0" borderId="14" xfId="14" applyNumberFormat="1" applyFont="1" applyBorder="1" applyAlignment="1">
      <alignment horizontal="left" vertical="center"/>
    </xf>
    <xf numFmtId="14" fontId="20" fillId="0" borderId="14" xfId="14" applyNumberFormat="1" applyFont="1" applyBorder="1" applyAlignment="1">
      <alignment horizontal="left"/>
    </xf>
    <xf numFmtId="0" fontId="20" fillId="0" borderId="14" xfId="14" applyFont="1" applyBorder="1" applyAlignment="1">
      <alignment horizontal="left" vertical="center"/>
    </xf>
    <xf numFmtId="0" fontId="20" fillId="0" borderId="0" xfId="14" applyFont="1" applyAlignment="1">
      <alignment horizontal="left" vertical="center"/>
    </xf>
    <xf numFmtId="0" fontId="64" fillId="8" borderId="14" xfId="21" applyFont="1" applyFill="1" applyBorder="1" applyAlignment="1">
      <alignment horizontal="left"/>
    </xf>
    <xf numFmtId="43" fontId="20" fillId="0" borderId="14" xfId="15" applyFont="1" applyBorder="1"/>
    <xf numFmtId="43" fontId="20" fillId="0" borderId="14" xfId="15" applyFont="1" applyBorder="1" applyAlignment="1">
      <alignment horizontal="left" vertical="center"/>
    </xf>
    <xf numFmtId="0" fontId="5" fillId="0" borderId="14" xfId="19" applyBorder="1" applyAlignment="1">
      <alignment horizontal="left" vertical="center"/>
    </xf>
    <xf numFmtId="0" fontId="20" fillId="0" borderId="18" xfId="14" applyFont="1" applyBorder="1" applyAlignment="1">
      <alignment horizontal="left"/>
    </xf>
    <xf numFmtId="49" fontId="20" fillId="0" borderId="14" xfId="14" quotePrefix="1" applyNumberFormat="1" applyFont="1" applyBorder="1" applyAlignment="1">
      <alignment horizontal="left" vertical="center"/>
    </xf>
    <xf numFmtId="0" fontId="20" fillId="0" borderId="25" xfId="14" applyFont="1" applyBorder="1" applyAlignment="1">
      <alignment horizontal="left"/>
    </xf>
    <xf numFmtId="0" fontId="20" fillId="0" borderId="25" xfId="14" applyFont="1" applyBorder="1"/>
    <xf numFmtId="0" fontId="20" fillId="0" borderId="25" xfId="14" quotePrefix="1" applyFont="1" applyBorder="1" applyAlignment="1">
      <alignment horizontal="left"/>
    </xf>
    <xf numFmtId="14" fontId="20" fillId="0" borderId="25" xfId="14" applyNumberFormat="1" applyFont="1" applyBorder="1" applyAlignment="1">
      <alignment horizontal="left" vertical="center"/>
    </xf>
    <xf numFmtId="14" fontId="20" fillId="0" borderId="25" xfId="14" applyNumberFormat="1" applyFont="1" applyBorder="1" applyAlignment="1">
      <alignment horizontal="left"/>
    </xf>
    <xf numFmtId="0" fontId="20" fillId="0" borderId="25" xfId="14" applyFont="1" applyBorder="1" applyAlignment="1">
      <alignment horizontal="left" vertical="center"/>
    </xf>
    <xf numFmtId="0" fontId="64" fillId="8" borderId="25" xfId="21" applyFont="1" applyFill="1" applyBorder="1" applyAlignment="1">
      <alignment horizontal="left"/>
    </xf>
    <xf numFmtId="43" fontId="20" fillId="0" borderId="25" xfId="15" applyFont="1" applyBorder="1"/>
    <xf numFmtId="43" fontId="20" fillId="0" borderId="25" xfId="15" applyFont="1" applyBorder="1" applyAlignment="1">
      <alignment horizontal="left" vertical="center"/>
    </xf>
    <xf numFmtId="0" fontId="20" fillId="0" borderId="25" xfId="14" quotePrefix="1" applyFont="1" applyBorder="1" applyAlignment="1">
      <alignment horizontal="left" vertical="center"/>
    </xf>
    <xf numFmtId="0" fontId="5" fillId="0" borderId="25" xfId="19" applyBorder="1" applyAlignment="1">
      <alignment horizontal="left" vertical="center"/>
    </xf>
    <xf numFmtId="49" fontId="39" fillId="8" borderId="2" xfId="12" quotePrefix="1" applyNumberFormat="1" applyFont="1" applyFill="1" applyBorder="1" applyAlignment="1">
      <alignment horizontal="left" vertical="center"/>
    </xf>
    <xf numFmtId="49" fontId="37" fillId="8" borderId="2" xfId="4" applyNumberFormat="1" applyFont="1" applyFill="1" applyBorder="1" applyAlignment="1">
      <alignment horizontal="center" vertical="center"/>
    </xf>
    <xf numFmtId="0" fontId="2" fillId="0" borderId="0" xfId="0" applyFont="1"/>
    <xf numFmtId="14" fontId="20" fillId="0" borderId="1" xfId="14" applyNumberFormat="1" applyFont="1" applyBorder="1" applyAlignment="1">
      <alignment horizontal="left"/>
    </xf>
    <xf numFmtId="0" fontId="20" fillId="0" borderId="1" xfId="14" applyFont="1" applyBorder="1" applyAlignment="1">
      <alignment horizontal="left" vertical="center"/>
    </xf>
    <xf numFmtId="49" fontId="1" fillId="8" borderId="1" xfId="0" applyNumberFormat="1" applyFont="1" applyFill="1" applyBorder="1" applyAlignment="1">
      <alignment horizontal="center"/>
    </xf>
    <xf numFmtId="0" fontId="39" fillId="12" borderId="2" xfId="10" applyFont="1" applyFill="1" applyBorder="1" applyAlignment="1">
      <alignment horizontal="left" vertical="center" wrapText="1"/>
    </xf>
    <xf numFmtId="168" fontId="38" fillId="13" borderId="22" xfId="0" applyNumberFormat="1" applyFont="1" applyFill="1" applyBorder="1" applyAlignment="1">
      <alignment horizontal="left" vertical="center"/>
    </xf>
    <xf numFmtId="0" fontId="17" fillId="12" borderId="2" xfId="3" applyFont="1" applyFill="1" applyBorder="1" applyAlignment="1">
      <alignment horizontal="left" vertical="center"/>
    </xf>
    <xf numFmtId="0" fontId="17" fillId="12" borderId="2" xfId="3" applyFont="1" applyFill="1" applyBorder="1" applyAlignment="1">
      <alignment horizontal="center" vertical="center"/>
    </xf>
    <xf numFmtId="14" fontId="17" fillId="12" borderId="2" xfId="3" applyNumberFormat="1" applyFont="1" applyFill="1" applyBorder="1" applyAlignment="1">
      <alignment horizontal="center" vertical="center"/>
    </xf>
    <xf numFmtId="1" fontId="17" fillId="12" borderId="2" xfId="3" applyNumberFormat="1" applyFont="1" applyFill="1" applyBorder="1" applyAlignment="1">
      <alignment horizontal="left" vertical="center"/>
    </xf>
    <xf numFmtId="49" fontId="17" fillId="12" borderId="2" xfId="3" applyNumberFormat="1" applyFont="1" applyFill="1" applyBorder="1" applyAlignment="1">
      <alignment horizontal="left" vertical="center"/>
    </xf>
    <xf numFmtId="2" fontId="17" fillId="12" borderId="2" xfId="3" applyNumberFormat="1" applyFont="1" applyFill="1" applyBorder="1" applyAlignment="1">
      <alignment horizontal="center" vertical="center"/>
    </xf>
    <xf numFmtId="165" fontId="17" fillId="12" borderId="2" xfId="3" applyNumberFormat="1" applyFont="1" applyFill="1" applyBorder="1" applyAlignment="1">
      <alignment horizontal="center" vertical="center"/>
    </xf>
    <xf numFmtId="0" fontId="37" fillId="12" borderId="2" xfId="4" applyNumberFormat="1" applyFont="1" applyFill="1" applyBorder="1" applyAlignment="1">
      <alignment horizontal="center" vertical="center"/>
    </xf>
    <xf numFmtId="0" fontId="5" fillId="12" borderId="2" xfId="19" applyNumberFormat="1" applyFill="1" applyBorder="1" applyAlignment="1">
      <alignment horizontal="left" vertical="center"/>
    </xf>
    <xf numFmtId="0" fontId="0" fillId="12" borderId="0" xfId="0" applyFill="1"/>
  </cellXfs>
  <cellStyles count="22">
    <cellStyle name="Hipervínculo" xfId="19" builtinId="8"/>
    <cellStyle name="Hipervínculo 2 5" xfId="13" xr:uid="{00000000-0005-0000-0000-000001000000}"/>
    <cellStyle name="Hipervínculo 6" xfId="4" xr:uid="{00000000-0005-0000-0000-000002000000}"/>
    <cellStyle name="Millares 10 15 9" xfId="12" xr:uid="{00000000-0005-0000-0000-000003000000}"/>
    <cellStyle name="Millares 10 19 37" xfId="15" xr:uid="{00000000-0005-0000-0000-000004000000}"/>
    <cellStyle name="Millares 39 2" xfId="11" xr:uid="{00000000-0005-0000-0000-000005000000}"/>
    <cellStyle name="Normal" xfId="0" builtinId="0"/>
    <cellStyle name="Normal 10 2" xfId="9" xr:uid="{00000000-0005-0000-0000-000007000000}"/>
    <cellStyle name="Normal 104" xfId="7" xr:uid="{00000000-0005-0000-0000-000008000000}"/>
    <cellStyle name="Normal 104 5" xfId="21" xr:uid="{00000000-0005-0000-0000-000009000000}"/>
    <cellStyle name="Normal 18" xfId="5" xr:uid="{00000000-0005-0000-0000-00000A000000}"/>
    <cellStyle name="Normal 2" xfId="17" xr:uid="{00000000-0005-0000-0000-00000B000000}"/>
    <cellStyle name="Normal 2 2 2" xfId="20" xr:uid="{00000000-0005-0000-0000-00000C000000}"/>
    <cellStyle name="Normal 2 2 2 2" xfId="16" xr:uid="{00000000-0005-0000-0000-00000D000000}"/>
    <cellStyle name="Normal 27" xfId="3" xr:uid="{00000000-0005-0000-0000-00000E000000}"/>
    <cellStyle name="Normal 30" xfId="18" xr:uid="{00000000-0005-0000-0000-00000F000000}"/>
    <cellStyle name="Normal 34 5 8" xfId="8" xr:uid="{00000000-0005-0000-0000-000010000000}"/>
    <cellStyle name="Normal 34 5 8 2 2" xfId="10" xr:uid="{00000000-0005-0000-0000-000011000000}"/>
    <cellStyle name="Normal 34 5 8 4 2" xfId="14" xr:uid="{00000000-0005-0000-0000-000012000000}"/>
    <cellStyle name="Normal 34 5 8 5" xfId="1" xr:uid="{00000000-0005-0000-0000-000013000000}"/>
    <cellStyle name="Normal 38 4 7" xfId="6" xr:uid="{00000000-0005-0000-0000-000014000000}"/>
    <cellStyle name="Normal 4 2" xfId="2" xr:uid="{00000000-0005-0000-0000-00001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1</xdr:row>
      <xdr:rowOff>133350</xdr:rowOff>
    </xdr:from>
    <xdr:to>
      <xdr:col>1</xdr:col>
      <xdr:colOff>628650</xdr:colOff>
      <xdr:row>3</xdr:row>
      <xdr:rowOff>168384</xdr:rowOff>
    </xdr:to>
    <xdr:pic>
      <xdr:nvPicPr>
        <xdr:cNvPr id="2" name="Imagen 1" descr="Un dibujo con letras&#10;&#10;Descripción generada automáticamente con confianza media">
          <a:extLst>
            <a:ext uri="{FF2B5EF4-FFF2-40B4-BE49-F238E27FC236}">
              <a16:creationId xmlns:a16="http://schemas.microsoft.com/office/drawing/2014/main" id="{F0B9567C-F8BB-4DD5-A55A-73D7494BB9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9150" y="38471475"/>
          <a:ext cx="600075" cy="41603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230443</xdr:colOff>
      <xdr:row>1</xdr:row>
      <xdr:rowOff>69134</xdr:rowOff>
    </xdr:from>
    <xdr:to>
      <xdr:col>1</xdr:col>
      <xdr:colOff>780861</xdr:colOff>
      <xdr:row>3</xdr:row>
      <xdr:rowOff>71754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C4540AE8-65E7-404E-9748-E3C6E8F8153C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763843" y="3041201609"/>
          <a:ext cx="550418" cy="3836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66675</xdr:colOff>
      <xdr:row>1</xdr:row>
      <xdr:rowOff>57150</xdr:rowOff>
    </xdr:from>
    <xdr:to>
      <xdr:col>1</xdr:col>
      <xdr:colOff>666750</xdr:colOff>
      <xdr:row>3</xdr:row>
      <xdr:rowOff>92184</xdr:rowOff>
    </xdr:to>
    <xdr:pic>
      <xdr:nvPicPr>
        <xdr:cNvPr id="2" name="Imagen 1" descr="Un dibujo con letras&#10;&#10;Descripción generada automáticamente con confianza media">
          <a:extLst>
            <a:ext uri="{FF2B5EF4-FFF2-40B4-BE49-F238E27FC236}">
              <a16:creationId xmlns:a16="http://schemas.microsoft.com/office/drawing/2014/main" id="{3CB4DED9-BD78-4DFB-B071-EA16D19A6E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0" y="57150"/>
          <a:ext cx="600075" cy="41603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2</xdr:row>
      <xdr:rowOff>76200</xdr:rowOff>
    </xdr:from>
    <xdr:to>
      <xdr:col>1</xdr:col>
      <xdr:colOff>676275</xdr:colOff>
      <xdr:row>4</xdr:row>
      <xdr:rowOff>111234</xdr:rowOff>
    </xdr:to>
    <xdr:pic>
      <xdr:nvPicPr>
        <xdr:cNvPr id="2" name="Imagen 1" descr="Un dibujo con letras&#10;&#10;Descripción generada automáticamente con confianza media">
          <a:extLst>
            <a:ext uri="{FF2B5EF4-FFF2-40B4-BE49-F238E27FC236}">
              <a16:creationId xmlns:a16="http://schemas.microsoft.com/office/drawing/2014/main" id="{DFEDF2DF-B860-4873-B623-C928EA1CB4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0" y="5486400"/>
          <a:ext cx="600075" cy="41603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121242</xdr:colOff>
      <xdr:row>2</xdr:row>
      <xdr:rowOff>114301</xdr:rowOff>
    </xdr:from>
    <xdr:to>
      <xdr:col>1</xdr:col>
      <xdr:colOff>654642</xdr:colOff>
      <xdr:row>4</xdr:row>
      <xdr:rowOff>156277</xdr:rowOff>
    </xdr:to>
    <xdr:pic>
      <xdr:nvPicPr>
        <xdr:cNvPr id="3" name="Imagen 1" descr="Un dibujo con letras&#10;&#10;Descripción generada automáticamente con confianza media">
          <a:extLst>
            <a:ext uri="{FF2B5EF4-FFF2-40B4-BE49-F238E27FC236}">
              <a16:creationId xmlns:a16="http://schemas.microsoft.com/office/drawing/2014/main" id="{4B793AFA-A79F-48DA-8F38-BEC74D92DB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3242" y="495301"/>
          <a:ext cx="533400" cy="42297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marlenebravo96@gmail.com" TargetMode="External"/><Relationship Id="rId18" Type="http://schemas.openxmlformats.org/officeDocument/2006/relationships/hyperlink" Target="mailto:alfredotosimurillo@gmail.com" TargetMode="External"/><Relationship Id="rId26" Type="http://schemas.openxmlformats.org/officeDocument/2006/relationships/hyperlink" Target="mailto:dp.ortizc@hotmail.com" TargetMode="External"/><Relationship Id="rId39" Type="http://schemas.openxmlformats.org/officeDocument/2006/relationships/hyperlink" Target="mailto:paulmacancelasant@gmail.com" TargetMode="External"/><Relationship Id="rId21" Type="http://schemas.openxmlformats.org/officeDocument/2006/relationships/hyperlink" Target="mailto:alfredotosimurillo@gmail.com" TargetMode="External"/><Relationship Id="rId34" Type="http://schemas.openxmlformats.org/officeDocument/2006/relationships/hyperlink" Target="mailto:janchundiaheredia@gmail.com" TargetMode="External"/><Relationship Id="rId42" Type="http://schemas.openxmlformats.org/officeDocument/2006/relationships/hyperlink" Target="mailto:mikachales@hotmail.com" TargetMode="External"/><Relationship Id="rId47" Type="http://schemas.openxmlformats.org/officeDocument/2006/relationships/hyperlink" Target="mailto:crisocho32@yahoo.es" TargetMode="External"/><Relationship Id="rId50" Type="http://schemas.openxmlformats.org/officeDocument/2006/relationships/hyperlink" Target="mailto:jorgeluis350000@hotmail.com" TargetMode="External"/><Relationship Id="rId7" Type="http://schemas.openxmlformats.org/officeDocument/2006/relationships/hyperlink" Target="mailto:agustinajara74@hotmail.com" TargetMode="External"/><Relationship Id="rId2" Type="http://schemas.openxmlformats.org/officeDocument/2006/relationships/hyperlink" Target="mailto:jossmedrchan@hotmail.com" TargetMode="External"/><Relationship Id="rId16" Type="http://schemas.openxmlformats.org/officeDocument/2006/relationships/hyperlink" Target="mailto:andresmks15@gmail.com" TargetMode="External"/><Relationship Id="rId29" Type="http://schemas.openxmlformats.org/officeDocument/2006/relationships/hyperlink" Target="mailto:jcoellar66@gmail.com" TargetMode="External"/><Relationship Id="rId11" Type="http://schemas.openxmlformats.org/officeDocument/2006/relationships/hyperlink" Target="mailto:contabilidad@euroagroec.com" TargetMode="External"/><Relationship Id="rId24" Type="http://schemas.openxmlformats.org/officeDocument/2006/relationships/hyperlink" Target="mailto:pjarabluejeans@hotmail.com" TargetMode="External"/><Relationship Id="rId32" Type="http://schemas.openxmlformats.org/officeDocument/2006/relationships/hyperlink" Target="mailto:byronl8@yahoo.es" TargetMode="External"/><Relationship Id="rId37" Type="http://schemas.openxmlformats.org/officeDocument/2006/relationships/hyperlink" Target="mailto:janchundiaheredia@gmail.com" TargetMode="External"/><Relationship Id="rId40" Type="http://schemas.openxmlformats.org/officeDocument/2006/relationships/hyperlink" Target="mailto:paulmacancelasant@gmail.com" TargetMode="External"/><Relationship Id="rId45" Type="http://schemas.openxmlformats.org/officeDocument/2006/relationships/hyperlink" Target="mailto:martinomiotto43@gmail.com" TargetMode="External"/><Relationship Id="rId53" Type="http://schemas.openxmlformats.org/officeDocument/2006/relationships/printerSettings" Target="../printerSettings/printerSettings1.bin"/><Relationship Id="rId5" Type="http://schemas.openxmlformats.org/officeDocument/2006/relationships/hyperlink" Target="mailto:agustinajara74@hotmail.com" TargetMode="External"/><Relationship Id="rId10" Type="http://schemas.openxmlformats.org/officeDocument/2006/relationships/hyperlink" Target="mailto:contabilidad@euroagroec.com" TargetMode="External"/><Relationship Id="rId19" Type="http://schemas.openxmlformats.org/officeDocument/2006/relationships/hyperlink" Target="mailto:alfredotosimurillo@gmail.com" TargetMode="External"/><Relationship Id="rId31" Type="http://schemas.openxmlformats.org/officeDocument/2006/relationships/hyperlink" Target="mailto:byronl8@yahoo.es" TargetMode="External"/><Relationship Id="rId44" Type="http://schemas.openxmlformats.org/officeDocument/2006/relationships/hyperlink" Target="mailto:martinomiotto43@gmail.com" TargetMode="External"/><Relationship Id="rId52" Type="http://schemas.openxmlformats.org/officeDocument/2006/relationships/hyperlink" Target="mailto:jorgeluis350000@hotmail.com" TargetMode="External"/><Relationship Id="rId4" Type="http://schemas.openxmlformats.org/officeDocument/2006/relationships/hyperlink" Target="mailto:jossmedrchan@hotmail.com" TargetMode="External"/><Relationship Id="rId9" Type="http://schemas.openxmlformats.org/officeDocument/2006/relationships/hyperlink" Target="mailto:txavierbarrera@hotmail.com" TargetMode="External"/><Relationship Id="rId14" Type="http://schemas.openxmlformats.org/officeDocument/2006/relationships/hyperlink" Target="mailto:marlenebravo96@gmail.com" TargetMode="External"/><Relationship Id="rId22" Type="http://schemas.openxmlformats.org/officeDocument/2006/relationships/hyperlink" Target="mailto:jonnathans35@hotmail.com" TargetMode="External"/><Relationship Id="rId27" Type="http://schemas.openxmlformats.org/officeDocument/2006/relationships/hyperlink" Target="mailto:dp.ortiz@hotmail.com" TargetMode="External"/><Relationship Id="rId30" Type="http://schemas.openxmlformats.org/officeDocument/2006/relationships/hyperlink" Target="mailto:byronl8@yahoo.es" TargetMode="External"/><Relationship Id="rId35" Type="http://schemas.openxmlformats.org/officeDocument/2006/relationships/hyperlink" Target="mailto:janchundiaheredia@gmail.com" TargetMode="External"/><Relationship Id="rId43" Type="http://schemas.openxmlformats.org/officeDocument/2006/relationships/hyperlink" Target="mailto:mikachales@hotmail.com" TargetMode="External"/><Relationship Id="rId48" Type="http://schemas.openxmlformats.org/officeDocument/2006/relationships/hyperlink" Target="mailto:jorgeluis350000@hotmail.com" TargetMode="External"/><Relationship Id="rId8" Type="http://schemas.openxmlformats.org/officeDocument/2006/relationships/hyperlink" Target="mailto:txavierbarrera@hotmail.com" TargetMode="External"/><Relationship Id="rId51" Type="http://schemas.openxmlformats.org/officeDocument/2006/relationships/hyperlink" Target="mailto:jorgeluis350000@hotmail.com" TargetMode="External"/><Relationship Id="rId3" Type="http://schemas.openxmlformats.org/officeDocument/2006/relationships/hyperlink" Target="mailto:jossmedrchan@hotmail.com" TargetMode="External"/><Relationship Id="rId12" Type="http://schemas.openxmlformats.org/officeDocument/2006/relationships/hyperlink" Target="mailto:marlenebravo96@gmail.com" TargetMode="External"/><Relationship Id="rId17" Type="http://schemas.openxmlformats.org/officeDocument/2006/relationships/hyperlink" Target="mailto:andresmks15@gmail.com" TargetMode="External"/><Relationship Id="rId25" Type="http://schemas.openxmlformats.org/officeDocument/2006/relationships/hyperlink" Target="mailto:pjarabluejeans@hotmail.com" TargetMode="External"/><Relationship Id="rId33" Type="http://schemas.openxmlformats.org/officeDocument/2006/relationships/hyperlink" Target="mailto:byronl8@yahoo.es" TargetMode="External"/><Relationship Id="rId38" Type="http://schemas.openxmlformats.org/officeDocument/2006/relationships/hyperlink" Target="mailto:paulmacancelasant@gmail.com" TargetMode="External"/><Relationship Id="rId46" Type="http://schemas.openxmlformats.org/officeDocument/2006/relationships/hyperlink" Target="mailto:crisocho32@yahoo.es" TargetMode="External"/><Relationship Id="rId20" Type="http://schemas.openxmlformats.org/officeDocument/2006/relationships/hyperlink" Target="mailto:alfredotosimurillo@gmail.com" TargetMode="External"/><Relationship Id="rId41" Type="http://schemas.openxmlformats.org/officeDocument/2006/relationships/hyperlink" Target="mailto:paulmacancelasant@gmail.com" TargetMode="External"/><Relationship Id="rId54" Type="http://schemas.openxmlformats.org/officeDocument/2006/relationships/drawing" Target="../drawings/drawing1.xml"/><Relationship Id="rId1" Type="http://schemas.openxmlformats.org/officeDocument/2006/relationships/hyperlink" Target="mailto:jossmedrchan@hotmail.com" TargetMode="External"/><Relationship Id="rId6" Type="http://schemas.openxmlformats.org/officeDocument/2006/relationships/hyperlink" Target="mailto:agustinajara74@hotmail.com" TargetMode="External"/><Relationship Id="rId15" Type="http://schemas.openxmlformats.org/officeDocument/2006/relationships/hyperlink" Target="mailto:andresmks15@gmail.com" TargetMode="External"/><Relationship Id="rId23" Type="http://schemas.openxmlformats.org/officeDocument/2006/relationships/hyperlink" Target="mailto:jonnathans35@hotmail.com" TargetMode="External"/><Relationship Id="rId28" Type="http://schemas.openxmlformats.org/officeDocument/2006/relationships/hyperlink" Target="mailto:jcoellar66@gmail.com" TargetMode="External"/><Relationship Id="rId36" Type="http://schemas.openxmlformats.org/officeDocument/2006/relationships/hyperlink" Target="mailto:janchundiaheredia@gmail.com" TargetMode="External"/><Relationship Id="rId49" Type="http://schemas.openxmlformats.org/officeDocument/2006/relationships/hyperlink" Target="mailto:jorgeluis350000@hotmail.com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2.xml"/><Relationship Id="rId3" Type="http://schemas.openxmlformats.org/officeDocument/2006/relationships/hyperlink" Target="mailto:jjarteaga58@gmail.co" TargetMode="External"/><Relationship Id="rId7" Type="http://schemas.openxmlformats.org/officeDocument/2006/relationships/printerSettings" Target="../printerSettings/printerSettings2.bin"/><Relationship Id="rId2" Type="http://schemas.openxmlformats.org/officeDocument/2006/relationships/hyperlink" Target="mailto:andre.18.ae@gmail.com" TargetMode="External"/><Relationship Id="rId1" Type="http://schemas.openxmlformats.org/officeDocument/2006/relationships/hyperlink" Target="mailto:franctapia13@hotmail.com" TargetMode="External"/><Relationship Id="rId6" Type="http://schemas.openxmlformats.org/officeDocument/2006/relationships/hyperlink" Target="mailto:facturaspedroc@gmail.com" TargetMode="External"/><Relationship Id="rId5" Type="http://schemas.openxmlformats.org/officeDocument/2006/relationships/hyperlink" Target="mailto:enaltos@gmail.com" TargetMode="External"/><Relationship Id="rId4" Type="http://schemas.openxmlformats.org/officeDocument/2006/relationships/hyperlink" Target="mailto:fervazcal@hotmail.com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abg.andresverar@hotmail.com" TargetMode="External"/><Relationship Id="rId3" Type="http://schemas.openxmlformats.org/officeDocument/2006/relationships/hyperlink" Target="mailto:boris.tipan.barros@gmail.com" TargetMode="External"/><Relationship Id="rId7" Type="http://schemas.openxmlformats.org/officeDocument/2006/relationships/hyperlink" Target="mailto:paulinasemperteguiv@hotmail.com" TargetMode="External"/><Relationship Id="rId2" Type="http://schemas.openxmlformats.org/officeDocument/2006/relationships/hyperlink" Target="mailto:skwayra@sukasa.com" TargetMode="External"/><Relationship Id="rId1" Type="http://schemas.openxmlformats.org/officeDocument/2006/relationships/hyperlink" Target="mailto:skwayra@sukasa.com" TargetMode="External"/><Relationship Id="rId6" Type="http://schemas.openxmlformats.org/officeDocument/2006/relationships/hyperlink" Target="mailto:rosichica30@hotmail.com" TargetMode="External"/><Relationship Id="rId5" Type="http://schemas.openxmlformats.org/officeDocument/2006/relationships/hyperlink" Target="mailto:ventas@comercialsolis.com.ec" TargetMode="External"/><Relationship Id="rId4" Type="http://schemas.openxmlformats.org/officeDocument/2006/relationships/hyperlink" Target="mailto:pkbluejean@hotmail.com" TargetMode="External"/><Relationship Id="rId9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mailto:orellanaconstructores@hotmail.com" TargetMode="External"/><Relationship Id="rId13" Type="http://schemas.openxmlformats.org/officeDocument/2006/relationships/hyperlink" Target="mailto:veronica.ordo&#241;ez.a@gmail.com" TargetMode="External"/><Relationship Id="rId18" Type="http://schemas.openxmlformats.org/officeDocument/2006/relationships/hyperlink" Target="mailto:adrianaastudillo@hotmail.com" TargetMode="External"/><Relationship Id="rId26" Type="http://schemas.openxmlformats.org/officeDocument/2006/relationships/hyperlink" Target="mailto:bayu1582@gmail.com" TargetMode="External"/><Relationship Id="rId3" Type="http://schemas.openxmlformats.org/officeDocument/2006/relationships/hyperlink" Target="mailto:a.azuayas@gmail.com" TargetMode="External"/><Relationship Id="rId21" Type="http://schemas.openxmlformats.org/officeDocument/2006/relationships/hyperlink" Target="mailto:kathisamis@gmail.com" TargetMode="External"/><Relationship Id="rId7" Type="http://schemas.openxmlformats.org/officeDocument/2006/relationships/hyperlink" Target="mailto:mabel2.morocho@gmail.com" TargetMode="External"/><Relationship Id="rId12" Type="http://schemas.openxmlformats.org/officeDocument/2006/relationships/hyperlink" Target="mailto:martinamiotto@gmail.com" TargetMode="External"/><Relationship Id="rId17" Type="http://schemas.openxmlformats.org/officeDocument/2006/relationships/hyperlink" Target="mailto:mriverol@hotmail.com" TargetMode="External"/><Relationship Id="rId25" Type="http://schemas.openxmlformats.org/officeDocument/2006/relationships/hyperlink" Target="mailto:fabiancrespo16@gmail.com" TargetMode="External"/><Relationship Id="rId2" Type="http://schemas.openxmlformats.org/officeDocument/2006/relationships/hyperlink" Target="mailto:oswaldo1958@yahoo.com" TargetMode="External"/><Relationship Id="rId16" Type="http://schemas.openxmlformats.org/officeDocument/2006/relationships/hyperlink" Target="mailto:mbarzallo65@hotmail.com" TargetMode="External"/><Relationship Id="rId20" Type="http://schemas.openxmlformats.org/officeDocument/2006/relationships/hyperlink" Target="mailto:ronald.msg@outlook.com" TargetMode="External"/><Relationship Id="rId1" Type="http://schemas.openxmlformats.org/officeDocument/2006/relationships/hyperlink" Target="mailto:gustavobautista1988@hotmail.com" TargetMode="External"/><Relationship Id="rId6" Type="http://schemas.openxmlformats.org/officeDocument/2006/relationships/hyperlink" Target="mailto:patoarizaga13@gmail.com" TargetMode="External"/><Relationship Id="rId11" Type="http://schemas.openxmlformats.org/officeDocument/2006/relationships/hyperlink" Target="mailto:boodoko25@yahoo.com" TargetMode="External"/><Relationship Id="rId24" Type="http://schemas.openxmlformats.org/officeDocument/2006/relationships/hyperlink" Target="mailto:maferhidalgo73@hotmail.com" TargetMode="External"/><Relationship Id="rId5" Type="http://schemas.openxmlformats.org/officeDocument/2006/relationships/hyperlink" Target="mailto:gata_serrano@hotmail.com" TargetMode="External"/><Relationship Id="rId15" Type="http://schemas.openxmlformats.org/officeDocument/2006/relationships/hyperlink" Target="mailto:distagrg@hotmail.com" TargetMode="External"/><Relationship Id="rId23" Type="http://schemas.openxmlformats.org/officeDocument/2006/relationships/hyperlink" Target="mailto:gabolr94@gmail.com" TargetMode="External"/><Relationship Id="rId28" Type="http://schemas.openxmlformats.org/officeDocument/2006/relationships/printerSettings" Target="../printerSettings/printerSettings3.bin"/><Relationship Id="rId10" Type="http://schemas.openxmlformats.org/officeDocument/2006/relationships/hyperlink" Target="mailto:jhonnathanmr@gmail.com" TargetMode="External"/><Relationship Id="rId19" Type="http://schemas.openxmlformats.org/officeDocument/2006/relationships/hyperlink" Target="mailto:urgilescu@gmail.com" TargetMode="External"/><Relationship Id="rId4" Type="http://schemas.openxmlformats.org/officeDocument/2006/relationships/hyperlink" Target="mailto:mauroulloa90@hotmail.com" TargetMode="External"/><Relationship Id="rId9" Type="http://schemas.openxmlformats.org/officeDocument/2006/relationships/hyperlink" Target="mailto:anicecyalba1957@gmail.com" TargetMode="External"/><Relationship Id="rId14" Type="http://schemas.openxmlformats.org/officeDocument/2006/relationships/hyperlink" Target="mailto:jonnathansba1200@gmail.com" TargetMode="External"/><Relationship Id="rId22" Type="http://schemas.openxmlformats.org/officeDocument/2006/relationships/hyperlink" Target="mailto:robertoburton@gmail.com" TargetMode="External"/><Relationship Id="rId27" Type="http://schemas.openxmlformats.org/officeDocument/2006/relationships/hyperlink" Target="mailto:churostiti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U71"/>
  <sheetViews>
    <sheetView tabSelected="1" topLeftCell="A10" zoomScaleNormal="100" workbookViewId="0">
      <selection activeCell="A15" sqref="A15:XFD15"/>
    </sheetView>
  </sheetViews>
  <sheetFormatPr baseColWidth="10" defaultRowHeight="15"/>
  <cols>
    <col min="1" max="1" width="6.33203125" customWidth="1"/>
    <col min="2" max="2" width="12.5" bestFit="1" customWidth="1"/>
    <col min="3" max="3" width="19.83203125" customWidth="1"/>
    <col min="4" max="4" width="20.6640625" customWidth="1"/>
    <col min="5" max="5" width="18" customWidth="1"/>
    <col min="6" max="6" width="29.83203125" customWidth="1"/>
    <col min="7" max="7" width="19.1640625" customWidth="1"/>
    <col min="8" max="8" width="11.6640625" bestFit="1" customWidth="1"/>
    <col min="11" max="11" width="14.5" customWidth="1"/>
    <col min="12" max="12" width="25.5" customWidth="1"/>
    <col min="13" max="13" width="21.33203125" customWidth="1"/>
    <col min="14" max="14" width="13.5" bestFit="1" customWidth="1"/>
    <col min="15" max="15" width="11.6640625" bestFit="1" customWidth="1"/>
    <col min="16" max="16" width="23.1640625" customWidth="1"/>
    <col min="18" max="18" width="11.6640625" bestFit="1" customWidth="1"/>
    <col min="19" max="19" width="18.83203125" customWidth="1"/>
    <col min="20" max="20" width="16.6640625" customWidth="1"/>
    <col min="21" max="21" width="33.83203125" customWidth="1"/>
  </cols>
  <sheetData>
    <row r="3" spans="1:21">
      <c r="A3" s="1"/>
      <c r="C3" s="2" t="s">
        <v>0</v>
      </c>
      <c r="E3" s="3"/>
      <c r="G3" s="4"/>
      <c r="H3" s="5"/>
      <c r="I3" s="6"/>
      <c r="J3" s="7"/>
      <c r="K3" s="5"/>
      <c r="L3" s="8"/>
      <c r="M3" s="8"/>
      <c r="N3" s="5"/>
      <c r="O3" s="9"/>
    </row>
    <row r="4" spans="1:21" ht="16">
      <c r="A4" s="1"/>
      <c r="C4" s="10" t="s">
        <v>1</v>
      </c>
      <c r="E4" s="5"/>
      <c r="G4" s="11"/>
      <c r="H4" s="12"/>
      <c r="I4" s="13"/>
      <c r="J4" s="14" t="s">
        <v>23</v>
      </c>
      <c r="K4" s="12"/>
      <c r="L4" s="15"/>
      <c r="M4" s="16"/>
      <c r="N4" s="5" t="s">
        <v>148</v>
      </c>
      <c r="O4" s="9"/>
      <c r="P4" s="17"/>
    </row>
    <row r="5" spans="1:21" s="23" customFormat="1" ht="30">
      <c r="A5" s="18"/>
      <c r="B5" s="19" t="s">
        <v>2</v>
      </c>
      <c r="C5" s="19" t="s">
        <v>3</v>
      </c>
      <c r="D5" s="19" t="s">
        <v>4</v>
      </c>
      <c r="E5" s="19" t="s">
        <v>5</v>
      </c>
      <c r="F5" s="20" t="s">
        <v>6</v>
      </c>
      <c r="G5" s="19" t="s">
        <v>7</v>
      </c>
      <c r="H5" s="19" t="s">
        <v>8</v>
      </c>
      <c r="I5" s="19" t="s">
        <v>9</v>
      </c>
      <c r="J5" s="19" t="s">
        <v>10</v>
      </c>
      <c r="K5" s="19" t="s">
        <v>11</v>
      </c>
      <c r="L5" s="21" t="s">
        <v>12</v>
      </c>
      <c r="M5" s="21" t="s">
        <v>13</v>
      </c>
      <c r="N5" s="19" t="s">
        <v>14</v>
      </c>
      <c r="O5" s="22" t="s">
        <v>15</v>
      </c>
      <c r="P5" s="19" t="s">
        <v>16</v>
      </c>
      <c r="Q5" s="19" t="s">
        <v>17</v>
      </c>
      <c r="R5" s="19" t="s">
        <v>18</v>
      </c>
      <c r="S5" s="19" t="s">
        <v>19</v>
      </c>
      <c r="T5" s="19" t="s">
        <v>20</v>
      </c>
      <c r="U5" s="19" t="s">
        <v>21</v>
      </c>
    </row>
    <row r="6" spans="1:21" ht="32.25" customHeight="1">
      <c r="A6">
        <v>1</v>
      </c>
      <c r="B6" s="186">
        <v>45364</v>
      </c>
      <c r="C6" s="185" t="s">
        <v>121</v>
      </c>
      <c r="D6" s="185" t="s">
        <v>151</v>
      </c>
      <c r="E6" s="182">
        <v>111000051</v>
      </c>
      <c r="F6" s="185" t="s">
        <v>123</v>
      </c>
      <c r="G6" s="185" t="s">
        <v>128</v>
      </c>
      <c r="H6" s="182" t="s">
        <v>42</v>
      </c>
      <c r="I6" s="182" t="s">
        <v>74</v>
      </c>
      <c r="J6" s="182" t="s">
        <v>75</v>
      </c>
      <c r="K6" s="187">
        <v>45678</v>
      </c>
      <c r="L6" s="188" t="s">
        <v>124</v>
      </c>
      <c r="M6" s="188" t="s">
        <v>125</v>
      </c>
      <c r="N6" s="199" t="s">
        <v>144</v>
      </c>
      <c r="O6" s="189">
        <v>15</v>
      </c>
      <c r="P6" s="182" t="s">
        <v>22</v>
      </c>
      <c r="Q6" s="182" t="s">
        <v>74</v>
      </c>
      <c r="R6" s="190"/>
      <c r="S6" s="185" t="str">
        <f>D6</f>
        <v>001-101-000002847</v>
      </c>
      <c r="T6" s="191">
        <v>105254395</v>
      </c>
      <c r="U6" s="192" t="s">
        <v>126</v>
      </c>
    </row>
    <row r="7" spans="1:21" ht="32.25" customHeight="1">
      <c r="A7">
        <v>2</v>
      </c>
      <c r="B7" s="186">
        <v>45364</v>
      </c>
      <c r="C7" s="185" t="s">
        <v>121</v>
      </c>
      <c r="D7" s="185" t="s">
        <v>151</v>
      </c>
      <c r="E7" s="182">
        <v>40584202</v>
      </c>
      <c r="F7" s="185" t="s">
        <v>127</v>
      </c>
      <c r="G7" s="185" t="s">
        <v>129</v>
      </c>
      <c r="H7" s="182" t="s">
        <v>42</v>
      </c>
      <c r="I7" s="182" t="s">
        <v>74</v>
      </c>
      <c r="J7" s="182" t="s">
        <v>75</v>
      </c>
      <c r="K7" s="187">
        <v>45678</v>
      </c>
      <c r="L7" s="188" t="s">
        <v>124</v>
      </c>
      <c r="M7" s="188" t="s">
        <v>125</v>
      </c>
      <c r="N7" s="199" t="s">
        <v>144</v>
      </c>
      <c r="O7" s="189">
        <v>15</v>
      </c>
      <c r="P7" s="182" t="s">
        <v>22</v>
      </c>
      <c r="Q7" s="182" t="s">
        <v>74</v>
      </c>
      <c r="R7" s="190"/>
      <c r="S7" s="185" t="str">
        <f t="shared" ref="S7:S19" si="0">D7</f>
        <v>001-101-000002847</v>
      </c>
      <c r="T7" s="191">
        <v>105254395</v>
      </c>
      <c r="U7" s="192" t="s">
        <v>126</v>
      </c>
    </row>
    <row r="8" spans="1:21" ht="32.25" customHeight="1">
      <c r="A8">
        <v>3</v>
      </c>
      <c r="B8" s="186">
        <v>45364</v>
      </c>
      <c r="C8" s="185" t="s">
        <v>121</v>
      </c>
      <c r="D8" s="185" t="s">
        <v>122</v>
      </c>
      <c r="E8" s="182">
        <v>112570123</v>
      </c>
      <c r="F8" s="185" t="s">
        <v>135</v>
      </c>
      <c r="G8" s="185" t="s">
        <v>130</v>
      </c>
      <c r="H8" s="182" t="s">
        <v>42</v>
      </c>
      <c r="I8" s="182" t="s">
        <v>74</v>
      </c>
      <c r="J8" s="182" t="s">
        <v>75</v>
      </c>
      <c r="K8" s="187">
        <v>45678</v>
      </c>
      <c r="L8" s="188" t="s">
        <v>124</v>
      </c>
      <c r="M8" s="188" t="s">
        <v>125</v>
      </c>
      <c r="N8" s="199" t="s">
        <v>144</v>
      </c>
      <c r="O8" s="189">
        <v>15</v>
      </c>
      <c r="P8" s="182" t="s">
        <v>22</v>
      </c>
      <c r="Q8" s="182" t="s">
        <v>74</v>
      </c>
      <c r="R8" s="190"/>
      <c r="S8" s="185" t="str">
        <f t="shared" si="0"/>
        <v>001-101-000003219</v>
      </c>
      <c r="T8" s="191">
        <v>105254395</v>
      </c>
      <c r="U8" s="192" t="s">
        <v>126</v>
      </c>
    </row>
    <row r="9" spans="1:21" ht="32.25" customHeight="1">
      <c r="A9">
        <v>4</v>
      </c>
      <c r="B9" s="186">
        <v>45364</v>
      </c>
      <c r="C9" s="185" t="s">
        <v>121</v>
      </c>
      <c r="D9" s="185" t="s">
        <v>151</v>
      </c>
      <c r="E9" s="182">
        <v>114270004</v>
      </c>
      <c r="F9" s="185" t="s">
        <v>136</v>
      </c>
      <c r="G9" s="185" t="s">
        <v>131</v>
      </c>
      <c r="H9" s="182" t="s">
        <v>42</v>
      </c>
      <c r="I9" s="182" t="s">
        <v>74</v>
      </c>
      <c r="J9" s="182" t="s">
        <v>75</v>
      </c>
      <c r="K9" s="187">
        <v>45678</v>
      </c>
      <c r="L9" s="188" t="s">
        <v>124</v>
      </c>
      <c r="M9" s="188" t="s">
        <v>125</v>
      </c>
      <c r="N9" s="199" t="s">
        <v>144</v>
      </c>
      <c r="O9" s="189">
        <v>15</v>
      </c>
      <c r="P9" s="182" t="s">
        <v>22</v>
      </c>
      <c r="Q9" s="182" t="s">
        <v>74</v>
      </c>
      <c r="R9" s="190"/>
      <c r="S9" s="185" t="str">
        <f t="shared" si="0"/>
        <v>001-101-000002847</v>
      </c>
      <c r="T9" s="191">
        <v>105254395</v>
      </c>
      <c r="U9" s="192" t="s">
        <v>126</v>
      </c>
    </row>
    <row r="10" spans="1:21" ht="32.25" customHeight="1">
      <c r="A10">
        <v>5</v>
      </c>
      <c r="B10" s="186">
        <v>45500</v>
      </c>
      <c r="C10" s="185" t="s">
        <v>132</v>
      </c>
      <c r="D10" s="185" t="s">
        <v>134</v>
      </c>
      <c r="E10" s="182">
        <v>41596006</v>
      </c>
      <c r="F10" s="185" t="s">
        <v>137</v>
      </c>
      <c r="G10" s="185" t="s">
        <v>140</v>
      </c>
      <c r="H10" s="182" t="s">
        <v>42</v>
      </c>
      <c r="I10" s="182" t="s">
        <v>74</v>
      </c>
      <c r="J10" s="182" t="s">
        <v>75</v>
      </c>
      <c r="K10" s="187">
        <v>45679</v>
      </c>
      <c r="L10" s="188" t="s">
        <v>143</v>
      </c>
      <c r="M10" s="188" t="s">
        <v>145</v>
      </c>
      <c r="N10" s="199" t="s">
        <v>146</v>
      </c>
      <c r="O10" s="189">
        <v>15</v>
      </c>
      <c r="P10" s="182" t="s">
        <v>22</v>
      </c>
      <c r="Q10" s="182" t="s">
        <v>74</v>
      </c>
      <c r="R10" s="190"/>
      <c r="S10" s="185" t="str">
        <f t="shared" si="0"/>
        <v>040-103-000009707</v>
      </c>
      <c r="T10" s="191">
        <v>102045705</v>
      </c>
      <c r="U10" s="192" t="s">
        <v>147</v>
      </c>
    </row>
    <row r="11" spans="1:21" ht="32.25" customHeight="1">
      <c r="A11">
        <v>6</v>
      </c>
      <c r="B11" s="186">
        <v>45500</v>
      </c>
      <c r="C11" s="185" t="s">
        <v>132</v>
      </c>
      <c r="D11" s="198" t="s">
        <v>133</v>
      </c>
      <c r="E11" s="182">
        <v>112570126</v>
      </c>
      <c r="F11" s="185" t="s">
        <v>138</v>
      </c>
      <c r="G11" s="185" t="s">
        <v>141</v>
      </c>
      <c r="H11" s="182" t="s">
        <v>42</v>
      </c>
      <c r="I11" s="182" t="s">
        <v>74</v>
      </c>
      <c r="J11" s="182" t="s">
        <v>75</v>
      </c>
      <c r="K11" s="187">
        <v>45679</v>
      </c>
      <c r="L11" s="188" t="s">
        <v>143</v>
      </c>
      <c r="M11" s="188" t="s">
        <v>145</v>
      </c>
      <c r="N11" s="199" t="s">
        <v>146</v>
      </c>
      <c r="O11" s="189">
        <v>15</v>
      </c>
      <c r="P11" s="182" t="s">
        <v>22</v>
      </c>
      <c r="Q11" s="182" t="s">
        <v>74</v>
      </c>
      <c r="R11" s="190"/>
      <c r="S11" s="185" t="str">
        <f t="shared" si="0"/>
        <v>040-103-000006905</v>
      </c>
      <c r="T11" s="191">
        <v>102045705</v>
      </c>
      <c r="U11" s="192" t="s">
        <v>147</v>
      </c>
    </row>
    <row r="12" spans="1:21" ht="32.25" customHeight="1">
      <c r="A12">
        <v>7</v>
      </c>
      <c r="B12" s="186">
        <v>45500</v>
      </c>
      <c r="C12" s="185" t="s">
        <v>132</v>
      </c>
      <c r="D12" s="185" t="s">
        <v>134</v>
      </c>
      <c r="E12" s="182">
        <v>40483183</v>
      </c>
      <c r="F12" s="185" t="s">
        <v>139</v>
      </c>
      <c r="G12" s="185" t="s">
        <v>142</v>
      </c>
      <c r="H12" s="182" t="s">
        <v>42</v>
      </c>
      <c r="I12" s="182" t="s">
        <v>74</v>
      </c>
      <c r="J12" s="182" t="s">
        <v>75</v>
      </c>
      <c r="K12" s="187">
        <v>45679</v>
      </c>
      <c r="L12" s="188" t="s">
        <v>143</v>
      </c>
      <c r="M12" s="188" t="s">
        <v>145</v>
      </c>
      <c r="N12" s="199" t="s">
        <v>146</v>
      </c>
      <c r="O12" s="189">
        <v>30</v>
      </c>
      <c r="P12" s="182" t="s">
        <v>22</v>
      </c>
      <c r="Q12" s="182" t="s">
        <v>74</v>
      </c>
      <c r="R12" s="190"/>
      <c r="S12" s="185" t="str">
        <f t="shared" si="0"/>
        <v>040-103-000009707</v>
      </c>
      <c r="T12" s="191">
        <v>102045705</v>
      </c>
      <c r="U12" s="192" t="s">
        <v>147</v>
      </c>
    </row>
    <row r="13" spans="1:21" ht="32.25" customHeight="1">
      <c r="A13">
        <v>8</v>
      </c>
      <c r="B13" s="186">
        <v>45677</v>
      </c>
      <c r="C13" s="185" t="s">
        <v>96</v>
      </c>
      <c r="D13" s="185" t="s">
        <v>172</v>
      </c>
      <c r="E13" s="182">
        <v>112580058</v>
      </c>
      <c r="F13" s="185" t="s">
        <v>153</v>
      </c>
      <c r="G13" s="185" t="s">
        <v>156</v>
      </c>
      <c r="H13" s="182" t="s">
        <v>42</v>
      </c>
      <c r="I13" s="182" t="s">
        <v>74</v>
      </c>
      <c r="J13" s="182" t="s">
        <v>75</v>
      </c>
      <c r="K13" s="187">
        <v>45680</v>
      </c>
      <c r="L13" s="188" t="s">
        <v>160</v>
      </c>
      <c r="M13" s="188" t="s">
        <v>161</v>
      </c>
      <c r="N13" s="199" t="s">
        <v>162</v>
      </c>
      <c r="O13" s="189">
        <v>15</v>
      </c>
      <c r="P13" s="182" t="s">
        <v>22</v>
      </c>
      <c r="Q13" s="182" t="s">
        <v>74</v>
      </c>
      <c r="R13" s="190"/>
      <c r="S13" s="185" t="str">
        <f t="shared" si="0"/>
        <v>001-500-000068460</v>
      </c>
      <c r="T13" s="191">
        <v>300776812</v>
      </c>
      <c r="U13" s="192" t="s">
        <v>163</v>
      </c>
    </row>
    <row r="14" spans="1:21" ht="32.25" customHeight="1">
      <c r="A14">
        <v>9</v>
      </c>
      <c r="B14" s="186">
        <v>45677</v>
      </c>
      <c r="C14" s="185" t="s">
        <v>96</v>
      </c>
      <c r="D14" s="185" t="s">
        <v>172</v>
      </c>
      <c r="E14" s="182">
        <v>112030019</v>
      </c>
      <c r="F14" s="185" t="s">
        <v>154</v>
      </c>
      <c r="G14" s="185" t="s">
        <v>157</v>
      </c>
      <c r="H14" s="182" t="s">
        <v>42</v>
      </c>
      <c r="I14" s="182" t="s">
        <v>74</v>
      </c>
      <c r="J14" s="182" t="s">
        <v>75</v>
      </c>
      <c r="K14" s="187">
        <v>45680</v>
      </c>
      <c r="L14" s="188" t="s">
        <v>160</v>
      </c>
      <c r="M14" s="188" t="s">
        <v>161</v>
      </c>
      <c r="N14" s="199" t="s">
        <v>162</v>
      </c>
      <c r="O14" s="189">
        <v>15</v>
      </c>
      <c r="P14" s="182" t="s">
        <v>22</v>
      </c>
      <c r="Q14" s="182" t="s">
        <v>74</v>
      </c>
      <c r="R14" s="190"/>
      <c r="S14" s="185" t="str">
        <f t="shared" si="0"/>
        <v>001-500-000068460</v>
      </c>
      <c r="T14" s="191">
        <v>300776812</v>
      </c>
      <c r="U14" s="192" t="s">
        <v>163</v>
      </c>
    </row>
    <row r="15" spans="1:21" s="254" customFormat="1" ht="32.25" customHeight="1">
      <c r="A15" s="254">
        <v>10</v>
      </c>
      <c r="B15" s="244">
        <v>45677</v>
      </c>
      <c r="C15" s="245" t="s">
        <v>96</v>
      </c>
      <c r="D15" s="245" t="s">
        <v>172</v>
      </c>
      <c r="E15" s="246">
        <v>111000051</v>
      </c>
      <c r="F15" s="245" t="s">
        <v>123</v>
      </c>
      <c r="G15" s="245" t="s">
        <v>158</v>
      </c>
      <c r="H15" s="246" t="s">
        <v>42</v>
      </c>
      <c r="I15" s="246" t="s">
        <v>74</v>
      </c>
      <c r="J15" s="246" t="s">
        <v>75</v>
      </c>
      <c r="K15" s="247">
        <v>45680</v>
      </c>
      <c r="L15" s="248" t="s">
        <v>160</v>
      </c>
      <c r="M15" s="248" t="s">
        <v>161</v>
      </c>
      <c r="N15" s="249" t="s">
        <v>162</v>
      </c>
      <c r="O15" s="250">
        <v>15</v>
      </c>
      <c r="P15" s="246" t="s">
        <v>22</v>
      </c>
      <c r="Q15" s="246" t="s">
        <v>74</v>
      </c>
      <c r="R15" s="251"/>
      <c r="S15" s="245" t="str">
        <f t="shared" si="0"/>
        <v>001-500-000068460</v>
      </c>
      <c r="T15" s="252">
        <v>300776812</v>
      </c>
      <c r="U15" s="253" t="s">
        <v>163</v>
      </c>
    </row>
    <row r="16" spans="1:21" ht="32.25" customHeight="1">
      <c r="A16">
        <v>11</v>
      </c>
      <c r="B16" s="186">
        <v>45677</v>
      </c>
      <c r="C16" s="185" t="s">
        <v>96</v>
      </c>
      <c r="D16" s="185" t="s">
        <v>152</v>
      </c>
      <c r="E16" s="182">
        <v>404467712</v>
      </c>
      <c r="F16" s="185" t="s">
        <v>155</v>
      </c>
      <c r="G16" s="185" t="s">
        <v>159</v>
      </c>
      <c r="H16" s="182" t="s">
        <v>42</v>
      </c>
      <c r="I16" s="182" t="s">
        <v>74</v>
      </c>
      <c r="J16" s="182" t="s">
        <v>75</v>
      </c>
      <c r="K16" s="187">
        <v>45680</v>
      </c>
      <c r="L16" s="188" t="s">
        <v>160</v>
      </c>
      <c r="M16" s="188" t="s">
        <v>161</v>
      </c>
      <c r="N16" s="199" t="s">
        <v>162</v>
      </c>
      <c r="O16" s="189">
        <v>15</v>
      </c>
      <c r="P16" s="182" t="s">
        <v>22</v>
      </c>
      <c r="Q16" s="182" t="s">
        <v>74</v>
      </c>
      <c r="R16" s="190"/>
      <c r="S16" s="185" t="str">
        <f t="shared" si="0"/>
        <v>001-500-000070264</v>
      </c>
      <c r="T16" s="191">
        <v>300776812</v>
      </c>
      <c r="U16" s="192" t="s">
        <v>163</v>
      </c>
    </row>
    <row r="17" spans="1:21" ht="32.25" customHeight="1">
      <c r="A17">
        <v>12</v>
      </c>
      <c r="B17" s="186">
        <v>45591</v>
      </c>
      <c r="C17" s="185" t="s">
        <v>132</v>
      </c>
      <c r="D17" s="185" t="s">
        <v>164</v>
      </c>
      <c r="E17" s="182">
        <v>40782128</v>
      </c>
      <c r="F17" s="185" t="s">
        <v>165</v>
      </c>
      <c r="G17" s="185" t="s">
        <v>166</v>
      </c>
      <c r="H17" s="182" t="s">
        <v>42</v>
      </c>
      <c r="I17" s="182" t="s">
        <v>74</v>
      </c>
      <c r="J17" s="182" t="s">
        <v>75</v>
      </c>
      <c r="K17" s="187">
        <v>45680</v>
      </c>
      <c r="L17" s="188" t="s">
        <v>168</v>
      </c>
      <c r="M17" s="188" t="s">
        <v>169</v>
      </c>
      <c r="N17" s="199" t="s">
        <v>170</v>
      </c>
      <c r="O17" s="189">
        <v>20</v>
      </c>
      <c r="P17" s="182" t="s">
        <v>22</v>
      </c>
      <c r="Q17" s="182" t="s">
        <v>74</v>
      </c>
      <c r="R17" s="190"/>
      <c r="S17" s="185" t="str">
        <f t="shared" si="0"/>
        <v>040-103-000009042</v>
      </c>
      <c r="T17" s="191">
        <v>103741898</v>
      </c>
      <c r="U17" s="192" t="s">
        <v>171</v>
      </c>
    </row>
    <row r="18" spans="1:21" ht="32.25" customHeight="1">
      <c r="A18">
        <v>13</v>
      </c>
      <c r="B18" s="186">
        <v>45591</v>
      </c>
      <c r="C18" s="185" t="s">
        <v>132</v>
      </c>
      <c r="D18" s="185" t="s">
        <v>164</v>
      </c>
      <c r="E18" s="182">
        <v>41000051</v>
      </c>
      <c r="F18" s="185" t="s">
        <v>123</v>
      </c>
      <c r="G18" s="185" t="s">
        <v>167</v>
      </c>
      <c r="H18" s="182" t="s">
        <v>42</v>
      </c>
      <c r="I18" s="182" t="s">
        <v>74</v>
      </c>
      <c r="J18" s="182" t="s">
        <v>75</v>
      </c>
      <c r="K18" s="187">
        <v>45680</v>
      </c>
      <c r="L18" s="188" t="s">
        <v>168</v>
      </c>
      <c r="M18" s="188" t="s">
        <v>169</v>
      </c>
      <c r="N18" s="199" t="s">
        <v>170</v>
      </c>
      <c r="O18" s="189">
        <v>20</v>
      </c>
      <c r="P18" s="182" t="s">
        <v>22</v>
      </c>
      <c r="Q18" s="182" t="s">
        <v>74</v>
      </c>
      <c r="R18" s="190"/>
      <c r="S18" s="185" t="str">
        <f t="shared" si="0"/>
        <v>040-103-000009042</v>
      </c>
      <c r="T18" s="191">
        <v>103741898</v>
      </c>
      <c r="U18" s="192" t="s">
        <v>171</v>
      </c>
    </row>
    <row r="19" spans="1:21" ht="32.25" customHeight="1">
      <c r="A19">
        <v>14</v>
      </c>
      <c r="B19" s="186">
        <v>45636</v>
      </c>
      <c r="C19" s="185" t="s">
        <v>96</v>
      </c>
      <c r="D19" s="185" t="s">
        <v>206</v>
      </c>
      <c r="E19" s="182">
        <v>112570211</v>
      </c>
      <c r="F19" s="185" t="s">
        <v>207</v>
      </c>
      <c r="G19" s="185" t="s">
        <v>209</v>
      </c>
      <c r="H19" s="182" t="s">
        <v>42</v>
      </c>
      <c r="I19" s="182" t="s">
        <v>74</v>
      </c>
      <c r="J19" s="182" t="s">
        <v>75</v>
      </c>
      <c r="K19" s="187">
        <v>45684</v>
      </c>
      <c r="L19" s="188" t="s">
        <v>211</v>
      </c>
      <c r="M19" s="188" t="s">
        <v>212</v>
      </c>
      <c r="N19" s="199" t="s">
        <v>213</v>
      </c>
      <c r="O19" s="189">
        <v>20</v>
      </c>
      <c r="P19" s="182" t="s">
        <v>22</v>
      </c>
      <c r="Q19" s="182" t="s">
        <v>74</v>
      </c>
      <c r="R19" s="190"/>
      <c r="S19" s="185" t="str">
        <f t="shared" si="0"/>
        <v>001-500-000068937</v>
      </c>
      <c r="T19" s="191">
        <v>103061032</v>
      </c>
      <c r="U19" s="192" t="s">
        <v>214</v>
      </c>
    </row>
    <row r="20" spans="1:21" ht="32.25" customHeight="1">
      <c r="A20">
        <v>15</v>
      </c>
      <c r="B20" s="186">
        <v>45636</v>
      </c>
      <c r="C20" s="185" t="s">
        <v>96</v>
      </c>
      <c r="D20" s="185" t="s">
        <v>206</v>
      </c>
      <c r="E20" s="182">
        <v>111000059</v>
      </c>
      <c r="F20" s="185" t="s">
        <v>208</v>
      </c>
      <c r="G20" s="185" t="s">
        <v>210</v>
      </c>
      <c r="H20" s="182" t="s">
        <v>42</v>
      </c>
      <c r="I20" s="182" t="s">
        <v>74</v>
      </c>
      <c r="J20" s="182" t="s">
        <v>75</v>
      </c>
      <c r="K20" s="187">
        <v>45684</v>
      </c>
      <c r="L20" s="188" t="s">
        <v>211</v>
      </c>
      <c r="M20" s="188" t="s">
        <v>212</v>
      </c>
      <c r="N20" s="199" t="s">
        <v>213</v>
      </c>
      <c r="O20" s="189">
        <v>20</v>
      </c>
      <c r="P20" s="182" t="s">
        <v>22</v>
      </c>
      <c r="Q20" s="182" t="s">
        <v>74</v>
      </c>
      <c r="R20" s="190"/>
      <c r="S20" s="185" t="str">
        <f t="shared" ref="S20" si="1">D20</f>
        <v>001-500-000068937</v>
      </c>
      <c r="T20" s="191">
        <v>103061032</v>
      </c>
      <c r="U20" s="192" t="s">
        <v>214</v>
      </c>
    </row>
    <row r="21" spans="1:21" ht="32.25" customHeight="1">
      <c r="A21">
        <v>16</v>
      </c>
      <c r="B21" s="186">
        <v>45624</v>
      </c>
      <c r="C21" s="185" t="s">
        <v>189</v>
      </c>
      <c r="D21" s="185" t="s">
        <v>190</v>
      </c>
      <c r="E21" s="182">
        <v>113600015</v>
      </c>
      <c r="F21" s="185" t="s">
        <v>191</v>
      </c>
      <c r="G21" s="185" t="s">
        <v>194</v>
      </c>
      <c r="H21" s="182" t="s">
        <v>42</v>
      </c>
      <c r="I21" s="182" t="s">
        <v>74</v>
      </c>
      <c r="J21" s="182" t="s">
        <v>75</v>
      </c>
      <c r="K21" s="187">
        <v>45685</v>
      </c>
      <c r="L21" s="188" t="s">
        <v>202</v>
      </c>
      <c r="M21" s="188" t="s">
        <v>203</v>
      </c>
      <c r="N21" s="199" t="s">
        <v>204</v>
      </c>
      <c r="O21" s="189">
        <v>15</v>
      </c>
      <c r="P21" s="182" t="s">
        <v>22</v>
      </c>
      <c r="Q21" s="182" t="s">
        <v>74</v>
      </c>
      <c r="R21" s="190"/>
      <c r="S21" s="185" t="str">
        <f t="shared" ref="S21:S29" si="2">D21</f>
        <v>007-006-000132846</v>
      </c>
      <c r="T21" s="191">
        <v>190449599</v>
      </c>
      <c r="U21" s="192" t="s">
        <v>205</v>
      </c>
    </row>
    <row r="22" spans="1:21" ht="32.25" customHeight="1">
      <c r="A22">
        <v>17</v>
      </c>
      <c r="B22" s="186">
        <v>45624</v>
      </c>
      <c r="C22" s="185" t="s">
        <v>201</v>
      </c>
      <c r="D22" s="185" t="s">
        <v>200</v>
      </c>
      <c r="E22" s="182">
        <v>113430016</v>
      </c>
      <c r="F22" s="185" t="s">
        <v>192</v>
      </c>
      <c r="G22" s="185" t="s">
        <v>195</v>
      </c>
      <c r="H22" s="182" t="s">
        <v>42</v>
      </c>
      <c r="I22" s="182" t="s">
        <v>74</v>
      </c>
      <c r="J22" s="182" t="s">
        <v>75</v>
      </c>
      <c r="K22" s="187">
        <v>45685</v>
      </c>
      <c r="L22" s="188" t="s">
        <v>202</v>
      </c>
      <c r="M22" s="188" t="s">
        <v>203</v>
      </c>
      <c r="N22" s="199" t="s">
        <v>204</v>
      </c>
      <c r="O22" s="189">
        <v>15</v>
      </c>
      <c r="P22" s="182" t="s">
        <v>22</v>
      </c>
      <c r="Q22" s="182" t="s">
        <v>74</v>
      </c>
      <c r="R22" s="190"/>
      <c r="S22" s="185" t="str">
        <f t="shared" si="2"/>
        <v>008-501-000007944</v>
      </c>
      <c r="T22" s="191">
        <v>190449599</v>
      </c>
      <c r="U22" s="192" t="s">
        <v>205</v>
      </c>
    </row>
    <row r="23" spans="1:21" ht="32.25" customHeight="1">
      <c r="A23">
        <v>18</v>
      </c>
      <c r="B23" s="186">
        <v>45624</v>
      </c>
      <c r="C23" s="185" t="s">
        <v>201</v>
      </c>
      <c r="D23" s="185" t="s">
        <v>200</v>
      </c>
      <c r="E23" s="182">
        <v>112570068</v>
      </c>
      <c r="F23" s="185" t="s">
        <v>193</v>
      </c>
      <c r="G23" s="185" t="s">
        <v>196</v>
      </c>
      <c r="H23" s="182" t="s">
        <v>42</v>
      </c>
      <c r="I23" s="182" t="s">
        <v>74</v>
      </c>
      <c r="J23" s="182" t="s">
        <v>75</v>
      </c>
      <c r="K23" s="187">
        <v>45685</v>
      </c>
      <c r="L23" s="188" t="s">
        <v>202</v>
      </c>
      <c r="M23" s="188" t="s">
        <v>203</v>
      </c>
      <c r="N23" s="199" t="s">
        <v>204</v>
      </c>
      <c r="O23" s="189">
        <v>15</v>
      </c>
      <c r="P23" s="182" t="s">
        <v>22</v>
      </c>
      <c r="Q23" s="182" t="s">
        <v>74</v>
      </c>
      <c r="R23" s="190"/>
      <c r="S23" s="185" t="str">
        <f t="shared" si="2"/>
        <v>008-501-000007944</v>
      </c>
      <c r="T23" s="191">
        <v>190449599</v>
      </c>
      <c r="U23" s="192" t="s">
        <v>205</v>
      </c>
    </row>
    <row r="24" spans="1:21" ht="32.25" customHeight="1">
      <c r="A24">
        <v>19</v>
      </c>
      <c r="B24" s="186">
        <v>45624</v>
      </c>
      <c r="C24" s="185" t="s">
        <v>189</v>
      </c>
      <c r="D24" s="185" t="s">
        <v>190</v>
      </c>
      <c r="E24" s="182">
        <v>111000051</v>
      </c>
      <c r="F24" s="185" t="s">
        <v>123</v>
      </c>
      <c r="G24" s="185" t="s">
        <v>197</v>
      </c>
      <c r="H24" s="182" t="s">
        <v>42</v>
      </c>
      <c r="I24" s="182" t="s">
        <v>74</v>
      </c>
      <c r="J24" s="182" t="s">
        <v>75</v>
      </c>
      <c r="K24" s="187">
        <v>45685</v>
      </c>
      <c r="L24" s="188" t="s">
        <v>202</v>
      </c>
      <c r="M24" s="188" t="s">
        <v>203</v>
      </c>
      <c r="N24" s="199" t="s">
        <v>204</v>
      </c>
      <c r="O24" s="189">
        <v>15</v>
      </c>
      <c r="P24" s="182" t="s">
        <v>22</v>
      </c>
      <c r="Q24" s="182" t="s">
        <v>74</v>
      </c>
      <c r="R24" s="190"/>
      <c r="S24" s="185" t="str">
        <f t="shared" si="2"/>
        <v>007-006-000132846</v>
      </c>
      <c r="T24" s="191">
        <v>190449599</v>
      </c>
      <c r="U24" s="192" t="s">
        <v>205</v>
      </c>
    </row>
    <row r="25" spans="1:21" ht="32.25" customHeight="1">
      <c r="A25">
        <v>20</v>
      </c>
      <c r="B25" s="186">
        <v>45624</v>
      </c>
      <c r="C25" s="185" t="s">
        <v>189</v>
      </c>
      <c r="D25" s="185" t="s">
        <v>190</v>
      </c>
      <c r="E25" s="182">
        <v>40584305</v>
      </c>
      <c r="F25" s="185" t="s">
        <v>199</v>
      </c>
      <c r="G25" s="185" t="s">
        <v>198</v>
      </c>
      <c r="H25" s="182" t="s">
        <v>42</v>
      </c>
      <c r="I25" s="182" t="s">
        <v>74</v>
      </c>
      <c r="J25" s="182" t="s">
        <v>75</v>
      </c>
      <c r="K25" s="187">
        <v>45685</v>
      </c>
      <c r="L25" s="188" t="s">
        <v>202</v>
      </c>
      <c r="M25" s="188" t="s">
        <v>203</v>
      </c>
      <c r="N25" s="199" t="s">
        <v>204</v>
      </c>
      <c r="O25" s="189">
        <v>15</v>
      </c>
      <c r="P25" s="182" t="s">
        <v>22</v>
      </c>
      <c r="Q25" s="182" t="s">
        <v>74</v>
      </c>
      <c r="R25" s="190"/>
      <c r="S25" s="185" t="str">
        <f t="shared" si="2"/>
        <v>007-006-000132846</v>
      </c>
      <c r="T25" s="191">
        <v>190449599</v>
      </c>
      <c r="U25" s="192" t="s">
        <v>205</v>
      </c>
    </row>
    <row r="26" spans="1:21" ht="32.25" customHeight="1">
      <c r="A26">
        <v>21</v>
      </c>
      <c r="B26" s="186">
        <v>45684</v>
      </c>
      <c r="C26" s="185" t="s">
        <v>96</v>
      </c>
      <c r="D26" s="185" t="s">
        <v>259</v>
      </c>
      <c r="E26" s="182">
        <v>1125702111</v>
      </c>
      <c r="F26" s="185" t="s">
        <v>260</v>
      </c>
      <c r="G26" s="185" t="s">
        <v>261</v>
      </c>
      <c r="H26" s="182" t="s">
        <v>42</v>
      </c>
      <c r="I26" s="182" t="s">
        <v>74</v>
      </c>
      <c r="J26" s="182" t="s">
        <v>75</v>
      </c>
      <c r="K26" s="187">
        <v>45686</v>
      </c>
      <c r="L26" s="188" t="s">
        <v>264</v>
      </c>
      <c r="M26" s="188" t="s">
        <v>265</v>
      </c>
      <c r="N26" s="199" t="s">
        <v>266</v>
      </c>
      <c r="O26" s="189">
        <v>15</v>
      </c>
      <c r="P26" s="182" t="s">
        <v>22</v>
      </c>
      <c r="Q26" s="182" t="s">
        <v>74</v>
      </c>
      <c r="R26" s="190"/>
      <c r="S26" s="185" t="str">
        <f t="shared" si="2"/>
        <v>001-500-000070452</v>
      </c>
      <c r="T26" s="191">
        <v>101132116</v>
      </c>
      <c r="U26" s="192" t="s">
        <v>267</v>
      </c>
    </row>
    <row r="27" spans="1:21" ht="32.25" customHeight="1">
      <c r="A27">
        <v>22</v>
      </c>
      <c r="B27" s="186">
        <v>45684</v>
      </c>
      <c r="C27" s="185" t="s">
        <v>96</v>
      </c>
      <c r="D27" s="185" t="s">
        <v>259</v>
      </c>
      <c r="E27" s="182">
        <v>111030002</v>
      </c>
      <c r="F27" s="185" t="s">
        <v>268</v>
      </c>
      <c r="G27" s="185" t="s">
        <v>262</v>
      </c>
      <c r="H27" s="182" t="s">
        <v>42</v>
      </c>
      <c r="I27" s="182" t="s">
        <v>74</v>
      </c>
      <c r="J27" s="182" t="s">
        <v>75</v>
      </c>
      <c r="K27" s="187">
        <v>45686</v>
      </c>
      <c r="L27" s="188" t="s">
        <v>264</v>
      </c>
      <c r="M27" s="188" t="s">
        <v>265</v>
      </c>
      <c r="N27" s="199" t="s">
        <v>266</v>
      </c>
      <c r="O27" s="189">
        <v>15</v>
      </c>
      <c r="P27" s="182" t="s">
        <v>22</v>
      </c>
      <c r="Q27" s="182" t="s">
        <v>74</v>
      </c>
      <c r="R27" s="190"/>
      <c r="S27" s="185" t="str">
        <f t="shared" si="2"/>
        <v>001-500-000070452</v>
      </c>
      <c r="T27" s="191">
        <v>101132116</v>
      </c>
      <c r="U27" s="192" t="s">
        <v>267</v>
      </c>
    </row>
    <row r="28" spans="1:21" ht="32.25" customHeight="1">
      <c r="A28">
        <v>23</v>
      </c>
      <c r="B28" s="186">
        <v>45684</v>
      </c>
      <c r="C28" s="185" t="s">
        <v>96</v>
      </c>
      <c r="D28" s="185" t="s">
        <v>259</v>
      </c>
      <c r="E28" s="182">
        <v>113610001</v>
      </c>
      <c r="F28" s="185" t="s">
        <v>269</v>
      </c>
      <c r="G28" s="185" t="s">
        <v>263</v>
      </c>
      <c r="H28" s="182" t="s">
        <v>42</v>
      </c>
      <c r="I28" s="182" t="s">
        <v>74</v>
      </c>
      <c r="J28" s="182" t="s">
        <v>75</v>
      </c>
      <c r="K28" s="187">
        <v>45686</v>
      </c>
      <c r="L28" s="188" t="s">
        <v>264</v>
      </c>
      <c r="M28" s="188" t="s">
        <v>265</v>
      </c>
      <c r="N28" s="199" t="s">
        <v>266</v>
      </c>
      <c r="O28" s="189">
        <v>15</v>
      </c>
      <c r="P28" s="182" t="s">
        <v>22</v>
      </c>
      <c r="Q28" s="182" t="s">
        <v>74</v>
      </c>
      <c r="R28" s="190"/>
      <c r="S28" s="185" t="str">
        <f t="shared" si="2"/>
        <v>001-500-000070452</v>
      </c>
      <c r="T28" s="191">
        <v>101132116</v>
      </c>
      <c r="U28" s="192" t="s">
        <v>267</v>
      </c>
    </row>
    <row r="29" spans="1:21" ht="32.25" customHeight="1">
      <c r="A29">
        <v>24</v>
      </c>
      <c r="B29" s="186">
        <v>45626</v>
      </c>
      <c r="C29" s="185" t="s">
        <v>96</v>
      </c>
      <c r="D29" s="185" t="s">
        <v>270</v>
      </c>
      <c r="E29" s="182">
        <v>111000078</v>
      </c>
      <c r="F29" s="185" t="s">
        <v>271</v>
      </c>
      <c r="G29" s="185" t="s">
        <v>273</v>
      </c>
      <c r="H29" s="182" t="s">
        <v>42</v>
      </c>
      <c r="I29" s="182" t="s">
        <v>74</v>
      </c>
      <c r="J29" s="182" t="s">
        <v>75</v>
      </c>
      <c r="K29" s="187">
        <v>45688</v>
      </c>
      <c r="L29" s="188" t="s">
        <v>276</v>
      </c>
      <c r="M29" s="188" t="s">
        <v>277</v>
      </c>
      <c r="N29" s="199" t="s">
        <v>278</v>
      </c>
      <c r="O29" s="189">
        <v>15</v>
      </c>
      <c r="P29" s="182" t="s">
        <v>22</v>
      </c>
      <c r="Q29" s="182" t="s">
        <v>74</v>
      </c>
      <c r="R29" s="190"/>
      <c r="S29" s="185" t="str">
        <f t="shared" si="2"/>
        <v>001-500-000068660</v>
      </c>
      <c r="T29" s="191">
        <v>301728549</v>
      </c>
      <c r="U29" s="192" t="s">
        <v>279</v>
      </c>
    </row>
    <row r="30" spans="1:21" ht="32.25" customHeight="1">
      <c r="A30">
        <v>25</v>
      </c>
      <c r="B30" s="186">
        <v>45626</v>
      </c>
      <c r="C30" s="185" t="s">
        <v>96</v>
      </c>
      <c r="D30" s="185" t="s">
        <v>270</v>
      </c>
      <c r="E30" s="182">
        <v>112580027</v>
      </c>
      <c r="F30" s="185" t="s">
        <v>272</v>
      </c>
      <c r="G30" s="185" t="s">
        <v>274</v>
      </c>
      <c r="H30" s="182" t="s">
        <v>42</v>
      </c>
      <c r="I30" s="182" t="s">
        <v>74</v>
      </c>
      <c r="J30" s="182" t="s">
        <v>75</v>
      </c>
      <c r="K30" s="187">
        <v>45688</v>
      </c>
      <c r="L30" s="188" t="s">
        <v>276</v>
      </c>
      <c r="M30" s="188" t="s">
        <v>277</v>
      </c>
      <c r="N30" s="199" t="s">
        <v>278</v>
      </c>
      <c r="O30" s="189">
        <v>15</v>
      </c>
      <c r="P30" s="182" t="s">
        <v>22</v>
      </c>
      <c r="Q30" s="182" t="s">
        <v>74</v>
      </c>
      <c r="R30" s="190"/>
      <c r="S30" s="185" t="str">
        <f t="shared" ref="S30:S31" si="3">D30</f>
        <v>001-500-000068660</v>
      </c>
      <c r="T30" s="191">
        <v>301728549</v>
      </c>
      <c r="U30" s="192" t="s">
        <v>279</v>
      </c>
    </row>
    <row r="31" spans="1:21" ht="32.25" customHeight="1">
      <c r="A31">
        <v>26</v>
      </c>
      <c r="B31" s="186">
        <v>45626</v>
      </c>
      <c r="C31" s="185" t="s">
        <v>96</v>
      </c>
      <c r="D31" s="185" t="s">
        <v>270</v>
      </c>
      <c r="E31" s="182">
        <v>40446712</v>
      </c>
      <c r="F31" s="185" t="s">
        <v>244</v>
      </c>
      <c r="G31" s="185" t="s">
        <v>275</v>
      </c>
      <c r="H31" s="182" t="s">
        <v>42</v>
      </c>
      <c r="I31" s="182" t="s">
        <v>74</v>
      </c>
      <c r="J31" s="182" t="s">
        <v>75</v>
      </c>
      <c r="K31" s="187">
        <v>45688</v>
      </c>
      <c r="L31" s="188" t="s">
        <v>276</v>
      </c>
      <c r="M31" s="188" t="s">
        <v>277</v>
      </c>
      <c r="N31" s="199" t="s">
        <v>278</v>
      </c>
      <c r="O31" s="189">
        <v>15</v>
      </c>
      <c r="P31" s="182" t="s">
        <v>22</v>
      </c>
      <c r="Q31" s="182" t="s">
        <v>74</v>
      </c>
      <c r="R31" s="190"/>
      <c r="S31" s="185" t="str">
        <f t="shared" si="3"/>
        <v>001-500-000068660</v>
      </c>
      <c r="T31" s="191">
        <v>301728549</v>
      </c>
      <c r="U31" s="192" t="s">
        <v>279</v>
      </c>
    </row>
    <row r="32" spans="1:21" ht="32.25" customHeight="1">
      <c r="A32">
        <v>27</v>
      </c>
      <c r="B32" s="186">
        <v>45653</v>
      </c>
      <c r="C32" s="185" t="s">
        <v>96</v>
      </c>
      <c r="D32" s="185" t="s">
        <v>280</v>
      </c>
      <c r="E32" s="182">
        <v>112950011</v>
      </c>
      <c r="F32" s="185" t="s">
        <v>233</v>
      </c>
      <c r="G32" s="185" t="s">
        <v>281</v>
      </c>
      <c r="H32" s="182" t="s">
        <v>42</v>
      </c>
      <c r="I32" s="182" t="s">
        <v>74</v>
      </c>
      <c r="J32" s="182" t="s">
        <v>75</v>
      </c>
      <c r="K32" s="187">
        <v>45693</v>
      </c>
      <c r="L32" s="188" t="s">
        <v>283</v>
      </c>
      <c r="M32" s="188" t="s">
        <v>284</v>
      </c>
      <c r="N32" s="199" t="s">
        <v>285</v>
      </c>
      <c r="O32" s="189">
        <v>20</v>
      </c>
      <c r="P32" s="182" t="s">
        <v>22</v>
      </c>
      <c r="Q32" s="182" t="s">
        <v>74</v>
      </c>
      <c r="R32" s="190"/>
      <c r="S32" s="185" t="str">
        <f t="shared" ref="S32:S34" si="4">D32</f>
        <v>001-500-000069604</v>
      </c>
      <c r="T32" s="191">
        <v>301724936</v>
      </c>
      <c r="U32" s="192" t="s">
        <v>286</v>
      </c>
    </row>
    <row r="33" spans="1:21" ht="32.25" customHeight="1">
      <c r="A33">
        <v>28</v>
      </c>
      <c r="B33" s="186">
        <v>45653</v>
      </c>
      <c r="C33" s="185" t="s">
        <v>96</v>
      </c>
      <c r="D33" s="185" t="s">
        <v>280</v>
      </c>
      <c r="E33" s="182">
        <v>112580058</v>
      </c>
      <c r="F33" s="185" t="s">
        <v>153</v>
      </c>
      <c r="G33" s="185" t="s">
        <v>282</v>
      </c>
      <c r="H33" s="182" t="s">
        <v>42</v>
      </c>
      <c r="I33" s="182" t="s">
        <v>74</v>
      </c>
      <c r="J33" s="182" t="s">
        <v>75</v>
      </c>
      <c r="K33" s="187">
        <v>45693</v>
      </c>
      <c r="L33" s="188" t="s">
        <v>283</v>
      </c>
      <c r="M33" s="188" t="s">
        <v>284</v>
      </c>
      <c r="N33" s="199" t="s">
        <v>285</v>
      </c>
      <c r="O33" s="189">
        <v>20</v>
      </c>
      <c r="P33" s="182" t="s">
        <v>22</v>
      </c>
      <c r="Q33" s="182" t="s">
        <v>74</v>
      </c>
      <c r="R33" s="190"/>
      <c r="S33" s="185" t="str">
        <f t="shared" si="4"/>
        <v>001-500-000069604</v>
      </c>
      <c r="T33" s="191">
        <v>301724936</v>
      </c>
      <c r="U33" s="192" t="s">
        <v>286</v>
      </c>
    </row>
    <row r="34" spans="1:21" ht="32.25" customHeight="1">
      <c r="A34">
        <v>29</v>
      </c>
      <c r="B34" s="186">
        <v>45460</v>
      </c>
      <c r="C34" s="185" t="s">
        <v>87</v>
      </c>
      <c r="D34" s="185" t="s">
        <v>395</v>
      </c>
      <c r="E34" s="182">
        <v>111010028</v>
      </c>
      <c r="F34" s="185" t="s">
        <v>396</v>
      </c>
      <c r="G34" s="185" t="s">
        <v>399</v>
      </c>
      <c r="H34" s="182" t="s">
        <v>42</v>
      </c>
      <c r="I34" s="182" t="s">
        <v>74</v>
      </c>
      <c r="J34" s="182" t="s">
        <v>75</v>
      </c>
      <c r="K34" s="187">
        <v>45695</v>
      </c>
      <c r="L34" s="188" t="s">
        <v>403</v>
      </c>
      <c r="M34" s="188" t="s">
        <v>359</v>
      </c>
      <c r="N34" s="185">
        <v>999859200</v>
      </c>
      <c r="O34" s="189">
        <v>15</v>
      </c>
      <c r="P34" s="182" t="s">
        <v>22</v>
      </c>
      <c r="Q34" s="182" t="s">
        <v>74</v>
      </c>
      <c r="R34" s="190"/>
      <c r="S34" s="185" t="str">
        <f t="shared" si="4"/>
        <v>043-904-000026432</v>
      </c>
      <c r="T34" s="191">
        <v>104256664</v>
      </c>
      <c r="U34" s="192" t="s">
        <v>404</v>
      </c>
    </row>
    <row r="35" spans="1:21" ht="32.25" customHeight="1">
      <c r="A35">
        <v>30</v>
      </c>
      <c r="B35" s="186">
        <v>45460</v>
      </c>
      <c r="C35" s="185" t="s">
        <v>87</v>
      </c>
      <c r="D35" s="185" t="s">
        <v>395</v>
      </c>
      <c r="E35" s="182">
        <v>40584012</v>
      </c>
      <c r="F35" s="185" t="s">
        <v>397</v>
      </c>
      <c r="G35" s="185" t="s">
        <v>400</v>
      </c>
      <c r="H35" s="182" t="s">
        <v>42</v>
      </c>
      <c r="I35" s="182" t="s">
        <v>74</v>
      </c>
      <c r="J35" s="182" t="s">
        <v>75</v>
      </c>
      <c r="K35" s="187">
        <v>45695</v>
      </c>
      <c r="L35" s="188" t="s">
        <v>403</v>
      </c>
      <c r="M35" s="188" t="s">
        <v>359</v>
      </c>
      <c r="N35" s="185">
        <v>999859200</v>
      </c>
      <c r="O35" s="189">
        <v>15</v>
      </c>
      <c r="P35" s="182" t="s">
        <v>22</v>
      </c>
      <c r="Q35" s="182" t="s">
        <v>74</v>
      </c>
      <c r="R35" s="190"/>
      <c r="S35" s="185" t="str">
        <f t="shared" ref="S35:S47" si="5">D35</f>
        <v>043-904-000026432</v>
      </c>
      <c r="T35" s="191">
        <v>104256664</v>
      </c>
      <c r="U35" s="192" t="s">
        <v>404</v>
      </c>
    </row>
    <row r="36" spans="1:21" ht="32.25" customHeight="1">
      <c r="A36">
        <v>31</v>
      </c>
      <c r="B36" s="186">
        <v>45460</v>
      </c>
      <c r="C36" s="185" t="s">
        <v>87</v>
      </c>
      <c r="D36" s="185" t="s">
        <v>395</v>
      </c>
      <c r="E36" s="182">
        <v>112570068</v>
      </c>
      <c r="F36" s="185" t="s">
        <v>193</v>
      </c>
      <c r="G36" s="185" t="s">
        <v>401</v>
      </c>
      <c r="H36" s="182" t="s">
        <v>42</v>
      </c>
      <c r="I36" s="182" t="s">
        <v>74</v>
      </c>
      <c r="J36" s="182" t="s">
        <v>75</v>
      </c>
      <c r="K36" s="187">
        <v>45695</v>
      </c>
      <c r="L36" s="188" t="s">
        <v>403</v>
      </c>
      <c r="M36" s="188" t="s">
        <v>359</v>
      </c>
      <c r="N36" s="185">
        <v>999859200</v>
      </c>
      <c r="O36" s="189">
        <v>15</v>
      </c>
      <c r="P36" s="182" t="s">
        <v>22</v>
      </c>
      <c r="Q36" s="182" t="s">
        <v>74</v>
      </c>
      <c r="R36" s="190"/>
      <c r="S36" s="185" t="str">
        <f t="shared" si="5"/>
        <v>043-904-000026432</v>
      </c>
      <c r="T36" s="191">
        <v>104256664</v>
      </c>
      <c r="U36" s="192" t="s">
        <v>404</v>
      </c>
    </row>
    <row r="37" spans="1:21" ht="32.25" customHeight="1">
      <c r="A37">
        <v>32</v>
      </c>
      <c r="B37" s="186">
        <v>45460</v>
      </c>
      <c r="C37" s="185" t="s">
        <v>87</v>
      </c>
      <c r="D37" s="185" t="s">
        <v>395</v>
      </c>
      <c r="E37" s="182">
        <v>430197255</v>
      </c>
      <c r="F37" s="185" t="s">
        <v>398</v>
      </c>
      <c r="G37" s="185" t="s">
        <v>402</v>
      </c>
      <c r="H37" s="182" t="s">
        <v>42</v>
      </c>
      <c r="I37" s="182" t="s">
        <v>74</v>
      </c>
      <c r="J37" s="182" t="s">
        <v>75</v>
      </c>
      <c r="K37" s="187">
        <v>45695</v>
      </c>
      <c r="L37" s="188" t="s">
        <v>403</v>
      </c>
      <c r="M37" s="188" t="s">
        <v>359</v>
      </c>
      <c r="N37" s="185">
        <v>999859200</v>
      </c>
      <c r="O37" s="189">
        <v>15</v>
      </c>
      <c r="P37" s="182" t="s">
        <v>22</v>
      </c>
      <c r="Q37" s="182" t="s">
        <v>74</v>
      </c>
      <c r="R37" s="190"/>
      <c r="S37" s="185" t="str">
        <f t="shared" si="5"/>
        <v>043-904-000026432</v>
      </c>
      <c r="T37" s="191">
        <v>104256664</v>
      </c>
      <c r="U37" s="192" t="s">
        <v>404</v>
      </c>
    </row>
    <row r="38" spans="1:21" ht="32.25" customHeight="1">
      <c r="A38">
        <v>33</v>
      </c>
      <c r="B38" s="186">
        <v>45682</v>
      </c>
      <c r="C38" s="185" t="s">
        <v>96</v>
      </c>
      <c r="D38" s="185" t="s">
        <v>405</v>
      </c>
      <c r="E38" s="182">
        <v>112580058</v>
      </c>
      <c r="F38" s="185" t="s">
        <v>153</v>
      </c>
      <c r="G38" s="185" t="s">
        <v>406</v>
      </c>
      <c r="H38" s="182" t="s">
        <v>42</v>
      </c>
      <c r="I38" s="182" t="s">
        <v>74</v>
      </c>
      <c r="J38" s="182" t="s">
        <v>75</v>
      </c>
      <c r="K38" s="187">
        <v>45695</v>
      </c>
      <c r="L38" s="188" t="s">
        <v>408</v>
      </c>
      <c r="M38" s="188" t="s">
        <v>409</v>
      </c>
      <c r="N38" s="185">
        <v>987840123</v>
      </c>
      <c r="O38" s="189">
        <v>20</v>
      </c>
      <c r="P38" s="182" t="s">
        <v>22</v>
      </c>
      <c r="Q38" s="182" t="s">
        <v>74</v>
      </c>
      <c r="R38" s="190"/>
      <c r="S38" s="185" t="str">
        <f t="shared" si="5"/>
        <v>001-500-000070416</v>
      </c>
      <c r="T38" s="191">
        <v>105082838</v>
      </c>
      <c r="U38" s="192" t="s">
        <v>446</v>
      </c>
    </row>
    <row r="39" spans="1:21" ht="32.25" customHeight="1">
      <c r="A39">
        <v>34</v>
      </c>
      <c r="B39" s="186">
        <v>45682</v>
      </c>
      <c r="C39" s="185" t="s">
        <v>96</v>
      </c>
      <c r="D39" s="185" t="s">
        <v>405</v>
      </c>
      <c r="E39" s="182">
        <v>40466111</v>
      </c>
      <c r="F39" s="185" t="s">
        <v>226</v>
      </c>
      <c r="G39" s="185" t="s">
        <v>407</v>
      </c>
      <c r="H39" s="182" t="s">
        <v>42</v>
      </c>
      <c r="I39" s="182" t="s">
        <v>74</v>
      </c>
      <c r="J39" s="182" t="s">
        <v>75</v>
      </c>
      <c r="K39" s="187">
        <v>45695</v>
      </c>
      <c r="L39" s="188" t="s">
        <v>408</v>
      </c>
      <c r="M39" s="188" t="s">
        <v>409</v>
      </c>
      <c r="N39" s="185">
        <v>987840123</v>
      </c>
      <c r="O39" s="189">
        <v>20</v>
      </c>
      <c r="P39" s="182" t="s">
        <v>22</v>
      </c>
      <c r="Q39" s="182" t="s">
        <v>74</v>
      </c>
      <c r="R39" s="190"/>
      <c r="S39" s="185" t="str">
        <f t="shared" si="5"/>
        <v>001-500-000070416</v>
      </c>
      <c r="T39" s="191">
        <v>105082838</v>
      </c>
      <c r="U39" s="192" t="s">
        <v>446</v>
      </c>
    </row>
    <row r="40" spans="1:21" ht="32.25" customHeight="1">
      <c r="A40">
        <v>35</v>
      </c>
      <c r="B40" s="186">
        <v>45594</v>
      </c>
      <c r="C40" s="185" t="s">
        <v>173</v>
      </c>
      <c r="D40" s="185" t="s">
        <v>287</v>
      </c>
      <c r="E40" s="182">
        <v>112930048</v>
      </c>
      <c r="F40" s="185" t="s">
        <v>288</v>
      </c>
      <c r="G40" s="185" t="s">
        <v>292</v>
      </c>
      <c r="H40" s="182" t="s">
        <v>42</v>
      </c>
      <c r="I40" s="182" t="s">
        <v>74</v>
      </c>
      <c r="J40" s="182" t="s">
        <v>75</v>
      </c>
      <c r="K40" s="187">
        <v>45696</v>
      </c>
      <c r="L40" s="188" t="s">
        <v>297</v>
      </c>
      <c r="M40" s="188" t="s">
        <v>284</v>
      </c>
      <c r="N40" s="199" t="s">
        <v>298</v>
      </c>
      <c r="O40" s="189">
        <v>15</v>
      </c>
      <c r="P40" s="182" t="s">
        <v>22</v>
      </c>
      <c r="Q40" s="182" t="s">
        <v>74</v>
      </c>
      <c r="R40" s="190"/>
      <c r="S40" s="185" t="str">
        <f t="shared" si="5"/>
        <v>006-0001589946</v>
      </c>
      <c r="T40" s="191">
        <v>302605373</v>
      </c>
      <c r="U40" s="192" t="s">
        <v>299</v>
      </c>
    </row>
    <row r="41" spans="1:21" ht="32.25" customHeight="1">
      <c r="A41">
        <v>36</v>
      </c>
      <c r="B41" s="186">
        <v>45594</v>
      </c>
      <c r="C41" s="185" t="s">
        <v>173</v>
      </c>
      <c r="D41" s="185" t="s">
        <v>287</v>
      </c>
      <c r="E41" s="182">
        <v>112580027</v>
      </c>
      <c r="F41" s="185" t="s">
        <v>272</v>
      </c>
      <c r="G41" s="185" t="s">
        <v>293</v>
      </c>
      <c r="H41" s="182" t="s">
        <v>42</v>
      </c>
      <c r="I41" s="182" t="s">
        <v>74</v>
      </c>
      <c r="J41" s="182" t="s">
        <v>75</v>
      </c>
      <c r="K41" s="187">
        <v>45696</v>
      </c>
      <c r="L41" s="188" t="s">
        <v>297</v>
      </c>
      <c r="M41" s="188" t="s">
        <v>284</v>
      </c>
      <c r="N41" s="199" t="s">
        <v>298</v>
      </c>
      <c r="O41" s="189">
        <v>15</v>
      </c>
      <c r="P41" s="182" t="s">
        <v>22</v>
      </c>
      <c r="Q41" s="182" t="s">
        <v>74</v>
      </c>
      <c r="R41" s="190"/>
      <c r="S41" s="185" t="str">
        <f t="shared" si="5"/>
        <v>006-0001589946</v>
      </c>
      <c r="T41" s="191">
        <v>302605373</v>
      </c>
      <c r="U41" s="192" t="s">
        <v>299</v>
      </c>
    </row>
    <row r="42" spans="1:21" ht="32.25" customHeight="1">
      <c r="A42">
        <v>37</v>
      </c>
      <c r="B42" s="186">
        <v>45594</v>
      </c>
      <c r="C42" s="185" t="s">
        <v>173</v>
      </c>
      <c r="D42" s="185" t="s">
        <v>287</v>
      </c>
      <c r="E42" s="182">
        <v>40584305</v>
      </c>
      <c r="F42" s="185" t="s">
        <v>289</v>
      </c>
      <c r="G42" s="185" t="s">
        <v>294</v>
      </c>
      <c r="H42" s="182" t="s">
        <v>42</v>
      </c>
      <c r="I42" s="182" t="s">
        <v>74</v>
      </c>
      <c r="J42" s="182" t="s">
        <v>75</v>
      </c>
      <c r="K42" s="187">
        <v>45696</v>
      </c>
      <c r="L42" s="188" t="s">
        <v>297</v>
      </c>
      <c r="M42" s="188" t="s">
        <v>284</v>
      </c>
      <c r="N42" s="199" t="s">
        <v>298</v>
      </c>
      <c r="O42" s="189">
        <v>15</v>
      </c>
      <c r="P42" s="182" t="s">
        <v>22</v>
      </c>
      <c r="Q42" s="182" t="s">
        <v>74</v>
      </c>
      <c r="R42" s="190"/>
      <c r="S42" s="185" t="str">
        <f t="shared" si="5"/>
        <v>006-0001589946</v>
      </c>
      <c r="T42" s="191">
        <v>302605373</v>
      </c>
      <c r="U42" s="192" t="s">
        <v>299</v>
      </c>
    </row>
    <row r="43" spans="1:21" ht="32.25" customHeight="1">
      <c r="A43">
        <v>38</v>
      </c>
      <c r="B43" s="186">
        <v>45594</v>
      </c>
      <c r="C43" s="185" t="s">
        <v>173</v>
      </c>
      <c r="D43" s="185" t="s">
        <v>287</v>
      </c>
      <c r="E43" s="182">
        <v>41560166</v>
      </c>
      <c r="F43" s="185" t="s">
        <v>290</v>
      </c>
      <c r="G43" s="185" t="s">
        <v>295</v>
      </c>
      <c r="H43" s="182" t="s">
        <v>42</v>
      </c>
      <c r="I43" s="182" t="s">
        <v>74</v>
      </c>
      <c r="J43" s="182" t="s">
        <v>75</v>
      </c>
      <c r="K43" s="187">
        <v>45696</v>
      </c>
      <c r="L43" s="188" t="s">
        <v>297</v>
      </c>
      <c r="M43" s="188" t="s">
        <v>284</v>
      </c>
      <c r="N43" s="199" t="s">
        <v>298</v>
      </c>
      <c r="O43" s="189">
        <v>15</v>
      </c>
      <c r="P43" s="182" t="s">
        <v>22</v>
      </c>
      <c r="Q43" s="182" t="s">
        <v>74</v>
      </c>
      <c r="R43" s="190"/>
      <c r="S43" s="185" t="str">
        <f t="shared" si="5"/>
        <v>006-0001589946</v>
      </c>
      <c r="T43" s="191">
        <v>302605373</v>
      </c>
      <c r="U43" s="192" t="s">
        <v>299</v>
      </c>
    </row>
    <row r="44" spans="1:21" ht="32.25" customHeight="1">
      <c r="A44">
        <v>39</v>
      </c>
      <c r="B44" s="244">
        <v>45594</v>
      </c>
      <c r="C44" s="245" t="s">
        <v>173</v>
      </c>
      <c r="D44" s="245" t="s">
        <v>287</v>
      </c>
      <c r="E44" s="246">
        <v>113430051</v>
      </c>
      <c r="F44" s="245" t="s">
        <v>291</v>
      </c>
      <c r="G44" s="245" t="s">
        <v>296</v>
      </c>
      <c r="H44" s="246" t="s">
        <v>42</v>
      </c>
      <c r="I44" s="246" t="s">
        <v>74</v>
      </c>
      <c r="J44" s="246" t="s">
        <v>75</v>
      </c>
      <c r="K44" s="247">
        <v>45696</v>
      </c>
      <c r="L44" s="248" t="s">
        <v>297</v>
      </c>
      <c r="M44" s="248" t="s">
        <v>284</v>
      </c>
      <c r="N44" s="249" t="s">
        <v>298</v>
      </c>
      <c r="O44" s="250">
        <v>15</v>
      </c>
      <c r="P44" s="246" t="s">
        <v>22</v>
      </c>
      <c r="Q44" s="246" t="s">
        <v>74</v>
      </c>
      <c r="R44" s="251"/>
      <c r="S44" s="245" t="str">
        <f t="shared" si="5"/>
        <v>006-0001589946</v>
      </c>
      <c r="T44" s="252">
        <v>302605373</v>
      </c>
      <c r="U44" s="253" t="s">
        <v>299</v>
      </c>
    </row>
    <row r="45" spans="1:21" ht="32.25" customHeight="1">
      <c r="A45">
        <v>40</v>
      </c>
      <c r="B45" s="186">
        <v>45625</v>
      </c>
      <c r="C45" s="185" t="s">
        <v>317</v>
      </c>
      <c r="D45" s="185" t="s">
        <v>389</v>
      </c>
      <c r="E45" s="182">
        <v>111000051</v>
      </c>
      <c r="F45" s="185" t="s">
        <v>123</v>
      </c>
      <c r="G45" s="185" t="s">
        <v>447</v>
      </c>
      <c r="H45" s="182" t="s">
        <v>42</v>
      </c>
      <c r="I45" s="182" t="s">
        <v>74</v>
      </c>
      <c r="J45" s="182" t="s">
        <v>75</v>
      </c>
      <c r="K45" s="187">
        <v>45700</v>
      </c>
      <c r="L45" s="188" t="s">
        <v>387</v>
      </c>
      <c r="M45" s="188" t="s">
        <v>448</v>
      </c>
      <c r="N45" s="185">
        <v>985384397</v>
      </c>
      <c r="O45" s="189">
        <v>20</v>
      </c>
      <c r="P45" s="182" t="s">
        <v>22</v>
      </c>
      <c r="Q45" s="182" t="s">
        <v>74</v>
      </c>
      <c r="R45" s="190"/>
      <c r="S45" s="185" t="str">
        <f t="shared" si="5"/>
        <v>040-104-000008328</v>
      </c>
      <c r="T45" s="191">
        <v>103817839</v>
      </c>
      <c r="U45" s="192" t="s">
        <v>449</v>
      </c>
    </row>
    <row r="46" spans="1:21" ht="32.25" customHeight="1">
      <c r="A46">
        <v>41</v>
      </c>
      <c r="B46" s="186">
        <v>45637</v>
      </c>
      <c r="C46" s="185" t="s">
        <v>317</v>
      </c>
      <c r="D46" s="185" t="s">
        <v>450</v>
      </c>
      <c r="E46" s="182">
        <v>113600015</v>
      </c>
      <c r="F46" s="185" t="s">
        <v>191</v>
      </c>
      <c r="G46" s="185" t="s">
        <v>451</v>
      </c>
      <c r="H46" s="182" t="s">
        <v>42</v>
      </c>
      <c r="I46" s="182" t="s">
        <v>74</v>
      </c>
      <c r="J46" s="182" t="s">
        <v>75</v>
      </c>
      <c r="K46" s="187">
        <v>45700</v>
      </c>
      <c r="L46" s="188" t="s">
        <v>387</v>
      </c>
      <c r="M46" s="188" t="s">
        <v>448</v>
      </c>
      <c r="N46" s="185">
        <v>985384397</v>
      </c>
      <c r="O46" s="189">
        <v>20</v>
      </c>
      <c r="P46" s="182" t="s">
        <v>22</v>
      </c>
      <c r="Q46" s="182" t="s">
        <v>74</v>
      </c>
      <c r="R46" s="190"/>
      <c r="S46" s="185" t="str">
        <f t="shared" si="5"/>
        <v>040-104-000008609</v>
      </c>
      <c r="T46" s="191">
        <v>103817839</v>
      </c>
      <c r="U46" s="192" t="s">
        <v>449</v>
      </c>
    </row>
    <row r="47" spans="1:21" ht="32.25" customHeight="1">
      <c r="A47">
        <v>42</v>
      </c>
      <c r="B47" s="186">
        <v>45506</v>
      </c>
      <c r="C47" s="185" t="s">
        <v>96</v>
      </c>
      <c r="D47" s="185" t="s">
        <v>452</v>
      </c>
      <c r="E47" s="182">
        <v>112580058</v>
      </c>
      <c r="F47" s="185" t="s">
        <v>453</v>
      </c>
      <c r="G47" s="185" t="s">
        <v>454</v>
      </c>
      <c r="H47" s="182" t="s">
        <v>42</v>
      </c>
      <c r="I47" s="182" t="s">
        <v>74</v>
      </c>
      <c r="J47" s="182" t="s">
        <v>75</v>
      </c>
      <c r="K47" s="187">
        <v>45700</v>
      </c>
      <c r="L47" s="188" t="s">
        <v>457</v>
      </c>
      <c r="M47" s="188" t="s">
        <v>359</v>
      </c>
      <c r="N47" s="185">
        <v>992569458</v>
      </c>
      <c r="O47" s="189">
        <v>20</v>
      </c>
      <c r="P47" s="182" t="s">
        <v>22</v>
      </c>
      <c r="Q47" s="182" t="s">
        <v>74</v>
      </c>
      <c r="R47" s="190"/>
      <c r="S47" s="185" t="str">
        <f t="shared" si="5"/>
        <v>001-500-000065243</v>
      </c>
      <c r="T47" s="191">
        <v>105622963</v>
      </c>
      <c r="U47" s="192" t="s">
        <v>458</v>
      </c>
    </row>
    <row r="48" spans="1:21" ht="32.25" customHeight="1">
      <c r="A48">
        <v>43</v>
      </c>
      <c r="B48" s="186">
        <v>45506</v>
      </c>
      <c r="C48" s="185" t="s">
        <v>96</v>
      </c>
      <c r="D48" s="185" t="s">
        <v>452</v>
      </c>
      <c r="E48" s="182">
        <v>40467305</v>
      </c>
      <c r="F48" s="185" t="s">
        <v>456</v>
      </c>
      <c r="G48" s="185" t="s">
        <v>455</v>
      </c>
      <c r="H48" s="182" t="s">
        <v>42</v>
      </c>
      <c r="I48" s="182" t="s">
        <v>74</v>
      </c>
      <c r="J48" s="182" t="s">
        <v>75</v>
      </c>
      <c r="K48" s="187">
        <v>45700</v>
      </c>
      <c r="L48" s="188" t="s">
        <v>457</v>
      </c>
      <c r="M48" s="188" t="s">
        <v>359</v>
      </c>
      <c r="N48" s="185">
        <v>992569458</v>
      </c>
      <c r="O48" s="189">
        <v>20</v>
      </c>
      <c r="P48" s="182" t="s">
        <v>22</v>
      </c>
      <c r="Q48" s="182" t="s">
        <v>74</v>
      </c>
      <c r="R48" s="190"/>
      <c r="S48" s="185" t="str">
        <f t="shared" ref="S48:S49" si="6">D48</f>
        <v>001-500-000065243</v>
      </c>
      <c r="T48" s="191">
        <v>105622963</v>
      </c>
      <c r="U48" s="192" t="s">
        <v>459</v>
      </c>
    </row>
    <row r="49" spans="1:21" ht="32.25" customHeight="1">
      <c r="A49">
        <v>44</v>
      </c>
      <c r="B49" s="186">
        <v>45624</v>
      </c>
      <c r="C49" s="185" t="s">
        <v>96</v>
      </c>
      <c r="D49" s="185" t="s">
        <v>466</v>
      </c>
      <c r="E49" s="182">
        <v>112510035</v>
      </c>
      <c r="F49" s="185" t="s">
        <v>467</v>
      </c>
      <c r="G49" s="185" t="s">
        <v>468</v>
      </c>
      <c r="H49" s="182" t="s">
        <v>42</v>
      </c>
      <c r="I49" s="182" t="s">
        <v>74</v>
      </c>
      <c r="J49" s="182" t="s">
        <v>75</v>
      </c>
      <c r="K49" s="187">
        <v>45700</v>
      </c>
      <c r="L49" s="188" t="s">
        <v>470</v>
      </c>
      <c r="M49" s="188" t="s">
        <v>471</v>
      </c>
      <c r="N49" s="185">
        <v>992940210</v>
      </c>
      <c r="O49" s="189">
        <v>20</v>
      </c>
      <c r="P49" s="182" t="s">
        <v>22</v>
      </c>
      <c r="Q49" s="182" t="s">
        <v>74</v>
      </c>
      <c r="R49" s="190"/>
      <c r="S49" s="185" t="str">
        <f t="shared" si="6"/>
        <v>001-500-000068295</v>
      </c>
      <c r="T49" s="238">
        <v>102514866001</v>
      </c>
      <c r="U49" s="192" t="s">
        <v>472</v>
      </c>
    </row>
    <row r="50" spans="1:21" ht="32.25" customHeight="1">
      <c r="A50">
        <v>45</v>
      </c>
      <c r="B50" s="186">
        <v>45624</v>
      </c>
      <c r="C50" s="185" t="s">
        <v>96</v>
      </c>
      <c r="D50" s="185" t="s">
        <v>466</v>
      </c>
      <c r="E50" s="182">
        <v>111010040</v>
      </c>
      <c r="F50" s="185" t="s">
        <v>423</v>
      </c>
      <c r="G50" s="185" t="s">
        <v>469</v>
      </c>
      <c r="H50" s="182" t="s">
        <v>42</v>
      </c>
      <c r="I50" s="182" t="s">
        <v>74</v>
      </c>
      <c r="J50" s="182" t="s">
        <v>75</v>
      </c>
      <c r="K50" s="187">
        <v>45700</v>
      </c>
      <c r="L50" s="188" t="s">
        <v>470</v>
      </c>
      <c r="M50" s="188" t="s">
        <v>471</v>
      </c>
      <c r="N50" s="185">
        <v>992940210</v>
      </c>
      <c r="O50" s="189">
        <v>20</v>
      </c>
      <c r="P50" s="182" t="s">
        <v>22</v>
      </c>
      <c r="Q50" s="182" t="s">
        <v>74</v>
      </c>
      <c r="R50" s="190"/>
      <c r="S50" s="185" t="str">
        <f t="shared" ref="S50:S51" si="7">D50</f>
        <v>001-500-000068295</v>
      </c>
      <c r="T50" s="238">
        <v>102514866001</v>
      </c>
      <c r="U50" s="192" t="s">
        <v>472</v>
      </c>
    </row>
    <row r="51" spans="1:21" ht="32.25" customHeight="1">
      <c r="A51">
        <v>46</v>
      </c>
      <c r="B51" s="186">
        <v>45672</v>
      </c>
      <c r="C51" s="185" t="s">
        <v>121</v>
      </c>
      <c r="D51" s="185" t="s">
        <v>503</v>
      </c>
      <c r="E51" s="182">
        <v>40584202</v>
      </c>
      <c r="F51" s="185" t="s">
        <v>491</v>
      </c>
      <c r="G51" s="185" t="s">
        <v>495</v>
      </c>
      <c r="H51" s="182" t="s">
        <v>42</v>
      </c>
      <c r="I51" s="182" t="s">
        <v>74</v>
      </c>
      <c r="J51" s="182" t="s">
        <v>75</v>
      </c>
      <c r="K51" s="187">
        <v>45702</v>
      </c>
      <c r="L51" s="188" t="s">
        <v>502</v>
      </c>
      <c r="M51" s="188" t="s">
        <v>499</v>
      </c>
      <c r="N51" s="185">
        <v>998100871</v>
      </c>
      <c r="O51" s="189">
        <v>15</v>
      </c>
      <c r="P51" s="182" t="s">
        <v>22</v>
      </c>
      <c r="Q51" s="182" t="s">
        <v>74</v>
      </c>
      <c r="R51" s="190"/>
      <c r="S51" s="185" t="str">
        <f t="shared" si="7"/>
        <v>001-001-000000521</v>
      </c>
      <c r="T51" s="238" t="s">
        <v>500</v>
      </c>
      <c r="U51" s="192" t="s">
        <v>501</v>
      </c>
    </row>
    <row r="52" spans="1:21" ht="32.25" customHeight="1">
      <c r="A52">
        <v>47</v>
      </c>
      <c r="B52" s="186">
        <v>45672</v>
      </c>
      <c r="C52" s="185" t="s">
        <v>121</v>
      </c>
      <c r="D52" s="185" t="s">
        <v>503</v>
      </c>
      <c r="E52" s="182">
        <v>40782128</v>
      </c>
      <c r="F52" s="185" t="s">
        <v>492</v>
      </c>
      <c r="G52" s="185" t="s">
        <v>496</v>
      </c>
      <c r="H52" s="182" t="s">
        <v>42</v>
      </c>
      <c r="I52" s="182" t="s">
        <v>74</v>
      </c>
      <c r="J52" s="182" t="s">
        <v>75</v>
      </c>
      <c r="K52" s="187">
        <v>45702</v>
      </c>
      <c r="L52" s="188" t="s">
        <v>502</v>
      </c>
      <c r="M52" s="188" t="s">
        <v>499</v>
      </c>
      <c r="N52" s="185">
        <v>998100871</v>
      </c>
      <c r="O52" s="189">
        <v>15</v>
      </c>
      <c r="P52" s="182" t="s">
        <v>22</v>
      </c>
      <c r="Q52" s="182" t="s">
        <v>74</v>
      </c>
      <c r="R52" s="190"/>
      <c r="S52" s="185" t="str">
        <f t="shared" ref="S52:S55" si="8">D52</f>
        <v>001-001-000000521</v>
      </c>
      <c r="T52" s="238" t="s">
        <v>500</v>
      </c>
      <c r="U52" s="192" t="s">
        <v>501</v>
      </c>
    </row>
    <row r="53" spans="1:21" ht="32.25" customHeight="1">
      <c r="A53">
        <v>48</v>
      </c>
      <c r="B53" s="186">
        <v>45672</v>
      </c>
      <c r="C53" s="185" t="s">
        <v>121</v>
      </c>
      <c r="D53" s="185" t="s">
        <v>503</v>
      </c>
      <c r="E53" s="182">
        <v>111020071</v>
      </c>
      <c r="F53" s="185" t="s">
        <v>493</v>
      </c>
      <c r="G53" s="185" t="s">
        <v>497</v>
      </c>
      <c r="H53" s="182" t="s">
        <v>42</v>
      </c>
      <c r="I53" s="182" t="s">
        <v>74</v>
      </c>
      <c r="J53" s="182" t="s">
        <v>75</v>
      </c>
      <c r="K53" s="187">
        <v>45702</v>
      </c>
      <c r="L53" s="188" t="s">
        <v>502</v>
      </c>
      <c r="M53" s="188" t="s">
        <v>499</v>
      </c>
      <c r="N53" s="185">
        <v>998100871</v>
      </c>
      <c r="O53" s="189">
        <v>15</v>
      </c>
      <c r="P53" s="182" t="s">
        <v>22</v>
      </c>
      <c r="Q53" s="182" t="s">
        <v>74</v>
      </c>
      <c r="R53" s="190"/>
      <c r="S53" s="185" t="str">
        <f t="shared" si="8"/>
        <v>001-001-000000521</v>
      </c>
      <c r="T53" s="238" t="s">
        <v>500</v>
      </c>
      <c r="U53" s="192" t="s">
        <v>501</v>
      </c>
    </row>
    <row r="54" spans="1:21" ht="32.25" customHeight="1">
      <c r="A54">
        <v>49</v>
      </c>
      <c r="B54" s="186">
        <v>45672</v>
      </c>
      <c r="C54" s="185" t="s">
        <v>121</v>
      </c>
      <c r="D54" s="185" t="s">
        <v>490</v>
      </c>
      <c r="E54" s="182">
        <v>112570073</v>
      </c>
      <c r="F54" s="185" t="s">
        <v>494</v>
      </c>
      <c r="G54" s="185" t="s">
        <v>498</v>
      </c>
      <c r="H54" s="182" t="s">
        <v>42</v>
      </c>
      <c r="I54" s="182" t="s">
        <v>74</v>
      </c>
      <c r="J54" s="182" t="s">
        <v>75</v>
      </c>
      <c r="K54" s="187">
        <v>45702</v>
      </c>
      <c r="L54" s="188" t="s">
        <v>502</v>
      </c>
      <c r="M54" s="188" t="s">
        <v>499</v>
      </c>
      <c r="N54" s="185">
        <v>998100871</v>
      </c>
      <c r="O54" s="189">
        <v>15</v>
      </c>
      <c r="P54" s="182" t="s">
        <v>22</v>
      </c>
      <c r="Q54" s="182" t="s">
        <v>74</v>
      </c>
      <c r="R54" s="190"/>
      <c r="S54" s="185" t="str">
        <f t="shared" si="8"/>
        <v>001-001-000000522</v>
      </c>
      <c r="T54" s="238" t="s">
        <v>500</v>
      </c>
      <c r="U54" s="192" t="s">
        <v>501</v>
      </c>
    </row>
    <row r="55" spans="1:21" ht="32.25" customHeight="1">
      <c r="A55">
        <v>50</v>
      </c>
      <c r="B55" s="186">
        <v>45674</v>
      </c>
      <c r="C55" s="185" t="s">
        <v>96</v>
      </c>
      <c r="D55" s="185" t="s">
        <v>504</v>
      </c>
      <c r="E55" s="182">
        <v>112610067</v>
      </c>
      <c r="F55" s="185" t="s">
        <v>505</v>
      </c>
      <c r="G55" s="185" t="s">
        <v>508</v>
      </c>
      <c r="H55" s="182" t="s">
        <v>42</v>
      </c>
      <c r="I55" s="182" t="s">
        <v>74</v>
      </c>
      <c r="J55" s="182" t="s">
        <v>75</v>
      </c>
      <c r="K55" s="187">
        <v>45702</v>
      </c>
      <c r="L55" s="188" t="s">
        <v>512</v>
      </c>
      <c r="M55" s="188" t="s">
        <v>513</v>
      </c>
      <c r="N55" s="185">
        <v>995373670</v>
      </c>
      <c r="O55" s="189">
        <v>15</v>
      </c>
      <c r="P55" s="182" t="s">
        <v>22</v>
      </c>
      <c r="Q55" s="182" t="s">
        <v>74</v>
      </c>
      <c r="R55" s="190"/>
      <c r="S55" s="185" t="str">
        <f t="shared" si="8"/>
        <v>001-500-000046179</v>
      </c>
      <c r="T55" s="238" t="s">
        <v>514</v>
      </c>
      <c r="U55" s="192" t="s">
        <v>515</v>
      </c>
    </row>
    <row r="56" spans="1:21" ht="32.25" customHeight="1">
      <c r="A56">
        <v>51</v>
      </c>
      <c r="B56" s="186">
        <v>45674</v>
      </c>
      <c r="C56" s="185" t="s">
        <v>96</v>
      </c>
      <c r="D56" s="185" t="s">
        <v>504</v>
      </c>
      <c r="E56" s="182">
        <v>40466241</v>
      </c>
      <c r="F56" s="185" t="s">
        <v>506</v>
      </c>
      <c r="G56" s="185" t="s">
        <v>509</v>
      </c>
      <c r="H56" s="182" t="s">
        <v>42</v>
      </c>
      <c r="I56" s="182" t="s">
        <v>74</v>
      </c>
      <c r="J56" s="182" t="s">
        <v>75</v>
      </c>
      <c r="K56" s="187">
        <v>45702</v>
      </c>
      <c r="L56" s="188" t="s">
        <v>512</v>
      </c>
      <c r="M56" s="188" t="s">
        <v>513</v>
      </c>
      <c r="N56" s="185">
        <v>995373670</v>
      </c>
      <c r="O56" s="189">
        <v>15</v>
      </c>
      <c r="P56" s="182" t="s">
        <v>22</v>
      </c>
      <c r="Q56" s="182" t="s">
        <v>74</v>
      </c>
      <c r="R56" s="190"/>
      <c r="S56" s="185" t="str">
        <f t="shared" ref="S56:S59" si="9">D56</f>
        <v>001-500-000046179</v>
      </c>
      <c r="T56" s="238" t="s">
        <v>514</v>
      </c>
      <c r="U56" s="192" t="s">
        <v>515</v>
      </c>
    </row>
    <row r="57" spans="1:21" ht="32.25" customHeight="1">
      <c r="A57">
        <v>52</v>
      </c>
      <c r="B57" s="186">
        <v>45674</v>
      </c>
      <c r="C57" s="185" t="s">
        <v>96</v>
      </c>
      <c r="D57" s="185" t="s">
        <v>504</v>
      </c>
      <c r="E57" s="182">
        <v>40590830</v>
      </c>
      <c r="F57" s="185" t="s">
        <v>507</v>
      </c>
      <c r="G57" s="185" t="s">
        <v>510</v>
      </c>
      <c r="H57" s="182" t="s">
        <v>42</v>
      </c>
      <c r="I57" s="182" t="s">
        <v>74</v>
      </c>
      <c r="J57" s="182" t="s">
        <v>75</v>
      </c>
      <c r="K57" s="187">
        <v>45702</v>
      </c>
      <c r="L57" s="188" t="s">
        <v>512</v>
      </c>
      <c r="M57" s="188" t="s">
        <v>513</v>
      </c>
      <c r="N57" s="185">
        <v>995373670</v>
      </c>
      <c r="O57" s="189">
        <v>15</v>
      </c>
      <c r="P57" s="182" t="s">
        <v>22</v>
      </c>
      <c r="Q57" s="182" t="s">
        <v>74</v>
      </c>
      <c r="R57" s="190"/>
      <c r="S57" s="185" t="str">
        <f t="shared" si="9"/>
        <v>001-500-000046179</v>
      </c>
      <c r="T57" s="238" t="s">
        <v>514</v>
      </c>
      <c r="U57" s="192" t="s">
        <v>515</v>
      </c>
    </row>
    <row r="58" spans="1:21" ht="32.25" customHeight="1">
      <c r="A58">
        <v>53</v>
      </c>
      <c r="B58" s="186">
        <v>45674</v>
      </c>
      <c r="C58" s="185" t="s">
        <v>96</v>
      </c>
      <c r="D58" s="185" t="s">
        <v>504</v>
      </c>
      <c r="E58" s="182">
        <v>111030002</v>
      </c>
      <c r="F58" s="185" t="s">
        <v>268</v>
      </c>
      <c r="G58" s="185" t="s">
        <v>511</v>
      </c>
      <c r="H58" s="182" t="s">
        <v>42</v>
      </c>
      <c r="I58" s="182" t="s">
        <v>74</v>
      </c>
      <c r="J58" s="182" t="s">
        <v>75</v>
      </c>
      <c r="K58" s="187">
        <v>45702</v>
      </c>
      <c r="L58" s="188" t="s">
        <v>512</v>
      </c>
      <c r="M58" s="188" t="s">
        <v>513</v>
      </c>
      <c r="N58" s="185">
        <v>995373670</v>
      </c>
      <c r="O58" s="189">
        <v>15</v>
      </c>
      <c r="P58" s="182" t="s">
        <v>22</v>
      </c>
      <c r="Q58" s="182" t="s">
        <v>74</v>
      </c>
      <c r="R58" s="190"/>
      <c r="S58" s="185" t="str">
        <f t="shared" si="9"/>
        <v>001-500-000046179</v>
      </c>
      <c r="T58" s="238" t="s">
        <v>514</v>
      </c>
      <c r="U58" s="192" t="s">
        <v>515</v>
      </c>
    </row>
    <row r="59" spans="1:21" ht="32.25" customHeight="1">
      <c r="A59">
        <v>54</v>
      </c>
      <c r="B59" s="186">
        <v>45565</v>
      </c>
      <c r="C59" s="185" t="s">
        <v>516</v>
      </c>
      <c r="D59" s="185" t="s">
        <v>517</v>
      </c>
      <c r="E59" s="182">
        <v>1125700068</v>
      </c>
      <c r="F59" s="185" t="s">
        <v>193</v>
      </c>
      <c r="G59" s="185" t="s">
        <v>518</v>
      </c>
      <c r="H59" s="182" t="s">
        <v>42</v>
      </c>
      <c r="I59" s="182" t="s">
        <v>74</v>
      </c>
      <c r="J59" s="182" t="s">
        <v>75</v>
      </c>
      <c r="K59" s="187">
        <v>45702</v>
      </c>
      <c r="L59" s="188" t="s">
        <v>519</v>
      </c>
      <c r="M59" s="188" t="s">
        <v>161</v>
      </c>
      <c r="N59" s="185">
        <v>993838213</v>
      </c>
      <c r="O59" s="189">
        <v>15</v>
      </c>
      <c r="P59" s="182" t="s">
        <v>22</v>
      </c>
      <c r="Q59" s="182" t="s">
        <v>74</v>
      </c>
      <c r="R59" s="190"/>
      <c r="S59" s="185" t="str">
        <f t="shared" si="9"/>
        <v>006-002-000156802</v>
      </c>
      <c r="T59" s="191">
        <v>301755286</v>
      </c>
      <c r="U59" s="192" t="s">
        <v>520</v>
      </c>
    </row>
    <row r="60" spans="1:21" s="254" customFormat="1" ht="32.25" customHeight="1">
      <c r="A60" s="254">
        <v>55</v>
      </c>
      <c r="B60" s="244">
        <v>45565</v>
      </c>
      <c r="C60" s="245" t="s">
        <v>516</v>
      </c>
      <c r="D60" s="245" t="s">
        <v>517</v>
      </c>
      <c r="E60" s="246">
        <v>113430051</v>
      </c>
      <c r="F60" s="245" t="s">
        <v>291</v>
      </c>
      <c r="G60" s="245" t="s">
        <v>521</v>
      </c>
      <c r="H60" s="246" t="s">
        <v>42</v>
      </c>
      <c r="I60" s="246" t="s">
        <v>74</v>
      </c>
      <c r="J60" s="246" t="s">
        <v>75</v>
      </c>
      <c r="K60" s="247">
        <v>45702</v>
      </c>
      <c r="L60" s="248" t="s">
        <v>519</v>
      </c>
      <c r="M60" s="248" t="s">
        <v>161</v>
      </c>
      <c r="N60" s="245">
        <v>993838213</v>
      </c>
      <c r="O60" s="250">
        <v>15</v>
      </c>
      <c r="P60" s="246" t="s">
        <v>22</v>
      </c>
      <c r="Q60" s="246" t="s">
        <v>74</v>
      </c>
      <c r="R60" s="251"/>
      <c r="S60" s="245" t="str">
        <f t="shared" ref="S60:S63" si="10">D60</f>
        <v>006-002-000156802</v>
      </c>
      <c r="T60" s="252">
        <v>301755286</v>
      </c>
      <c r="U60" s="253" t="s">
        <v>520</v>
      </c>
    </row>
    <row r="61" spans="1:21" ht="32.25" customHeight="1">
      <c r="A61">
        <v>56</v>
      </c>
      <c r="B61" s="186">
        <v>45565</v>
      </c>
      <c r="C61" s="185" t="s">
        <v>516</v>
      </c>
      <c r="D61" s="185" t="s">
        <v>517</v>
      </c>
      <c r="E61" s="182">
        <v>111000051</v>
      </c>
      <c r="F61" s="185" t="s">
        <v>123</v>
      </c>
      <c r="G61" s="185" t="s">
        <v>522</v>
      </c>
      <c r="H61" s="182" t="s">
        <v>42</v>
      </c>
      <c r="I61" s="182" t="s">
        <v>74</v>
      </c>
      <c r="J61" s="182" t="s">
        <v>75</v>
      </c>
      <c r="K61" s="187">
        <v>45702</v>
      </c>
      <c r="L61" s="188" t="s">
        <v>519</v>
      </c>
      <c r="M61" s="188" t="s">
        <v>161</v>
      </c>
      <c r="N61" s="185">
        <v>993838213</v>
      </c>
      <c r="O61" s="189">
        <v>15</v>
      </c>
      <c r="P61" s="182" t="s">
        <v>22</v>
      </c>
      <c r="Q61" s="182" t="s">
        <v>74</v>
      </c>
      <c r="R61" s="190"/>
      <c r="S61" s="185" t="str">
        <f t="shared" si="10"/>
        <v>006-002-000156802</v>
      </c>
      <c r="T61" s="191">
        <v>301755286</v>
      </c>
      <c r="U61" s="192" t="s">
        <v>520</v>
      </c>
    </row>
    <row r="62" spans="1:21" ht="32.25" customHeight="1">
      <c r="A62">
        <v>57</v>
      </c>
      <c r="B62" s="186">
        <v>45565</v>
      </c>
      <c r="C62" s="185" t="s">
        <v>516</v>
      </c>
      <c r="D62" s="185" t="s">
        <v>517</v>
      </c>
      <c r="E62" s="182">
        <v>40584012</v>
      </c>
      <c r="F62" s="185" t="s">
        <v>397</v>
      </c>
      <c r="G62" s="185" t="s">
        <v>523</v>
      </c>
      <c r="H62" s="182" t="s">
        <v>42</v>
      </c>
      <c r="I62" s="182" t="s">
        <v>74</v>
      </c>
      <c r="J62" s="182" t="s">
        <v>75</v>
      </c>
      <c r="K62" s="187">
        <v>45702</v>
      </c>
      <c r="L62" s="188" t="s">
        <v>519</v>
      </c>
      <c r="M62" s="188" t="s">
        <v>161</v>
      </c>
      <c r="N62" s="185">
        <v>993838213</v>
      </c>
      <c r="O62" s="189">
        <v>15</v>
      </c>
      <c r="P62" s="182" t="s">
        <v>22</v>
      </c>
      <c r="Q62" s="182" t="s">
        <v>74</v>
      </c>
      <c r="R62" s="190"/>
      <c r="S62" s="185" t="str">
        <f t="shared" si="10"/>
        <v>006-002-000156802</v>
      </c>
      <c r="T62" s="191">
        <v>301755286</v>
      </c>
      <c r="U62" s="192" t="s">
        <v>520</v>
      </c>
    </row>
    <row r="63" spans="1:21" ht="31" customHeight="1">
      <c r="A63">
        <v>58</v>
      </c>
      <c r="B63" s="186">
        <v>45673</v>
      </c>
      <c r="C63" s="185" t="s">
        <v>96</v>
      </c>
      <c r="D63" s="185" t="s">
        <v>524</v>
      </c>
      <c r="E63" s="182">
        <v>40467305</v>
      </c>
      <c r="F63" s="185" t="s">
        <v>456</v>
      </c>
      <c r="G63" s="185" t="s">
        <v>525</v>
      </c>
      <c r="H63" s="182" t="s">
        <v>42</v>
      </c>
      <c r="I63" s="182" t="s">
        <v>74</v>
      </c>
      <c r="J63" s="182" t="s">
        <v>75</v>
      </c>
      <c r="K63" s="187">
        <v>45702</v>
      </c>
      <c r="L63" s="188" t="s">
        <v>526</v>
      </c>
      <c r="M63" s="188" t="s">
        <v>527</v>
      </c>
      <c r="N63" s="185">
        <v>9945600827</v>
      </c>
      <c r="O63" s="189">
        <v>20</v>
      </c>
      <c r="P63" s="182" t="s">
        <v>22</v>
      </c>
      <c r="Q63" s="182" t="s">
        <v>74</v>
      </c>
      <c r="R63" s="190"/>
      <c r="S63" s="185" t="str">
        <f t="shared" si="10"/>
        <v>001-500-000070163</v>
      </c>
      <c r="T63" s="191">
        <v>105929624</v>
      </c>
      <c r="U63" s="192" t="s">
        <v>528</v>
      </c>
    </row>
    <row r="64" spans="1:21" ht="31" customHeight="1">
      <c r="A64">
        <v>59</v>
      </c>
      <c r="B64" s="186">
        <v>45673</v>
      </c>
      <c r="C64" s="185" t="s">
        <v>96</v>
      </c>
      <c r="D64" s="185" t="s">
        <v>524</v>
      </c>
      <c r="E64" s="182">
        <v>112580027</v>
      </c>
      <c r="F64" s="185" t="s">
        <v>529</v>
      </c>
      <c r="G64" s="185" t="s">
        <v>530</v>
      </c>
      <c r="H64" s="182" t="s">
        <v>42</v>
      </c>
      <c r="I64" s="182" t="s">
        <v>74</v>
      </c>
      <c r="J64" s="182" t="s">
        <v>75</v>
      </c>
      <c r="K64" s="187">
        <v>45702</v>
      </c>
      <c r="L64" s="188" t="s">
        <v>526</v>
      </c>
      <c r="M64" s="188" t="s">
        <v>527</v>
      </c>
      <c r="N64" s="185">
        <v>9945600827</v>
      </c>
      <c r="O64" s="189">
        <v>20</v>
      </c>
      <c r="P64" s="182" t="s">
        <v>22</v>
      </c>
      <c r="Q64" s="182" t="s">
        <v>74</v>
      </c>
      <c r="R64" s="190"/>
      <c r="S64" s="185" t="str">
        <f t="shared" ref="S64:S65" si="11">D64</f>
        <v>001-500-000070163</v>
      </c>
      <c r="T64" s="191">
        <v>105929624</v>
      </c>
      <c r="U64" s="192" t="s">
        <v>528</v>
      </c>
    </row>
    <row r="65" spans="1:21" ht="31" customHeight="1">
      <c r="A65">
        <v>60</v>
      </c>
      <c r="B65" s="186">
        <v>45706</v>
      </c>
      <c r="C65" s="185" t="s">
        <v>317</v>
      </c>
      <c r="D65" s="185" t="s">
        <v>318</v>
      </c>
      <c r="E65" s="182">
        <v>112500047</v>
      </c>
      <c r="F65" s="185" t="s">
        <v>594</v>
      </c>
      <c r="G65" s="185" t="s">
        <v>595</v>
      </c>
      <c r="H65" s="182" t="s">
        <v>42</v>
      </c>
      <c r="I65" s="182" t="s">
        <v>74</v>
      </c>
      <c r="J65" s="182" t="s">
        <v>75</v>
      </c>
      <c r="K65" s="187">
        <v>45706</v>
      </c>
      <c r="L65" s="188" t="s">
        <v>322</v>
      </c>
      <c r="M65" s="188" t="s">
        <v>596</v>
      </c>
      <c r="N65" s="185">
        <v>999266775</v>
      </c>
      <c r="O65" s="189">
        <v>20</v>
      </c>
      <c r="P65" s="182" t="s">
        <v>22</v>
      </c>
      <c r="Q65" s="182" t="s">
        <v>74</v>
      </c>
      <c r="R65" s="190"/>
      <c r="S65" s="185" t="str">
        <f t="shared" si="11"/>
        <v>040-104-000004319</v>
      </c>
      <c r="T65" s="191">
        <v>100948488</v>
      </c>
      <c r="U65" s="192" t="s">
        <v>597</v>
      </c>
    </row>
    <row r="66" spans="1:21" ht="31" customHeight="1">
      <c r="A66">
        <v>61</v>
      </c>
      <c r="B66" s="186">
        <v>45706</v>
      </c>
      <c r="C66" s="185" t="s">
        <v>87</v>
      </c>
      <c r="D66" s="185" t="s">
        <v>599</v>
      </c>
      <c r="E66" s="182">
        <v>40466241</v>
      </c>
      <c r="F66" s="185" t="s">
        <v>506</v>
      </c>
      <c r="G66" s="185" t="s">
        <v>598</v>
      </c>
      <c r="H66" s="182" t="s">
        <v>42</v>
      </c>
      <c r="I66" s="182" t="s">
        <v>74</v>
      </c>
      <c r="J66" s="182" t="s">
        <v>75</v>
      </c>
      <c r="K66" s="187">
        <v>45706</v>
      </c>
      <c r="L66" s="188" t="s">
        <v>322</v>
      </c>
      <c r="M66" s="188" t="s">
        <v>596</v>
      </c>
      <c r="N66" s="185">
        <v>999266775</v>
      </c>
      <c r="O66" s="189">
        <v>20</v>
      </c>
      <c r="P66" s="182" t="s">
        <v>22</v>
      </c>
      <c r="Q66" s="182" t="s">
        <v>74</v>
      </c>
      <c r="R66" s="190"/>
      <c r="S66" s="185" t="str">
        <f t="shared" ref="S66" si="12">D66</f>
        <v>016-907-000239058</v>
      </c>
      <c r="T66" s="191">
        <v>100948488</v>
      </c>
      <c r="U66" s="192" t="s">
        <v>597</v>
      </c>
    </row>
    <row r="67" spans="1:21">
      <c r="O67" s="132">
        <f>SUM(O6:O66)</f>
        <v>1020</v>
      </c>
    </row>
    <row r="68" spans="1:21">
      <c r="K68">
        <v>1</v>
      </c>
      <c r="L68">
        <v>30</v>
      </c>
      <c r="M68">
        <f>K68*L68</f>
        <v>30</v>
      </c>
    </row>
    <row r="69" spans="1:21">
      <c r="K69">
        <v>42</v>
      </c>
      <c r="L69">
        <v>15</v>
      </c>
      <c r="M69">
        <f>K69*L69</f>
        <v>630</v>
      </c>
    </row>
    <row r="70" spans="1:21">
      <c r="K70">
        <v>18</v>
      </c>
      <c r="L70">
        <v>20</v>
      </c>
      <c r="M70">
        <f>K70*L70</f>
        <v>360</v>
      </c>
    </row>
    <row r="71" spans="1:21">
      <c r="M71">
        <f>SUM(M68:M70)</f>
        <v>1020</v>
      </c>
    </row>
  </sheetData>
  <hyperlinks>
    <hyperlink ref="U6" r:id="rId1" xr:uid="{37EF0D54-9880-494A-92F2-DB1A14CB0306}"/>
    <hyperlink ref="U7" r:id="rId2" xr:uid="{649CEF61-1F6A-9F45-A227-D2D230EC828A}"/>
    <hyperlink ref="U8" r:id="rId3" xr:uid="{F9C44C34-AF79-5343-852D-B9B22AE04C4B}"/>
    <hyperlink ref="U9" r:id="rId4" xr:uid="{8F0D5FE3-B9EA-934D-A120-6907EC515F45}"/>
    <hyperlink ref="U10" r:id="rId5" xr:uid="{F9AE22AE-B0D3-3C4A-BA46-C0B9D127BB4B}"/>
    <hyperlink ref="U11" r:id="rId6" xr:uid="{E8B972A1-A59A-8A4F-964D-130519604448}"/>
    <hyperlink ref="U12" r:id="rId7" xr:uid="{15329B82-D78C-BA4F-84DE-B47FC00A5206}"/>
    <hyperlink ref="U17" r:id="rId8" xr:uid="{5234BF38-2C44-F747-AD42-DE91C77F9CCA}"/>
    <hyperlink ref="U18" r:id="rId9" xr:uid="{704C93E8-0FF8-9C40-B641-0556F917B37F}"/>
    <hyperlink ref="U19" r:id="rId10" xr:uid="{44CFAAB4-D737-0747-87DC-D581D529F2D8}"/>
    <hyperlink ref="U20" r:id="rId11" xr:uid="{E02486C6-1E81-D944-BAE2-F0F6AC83889C}"/>
    <hyperlink ref="U26" r:id="rId12" xr:uid="{3454BE2E-0EDF-914F-BCA5-CC717BA7F21E}"/>
    <hyperlink ref="U27" r:id="rId13" xr:uid="{C0A0958F-0BC1-CA4D-B585-4681D5B1DF70}"/>
    <hyperlink ref="U28" r:id="rId14" xr:uid="{F0D9852B-5205-9845-875C-EC9886FD1CEE}"/>
    <hyperlink ref="U29" r:id="rId15" xr:uid="{98DB9467-8611-FB44-BB0F-BE1DF0DF053A}"/>
    <hyperlink ref="U30" r:id="rId16" xr:uid="{71BAD62B-DBF0-6A40-9F5D-E45AD1B0B2E6}"/>
    <hyperlink ref="U31" r:id="rId17" xr:uid="{74ECB619-A47A-E946-94E0-8257456AA5F1}"/>
    <hyperlink ref="U34" r:id="rId18" xr:uid="{D12BF976-EFCB-804C-9E55-0914B372F3D7}"/>
    <hyperlink ref="U35" r:id="rId19" xr:uid="{C1A7A4E0-82B4-BE45-8C66-6A136D667898}"/>
    <hyperlink ref="U36" r:id="rId20" xr:uid="{6532E634-2942-8143-9FD7-8630BAD7EED5}"/>
    <hyperlink ref="U37" r:id="rId21" xr:uid="{A29068A8-760B-AD41-81AC-AF5FE6EEDF4D}"/>
    <hyperlink ref="U38" r:id="rId22" xr:uid="{5190A21D-A292-D34B-90F1-1DBF585106A2}"/>
    <hyperlink ref="U39" r:id="rId23" xr:uid="{5378AD8F-E7BB-EB40-9BF4-01C7C21BCF3E}"/>
    <hyperlink ref="U45" r:id="rId24" xr:uid="{0C9373A1-ECC8-B349-B8FE-8351BB057E73}"/>
    <hyperlink ref="U46" r:id="rId25" xr:uid="{340E4532-4F2B-0144-AC87-68CD419FD6A2}"/>
    <hyperlink ref="U47" r:id="rId26" xr:uid="{72053306-5825-7946-BB83-6EC1F83096EB}"/>
    <hyperlink ref="U48" r:id="rId27" xr:uid="{6E424B06-1F5A-F743-8121-324908C1E9A3}"/>
    <hyperlink ref="U49" r:id="rId28" xr:uid="{F55B2FD6-4D01-0349-82C3-C951F1857787}"/>
    <hyperlink ref="U50" r:id="rId29" xr:uid="{0A9C2FF7-BCC1-ED43-973B-B9D0F100A5BB}"/>
    <hyperlink ref="U51" r:id="rId30" xr:uid="{F37E9658-D022-7248-BD9F-2504BFF8CB44}"/>
    <hyperlink ref="U52" r:id="rId31" xr:uid="{8665A15C-EB43-374E-BE1D-1F875C98A574}"/>
    <hyperlink ref="U53" r:id="rId32" xr:uid="{4EFDEF61-37DA-5A4F-B058-636B78C05137}"/>
    <hyperlink ref="U54" r:id="rId33" xr:uid="{668E7E35-3590-5640-9502-21607C5D4723}"/>
    <hyperlink ref="U55" r:id="rId34" xr:uid="{1AC050A7-A2A7-4F4F-9C73-3ABFB30F545B}"/>
    <hyperlink ref="U56" r:id="rId35" xr:uid="{7DC82BB5-7074-6C4F-84E8-2C78019AD81E}"/>
    <hyperlink ref="U57" r:id="rId36" xr:uid="{F4E6C4B1-3CA9-114A-96B9-2D906A0F69A5}"/>
    <hyperlink ref="U58" r:id="rId37" xr:uid="{24464EF6-7813-DA4E-86CF-C140C86F3CD5}"/>
    <hyperlink ref="U59" r:id="rId38" xr:uid="{3D21E3E1-6A18-5E49-9995-FF77668BD02D}"/>
    <hyperlink ref="U60" r:id="rId39" xr:uid="{3C17605E-BCFC-2B4C-9A09-DFE8138A5465}"/>
    <hyperlink ref="U61" r:id="rId40" xr:uid="{7AE872B0-5984-A64A-96FD-8B4828C3E064}"/>
    <hyperlink ref="U62" r:id="rId41" xr:uid="{A896A3F8-31BB-9549-B187-1753239ADA62}"/>
    <hyperlink ref="U63" r:id="rId42" xr:uid="{F18890B2-18AB-2544-A350-E9EF0821B8E5}"/>
    <hyperlink ref="U64" r:id="rId43" xr:uid="{FE8B3F16-FB38-4545-AB72-BD192D29C10E}"/>
    <hyperlink ref="U65" r:id="rId44" xr:uid="{B4CE9AF2-1A91-B34B-9E04-79A9E031CB61}"/>
    <hyperlink ref="U66" r:id="rId45" xr:uid="{B97B8CBA-45F9-CC40-9A47-022447C6EEAA}"/>
    <hyperlink ref="U32" r:id="rId46" xr:uid="{0F5F3929-923B-AA4F-BC1D-CCA180AA362E}"/>
    <hyperlink ref="U33" r:id="rId47" xr:uid="{328E9769-EB67-EB4D-9F85-AC7A6184335F}"/>
    <hyperlink ref="U40" r:id="rId48" xr:uid="{B36061D1-62A3-3844-A921-E84A5A9B49B4}"/>
    <hyperlink ref="U41" r:id="rId49" xr:uid="{29958FDC-7C21-5A42-801F-B8B3A4C70113}"/>
    <hyperlink ref="U42" r:id="rId50" xr:uid="{68919862-8B5D-A847-85C8-7206593050C6}"/>
    <hyperlink ref="U43" r:id="rId51" xr:uid="{1BE99ACA-D089-7643-80D0-BFBA37E3E887}"/>
    <hyperlink ref="U44" r:id="rId52" xr:uid="{42138473-48ED-1944-9620-7EC4B0A5135A}"/>
  </hyperlinks>
  <pageMargins left="0.7" right="0.7" top="0.75" bottom="0.75" header="0.3" footer="0.3"/>
  <pageSetup paperSize="9" orientation="portrait" horizontalDpi="0" verticalDpi="0" r:id="rId53"/>
  <drawing r:id="rId5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T23"/>
  <sheetViews>
    <sheetView zoomScaleNormal="100" workbookViewId="0">
      <selection activeCell="I27" sqref="I27"/>
    </sheetView>
  </sheetViews>
  <sheetFormatPr baseColWidth="10" defaultRowHeight="15"/>
  <cols>
    <col min="1" max="1" width="11.6640625" bestFit="1" customWidth="1"/>
    <col min="2" max="3" width="13.6640625" bestFit="1" customWidth="1"/>
    <col min="4" max="4" width="11.6640625" bestFit="1" customWidth="1"/>
    <col min="5" max="5" width="17.1640625" customWidth="1"/>
    <col min="6" max="6" width="21" customWidth="1"/>
    <col min="7" max="7" width="12.83203125" bestFit="1" customWidth="1"/>
    <col min="8" max="8" width="28.1640625" customWidth="1"/>
    <col min="9" max="9" width="18.6640625" customWidth="1"/>
    <col min="10" max="10" width="11.6640625" bestFit="1" customWidth="1"/>
    <col min="11" max="11" width="19.6640625" customWidth="1"/>
    <col min="12" max="12" width="21" customWidth="1"/>
    <col min="13" max="13" width="34.1640625" bestFit="1" customWidth="1"/>
    <col min="14" max="14" width="11.6640625" bestFit="1" customWidth="1"/>
    <col min="15" max="15" width="21.6640625" bestFit="1" customWidth="1"/>
    <col min="16" max="16" width="22.6640625" customWidth="1"/>
    <col min="17" max="17" width="12.83203125" bestFit="1" customWidth="1"/>
    <col min="18" max="18" width="11.6640625" bestFit="1" customWidth="1"/>
    <col min="19" max="19" width="21.5" customWidth="1"/>
  </cols>
  <sheetData>
    <row r="2" spans="1:20">
      <c r="A2" s="40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</row>
    <row r="3" spans="1:20">
      <c r="A3" s="42"/>
      <c r="B3" s="43"/>
      <c r="C3" s="44" t="s">
        <v>0</v>
      </c>
      <c r="D3" s="45"/>
      <c r="E3" s="46"/>
      <c r="F3" s="47"/>
      <c r="G3" s="48"/>
      <c r="H3" s="49"/>
      <c r="I3" s="49"/>
      <c r="J3" s="49"/>
      <c r="K3" s="49"/>
      <c r="L3" s="49"/>
      <c r="M3" s="50"/>
      <c r="N3" s="49"/>
      <c r="O3" s="42"/>
      <c r="P3" s="49"/>
      <c r="Q3" s="49"/>
      <c r="R3" s="49"/>
      <c r="S3" s="49"/>
    </row>
    <row r="4" spans="1:20">
      <c r="A4" s="42"/>
      <c r="B4" s="43"/>
      <c r="C4" s="51" t="s">
        <v>1</v>
      </c>
      <c r="D4" s="52"/>
      <c r="E4" s="53"/>
      <c r="F4" s="53"/>
      <c r="G4" s="48"/>
      <c r="H4" s="49"/>
      <c r="I4" s="49"/>
      <c r="J4" s="49"/>
      <c r="K4" s="49"/>
      <c r="L4" s="49"/>
      <c r="M4" s="50"/>
      <c r="N4" s="49"/>
      <c r="O4" s="42"/>
      <c r="P4" s="49"/>
      <c r="Q4" s="49"/>
      <c r="R4" s="49"/>
      <c r="S4" s="49"/>
    </row>
    <row r="5" spans="1:20" ht="28.5" customHeight="1">
      <c r="B5" s="54" t="s">
        <v>79</v>
      </c>
      <c r="C5" s="55"/>
      <c r="D5" s="56"/>
      <c r="E5" s="57" t="s">
        <v>24</v>
      </c>
      <c r="F5" s="58"/>
      <c r="G5" s="59"/>
      <c r="H5" s="60"/>
      <c r="I5" s="56"/>
      <c r="J5" s="61"/>
      <c r="K5" s="61"/>
      <c r="L5" s="62"/>
      <c r="M5" s="63" t="s">
        <v>149</v>
      </c>
      <c r="O5" s="64"/>
    </row>
    <row r="6" spans="1:20">
      <c r="B6" s="65" t="s">
        <v>25</v>
      </c>
      <c r="C6" s="66"/>
      <c r="D6" s="67"/>
      <c r="E6" s="67"/>
      <c r="F6" s="67"/>
      <c r="G6" s="67"/>
      <c r="H6" s="67"/>
      <c r="I6" s="67"/>
      <c r="J6" s="67"/>
      <c r="K6" s="67"/>
      <c r="L6" s="67"/>
      <c r="M6" s="68"/>
      <c r="O6" s="64"/>
    </row>
    <row r="7" spans="1:20">
      <c r="B7" s="69" t="s">
        <v>623</v>
      </c>
      <c r="C7" s="70"/>
      <c r="D7" s="70"/>
      <c r="E7" s="70"/>
      <c r="F7" s="70"/>
      <c r="G7" s="70"/>
      <c r="H7" s="70"/>
      <c r="I7" s="70"/>
      <c r="J7" s="70"/>
      <c r="K7" s="70"/>
      <c r="L7" s="70"/>
      <c r="M7" s="71"/>
      <c r="O7" s="64"/>
    </row>
    <row r="8" spans="1:20" s="39" customFormat="1" ht="34">
      <c r="A8"/>
      <c r="B8" s="133" t="s">
        <v>26</v>
      </c>
      <c r="C8" s="133" t="s">
        <v>27</v>
      </c>
      <c r="D8" s="133" t="s">
        <v>28</v>
      </c>
      <c r="E8" s="133" t="s">
        <v>29</v>
      </c>
      <c r="F8" s="133" t="s">
        <v>30</v>
      </c>
      <c r="G8" s="133" t="s">
        <v>31</v>
      </c>
      <c r="H8" s="133" t="s">
        <v>32</v>
      </c>
      <c r="I8" s="133" t="s">
        <v>33</v>
      </c>
      <c r="J8" s="133" t="s">
        <v>34</v>
      </c>
      <c r="K8" s="133" t="s">
        <v>35</v>
      </c>
      <c r="L8" s="133" t="s">
        <v>36</v>
      </c>
      <c r="M8" s="133" t="s">
        <v>37</v>
      </c>
      <c r="N8" s="133" t="s">
        <v>38</v>
      </c>
      <c r="O8" s="133" t="s">
        <v>39</v>
      </c>
      <c r="P8" s="133" t="s">
        <v>40</v>
      </c>
      <c r="Q8" s="133" t="s">
        <v>41</v>
      </c>
      <c r="R8" s="134" t="s">
        <v>18</v>
      </c>
      <c r="S8" s="135" t="s">
        <v>19</v>
      </c>
    </row>
    <row r="9" spans="1:20" s="180" customFormat="1" ht="56.25" customHeight="1">
      <c r="A9" s="168">
        <v>2</v>
      </c>
      <c r="B9" s="169">
        <v>45364</v>
      </c>
      <c r="C9" s="170">
        <v>45684</v>
      </c>
      <c r="D9" s="171">
        <v>1</v>
      </c>
      <c r="E9" s="171">
        <v>60803327</v>
      </c>
      <c r="F9" s="172" t="s">
        <v>460</v>
      </c>
      <c r="G9" s="173">
        <v>112500049</v>
      </c>
      <c r="H9" s="174" t="s">
        <v>461</v>
      </c>
      <c r="I9" s="175" t="s">
        <v>462</v>
      </c>
      <c r="J9" s="176" t="s">
        <v>42</v>
      </c>
      <c r="K9" s="173" t="s">
        <v>84</v>
      </c>
      <c r="L9" s="243" t="s">
        <v>625</v>
      </c>
      <c r="M9" s="172" t="s">
        <v>463</v>
      </c>
      <c r="N9" s="177">
        <v>12.5</v>
      </c>
      <c r="O9" s="237">
        <v>301913943</v>
      </c>
      <c r="P9" s="178" t="s">
        <v>464</v>
      </c>
      <c r="Q9" s="165">
        <v>959236985</v>
      </c>
      <c r="R9" s="165"/>
      <c r="S9" s="165" t="s">
        <v>465</v>
      </c>
      <c r="T9" s="179"/>
    </row>
    <row r="10" spans="1:20" s="180" customFormat="1" ht="56.25" customHeight="1">
      <c r="A10" s="168">
        <v>3</v>
      </c>
      <c r="B10" s="169">
        <v>45489</v>
      </c>
      <c r="C10" s="170">
        <v>45326</v>
      </c>
      <c r="D10" s="171">
        <v>1</v>
      </c>
      <c r="E10" s="171"/>
      <c r="F10" s="172"/>
      <c r="G10" s="173">
        <v>112580027</v>
      </c>
      <c r="H10" s="174" t="s">
        <v>337</v>
      </c>
      <c r="I10" s="175" t="s">
        <v>338</v>
      </c>
      <c r="J10" s="176" t="s">
        <v>42</v>
      </c>
      <c r="K10" s="173" t="s">
        <v>84</v>
      </c>
      <c r="L10" s="173" t="s">
        <v>339</v>
      </c>
      <c r="M10" s="172" t="s">
        <v>611</v>
      </c>
      <c r="N10" s="177">
        <v>12.5</v>
      </c>
      <c r="O10" s="237">
        <v>706287745</v>
      </c>
      <c r="P10" s="178" t="s">
        <v>340</v>
      </c>
      <c r="Q10" s="165">
        <v>706287745</v>
      </c>
      <c r="R10" s="165"/>
      <c r="S10" s="165" t="s">
        <v>336</v>
      </c>
      <c r="T10" s="179"/>
    </row>
    <row r="11" spans="1:20" s="180" customFormat="1" ht="56.25" customHeight="1">
      <c r="A11" s="168"/>
      <c r="B11" s="169">
        <v>45222</v>
      </c>
      <c r="C11" s="170">
        <v>45695</v>
      </c>
      <c r="D11" s="171">
        <v>1</v>
      </c>
      <c r="E11" s="171">
        <v>81483104</v>
      </c>
      <c r="F11" s="172" t="s">
        <v>563</v>
      </c>
      <c r="G11" s="173">
        <v>40485357</v>
      </c>
      <c r="H11" s="174" t="s">
        <v>564</v>
      </c>
      <c r="I11" s="175" t="s">
        <v>565</v>
      </c>
      <c r="J11" s="176" t="s">
        <v>42</v>
      </c>
      <c r="K11" s="173" t="s">
        <v>84</v>
      </c>
      <c r="L11" s="173" t="s">
        <v>566</v>
      </c>
      <c r="M11" s="172" t="s">
        <v>567</v>
      </c>
      <c r="N11" s="177">
        <v>15</v>
      </c>
      <c r="O11" s="237" t="s">
        <v>568</v>
      </c>
      <c r="P11" s="178" t="s">
        <v>569</v>
      </c>
      <c r="Q11" s="165">
        <v>982603913</v>
      </c>
      <c r="R11" s="165"/>
      <c r="S11" s="165" t="s">
        <v>570</v>
      </c>
      <c r="T11" s="179"/>
    </row>
    <row r="12" spans="1:20" s="180" customFormat="1" ht="56.25" customHeight="1">
      <c r="A12" s="168">
        <v>4</v>
      </c>
      <c r="B12" s="169">
        <v>45072</v>
      </c>
      <c r="C12" s="170">
        <v>45700</v>
      </c>
      <c r="D12" s="171">
        <v>1</v>
      </c>
      <c r="E12" s="171">
        <v>81480080</v>
      </c>
      <c r="F12" s="172" t="s">
        <v>571</v>
      </c>
      <c r="G12" s="173">
        <v>40480321</v>
      </c>
      <c r="H12" s="174" t="s">
        <v>572</v>
      </c>
      <c r="I12" s="175" t="s">
        <v>573</v>
      </c>
      <c r="J12" s="176" t="s">
        <v>42</v>
      </c>
      <c r="K12" s="173" t="s">
        <v>84</v>
      </c>
      <c r="L12" s="173" t="s">
        <v>574</v>
      </c>
      <c r="M12" s="172" t="s">
        <v>575</v>
      </c>
      <c r="N12" s="177">
        <v>15</v>
      </c>
      <c r="O12" s="237">
        <v>104048808</v>
      </c>
      <c r="P12" s="178" t="s">
        <v>576</v>
      </c>
      <c r="Q12" s="165">
        <v>994412124</v>
      </c>
      <c r="R12" s="165"/>
      <c r="S12" s="165" t="s">
        <v>577</v>
      </c>
      <c r="T12" s="179"/>
    </row>
    <row r="13" spans="1:20" s="180" customFormat="1" ht="56.25" customHeight="1">
      <c r="A13" s="168">
        <v>5</v>
      </c>
      <c r="B13" s="169">
        <v>45353</v>
      </c>
      <c r="C13" s="170">
        <v>45701</v>
      </c>
      <c r="D13" s="171">
        <v>1</v>
      </c>
      <c r="E13" s="171">
        <v>83340626</v>
      </c>
      <c r="F13" s="172" t="s">
        <v>578</v>
      </c>
      <c r="G13" s="173">
        <v>111000050</v>
      </c>
      <c r="H13" s="174" t="s">
        <v>579</v>
      </c>
      <c r="I13" s="175" t="s">
        <v>580</v>
      </c>
      <c r="J13" s="176" t="s">
        <v>42</v>
      </c>
      <c r="K13" s="173" t="s">
        <v>84</v>
      </c>
      <c r="L13" s="173" t="s">
        <v>581</v>
      </c>
      <c r="M13" s="172" t="s">
        <v>582</v>
      </c>
      <c r="N13" s="177">
        <v>15</v>
      </c>
      <c r="O13" s="237" t="s">
        <v>583</v>
      </c>
      <c r="P13" s="178" t="s">
        <v>584</v>
      </c>
      <c r="Q13" s="165">
        <v>993096851</v>
      </c>
      <c r="R13" s="165"/>
      <c r="S13" s="165" t="s">
        <v>585</v>
      </c>
      <c r="T13" s="179"/>
    </row>
    <row r="14" spans="1:20" s="180" customFormat="1" ht="56.25" customHeight="1">
      <c r="A14" s="168">
        <v>6</v>
      </c>
      <c r="B14" s="169">
        <v>45565</v>
      </c>
      <c r="C14" s="170">
        <v>45705</v>
      </c>
      <c r="D14" s="171">
        <v>1</v>
      </c>
      <c r="E14" s="171"/>
      <c r="F14" s="172"/>
      <c r="G14" s="173">
        <v>113430018</v>
      </c>
      <c r="H14" s="174" t="s">
        <v>586</v>
      </c>
      <c r="I14" s="175" t="s">
        <v>607</v>
      </c>
      <c r="J14" s="176" t="s">
        <v>42</v>
      </c>
      <c r="K14" s="173" t="s">
        <v>84</v>
      </c>
      <c r="L14" s="173" t="s">
        <v>587</v>
      </c>
      <c r="M14" s="172" t="s">
        <v>588</v>
      </c>
      <c r="N14" s="177">
        <v>18.75</v>
      </c>
      <c r="O14" s="237" t="s">
        <v>589</v>
      </c>
      <c r="P14" s="178" t="s">
        <v>590</v>
      </c>
      <c r="Q14" s="165">
        <v>989434151</v>
      </c>
      <c r="R14" s="165"/>
      <c r="S14" s="165" t="s">
        <v>591</v>
      </c>
      <c r="T14" s="179"/>
    </row>
    <row r="15" spans="1:20" s="180" customFormat="1" ht="56.25" customHeight="1">
      <c r="A15" s="168">
        <v>7</v>
      </c>
      <c r="B15" s="169">
        <v>45419</v>
      </c>
      <c r="C15" s="170">
        <v>45706</v>
      </c>
      <c r="D15" s="171">
        <v>1</v>
      </c>
      <c r="E15" s="171"/>
      <c r="F15" s="172"/>
      <c r="G15" s="173">
        <v>40782128</v>
      </c>
      <c r="H15" s="174" t="s">
        <v>606</v>
      </c>
      <c r="I15" s="175" t="s">
        <v>608</v>
      </c>
      <c r="J15" s="176" t="s">
        <v>42</v>
      </c>
      <c r="K15" s="173" t="s">
        <v>84</v>
      </c>
      <c r="L15" s="173" t="s">
        <v>609</v>
      </c>
      <c r="M15" s="172" t="s">
        <v>610</v>
      </c>
      <c r="N15" s="177">
        <v>18.75</v>
      </c>
      <c r="O15" s="237" t="s">
        <v>612</v>
      </c>
      <c r="P15" s="178" t="s">
        <v>613</v>
      </c>
      <c r="Q15" s="165">
        <v>984912808</v>
      </c>
      <c r="R15" s="165"/>
      <c r="S15" s="165" t="s">
        <v>614</v>
      </c>
      <c r="T15" s="179"/>
    </row>
    <row r="16" spans="1:20" s="163" customFormat="1" ht="17">
      <c r="A16" s="164"/>
      <c r="B16"/>
      <c r="C16"/>
      <c r="D16"/>
      <c r="E16"/>
      <c r="F16"/>
      <c r="G16"/>
      <c r="H16"/>
      <c r="I16"/>
      <c r="J16"/>
      <c r="K16"/>
      <c r="L16"/>
      <c r="M16"/>
      <c r="N16" s="181">
        <f>SUM(N9:N15)</f>
        <v>107.5</v>
      </c>
      <c r="O16"/>
      <c r="P16"/>
      <c r="Q16"/>
      <c r="R16"/>
      <c r="S16"/>
    </row>
    <row r="17" spans="1:19" s="163" customFormat="1" ht="17">
      <c r="A17" s="164"/>
      <c r="B17"/>
      <c r="C17"/>
      <c r="D17"/>
      <c r="E17"/>
      <c r="F17"/>
      <c r="G17"/>
      <c r="H17"/>
      <c r="I17"/>
      <c r="J17"/>
      <c r="K17"/>
      <c r="L17"/>
      <c r="M17"/>
      <c r="N17" s="181"/>
      <c r="O17"/>
      <c r="P17"/>
      <c r="Q17"/>
      <c r="R17"/>
      <c r="S17"/>
    </row>
    <row r="18" spans="1:19" s="163" customFormat="1" ht="17">
      <c r="A18" s="164"/>
      <c r="B18"/>
      <c r="C18"/>
      <c r="D18"/>
      <c r="E18"/>
      <c r="F18"/>
      <c r="G18"/>
      <c r="H18"/>
      <c r="I18"/>
      <c r="J18" s="194">
        <v>1</v>
      </c>
      <c r="K18" s="195" t="s">
        <v>593</v>
      </c>
      <c r="L18" s="195">
        <v>18.75</v>
      </c>
      <c r="M18">
        <f>J18*L18</f>
        <v>18.75</v>
      </c>
      <c r="N18"/>
      <c r="O18"/>
      <c r="P18"/>
      <c r="Q18"/>
      <c r="R18"/>
      <c r="S18"/>
    </row>
    <row r="19" spans="1:19" s="72" customFormat="1" ht="17">
      <c r="A19" s="73"/>
      <c r="B19"/>
      <c r="C19"/>
      <c r="D19"/>
      <c r="E19"/>
      <c r="F19"/>
      <c r="G19"/>
      <c r="H19"/>
      <c r="I19"/>
      <c r="J19" s="194">
        <v>2</v>
      </c>
      <c r="K19" s="195" t="s">
        <v>85</v>
      </c>
      <c r="L19" s="195">
        <v>12.5</v>
      </c>
      <c r="M19">
        <f>J19*L19</f>
        <v>25</v>
      </c>
      <c r="N19"/>
      <c r="O19"/>
      <c r="P19"/>
      <c r="Q19"/>
      <c r="R19"/>
      <c r="S19"/>
    </row>
    <row r="20" spans="1:19" s="72" customFormat="1" ht="17">
      <c r="A20" s="73"/>
      <c r="B20"/>
      <c r="C20"/>
      <c r="D20"/>
      <c r="E20"/>
      <c r="F20"/>
      <c r="G20"/>
      <c r="H20"/>
      <c r="I20"/>
      <c r="J20" s="194">
        <v>1</v>
      </c>
      <c r="K20" s="195" t="s">
        <v>86</v>
      </c>
      <c r="L20" s="196">
        <v>15</v>
      </c>
      <c r="M20">
        <f>J20*L20</f>
        <v>15</v>
      </c>
      <c r="N20"/>
      <c r="O20"/>
      <c r="P20"/>
      <c r="Q20"/>
      <c r="R20"/>
      <c r="S20"/>
    </row>
    <row r="21" spans="1:19" ht="17">
      <c r="J21" s="194">
        <v>2</v>
      </c>
      <c r="K21" s="195" t="s">
        <v>592</v>
      </c>
      <c r="L21" s="195">
        <v>15</v>
      </c>
      <c r="M21">
        <f>J21*L21</f>
        <v>30</v>
      </c>
    </row>
    <row r="22" spans="1:19" ht="16">
      <c r="J22" s="194">
        <v>1</v>
      </c>
      <c r="K22" s="239" t="s">
        <v>615</v>
      </c>
      <c r="L22" s="196">
        <v>18.75</v>
      </c>
      <c r="M22">
        <v>18.75</v>
      </c>
    </row>
    <row r="23" spans="1:19">
      <c r="M23">
        <f>SUM(M18:M22)</f>
        <v>107.5</v>
      </c>
    </row>
  </sheetData>
  <hyperlinks>
    <hyperlink ref="P9" r:id="rId1" xr:uid="{8871B20B-45A1-124E-84FD-E26C29E1A49B}"/>
    <hyperlink ref="P10" r:id="rId2" xr:uid="{535DD777-6560-FA41-9A2B-AC44C9527693}"/>
    <hyperlink ref="P11" r:id="rId3" xr:uid="{7A6A7FA1-8AAE-BB4F-A5C3-FDFF54A380F7}"/>
    <hyperlink ref="P13" r:id="rId4" xr:uid="{1AE58A50-DD4B-2C46-BFA2-07803F1958B0}"/>
    <hyperlink ref="P14" r:id="rId5" xr:uid="{DF94BDC1-3C39-514B-A14B-3F510B3D9A0E}"/>
    <hyperlink ref="P15" r:id="rId6" xr:uid="{CD5B27F9-815F-5241-A10F-99B2EA8CD282}"/>
  </hyperlinks>
  <pageMargins left="0.7" right="0.7" top="0.75" bottom="0.75" header="0.3" footer="0.3"/>
  <pageSetup paperSize="9" orientation="portrait" horizontalDpi="0" verticalDpi="0" r:id="rId7"/>
  <drawing r:id="rId8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U23"/>
  <sheetViews>
    <sheetView zoomScaleNormal="100" workbookViewId="0">
      <selection activeCell="L31" sqref="L31"/>
    </sheetView>
  </sheetViews>
  <sheetFormatPr baseColWidth="10" defaultRowHeight="15"/>
  <cols>
    <col min="1" max="1" width="4.5" customWidth="1"/>
    <col min="2" max="2" width="11.33203125" bestFit="1" customWidth="1"/>
    <col min="3" max="3" width="18.5" customWidth="1"/>
    <col min="4" max="4" width="28" customWidth="1"/>
    <col min="5" max="5" width="16.6640625" customWidth="1"/>
    <col min="6" max="6" width="35.5" customWidth="1"/>
    <col min="7" max="7" width="16" customWidth="1"/>
    <col min="11" max="11" width="11.33203125" bestFit="1" customWidth="1"/>
    <col min="12" max="12" width="20.5" customWidth="1"/>
    <col min="13" max="13" width="19.33203125" customWidth="1"/>
    <col min="14" max="14" width="11.1640625" bestFit="1" customWidth="1"/>
    <col min="16" max="16" width="23.33203125" customWidth="1"/>
    <col min="19" max="19" width="21.83203125" customWidth="1"/>
    <col min="20" max="20" width="22" customWidth="1"/>
    <col min="21" max="21" width="28.1640625" customWidth="1"/>
  </cols>
  <sheetData>
    <row r="3" spans="1:21">
      <c r="A3" s="74"/>
      <c r="B3" s="75"/>
      <c r="C3" s="76" t="s">
        <v>43</v>
      </c>
      <c r="D3" s="75"/>
      <c r="E3" s="77"/>
      <c r="F3" s="75"/>
      <c r="G3" s="78"/>
      <c r="H3" s="75"/>
      <c r="I3" s="75"/>
      <c r="J3" s="75"/>
      <c r="K3" s="79"/>
      <c r="L3" s="79"/>
      <c r="M3" s="75"/>
      <c r="N3" s="75"/>
      <c r="O3" s="80"/>
      <c r="P3" s="75"/>
      <c r="Q3" s="75"/>
      <c r="R3" s="75"/>
      <c r="S3" s="75"/>
      <c r="T3" s="75"/>
      <c r="U3" s="81"/>
    </row>
    <row r="4" spans="1:21">
      <c r="A4" s="74"/>
      <c r="B4" s="75"/>
      <c r="C4" s="82" t="s">
        <v>44</v>
      </c>
      <c r="D4" s="75"/>
      <c r="E4" s="75"/>
      <c r="F4" s="75"/>
      <c r="G4" s="78"/>
      <c r="H4" s="75"/>
      <c r="I4" s="75" t="s">
        <v>45</v>
      </c>
      <c r="J4" s="75"/>
      <c r="K4" s="79"/>
      <c r="L4" s="79"/>
      <c r="M4" s="137" t="s">
        <v>150</v>
      </c>
      <c r="N4" s="75"/>
      <c r="O4" s="80"/>
      <c r="P4" s="75"/>
      <c r="Q4" s="83"/>
      <c r="R4" s="75"/>
      <c r="S4" s="75"/>
      <c r="T4" s="84"/>
      <c r="U4" s="85">
        <v>45536</v>
      </c>
    </row>
    <row r="5" spans="1:21" ht="25">
      <c r="A5" s="81"/>
      <c r="B5" s="86" t="s">
        <v>2</v>
      </c>
      <c r="C5" s="86" t="s">
        <v>3</v>
      </c>
      <c r="D5" s="86" t="s">
        <v>4</v>
      </c>
      <c r="E5" s="86" t="s">
        <v>5</v>
      </c>
      <c r="F5" s="86" t="s">
        <v>6</v>
      </c>
      <c r="G5" s="86" t="s">
        <v>7</v>
      </c>
      <c r="H5" s="86" t="s">
        <v>8</v>
      </c>
      <c r="I5" s="86" t="s">
        <v>9</v>
      </c>
      <c r="J5" s="86" t="s">
        <v>10</v>
      </c>
      <c r="K5" s="87" t="s">
        <v>46</v>
      </c>
      <c r="L5" s="87" t="s">
        <v>12</v>
      </c>
      <c r="M5" s="87" t="s">
        <v>13</v>
      </c>
      <c r="N5" s="87" t="s">
        <v>14</v>
      </c>
      <c r="O5" s="88" t="s">
        <v>15</v>
      </c>
      <c r="P5" s="87" t="s">
        <v>47</v>
      </c>
      <c r="Q5" s="87" t="s">
        <v>48</v>
      </c>
      <c r="R5" s="89" t="s">
        <v>49</v>
      </c>
      <c r="S5" s="89" t="s">
        <v>19</v>
      </c>
      <c r="T5" s="90" t="s">
        <v>20</v>
      </c>
      <c r="U5" s="91" t="s">
        <v>50</v>
      </c>
    </row>
    <row r="6" spans="1:21" s="38" customFormat="1" ht="23.25" customHeight="1">
      <c r="A6" s="92">
        <v>1</v>
      </c>
      <c r="B6" s="97">
        <v>45685</v>
      </c>
      <c r="C6" s="98" t="s">
        <v>215</v>
      </c>
      <c r="D6" s="93"/>
      <c r="E6" s="94">
        <v>111570002</v>
      </c>
      <c r="F6" s="95" t="s">
        <v>216</v>
      </c>
      <c r="G6" s="99" t="s">
        <v>217</v>
      </c>
      <c r="H6" s="100"/>
      <c r="I6" s="101" t="s">
        <v>74</v>
      </c>
      <c r="J6" s="101" t="s">
        <v>75</v>
      </c>
      <c r="K6" s="97">
        <v>45685</v>
      </c>
      <c r="L6" s="98" t="s">
        <v>219</v>
      </c>
      <c r="M6" s="96" t="s">
        <v>220</v>
      </c>
      <c r="N6" s="166">
        <v>993973913</v>
      </c>
      <c r="O6" s="102">
        <v>29</v>
      </c>
      <c r="P6" s="98" t="s">
        <v>82</v>
      </c>
      <c r="Q6" s="98" t="s">
        <v>76</v>
      </c>
      <c r="R6" s="103"/>
      <c r="S6" s="103"/>
      <c r="T6" s="201" t="s">
        <v>221</v>
      </c>
      <c r="U6" s="136" t="s">
        <v>222</v>
      </c>
    </row>
    <row r="7" spans="1:21" ht="18">
      <c r="A7" s="92">
        <v>2</v>
      </c>
      <c r="B7" s="97">
        <v>45685</v>
      </c>
      <c r="C7" s="98" t="s">
        <v>215</v>
      </c>
      <c r="D7" s="93"/>
      <c r="E7" s="224">
        <v>111570002</v>
      </c>
      <c r="F7" s="213" t="s">
        <v>78</v>
      </c>
      <c r="G7" s="214" t="s">
        <v>218</v>
      </c>
      <c r="H7" s="215"/>
      <c r="I7" s="216" t="s">
        <v>74</v>
      </c>
      <c r="J7" s="216" t="s">
        <v>75</v>
      </c>
      <c r="K7" s="217">
        <v>45685</v>
      </c>
      <c r="L7" s="218" t="s">
        <v>219</v>
      </c>
      <c r="M7" s="219" t="s">
        <v>220</v>
      </c>
      <c r="N7" s="220">
        <v>993973913</v>
      </c>
      <c r="O7" s="221">
        <v>29</v>
      </c>
      <c r="P7" s="218" t="s">
        <v>82</v>
      </c>
      <c r="Q7" s="218" t="s">
        <v>76</v>
      </c>
      <c r="R7" s="222"/>
      <c r="S7" s="222"/>
      <c r="T7" s="225" t="s">
        <v>221</v>
      </c>
      <c r="U7" s="223" t="s">
        <v>222</v>
      </c>
    </row>
    <row r="8" spans="1:21" ht="18">
      <c r="A8" s="92">
        <v>3</v>
      </c>
      <c r="B8" s="97">
        <v>45641</v>
      </c>
      <c r="C8" s="98" t="s">
        <v>87</v>
      </c>
      <c r="D8" s="93" t="s">
        <v>382</v>
      </c>
      <c r="E8" s="226">
        <v>111570002</v>
      </c>
      <c r="F8" s="227" t="s">
        <v>216</v>
      </c>
      <c r="G8" s="226" t="s">
        <v>383</v>
      </c>
      <c r="H8" s="228"/>
      <c r="I8" s="229" t="s">
        <v>74</v>
      </c>
      <c r="J8" s="229" t="s">
        <v>75</v>
      </c>
      <c r="K8" s="230">
        <v>45691</v>
      </c>
      <c r="L8" s="231" t="s">
        <v>384</v>
      </c>
      <c r="M8" s="231" t="s">
        <v>381</v>
      </c>
      <c r="N8" s="232">
        <v>964109673</v>
      </c>
      <c r="O8" s="233">
        <v>29</v>
      </c>
      <c r="P8" s="231" t="s">
        <v>81</v>
      </c>
      <c r="Q8" s="231" t="s">
        <v>76</v>
      </c>
      <c r="R8" s="234"/>
      <c r="S8" s="234" t="str">
        <f>+D8</f>
        <v>043-905-000048978</v>
      </c>
      <c r="T8" s="235">
        <v>105277271</v>
      </c>
      <c r="U8" s="236" t="s">
        <v>385</v>
      </c>
    </row>
    <row r="9" spans="1:21" ht="18">
      <c r="A9" s="92">
        <v>4</v>
      </c>
      <c r="B9" s="97">
        <v>45625</v>
      </c>
      <c r="C9" s="98" t="s">
        <v>317</v>
      </c>
      <c r="D9" s="93" t="s">
        <v>389</v>
      </c>
      <c r="E9" s="226">
        <v>111570002</v>
      </c>
      <c r="F9" s="227" t="s">
        <v>216</v>
      </c>
      <c r="G9" s="226" t="s">
        <v>386</v>
      </c>
      <c r="H9" s="228"/>
      <c r="I9" s="229" t="s">
        <v>74</v>
      </c>
      <c r="J9" s="229" t="s">
        <v>75</v>
      </c>
      <c r="K9" s="230">
        <v>45694</v>
      </c>
      <c r="L9" s="231" t="s">
        <v>387</v>
      </c>
      <c r="M9" s="231" t="s">
        <v>388</v>
      </c>
      <c r="N9" s="232">
        <v>985384847</v>
      </c>
      <c r="O9" s="233">
        <v>29</v>
      </c>
      <c r="P9" s="231" t="s">
        <v>81</v>
      </c>
      <c r="Q9" s="231" t="s">
        <v>76</v>
      </c>
      <c r="R9" s="234"/>
      <c r="S9" s="234" t="str">
        <f>D9</f>
        <v>040-104-000008328</v>
      </c>
      <c r="T9" s="235">
        <v>103817839</v>
      </c>
      <c r="U9" s="236" t="s">
        <v>390</v>
      </c>
    </row>
    <row r="10" spans="1:21" ht="18">
      <c r="A10" s="92">
        <v>5</v>
      </c>
      <c r="B10" s="97">
        <v>45694</v>
      </c>
      <c r="C10" s="98" t="s">
        <v>96</v>
      </c>
      <c r="D10" s="93"/>
      <c r="E10" s="226">
        <v>111570003</v>
      </c>
      <c r="F10" s="227" t="s">
        <v>78</v>
      </c>
      <c r="G10" s="226" t="s">
        <v>391</v>
      </c>
      <c r="H10" s="228"/>
      <c r="I10" s="229" t="s">
        <v>74</v>
      </c>
      <c r="J10" s="229" t="s">
        <v>75</v>
      </c>
      <c r="K10" s="230">
        <v>45694</v>
      </c>
      <c r="L10" s="231" t="s">
        <v>392</v>
      </c>
      <c r="M10" s="231" t="s">
        <v>393</v>
      </c>
      <c r="N10" s="232">
        <v>74114427</v>
      </c>
      <c r="O10" s="233">
        <v>29</v>
      </c>
      <c r="P10" s="231" t="s">
        <v>82</v>
      </c>
      <c r="Q10" s="231" t="s">
        <v>76</v>
      </c>
      <c r="R10" s="234"/>
      <c r="S10" s="234"/>
      <c r="T10" s="235">
        <v>104779830</v>
      </c>
      <c r="U10" s="236" t="s">
        <v>394</v>
      </c>
    </row>
    <row r="11" spans="1:21" ht="18">
      <c r="A11" s="92">
        <v>6</v>
      </c>
      <c r="B11" s="97">
        <v>45696</v>
      </c>
      <c r="C11" s="98" t="s">
        <v>215</v>
      </c>
      <c r="D11" s="93" t="s">
        <v>537</v>
      </c>
      <c r="E11" s="226">
        <v>111570002</v>
      </c>
      <c r="F11" s="227" t="s">
        <v>216</v>
      </c>
      <c r="G11" s="226" t="s">
        <v>545</v>
      </c>
      <c r="H11" s="228"/>
      <c r="I11" s="229" t="s">
        <v>74</v>
      </c>
      <c r="J11" s="229" t="s">
        <v>75</v>
      </c>
      <c r="K11" s="230">
        <v>45703</v>
      </c>
      <c r="L11" s="231" t="s">
        <v>538</v>
      </c>
      <c r="M11" s="231" t="s">
        <v>359</v>
      </c>
      <c r="N11" s="232">
        <v>991047765</v>
      </c>
      <c r="O11" s="233">
        <v>29</v>
      </c>
      <c r="P11" s="231" t="s">
        <v>81</v>
      </c>
      <c r="Q11" s="231" t="s">
        <v>76</v>
      </c>
      <c r="R11" s="234"/>
      <c r="S11" s="234" t="str">
        <f t="shared" ref="S11:S13" si="0">D11</f>
        <v>040-104-000009831</v>
      </c>
      <c r="T11" s="235">
        <v>103326898</v>
      </c>
      <c r="U11" s="236" t="s">
        <v>539</v>
      </c>
    </row>
    <row r="12" spans="1:21" ht="18">
      <c r="A12" s="92">
        <v>7</v>
      </c>
      <c r="B12" s="97">
        <v>45643</v>
      </c>
      <c r="C12" s="98" t="s">
        <v>87</v>
      </c>
      <c r="D12" s="93" t="s">
        <v>544</v>
      </c>
      <c r="E12" s="226">
        <v>111570002</v>
      </c>
      <c r="F12" s="227" t="s">
        <v>78</v>
      </c>
      <c r="G12" s="226" t="s">
        <v>540</v>
      </c>
      <c r="H12" s="228"/>
      <c r="I12" s="229" t="s">
        <v>74</v>
      </c>
      <c r="J12" s="229" t="s">
        <v>75</v>
      </c>
      <c r="K12" s="230">
        <v>45703</v>
      </c>
      <c r="L12" s="231" t="s">
        <v>541</v>
      </c>
      <c r="M12" s="231" t="s">
        <v>542</v>
      </c>
      <c r="N12" s="232">
        <v>998274028</v>
      </c>
      <c r="O12" s="233">
        <v>29</v>
      </c>
      <c r="P12" s="231" t="s">
        <v>81</v>
      </c>
      <c r="Q12" s="231" t="s">
        <v>76</v>
      </c>
      <c r="R12" s="234"/>
      <c r="S12" s="234" t="str">
        <f t="shared" si="0"/>
        <v>043-104-000005458</v>
      </c>
      <c r="T12" s="235">
        <v>104131727</v>
      </c>
      <c r="U12" s="236" t="s">
        <v>543</v>
      </c>
    </row>
    <row r="13" spans="1:21" ht="18">
      <c r="A13" s="92">
        <v>8</v>
      </c>
      <c r="B13" s="240">
        <v>45696</v>
      </c>
      <c r="C13" s="241" t="s">
        <v>215</v>
      </c>
      <c r="D13" s="93" t="s">
        <v>549</v>
      </c>
      <c r="E13" s="226">
        <v>111570003</v>
      </c>
      <c r="F13" s="227" t="s">
        <v>78</v>
      </c>
      <c r="G13" s="226" t="s">
        <v>550</v>
      </c>
      <c r="H13" s="228"/>
      <c r="I13" s="229" t="s">
        <v>74</v>
      </c>
      <c r="J13" s="229" t="s">
        <v>75</v>
      </c>
      <c r="K13" s="230">
        <v>45703</v>
      </c>
      <c r="L13" s="231" t="s">
        <v>551</v>
      </c>
      <c r="M13" s="231" t="s">
        <v>552</v>
      </c>
      <c r="N13" s="232">
        <v>987874835</v>
      </c>
      <c r="O13" s="233">
        <v>29</v>
      </c>
      <c r="P13" s="231" t="s">
        <v>81</v>
      </c>
      <c r="Q13" s="231" t="s">
        <v>76</v>
      </c>
      <c r="R13" s="234"/>
      <c r="S13" s="234" t="str">
        <f t="shared" si="0"/>
        <v>040-104-000009848</v>
      </c>
      <c r="T13" s="235">
        <v>105393904</v>
      </c>
      <c r="U13" s="236" t="s">
        <v>553</v>
      </c>
    </row>
    <row r="14" spans="1:21">
      <c r="O14" s="181">
        <f>SUM(O6:O13)</f>
        <v>232</v>
      </c>
    </row>
    <row r="17" spans="1:4">
      <c r="D17" t="s">
        <v>546</v>
      </c>
    </row>
    <row r="22" spans="1:4">
      <c r="A22" t="s">
        <v>547</v>
      </c>
      <c r="D22" t="s">
        <v>83</v>
      </c>
    </row>
    <row r="23" spans="1:4">
      <c r="B23" t="s">
        <v>548</v>
      </c>
    </row>
  </sheetData>
  <hyperlinks>
    <hyperlink ref="U6" r:id="rId1" xr:uid="{BDC81780-4238-9E48-BC99-37DD8461A49F}"/>
    <hyperlink ref="U7" r:id="rId2" xr:uid="{5E04D343-7DEB-ED49-A8A2-AC17EE7CEF20}"/>
    <hyperlink ref="U8" r:id="rId3" xr:uid="{0D3DCE5B-9BA0-514B-90C1-5697CF62159E}"/>
    <hyperlink ref="U9" r:id="rId4" xr:uid="{811DB3FC-8481-E648-AF10-F4A02843ABF9}"/>
    <hyperlink ref="U10" r:id="rId5" xr:uid="{1232E51F-8757-A940-9388-C0333B3C2180}"/>
    <hyperlink ref="U11" r:id="rId6" xr:uid="{FBA15B55-087F-8943-A1A8-1126A716275E}"/>
    <hyperlink ref="U12" r:id="rId7" xr:uid="{82B94479-1C79-A24E-A9AE-F74B99B940ED}"/>
    <hyperlink ref="U13" r:id="rId8" xr:uid="{56A337E7-4AF3-464F-824D-8442AC06A722}"/>
  </hyperlinks>
  <pageMargins left="0.7" right="0.7" top="0.75" bottom="0.75" header="0.3" footer="0.3"/>
  <drawing r:id="rId9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V11"/>
  <sheetViews>
    <sheetView workbookViewId="0">
      <selection activeCell="K17" sqref="K17"/>
    </sheetView>
  </sheetViews>
  <sheetFormatPr baseColWidth="10" defaultRowHeight="15"/>
  <cols>
    <col min="5" max="5" width="15.33203125" customWidth="1"/>
    <col min="6" max="6" width="32.83203125" customWidth="1"/>
    <col min="7" max="7" width="18.33203125" customWidth="1"/>
    <col min="10" max="10" width="15.6640625" customWidth="1"/>
    <col min="11" max="11" width="18.6640625" customWidth="1"/>
    <col min="12" max="12" width="23.83203125" customWidth="1"/>
    <col min="13" max="13" width="45.5" customWidth="1"/>
    <col min="14" max="14" width="16" customWidth="1"/>
  </cols>
  <sheetData>
    <row r="3" spans="1:22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spans="1:22">
      <c r="A4" s="5"/>
      <c r="B4" s="5"/>
      <c r="C4" s="104" t="s">
        <v>51</v>
      </c>
      <c r="D4" s="105"/>
      <c r="E4" s="105"/>
      <c r="F4" s="5"/>
      <c r="G4" s="105"/>
      <c r="H4" s="105"/>
      <c r="I4" s="105"/>
      <c r="J4" s="105"/>
      <c r="K4" s="105"/>
      <c r="L4" s="105"/>
      <c r="M4" s="105"/>
      <c r="N4" s="105"/>
      <c r="O4" s="105"/>
      <c r="P4" s="5"/>
    </row>
    <row r="5" spans="1:22" ht="16" thickBot="1">
      <c r="A5" s="5"/>
      <c r="B5" s="105"/>
      <c r="C5" s="106" t="s">
        <v>1</v>
      </c>
      <c r="D5" s="106"/>
      <c r="E5" s="106"/>
      <c r="F5" s="5"/>
      <c r="J5" t="s">
        <v>62</v>
      </c>
      <c r="K5" s="5"/>
      <c r="L5" s="113" t="s">
        <v>148</v>
      </c>
      <c r="P5" s="5"/>
    </row>
    <row r="6" spans="1:22" s="23" customFormat="1" ht="58.5" customHeight="1">
      <c r="A6" s="107"/>
      <c r="B6" s="108" t="s">
        <v>52</v>
      </c>
      <c r="C6" s="109" t="s">
        <v>53</v>
      </c>
      <c r="D6" s="109" t="s">
        <v>4</v>
      </c>
      <c r="E6" s="110" t="s">
        <v>54</v>
      </c>
      <c r="F6" s="109" t="s">
        <v>55</v>
      </c>
      <c r="G6" s="109" t="s">
        <v>56</v>
      </c>
      <c r="H6" s="108" t="s">
        <v>8</v>
      </c>
      <c r="I6" s="109" t="s">
        <v>57</v>
      </c>
      <c r="J6" s="109" t="s">
        <v>58</v>
      </c>
      <c r="K6" s="109" t="s">
        <v>59</v>
      </c>
      <c r="L6" s="109" t="s">
        <v>12</v>
      </c>
      <c r="M6" s="111" t="s">
        <v>60</v>
      </c>
      <c r="N6" s="109" t="s">
        <v>14</v>
      </c>
      <c r="O6" s="112" t="s">
        <v>15</v>
      </c>
      <c r="P6" s="109" t="s">
        <v>61</v>
      </c>
      <c r="Q6" s="111"/>
      <c r="R6" s="111"/>
    </row>
    <row r="7" spans="1:22" s="38" customFormat="1" ht="24" customHeight="1">
      <c r="A7" s="24">
        <v>1</v>
      </c>
      <c r="B7" s="25"/>
      <c r="C7" s="26"/>
      <c r="D7" s="26"/>
      <c r="E7" s="27">
        <v>10104309</v>
      </c>
      <c r="F7" s="28" t="s">
        <v>616</v>
      </c>
      <c r="G7" s="29" t="s">
        <v>617</v>
      </c>
      <c r="H7" s="30" t="s">
        <v>42</v>
      </c>
      <c r="I7" s="26" t="s">
        <v>76</v>
      </c>
      <c r="J7" s="29" t="s">
        <v>77</v>
      </c>
      <c r="K7" s="31">
        <v>45685</v>
      </c>
      <c r="L7" s="32" t="s">
        <v>624</v>
      </c>
      <c r="M7" s="32" t="s">
        <v>621</v>
      </c>
      <c r="N7" s="242" t="s">
        <v>622</v>
      </c>
      <c r="O7" s="33">
        <v>12.5</v>
      </c>
      <c r="P7" s="26" t="s">
        <v>82</v>
      </c>
      <c r="Q7" s="26"/>
      <c r="R7" s="167"/>
      <c r="S7" s="34"/>
      <c r="T7" s="35"/>
      <c r="U7" s="36"/>
      <c r="V7" s="37"/>
    </row>
    <row r="8" spans="1:22" s="38" customFormat="1" ht="24" customHeight="1">
      <c r="A8" s="24">
        <v>2</v>
      </c>
      <c r="B8" s="25"/>
      <c r="C8" s="26"/>
      <c r="D8" s="26"/>
      <c r="E8" s="27">
        <v>10104309</v>
      </c>
      <c r="F8" s="28" t="s">
        <v>616</v>
      </c>
      <c r="G8" s="29" t="s">
        <v>618</v>
      </c>
      <c r="H8" s="30" t="s">
        <v>42</v>
      </c>
      <c r="I8" s="26" t="s">
        <v>76</v>
      </c>
      <c r="J8" s="29" t="s">
        <v>77</v>
      </c>
      <c r="K8" s="31">
        <v>45685</v>
      </c>
      <c r="L8" s="32" t="s">
        <v>624</v>
      </c>
      <c r="M8" s="32" t="s">
        <v>621</v>
      </c>
      <c r="N8" s="242" t="s">
        <v>622</v>
      </c>
      <c r="O8" s="33">
        <v>12.5</v>
      </c>
      <c r="P8" s="26" t="s">
        <v>82</v>
      </c>
      <c r="Q8" s="26"/>
      <c r="R8" s="167"/>
      <c r="S8" s="34"/>
      <c r="T8" s="35"/>
      <c r="U8" s="36"/>
      <c r="V8" s="37"/>
    </row>
    <row r="9" spans="1:22" ht="20" customHeight="1">
      <c r="A9" s="24">
        <v>3</v>
      </c>
      <c r="B9" s="25"/>
      <c r="C9" s="26"/>
      <c r="D9" s="26"/>
      <c r="E9" s="27">
        <v>10104309</v>
      </c>
      <c r="F9" s="28" t="s">
        <v>616</v>
      </c>
      <c r="G9" s="29" t="s">
        <v>619</v>
      </c>
      <c r="H9" s="30" t="s">
        <v>42</v>
      </c>
      <c r="I9" s="26" t="s">
        <v>76</v>
      </c>
      <c r="J9" s="29" t="s">
        <v>77</v>
      </c>
      <c r="K9" s="31">
        <v>45685</v>
      </c>
      <c r="L9" s="32" t="s">
        <v>624</v>
      </c>
      <c r="M9" s="32" t="s">
        <v>621</v>
      </c>
      <c r="N9" s="242" t="s">
        <v>622</v>
      </c>
      <c r="O9" s="33">
        <v>12.5</v>
      </c>
      <c r="P9" s="26" t="s">
        <v>82</v>
      </c>
      <c r="Q9" s="26"/>
      <c r="R9" s="167"/>
    </row>
    <row r="10" spans="1:22" ht="21" customHeight="1">
      <c r="A10" s="24">
        <v>4</v>
      </c>
      <c r="B10" s="25"/>
      <c r="C10" s="26"/>
      <c r="D10" s="26"/>
      <c r="E10" s="27">
        <v>10104309</v>
      </c>
      <c r="F10" s="28" t="s">
        <v>616</v>
      </c>
      <c r="G10" s="29" t="s">
        <v>620</v>
      </c>
      <c r="H10" s="30" t="s">
        <v>42</v>
      </c>
      <c r="I10" s="26" t="s">
        <v>76</v>
      </c>
      <c r="J10" s="29" t="s">
        <v>77</v>
      </c>
      <c r="K10" s="31">
        <v>45685</v>
      </c>
      <c r="L10" s="32" t="s">
        <v>624</v>
      </c>
      <c r="M10" s="32" t="s">
        <v>621</v>
      </c>
      <c r="N10" s="242" t="s">
        <v>622</v>
      </c>
      <c r="O10" s="33">
        <v>12.5</v>
      </c>
      <c r="P10" s="26" t="s">
        <v>82</v>
      </c>
      <c r="Q10" s="26"/>
      <c r="R10" s="167"/>
    </row>
    <row r="11" spans="1:22">
      <c r="O11" s="132">
        <f>SUM(O7:O10)</f>
        <v>50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42"/>
  <sheetViews>
    <sheetView workbookViewId="0">
      <selection activeCell="D14" sqref="D14"/>
    </sheetView>
  </sheetViews>
  <sheetFormatPr baseColWidth="10" defaultRowHeight="15"/>
  <cols>
    <col min="3" max="3" width="11.33203125" customWidth="1"/>
    <col min="6" max="6" width="13.33203125" customWidth="1"/>
    <col min="11" max="11" width="20" customWidth="1"/>
  </cols>
  <sheetData>
    <row r="1" spans="1:21">
      <c r="A1" s="114"/>
      <c r="B1" s="115" t="s">
        <v>63</v>
      </c>
      <c r="C1" s="116"/>
      <c r="D1" s="115"/>
      <c r="E1" s="117"/>
      <c r="F1" s="117"/>
      <c r="G1" s="118"/>
      <c r="H1" s="118"/>
      <c r="I1" s="118"/>
      <c r="J1" s="118"/>
      <c r="K1" s="118"/>
      <c r="L1" s="118"/>
      <c r="M1" s="119"/>
      <c r="N1" s="118"/>
      <c r="O1" s="118"/>
      <c r="P1" s="118"/>
    </row>
    <row r="2" spans="1:21">
      <c r="A2" s="114"/>
      <c r="B2" s="120">
        <v>45689</v>
      </c>
      <c r="C2" s="121"/>
      <c r="D2" s="117"/>
      <c r="E2" s="117"/>
      <c r="F2" s="117"/>
      <c r="G2" s="118"/>
      <c r="H2" s="118"/>
      <c r="I2" s="118"/>
      <c r="J2" s="118"/>
      <c r="K2" s="118"/>
      <c r="L2" s="118"/>
      <c r="M2" s="119"/>
      <c r="N2" s="118"/>
      <c r="O2" s="118"/>
      <c r="P2" s="118"/>
    </row>
    <row r="3" spans="1:21">
      <c r="A3" s="114"/>
      <c r="B3" s="122"/>
      <c r="C3" s="123"/>
      <c r="D3" s="122"/>
      <c r="E3" s="122"/>
      <c r="F3" s="122"/>
      <c r="G3" s="122"/>
      <c r="H3" s="122"/>
      <c r="I3" s="124"/>
      <c r="J3" s="122"/>
      <c r="K3" s="117"/>
      <c r="L3" s="117"/>
      <c r="M3" s="125"/>
      <c r="N3" s="118"/>
      <c r="O3" s="118"/>
      <c r="P3" s="122"/>
    </row>
    <row r="4" spans="1:21">
      <c r="A4" s="114"/>
      <c r="B4" s="118"/>
      <c r="C4" s="123" t="s">
        <v>0</v>
      </c>
      <c r="D4" s="118"/>
      <c r="E4" s="126"/>
      <c r="F4" s="118"/>
      <c r="G4" s="127"/>
      <c r="H4" s="118"/>
      <c r="I4" s="118"/>
      <c r="J4" s="118"/>
      <c r="K4" s="117"/>
      <c r="L4" s="121"/>
      <c r="M4" s="119"/>
      <c r="N4" s="118"/>
      <c r="O4" s="118"/>
      <c r="P4" s="118"/>
    </row>
    <row r="5" spans="1:21">
      <c r="A5" s="114"/>
      <c r="B5" s="118"/>
      <c r="C5" s="128" t="s">
        <v>1</v>
      </c>
      <c r="D5" s="128" t="s">
        <v>1</v>
      </c>
      <c r="E5" s="118"/>
      <c r="G5" s="118"/>
      <c r="H5" s="118"/>
      <c r="I5" s="118"/>
      <c r="J5" s="118" t="s">
        <v>73</v>
      </c>
      <c r="K5" s="118"/>
      <c r="L5" s="118"/>
      <c r="M5" s="200">
        <v>45689</v>
      </c>
    </row>
    <row r="6" spans="1:21" ht="37">
      <c r="A6" s="114"/>
      <c r="B6" s="129" t="s">
        <v>2</v>
      </c>
      <c r="C6" s="129" t="s">
        <v>3</v>
      </c>
      <c r="D6" s="129" t="s">
        <v>4</v>
      </c>
      <c r="E6" s="129" t="s">
        <v>5</v>
      </c>
      <c r="F6" s="130" t="s">
        <v>6</v>
      </c>
      <c r="G6" s="129" t="s">
        <v>7</v>
      </c>
      <c r="H6" s="129" t="s">
        <v>8</v>
      </c>
      <c r="I6" s="129" t="s">
        <v>9</v>
      </c>
      <c r="J6" s="129" t="s">
        <v>10</v>
      </c>
      <c r="K6" s="129" t="s">
        <v>11</v>
      </c>
      <c r="L6" s="129" t="s">
        <v>65</v>
      </c>
      <c r="M6" s="131" t="s">
        <v>66</v>
      </c>
      <c r="N6" s="129" t="s">
        <v>67</v>
      </c>
      <c r="O6" s="129" t="s">
        <v>64</v>
      </c>
      <c r="P6" s="129" t="s">
        <v>68</v>
      </c>
      <c r="Q6" s="129" t="s">
        <v>69</v>
      </c>
      <c r="R6" s="129" t="s">
        <v>70</v>
      </c>
      <c r="S6" s="129" t="s">
        <v>71</v>
      </c>
      <c r="T6" s="131" t="s">
        <v>72</v>
      </c>
      <c r="U6" s="129" t="s">
        <v>13</v>
      </c>
    </row>
    <row r="7" spans="1:21" s="39" customFormat="1" ht="24" customHeight="1">
      <c r="A7"/>
      <c r="B7" s="183"/>
      <c r="C7" s="183"/>
      <c r="D7" s="183"/>
      <c r="E7" s="183"/>
      <c r="F7" s="183"/>
      <c r="G7" s="183"/>
      <c r="H7" s="183"/>
      <c r="I7" s="183"/>
      <c r="J7" s="183"/>
      <c r="K7" s="183"/>
      <c r="L7" s="183"/>
      <c r="M7" s="183"/>
      <c r="N7" s="184"/>
      <c r="O7" s="183"/>
      <c r="P7" s="183"/>
      <c r="Q7" s="183"/>
      <c r="R7" s="183"/>
      <c r="S7" s="183"/>
      <c r="T7" s="183"/>
      <c r="U7" s="183"/>
    </row>
    <row r="8" spans="1:21" s="39" customFormat="1" ht="24" customHeight="1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</row>
    <row r="9" spans="1:21" s="39" customFormat="1" ht="24" customHeight="1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</row>
    <row r="10" spans="1:21" s="39" customFormat="1" ht="24" customHeight="1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</row>
    <row r="11" spans="1:21" s="39" customFormat="1" ht="24" customHeight="1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</row>
    <row r="12" spans="1:21" s="39" customFormat="1" ht="24" customHeight="1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</row>
    <row r="13" spans="1:21" s="39" customFormat="1" ht="24" customHeight="1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</row>
    <row r="14" spans="1:21" s="39" customFormat="1" ht="24" customHeight="1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</row>
    <row r="15" spans="1:21" s="39" customFormat="1" ht="24" customHeight="1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</row>
    <row r="16" spans="1:21" s="39" customFormat="1" ht="24" customHeight="1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</row>
    <row r="17" spans="1:21" s="39" customFormat="1" ht="24" customHeight="1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</row>
    <row r="18" spans="1:21" s="39" customFormat="1" ht="24" customHeight="1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</row>
    <row r="19" spans="1:21" s="39" customFormat="1" ht="24" customHeight="1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</row>
    <row r="20" spans="1:21" s="39" customFormat="1" ht="24" customHeight="1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</row>
    <row r="21" spans="1:21" s="39" customFormat="1" ht="24" customHeight="1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</row>
    <row r="22" spans="1:21" s="39" customFormat="1" ht="24" customHeight="1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</row>
    <row r="23" spans="1:21" s="39" customFormat="1" ht="24" customHeight="1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</row>
    <row r="24" spans="1:21" s="39" customFormat="1" ht="24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</row>
    <row r="25" spans="1:21" s="39" customFormat="1" ht="24" customHeight="1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</row>
    <row r="26" spans="1:21" s="39" customFormat="1" ht="24" customHeight="1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</row>
    <row r="27" spans="1:21" s="39" customFormat="1" ht="24" customHeight="1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</row>
    <row r="28" spans="1:21" s="39" customFormat="1" ht="24" customHeight="1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</row>
    <row r="29" spans="1:21" s="39" customFormat="1" ht="24" customHeight="1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</row>
    <row r="30" spans="1:21" s="39" customFormat="1" ht="24" customHeight="1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</row>
    <row r="31" spans="1:21" s="39" customFormat="1" ht="24" customHeight="1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</row>
    <row r="32" spans="1:21" s="39" customFormat="1" ht="24" customHeight="1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</row>
    <row r="33" spans="1:21" s="39" customFormat="1" ht="24" customHeight="1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</row>
    <row r="34" spans="1:21" s="39" customFormat="1" ht="24" customHeight="1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</row>
    <row r="35" spans="1:21" s="39" customFormat="1" ht="24" customHeight="1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</row>
    <row r="36" spans="1:21" s="39" customFormat="1" ht="24" customHeight="1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</row>
    <row r="37" spans="1:21" s="39" customFormat="1" ht="24" customHeight="1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</row>
    <row r="38" spans="1:21" s="39" customFormat="1" ht="24" customHeight="1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</row>
    <row r="39" spans="1:21" s="39" customFormat="1" ht="24" customHeight="1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</row>
    <row r="40" spans="1:21" s="39" customFormat="1" ht="24" customHeight="1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</row>
    <row r="41" spans="1:21" s="39" customFormat="1" ht="24" customHeight="1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</row>
    <row r="42" spans="1:21" s="39" customFormat="1" ht="24" customHeight="1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32"/>
  <sheetViews>
    <sheetView zoomScale="140" zoomScaleNormal="140" workbookViewId="0">
      <selection activeCell="J34" sqref="J34"/>
    </sheetView>
  </sheetViews>
  <sheetFormatPr baseColWidth="10" defaultRowHeight="15"/>
  <cols>
    <col min="1" max="1" width="3" customWidth="1"/>
    <col min="4" max="4" width="14.33203125" customWidth="1"/>
    <col min="5" max="5" width="13.1640625" customWidth="1"/>
    <col min="6" max="6" width="10.5" customWidth="1"/>
    <col min="7" max="7" width="20.6640625" customWidth="1"/>
    <col min="8" max="8" width="11.33203125" customWidth="1"/>
    <col min="9" max="9" width="4.6640625" customWidth="1"/>
    <col min="10" max="10" width="8" customWidth="1"/>
    <col min="11" max="11" width="7.6640625" customWidth="1"/>
    <col min="12" max="12" width="16.6640625" customWidth="1"/>
    <col min="13" max="13" width="19.33203125" customWidth="1"/>
    <col min="19" max="19" width="13" customWidth="1"/>
    <col min="21" max="21" width="28.1640625" customWidth="1"/>
  </cols>
  <sheetData>
    <row r="1" spans="1:21" ht="16">
      <c r="G1" s="162"/>
    </row>
    <row r="2" spans="1:21">
      <c r="B2" s="138"/>
      <c r="C2" s="139" t="s">
        <v>0</v>
      </c>
      <c r="F2" s="140"/>
      <c r="G2" s="141"/>
      <c r="H2" s="142"/>
      <c r="I2" s="143"/>
      <c r="J2" s="144"/>
      <c r="K2" s="145"/>
      <c r="L2" s="146"/>
      <c r="M2" s="146"/>
      <c r="N2" s="138"/>
      <c r="O2" s="147"/>
      <c r="T2" s="148"/>
    </row>
    <row r="3" spans="1:21">
      <c r="B3" s="138"/>
      <c r="C3" s="149" t="s">
        <v>1</v>
      </c>
      <c r="F3" s="150"/>
      <c r="G3" s="141"/>
      <c r="H3" s="142"/>
      <c r="I3" s="143"/>
      <c r="J3" s="144" t="s">
        <v>80</v>
      </c>
      <c r="K3" s="145"/>
      <c r="L3" s="146"/>
      <c r="M3" s="151"/>
      <c r="N3" s="152" t="s">
        <v>92</v>
      </c>
      <c r="O3" s="147"/>
      <c r="P3" s="153"/>
      <c r="T3" s="148"/>
    </row>
    <row r="4" spans="1:21" ht="30">
      <c r="B4" s="154" t="s">
        <v>11</v>
      </c>
      <c r="C4" s="154" t="s">
        <v>2</v>
      </c>
      <c r="D4" s="154" t="s">
        <v>3</v>
      </c>
      <c r="E4" s="154" t="s">
        <v>4</v>
      </c>
      <c r="F4" s="154" t="s">
        <v>5</v>
      </c>
      <c r="G4" s="154" t="s">
        <v>6</v>
      </c>
      <c r="H4" s="154" t="s">
        <v>7</v>
      </c>
      <c r="I4" s="154" t="s">
        <v>8</v>
      </c>
      <c r="J4" s="154" t="s">
        <v>9</v>
      </c>
      <c r="K4" s="154" t="s">
        <v>10</v>
      </c>
      <c r="L4" s="155" t="s">
        <v>12</v>
      </c>
      <c r="M4" s="155" t="s">
        <v>13</v>
      </c>
      <c r="N4" s="154" t="s">
        <v>14</v>
      </c>
      <c r="O4" s="156" t="s">
        <v>15</v>
      </c>
      <c r="P4" s="154" t="s">
        <v>16</v>
      </c>
      <c r="Q4" s="154" t="s">
        <v>17</v>
      </c>
      <c r="R4" s="157" t="s">
        <v>18</v>
      </c>
      <c r="S4" s="154" t="s">
        <v>19</v>
      </c>
      <c r="T4" s="154" t="s">
        <v>20</v>
      </c>
      <c r="U4" s="158" t="s">
        <v>21</v>
      </c>
    </row>
    <row r="5" spans="1:21">
      <c r="A5">
        <v>1</v>
      </c>
      <c r="B5" s="159">
        <v>45678</v>
      </c>
      <c r="C5" s="159">
        <v>45675</v>
      </c>
      <c r="D5" s="159" t="s">
        <v>87</v>
      </c>
      <c r="E5" s="159" t="s">
        <v>103</v>
      </c>
      <c r="F5" s="160" t="s">
        <v>88</v>
      </c>
      <c r="G5" s="159" t="s">
        <v>89</v>
      </c>
      <c r="H5" s="159" t="s">
        <v>90</v>
      </c>
      <c r="I5" s="160" t="s">
        <v>42</v>
      </c>
      <c r="J5" s="159" t="s">
        <v>76</v>
      </c>
      <c r="K5" s="159" t="s">
        <v>77</v>
      </c>
      <c r="L5" s="159" t="s">
        <v>91</v>
      </c>
      <c r="M5" s="159" t="s">
        <v>93</v>
      </c>
      <c r="N5" s="160" t="s">
        <v>117</v>
      </c>
      <c r="O5" s="161">
        <v>15</v>
      </c>
      <c r="P5" s="159" t="s">
        <v>81</v>
      </c>
      <c r="Q5" s="159" t="s">
        <v>76</v>
      </c>
      <c r="R5" s="159"/>
      <c r="S5" s="159" t="str">
        <f>E5</f>
        <v>016-902-000494155</v>
      </c>
      <c r="T5" s="197" t="s">
        <v>94</v>
      </c>
      <c r="U5" s="193" t="s">
        <v>95</v>
      </c>
    </row>
    <row r="6" spans="1:21">
      <c r="A6">
        <v>2</v>
      </c>
      <c r="B6" s="159">
        <v>45679</v>
      </c>
      <c r="C6" s="159">
        <v>45678</v>
      </c>
      <c r="D6" s="159" t="s">
        <v>96</v>
      </c>
      <c r="E6" s="159" t="s">
        <v>102</v>
      </c>
      <c r="F6" s="160" t="s">
        <v>104</v>
      </c>
      <c r="G6" s="159" t="s">
        <v>105</v>
      </c>
      <c r="H6" s="159" t="s">
        <v>106</v>
      </c>
      <c r="I6" s="160" t="s">
        <v>42</v>
      </c>
      <c r="J6" s="159" t="s">
        <v>76</v>
      </c>
      <c r="K6" s="159" t="s">
        <v>77</v>
      </c>
      <c r="L6" s="159" t="s">
        <v>107</v>
      </c>
      <c r="M6" s="159" t="s">
        <v>108</v>
      </c>
      <c r="N6" s="160" t="s">
        <v>118</v>
      </c>
      <c r="O6" s="161">
        <v>25</v>
      </c>
      <c r="P6" s="159" t="s">
        <v>81</v>
      </c>
      <c r="Q6" s="159" t="s">
        <v>76</v>
      </c>
      <c r="R6" s="159"/>
      <c r="S6" s="159" t="str">
        <f>E6</f>
        <v>001-500-000070305</v>
      </c>
      <c r="T6" s="197" t="s">
        <v>97</v>
      </c>
      <c r="U6" s="193" t="s">
        <v>109</v>
      </c>
    </row>
    <row r="7" spans="1:21">
      <c r="A7">
        <v>3</v>
      </c>
      <c r="B7" s="159">
        <v>45679</v>
      </c>
      <c r="C7" s="159">
        <v>45673</v>
      </c>
      <c r="D7" s="159" t="s">
        <v>110</v>
      </c>
      <c r="E7" s="159" t="s">
        <v>111</v>
      </c>
      <c r="F7" s="160" t="s">
        <v>112</v>
      </c>
      <c r="G7" s="159" t="s">
        <v>113</v>
      </c>
      <c r="H7" s="159" t="s">
        <v>114</v>
      </c>
      <c r="I7" s="160" t="s">
        <v>42</v>
      </c>
      <c r="J7" s="159" t="s">
        <v>76</v>
      </c>
      <c r="K7" s="159" t="s">
        <v>77</v>
      </c>
      <c r="L7" s="159" t="s">
        <v>115</v>
      </c>
      <c r="M7" s="159" t="s">
        <v>116</v>
      </c>
      <c r="N7" s="160" t="s">
        <v>119</v>
      </c>
      <c r="O7" s="161">
        <v>36</v>
      </c>
      <c r="P7" s="159" t="s">
        <v>81</v>
      </c>
      <c r="Q7" s="159" t="s">
        <v>76</v>
      </c>
      <c r="R7" s="159"/>
      <c r="S7" s="159" t="str">
        <f t="shared" ref="S7:S19" si="0">E7</f>
        <v>002-201-00004019</v>
      </c>
      <c r="T7" s="197" t="s">
        <v>98</v>
      </c>
      <c r="U7" s="193" t="s">
        <v>120</v>
      </c>
    </row>
    <row r="8" spans="1:21">
      <c r="A8">
        <v>4</v>
      </c>
      <c r="B8" s="159">
        <v>45681</v>
      </c>
      <c r="C8" s="159">
        <v>45563</v>
      </c>
      <c r="D8" s="159" t="s">
        <v>173</v>
      </c>
      <c r="E8" s="159" t="s">
        <v>174</v>
      </c>
      <c r="F8" s="160" t="s">
        <v>175</v>
      </c>
      <c r="G8" s="159" t="s">
        <v>177</v>
      </c>
      <c r="H8" s="159" t="s">
        <v>176</v>
      </c>
      <c r="I8" s="160" t="s">
        <v>42</v>
      </c>
      <c r="J8" s="159" t="s">
        <v>76</v>
      </c>
      <c r="K8" s="159" t="s">
        <v>77</v>
      </c>
      <c r="L8" s="159" t="s">
        <v>178</v>
      </c>
      <c r="M8" s="159" t="s">
        <v>179</v>
      </c>
      <c r="N8" s="160" t="s">
        <v>180</v>
      </c>
      <c r="O8" s="161">
        <v>25</v>
      </c>
      <c r="P8" s="159" t="s">
        <v>81</v>
      </c>
      <c r="Q8" s="159" t="s">
        <v>76</v>
      </c>
      <c r="R8" s="159"/>
      <c r="S8" s="159" t="str">
        <f t="shared" si="0"/>
        <v>006-002-00015677</v>
      </c>
      <c r="T8" s="197" t="s">
        <v>99</v>
      </c>
      <c r="U8" s="193" t="s">
        <v>181</v>
      </c>
    </row>
    <row r="9" spans="1:21">
      <c r="A9">
        <v>5</v>
      </c>
      <c r="B9" s="159">
        <v>45681</v>
      </c>
      <c r="C9" s="159">
        <v>45625</v>
      </c>
      <c r="D9" s="159" t="s">
        <v>173</v>
      </c>
      <c r="E9" s="159" t="s">
        <v>182</v>
      </c>
      <c r="F9" s="160" t="s">
        <v>183</v>
      </c>
      <c r="G9" s="159" t="s">
        <v>184</v>
      </c>
      <c r="H9" s="159" t="s">
        <v>185</v>
      </c>
      <c r="I9" s="160" t="s">
        <v>42</v>
      </c>
      <c r="J9" s="159" t="s">
        <v>76</v>
      </c>
      <c r="K9" s="159" t="s">
        <v>77</v>
      </c>
      <c r="L9" s="159" t="s">
        <v>186</v>
      </c>
      <c r="M9" s="159" t="s">
        <v>161</v>
      </c>
      <c r="N9" s="160" t="s">
        <v>187</v>
      </c>
      <c r="O9" s="161">
        <v>29</v>
      </c>
      <c r="P9" s="159" t="s">
        <v>81</v>
      </c>
      <c r="Q9" s="159" t="s">
        <v>76</v>
      </c>
      <c r="R9" s="159"/>
      <c r="S9" s="159" t="str">
        <f t="shared" si="0"/>
        <v>006-002-000157093</v>
      </c>
      <c r="T9" s="197" t="s">
        <v>100</v>
      </c>
      <c r="U9" s="193" t="s">
        <v>188</v>
      </c>
    </row>
    <row r="10" spans="1:21">
      <c r="A10">
        <v>6</v>
      </c>
      <c r="B10" s="159">
        <v>45684</v>
      </c>
      <c r="C10" s="159">
        <v>45679</v>
      </c>
      <c r="D10" s="159" t="s">
        <v>87</v>
      </c>
      <c r="E10" s="159" t="s">
        <v>223</v>
      </c>
      <c r="F10" s="160" t="s">
        <v>224</v>
      </c>
      <c r="G10" s="159" t="s">
        <v>226</v>
      </c>
      <c r="H10" s="159" t="s">
        <v>225</v>
      </c>
      <c r="I10" s="160" t="s">
        <v>42</v>
      </c>
      <c r="J10" s="159" t="s">
        <v>76</v>
      </c>
      <c r="K10" s="159" t="s">
        <v>77</v>
      </c>
      <c r="L10" s="159" t="s">
        <v>227</v>
      </c>
      <c r="M10" s="159" t="s">
        <v>228</v>
      </c>
      <c r="N10" s="160" t="s">
        <v>229</v>
      </c>
      <c r="O10" s="161">
        <v>15</v>
      </c>
      <c r="P10" s="159" t="s">
        <v>81</v>
      </c>
      <c r="Q10" s="159" t="s">
        <v>76</v>
      </c>
      <c r="R10" s="159"/>
      <c r="S10" s="159" t="str">
        <f t="shared" si="0"/>
        <v>043-905-000054256</v>
      </c>
      <c r="T10" s="197" t="s">
        <v>101</v>
      </c>
      <c r="U10" s="193" t="s">
        <v>230</v>
      </c>
    </row>
    <row r="11" spans="1:21">
      <c r="A11">
        <v>7</v>
      </c>
      <c r="B11" s="159">
        <v>45685</v>
      </c>
      <c r="C11" s="159">
        <v>45679</v>
      </c>
      <c r="D11" s="159" t="s">
        <v>87</v>
      </c>
      <c r="E11" s="159" t="s">
        <v>231</v>
      </c>
      <c r="F11" s="160" t="s">
        <v>232</v>
      </c>
      <c r="G11" s="159" t="s">
        <v>233</v>
      </c>
      <c r="H11" s="159" t="s">
        <v>234</v>
      </c>
      <c r="I11" s="160" t="s">
        <v>42</v>
      </c>
      <c r="J11" s="159" t="s">
        <v>76</v>
      </c>
      <c r="K11" s="159" t="s">
        <v>77</v>
      </c>
      <c r="L11" s="159" t="s">
        <v>235</v>
      </c>
      <c r="M11" s="159" t="s">
        <v>236</v>
      </c>
      <c r="N11" s="160" t="s">
        <v>237</v>
      </c>
      <c r="O11" s="161">
        <v>36</v>
      </c>
      <c r="P11" s="159" t="s">
        <v>81</v>
      </c>
      <c r="Q11" s="159" t="s">
        <v>76</v>
      </c>
      <c r="R11" s="159"/>
      <c r="S11" s="159" t="str">
        <f t="shared" si="0"/>
        <v>016-907-000235881</v>
      </c>
      <c r="T11" s="197" t="s">
        <v>238</v>
      </c>
      <c r="U11" s="193" t="s">
        <v>239</v>
      </c>
    </row>
    <row r="12" spans="1:21">
      <c r="A12">
        <v>8</v>
      </c>
      <c r="B12" s="159">
        <v>45685</v>
      </c>
      <c r="C12" s="159">
        <v>45680</v>
      </c>
      <c r="D12" s="159" t="s">
        <v>240</v>
      </c>
      <c r="E12" s="159" t="s">
        <v>241</v>
      </c>
      <c r="F12" s="160" t="s">
        <v>242</v>
      </c>
      <c r="G12" s="159" t="s">
        <v>244</v>
      </c>
      <c r="H12" s="159" t="s">
        <v>243</v>
      </c>
      <c r="I12" s="160" t="s">
        <v>42</v>
      </c>
      <c r="J12" s="159" t="s">
        <v>76</v>
      </c>
      <c r="K12" s="159" t="s">
        <v>77</v>
      </c>
      <c r="L12" s="159" t="s">
        <v>245</v>
      </c>
      <c r="M12" s="159" t="s">
        <v>246</v>
      </c>
      <c r="N12" s="160" t="s">
        <v>247</v>
      </c>
      <c r="O12" s="161">
        <v>15</v>
      </c>
      <c r="P12" s="159" t="s">
        <v>81</v>
      </c>
      <c r="Q12" s="159" t="s">
        <v>76</v>
      </c>
      <c r="R12" s="159"/>
      <c r="S12" s="159" t="str">
        <f t="shared" si="0"/>
        <v>001-501-000003442</v>
      </c>
      <c r="T12" s="197" t="s">
        <v>248</v>
      </c>
      <c r="U12" s="193" t="s">
        <v>249</v>
      </c>
    </row>
    <row r="13" spans="1:21">
      <c r="A13">
        <v>9</v>
      </c>
      <c r="B13" s="159">
        <v>45686</v>
      </c>
      <c r="C13" s="159">
        <v>45681</v>
      </c>
      <c r="D13" s="159" t="s">
        <v>96</v>
      </c>
      <c r="E13" s="159" t="s">
        <v>250</v>
      </c>
      <c r="F13" s="160" t="s">
        <v>251</v>
      </c>
      <c r="G13" s="159" t="s">
        <v>252</v>
      </c>
      <c r="H13" s="159" t="s">
        <v>253</v>
      </c>
      <c r="I13" s="160" t="s">
        <v>42</v>
      </c>
      <c r="J13" s="159" t="s">
        <v>76</v>
      </c>
      <c r="K13" s="159" t="s">
        <v>77</v>
      </c>
      <c r="L13" s="159" t="s">
        <v>254</v>
      </c>
      <c r="M13" s="159" t="s">
        <v>255</v>
      </c>
      <c r="N13" s="160" t="s">
        <v>256</v>
      </c>
      <c r="O13" s="161">
        <v>25</v>
      </c>
      <c r="P13" s="159" t="s">
        <v>81</v>
      </c>
      <c r="Q13" s="159" t="s">
        <v>76</v>
      </c>
      <c r="R13" s="159"/>
      <c r="S13" s="159" t="str">
        <f t="shared" si="0"/>
        <v>001-500-000070579</v>
      </c>
      <c r="T13" s="197" t="s">
        <v>257</v>
      </c>
      <c r="U13" s="193" t="s">
        <v>258</v>
      </c>
    </row>
    <row r="14" spans="1:21">
      <c r="A14">
        <v>10</v>
      </c>
      <c r="B14" s="159">
        <v>45686</v>
      </c>
      <c r="C14" s="159">
        <v>45656</v>
      </c>
      <c r="D14" s="159" t="s">
        <v>87</v>
      </c>
      <c r="E14" s="159" t="s">
        <v>300</v>
      </c>
      <c r="F14" s="160" t="s">
        <v>301</v>
      </c>
      <c r="G14" s="159" t="s">
        <v>153</v>
      </c>
      <c r="H14" s="159" t="s">
        <v>302</v>
      </c>
      <c r="I14" s="160" t="s">
        <v>42</v>
      </c>
      <c r="J14" s="159" t="s">
        <v>76</v>
      </c>
      <c r="K14" s="159" t="s">
        <v>77</v>
      </c>
      <c r="L14" s="159" t="s">
        <v>303</v>
      </c>
      <c r="M14" s="159" t="s">
        <v>304</v>
      </c>
      <c r="N14" s="160" t="s">
        <v>305</v>
      </c>
      <c r="O14" s="161">
        <v>29</v>
      </c>
      <c r="P14" s="159" t="s">
        <v>81</v>
      </c>
      <c r="Q14" s="159" t="s">
        <v>76</v>
      </c>
      <c r="R14" s="159"/>
      <c r="S14" s="159" t="str">
        <f t="shared" si="0"/>
        <v>043-903-000050370</v>
      </c>
      <c r="T14" s="197" t="s">
        <v>306</v>
      </c>
      <c r="U14" s="193" t="s">
        <v>307</v>
      </c>
    </row>
    <row r="15" spans="1:21">
      <c r="A15">
        <v>11</v>
      </c>
      <c r="B15" s="159">
        <v>45687</v>
      </c>
      <c r="C15" s="159">
        <v>45656</v>
      </c>
      <c r="D15" s="159" t="s">
        <v>173</v>
      </c>
      <c r="E15" s="159" t="s">
        <v>308</v>
      </c>
      <c r="F15" s="160" t="s">
        <v>309</v>
      </c>
      <c r="G15" s="159" t="s">
        <v>310</v>
      </c>
      <c r="H15" s="159" t="s">
        <v>311</v>
      </c>
      <c r="I15" s="160" t="s">
        <v>42</v>
      </c>
      <c r="J15" s="159" t="s">
        <v>76</v>
      </c>
      <c r="K15" s="159" t="s">
        <v>77</v>
      </c>
      <c r="L15" s="159" t="s">
        <v>312</v>
      </c>
      <c r="M15" s="159" t="s">
        <v>313</v>
      </c>
      <c r="N15" s="160" t="s">
        <v>314</v>
      </c>
      <c r="O15" s="161">
        <v>25</v>
      </c>
      <c r="P15" s="159" t="s">
        <v>81</v>
      </c>
      <c r="Q15" s="159" t="s">
        <v>76</v>
      </c>
      <c r="R15" s="159"/>
      <c r="S15" s="159" t="str">
        <f t="shared" si="0"/>
        <v>006-002-000157310</v>
      </c>
      <c r="T15" s="197" t="s">
        <v>315</v>
      </c>
      <c r="U15" s="193" t="s">
        <v>316</v>
      </c>
    </row>
    <row r="16" spans="1:21">
      <c r="A16">
        <v>12</v>
      </c>
      <c r="B16" s="159">
        <v>45691</v>
      </c>
      <c r="C16" s="159">
        <v>45781</v>
      </c>
      <c r="D16" s="159" t="s">
        <v>317</v>
      </c>
      <c r="E16" s="159" t="s">
        <v>318</v>
      </c>
      <c r="F16" s="160" t="s">
        <v>319</v>
      </c>
      <c r="G16" s="159" t="s">
        <v>320</v>
      </c>
      <c r="H16" s="159" t="s">
        <v>321</v>
      </c>
      <c r="I16" s="160" t="s">
        <v>42</v>
      </c>
      <c r="J16" s="159" t="s">
        <v>76</v>
      </c>
      <c r="K16" s="159" t="s">
        <v>77</v>
      </c>
      <c r="L16" s="159" t="s">
        <v>322</v>
      </c>
      <c r="M16" s="159" t="s">
        <v>323</v>
      </c>
      <c r="N16" s="160" t="s">
        <v>324</v>
      </c>
      <c r="O16" s="161">
        <v>36</v>
      </c>
      <c r="P16" s="159" t="s">
        <v>81</v>
      </c>
      <c r="Q16" s="159" t="s">
        <v>76</v>
      </c>
      <c r="R16" s="159"/>
      <c r="S16" s="159" t="str">
        <f t="shared" si="0"/>
        <v>040-104-000004319</v>
      </c>
      <c r="T16" s="197" t="s">
        <v>325</v>
      </c>
      <c r="U16" s="193" t="s">
        <v>326</v>
      </c>
    </row>
    <row r="17" spans="1:21">
      <c r="A17">
        <v>13</v>
      </c>
      <c r="B17" s="159">
        <v>45691</v>
      </c>
      <c r="C17" s="159">
        <v>45682</v>
      </c>
      <c r="D17" s="159" t="s">
        <v>317</v>
      </c>
      <c r="E17" s="159" t="s">
        <v>327</v>
      </c>
      <c r="F17" s="160" t="s">
        <v>328</v>
      </c>
      <c r="G17" s="159" t="s">
        <v>329</v>
      </c>
      <c r="H17" s="159" t="s">
        <v>330</v>
      </c>
      <c r="I17" s="160" t="s">
        <v>42</v>
      </c>
      <c r="J17" s="159" t="s">
        <v>76</v>
      </c>
      <c r="K17" s="159" t="s">
        <v>77</v>
      </c>
      <c r="L17" s="159" t="s">
        <v>331</v>
      </c>
      <c r="M17" s="159" t="s">
        <v>332</v>
      </c>
      <c r="N17" s="160" t="s">
        <v>333</v>
      </c>
      <c r="O17" s="161">
        <v>25</v>
      </c>
      <c r="P17" s="159" t="s">
        <v>81</v>
      </c>
      <c r="Q17" s="159" t="s">
        <v>76</v>
      </c>
      <c r="R17" s="159"/>
      <c r="S17" s="159" t="str">
        <f t="shared" si="0"/>
        <v>044-013-000012807</v>
      </c>
      <c r="T17" s="197" t="s">
        <v>334</v>
      </c>
      <c r="U17" s="193" t="s">
        <v>335</v>
      </c>
    </row>
    <row r="18" spans="1:21">
      <c r="A18">
        <v>14</v>
      </c>
      <c r="B18" s="159">
        <v>45692</v>
      </c>
      <c r="C18" s="159">
        <v>45654</v>
      </c>
      <c r="D18" s="159" t="s">
        <v>87</v>
      </c>
      <c r="E18" s="159" t="s">
        <v>341</v>
      </c>
      <c r="F18" s="160" t="s">
        <v>342</v>
      </c>
      <c r="G18" s="159" t="s">
        <v>123</v>
      </c>
      <c r="H18" s="159" t="s">
        <v>343</v>
      </c>
      <c r="I18" s="160" t="s">
        <v>42</v>
      </c>
      <c r="J18" s="159" t="s">
        <v>76</v>
      </c>
      <c r="K18" s="159" t="s">
        <v>77</v>
      </c>
      <c r="L18" s="159" t="s">
        <v>344</v>
      </c>
      <c r="M18" s="159" t="s">
        <v>212</v>
      </c>
      <c r="N18" s="160" t="s">
        <v>345</v>
      </c>
      <c r="O18" s="161">
        <v>25</v>
      </c>
      <c r="P18" s="159" t="s">
        <v>81</v>
      </c>
      <c r="Q18" s="159" t="s">
        <v>76</v>
      </c>
      <c r="R18" s="159"/>
      <c r="S18" s="159" t="str">
        <f t="shared" ref="S18" si="1">E18</f>
        <v>043-905-000050733</v>
      </c>
      <c r="T18" s="197" t="s">
        <v>346</v>
      </c>
      <c r="U18" s="193" t="s">
        <v>347</v>
      </c>
    </row>
    <row r="19" spans="1:21">
      <c r="A19">
        <v>15</v>
      </c>
      <c r="B19" s="159">
        <v>45694</v>
      </c>
      <c r="C19" s="159">
        <v>45619</v>
      </c>
      <c r="D19" s="159" t="s">
        <v>317</v>
      </c>
      <c r="E19" s="159" t="s">
        <v>350</v>
      </c>
      <c r="F19" s="160" t="s">
        <v>342</v>
      </c>
      <c r="G19" s="159" t="s">
        <v>348</v>
      </c>
      <c r="H19" s="159" t="s">
        <v>349</v>
      </c>
      <c r="I19" s="160" t="s">
        <v>42</v>
      </c>
      <c r="J19" s="159" t="s">
        <v>76</v>
      </c>
      <c r="K19" s="159" t="s">
        <v>77</v>
      </c>
      <c r="L19" s="159" t="s">
        <v>322</v>
      </c>
      <c r="M19" s="159" t="s">
        <v>323</v>
      </c>
      <c r="N19" s="160" t="s">
        <v>351</v>
      </c>
      <c r="O19" s="161">
        <v>25</v>
      </c>
      <c r="P19" s="159" t="s">
        <v>81</v>
      </c>
      <c r="Q19" s="159" t="s">
        <v>76</v>
      </c>
      <c r="R19" s="159"/>
      <c r="S19" s="159" t="str">
        <f t="shared" si="0"/>
        <v>040-105-000001748</v>
      </c>
      <c r="T19" s="197" t="s">
        <v>352</v>
      </c>
      <c r="U19" s="193" t="s">
        <v>353</v>
      </c>
    </row>
    <row r="20" spans="1:21">
      <c r="A20">
        <v>16</v>
      </c>
      <c r="B20" s="159">
        <v>45695</v>
      </c>
      <c r="C20" s="159">
        <v>45689</v>
      </c>
      <c r="D20" s="208" t="s">
        <v>96</v>
      </c>
      <c r="E20" s="208" t="s">
        <v>354</v>
      </c>
      <c r="F20" s="210" t="s">
        <v>355</v>
      </c>
      <c r="G20" s="208" t="s">
        <v>356</v>
      </c>
      <c r="H20" s="159" t="s">
        <v>357</v>
      </c>
      <c r="I20" s="160" t="s">
        <v>42</v>
      </c>
      <c r="J20" s="159" t="s">
        <v>76</v>
      </c>
      <c r="K20" s="159" t="s">
        <v>77</v>
      </c>
      <c r="L20" s="159" t="s">
        <v>358</v>
      </c>
      <c r="M20" s="159" t="s">
        <v>359</v>
      </c>
      <c r="N20" s="160" t="s">
        <v>360</v>
      </c>
      <c r="O20" s="161">
        <v>25</v>
      </c>
      <c r="P20" s="159" t="s">
        <v>81</v>
      </c>
      <c r="Q20" s="159" t="s">
        <v>76</v>
      </c>
      <c r="R20" s="159"/>
      <c r="S20" s="159" t="str">
        <f t="shared" ref="S20:S31" si="2">E20</f>
        <v>001-500-000070569</v>
      </c>
      <c r="T20" s="197" t="s">
        <v>361</v>
      </c>
      <c r="U20" s="193" t="s">
        <v>362</v>
      </c>
    </row>
    <row r="21" spans="1:21">
      <c r="A21">
        <v>17</v>
      </c>
      <c r="B21" s="159">
        <v>45694</v>
      </c>
      <c r="C21" s="202">
        <v>45688</v>
      </c>
      <c r="D21" s="207" t="s">
        <v>215</v>
      </c>
      <c r="E21" s="209" t="s">
        <v>363</v>
      </c>
      <c r="F21" s="203" t="s">
        <v>364</v>
      </c>
      <c r="G21" s="159" t="s">
        <v>365</v>
      </c>
      <c r="H21" s="159" t="s">
        <v>366</v>
      </c>
      <c r="I21" s="160" t="s">
        <v>42</v>
      </c>
      <c r="J21" s="159" t="s">
        <v>76</v>
      </c>
      <c r="K21" s="159" t="s">
        <v>77</v>
      </c>
      <c r="L21" s="159" t="s">
        <v>367</v>
      </c>
      <c r="M21" s="159" t="s">
        <v>368</v>
      </c>
      <c r="N21" s="160" t="s">
        <v>369</v>
      </c>
      <c r="O21" s="161">
        <v>29</v>
      </c>
      <c r="P21" s="159" t="s">
        <v>81</v>
      </c>
      <c r="Q21" s="159" t="s">
        <v>76</v>
      </c>
      <c r="R21" s="159"/>
      <c r="S21" s="159" t="str">
        <f t="shared" si="2"/>
        <v>040-103-000011676</v>
      </c>
      <c r="T21" s="197" t="s">
        <v>370</v>
      </c>
      <c r="U21" s="193" t="s">
        <v>371</v>
      </c>
    </row>
    <row r="22" spans="1:21">
      <c r="A22">
        <v>18</v>
      </c>
      <c r="B22" s="159">
        <v>45694</v>
      </c>
      <c r="C22" s="212">
        <v>45691</v>
      </c>
      <c r="D22" s="211" t="s">
        <v>173</v>
      </c>
      <c r="E22" s="206" t="s">
        <v>372</v>
      </c>
      <c r="F22" s="203" t="s">
        <v>373</v>
      </c>
      <c r="G22" s="159" t="s">
        <v>374</v>
      </c>
      <c r="H22" s="159" t="s">
        <v>375</v>
      </c>
      <c r="I22" s="160" t="s">
        <v>42</v>
      </c>
      <c r="J22" s="159" t="s">
        <v>76</v>
      </c>
      <c r="K22" s="159" t="s">
        <v>77</v>
      </c>
      <c r="L22" s="159" t="s">
        <v>376</v>
      </c>
      <c r="M22" s="159" t="s">
        <v>377</v>
      </c>
      <c r="N22" s="160" t="s">
        <v>378</v>
      </c>
      <c r="O22" s="161">
        <v>15</v>
      </c>
      <c r="P22" s="159" t="s">
        <v>81</v>
      </c>
      <c r="Q22" s="159" t="s">
        <v>76</v>
      </c>
      <c r="R22" s="159"/>
      <c r="S22" s="159" t="str">
        <f t="shared" si="2"/>
        <v>007-006-00013564</v>
      </c>
      <c r="T22" s="197" t="s">
        <v>379</v>
      </c>
      <c r="U22" s="193" t="s">
        <v>380</v>
      </c>
    </row>
    <row r="23" spans="1:21">
      <c r="A23">
        <v>19</v>
      </c>
      <c r="B23" s="159">
        <v>45698</v>
      </c>
      <c r="C23" s="212">
        <v>45681</v>
      </c>
      <c r="D23" s="211" t="s">
        <v>410</v>
      </c>
      <c r="E23" s="205" t="s">
        <v>411</v>
      </c>
      <c r="F23" s="203" t="s">
        <v>412</v>
      </c>
      <c r="G23" s="159" t="s">
        <v>413</v>
      </c>
      <c r="H23" s="159" t="s">
        <v>414</v>
      </c>
      <c r="I23" s="160" t="s">
        <v>42</v>
      </c>
      <c r="J23" s="159" t="s">
        <v>76</v>
      </c>
      <c r="K23" s="159" t="s">
        <v>77</v>
      </c>
      <c r="L23" s="159" t="s">
        <v>415</v>
      </c>
      <c r="M23" s="159" t="s">
        <v>416</v>
      </c>
      <c r="N23" s="160" t="s">
        <v>417</v>
      </c>
      <c r="O23" s="161">
        <v>15</v>
      </c>
      <c r="P23" s="159" t="s">
        <v>81</v>
      </c>
      <c r="Q23" s="159" t="s">
        <v>76</v>
      </c>
      <c r="R23" s="159"/>
      <c r="S23" s="159" t="str">
        <f t="shared" si="2"/>
        <v>002-201-00004403</v>
      </c>
      <c r="T23" s="197" t="s">
        <v>418</v>
      </c>
      <c r="U23" s="193" t="s">
        <v>419</v>
      </c>
    </row>
    <row r="24" spans="1:21">
      <c r="A24">
        <v>20</v>
      </c>
      <c r="B24" s="159">
        <v>45698</v>
      </c>
      <c r="C24" s="202">
        <v>45675</v>
      </c>
      <c r="D24" s="206" t="s">
        <v>87</v>
      </c>
      <c r="E24" s="211" t="s">
        <v>421</v>
      </c>
      <c r="F24" s="203" t="s">
        <v>422</v>
      </c>
      <c r="G24" s="159" t="s">
        <v>423</v>
      </c>
      <c r="H24" s="159" t="s">
        <v>424</v>
      </c>
      <c r="I24" s="160" t="s">
        <v>42</v>
      </c>
      <c r="J24" s="159" t="s">
        <v>76</v>
      </c>
      <c r="K24" s="159" t="s">
        <v>77</v>
      </c>
      <c r="L24" s="159" t="s">
        <v>420</v>
      </c>
      <c r="M24" s="159" t="s">
        <v>425</v>
      </c>
      <c r="N24" s="160" t="s">
        <v>426</v>
      </c>
      <c r="O24" s="161">
        <v>29</v>
      </c>
      <c r="P24" s="159" t="s">
        <v>81</v>
      </c>
      <c r="Q24" s="159" t="s">
        <v>76</v>
      </c>
      <c r="R24" s="159"/>
      <c r="S24" s="159" t="str">
        <f t="shared" si="2"/>
        <v>043-903-000053369</v>
      </c>
      <c r="T24" s="197" t="s">
        <v>427</v>
      </c>
      <c r="U24" s="193" t="s">
        <v>428</v>
      </c>
    </row>
    <row r="25" spans="1:21">
      <c r="A25">
        <v>21</v>
      </c>
      <c r="B25" s="159">
        <v>45698</v>
      </c>
      <c r="C25" s="202">
        <v>45662</v>
      </c>
      <c r="D25" s="206" t="s">
        <v>87</v>
      </c>
      <c r="E25" s="211" t="s">
        <v>429</v>
      </c>
      <c r="F25" s="203" t="s">
        <v>430</v>
      </c>
      <c r="G25" s="159" t="s">
        <v>431</v>
      </c>
      <c r="H25" s="159" t="s">
        <v>432</v>
      </c>
      <c r="I25" s="160" t="s">
        <v>42</v>
      </c>
      <c r="J25" s="159" t="s">
        <v>76</v>
      </c>
      <c r="K25" s="159" t="s">
        <v>77</v>
      </c>
      <c r="L25" s="159" t="s">
        <v>433</v>
      </c>
      <c r="M25" s="159" t="s">
        <v>434</v>
      </c>
      <c r="N25" s="160" t="s">
        <v>436</v>
      </c>
      <c r="O25" s="161">
        <v>29</v>
      </c>
      <c r="P25" s="159" t="s">
        <v>81</v>
      </c>
      <c r="Q25" s="159" t="s">
        <v>76</v>
      </c>
      <c r="R25" s="159"/>
      <c r="S25" s="159" t="str">
        <f t="shared" si="2"/>
        <v>043-904-000057136</v>
      </c>
      <c r="T25" s="197" t="s">
        <v>435</v>
      </c>
      <c r="U25" s="193" t="s">
        <v>437</v>
      </c>
    </row>
    <row r="26" spans="1:21">
      <c r="A26">
        <v>22</v>
      </c>
      <c r="B26" s="159">
        <v>45698</v>
      </c>
      <c r="C26" s="202">
        <v>45690</v>
      </c>
      <c r="D26" s="206" t="s">
        <v>215</v>
      </c>
      <c r="E26" s="211" t="s">
        <v>438</v>
      </c>
      <c r="F26" s="204" t="s">
        <v>439</v>
      </c>
      <c r="G26" s="159" t="s">
        <v>440</v>
      </c>
      <c r="H26" s="160">
        <v>824011284</v>
      </c>
      <c r="I26" s="160" t="s">
        <v>42</v>
      </c>
      <c r="J26" s="159" t="s">
        <v>76</v>
      </c>
      <c r="K26" s="159" t="s">
        <v>77</v>
      </c>
      <c r="L26" s="159" t="s">
        <v>441</v>
      </c>
      <c r="M26" s="159" t="s">
        <v>442</v>
      </c>
      <c r="N26" s="160" t="s">
        <v>443</v>
      </c>
      <c r="O26" s="161">
        <v>29</v>
      </c>
      <c r="P26" s="159" t="s">
        <v>81</v>
      </c>
      <c r="Q26" s="159" t="s">
        <v>76</v>
      </c>
      <c r="R26" s="159"/>
      <c r="S26" s="159" t="str">
        <f t="shared" si="2"/>
        <v>044-013-000013285</v>
      </c>
      <c r="T26" s="197" t="s">
        <v>444</v>
      </c>
      <c r="U26" s="193" t="s">
        <v>445</v>
      </c>
    </row>
    <row r="27" spans="1:21">
      <c r="A27">
        <v>23</v>
      </c>
      <c r="B27" s="159">
        <v>45700</v>
      </c>
      <c r="C27" s="202">
        <v>45686</v>
      </c>
      <c r="D27" s="206" t="s">
        <v>87</v>
      </c>
      <c r="E27" s="206" t="s">
        <v>473</v>
      </c>
      <c r="F27" s="203" t="s">
        <v>474</v>
      </c>
      <c r="G27" s="159" t="s">
        <v>475</v>
      </c>
      <c r="H27" s="159" t="s">
        <v>476</v>
      </c>
      <c r="I27" s="160" t="s">
        <v>42</v>
      </c>
      <c r="J27" s="159" t="s">
        <v>76</v>
      </c>
      <c r="K27" s="159" t="s">
        <v>77</v>
      </c>
      <c r="L27" s="159" t="s">
        <v>477</v>
      </c>
      <c r="M27" s="159" t="s">
        <v>478</v>
      </c>
      <c r="N27" s="160" t="s">
        <v>479</v>
      </c>
      <c r="O27" s="161">
        <v>25</v>
      </c>
      <c r="P27" s="159" t="s">
        <v>81</v>
      </c>
      <c r="Q27" s="159" t="s">
        <v>76</v>
      </c>
      <c r="R27" s="159"/>
      <c r="S27" s="159" t="str">
        <f t="shared" si="2"/>
        <v>043-903-000055308</v>
      </c>
      <c r="T27" s="197" t="s">
        <v>480</v>
      </c>
      <c r="U27" s="193" t="s">
        <v>481</v>
      </c>
    </row>
    <row r="28" spans="1:21">
      <c r="A28">
        <v>24</v>
      </c>
      <c r="B28" s="159">
        <v>45700</v>
      </c>
      <c r="C28" s="202">
        <v>45532</v>
      </c>
      <c r="D28" s="206" t="s">
        <v>87</v>
      </c>
      <c r="E28" s="206" t="s">
        <v>482</v>
      </c>
      <c r="F28" s="203" t="s">
        <v>483</v>
      </c>
      <c r="G28" s="159" t="s">
        <v>272</v>
      </c>
      <c r="H28" s="159" t="s">
        <v>484</v>
      </c>
      <c r="I28" s="160" t="s">
        <v>42</v>
      </c>
      <c r="J28" s="159" t="s">
        <v>76</v>
      </c>
      <c r="K28" s="159" t="s">
        <v>77</v>
      </c>
      <c r="L28" s="159" t="s">
        <v>485</v>
      </c>
      <c r="M28" s="159" t="s">
        <v>486</v>
      </c>
      <c r="N28" s="160" t="s">
        <v>487</v>
      </c>
      <c r="O28" s="161">
        <v>29</v>
      </c>
      <c r="P28" s="159" t="s">
        <v>81</v>
      </c>
      <c r="Q28" s="159" t="s">
        <v>76</v>
      </c>
      <c r="R28" s="159"/>
      <c r="S28" s="159" t="str">
        <f t="shared" si="2"/>
        <v>043-903-000030579</v>
      </c>
      <c r="T28" s="197" t="s">
        <v>488</v>
      </c>
      <c r="U28" s="193" t="s">
        <v>489</v>
      </c>
    </row>
    <row r="29" spans="1:21">
      <c r="A29">
        <v>25</v>
      </c>
      <c r="B29" s="159">
        <v>45702</v>
      </c>
      <c r="C29" s="202">
        <v>45509</v>
      </c>
      <c r="D29" s="206" t="s">
        <v>121</v>
      </c>
      <c r="E29" s="206" t="s">
        <v>531</v>
      </c>
      <c r="F29" s="203" t="s">
        <v>342</v>
      </c>
      <c r="G29" s="159" t="s">
        <v>123</v>
      </c>
      <c r="H29" s="159" t="s">
        <v>532</v>
      </c>
      <c r="I29" s="160" t="s">
        <v>42</v>
      </c>
      <c r="J29" s="159" t="s">
        <v>76</v>
      </c>
      <c r="K29" s="159" t="s">
        <v>77</v>
      </c>
      <c r="L29" s="159" t="s">
        <v>533</v>
      </c>
      <c r="M29" s="159" t="s">
        <v>486</v>
      </c>
      <c r="N29" s="160" t="s">
        <v>534</v>
      </c>
      <c r="O29" s="161">
        <v>25</v>
      </c>
      <c r="P29" s="159" t="s">
        <v>81</v>
      </c>
      <c r="Q29" s="159" t="s">
        <v>76</v>
      </c>
      <c r="R29" s="159"/>
      <c r="S29" s="159" t="str">
        <f t="shared" si="2"/>
        <v>001-101-000003637</v>
      </c>
      <c r="T29" s="197" t="s">
        <v>535</v>
      </c>
      <c r="U29" s="193" t="s">
        <v>536</v>
      </c>
    </row>
    <row r="30" spans="1:21">
      <c r="A30">
        <v>26</v>
      </c>
      <c r="B30" s="159">
        <v>45703</v>
      </c>
      <c r="C30" s="202">
        <v>45696</v>
      </c>
      <c r="D30" s="206" t="s">
        <v>96</v>
      </c>
      <c r="E30" s="206" t="s">
        <v>554</v>
      </c>
      <c r="F30" s="203" t="s">
        <v>555</v>
      </c>
      <c r="G30" s="159" t="s">
        <v>556</v>
      </c>
      <c r="H30" s="159" t="s">
        <v>557</v>
      </c>
      <c r="I30" s="160" t="s">
        <v>42</v>
      </c>
      <c r="J30" s="159" t="s">
        <v>76</v>
      </c>
      <c r="K30" s="159" t="s">
        <v>77</v>
      </c>
      <c r="L30" s="159" t="s">
        <v>558</v>
      </c>
      <c r="M30" s="159" t="s">
        <v>559</v>
      </c>
      <c r="N30" s="160" t="s">
        <v>560</v>
      </c>
      <c r="O30" s="161">
        <v>15</v>
      </c>
      <c r="P30" s="159" t="s">
        <v>81</v>
      </c>
      <c r="Q30" s="159" t="s">
        <v>76</v>
      </c>
      <c r="R30" s="159"/>
      <c r="S30" s="159" t="str">
        <f t="shared" si="2"/>
        <v>001-500-000070769</v>
      </c>
      <c r="T30" s="197" t="s">
        <v>561</v>
      </c>
      <c r="U30" s="193" t="s">
        <v>562</v>
      </c>
    </row>
    <row r="31" spans="1:21">
      <c r="A31">
        <v>27</v>
      </c>
      <c r="B31" s="159">
        <v>45705</v>
      </c>
      <c r="C31" s="202">
        <v>45077</v>
      </c>
      <c r="D31" s="206" t="s">
        <v>87</v>
      </c>
      <c r="E31" s="206" t="s">
        <v>600</v>
      </c>
      <c r="F31" s="203" t="s">
        <v>88</v>
      </c>
      <c r="G31" s="159" t="s">
        <v>506</v>
      </c>
      <c r="H31" s="159" t="s">
        <v>601</v>
      </c>
      <c r="I31" s="160" t="s">
        <v>42</v>
      </c>
      <c r="J31" s="159" t="s">
        <v>76</v>
      </c>
      <c r="K31" s="159" t="s">
        <v>77</v>
      </c>
      <c r="L31" s="159" t="s">
        <v>602</v>
      </c>
      <c r="M31" s="159" t="s">
        <v>434</v>
      </c>
      <c r="N31" s="160" t="s">
        <v>603</v>
      </c>
      <c r="O31" s="161">
        <v>15</v>
      </c>
      <c r="P31" s="159" t="s">
        <v>81</v>
      </c>
      <c r="Q31" s="159" t="s">
        <v>76</v>
      </c>
      <c r="R31" s="159"/>
      <c r="S31" s="159" t="str">
        <f t="shared" si="2"/>
        <v>016-904-000185084</v>
      </c>
      <c r="T31" s="197" t="s">
        <v>604</v>
      </c>
      <c r="U31" s="193" t="s">
        <v>605</v>
      </c>
    </row>
    <row r="32" spans="1:21">
      <c r="O32" s="132">
        <f>SUM(O5:O31)</f>
        <v>666</v>
      </c>
    </row>
  </sheetData>
  <phoneticPr fontId="40" type="noConversion"/>
  <hyperlinks>
    <hyperlink ref="U5" r:id="rId1" xr:uid="{44EB9B3E-E817-9D40-9540-9D7F031BA0CD}"/>
    <hyperlink ref="U6" r:id="rId2" xr:uid="{C5CA83D0-E96C-2F41-8D0B-DEA8F4930956}"/>
    <hyperlink ref="U7" r:id="rId3" xr:uid="{6DB6E7D6-639C-0E44-A2BF-16646A6753E5}"/>
    <hyperlink ref="U8" r:id="rId4" xr:uid="{6FBE5802-DC6D-164F-857E-47D4562A4538}"/>
    <hyperlink ref="U9" r:id="rId5" xr:uid="{063C2C03-BA55-3E43-9228-E4471C628D0E}"/>
    <hyperlink ref="U10" r:id="rId6" xr:uid="{049547EB-B79C-FF4F-A84A-649DF6AFEE40}"/>
    <hyperlink ref="U11" r:id="rId7" xr:uid="{508F9DAC-5F41-AA49-B46D-46BA5628AC51}"/>
    <hyperlink ref="U12" r:id="rId8" xr:uid="{010723C9-5D7C-7341-9F34-83EC0B729534}"/>
    <hyperlink ref="U13" r:id="rId9" xr:uid="{5A84A84A-DA15-3640-8295-9F6D67B5DADB}"/>
    <hyperlink ref="U14" r:id="rId10" xr:uid="{B6B1752A-92B1-AB47-9DF0-4729E84F3331}"/>
    <hyperlink ref="U15" r:id="rId11" xr:uid="{88589215-692C-964C-8538-04797DD6C95B}"/>
    <hyperlink ref="U16" r:id="rId12" xr:uid="{E50A7DDE-0364-BC45-9F08-08D851F474F1}"/>
    <hyperlink ref="U17" r:id="rId13" xr:uid="{CA6AE7B2-5178-B44B-A573-17C2A1164AB2}"/>
    <hyperlink ref="U18" r:id="rId14" xr:uid="{DA0F12A2-BED8-7047-BDAB-67F7228F6432}"/>
    <hyperlink ref="U19" r:id="rId15" xr:uid="{2CCE6937-2495-AD48-A845-B7F7FB315219}"/>
    <hyperlink ref="U20" r:id="rId16" xr:uid="{3988948F-ECBD-5347-984A-F9D743211054}"/>
    <hyperlink ref="U21" r:id="rId17" xr:uid="{DE855E2E-39FB-2748-8174-82A9838664E4}"/>
    <hyperlink ref="U22" r:id="rId18" xr:uid="{1F688483-E359-874B-9BB7-BBA9362431D4}"/>
    <hyperlink ref="U23" r:id="rId19" xr:uid="{52B462C6-8374-2D4D-BC80-75A811C73E07}"/>
    <hyperlink ref="U24" r:id="rId20" xr:uid="{435B971E-4FCB-8D49-9A83-5ACB62252F9D}"/>
    <hyperlink ref="U25" r:id="rId21" xr:uid="{348B31F4-87D4-044E-875C-19FDDC94D254}"/>
    <hyperlink ref="U26" r:id="rId22" xr:uid="{00127A30-6B9E-A949-B1F4-B91238B9E05C}"/>
    <hyperlink ref="U27" r:id="rId23" xr:uid="{FCB3DC9D-F81F-C14E-B407-59C5104A0812}"/>
    <hyperlink ref="U28" r:id="rId24" xr:uid="{D26FA0E5-239B-2949-B54E-BFED84D0F1C7}"/>
    <hyperlink ref="U29" r:id="rId25" xr:uid="{28C5EA49-5866-6A46-AD00-BC928529F840}"/>
    <hyperlink ref="U30" r:id="rId26" xr:uid="{DB9BF829-27F8-D34B-B16C-A47BDE209534}"/>
    <hyperlink ref="U31" r:id="rId27" xr:uid="{2833516F-6D49-EA49-8B58-A697CA656947}"/>
  </hyperlinks>
  <pageMargins left="0.7" right="0.7" top="0.75" bottom="0.75" header="0.3" footer="0.3"/>
  <pageSetup paperSize="9" orientation="portrait" horizontalDpi="0" verticalDpi="0" r:id="rId2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PROMOCION</vt:lpstr>
      <vt:lpstr>GARANTIA</vt:lpstr>
      <vt:lpstr>BBQ</vt:lpstr>
      <vt:lpstr>ALMACENES </vt:lpstr>
      <vt:lpstr>PROYECTO </vt:lpstr>
      <vt:lpstr>1 PRODUCTO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Marcia Navarrete</dc:creator>
  <cp:lastModifiedBy>Juani Pao Cardenas Quinde</cp:lastModifiedBy>
  <dcterms:created xsi:type="dcterms:W3CDTF">2024-01-22T20:29:31Z</dcterms:created>
  <dcterms:modified xsi:type="dcterms:W3CDTF">2025-04-14T18:05:41Z</dcterms:modified>
</cp:coreProperties>
</file>